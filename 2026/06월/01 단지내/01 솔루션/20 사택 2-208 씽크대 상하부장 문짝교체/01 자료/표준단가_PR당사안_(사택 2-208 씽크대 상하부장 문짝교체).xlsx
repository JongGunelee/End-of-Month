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/>
  <xr:revisionPtr revIDLastSave="0" documentId="13_ncr:1_{2CCF4B19-B64D-4E29-9AEC-C80AA6AF8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4" i="12" l="1"/>
  <c r="J23" i="12"/>
  <c r="J26" i="12"/>
  <c r="J25" i="12"/>
  <c r="J27" i="12" s="1"/>
  <c r="J22" i="12"/>
  <c r="F2" i="1"/>
  <c r="J28" i="12" l="1"/>
  <c r="J20" i="12" s="1"/>
  <c r="E2" i="1"/>
  <c r="D2" i="1"/>
  <c r="C2" i="1"/>
  <c r="B2" i="1"/>
  <c r="A5" i="4"/>
  <c r="A2" i="1" s="1"/>
  <c r="J30" i="12" l="1"/>
  <c r="Q6" i="4"/>
  <c r="O6" i="4"/>
  <c r="M6" i="4"/>
  <c r="K6" i="4"/>
  <c r="M32" i="12" l="1"/>
  <c r="B15" i="12" s="1"/>
  <c r="R6" i="4"/>
  <c r="K5" i="4"/>
  <c r="Q5" i="4" l="1"/>
  <c r="O5" i="4"/>
  <c r="R5" i="4" l="1"/>
  <c r="Q7" i="4"/>
  <c r="M7" i="4"/>
  <c r="O7" i="4" l="1"/>
  <c r="R7" i="4" l="1"/>
  <c r="K7" i="4" l="1"/>
</calcChain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<sst xmlns="http://schemas.openxmlformats.org/spreadsheetml/2006/main" count="143" uniqueCount="122">
  <si>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</si>
  <si>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</si>
  <si>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</si>
  <si>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</si>
  <si>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</si>
  <si>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</si>
  <si>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</si>
  <si>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</si>
  <si>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</si>
  <si>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</si>
  <si>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</si>
  <si>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</si>
  <si>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</si>
  <si>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</si>
  <si>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</si>
  <si>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</si>
  <si>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</si>
  <si>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</si>
  <si>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</si>
  <si>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</si>
  <si>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</si>
  <si>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</si>
  <si>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</si>
  <si>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</si>
  <si>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</si>
  <si>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</si>
  <si>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</si>
  <si>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</si>
  <si>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</si>
  <si>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</si>
  <si>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</si>
  <si>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</si>
  <si>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</si>
  <si>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</si>
  <si>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</si>
  <si>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</si>
  <si>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</si>
  <si>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</si>
  <si>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</si>
  <si>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</si>
  <si>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</si>
  <si>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</si>
  <si>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</si>
  <si>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</si>
  <si>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</si>
  <si>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</si>
  <si>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</si>
  <si>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</si>
  <si>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</si>
  <si>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</si>
  <si>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</si>
  <si>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</si>
  <si>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</si>
  <si>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</si>
  <si>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</si>
  <si>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</si>
  <si>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</si>
  <si>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</si>
  <si>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</si>
  <si>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</si>
  <si>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</si>
  <si>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</si>
  <si>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</si>
  <si>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</si>
  <si>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</si>
  <si>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</si>
  <si>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</si>
  <si>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</si>
  <si>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</si>
  <si>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</si>
  <si>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</si>
  <si>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</si>
  <si>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</si>
  <si>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</si>
  <si>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</si>
  <si>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</si>
  <si>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</si>
  <si>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</si>
  <si>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</si>
  <si>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</si>
  <si>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</si>
  <si>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</si>
  <si>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</si>
  <si>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</si>
  <si>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</si>
  <si>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</si>
  <si>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</si>
  <si>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</si>
  <si>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</si>
  <si>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</si>
  <si>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</si>
  <si>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</si>
  <si>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</si>
  <si>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</si>
  <si>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</si>
  <si>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</si>
  <si>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</si>
  <si>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</si>
  <si>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</si>
  <si>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</si>
  <si>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</si>
  <si>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</si>
  <si>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</si>
  <si>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</si>
  <si>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</si>
  <si>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</si>
  <si>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</si>
  <si>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</si>
  <si>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</si>
  <si>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</si>
  <si>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</si>
  <si>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</si>
  <si>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</si>
  <si>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</si>
  <si>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</si>
  <si>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</si>
  <si>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</si>
  <si>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</si>
  <si>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</si>
  <si>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</si>
  <si>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2-208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</si>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</sst>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Border="1" applyAlignment="1">
      <alignment vertical="center"/>
    </xf>
    <xf numFmtId="0" fontId="23" fillId="0" borderId="21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/>
    </xf>
    <xf numFmtId="0" fontId="23" fillId="0" borderId="43" xfId="21" applyFont="1" applyBorder="1" applyAlignment="1">
      <alignment horizontal="center" vertical="center"/>
    </xf>
    <xf numFmtId="0" fontId="23" fillId="0" borderId="48" xfId="21" applyFont="1" applyBorder="1" applyAlignment="1">
      <alignment horizontal="center" vertical="center"/>
    </xf>
    <xf numFmtId="0" fontId="27" fillId="0" borderId="55" xfId="21" applyFont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Border="1" applyAlignment="1">
      <alignment horizontal="left" vertical="center" wrapText="1" indent="1"/>
    </xf>
    <xf numFmtId="0" fontId="27" fillId="0" borderId="56" xfId="21" applyFont="1" applyBorder="1" applyAlignment="1">
      <alignment horizontal="left" vertical="center" wrapText="1" indent="1"/>
    </xf>
    <xf numFmtId="0" fontId="27" fillId="0" borderId="57" xfId="21" applyFont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Border="1" applyAlignment="1">
      <alignment horizontal="center" vertical="center" wrapText="1"/>
    </xf>
    <xf numFmtId="0" fontId="23" fillId="0" borderId="22" xfId="21" applyFont="1" applyBorder="1" applyAlignment="1">
      <alignment horizontal="center" vertical="center" wrapText="1"/>
    </xf>
    <xf numFmtId="0" fontId="23" fillId="0" borderId="42" xfId="21" applyFont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6E34A882-6277-42A1-B1FC-94D54B69F3FD}"/>
    <cellStyle name="쉼표 [0] 2 84" xfId="25" xr:uid="{54BD67B8-A7BF-45EF-8E21-0B46E717F256}"/>
    <cellStyle name="쉼표 [0] 3" xfId="14" xr:uid="{8F7BE219-40E1-4BBB-A9BD-02188B74B2A3}"/>
    <cellStyle name="쉼표 [0] 4" xfId="22" xr:uid="{1C7A4C14-5CB3-4981-A898-228F173472BD}"/>
    <cellStyle name="쉼표 [0] 5" xfId="24" xr:uid="{AA5544A4-F0EE-482D-B174-FDA687257E6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33F7AFD7-2000-4AD1-8990-8BEBB54EF17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D9AEB46B-A114-4DF7-BBC4-526F2F8CFF1A}"/>
    <cellStyle name="표준_P456 공장 및 복지동 전면 유리창 청소건 라상혁님_1129(최종)" xfId="21" xr:uid="{800280FB-F925-40F3-A413-D2C96F0EC53B}"/>
    <cellStyle name="표준_S&amp;D_MAIN VALVE_최빈_2" xfId="18" xr:uid="{C5AF1371-AC5A-41F2-AA21-A6D6AB096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54D67BB-A296-4624-AF9A-DE9D7E21D0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4B5F-44EA-459B-97D6-8586961C2198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57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121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58</v>
      </c>
      <c r="B7" s="206"/>
      <c r="C7" s="207"/>
      <c r="D7" s="119">
        <v>2026</v>
      </c>
      <c r="E7" s="70" t="s">
        <v>59</v>
      </c>
      <c r="F7" s="70">
        <v>5</v>
      </c>
      <c r="G7" s="70" t="s">
        <v>60</v>
      </c>
      <c r="H7" s="70">
        <v>9</v>
      </c>
      <c r="I7" s="70" t="s">
        <v>61</v>
      </c>
      <c r="J7" s="71"/>
      <c r="K7" s="208" t="s">
        <v>62</v>
      </c>
      <c r="L7" s="72" t="s">
        <v>63</v>
      </c>
      <c r="M7" s="72" t="s">
        <v>64</v>
      </c>
      <c r="N7" s="72" t="s">
        <v>65</v>
      </c>
      <c r="O7" s="73" t="s">
        <v>66</v>
      </c>
    </row>
    <row r="8" spans="1:15" ht="23.25" customHeight="1" x14ac:dyDescent="0.3">
      <c r="A8" s="211" t="s">
        <v>67</v>
      </c>
      <c r="B8" s="212"/>
      <c r="C8" s="213"/>
      <c r="D8" s="214" t="s">
        <v>68</v>
      </c>
      <c r="E8" s="215"/>
      <c r="F8" s="215"/>
      <c r="G8" s="216"/>
      <c r="H8" s="217" t="s">
        <v>69</v>
      </c>
      <c r="I8" s="215"/>
      <c r="J8" s="218"/>
      <c r="K8" s="209"/>
      <c r="L8" s="74" t="s">
        <v>70</v>
      </c>
      <c r="M8" s="74" t="s">
        <v>71</v>
      </c>
      <c r="N8" s="74" t="s">
        <v>72</v>
      </c>
      <c r="O8" s="75" t="s">
        <v>73</v>
      </c>
    </row>
    <row r="9" spans="1:15" ht="23.25" customHeight="1" x14ac:dyDescent="0.3">
      <c r="A9" s="211" t="s">
        <v>74</v>
      </c>
      <c r="B9" s="212"/>
      <c r="C9" s="213"/>
      <c r="D9" s="219" t="s">
        <v>75</v>
      </c>
      <c r="E9" s="220"/>
      <c r="F9" s="220"/>
      <c r="G9" s="220"/>
      <c r="H9" s="220"/>
      <c r="I9" s="220"/>
      <c r="J9" s="221"/>
      <c r="K9" s="209"/>
      <c r="L9" s="74" t="s">
        <v>76</v>
      </c>
      <c r="M9" s="222" t="s">
        <v>77</v>
      </c>
      <c r="N9" s="212"/>
      <c r="O9" s="213"/>
    </row>
    <row r="10" spans="1:15" ht="23.25" customHeight="1" thickBot="1" x14ac:dyDescent="0.35">
      <c r="A10" s="223" t="s">
        <v>78</v>
      </c>
      <c r="B10" s="224"/>
      <c r="C10" s="225"/>
      <c r="D10" s="226" t="s">
        <v>79</v>
      </c>
      <c r="E10" s="227"/>
      <c r="F10" s="227"/>
      <c r="G10" s="227"/>
      <c r="H10" s="227"/>
      <c r="I10" s="227"/>
      <c r="J10" s="228"/>
      <c r="K10" s="210"/>
      <c r="L10" s="76" t="s">
        <v>80</v>
      </c>
      <c r="M10" s="76" t="s">
        <v>81</v>
      </c>
      <c r="N10" s="76" t="s">
        <v>82</v>
      </c>
      <c r="O10" s="77" t="s">
        <v>83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120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84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一金일백이십삼만팔천사백원정"(\1,238,400원)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85</v>
      </c>
      <c r="B17" s="191" t="s">
        <v>86</v>
      </c>
      <c r="C17" s="192"/>
      <c r="D17" s="192"/>
      <c r="E17" s="192"/>
      <c r="F17" s="192"/>
      <c r="G17" s="193"/>
      <c r="H17" s="87" t="s">
        <v>87</v>
      </c>
      <c r="I17" s="88" t="s">
        <v>88</v>
      </c>
      <c r="J17" s="194" t="s">
        <v>89</v>
      </c>
      <c r="K17" s="195"/>
      <c r="L17" s="195"/>
      <c r="M17" s="196"/>
      <c r="N17" s="191" t="s">
        <v>90</v>
      </c>
      <c r="O17" s="197"/>
    </row>
    <row r="18" spans="1:17" ht="28.5" customHeight="1" x14ac:dyDescent="0.3">
      <c r="A18" s="89">
        <v>1</v>
      </c>
      <c r="B18" s="185" t="s">
        <v>35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1/(TRIM('내역서(표준단가)'!K4:K100)&lt;&gt;""), '내역서(표준단가)'!K4:K100), "-")</f>
        <v>850000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36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1/(TRIM('내역서(표준단가)'!M4:M100)&lt;&gt;""), '내역서(표준단가)'!M4:M100), "-")</f>
        <v>224490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91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63469.9750967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92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4"/>
      <c r="L21" s="164"/>
      <c r="M21" s="165"/>
      <c r="N21" s="166" t="s">
        <v>93</v>
      </c>
      <c r="O21" s="167"/>
    </row>
    <row r="22" spans="1:17" ht="28.5" customHeight="1" x14ac:dyDescent="0.3">
      <c r="A22" s="89"/>
      <c r="B22" s="93"/>
      <c r="C22" s="154" t="s">
        <v>94</v>
      </c>
      <c r="D22" s="155"/>
      <c r="E22" s="155"/>
      <c r="F22" s="155"/>
      <c r="G22" s="156"/>
      <c r="H22" s="94">
        <v>3.11</v>
      </c>
      <c r="I22" s="94" t="s">
        <v>95</v>
      </c>
      <c r="J22" s="157">
        <f>IFERROR((J18+J19)*H22%,"-")</f>
        <v>33416.638999999996</v>
      </c>
      <c r="K22" s="158"/>
      <c r="L22" s="158"/>
      <c r="M22" s="159"/>
      <c r="N22" s="150" t="s">
        <v>96</v>
      </c>
      <c r="O22" s="151"/>
    </row>
    <row r="23" spans="1:17" ht="28.5" customHeight="1" x14ac:dyDescent="0.3">
      <c r="A23" s="89"/>
      <c r="B23" s="93"/>
      <c r="C23" s="154" t="s">
        <v>97</v>
      </c>
      <c r="D23" s="155"/>
      <c r="E23" s="155"/>
      <c r="F23" s="155"/>
      <c r="G23" s="156"/>
      <c r="H23" s="94">
        <v>3.56</v>
      </c>
      <c r="I23" s="94" t="s">
        <v>98</v>
      </c>
      <c r="J23" s="157">
        <f>IFERROR(J19*H23%,"-")</f>
        <v>7991.8440000000001</v>
      </c>
      <c r="K23" s="158"/>
      <c r="L23" s="158"/>
      <c r="M23" s="159"/>
      <c r="N23" s="150" t="s">
        <v>99</v>
      </c>
      <c r="O23" s="151"/>
    </row>
    <row r="24" spans="1:17" ht="28.5" customHeight="1" x14ac:dyDescent="0.3">
      <c r="A24" s="89"/>
      <c r="B24" s="93"/>
      <c r="C24" s="154" t="s">
        <v>100</v>
      </c>
      <c r="D24" s="155"/>
      <c r="E24" s="155"/>
      <c r="F24" s="155"/>
      <c r="G24" s="156"/>
      <c r="H24" s="94">
        <v>1.01</v>
      </c>
      <c r="I24" s="94" t="s">
        <v>98</v>
      </c>
      <c r="J24" s="157">
        <f>IFERROR(J19*H24%,"-")</f>
        <v>2267.3489999999997</v>
      </c>
      <c r="K24" s="158"/>
      <c r="L24" s="158"/>
      <c r="M24" s="159"/>
      <c r="N24" s="150" t="s">
        <v>101</v>
      </c>
      <c r="O24" s="151"/>
    </row>
    <row r="25" spans="1:17" ht="28.5" customHeight="1" x14ac:dyDescent="0.3">
      <c r="A25" s="89"/>
      <c r="B25" s="93"/>
      <c r="C25" s="154" t="s">
        <v>102</v>
      </c>
      <c r="D25" s="155"/>
      <c r="E25" s="155"/>
      <c r="F25" s="155"/>
      <c r="G25" s="156"/>
      <c r="H25" s="95">
        <v>3.5950000000000002</v>
      </c>
      <c r="I25" s="94" t="s">
        <v>98</v>
      </c>
      <c r="J25" s="157">
        <f>IFERROR(J19*H25%,"-")</f>
        <v>8070.415500000001</v>
      </c>
      <c r="K25" s="158"/>
      <c r="L25" s="158"/>
      <c r="M25" s="159"/>
      <c r="N25" s="150" t="s">
        <v>103</v>
      </c>
      <c r="O25" s="151"/>
      <c r="Q25" s="92"/>
    </row>
    <row r="26" spans="1:17" ht="28.5" customHeight="1" x14ac:dyDescent="0.3">
      <c r="A26" s="89"/>
      <c r="B26" s="93"/>
      <c r="C26" s="154" t="s">
        <v>104</v>
      </c>
      <c r="D26" s="155"/>
      <c r="E26" s="155"/>
      <c r="F26" s="155"/>
      <c r="G26" s="156"/>
      <c r="H26" s="94">
        <v>4.75</v>
      </c>
      <c r="I26" s="94" t="s">
        <v>98</v>
      </c>
      <c r="J26" s="157">
        <f>IFERROR(J19*H26%,"-")</f>
        <v>10663.275</v>
      </c>
      <c r="K26" s="158"/>
      <c r="L26" s="158"/>
      <c r="M26" s="159"/>
      <c r="N26" s="150" t="s">
        <v>105</v>
      </c>
      <c r="O26" s="151"/>
      <c r="Q26" s="96"/>
    </row>
    <row r="27" spans="1:17" ht="28.5" customHeight="1" x14ac:dyDescent="0.3">
      <c r="A27" s="89"/>
      <c r="B27" s="93"/>
      <c r="C27" s="144" t="s">
        <v>106</v>
      </c>
      <c r="D27" s="145"/>
      <c r="E27" s="145"/>
      <c r="F27" s="145"/>
      <c r="G27" s="146"/>
      <c r="H27" s="97">
        <v>13.14</v>
      </c>
      <c r="I27" s="98" t="s">
        <v>98</v>
      </c>
      <c r="J27" s="147">
        <f>IFERROR($H$27*J25%,"-")</f>
        <v>1060.4525967000002</v>
      </c>
      <c r="K27" s="148"/>
      <c r="L27" s="148"/>
      <c r="M27" s="149"/>
      <c r="N27" s="150" t="s">
        <v>107</v>
      </c>
      <c r="O27" s="151"/>
    </row>
    <row r="28" spans="1:17" ht="28.5" customHeight="1" x14ac:dyDescent="0.3">
      <c r="A28" s="89"/>
      <c r="B28" s="93"/>
      <c r="C28" s="144" t="s">
        <v>108</v>
      </c>
      <c r="D28" s="145"/>
      <c r="E28" s="145"/>
      <c r="F28" s="145"/>
      <c r="G28" s="146"/>
      <c r="H28" s="97">
        <v>8.1000000000000003E-2</v>
      </c>
      <c r="I28" s="98" t="s">
        <v>98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109</v>
      </c>
      <c r="O28" s="153"/>
    </row>
    <row r="29" spans="1:17" ht="28.5" customHeight="1" x14ac:dyDescent="0.3">
      <c r="A29" s="99"/>
      <c r="B29" s="100"/>
      <c r="C29" s="124" t="s">
        <v>110</v>
      </c>
      <c r="D29" s="125"/>
      <c r="E29" s="125"/>
      <c r="F29" s="125"/>
      <c r="G29" s="126"/>
      <c r="H29" s="101">
        <v>1</v>
      </c>
      <c r="I29" s="102" t="s">
        <v>111</v>
      </c>
      <c r="J29" s="127">
        <f>34*0</f>
        <v>0</v>
      </c>
      <c r="K29" s="128"/>
      <c r="L29" s="128"/>
      <c r="M29" s="129"/>
      <c r="N29" s="130" t="s">
        <v>112</v>
      </c>
      <c r="O29" s="131"/>
    </row>
    <row r="30" spans="1:17" ht="28.5" customHeight="1" x14ac:dyDescent="0.3">
      <c r="A30" s="99">
        <v>4</v>
      </c>
      <c r="B30" s="100"/>
      <c r="C30" s="124" t="s">
        <v>113</v>
      </c>
      <c r="D30" s="125"/>
      <c r="E30" s="125"/>
      <c r="F30" s="125"/>
      <c r="G30" s="126"/>
      <c r="H30" s="102">
        <v>5</v>
      </c>
      <c r="I30" s="103" t="s">
        <v>114</v>
      </c>
      <c r="J30" s="137">
        <f>IFERROR(IF(ISNUMBER(H30), SUM(J18:M20) * (H30 / 100), "-"), "-")</f>
        <v>56897.998754835004</v>
      </c>
      <c r="K30" s="138"/>
      <c r="L30" s="138"/>
      <c r="M30" s="139"/>
      <c r="N30" s="140" t="s">
        <v>115</v>
      </c>
      <c r="O30" s="141"/>
    </row>
    <row r="31" spans="1:17" ht="28.5" customHeight="1" thickBot="1" x14ac:dyDescent="0.35">
      <c r="A31" s="99">
        <v>5</v>
      </c>
      <c r="B31" s="100"/>
      <c r="C31" s="124" t="s">
        <v>116</v>
      </c>
      <c r="D31" s="125"/>
      <c r="E31" s="125"/>
      <c r="F31" s="125"/>
      <c r="G31" s="126"/>
      <c r="H31" s="102">
        <v>7.5</v>
      </c>
      <c r="I31" s="103" t="s">
        <v>98</v>
      </c>
      <c r="J31" s="127">
        <f>IFERROR(SUM(J18:M20, J30) * (H31 / 100), "-")+-46072</f>
        <v>43542.348038865122</v>
      </c>
      <c r="K31" s="128"/>
      <c r="L31" s="128"/>
      <c r="M31" s="129"/>
      <c r="N31" s="142" t="s">
        <v>117</v>
      </c>
      <c r="O31" s="143"/>
      <c r="Q31" s="104"/>
    </row>
    <row r="32" spans="1:17" ht="28.5" customHeight="1" thickBot="1" x14ac:dyDescent="0.35">
      <c r="A32" s="132" t="s">
        <v>118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1238400</v>
      </c>
      <c r="N32" s="135"/>
      <c r="O32" s="136"/>
      <c r="P32" s="108"/>
    </row>
    <row r="33" spans="1:15" x14ac:dyDescent="0.3">
      <c r="A33" s="109" t="s">
        <v>119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H14" sqref="H14"/>
    </sheetView>
  </sheetViews>
  <sheetFormatPr defaultColWidth="9" defaultRowHeight="38.1" customHeight="1" x14ac:dyDescent="0.3"/>
  <cols>
    <col min="1" max="1" width="8.875" style="48" customWidth="1"/>
    <col min="2" max="2" width="20.625" style="2" hidden="1" customWidth="1"/>
    <col min="3" max="3" width="15.125" style="2" hidden="1" customWidth="1"/>
    <col min="4" max="4" width="14.625" style="2" hidden="1" customWidth="1"/>
    <col min="5" max="5" width="13.875" style="2" hidden="1" customWidth="1"/>
    <col min="6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29"/>
      <c r="B1" s="229"/>
      <c r="C1" s="229"/>
      <c r="D1" s="229"/>
      <c r="E1" s="229"/>
      <c r="J1" s="3"/>
      <c r="K1" s="41" t="s">
        <v>32</v>
      </c>
      <c r="M1" s="41" t="s">
        <v>32</v>
      </c>
      <c r="O1" s="41" t="s">
        <v>32</v>
      </c>
      <c r="Q1" s="41" t="s">
        <v>32</v>
      </c>
    </row>
    <row r="2" spans="1:20" ht="19.899999999999999" customHeight="1" thickBot="1" x14ac:dyDescent="0.35">
      <c r="A2" s="229"/>
      <c r="B2" s="229"/>
      <c r="C2" s="229"/>
      <c r="D2" s="229"/>
      <c r="E2" s="229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33</v>
      </c>
      <c r="C3" s="43"/>
      <c r="D3" s="43"/>
      <c r="E3" s="43"/>
      <c r="F3" s="240" t="s">
        <v>34</v>
      </c>
      <c r="G3" s="240"/>
      <c r="H3" s="238" t="s">
        <v>12</v>
      </c>
      <c r="I3" s="238" t="s">
        <v>5</v>
      </c>
      <c r="J3" s="234" t="s">
        <v>35</v>
      </c>
      <c r="K3" s="234"/>
      <c r="L3" s="234" t="s">
        <v>36</v>
      </c>
      <c r="M3" s="234"/>
      <c r="N3" s="235" t="s">
        <v>37</v>
      </c>
      <c r="O3" s="235"/>
      <c r="P3" s="235" t="s">
        <v>38</v>
      </c>
      <c r="Q3" s="235"/>
      <c r="R3" s="236" t="s">
        <v>39</v>
      </c>
      <c r="S3" s="232" t="s">
        <v>40</v>
      </c>
      <c r="T3" s="230" t="s">
        <v>7</v>
      </c>
    </row>
    <row r="4" spans="1:20" ht="19.899999999999999" customHeight="1" x14ac:dyDescent="0.3">
      <c r="A4" s="6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39" t="s">
        <v>46</v>
      </c>
      <c r="G4" s="39" t="s">
        <v>47</v>
      </c>
      <c r="H4" s="239"/>
      <c r="I4" s="239"/>
      <c r="J4" s="8" t="s">
        <v>48</v>
      </c>
      <c r="K4" s="9" t="s">
        <v>49</v>
      </c>
      <c r="L4" s="8" t="s">
        <v>50</v>
      </c>
      <c r="M4" s="9" t="s">
        <v>49</v>
      </c>
      <c r="N4" s="9" t="s">
        <v>51</v>
      </c>
      <c r="O4" s="9" t="s">
        <v>49</v>
      </c>
      <c r="P4" s="9" t="s">
        <v>51</v>
      </c>
      <c r="Q4" s="9" t="s">
        <v>49</v>
      </c>
      <c r="R4" s="237"/>
      <c r="S4" s="233"/>
      <c r="T4" s="231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52</v>
      </c>
      <c r="F5" s="26" t="s">
        <v>53</v>
      </c>
      <c r="G5" s="27" t="s">
        <v>54</v>
      </c>
      <c r="H5" s="12" t="s">
        <v>55</v>
      </c>
      <c r="I5" s="37">
        <v>1</v>
      </c>
      <c r="J5" s="34"/>
      <c r="K5" s="35">
        <f>I5*J5</f>
        <v>0</v>
      </c>
      <c r="L5" s="52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25"/>
      <c r="E6" s="11"/>
      <c r="F6" s="26" t="s">
        <v>25</v>
      </c>
      <c r="G6" s="27" t="s">
        <v>26</v>
      </c>
      <c r="H6" s="12" t="s">
        <v>27</v>
      </c>
      <c r="I6" s="37">
        <v>1</v>
      </c>
      <c r="J6" s="34">
        <v>850000</v>
      </c>
      <c r="K6" s="35">
        <f>I6*J6</f>
        <v>850000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850000</v>
      </c>
      <c r="S6" s="16"/>
      <c r="T6" s="14"/>
    </row>
    <row r="7" spans="1:20" s="46" customFormat="1" ht="38.1" customHeight="1" x14ac:dyDescent="0.3">
      <c r="A7" s="45"/>
      <c r="F7" s="40"/>
      <c r="G7" s="40"/>
      <c r="K7" s="50">
        <f>SUM(K5:K6)</f>
        <v>850000</v>
      </c>
      <c r="M7" s="50">
        <f>SUM(M5:M6)</f>
        <v>224490</v>
      </c>
      <c r="O7" s="47">
        <f>SUM(O5:O6)</f>
        <v>0</v>
      </c>
      <c r="Q7" s="47">
        <f>SUM(Q5:Q6)</f>
        <v>0</v>
      </c>
      <c r="R7" s="51">
        <f>SUM(R5:R6)</f>
        <v>1074490</v>
      </c>
      <c r="S7" s="17"/>
    </row>
    <row r="11" spans="1:20" ht="38.1" customHeight="1" x14ac:dyDescent="0.3">
      <c r="M11" s="49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1">
        <v>1</v>
      </c>
      <c r="G2" s="24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2026-01-20T04:07:01Z</dcterms:created>
  <dcterms:modified xsi:type="dcterms:W3CDTF">2026-05-09T06:46:26Z</dcterms:modified>
</cp:coreProperties>
</file>
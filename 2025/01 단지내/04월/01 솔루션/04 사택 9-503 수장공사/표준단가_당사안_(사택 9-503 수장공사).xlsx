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6 사택 9-503 수장공사\"/>
    </mc:Choice>
  </mc:AlternateContent>
  <xr:revisionPtr revIDLastSave="0" documentId="13_ncr:1_{50713390-94FB-44D9-A595-10497AF3B256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1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N9" i="9" s="1"/>
  <c r="H8" i="9"/>
  <c r="F8" i="9"/>
  <c r="H7" i="9"/>
  <c r="F7" i="9"/>
  <c r="H6" i="9"/>
  <c r="F6" i="9"/>
  <c r="H5" i="9"/>
  <c r="F5" i="9"/>
  <c r="N5" i="9" s="1"/>
  <c r="N6" i="9" l="1"/>
  <c r="N8" i="9"/>
  <c r="N10" i="9"/>
  <c r="N12" i="9"/>
  <c r="N7" i="9"/>
  <c r="N11" i="9"/>
  <c r="N35" i="9"/>
  <c r="N36" i="9" s="1"/>
  <c r="N20" i="9"/>
  <c r="N22" i="9"/>
  <c r="N26" i="9"/>
  <c r="N28" i="9"/>
  <c r="N30" i="9"/>
  <c r="N32" i="9"/>
  <c r="N21" i="9"/>
  <c r="N23" i="9"/>
  <c r="N27" i="9"/>
  <c r="N29" i="9"/>
  <c r="N31" i="9"/>
  <c r="N33" i="9"/>
  <c r="H24" i="9"/>
  <c r="H34" i="9"/>
  <c r="J37" i="9"/>
  <c r="L34" i="9"/>
  <c r="F14" i="9"/>
  <c r="F34" i="9"/>
  <c r="L14" i="9"/>
  <c r="L24" i="9"/>
  <c r="F24" i="9"/>
  <c r="F37" i="9" l="1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4" i="9"/>
  <c r="D14" i="9"/>
  <c r="H13" i="9"/>
  <c r="N13" i="9" l="1"/>
  <c r="N14" i="9" s="1"/>
  <c r="H14" i="9"/>
  <c r="H37" i="9" s="1"/>
  <c r="N34" i="9"/>
  <c r="N24" i="9"/>
  <c r="N37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<sst xmlns="http://schemas.openxmlformats.org/spreadsheetml/2006/main" count="282" uniqueCount="203">
  <si>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</si>
  <si>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</si>
  <si>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</si>
  <si>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</si>
  <si>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</si>
  <si>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</si>
  <si>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</si>
  <si>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</si>
  <si>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</si>
  <si>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</si>
  <si>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</si>
  <si>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</si>
  <si>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</si>
  <si>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</si>
  <si>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</si>
  <si>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</si>
  <si>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</si>
  <si>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</si>
  <si>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</si>
  <si>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</si>
  <si>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</si>
  <si>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</si>
  <si>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</si>
  <si>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</si>
  <si>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</si>
  <si>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</si>
  <si>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</si>
  <si>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</si>
  <si>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</si>
  <si>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</si>
  <si>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</si>
  <si>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</si>
  <si>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</si>
  <si>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</si>
  <si>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</si>
  <si>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</si>
  <si>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</si>
  <si>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</si>
  <si>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</si>
  <si>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</si>
  <si>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</si>
  <si>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</si>
  <si>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</si>
  <si>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</si>
  <si>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</si>
  <si>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</si>
  <si>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</si>
  <si>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</si>
  <si>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</si>
  <si>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</si>
  <si>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</si>
  <si>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</si>
  <si>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</si>
  <si>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</si>
  <si>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</si>
  <si>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</si>
  <si>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</si>
  <si>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</si>
  <si>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</si>
  <si>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</si>
  <si>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</si>
  <si>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</si>
  <si>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</si>
  <si>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</si>
  <si>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</si>
  <si>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</si>
  <si>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</si>
  <si>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</si>
  <si>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</si>
  <si>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</si>
  <si>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</si>
  <si>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</si>
  <si>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</si>
  <si>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</si>
  <si>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</si>
  <si>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</si>
  <si>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</si>
  <si>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</si>
  <si>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</si>
  <si>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</si>
  <si>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</si>
  <si>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</si>
  <si>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</si>
  <si>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</si>
  <si>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</si>
  <si>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</si>
  <si>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</si>
  <si>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</si>
  <si>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</si>
  <si>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</si>
  <si>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</si>
  <si>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</si>
  <si>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</si>
  <si>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</si>
  <si>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</si>
  <si>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</si>
  <si>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</si>
  <si>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</si>
  <si>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</si>
  <si>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</si>
  <si>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</si>
  <si>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</si>
  <si>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</si>
  <si>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</si>
  <si>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</si>
  <si>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</si>
  <si>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</si>
  <si>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</si>
  <si>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</si>
  <si>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</si>
  <si>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</si>
  <si>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</si>
  <si>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</si>
  <si>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</si>
  <si>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</si>
  <si>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</si>
  <si>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</si>
  <si>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</si>
  <si>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</si>
  <si>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</si>
  <si>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</si>
  <si>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</si>
  <si>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</si>
  <si>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</si>
  <si>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</si>
  <si>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</si>
  <si>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</si>
  <si>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</si>
  <si>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</si>
  <si>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</si>
  <si>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</si>
  <si>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</si>
  <si>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</si>
  <si>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</si>
  <si>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</si>
  <si>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</si>
  <si>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</si>
  <si>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</si>
  <si>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</si>
  <si>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</si>
  <si>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</si>
  <si>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</si>
  <si>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</si>
  <si>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</si>
  <si>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</si>
  <si>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</si>
  <si>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</si>
  <si>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</si>
  <si>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</si>
  <si>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</si>
  <si>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</si>
  <si>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</si>
  <si>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</si>
  <si>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</si>
  <si>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</si>
  <si>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</si>
  <si>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</si>
  <si>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</si>
  <si>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</si>
  <si>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</si>
  <si>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</si>
  <si>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</si>
  <si>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</si>
  <si>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</si>
  <si>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</si>
  <si>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</si>
  <si>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</si>
  <si>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</si>
  <si>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</si>
  <si>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</si>
  <si>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</si>
  <si>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</si>
  <si>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</si>
  <si>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</si>
  <si>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</si>
  <si>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</si>
  <si>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</si>
  <si>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</si>
  <si>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</si>
  <si>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</si>
  <si>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</si>
  <si>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</si>
  <si>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</si>
  <si>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</si>
  <si>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</si>
  <si>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</si>
  <si>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</si>
  <si>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</si>
  <si>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</si>
  <si>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</si>
  <si>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</si>
  <si>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</si>
  <si>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</si>
  <si>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</si>
  <si>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</si>
  <si>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</si>
  <si>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</si>
  <si>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</si>
  <si>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</si>
  <si>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9-503 수장공사</t>
    <phoneticPr fontId="11" type="noConversion"/>
  </si>
  <si>
    <t xml:space="preserve"> 견적일 : 2025년  01월  06일</t>
    <phoneticPr fontId="11" type="noConversion"/>
  </si>
  <si>
    <t> (재료비+노무비)*3.11%</t>
    <phoneticPr fontId="13" type="noConversion"/>
  </si>
  <si>
    <t>사택 9-503 수장공사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</si>
</sst>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34" fillId="0" borderId="15" xfId="3" applyFont="1" applyBorder="1" applyAlignment="1">
      <alignment horizontal="left" vertical="center"/>
    </xf>
    <xf numFmtId="178" fontId="34" fillId="0" borderId="15" xfId="5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7" t="s">
        <v>6</v>
      </c>
      <c r="B2" s="167"/>
      <c r="C2" s="167"/>
      <c r="D2" s="167"/>
      <c r="E2" s="167"/>
      <c r="F2" s="167"/>
      <c r="G2" s="167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64</v>
      </c>
      <c r="B5" s="7"/>
      <c r="C5" s="8"/>
      <c r="D5" s="5"/>
      <c r="E5" s="5"/>
      <c r="F5" s="9" t="s">
        <v>38</v>
      </c>
      <c r="G5" s="10" t="s">
        <v>68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69</v>
      </c>
      <c r="H6" s="5"/>
    </row>
    <row r="7" spans="1:9" ht="27" customHeight="1" x14ac:dyDescent="0.25">
      <c r="A7" s="170" t="s">
        <v>199</v>
      </c>
      <c r="B7" s="171"/>
      <c r="C7" s="172"/>
      <c r="D7" s="5"/>
      <c r="E7" s="13"/>
      <c r="F7" s="14" t="s">
        <v>42</v>
      </c>
      <c r="G7" s="12" t="s">
        <v>70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71</v>
      </c>
      <c r="H8" s="5"/>
    </row>
    <row r="9" spans="1:9" ht="27" customHeight="1" x14ac:dyDescent="0.25">
      <c r="A9" s="170" t="s">
        <v>200</v>
      </c>
      <c r="B9" s="171"/>
      <c r="C9" s="172"/>
      <c r="D9" s="5"/>
      <c r="E9" s="5"/>
      <c r="F9" s="11" t="s">
        <v>44</v>
      </c>
      <c r="G9" s="12" t="s">
        <v>72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73</v>
      </c>
      <c r="H10" s="5"/>
      <c r="I10" s="5"/>
    </row>
    <row r="11" spans="1:9" ht="27" customHeight="1" x14ac:dyDescent="0.25">
      <c r="A11" s="168"/>
      <c r="B11" s="169"/>
      <c r="C11" s="169"/>
      <c r="D11" s="5"/>
      <c r="E11" s="17"/>
      <c r="F11" s="18" t="s">
        <v>40</v>
      </c>
      <c r="G11" s="19" t="s">
        <v>74</v>
      </c>
      <c r="H11" s="17"/>
    </row>
    <row r="12" spans="1:9" ht="18.75" thickBot="1" x14ac:dyDescent="0.3">
      <c r="A12" s="20" t="s">
        <v>7</v>
      </c>
      <c r="B12" s="20" t="str">
        <f>NUMBERSTRING(F31,1)</f>
        <v>사백삼십이만오천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864769.42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2813946.66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3678716.08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126627.59970000001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65</v>
      </c>
      <c r="D22" s="49">
        <v>1</v>
      </c>
      <c r="E22" s="49" t="s">
        <v>25</v>
      </c>
      <c r="F22" s="50">
        <f>F17*3.545%</f>
        <v>99754.409097000011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66</v>
      </c>
      <c r="D23" s="33">
        <v>1</v>
      </c>
      <c r="E23" s="33" t="s">
        <v>25</v>
      </c>
      <c r="F23" s="46">
        <f>F22*12.95%</f>
        <v>12918.195978061502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28420.861266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67</v>
      </c>
      <c r="D25" s="33">
        <v>1</v>
      </c>
      <c r="E25" s="33" t="s">
        <v>25</v>
      </c>
      <c r="F25" s="46">
        <f>F17*3.56%</f>
        <v>100176.50109600001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165" t="s">
        <v>201</v>
      </c>
      <c r="D26" s="33">
        <v>1</v>
      </c>
      <c r="E26" s="33" t="s">
        <v>25</v>
      </c>
      <c r="F26" s="166">
        <f>(F16+F17)*3.11%</f>
        <v>114408.07008799999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164812.6148612531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647118.25208631461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4325834.3320863144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4325000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P44" sqref="P44"/>
    </sheetView>
  </sheetViews>
  <sheetFormatPr defaultColWidth="9" defaultRowHeight="12.75" x14ac:dyDescent="0.3"/>
  <cols>
    <col min="1" max="1" width="19.375" style="115" bestFit="1" customWidth="1"/>
    <col min="2" max="5" width="18.5" style="115" hidden="1" customWidth="1"/>
    <col min="6" max="6" width="60.25" style="82" hidden="1" customWidth="1"/>
    <col min="7" max="7" width="19.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6.37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5.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3"/>
      <c r="B1" s="173"/>
      <c r="C1" s="173"/>
      <c r="D1" s="173"/>
      <c r="E1" s="173"/>
      <c r="F1" s="173"/>
      <c r="G1" s="173"/>
      <c r="H1" s="173"/>
      <c r="I1" s="173"/>
      <c r="N1" s="83"/>
      <c r="O1" s="81" t="s">
        <v>179</v>
      </c>
      <c r="Q1" s="81" t="s">
        <v>179</v>
      </c>
      <c r="S1" s="81" t="s">
        <v>179</v>
      </c>
      <c r="U1" s="81" t="s">
        <v>179</v>
      </c>
    </row>
    <row r="2" spans="1:24" ht="19.899999999999999" customHeight="1" thickBot="1" x14ac:dyDescent="0.35">
      <c r="A2" s="173"/>
      <c r="B2" s="173"/>
      <c r="C2" s="173"/>
      <c r="D2" s="173"/>
      <c r="E2" s="173"/>
      <c r="F2" s="173"/>
      <c r="G2" s="173"/>
      <c r="H2" s="173"/>
      <c r="I2" s="173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180</v>
      </c>
      <c r="G3" s="87"/>
      <c r="H3" s="87"/>
      <c r="I3" s="87"/>
      <c r="J3" s="182" t="s">
        <v>181</v>
      </c>
      <c r="K3" s="182"/>
      <c r="L3" s="182" t="s">
        <v>51</v>
      </c>
      <c r="M3" s="182" t="s">
        <v>5</v>
      </c>
      <c r="N3" s="178" t="s">
        <v>182</v>
      </c>
      <c r="O3" s="178"/>
      <c r="P3" s="178" t="s">
        <v>183</v>
      </c>
      <c r="Q3" s="178"/>
      <c r="R3" s="179" t="s">
        <v>184</v>
      </c>
      <c r="S3" s="179"/>
      <c r="T3" s="179" t="s">
        <v>185</v>
      </c>
      <c r="U3" s="179"/>
      <c r="V3" s="180" t="s">
        <v>186</v>
      </c>
      <c r="W3" s="176" t="s">
        <v>187</v>
      </c>
      <c r="X3" s="174" t="s">
        <v>45</v>
      </c>
    </row>
    <row r="4" spans="1:24" ht="19.899999999999999" customHeight="1" x14ac:dyDescent="0.3">
      <c r="A4" s="88" t="s">
        <v>188</v>
      </c>
      <c r="B4" s="89"/>
      <c r="C4" s="89"/>
      <c r="D4" s="89"/>
      <c r="E4" s="89"/>
      <c r="F4" s="90" t="s">
        <v>189</v>
      </c>
      <c r="G4" s="90" t="s">
        <v>190</v>
      </c>
      <c r="H4" s="90" t="s">
        <v>191</v>
      </c>
      <c r="I4" s="90" t="s">
        <v>192</v>
      </c>
      <c r="J4" s="91" t="s">
        <v>193</v>
      </c>
      <c r="K4" s="91" t="s">
        <v>194</v>
      </c>
      <c r="L4" s="183"/>
      <c r="M4" s="183"/>
      <c r="N4" s="92" t="s">
        <v>195</v>
      </c>
      <c r="O4" s="93" t="s">
        <v>196</v>
      </c>
      <c r="P4" s="92" t="s">
        <v>197</v>
      </c>
      <c r="Q4" s="93" t="s">
        <v>196</v>
      </c>
      <c r="R4" s="93" t="s">
        <v>198</v>
      </c>
      <c r="S4" s="93" t="s">
        <v>196</v>
      </c>
      <c r="T4" s="93" t="s">
        <v>198</v>
      </c>
      <c r="U4" s="93" t="s">
        <v>196</v>
      </c>
      <c r="V4" s="181"/>
      <c r="W4" s="177"/>
      <c r="X4" s="175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131</v>
      </c>
      <c r="G5" s="96"/>
      <c r="H5" s="96"/>
      <c r="I5" s="97"/>
      <c r="J5" s="98" t="s">
        <v>132</v>
      </c>
      <c r="K5" s="98" t="s">
        <v>133</v>
      </c>
      <c r="L5" s="98" t="s">
        <v>134</v>
      </c>
      <c r="M5" s="99">
        <v>136</v>
      </c>
      <c r="N5" s="100"/>
      <c r="O5" s="101">
        <f t="shared" ref="O5:O17" si="1">SUM(N5:N5)*M5*$O$2</f>
        <v>0</v>
      </c>
      <c r="P5" s="148">
        <v>6691</v>
      </c>
      <c r="Q5" s="101">
        <f t="shared" ref="Q5:Q17" si="2">(P5*M5)*$Q$2</f>
        <v>759829.96</v>
      </c>
      <c r="R5" s="102"/>
      <c r="S5" s="101">
        <f t="shared" ref="S5:S17" si="3">R5*M5*$S$2</f>
        <v>0</v>
      </c>
      <c r="T5" s="102"/>
      <c r="U5" s="101">
        <f t="shared" ref="U5:U17" si="4">T5*M5*$U$2</f>
        <v>0</v>
      </c>
      <c r="V5" s="102">
        <f t="shared" ref="V5:V17" si="5">SUM(O5+Q5)+S5+U5</f>
        <v>759829.96</v>
      </c>
      <c r="W5" s="99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135</v>
      </c>
      <c r="G6" s="96"/>
      <c r="H6" s="96"/>
      <c r="I6" s="97"/>
      <c r="J6" s="98" t="s">
        <v>136</v>
      </c>
      <c r="K6" s="98" t="s">
        <v>133</v>
      </c>
      <c r="L6" s="98" t="s">
        <v>134</v>
      </c>
      <c r="M6" s="99">
        <v>62</v>
      </c>
      <c r="N6" s="100"/>
      <c r="O6" s="101">
        <f t="shared" si="1"/>
        <v>0</v>
      </c>
      <c r="P6" s="148">
        <v>8698</v>
      </c>
      <c r="Q6" s="101">
        <f t="shared" si="2"/>
        <v>450295.45999999996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450295.45999999996</v>
      </c>
      <c r="W6" s="99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137</v>
      </c>
      <c r="G7" s="96"/>
      <c r="H7" s="96"/>
      <c r="I7" s="97"/>
      <c r="J7" s="98" t="s">
        <v>138</v>
      </c>
      <c r="K7" s="98" t="s">
        <v>139</v>
      </c>
      <c r="L7" s="98" t="s">
        <v>134</v>
      </c>
      <c r="M7" s="99">
        <v>99</v>
      </c>
      <c r="N7" s="100"/>
      <c r="O7" s="101">
        <f t="shared" si="1"/>
        <v>0</v>
      </c>
      <c r="P7" s="148">
        <v>1618</v>
      </c>
      <c r="Q7" s="101">
        <f t="shared" si="2"/>
        <v>133751.97</v>
      </c>
      <c r="R7" s="102"/>
      <c r="S7" s="101">
        <f t="shared" si="3"/>
        <v>0</v>
      </c>
      <c r="T7" s="102"/>
      <c r="U7" s="101">
        <f t="shared" si="4"/>
        <v>0</v>
      </c>
      <c r="V7" s="102">
        <f t="shared" si="5"/>
        <v>133751.97</v>
      </c>
      <c r="W7" s="99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140</v>
      </c>
      <c r="G8" s="96"/>
      <c r="H8" s="96"/>
      <c r="I8" s="97"/>
      <c r="J8" s="98" t="s">
        <v>141</v>
      </c>
      <c r="K8" s="98" t="s">
        <v>142</v>
      </c>
      <c r="L8" s="98" t="s">
        <v>134</v>
      </c>
      <c r="M8" s="99">
        <v>43</v>
      </c>
      <c r="N8" s="100"/>
      <c r="O8" s="101">
        <f t="shared" si="1"/>
        <v>0</v>
      </c>
      <c r="P8" s="148">
        <v>4855</v>
      </c>
      <c r="Q8" s="101">
        <f t="shared" si="2"/>
        <v>174318.77499999999</v>
      </c>
      <c r="R8" s="102"/>
      <c r="S8" s="101">
        <f t="shared" si="3"/>
        <v>0</v>
      </c>
      <c r="T8" s="102"/>
      <c r="U8" s="101">
        <f t="shared" si="4"/>
        <v>0</v>
      </c>
      <c r="V8" s="102">
        <f t="shared" si="5"/>
        <v>174318.77499999999</v>
      </c>
      <c r="W8" s="99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143</v>
      </c>
      <c r="G9" s="96"/>
      <c r="H9" s="96"/>
      <c r="I9" s="97"/>
      <c r="J9" s="98" t="s">
        <v>144</v>
      </c>
      <c r="K9" s="98" t="s">
        <v>145</v>
      </c>
      <c r="L9" s="98" t="s">
        <v>134</v>
      </c>
      <c r="M9" s="99">
        <v>43</v>
      </c>
      <c r="N9" s="105"/>
      <c r="O9" s="101">
        <f t="shared" si="1"/>
        <v>0</v>
      </c>
      <c r="P9" s="148">
        <v>4453</v>
      </c>
      <c r="Q9" s="101">
        <f t="shared" si="2"/>
        <v>159884.965</v>
      </c>
      <c r="R9" s="102"/>
      <c r="S9" s="101">
        <f t="shared" si="3"/>
        <v>0</v>
      </c>
      <c r="T9" s="102"/>
      <c r="U9" s="101">
        <f t="shared" si="4"/>
        <v>0</v>
      </c>
      <c r="V9" s="102">
        <f t="shared" si="5"/>
        <v>159884.965</v>
      </c>
      <c r="W9" s="99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146</v>
      </c>
      <c r="G10" s="96"/>
      <c r="H10" s="96"/>
      <c r="I10" s="97"/>
      <c r="J10" s="98" t="s">
        <v>147</v>
      </c>
      <c r="K10" s="98" t="s">
        <v>148</v>
      </c>
      <c r="L10" s="98" t="s">
        <v>134</v>
      </c>
      <c r="M10" s="99">
        <v>48</v>
      </c>
      <c r="N10" s="148">
        <v>528</v>
      </c>
      <c r="O10" s="101">
        <f t="shared" si="1"/>
        <v>21162.239999999998</v>
      </c>
      <c r="P10" s="148">
        <v>10367</v>
      </c>
      <c r="Q10" s="101">
        <f t="shared" si="2"/>
        <v>415509.36</v>
      </c>
      <c r="R10" s="102"/>
      <c r="S10" s="101">
        <f t="shared" si="3"/>
        <v>0</v>
      </c>
      <c r="T10" s="102"/>
      <c r="U10" s="101">
        <f t="shared" si="4"/>
        <v>0</v>
      </c>
      <c r="V10" s="102">
        <f t="shared" si="5"/>
        <v>436671.6</v>
      </c>
      <c r="W10" s="99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149</v>
      </c>
      <c r="G11" s="96"/>
      <c r="H11" s="96"/>
      <c r="I11" s="97"/>
      <c r="J11" s="98" t="s">
        <v>150</v>
      </c>
      <c r="K11" s="98" t="s">
        <v>151</v>
      </c>
      <c r="L11" s="98" t="s">
        <v>134</v>
      </c>
      <c r="M11" s="99">
        <v>48</v>
      </c>
      <c r="N11" s="148">
        <v>461</v>
      </c>
      <c r="O11" s="101">
        <f t="shared" si="1"/>
        <v>18476.88</v>
      </c>
      <c r="P11" s="148">
        <v>6146</v>
      </c>
      <c r="Q11" s="101">
        <f t="shared" si="2"/>
        <v>246331.68</v>
      </c>
      <c r="R11" s="102"/>
      <c r="S11" s="101">
        <f t="shared" si="3"/>
        <v>0</v>
      </c>
      <c r="T11" s="102"/>
      <c r="U11" s="101">
        <f t="shared" si="4"/>
        <v>0</v>
      </c>
      <c r="V11" s="102">
        <f t="shared" si="5"/>
        <v>264808.56</v>
      </c>
      <c r="W11" s="99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152</v>
      </c>
      <c r="G12" s="96"/>
      <c r="H12" s="96"/>
      <c r="I12" s="97"/>
      <c r="J12" s="98" t="s">
        <v>153</v>
      </c>
      <c r="K12" s="98" t="s">
        <v>154</v>
      </c>
      <c r="L12" s="98" t="s">
        <v>134</v>
      </c>
      <c r="M12" s="99">
        <v>16</v>
      </c>
      <c r="N12" s="105"/>
      <c r="O12" s="101">
        <f t="shared" si="1"/>
        <v>0</v>
      </c>
      <c r="P12" s="148">
        <v>10426</v>
      </c>
      <c r="Q12" s="101">
        <f t="shared" si="2"/>
        <v>139291.35999999999</v>
      </c>
      <c r="R12" s="102"/>
      <c r="S12" s="101">
        <f t="shared" si="3"/>
        <v>0</v>
      </c>
      <c r="T12" s="102"/>
      <c r="U12" s="101">
        <f t="shared" si="4"/>
        <v>0</v>
      </c>
      <c r="V12" s="102">
        <f t="shared" si="5"/>
        <v>139291.35999999999</v>
      </c>
      <c r="W12" s="99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155</v>
      </c>
      <c r="G13" s="96"/>
      <c r="H13" s="96"/>
      <c r="I13" s="97"/>
      <c r="J13" s="98" t="s">
        <v>156</v>
      </c>
      <c r="K13" s="98" t="s">
        <v>157</v>
      </c>
      <c r="L13" s="98" t="s">
        <v>134</v>
      </c>
      <c r="M13" s="99">
        <v>16</v>
      </c>
      <c r="N13" s="148">
        <v>611</v>
      </c>
      <c r="O13" s="101">
        <f t="shared" si="1"/>
        <v>8162.96</v>
      </c>
      <c r="P13" s="148">
        <v>3735</v>
      </c>
      <c r="Q13" s="101">
        <f t="shared" si="2"/>
        <v>49899.6</v>
      </c>
      <c r="R13" s="102"/>
      <c r="S13" s="101">
        <f t="shared" si="3"/>
        <v>0</v>
      </c>
      <c r="T13" s="102"/>
      <c r="U13" s="101">
        <f t="shared" si="4"/>
        <v>0</v>
      </c>
      <c r="V13" s="102">
        <f t="shared" si="5"/>
        <v>58062.559999999998</v>
      </c>
      <c r="W13" s="99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152</v>
      </c>
      <c r="G14" s="96"/>
      <c r="H14" s="96"/>
      <c r="I14" s="97"/>
      <c r="J14" s="98" t="s">
        <v>153</v>
      </c>
      <c r="K14" s="98" t="s">
        <v>154</v>
      </c>
      <c r="L14" s="98" t="s">
        <v>134</v>
      </c>
      <c r="M14" s="99">
        <v>2</v>
      </c>
      <c r="N14" s="105"/>
      <c r="O14" s="101">
        <f t="shared" si="1"/>
        <v>0</v>
      </c>
      <c r="P14" s="148">
        <v>10426</v>
      </c>
      <c r="Q14" s="101">
        <f t="shared" si="2"/>
        <v>17411.419999999998</v>
      </c>
      <c r="R14" s="102"/>
      <c r="S14" s="101">
        <f t="shared" si="3"/>
        <v>0</v>
      </c>
      <c r="T14" s="102"/>
      <c r="U14" s="101">
        <f t="shared" si="4"/>
        <v>0</v>
      </c>
      <c r="V14" s="102">
        <f t="shared" si="5"/>
        <v>17411.419999999998</v>
      </c>
      <c r="W14" s="99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158</v>
      </c>
      <c r="G15" s="96"/>
      <c r="H15" s="96"/>
      <c r="I15" s="97"/>
      <c r="J15" s="98" t="s">
        <v>159</v>
      </c>
      <c r="K15" s="98" t="s">
        <v>157</v>
      </c>
      <c r="L15" s="98" t="s">
        <v>134</v>
      </c>
      <c r="M15" s="99">
        <v>2</v>
      </c>
      <c r="N15" s="148">
        <v>502</v>
      </c>
      <c r="O15" s="101">
        <f t="shared" si="1"/>
        <v>838.33999999999992</v>
      </c>
      <c r="P15" s="148">
        <v>3073</v>
      </c>
      <c r="Q15" s="101">
        <f t="shared" si="2"/>
        <v>5131.91</v>
      </c>
      <c r="R15" s="102"/>
      <c r="S15" s="101">
        <f t="shared" si="3"/>
        <v>0</v>
      </c>
      <c r="T15" s="102"/>
      <c r="U15" s="101">
        <f t="shared" si="4"/>
        <v>0</v>
      </c>
      <c r="V15" s="102">
        <f t="shared" si="5"/>
        <v>5970.25</v>
      </c>
      <c r="W15" s="99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49" t="s">
        <v>166</v>
      </c>
      <c r="I16" s="97"/>
      <c r="J16" s="107" t="s">
        <v>167</v>
      </c>
      <c r="K16" s="107" t="s">
        <v>168</v>
      </c>
      <c r="L16" s="98" t="s">
        <v>134</v>
      </c>
      <c r="M16" s="99">
        <v>43</v>
      </c>
      <c r="N16" s="150">
        <v>15000</v>
      </c>
      <c r="O16" s="101">
        <f t="shared" ref="O16" si="7">SUM(N16:N16)*M16*$O$2</f>
        <v>538575</v>
      </c>
      <c r="P16" s="106"/>
      <c r="Q16" s="101">
        <f t="shared" ref="Q16" si="8">(P16*M16)*$Q$2</f>
        <v>0</v>
      </c>
      <c r="R16" s="102"/>
      <c r="S16" s="101">
        <f t="shared" ref="S16" si="9">R16*M16*$S$2</f>
        <v>0</v>
      </c>
      <c r="T16" s="102"/>
      <c r="U16" s="101">
        <f t="shared" ref="U16" si="10">T16*M16*$U$2</f>
        <v>0</v>
      </c>
      <c r="V16" s="102">
        <f t="shared" ref="V16" si="11">SUM(O16+Q16)+S16+U16</f>
        <v>538575</v>
      </c>
      <c r="W16" s="99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49" t="s">
        <v>160</v>
      </c>
      <c r="I17" s="97"/>
      <c r="J17" s="107" t="s">
        <v>161</v>
      </c>
      <c r="K17" s="107" t="s">
        <v>162</v>
      </c>
      <c r="L17" s="107" t="s">
        <v>163</v>
      </c>
      <c r="M17" s="99">
        <v>5</v>
      </c>
      <c r="N17" s="150">
        <v>15000</v>
      </c>
      <c r="O17" s="101">
        <f t="shared" si="1"/>
        <v>62625</v>
      </c>
      <c r="P17" s="106"/>
      <c r="Q17" s="101">
        <f t="shared" si="2"/>
        <v>0</v>
      </c>
      <c r="R17" s="102"/>
      <c r="S17" s="101">
        <f t="shared" si="3"/>
        <v>0</v>
      </c>
      <c r="T17" s="102"/>
      <c r="U17" s="101">
        <f t="shared" si="4"/>
        <v>0</v>
      </c>
      <c r="V17" s="102">
        <f t="shared" si="5"/>
        <v>62625</v>
      </c>
      <c r="W17" s="99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164</v>
      </c>
      <c r="L18" s="98" t="s">
        <v>134</v>
      </c>
      <c r="M18" s="99">
        <v>198</v>
      </c>
      <c r="N18" s="100">
        <v>1300</v>
      </c>
      <c r="O18" s="101">
        <f t="shared" ref="O18:O20" si="12">SUM(N18:N18)*M18*$O$2</f>
        <v>214929</v>
      </c>
      <c r="P18" s="106"/>
      <c r="Q18" s="101">
        <f t="shared" ref="Q18:Q20" si="13">(P18*M18)*$Q$2</f>
        <v>0</v>
      </c>
      <c r="R18" s="102"/>
      <c r="S18" s="101">
        <f t="shared" ref="S18:S20" si="14">R18*M18*$S$2</f>
        <v>0</v>
      </c>
      <c r="T18" s="102"/>
      <c r="U18" s="101">
        <f t="shared" ref="U18:U20" si="15">T18*M18*$U$2</f>
        <v>0</v>
      </c>
      <c r="V18" s="102">
        <f t="shared" ref="V18:V20" si="16">SUM(O18+Q18)+S18+U18</f>
        <v>214929</v>
      </c>
      <c r="W18" s="99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165</v>
      </c>
      <c r="L19" s="98" t="s">
        <v>134</v>
      </c>
      <c r="M19" s="99">
        <v>40</v>
      </c>
      <c r="N19" s="100"/>
      <c r="O19" s="101">
        <f t="shared" si="12"/>
        <v>0</v>
      </c>
      <c r="P19" s="106">
        <v>7853</v>
      </c>
      <c r="Q19" s="101">
        <f t="shared" si="13"/>
        <v>262290.2</v>
      </c>
      <c r="R19" s="102"/>
      <c r="S19" s="101">
        <f t="shared" si="14"/>
        <v>0</v>
      </c>
      <c r="T19" s="102"/>
      <c r="U19" s="101">
        <f t="shared" si="15"/>
        <v>0</v>
      </c>
      <c r="V19" s="102">
        <f t="shared" si="16"/>
        <v>262290.2</v>
      </c>
      <c r="W19" s="99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1"/>
      <c r="K20" s="151"/>
      <c r="L20" s="152"/>
      <c r="M20" s="153"/>
      <c r="N20" s="100"/>
      <c r="O20" s="101">
        <f t="shared" si="12"/>
        <v>0</v>
      </c>
      <c r="P20" s="106"/>
      <c r="Q20" s="101">
        <f t="shared" si="13"/>
        <v>0</v>
      </c>
      <c r="R20" s="102"/>
      <c r="S20" s="101">
        <f t="shared" si="14"/>
        <v>0</v>
      </c>
      <c r="T20" s="102"/>
      <c r="U20" s="101">
        <f t="shared" si="15"/>
        <v>0</v>
      </c>
      <c r="V20" s="102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864769.42</v>
      </c>
      <c r="P21" s="112"/>
      <c r="Q21" s="111">
        <f>SUM(Q5:Q20)</f>
        <v>2813946.66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3678716.08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topLeftCell="A7" zoomScaleNormal="100" workbookViewId="0">
      <selection activeCell="H49" sqref="H4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86" t="s">
        <v>75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6" ht="12.95" customHeight="1" x14ac:dyDescent="0.3">
      <c r="A2" s="188" t="s">
        <v>76</v>
      </c>
      <c r="B2" s="189" t="s">
        <v>77</v>
      </c>
      <c r="C2" s="190" t="s">
        <v>51</v>
      </c>
      <c r="D2" s="190" t="s">
        <v>78</v>
      </c>
      <c r="E2" s="192" t="s">
        <v>79</v>
      </c>
      <c r="F2" s="189"/>
      <c r="G2" s="189" t="s">
        <v>80</v>
      </c>
      <c r="H2" s="189"/>
      <c r="I2" s="193" t="s">
        <v>81</v>
      </c>
      <c r="J2" s="194"/>
      <c r="K2" s="193" t="s">
        <v>82</v>
      </c>
      <c r="L2" s="194"/>
      <c r="M2" s="192" t="s">
        <v>83</v>
      </c>
      <c r="N2" s="189"/>
      <c r="O2" s="195" t="s">
        <v>84</v>
      </c>
    </row>
    <row r="3" spans="1:16" ht="12.95" customHeight="1" x14ac:dyDescent="0.3">
      <c r="A3" s="188"/>
      <c r="B3" s="189"/>
      <c r="C3" s="191"/>
      <c r="D3" s="191"/>
      <c r="E3" s="118" t="s">
        <v>85</v>
      </c>
      <c r="F3" s="118" t="s">
        <v>86</v>
      </c>
      <c r="G3" s="119" t="s">
        <v>85</v>
      </c>
      <c r="H3" s="118" t="s">
        <v>87</v>
      </c>
      <c r="I3" s="118"/>
      <c r="J3" s="118"/>
      <c r="K3" s="119" t="s">
        <v>85</v>
      </c>
      <c r="L3" s="118" t="s">
        <v>87</v>
      </c>
      <c r="M3" s="119" t="s">
        <v>85</v>
      </c>
      <c r="N3" s="118" t="s">
        <v>87</v>
      </c>
      <c r="O3" s="196"/>
    </row>
    <row r="4" spans="1:16" ht="12.95" customHeight="1" x14ac:dyDescent="0.3">
      <c r="A4" s="184" t="s">
        <v>202</v>
      </c>
      <c r="B4" s="185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200" t="s">
        <v>88</v>
      </c>
      <c r="B5" s="121" t="s">
        <v>89</v>
      </c>
      <c r="C5" s="122" t="s">
        <v>90</v>
      </c>
      <c r="D5" s="123">
        <v>40</v>
      </c>
      <c r="E5" s="124">
        <v>1086</v>
      </c>
      <c r="F5" s="125">
        <f t="shared" ref="F5:F12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197" t="s">
        <v>173</v>
      </c>
    </row>
    <row r="6" spans="1:16" ht="12.95" customHeight="1" x14ac:dyDescent="0.3">
      <c r="A6" s="201"/>
      <c r="B6" s="121" t="s">
        <v>91</v>
      </c>
      <c r="C6" s="122" t="s">
        <v>90</v>
      </c>
      <c r="D6" s="123">
        <v>24</v>
      </c>
      <c r="E6" s="124">
        <v>1086</v>
      </c>
      <c r="F6" s="125">
        <f t="shared" si="0"/>
        <v>26064</v>
      </c>
      <c r="G6" s="125">
        <v>7263</v>
      </c>
      <c r="H6" s="124">
        <f t="shared" si="1"/>
        <v>174312</v>
      </c>
      <c r="I6" s="124"/>
      <c r="J6" s="124"/>
      <c r="K6" s="125"/>
      <c r="L6" s="125"/>
      <c r="M6" s="125"/>
      <c r="N6" s="125">
        <f t="shared" ref="N6:N13" si="2">F6+H6+J6+L6</f>
        <v>200376</v>
      </c>
      <c r="O6" s="198"/>
    </row>
    <row r="7" spans="1:16" ht="12.95" customHeight="1" x14ac:dyDescent="0.3">
      <c r="A7" s="201"/>
      <c r="B7" s="121" t="s">
        <v>92</v>
      </c>
      <c r="C7" s="122" t="s">
        <v>90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si="2"/>
        <v>213536</v>
      </c>
      <c r="O7" s="198"/>
    </row>
    <row r="8" spans="1:16" ht="12.95" customHeight="1" x14ac:dyDescent="0.3">
      <c r="A8" s="201"/>
      <c r="B8" s="121" t="s">
        <v>93</v>
      </c>
      <c r="C8" s="122" t="s">
        <v>90</v>
      </c>
      <c r="D8" s="123">
        <v>16</v>
      </c>
      <c r="E8" s="124">
        <v>1086</v>
      </c>
      <c r="F8" s="125">
        <f t="shared" si="0"/>
        <v>17376</v>
      </c>
      <c r="G8" s="125">
        <v>7263</v>
      </c>
      <c r="H8" s="124">
        <f t="shared" si="1"/>
        <v>116208</v>
      </c>
      <c r="I8" s="124"/>
      <c r="J8" s="124"/>
      <c r="K8" s="125"/>
      <c r="L8" s="125"/>
      <c r="M8" s="125"/>
      <c r="N8" s="125">
        <f t="shared" si="2"/>
        <v>133584</v>
      </c>
      <c r="O8" s="198"/>
    </row>
    <row r="9" spans="1:16" ht="12.95" customHeight="1" x14ac:dyDescent="0.3">
      <c r="A9" s="201"/>
      <c r="B9" s="121" t="s">
        <v>94</v>
      </c>
      <c r="C9" s="122" t="s">
        <v>90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98"/>
    </row>
    <row r="10" spans="1:16" ht="12.95" customHeight="1" x14ac:dyDescent="0.3">
      <c r="A10" s="201"/>
      <c r="B10" s="121" t="s">
        <v>95</v>
      </c>
      <c r="C10" s="122" t="s">
        <v>90</v>
      </c>
      <c r="D10" s="123">
        <v>11</v>
      </c>
      <c r="E10" s="124">
        <v>1086</v>
      </c>
      <c r="F10" s="125">
        <f t="shared" si="0"/>
        <v>11946</v>
      </c>
      <c r="G10" s="125">
        <v>7263</v>
      </c>
      <c r="H10" s="124">
        <f t="shared" si="1"/>
        <v>79893</v>
      </c>
      <c r="I10" s="124"/>
      <c r="J10" s="124"/>
      <c r="K10" s="125"/>
      <c r="L10" s="125"/>
      <c r="M10" s="125"/>
      <c r="N10" s="125">
        <f t="shared" si="2"/>
        <v>91839</v>
      </c>
      <c r="O10" s="198"/>
    </row>
    <row r="11" spans="1:16" ht="12.95" customHeight="1" x14ac:dyDescent="0.3">
      <c r="A11" s="201"/>
      <c r="B11" s="121" t="s">
        <v>96</v>
      </c>
      <c r="C11" s="122" t="s">
        <v>90</v>
      </c>
      <c r="D11" s="123">
        <v>32</v>
      </c>
      <c r="E11" s="124">
        <v>1086</v>
      </c>
      <c r="F11" s="125">
        <f t="shared" si="0"/>
        <v>34752</v>
      </c>
      <c r="G11" s="125">
        <v>5587</v>
      </c>
      <c r="H11" s="124">
        <f t="shared" si="1"/>
        <v>178784</v>
      </c>
      <c r="I11" s="124"/>
      <c r="J11" s="124"/>
      <c r="K11" s="125"/>
      <c r="L11" s="125"/>
      <c r="M11" s="125"/>
      <c r="N11" s="125">
        <f t="shared" si="2"/>
        <v>213536</v>
      </c>
      <c r="O11" s="198"/>
    </row>
    <row r="12" spans="1:16" ht="12.95" customHeight="1" x14ac:dyDescent="0.3">
      <c r="A12" s="201"/>
      <c r="B12" s="121" t="s">
        <v>97</v>
      </c>
      <c r="C12" s="122" t="s">
        <v>90</v>
      </c>
      <c r="D12" s="126">
        <v>11</v>
      </c>
      <c r="E12" s="124">
        <v>1086</v>
      </c>
      <c r="F12" s="125">
        <f t="shared" si="0"/>
        <v>11946</v>
      </c>
      <c r="G12" s="125">
        <v>7263</v>
      </c>
      <c r="H12" s="124">
        <f t="shared" si="1"/>
        <v>79893</v>
      </c>
      <c r="I12" s="124"/>
      <c r="J12" s="124"/>
      <c r="K12" s="125"/>
      <c r="L12" s="125"/>
      <c r="M12" s="125"/>
      <c r="N12" s="125">
        <f t="shared" si="2"/>
        <v>91839</v>
      </c>
      <c r="O12" s="198"/>
    </row>
    <row r="13" spans="1:16" ht="12.95" customHeight="1" x14ac:dyDescent="0.3">
      <c r="A13" s="202"/>
      <c r="B13" s="121" t="s">
        <v>178</v>
      </c>
      <c r="C13" s="122" t="s">
        <v>90</v>
      </c>
      <c r="D13" s="126">
        <f>SUM(D5:D12)*50%</f>
        <v>99</v>
      </c>
      <c r="E13" s="124"/>
      <c r="F13" s="125"/>
      <c r="G13" s="125">
        <v>1351</v>
      </c>
      <c r="H13" s="124">
        <f t="shared" si="1"/>
        <v>133749</v>
      </c>
      <c r="I13" s="124"/>
      <c r="J13" s="124"/>
      <c r="K13" s="125"/>
      <c r="L13" s="125"/>
      <c r="M13" s="125"/>
      <c r="N13" s="125">
        <f t="shared" si="2"/>
        <v>133749</v>
      </c>
      <c r="O13" s="199"/>
    </row>
    <row r="14" spans="1:16" ht="12.95" customHeight="1" x14ac:dyDescent="0.3">
      <c r="A14" s="156" t="s">
        <v>98</v>
      </c>
      <c r="B14" s="127"/>
      <c r="C14" s="128"/>
      <c r="D14" s="129">
        <f>SUM(D5:D12)</f>
        <v>198</v>
      </c>
      <c r="E14" s="130"/>
      <c r="F14" s="130">
        <f>SUM(F5:F13)</f>
        <v>215028</v>
      </c>
      <c r="G14" s="130"/>
      <c r="H14" s="130">
        <f>SUM(H5:H13)</f>
        <v>1343887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1558915</v>
      </c>
      <c r="O14" s="130"/>
      <c r="P14" s="131"/>
    </row>
    <row r="15" spans="1:16" ht="12.95" customHeight="1" x14ac:dyDescent="0.3">
      <c r="A15" s="204" t="s">
        <v>99</v>
      </c>
      <c r="B15" s="121" t="s">
        <v>100</v>
      </c>
      <c r="C15" s="122" t="s">
        <v>90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197" t="s">
        <v>174</v>
      </c>
    </row>
    <row r="16" spans="1:16" ht="12.95" customHeight="1" x14ac:dyDescent="0.3">
      <c r="A16" s="205"/>
      <c r="B16" s="121" t="s">
        <v>101</v>
      </c>
      <c r="C16" s="122" t="s">
        <v>90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198"/>
    </row>
    <row r="17" spans="1:15" ht="12.95" customHeight="1" x14ac:dyDescent="0.3">
      <c r="A17" s="205"/>
      <c r="B17" s="121" t="s">
        <v>102</v>
      </c>
      <c r="C17" s="122" t="s">
        <v>90</v>
      </c>
      <c r="D17" s="132">
        <v>8</v>
      </c>
      <c r="E17" s="124"/>
      <c r="F17" s="124"/>
      <c r="G17" s="124">
        <v>4054</v>
      </c>
      <c r="H17" s="125">
        <f t="shared" si="3"/>
        <v>32432</v>
      </c>
      <c r="I17" s="124"/>
      <c r="J17" s="124"/>
      <c r="K17" s="124"/>
      <c r="L17" s="125"/>
      <c r="M17" s="124"/>
      <c r="N17" s="125">
        <f t="shared" si="4"/>
        <v>32432</v>
      </c>
      <c r="O17" s="198"/>
    </row>
    <row r="18" spans="1:15" ht="12.95" customHeight="1" x14ac:dyDescent="0.3">
      <c r="A18" s="205"/>
      <c r="B18" s="121" t="s">
        <v>103</v>
      </c>
      <c r="C18" s="122" t="s">
        <v>90</v>
      </c>
      <c r="D18" s="132">
        <v>12</v>
      </c>
      <c r="E18" s="124"/>
      <c r="F18" s="124"/>
      <c r="G18" s="124">
        <v>4054</v>
      </c>
      <c r="H18" s="125">
        <f t="shared" si="3"/>
        <v>48648</v>
      </c>
      <c r="I18" s="124"/>
      <c r="J18" s="124"/>
      <c r="K18" s="124"/>
      <c r="L18" s="125"/>
      <c r="M18" s="124"/>
      <c r="N18" s="125">
        <f t="shared" si="4"/>
        <v>48648</v>
      </c>
      <c r="O18" s="198"/>
    </row>
    <row r="19" spans="1:15" ht="12.95" customHeight="1" x14ac:dyDescent="0.3">
      <c r="A19" s="205"/>
      <c r="B19" s="121" t="s">
        <v>104</v>
      </c>
      <c r="C19" s="122" t="s">
        <v>105</v>
      </c>
      <c r="D19" s="132">
        <v>5</v>
      </c>
      <c r="E19" s="125">
        <v>12525</v>
      </c>
      <c r="F19" s="125">
        <f>D19*E19</f>
        <v>62625</v>
      </c>
      <c r="G19" s="124"/>
      <c r="H19" s="125"/>
      <c r="I19" s="125"/>
      <c r="J19" s="125"/>
      <c r="K19" s="124"/>
      <c r="L19" s="125"/>
      <c r="M19" s="124"/>
      <c r="N19" s="125">
        <f t="shared" si="4"/>
        <v>62625</v>
      </c>
      <c r="O19" s="198"/>
    </row>
    <row r="20" spans="1:15" ht="12.95" customHeight="1" x14ac:dyDescent="0.3">
      <c r="A20" s="205"/>
      <c r="B20" s="121" t="s">
        <v>106</v>
      </c>
      <c r="C20" s="122" t="s">
        <v>90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198"/>
    </row>
    <row r="21" spans="1:15" ht="12.95" customHeight="1" x14ac:dyDescent="0.3">
      <c r="A21" s="205"/>
      <c r="B21" s="121" t="s">
        <v>107</v>
      </c>
      <c r="C21" s="122" t="s">
        <v>90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198"/>
    </row>
    <row r="22" spans="1:15" ht="12.95" customHeight="1" x14ac:dyDescent="0.3">
      <c r="A22" s="205"/>
      <c r="B22" s="121" t="s">
        <v>108</v>
      </c>
      <c r="C22" s="122" t="s">
        <v>90</v>
      </c>
      <c r="D22" s="132">
        <v>8</v>
      </c>
      <c r="E22" s="125">
        <v>12525</v>
      </c>
      <c r="F22" s="125">
        <f>D22*E22</f>
        <v>100200</v>
      </c>
      <c r="G22" s="124">
        <v>3718</v>
      </c>
      <c r="H22" s="125">
        <f>D22*G22</f>
        <v>29744</v>
      </c>
      <c r="I22" s="125"/>
      <c r="J22" s="125"/>
      <c r="K22" s="124"/>
      <c r="L22" s="125"/>
      <c r="M22" s="124"/>
      <c r="N22" s="125">
        <f t="shared" si="4"/>
        <v>129944</v>
      </c>
      <c r="O22" s="198"/>
    </row>
    <row r="23" spans="1:15" ht="12.95" customHeight="1" x14ac:dyDescent="0.3">
      <c r="A23" s="206"/>
      <c r="B23" s="121" t="s">
        <v>109</v>
      </c>
      <c r="C23" s="122" t="s">
        <v>90</v>
      </c>
      <c r="D23" s="132">
        <v>12</v>
      </c>
      <c r="E23" s="125">
        <v>12525</v>
      </c>
      <c r="F23" s="125">
        <f>D23*E23</f>
        <v>150300</v>
      </c>
      <c r="G23" s="124">
        <v>3718</v>
      </c>
      <c r="H23" s="125">
        <f>D23*G23</f>
        <v>44616</v>
      </c>
      <c r="I23" s="125"/>
      <c r="J23" s="125"/>
      <c r="K23" s="124"/>
      <c r="L23" s="125"/>
      <c r="M23" s="124"/>
      <c r="N23" s="125">
        <f t="shared" si="4"/>
        <v>194916</v>
      </c>
      <c r="O23" s="199"/>
    </row>
    <row r="24" spans="1:15" ht="12.95" customHeight="1" x14ac:dyDescent="0.3">
      <c r="A24" s="156" t="s">
        <v>98</v>
      </c>
      <c r="B24" s="127"/>
      <c r="C24" s="133"/>
      <c r="D24" s="133">
        <f>SUM(D20:D23)</f>
        <v>43</v>
      </c>
      <c r="E24" s="130"/>
      <c r="F24" s="130">
        <f>SUM(F15:F23)</f>
        <v>601200</v>
      </c>
      <c r="G24" s="130"/>
      <c r="H24" s="130">
        <f>SUM(H15:H23)</f>
        <v>334196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935396</v>
      </c>
      <c r="O24" s="130"/>
    </row>
    <row r="25" spans="1:15" ht="12.95" customHeight="1" x14ac:dyDescent="0.3">
      <c r="A25" s="154" t="s">
        <v>110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203" t="s">
        <v>111</v>
      </c>
      <c r="B26" s="134" t="s">
        <v>112</v>
      </c>
      <c r="C26" s="135" t="s">
        <v>90</v>
      </c>
      <c r="D26" s="136">
        <v>24</v>
      </c>
      <c r="E26" s="124">
        <v>441</v>
      </c>
      <c r="F26" s="124">
        <f>D26*E26</f>
        <v>10584</v>
      </c>
      <c r="G26" s="124">
        <v>8656</v>
      </c>
      <c r="H26" s="124">
        <f t="shared" ref="H26:H31" si="5">D26*G26</f>
        <v>207744</v>
      </c>
      <c r="I26" s="124"/>
      <c r="J26" s="124"/>
      <c r="K26" s="124"/>
      <c r="L26" s="125"/>
      <c r="M26" s="124"/>
      <c r="N26" s="125">
        <f t="shared" ref="N26:N33" si="6">F26+H26+J26+L26</f>
        <v>218328</v>
      </c>
      <c r="O26" s="197"/>
    </row>
    <row r="27" spans="1:15" ht="12.95" customHeight="1" x14ac:dyDescent="0.3">
      <c r="A27" s="203"/>
      <c r="B27" s="134" t="s">
        <v>113</v>
      </c>
      <c r="C27" s="135" t="s">
        <v>90</v>
      </c>
      <c r="D27" s="136">
        <v>24</v>
      </c>
      <c r="E27" s="124">
        <v>385</v>
      </c>
      <c r="F27" s="124">
        <f t="shared" ref="F27:F33" si="7">D27*E27</f>
        <v>9240</v>
      </c>
      <c r="G27" s="124">
        <v>5132</v>
      </c>
      <c r="H27" s="124">
        <f t="shared" si="5"/>
        <v>123168</v>
      </c>
      <c r="I27" s="124"/>
      <c r="J27" s="124"/>
      <c r="K27" s="124"/>
      <c r="L27" s="125"/>
      <c r="M27" s="124"/>
      <c r="N27" s="125">
        <f t="shared" si="6"/>
        <v>132408</v>
      </c>
      <c r="O27" s="198"/>
    </row>
    <row r="28" spans="1:15" ht="12.95" customHeight="1" x14ac:dyDescent="0.3">
      <c r="A28" s="203" t="s">
        <v>114</v>
      </c>
      <c r="B28" s="134" t="s">
        <v>112</v>
      </c>
      <c r="C28" s="135" t="s">
        <v>90</v>
      </c>
      <c r="D28" s="136">
        <v>24</v>
      </c>
      <c r="E28" s="124">
        <v>441</v>
      </c>
      <c r="F28" s="124">
        <f>D28*E28</f>
        <v>10584</v>
      </c>
      <c r="G28" s="124">
        <v>8656</v>
      </c>
      <c r="H28" s="124">
        <f t="shared" si="5"/>
        <v>207744</v>
      </c>
      <c r="I28" s="124"/>
      <c r="J28" s="124"/>
      <c r="K28" s="124"/>
      <c r="L28" s="125"/>
      <c r="M28" s="124"/>
      <c r="N28" s="125">
        <f t="shared" si="6"/>
        <v>218328</v>
      </c>
      <c r="O28" s="198"/>
    </row>
    <row r="29" spans="1:15" ht="12.95" customHeight="1" x14ac:dyDescent="0.3">
      <c r="A29" s="203"/>
      <c r="B29" s="134" t="s">
        <v>113</v>
      </c>
      <c r="C29" s="135" t="s">
        <v>90</v>
      </c>
      <c r="D29" s="136">
        <v>24</v>
      </c>
      <c r="E29" s="124">
        <v>385</v>
      </c>
      <c r="F29" s="124">
        <f t="shared" ref="F29:F31" si="8">D29*E29</f>
        <v>9240</v>
      </c>
      <c r="G29" s="124">
        <v>5132</v>
      </c>
      <c r="H29" s="124">
        <f t="shared" si="5"/>
        <v>123168</v>
      </c>
      <c r="I29" s="124"/>
      <c r="J29" s="124"/>
      <c r="K29" s="124"/>
      <c r="L29" s="125"/>
      <c r="M29" s="124"/>
      <c r="N29" s="125">
        <f t="shared" si="6"/>
        <v>132408</v>
      </c>
      <c r="O29" s="198"/>
    </row>
    <row r="30" spans="1:15" ht="12.95" customHeight="1" x14ac:dyDescent="0.3">
      <c r="A30" s="203" t="s">
        <v>115</v>
      </c>
      <c r="B30" s="134" t="s">
        <v>116</v>
      </c>
      <c r="C30" s="135" t="s">
        <v>90</v>
      </c>
      <c r="D30" s="136">
        <v>16</v>
      </c>
      <c r="E30" s="124"/>
      <c r="F30" s="124">
        <f t="shared" si="7"/>
        <v>0</v>
      </c>
      <c r="G30" s="124">
        <v>8706</v>
      </c>
      <c r="H30" s="124">
        <f t="shared" si="5"/>
        <v>139296</v>
      </c>
      <c r="I30" s="124"/>
      <c r="J30" s="124"/>
      <c r="K30" s="124"/>
      <c r="L30" s="125"/>
      <c r="M30" s="124"/>
      <c r="N30" s="125">
        <f t="shared" si="6"/>
        <v>139296</v>
      </c>
      <c r="O30" s="198"/>
    </row>
    <row r="31" spans="1:15" ht="12.95" customHeight="1" x14ac:dyDescent="0.3">
      <c r="A31" s="203"/>
      <c r="B31" s="134" t="s">
        <v>117</v>
      </c>
      <c r="C31" s="135" t="s">
        <v>90</v>
      </c>
      <c r="D31" s="136">
        <v>16</v>
      </c>
      <c r="E31" s="124">
        <v>510</v>
      </c>
      <c r="F31" s="124">
        <f t="shared" si="8"/>
        <v>8160</v>
      </c>
      <c r="G31" s="124">
        <v>3119</v>
      </c>
      <c r="H31" s="124">
        <f t="shared" si="5"/>
        <v>49904</v>
      </c>
      <c r="I31" s="124"/>
      <c r="J31" s="124"/>
      <c r="K31" s="124"/>
      <c r="L31" s="125"/>
      <c r="M31" s="124"/>
      <c r="N31" s="125">
        <f t="shared" si="6"/>
        <v>58064</v>
      </c>
      <c r="O31" s="198"/>
    </row>
    <row r="32" spans="1:15" ht="12.95" customHeight="1" x14ac:dyDescent="0.3">
      <c r="A32" s="203" t="s">
        <v>118</v>
      </c>
      <c r="B32" s="134" t="s">
        <v>116</v>
      </c>
      <c r="C32" s="135" t="s">
        <v>90</v>
      </c>
      <c r="D32" s="136">
        <v>2</v>
      </c>
      <c r="E32" s="124"/>
      <c r="F32" s="124">
        <f t="shared" si="7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6"/>
        <v>17412</v>
      </c>
      <c r="O32" s="198"/>
    </row>
    <row r="33" spans="1:15" ht="12.95" customHeight="1" x14ac:dyDescent="0.3">
      <c r="A33" s="203"/>
      <c r="B33" s="134" t="s">
        <v>119</v>
      </c>
      <c r="C33" s="135" t="s">
        <v>90</v>
      </c>
      <c r="D33" s="136">
        <v>2</v>
      </c>
      <c r="E33" s="124">
        <v>419</v>
      </c>
      <c r="F33" s="124">
        <f t="shared" si="7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6"/>
        <v>5970</v>
      </c>
      <c r="O33" s="199"/>
    </row>
    <row r="34" spans="1:15" ht="12.95" customHeight="1" x14ac:dyDescent="0.3">
      <c r="A34" s="156" t="s">
        <v>98</v>
      </c>
      <c r="B34" s="137"/>
      <c r="C34" s="138"/>
      <c r="D34" s="129"/>
      <c r="E34" s="130"/>
      <c r="F34" s="130">
        <f>SUM(F25:F33)</f>
        <v>48646</v>
      </c>
      <c r="G34" s="130"/>
      <c r="H34" s="130">
        <f>SUM(H25:H33)</f>
        <v>873568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922214</v>
      </c>
      <c r="O34" s="130"/>
    </row>
    <row r="35" spans="1:15" ht="12.95" customHeight="1" x14ac:dyDescent="0.3">
      <c r="A35" s="155" t="s">
        <v>120</v>
      </c>
      <c r="B35" s="121" t="s">
        <v>121</v>
      </c>
      <c r="C35" s="122" t="s">
        <v>90</v>
      </c>
      <c r="D35" s="139">
        <v>40</v>
      </c>
      <c r="E35" s="125"/>
      <c r="F35" s="125"/>
      <c r="G35" s="124">
        <v>6557</v>
      </c>
      <c r="H35" s="125">
        <f>D35*G35</f>
        <v>262280</v>
      </c>
      <c r="I35" s="125"/>
      <c r="J35" s="125"/>
      <c r="K35" s="125"/>
      <c r="L35" s="125"/>
      <c r="M35" s="125"/>
      <c r="N35" s="125">
        <f>F35+H35+J35+L35</f>
        <v>262280</v>
      </c>
      <c r="O35" s="140" t="s">
        <v>172</v>
      </c>
    </row>
    <row r="36" spans="1:15" ht="12.95" customHeight="1" x14ac:dyDescent="0.3">
      <c r="A36" s="157" t="s">
        <v>98</v>
      </c>
      <c r="B36" s="127"/>
      <c r="C36" s="128"/>
      <c r="D36" s="141"/>
      <c r="E36" s="142"/>
      <c r="F36" s="142"/>
      <c r="G36" s="142"/>
      <c r="H36" s="130">
        <f>SUM(H35:H35)</f>
        <v>262280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262280</v>
      </c>
      <c r="O36" s="142"/>
    </row>
    <row r="37" spans="1:15" ht="12.95" customHeight="1" x14ac:dyDescent="0.3">
      <c r="A37" s="158" t="s">
        <v>122</v>
      </c>
      <c r="B37" s="143"/>
      <c r="C37" s="144"/>
      <c r="D37" s="145"/>
      <c r="E37" s="146"/>
      <c r="F37" s="146">
        <f>F14+F24+F34+F36</f>
        <v>864874</v>
      </c>
      <c r="G37" s="146"/>
      <c r="H37" s="146">
        <f>H14+H24+H34+H36</f>
        <v>2813931</v>
      </c>
      <c r="I37" s="146"/>
      <c r="J37" s="146" t="e">
        <f>J15+J24+J34+J36+#REF!+#REF!+#REF!+#REF!+#REF!</f>
        <v>#REF!</v>
      </c>
      <c r="K37" s="146"/>
      <c r="L37" s="146"/>
      <c r="M37" s="146"/>
      <c r="N37" s="146">
        <f>N14+N24+N34+N36</f>
        <v>3678805</v>
      </c>
      <c r="O37" s="146"/>
    </row>
  </sheetData>
  <mergeCells count="21"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7" t="s">
        <v>123</v>
      </c>
      <c r="B2" s="207"/>
      <c r="G2" s="69"/>
      <c r="L2" s="69"/>
      <c r="N2" s="69"/>
      <c r="O2" s="70"/>
      <c r="P2" s="70"/>
    </row>
    <row r="3" spans="1:16" s="68" customFormat="1" x14ac:dyDescent="0.3">
      <c r="A3" s="71" t="s">
        <v>124</v>
      </c>
      <c r="B3" s="72" t="s">
        <v>125</v>
      </c>
      <c r="C3" s="72" t="s">
        <v>126</v>
      </c>
      <c r="D3" s="72" t="s">
        <v>127</v>
      </c>
      <c r="E3" s="73" t="s">
        <v>128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129</v>
      </c>
      <c r="C4" s="75" t="s">
        <v>130</v>
      </c>
      <c r="D4" s="76">
        <v>1300</v>
      </c>
      <c r="E4" s="77" t="s">
        <v>177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C9" sqref="C9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47</v>
      </c>
      <c r="B1" s="162" t="s">
        <v>48</v>
      </c>
      <c r="C1" s="162" t="s">
        <v>49</v>
      </c>
      <c r="D1" s="162" t="s">
        <v>50</v>
      </c>
      <c r="E1" s="162" t="s">
        <v>51</v>
      </c>
      <c r="F1" s="162" t="s">
        <v>5</v>
      </c>
      <c r="G1" s="162" t="s">
        <v>52</v>
      </c>
      <c r="H1" s="162" t="s">
        <v>53</v>
      </c>
      <c r="I1" s="162" t="s">
        <v>54</v>
      </c>
      <c r="J1" s="162" t="s">
        <v>55</v>
      </c>
      <c r="K1" s="162" t="s">
        <v>56</v>
      </c>
      <c r="L1" s="162" t="s">
        <v>57</v>
      </c>
      <c r="M1" s="162" t="s">
        <v>58</v>
      </c>
      <c r="N1" s="162" t="s">
        <v>59</v>
      </c>
      <c r="O1" s="162" t="s">
        <v>60</v>
      </c>
      <c r="P1" s="162" t="s">
        <v>61</v>
      </c>
      <c r="Q1" s="162" t="s">
        <v>62</v>
      </c>
      <c r="R1" s="162" t="s">
        <v>63</v>
      </c>
    </row>
    <row r="2" spans="1:18" x14ac:dyDescent="0.3">
      <c r="A2" s="83">
        <v>999999</v>
      </c>
      <c r="B2" s="82" t="s">
        <v>169</v>
      </c>
      <c r="C2" s="83" t="s">
        <v>176</v>
      </c>
      <c r="D2" s="83" t="s">
        <v>175</v>
      </c>
      <c r="E2" s="83" t="s">
        <v>134</v>
      </c>
      <c r="F2" s="159">
        <v>198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169</v>
      </c>
      <c r="C3" s="83" t="s">
        <v>171</v>
      </c>
      <c r="D3" s="83" t="s">
        <v>170</v>
      </c>
      <c r="E3" s="83" t="s">
        <v>134</v>
      </c>
      <c r="F3" s="159">
        <v>40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G31" sqref="G31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136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62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99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43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43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48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48</v>
      </c>
    </row>
    <row r="9" spans="1:6" x14ac:dyDescent="0.3">
      <c r="A9" s="163" t="str">
        <f>'내역서(표준단가)'!A12</f>
        <v>D02830</v>
      </c>
      <c r="B9" s="164" t="str">
        <f>'내역서(표준단가)'!F12</f>
        <v>D02830</v>
      </c>
      <c r="C9" s="164">
        <f>'내역서(표준단가)'!G12</f>
        <v>0</v>
      </c>
      <c r="D9" s="164">
        <f>'내역서(표준단가)'!H12</f>
        <v>0</v>
      </c>
      <c r="E9" s="164">
        <f>'내역서(표준단가)'!I12</f>
        <v>0</v>
      </c>
      <c r="F9" s="164">
        <f>'내역서(표준단가)'!M12</f>
        <v>16</v>
      </c>
    </row>
    <row r="10" spans="1:6" x14ac:dyDescent="0.3">
      <c r="A10" s="163" t="str">
        <f>'내역서(표준단가)'!A13</f>
        <v>D02836</v>
      </c>
      <c r="B10" s="164" t="str">
        <f>'내역서(표준단가)'!F13</f>
        <v>D02836</v>
      </c>
      <c r="C10" s="164">
        <f>'내역서(표준단가)'!G13</f>
        <v>0</v>
      </c>
      <c r="D10" s="164">
        <f>'내역서(표준단가)'!H13</f>
        <v>0</v>
      </c>
      <c r="E10" s="164">
        <f>'내역서(표준단가)'!I13</f>
        <v>0</v>
      </c>
      <c r="F10" s="164">
        <f>'내역서(표준단가)'!M13</f>
        <v>16</v>
      </c>
    </row>
    <row r="11" spans="1:6" x14ac:dyDescent="0.3">
      <c r="A11" s="163" t="str">
        <f>'내역서(표준단가)'!A14</f>
        <v>D02830</v>
      </c>
      <c r="B11" s="164" t="str">
        <f>'내역서(표준단가)'!F14</f>
        <v>D02830</v>
      </c>
      <c r="C11" s="164">
        <f>'내역서(표준단가)'!G14</f>
        <v>0</v>
      </c>
      <c r="D11" s="164">
        <f>'내역서(표준단가)'!H14</f>
        <v>0</v>
      </c>
      <c r="E11" s="164">
        <f>'내역서(표준단가)'!I14</f>
        <v>0</v>
      </c>
      <c r="F11" s="164">
        <f>'내역서(표준단가)'!M14</f>
        <v>2</v>
      </c>
    </row>
    <row r="12" spans="1:6" x14ac:dyDescent="0.3">
      <c r="A12" s="163" t="str">
        <f>'내역서(표준단가)'!A15</f>
        <v>D02835</v>
      </c>
      <c r="B12" s="164" t="str">
        <f>'내역서(표준단가)'!F15</f>
        <v>D02835</v>
      </c>
      <c r="C12" s="164">
        <f>'내역서(표준단가)'!G15</f>
        <v>0</v>
      </c>
      <c r="D12" s="164">
        <f>'내역서(표준단가)'!H15</f>
        <v>0</v>
      </c>
      <c r="E12" s="164">
        <f>'내역서(표준단가)'!I15</f>
        <v>0</v>
      </c>
      <c r="F12" s="164">
        <f>'내역서(표준단가)'!M15</f>
        <v>2</v>
      </c>
    </row>
    <row r="13" spans="1:6" x14ac:dyDescent="0.3">
      <c r="A13" s="163" t="str">
        <f>'내역서(표준단가)'!A16</f>
        <v>M012003400500101</v>
      </c>
      <c r="B13" s="164">
        <f>'내역서(표준단가)'!F16</f>
        <v>0</v>
      </c>
      <c r="C13" s="164">
        <f>'내역서(표준단가)'!G16</f>
        <v>0</v>
      </c>
      <c r="D13" s="164" t="str">
        <f>'내역서(표준단가)'!H16</f>
        <v>M012003400500101</v>
      </c>
      <c r="E13" s="164">
        <f>'내역서(표준단가)'!I16</f>
        <v>0</v>
      </c>
      <c r="F13" s="164">
        <f>'내역서(표준단가)'!M16</f>
        <v>43</v>
      </c>
    </row>
    <row r="14" spans="1:6" x14ac:dyDescent="0.3">
      <c r="A14" s="163" t="str">
        <f>'내역서(표준단가)'!A17</f>
        <v>M010602702400101</v>
      </c>
      <c r="B14" s="164">
        <f>'내역서(표준단가)'!F17</f>
        <v>0</v>
      </c>
      <c r="C14" s="164">
        <f>'내역서(표준단가)'!G17</f>
        <v>0</v>
      </c>
      <c r="D14" s="164" t="str">
        <f>'내역서(표준단가)'!H17</f>
        <v>M010602702400101</v>
      </c>
      <c r="E14" s="164">
        <f>'내역서(표준단가)'!I17</f>
        <v>0</v>
      </c>
      <c r="F14" s="164">
        <f>'내역서(표준단가)'!M17</f>
        <v>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2025-02-06T06:40:21Z</dcterms:modified>
</cp:coreProperties>
</file>
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2 화학\01 ★중대★ 사택 1동 2라인-6라인 지붕 누수점검\02 중대위험\01 사전품의\01 유첨\"/>
    </mc:Choice>
  </mc:AlternateContent>
  <xr:revisionPtr revIDLastSave="0" documentId="13_ncr:1_{93F10245-BB15-4108-A8EC-5A5AE3163389}" xr6:coauthVersionLast="47" xr6:coauthVersionMax="47" xr10:uidLastSave="{00000000-0000-0000-0000-000000000000}"/>
  <bookViews>
    <workbookView xWindow="-45" yWindow="0" windowWidth="14490" windowHeight="15525" activeTab="1" xr2:uid="{00000000-000D-0000-FFFF-FFFF00000000}"/>
  </bookViews>
  <sheets>
    <sheet name="2-1)스카이(고소작업차)" sheetId="13" r:id="rId1"/>
    <sheet name="9)4m이상 고소작업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[1]수리결과!#REF!</definedName>
    <definedName name="_KEY2" localSheetId="1" hidden="1">[1]수리결과!#REF!</definedName>
    <definedName name="_KEY2" hidden="1">[1]수리결과!#REF!</definedName>
    <definedName name="_Order1" hidden="1">255</definedName>
    <definedName name="_Order2" hidden="1">0</definedName>
    <definedName name="_Sort" localSheetId="0" hidden="1">#REF!</definedName>
    <definedName name="_Sort" localSheetId="1" hidden="1">#REF!</definedName>
    <definedName name="_Sort" hidden="1">#REF!</definedName>
    <definedName name="ddd" localSheetId="0" hidden="1">#REF!</definedName>
    <definedName name="ddd" localSheetId="1" hidden="1">#REF!</definedName>
    <definedName name="ddd" hidden="1">#REF!</definedName>
    <definedName name="dsd" localSheetId="0" hidden="1">#REF!</definedName>
    <definedName name="dsd" localSheetId="1" hidden="1">#REF!</definedName>
    <definedName name="dsd" hidden="1">#REF!</definedName>
    <definedName name="RRR" hidden="1">[2]울산시산표!$G$1:$G$1019</definedName>
    <definedName name="갑지" localSheetId="0" hidden="1">#REF!</definedName>
    <definedName name="갑지" localSheetId="1" hidden="1">#REF!</definedName>
    <definedName name="갑지" hidden="1">#REF!</definedName>
    <definedName name="갑지2" localSheetId="0" hidden="1">#REF!</definedName>
    <definedName name="갑지2" localSheetId="1" hidden="1">#REF!</definedName>
    <definedName name="갑지2" hidden="1">#REF!</definedName>
    <definedName name="ㅁㄴㅇㄴㅁㄴㅇ" localSheetId="0" hidden="1">[1]수리결과!#REF!</definedName>
    <definedName name="ㅁㄴㅇㄴㅁㄴㅇ" localSheetId="1" hidden="1">[1]수리결과!#REF!</definedName>
    <definedName name="ㅁㄴㅇㄴㅁㄴㅇ" hidden="1">[1]수리결과!#REF!</definedName>
    <definedName name="보증일반환산" localSheetId="0" hidden="1">[3]수리결과!#REF!</definedName>
    <definedName name="보증일반환산" localSheetId="1" hidden="1">[3]수리결과!#REF!</definedName>
    <definedName name="보증일반환산" hidden="1">[3]수리결과!#REF!</definedName>
    <definedName name="양싲ㄱㅈ" localSheetId="0" hidden="1">#REF!</definedName>
    <definedName name="양싲ㄱㅈ" localSheetId="1" hidden="1">#REF!</definedName>
    <definedName name="양싲ㄱㅈ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4" l="1"/>
  <c r="L9" i="14"/>
  <c r="H10" i="14"/>
  <c r="H9" i="14"/>
  <c r="L8" i="14" l="1"/>
  <c r="H8" i="14"/>
  <c r="L7" i="14"/>
  <c r="H7" i="14"/>
  <c r="L17" i="13"/>
  <c r="H17" i="13"/>
  <c r="L16" i="13"/>
  <c r="H16" i="13"/>
  <c r="L15" i="13"/>
  <c r="H15" i="13"/>
  <c r="L14" i="13"/>
  <c r="H14" i="13"/>
  <c r="L13" i="13"/>
  <c r="H13" i="13"/>
  <c r="L12" i="13"/>
  <c r="H12" i="13"/>
  <c r="L11" i="13"/>
  <c r="H11" i="13"/>
  <c r="L10" i="13"/>
  <c r="H10" i="13"/>
  <c r="L9" i="13"/>
  <c r="H9" i="13"/>
  <c r="L8" i="13"/>
  <c r="H8" i="13"/>
  <c r="L7" i="13"/>
  <c r="H7" i="13"/>
</calcChain>
</file>

<file path=xl/sharedStrings.xml><?xml version="1.0" encoding="utf-8"?>
<sst xmlns="http://schemas.openxmlformats.org/spreadsheetml/2006/main" count="84" uniqueCount="54">
  <si>
    <t>세부작업</t>
    <phoneticPr fontId="1" type="noConversion"/>
  </si>
  <si>
    <t>빈도</t>
    <phoneticPr fontId="1" type="noConversion"/>
  </si>
  <si>
    <t>강도</t>
    <phoneticPr fontId="1" type="noConversion"/>
  </si>
  <si>
    <t>개선대책 및 관리계획</t>
    <phoneticPr fontId="1" type="noConversion"/>
  </si>
  <si>
    <t>구분</t>
    <phoneticPr fontId="1" type="noConversion"/>
  </si>
  <si>
    <t>현장별 특성 반영</t>
    <phoneticPr fontId="1" type="noConversion"/>
  </si>
  <si>
    <t>◆ 중대위험작업 위험성평가표</t>
    <phoneticPr fontId="1" type="noConversion"/>
  </si>
  <si>
    <t>등급</t>
    <phoneticPr fontId="1" type="noConversion"/>
  </si>
  <si>
    <t>유해위험요인</t>
    <phoneticPr fontId="1" type="noConversion"/>
  </si>
  <si>
    <t>위험분류</t>
    <phoneticPr fontId="1" type="noConversion"/>
  </si>
  <si>
    <t>개선 후</t>
    <phoneticPr fontId="1" type="noConversion"/>
  </si>
  <si>
    <t>개선 전</t>
    <phoneticPr fontId="1" type="noConversion"/>
  </si>
  <si>
    <t>유해위험요인 파악</t>
    <phoneticPr fontId="1" type="noConversion"/>
  </si>
  <si>
    <t>스카이 (고소작업차)</t>
    <phoneticPr fontId="1" type="noConversion"/>
  </si>
  <si>
    <t>스카이
(고소작업차)</t>
    <phoneticPr fontId="1" type="noConversion"/>
  </si>
  <si>
    <t>스카이
(고소작업차)
작업</t>
    <phoneticPr fontId="1" type="noConversion"/>
  </si>
  <si>
    <t>추락</t>
    <phoneticPr fontId="1" type="noConversion"/>
  </si>
  <si>
    <t>고소작업차 (스카이) 붐 상승 상태에서 이동하다 균형을 잃고 전도되어 탑승 작업자 추락 및 주위 작업자 협착 위험</t>
  </si>
  <si>
    <t>고소작업차 (스카이) 붐 상승 상태에서 이동 금지, 반드시 붐이 완전히 하강된 후 이동 실시</t>
  </si>
  <si>
    <t>추락</t>
  </si>
  <si>
    <t>고소작업차 (스카이) 작업 시 안전난간대를 밟고 작업 중 균형을 잃고 추락 위험</t>
  </si>
  <si>
    <t>고소작업차 (스카이) 작업 시  바스켓 내에서만 작업 실시
안전난간대 밟고 작업 금지(안전난간을 밟아야 할 경우 관리감독자와 상의하여 다른 작업방법을 찾도록 함)</t>
  </si>
  <si>
    <t>고소작업차 (스카이) 허용 작업반경 초과로 장비가 전도되어 작업자 추락 및 하부 작업자 협착 위험</t>
  </si>
  <si>
    <t>작업반경 제어장치가 장착된 고소작업차 (스카이) 사용하고, 
고소작업차 (스카이) 조종석 안전 모니터링 장치 작동상태 확인</t>
  </si>
  <si>
    <t>고소작업차 (스카이) 아웃트리거 설치 불량으로 장비가 전도되어 작업자 추락 및 하부 작업자 협착 위험</t>
  </si>
  <si>
    <t>고소작업차 (스카이) 사용 전 아웃트리거 정상작동 여부 점검 실시 및 하부에는 침하방지 조치 실시, 아웃트리거가 설치된 반경에 바리케이드를 설치하여 작업자 출입통제 실시</t>
  </si>
  <si>
    <t>고소작업차 (스카이) 붐대를 연장한 상태로 주행하다 전도되어 작업자 추락 및 하부 작업자 협착 위험</t>
  </si>
  <si>
    <t>고소작업차 (스카이) 붐을 상승시킨 상태에서 작업자를 태우고 이동하는것 금지, 붐을 내린 상태에서 규정속도를 준수하고 지면상태를 고려하여 주행</t>
  </si>
  <si>
    <t>고소작업차 (스카이)에 안전난간대가 미설치 되어 작업 중 작업자 추락 위험</t>
  </si>
  <si>
    <t>고소작업차 (스카이)의 작업대 주위에 안전난간대를 설치하여 작업하고 임의로 해체 금지</t>
  </si>
  <si>
    <t>고소작업차 (스카이) 정비불량에 따른 작업자 추락 위험</t>
  </si>
  <si>
    <t>고소작업차 (스카이)의 장비 검사증 및 운전자 교육 이수증 확인</t>
  </si>
  <si>
    <t>낙하</t>
  </si>
  <si>
    <t>고소작업차 (스카이) 작업 시 작업자가 실수로 공구를 떨어뜨려 하부에 있는 작업자 또는 보행자 충격 위험</t>
  </si>
  <si>
    <t>고소작업차 (스카이) 작업 시 작업 안내문 및 위험범위 내 출입금지 펜스를 설치하고 유도자 배치 후 작업</t>
  </si>
  <si>
    <t>고소작업차 (스카이) 작업 중 공구 등이 낙하하여 하부 작업자 또는 보행자 타격 위험</t>
  </si>
  <si>
    <t>고소작업차 (스카이) 작업구역 내 임의 작업자 출입금지 조치 (접근금지 휀스 설치 등), 통제자 (신호수) 배치</t>
  </si>
  <si>
    <t>협착</t>
  </si>
  <si>
    <t>고소작업차 (스카이)를 사용하여 작업 시 불시 과상승으로 천장 구조물과 작업대 사이에 협착 위험</t>
  </si>
  <si>
    <t>고소작업차 (스카이) 사용 시 과상승 방지를 위하여 머리보다 높게 끼임방지 장치 (과상승 방지봉)를 설치하고, 사용전 작동여부 확인 후 작업</t>
  </si>
  <si>
    <t>전도</t>
    <phoneticPr fontId="1" type="noConversion"/>
  </si>
  <si>
    <t>고소작업차 (스카이) 아우트리거를 일부 확장하지 않은 상태에서 작업 중 전도 위험</t>
  </si>
  <si>
    <t xml:space="preserve">차량 주변 (아우트리거 설치 지점)이 평탄하고 견고한지 확인하고 4개의 아우트리거를 최대로 확장, 접지판이 모두 지면에 밀착되도록 설치 </t>
    <phoneticPr fontId="1" type="noConversion"/>
  </si>
  <si>
    <t>4m이상 고소작업</t>
    <phoneticPr fontId="1" type="noConversion"/>
  </si>
  <si>
    <t>4m 이상 (4m 미만 장소라도 추락위험이 있는 장소 포함) 고소작업 중 안전벨트 걸이시설 미설치, 안전고리 미체결로 인한 추락 위험</t>
    <phoneticPr fontId="1" type="noConversion"/>
  </si>
  <si>
    <t>4m 이상 (4m 미만 장소라도 추락위험이 있는 장소 포함) 고소작업 시 안전벨트 착용 및 안전고리 체결, 안전고리를 체결할 곳이 없는 곳은 16mm 이상 로프를 설치하고 로립(코브라)을 설치한 후 안전고리를 체결한 상태에서 작업 (주변에 안전고리를 체결할 수 있는 시설물이 있는 경우 해당 시설물에 고리 체결)</t>
    <phoneticPr fontId="1" type="noConversion"/>
  </si>
  <si>
    <t>추락사고 예방을 위한 안전벨트 걸이시설 설치 여부 확인</t>
    <phoneticPr fontId="1" type="noConversion"/>
  </si>
  <si>
    <t xml:space="preserve">주변에 안전벨트 고리를 체결할 수 있는 시설물이 있는 경우 해당 시설물에 고리 체결   </t>
    <phoneticPr fontId="1" type="noConversion"/>
  </si>
  <si>
    <t>지붕 누수 점검 및 간단 보수 작업중 작업자 추락</t>
    <phoneticPr fontId="1" type="noConversion"/>
  </si>
  <si>
    <t>지붕  작업중 낙하물에 의한  보행자 충격</t>
    <phoneticPr fontId="1" type="noConversion"/>
  </si>
  <si>
    <t>지붕 누수 점검</t>
    <phoneticPr fontId="1" type="noConversion"/>
  </si>
  <si>
    <t>낙하</t>
    <phoneticPr fontId="1" type="noConversion"/>
  </si>
  <si>
    <t xml:space="preserve">지붕 작업 구간내 안전줄 설치로 생명줄 연결후에 작업을 실시한다 </t>
    <phoneticPr fontId="1" type="noConversion"/>
  </si>
  <si>
    <t>작업 범위내  안전 휀스 설치로  출입자를 통제한다.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</si>
</sst>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6"/>
      <name val="LG스마트체 Regular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1" fontId="0" fillId="0" borderId="0" xfId="0" applyNumberFormat="1">
      <alignment vertical="center"/>
    </xf>
    <xf numFmtId="4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41" fontId="6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표준" xfId="0" builtinId="0"/>
    <cellStyle name="표준 3" xfId="1" xr:uid="{04BD895F-9FBA-4650-9713-5A4E2C0E0704}"/>
  </cellStyles>
  <dxfs count="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7D33-E3BD-49B3-AB9C-74F95BBA62F8}">
  <sheetPr>
    <tabColor rgb="FF0000FF"/>
    <pageSetUpPr fitToPage="1"/>
  </sheetPr>
  <dimension ref="A2:L24"/>
  <sheetViews>
    <sheetView showGridLines="0" topLeftCell="B1" zoomScale="85" zoomScaleNormal="85" zoomScaleSheetLayoutView="70" workbookViewId="0">
      <selection activeCell="E28" sqref="E28"/>
    </sheetView>
  </sheetViews>
  <sheetFormatPr defaultRowHeight="16.5"/>
  <cols>
    <col min="1" max="1" width="2.625" customWidth="1"/>
    <col min="2" max="4" width="14.625" customWidth="1"/>
    <col min="5" max="5" width="57.625" style="1" customWidth="1"/>
    <col min="6" max="7" width="4.75" style="9" customWidth="1"/>
    <col min="8" max="8" width="10.25" bestFit="1" customWidth="1"/>
    <col min="9" max="9" width="65.625" style="1" customWidth="1"/>
    <col min="10" max="11" width="5.625" style="9" customWidth="1"/>
    <col min="12" max="12" width="10.25" bestFit="1" customWidth="1"/>
  </cols>
  <sheetData>
    <row r="2" spans="2:12" ht="31.5">
      <c r="B2" s="2" t="s">
        <v>6</v>
      </c>
    </row>
    <row r="4" spans="2:12" ht="17.25">
      <c r="B4" s="18" t="s">
        <v>13</v>
      </c>
    </row>
    <row r="5" spans="2:12" ht="29.25" customHeight="1">
      <c r="B5" s="32" t="s">
        <v>4</v>
      </c>
      <c r="C5" s="32" t="s">
        <v>0</v>
      </c>
      <c r="D5" s="32" t="s">
        <v>12</v>
      </c>
      <c r="E5" s="32"/>
      <c r="F5" s="33" t="s">
        <v>11</v>
      </c>
      <c r="G5" s="33"/>
      <c r="H5" s="33"/>
      <c r="I5" s="32" t="s">
        <v>3</v>
      </c>
      <c r="J5" s="33" t="s">
        <v>10</v>
      </c>
      <c r="K5" s="33"/>
      <c r="L5" s="33"/>
    </row>
    <row r="6" spans="2:12">
      <c r="B6" s="32"/>
      <c r="C6" s="32"/>
      <c r="D6" s="15" t="s">
        <v>9</v>
      </c>
      <c r="E6" s="15" t="s">
        <v>8</v>
      </c>
      <c r="F6" s="16" t="s">
        <v>1</v>
      </c>
      <c r="G6" s="16" t="s">
        <v>2</v>
      </c>
      <c r="H6" s="15" t="s">
        <v>7</v>
      </c>
      <c r="I6" s="32"/>
      <c r="J6" s="16" t="s">
        <v>1</v>
      </c>
      <c r="K6" s="16" t="s">
        <v>2</v>
      </c>
      <c r="L6" s="15" t="s">
        <v>7</v>
      </c>
    </row>
    <row r="7" spans="2:12" ht="27">
      <c r="B7" s="27" t="s">
        <v>14</v>
      </c>
      <c r="C7" s="30" t="s">
        <v>15</v>
      </c>
      <c r="D7" s="13" t="s">
        <v>16</v>
      </c>
      <c r="E7" s="19" t="s">
        <v>17</v>
      </c>
      <c r="F7" s="13">
        <v>2</v>
      </c>
      <c r="G7" s="13">
        <v>3</v>
      </c>
      <c r="H7" s="13">
        <f>F7*G7</f>
        <v>6</v>
      </c>
      <c r="I7" s="19" t="s">
        <v>18</v>
      </c>
      <c r="J7" s="13">
        <v>1</v>
      </c>
      <c r="K7" s="13">
        <v>3</v>
      </c>
      <c r="L7" s="13">
        <f>J7*K7</f>
        <v>3</v>
      </c>
    </row>
    <row r="8" spans="2:12" ht="40.5">
      <c r="B8" s="28"/>
      <c r="C8" s="30"/>
      <c r="D8" s="5" t="s">
        <v>19</v>
      </c>
      <c r="E8" s="6" t="s">
        <v>20</v>
      </c>
      <c r="F8" s="20">
        <v>2</v>
      </c>
      <c r="G8" s="20">
        <v>3</v>
      </c>
      <c r="H8" s="13">
        <f>F8*G8</f>
        <v>6</v>
      </c>
      <c r="I8" s="14" t="s">
        <v>21</v>
      </c>
      <c r="J8" s="21">
        <v>1</v>
      </c>
      <c r="K8" s="21">
        <v>3</v>
      </c>
      <c r="L8" s="13">
        <f>J8*K8</f>
        <v>3</v>
      </c>
    </row>
    <row r="9" spans="2:12" ht="27">
      <c r="B9" s="28"/>
      <c r="C9" s="30"/>
      <c r="D9" s="5" t="s">
        <v>19</v>
      </c>
      <c r="E9" s="6" t="s">
        <v>22</v>
      </c>
      <c r="F9" s="20">
        <v>2</v>
      </c>
      <c r="G9" s="20">
        <v>3</v>
      </c>
      <c r="H9" s="13">
        <f t="shared" ref="H9:H17" si="0">F9*G9</f>
        <v>6</v>
      </c>
      <c r="I9" s="14" t="s">
        <v>23</v>
      </c>
      <c r="J9" s="21">
        <v>1</v>
      </c>
      <c r="K9" s="21">
        <v>3</v>
      </c>
      <c r="L9" s="13">
        <f t="shared" ref="L9:L17" si="1">J9*K9</f>
        <v>3</v>
      </c>
    </row>
    <row r="10" spans="2:12" ht="27">
      <c r="B10" s="28"/>
      <c r="C10" s="30"/>
      <c r="D10" s="5" t="s">
        <v>19</v>
      </c>
      <c r="E10" s="6" t="s">
        <v>24</v>
      </c>
      <c r="F10" s="20">
        <v>2</v>
      </c>
      <c r="G10" s="20">
        <v>3</v>
      </c>
      <c r="H10" s="13">
        <f t="shared" si="0"/>
        <v>6</v>
      </c>
      <c r="I10" s="14" t="s">
        <v>25</v>
      </c>
      <c r="J10" s="21">
        <v>1</v>
      </c>
      <c r="K10" s="21">
        <v>3</v>
      </c>
      <c r="L10" s="13">
        <f t="shared" si="1"/>
        <v>3</v>
      </c>
    </row>
    <row r="11" spans="2:12" ht="27">
      <c r="B11" s="28"/>
      <c r="C11" s="30"/>
      <c r="D11" s="5" t="s">
        <v>19</v>
      </c>
      <c r="E11" s="6" t="s">
        <v>26</v>
      </c>
      <c r="F11" s="20">
        <v>2</v>
      </c>
      <c r="G11" s="20">
        <v>3</v>
      </c>
      <c r="H11" s="13">
        <f t="shared" si="0"/>
        <v>6</v>
      </c>
      <c r="I11" s="14" t="s">
        <v>27</v>
      </c>
      <c r="J11" s="21">
        <v>1</v>
      </c>
      <c r="K11" s="21">
        <v>3</v>
      </c>
      <c r="L11" s="13">
        <f t="shared" si="1"/>
        <v>3</v>
      </c>
    </row>
    <row r="12" spans="2:12" ht="27">
      <c r="B12" s="28"/>
      <c r="C12" s="30"/>
      <c r="D12" s="5" t="s">
        <v>19</v>
      </c>
      <c r="E12" s="6" t="s">
        <v>28</v>
      </c>
      <c r="F12" s="20">
        <v>3</v>
      </c>
      <c r="G12" s="20">
        <v>3</v>
      </c>
      <c r="H12" s="13">
        <f t="shared" si="0"/>
        <v>9</v>
      </c>
      <c r="I12" s="14" t="s">
        <v>29</v>
      </c>
      <c r="J12" s="21">
        <v>1</v>
      </c>
      <c r="K12" s="21">
        <v>3</v>
      </c>
      <c r="L12" s="13">
        <f t="shared" si="1"/>
        <v>3</v>
      </c>
    </row>
    <row r="13" spans="2:12">
      <c r="B13" s="28"/>
      <c r="C13" s="30"/>
      <c r="D13" s="5" t="s">
        <v>19</v>
      </c>
      <c r="E13" s="6" t="s">
        <v>30</v>
      </c>
      <c r="F13" s="20">
        <v>2</v>
      </c>
      <c r="G13" s="20">
        <v>3</v>
      </c>
      <c r="H13" s="13">
        <f t="shared" si="0"/>
        <v>6</v>
      </c>
      <c r="I13" s="14" t="s">
        <v>31</v>
      </c>
      <c r="J13" s="21">
        <v>1</v>
      </c>
      <c r="K13" s="21">
        <v>3</v>
      </c>
      <c r="L13" s="13">
        <f t="shared" si="1"/>
        <v>3</v>
      </c>
    </row>
    <row r="14" spans="2:12" ht="27">
      <c r="B14" s="28"/>
      <c r="C14" s="30"/>
      <c r="D14" s="5" t="s">
        <v>32</v>
      </c>
      <c r="E14" s="6" t="s">
        <v>33</v>
      </c>
      <c r="F14" s="20">
        <v>2</v>
      </c>
      <c r="G14" s="20">
        <v>2</v>
      </c>
      <c r="H14" s="13">
        <f t="shared" si="0"/>
        <v>4</v>
      </c>
      <c r="I14" s="14" t="s">
        <v>34</v>
      </c>
      <c r="J14" s="21">
        <v>1</v>
      </c>
      <c r="K14" s="21">
        <v>2</v>
      </c>
      <c r="L14" s="13">
        <f t="shared" si="1"/>
        <v>2</v>
      </c>
    </row>
    <row r="15" spans="2:12" ht="27">
      <c r="B15" s="28"/>
      <c r="C15" s="30"/>
      <c r="D15" s="5" t="s">
        <v>32</v>
      </c>
      <c r="E15" s="6" t="s">
        <v>35</v>
      </c>
      <c r="F15" s="20">
        <v>2</v>
      </c>
      <c r="G15" s="20">
        <v>2</v>
      </c>
      <c r="H15" s="13">
        <f t="shared" si="0"/>
        <v>4</v>
      </c>
      <c r="I15" s="14" t="s">
        <v>36</v>
      </c>
      <c r="J15" s="21">
        <v>1</v>
      </c>
      <c r="K15" s="21">
        <v>3</v>
      </c>
      <c r="L15" s="13">
        <f t="shared" si="1"/>
        <v>3</v>
      </c>
    </row>
    <row r="16" spans="2:12" ht="27">
      <c r="B16" s="28"/>
      <c r="C16" s="30"/>
      <c r="D16" s="5" t="s">
        <v>37</v>
      </c>
      <c r="E16" s="6" t="s">
        <v>38</v>
      </c>
      <c r="F16" s="20">
        <v>3</v>
      </c>
      <c r="G16" s="20">
        <v>3</v>
      </c>
      <c r="H16" s="13">
        <f t="shared" si="0"/>
        <v>9</v>
      </c>
      <c r="I16" s="14" t="s">
        <v>39</v>
      </c>
      <c r="J16" s="21">
        <v>1</v>
      </c>
      <c r="K16" s="21">
        <v>3</v>
      </c>
      <c r="L16" s="13">
        <f t="shared" si="1"/>
        <v>3</v>
      </c>
    </row>
    <row r="17" spans="1:12" ht="27">
      <c r="B17" s="29"/>
      <c r="C17" s="30"/>
      <c r="D17" s="5" t="s">
        <v>40</v>
      </c>
      <c r="E17" s="6" t="s">
        <v>41</v>
      </c>
      <c r="F17" s="20">
        <v>2</v>
      </c>
      <c r="G17" s="20">
        <v>3</v>
      </c>
      <c r="H17" s="13">
        <f t="shared" si="0"/>
        <v>6</v>
      </c>
      <c r="I17" s="14" t="s">
        <v>42</v>
      </c>
      <c r="J17" s="21">
        <v>1</v>
      </c>
      <c r="K17" s="21">
        <v>3</v>
      </c>
      <c r="L17" s="13">
        <f t="shared" si="1"/>
        <v>3</v>
      </c>
    </row>
    <row r="18" spans="1:12" ht="20.25">
      <c r="B18" s="31" t="s">
        <v>5</v>
      </c>
      <c r="C18" s="22"/>
      <c r="D18" s="23"/>
      <c r="E18" s="24"/>
      <c r="F18" s="25"/>
      <c r="G18" s="25"/>
      <c r="H18" s="22"/>
      <c r="I18" s="26"/>
      <c r="J18" s="25"/>
      <c r="K18" s="25"/>
      <c r="L18" s="22"/>
    </row>
    <row r="19" spans="1:12">
      <c r="B19" s="31"/>
      <c r="C19" s="11"/>
      <c r="D19" s="11"/>
      <c r="E19" s="8"/>
      <c r="F19" s="10"/>
      <c r="G19" s="10"/>
      <c r="H19" s="11"/>
      <c r="I19" s="7"/>
      <c r="J19" s="10"/>
      <c r="K19" s="10"/>
      <c r="L19" s="11"/>
    </row>
    <row r="20" spans="1:12">
      <c r="B20" s="31"/>
      <c r="C20" s="11"/>
      <c r="D20" s="11"/>
      <c r="E20" s="8"/>
      <c r="F20" s="10"/>
      <c r="G20" s="10"/>
      <c r="H20" s="11"/>
      <c r="I20" s="7"/>
      <c r="J20" s="10"/>
      <c r="K20" s="10"/>
      <c r="L20" s="11"/>
    </row>
    <row r="21" spans="1:12">
      <c r="B21" s="31"/>
      <c r="C21" s="11"/>
      <c r="D21" s="11"/>
      <c r="E21" s="8"/>
      <c r="F21" s="10"/>
      <c r="G21" s="10"/>
      <c r="H21" s="11"/>
      <c r="I21" s="7"/>
      <c r="J21" s="10"/>
      <c r="K21" s="10"/>
      <c r="L21" s="11"/>
    </row>
    <row r="22" spans="1:12">
      <c r="I22" s="3"/>
    </row>
    <row r="23" spans="1:12">
      <c r="A23" s="4"/>
      <c r="B23" s="4"/>
      <c r="C23" s="4"/>
      <c r="D23" s="4"/>
      <c r="E23" s="3"/>
    </row>
    <row r="24" spans="1:12" s="9" customFormat="1">
      <c r="A24" s="4"/>
      <c r="B24" s="4"/>
      <c r="C24" s="4"/>
      <c r="D24" s="4"/>
      <c r="E24" s="3"/>
      <c r="H24"/>
      <c r="I24" s="1"/>
    </row>
  </sheetData>
  <mergeCells count="9">
    <mergeCell ref="D5:E5"/>
    <mergeCell ref="F5:H5"/>
    <mergeCell ref="I5:I6"/>
    <mergeCell ref="J5:L5"/>
    <mergeCell ref="B7:B17"/>
    <mergeCell ref="C7:C17"/>
    <mergeCell ref="B18:B21"/>
    <mergeCell ref="B5:B6"/>
    <mergeCell ref="C5:C6"/>
  </mergeCells>
  <phoneticPr fontId="1" type="noConversion"/>
  <conditionalFormatting sqref="H7:H17">
    <cfRule type="cellIs" dxfId="8" priority="4" operator="between">
      <formula>1</formula>
      <formula>3</formula>
    </cfRule>
    <cfRule type="cellIs" dxfId="7" priority="5" operator="equal">
      <formula>4</formula>
    </cfRule>
    <cfRule type="cellIs" dxfId="6" priority="6" operator="between">
      <formula>6</formula>
      <formula>9</formula>
    </cfRule>
  </conditionalFormatting>
  <conditionalFormatting sqref="L7:L17">
    <cfRule type="cellIs" dxfId="5" priority="1" operator="between">
      <formula>1</formula>
      <formula>3</formula>
    </cfRule>
    <cfRule type="cellIs" dxfId="4" priority="2" operator="equal">
      <formula>4</formula>
    </cfRule>
    <cfRule type="cellIs" dxfId="3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C10B-1E9A-4A2E-8068-8CAAFF769713}">
  <sheetPr>
    <tabColor rgb="FF0000FF"/>
    <pageSetUpPr fitToPage="1"/>
  </sheetPr>
  <dimension ref="B2:L13"/>
  <sheetViews>
    <sheetView showGridLines="0" tabSelected="1" zoomScaleNormal="100" zoomScaleSheetLayoutView="70" workbookViewId="0">
      <selection activeCell="E20" sqref="E20"/>
    </sheetView>
  </sheetViews>
  <sheetFormatPr defaultRowHeight="16.5"/>
  <cols>
    <col min="1" max="1" width="2.625" customWidth="1"/>
    <col min="2" max="4" width="14.625" customWidth="1"/>
    <col min="5" max="5" width="65.75" style="1" customWidth="1"/>
    <col min="6" max="7" width="4.75" style="9" customWidth="1"/>
    <col min="8" max="8" width="10.25" bestFit="1" customWidth="1"/>
    <col min="9" max="9" width="65.625" style="1" customWidth="1"/>
    <col min="10" max="11" width="5.625" style="9" customWidth="1"/>
    <col min="12" max="12" width="10.25" bestFit="1" customWidth="1"/>
  </cols>
  <sheetData>
    <row r="2" spans="2:12" ht="31.5">
      <c r="B2" s="2" t="s">
        <v>6</v>
      </c>
    </row>
    <row r="4" spans="2:12" ht="17.25">
      <c r="B4" s="18" t="s">
        <v>43</v>
      </c>
    </row>
    <row r="5" spans="2:12" ht="29.25" customHeight="1">
      <c r="B5" s="32" t="s">
        <v>4</v>
      </c>
      <c r="C5" s="32" t="s">
        <v>0</v>
      </c>
      <c r="D5" s="32" t="s">
        <v>12</v>
      </c>
      <c r="E5" s="32"/>
      <c r="F5" s="33" t="s">
        <v>11</v>
      </c>
      <c r="G5" s="33"/>
      <c r="H5" s="33"/>
      <c r="I5" s="32" t="s">
        <v>3</v>
      </c>
      <c r="J5" s="33" t="s">
        <v>10</v>
      </c>
      <c r="K5" s="33"/>
      <c r="L5" s="33"/>
    </row>
    <row r="6" spans="2:12">
      <c r="B6" s="32"/>
      <c r="C6" s="32"/>
      <c r="D6" s="15" t="s">
        <v>9</v>
      </c>
      <c r="E6" s="15" t="s">
        <v>8</v>
      </c>
      <c r="F6" s="16" t="s">
        <v>1</v>
      </c>
      <c r="G6" s="16" t="s">
        <v>2</v>
      </c>
      <c r="H6" s="15" t="s">
        <v>7</v>
      </c>
      <c r="I6" s="32"/>
      <c r="J6" s="16" t="s">
        <v>1</v>
      </c>
      <c r="K6" s="16" t="s">
        <v>2</v>
      </c>
      <c r="L6" s="15" t="s">
        <v>7</v>
      </c>
    </row>
    <row r="7" spans="2:12" ht="45" customHeight="1">
      <c r="B7" s="34" t="s">
        <v>43</v>
      </c>
      <c r="C7" s="34" t="s">
        <v>43</v>
      </c>
      <c r="D7" s="5" t="s">
        <v>19</v>
      </c>
      <c r="E7" s="6" t="s">
        <v>46</v>
      </c>
      <c r="F7" s="20">
        <v>3</v>
      </c>
      <c r="G7" s="20">
        <v>3</v>
      </c>
      <c r="H7" s="13">
        <f t="shared" ref="H7:H8" si="0">F7*G7</f>
        <v>9</v>
      </c>
      <c r="I7" s="14" t="s">
        <v>47</v>
      </c>
      <c r="J7" s="21">
        <v>1</v>
      </c>
      <c r="K7" s="21">
        <v>3</v>
      </c>
      <c r="L7" s="13">
        <f t="shared" ref="L7:L9" si="1">J7*K7</f>
        <v>3</v>
      </c>
    </row>
    <row r="8" spans="2:12" ht="54">
      <c r="B8" s="35"/>
      <c r="C8" s="35"/>
      <c r="D8" s="5" t="s">
        <v>19</v>
      </c>
      <c r="E8" s="6" t="s">
        <v>44</v>
      </c>
      <c r="F8" s="20">
        <v>3</v>
      </c>
      <c r="G8" s="20">
        <v>3</v>
      </c>
      <c r="H8" s="13">
        <f t="shared" si="0"/>
        <v>9</v>
      </c>
      <c r="I8" s="14" t="s">
        <v>45</v>
      </c>
      <c r="J8" s="21">
        <v>1</v>
      </c>
      <c r="K8" s="21">
        <v>3</v>
      </c>
      <c r="L8" s="13">
        <f t="shared" si="1"/>
        <v>3</v>
      </c>
    </row>
    <row r="9" spans="2:12">
      <c r="B9" s="31" t="s">
        <v>5</v>
      </c>
      <c r="C9" s="36" t="s">
        <v>50</v>
      </c>
      <c r="D9" s="5" t="s">
        <v>19</v>
      </c>
      <c r="E9" s="8" t="s">
        <v>48</v>
      </c>
      <c r="F9" s="20">
        <v>2</v>
      </c>
      <c r="G9" s="20">
        <v>3</v>
      </c>
      <c r="H9" s="11">
        <f>F9*G9</f>
        <v>6</v>
      </c>
      <c r="I9" s="7" t="s">
        <v>52</v>
      </c>
      <c r="J9" s="21">
        <v>2</v>
      </c>
      <c r="K9" s="21">
        <v>2</v>
      </c>
      <c r="L9" s="11">
        <f>K9*J9</f>
        <v>4</v>
      </c>
    </row>
    <row r="10" spans="2:12">
      <c r="B10" s="31"/>
      <c r="C10" s="37"/>
      <c r="D10" s="5" t="s">
        <v>51</v>
      </c>
      <c r="E10" s="8" t="s">
        <v>49</v>
      </c>
      <c r="F10" s="20">
        <v>2</v>
      </c>
      <c r="G10" s="20">
        <v>2</v>
      </c>
      <c r="H10" s="17">
        <f>F10*G10</f>
        <v>4</v>
      </c>
      <c r="I10" s="7" t="s">
        <v>53</v>
      </c>
      <c r="J10" s="21">
        <v>2</v>
      </c>
      <c r="K10" s="21">
        <v>2</v>
      </c>
      <c r="L10" s="17">
        <f>K10*J10</f>
        <v>4</v>
      </c>
    </row>
    <row r="11" spans="2:12" ht="20.25">
      <c r="B11" s="31"/>
      <c r="C11" s="11"/>
      <c r="D11" s="12"/>
      <c r="E11" s="8"/>
      <c r="F11" s="10"/>
      <c r="G11" s="10"/>
      <c r="H11" s="11"/>
      <c r="I11" s="7"/>
      <c r="J11" s="10"/>
      <c r="K11" s="10"/>
      <c r="L11" s="11"/>
    </row>
    <row r="12" spans="2:12" ht="20.25">
      <c r="B12" s="31"/>
      <c r="C12" s="11"/>
      <c r="D12" s="12"/>
      <c r="E12" s="8"/>
      <c r="F12" s="10"/>
      <c r="G12" s="10"/>
      <c r="H12" s="11"/>
      <c r="I12" s="7"/>
      <c r="J12" s="10"/>
      <c r="K12" s="10"/>
      <c r="L12" s="11"/>
    </row>
    <row r="13" spans="2:12">
      <c r="I13" s="3"/>
    </row>
  </sheetData>
  <mergeCells count="10">
    <mergeCell ref="D5:E5"/>
    <mergeCell ref="F5:H5"/>
    <mergeCell ref="I5:I6"/>
    <mergeCell ref="J5:L5"/>
    <mergeCell ref="C9:C10"/>
    <mergeCell ref="B7:B8"/>
    <mergeCell ref="C7:C8"/>
    <mergeCell ref="B9:B12"/>
    <mergeCell ref="B5:B6"/>
    <mergeCell ref="C5:C6"/>
  </mergeCells>
  <phoneticPr fontId="1" type="noConversion"/>
  <conditionalFormatting sqref="H7:H8 L7:L8">
    <cfRule type="cellIs" dxfId="2" priority="4" operator="between">
      <formula>1</formula>
      <formula>3</formula>
    </cfRule>
    <cfRule type="cellIs" dxfId="1" priority="5" operator="equal">
      <formula>4</formula>
    </cfRule>
    <cfRule type="cellIs" dxfId="0" priority="6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2-1)스카이(고소작업차)</vt:lpstr>
      <vt:lpstr>9)4m이상 고소작업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2024-02-13T07:53:14Z</cp:lastPrinted>
  <dcterms:created xsi:type="dcterms:W3CDTF">2022-05-26T09:46:27Z</dcterms:created>
  <dcterms:modified xsi:type="dcterms:W3CDTF">2026-04-18T23:06:29Z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
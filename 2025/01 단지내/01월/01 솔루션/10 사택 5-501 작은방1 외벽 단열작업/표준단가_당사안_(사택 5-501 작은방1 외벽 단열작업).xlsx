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41220\06 작업폴더\01 사택 5-501 작은방1 외벽 단열작업\"/>
    </mc:Choice>
  </mc:AlternateContent>
  <xr:revisionPtr revIDLastSave="0" documentId="13_ncr:1_{E2207839-A554-4ABA-98F5-853E1DC264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시중가 근거서류" sheetId="17" r:id="rId3"/>
    <sheet name="Upload(시중가)" sheetId="1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F6" i="1"/>
  <c r="E6" i="1"/>
  <c r="D6" i="1"/>
  <c r="C6" i="1"/>
  <c r="B6" i="1"/>
  <c r="A6" i="1"/>
  <c r="F5" i="1"/>
  <c r="E5" i="1"/>
  <c r="D5" i="1"/>
  <c r="C5" i="1"/>
  <c r="B5" i="1"/>
  <c r="F4" i="1"/>
  <c r="E4" i="1"/>
  <c r="D4" i="1"/>
  <c r="C4" i="1"/>
  <c r="B4" i="1"/>
  <c r="A4" i="1"/>
  <c r="F3" i="1"/>
  <c r="E3" i="1"/>
  <c r="D3" i="1"/>
  <c r="C3" i="1"/>
  <c r="B3" i="1"/>
  <c r="A8" i="4"/>
  <c r="A5" i="1" s="1"/>
  <c r="A10" i="4"/>
  <c r="A7" i="1" s="1"/>
  <c r="A9" i="4"/>
  <c r="A7" i="4"/>
  <c r="A6" i="4"/>
  <c r="A3" i="1" s="1"/>
  <c r="A11" i="4"/>
  <c r="S11" i="4"/>
  <c r="U11" i="4"/>
  <c r="V11" i="4" l="1"/>
  <c r="Q6" i="4" l="1"/>
  <c r="Q10" i="4"/>
  <c r="U9" i="4"/>
  <c r="S9" i="4"/>
  <c r="Q9" i="4"/>
  <c r="O9" i="4"/>
  <c r="U7" i="4"/>
  <c r="S7" i="4"/>
  <c r="Q7" i="4"/>
  <c r="O7" i="4"/>
  <c r="U5" i="4"/>
  <c r="S5" i="4"/>
  <c r="Q5" i="4"/>
  <c r="O5" i="4"/>
  <c r="V5" i="4" l="1"/>
  <c r="V7" i="4"/>
  <c r="V9" i="4"/>
  <c r="U10" i="4" l="1"/>
  <c r="S10" i="4"/>
  <c r="O10" i="4"/>
  <c r="U6" i="4"/>
  <c r="S6" i="4"/>
  <c r="O6" i="4"/>
  <c r="V10" i="4" l="1"/>
  <c r="V6" i="4"/>
  <c r="A5" i="4" l="1"/>
  <c r="F2" i="1" l="1"/>
  <c r="E2" i="1"/>
  <c r="D2" i="1"/>
  <c r="C2" i="1"/>
  <c r="B2" i="1"/>
  <c r="A2" i="1"/>
  <c r="U13" i="4" l="1"/>
  <c r="Q13" i="4"/>
  <c r="S13" i="4" l="1"/>
  <c r="V13" i="4" l="1"/>
  <c r="F18" i="5" l="1"/>
  <c r="O13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<sst xmlns="http://schemas.openxmlformats.org/spreadsheetml/2006/main" count="150" uniqueCount="123">
  <si>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</si>
  <si>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</si>
  <si>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</si>
  <si>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</si>
  <si>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</si>
  <si>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</si>
  <si>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</si>
  <si>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</si>
  <si>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</si>
  <si>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</si>
  <si>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</si>
  <si>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</si>
  <si>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</si>
  <si>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</si>
  <si>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</si>
  <si>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</si>
  <si>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</si>
  <si>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</si>
  <si>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</si>
  <si>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</si>
  <si>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</si>
  <si>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</si>
  <si>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</si>
  <si>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</si>
  <si>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</si>
  <si>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</si>
  <si>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</si>
  <si>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</si>
  <si>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</si>
  <si>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</si>
  <si>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</si>
  <si>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</si>
  <si>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</si>
  <si>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</si>
  <si>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</si>
  <si>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</si>
  <si>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 (재료비+노무비)*2.93%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</si>
  <si>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</si>
  <si>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</si>
  <si>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</si>
  <si>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</si>
  <si>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</si>
  <si>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</si>
  <si>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</si>
  <si>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</si>
  <si>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</si>
  <si>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</si>
  <si>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</si>
  <si>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</si>
  <si>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</si>
  <si>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</si>
  <si>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</si>
  <si>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</si>
  <si>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</si>
  <si>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</si>
  <si>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</si>
  <si>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</si>
  <si>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</si>
  <si>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</si>
  <si>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</si>
  <si>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</si>
  <si>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</si>
  <si>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</si>
  <si>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</si>
  <si>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</si>
  <si>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</si>
  <si>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</si>
  <si>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</si>
  <si>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</si>
  <si>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</si>
  <si>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</si>
  <si>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</si>
  <si>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</si>
  <si>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</si>
  <si>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</si>
  <si>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</si>
  <si>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영선,건축</t>
    <phoneticPr fontId="10" type="noConversion"/>
  </si>
  <si>
    <t>철근콘크리트조</t>
  </si>
  <si>
    <t>D02339</t>
  </si>
  <si>
    <t>폐기물처리('20년 표준단가 C12200)</t>
    <phoneticPr fontId="10" type="noConversion"/>
  </si>
  <si>
    <t>사업장 일반 폐기물</t>
    <phoneticPr fontId="10" type="noConversion"/>
  </si>
  <si>
    <t>TON</t>
  </si>
  <si>
    <t>사업장 일반 폐기물</t>
  </si>
  <si>
    <t>D02620</t>
  </si>
  <si>
    <t>바탕용 2겹 붙임</t>
  </si>
  <si>
    <t>6㎜×1M×50M 건축용단열재,</t>
  </si>
  <si>
    <t>M011902400300101</t>
  </si>
  <si>
    <t>L003</t>
  </si>
  <si>
    <t>제 1호표  건축물 현장정리</t>
    <phoneticPr fontId="10" type="noConversion"/>
  </si>
  <si>
    <t>특별인부, 시중노임단가</t>
    <phoneticPr fontId="10" type="noConversion"/>
  </si>
  <si>
    <t>제 2호표  석고판(나사고정) 설치</t>
    <phoneticPr fontId="10" type="noConversion"/>
  </si>
  <si>
    <t>붙박이장 설치 및 부자재 포함</t>
    <phoneticPr fontId="10" type="noConversion"/>
  </si>
  <si>
    <t>인</t>
    <phoneticPr fontId="10" type="noConversion"/>
  </si>
  <si>
    <t>L003</t>
    <phoneticPr fontId="10" type="noConversion"/>
  </si>
  <si>
    <t>태화론 TW-06(단면)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</si>
  <si>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</si>
  <si>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</si>
  <si>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</si>
  <si>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</si>
  <si>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</si>
  <si>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</si>
  <si>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</si>
  <si>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</si>
  <si>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</si>
  <si>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</si>
  <si>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</si>
  <si>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</si>
  <si>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</si>
  <si>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</si>
  <si>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</si>
  <si>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</si>
  <si>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</si>
  <si>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</si>
  <si>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</si>
  <si>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</si>
  <si>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연면적 ㎡</t>
  </si>
  <si>
    <t>㎡</t>
  </si>
  <si>
    <t>M011900900300401</t>
  </si>
  <si>
    <t>50㎜, 밀도 #120, 1m(길이)×0.5m(폭)</t>
  </si>
  <si>
    <r>
      <t>미네랄울보온판</t>
    </r>
    <r>
      <rPr>
        <sz val="9"/>
        <color rgb="FFFF0000"/>
        <rFont val="Malgun Gothic"/>
        <family val="3"/>
        <charset val="129"/>
      </rPr>
      <t>(이보드 34t 적용)</t>
    </r>
    <phoneticPr fontId="10" type="noConversion"/>
  </si>
  <si>
    <t xml:space="preserve"> 공사명 : 사택 5-501 작은방1 외벽세대 단열작업(열반사6t+보드 3.3t) </t>
    <phoneticPr fontId="16" type="noConversion"/>
  </si>
  <si>
    <t xml:space="preserve"> 견적일 : 2024 년  12월  19일</t>
    <phoneticPr fontId="16" type="noConversion"/>
  </si>
  <si>
    <t>작은방 붙박이장 철거 및 외벽 마감재 철거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</si>
</sst>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##,###,###,##0"/>
    <numFmt numFmtId="185" formatCode="0.0_ 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sz val="9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FF000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3" fillId="0" borderId="0" xfId="25" applyFont="1">
      <alignment vertical="center"/>
    </xf>
    <xf numFmtId="0" fontId="34" fillId="0" borderId="0" xfId="25" applyFont="1">
      <alignment vertical="center"/>
    </xf>
    <xf numFmtId="0" fontId="33" fillId="0" borderId="0" xfId="25" applyFont="1" applyAlignment="1">
      <alignment horizontal="center" vertical="center"/>
    </xf>
    <xf numFmtId="0" fontId="31" fillId="5" borderId="0" xfId="26" applyNumberFormat="1" applyFont="1" applyFill="1" applyBorder="1" applyAlignment="1">
      <alignment horizontal="center" vertical="center"/>
    </xf>
    <xf numFmtId="177" fontId="31" fillId="0" borderId="0" xfId="26" applyFont="1" applyFill="1" applyBorder="1" applyAlignment="1">
      <alignment horizontal="center" vertical="center" shrinkToFit="1"/>
    </xf>
    <xf numFmtId="0" fontId="35" fillId="5" borderId="0" xfId="25" applyFont="1" applyFill="1" applyAlignment="1">
      <alignment horizontal="center" vertical="center"/>
    </xf>
    <xf numFmtId="0" fontId="32" fillId="0" borderId="0" xfId="0" applyFont="1">
      <alignment vertical="center"/>
    </xf>
    <xf numFmtId="177" fontId="30" fillId="0" borderId="0" xfId="1" applyFont="1" applyFill="1" applyBorder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/>
    </xf>
    <xf numFmtId="183" fontId="24" fillId="5" borderId="3" xfId="1" applyNumberFormat="1" applyFont="1" applyFill="1" applyBorder="1" applyAlignment="1">
      <alignment horizontal="center" vertical="center"/>
    </xf>
    <xf numFmtId="0" fontId="24" fillId="5" borderId="3" xfId="0" applyFont="1" applyFill="1" applyBorder="1">
      <alignment vertical="center"/>
    </xf>
    <xf numFmtId="177" fontId="24" fillId="6" borderId="3" xfId="1" applyFont="1" applyFill="1" applyBorder="1" applyAlignment="1">
      <alignment horizontal="center" vertical="center" wrapText="1"/>
    </xf>
    <xf numFmtId="184" fontId="36" fillId="5" borderId="3" xfId="0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 wrapText="1"/>
    </xf>
    <xf numFmtId="9" fontId="36" fillId="0" borderId="3" xfId="0" applyNumberFormat="1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177" fontId="24" fillId="0" borderId="3" xfId="1" applyFont="1" applyFill="1" applyBorder="1" applyAlignment="1">
      <alignment horizontal="center" vertical="center"/>
    </xf>
    <xf numFmtId="183" fontId="36" fillId="0" borderId="3" xfId="1" applyNumberFormat="1" applyFont="1" applyFill="1" applyBorder="1" applyAlignment="1">
      <alignment horizontal="center" vertical="center"/>
    </xf>
    <xf numFmtId="177" fontId="24" fillId="6" borderId="6" xfId="1" applyFont="1" applyFill="1" applyBorder="1" applyAlignment="1">
      <alignment horizontal="center" vertical="center" wrapText="1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184" fontId="24" fillId="5" borderId="3" xfId="0" applyNumberFormat="1" applyFont="1" applyFill="1" applyBorder="1" applyAlignment="1">
      <alignment horizontal="right" vertical="center" wrapText="1"/>
    </xf>
    <xf numFmtId="49" fontId="24" fillId="2" borderId="0" xfId="0" applyNumberFormat="1" applyFont="1" applyFill="1" applyAlignment="1">
      <alignment horizontal="center" vertical="center" wrapText="1"/>
    </xf>
    <xf numFmtId="177" fontId="24" fillId="0" borderId="0" xfId="1" applyFont="1" applyFill="1" applyBorder="1" applyAlignment="1">
      <alignment horizontal="center" vertical="center"/>
    </xf>
    <xf numFmtId="0" fontId="24" fillId="0" borderId="0" xfId="3" applyFont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wrapText="1"/>
    </xf>
    <xf numFmtId="183" fontId="24" fillId="0" borderId="0" xfId="1" applyNumberFormat="1" applyFont="1" applyFill="1" applyBorder="1" applyAlignment="1">
      <alignment horizontal="center" vertical="center"/>
    </xf>
    <xf numFmtId="177" fontId="24" fillId="0" borderId="0" xfId="1" applyFont="1" applyFill="1" applyBorder="1">
      <alignment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49" fontId="37" fillId="7" borderId="0" xfId="0" applyNumberFormat="1" applyFont="1" applyFill="1" applyAlignment="1">
      <alignment horizontal="center" vertical="center"/>
    </xf>
    <xf numFmtId="49" fontId="37" fillId="5" borderId="0" xfId="0" applyNumberFormat="1" applyFont="1" applyFill="1" applyAlignment="1">
      <alignment horizontal="center" vertical="center"/>
    </xf>
    <xf numFmtId="177" fontId="38" fillId="5" borderId="0" xfId="1" applyFont="1" applyFill="1" applyBorder="1" applyAlignment="1">
      <alignment horizontal="center" vertical="center" wrapText="1"/>
    </xf>
    <xf numFmtId="185" fontId="24" fillId="0" borderId="1" xfId="1" applyNumberFormat="1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14</xdr:col>
      <xdr:colOff>601675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6" zoomScale="85" zoomScaleNormal="85" workbookViewId="0">
      <selection activeCell="L17" sqref="L17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30" t="s">
        <v>6</v>
      </c>
      <c r="B2" s="130"/>
      <c r="C2" s="130"/>
      <c r="D2" s="130"/>
      <c r="E2" s="130"/>
      <c r="F2" s="130"/>
      <c r="G2" s="130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>
      <c r="A7" s="136" t="s">
        <v>120</v>
      </c>
      <c r="B7" s="137"/>
      <c r="C7" s="138"/>
      <c r="D7" s="5"/>
      <c r="E7" s="13"/>
      <c r="F7" s="14" t="s">
        <v>43</v>
      </c>
      <c r="G7" s="12" t="s">
        <v>71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>
      <c r="A9" s="133" t="s">
        <v>121</v>
      </c>
      <c r="B9" s="134"/>
      <c r="C9" s="135"/>
      <c r="D9" s="5"/>
      <c r="E9" s="5"/>
      <c r="F9" s="11" t="s">
        <v>45</v>
      </c>
      <c r="G9" s="12" t="s">
        <v>73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>
      <c r="A11" s="131"/>
      <c r="B11" s="132"/>
      <c r="C11" s="132"/>
      <c r="D11" s="5"/>
      <c r="E11" s="17"/>
      <c r="F11" s="18" t="s">
        <v>41</v>
      </c>
      <c r="G11" s="19" t="s">
        <v>75</v>
      </c>
      <c r="H11" s="17"/>
    </row>
    <row r="12" spans="1:9" ht="18.75" thickBot="1">
      <c r="A12" s="20" t="s">
        <v>7</v>
      </c>
      <c r="B12" s="20" t="str">
        <f>NUMBERSTRING(F31,1)</f>
        <v>이백일십오만일천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'내역서(표준단가)'!O13</f>
        <v>133516.5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'내역서(표준단가)'!Q13</f>
        <v>1566063.6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'내역서(표준단가)'!S13+'내역서(표준단가)'!U13</f>
        <v>106003.25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1805583.35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70472.862000000008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55516.954620000004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7189.4456232900011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15817.24236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55751.864160000005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49797.696930000006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91030.483284664515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345576.54897795455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2151159.8989779549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2151000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="90" zoomScaleNormal="90" workbookViewId="0">
      <selection activeCell="Q10" sqref="Q10"/>
    </sheetView>
  </sheetViews>
  <sheetFormatPr defaultColWidth="9" defaultRowHeight="12.75"/>
  <cols>
    <col min="1" max="1" width="21.125" style="114" customWidth="1"/>
    <col min="2" max="5" width="21.125" style="114" hidden="1" customWidth="1"/>
    <col min="6" max="9" width="21.125" style="78" hidden="1" customWidth="1"/>
    <col min="10" max="10" width="32.625" style="78" bestFit="1" customWidth="1"/>
    <col min="11" max="11" width="28.625" style="78" bestFit="1" customWidth="1"/>
    <col min="12" max="12" width="9.625" style="78" bestFit="1" customWidth="1"/>
    <col min="13" max="13" width="7.5" style="78" bestFit="1" customWidth="1"/>
    <col min="14" max="14" width="10.25" style="78" bestFit="1" customWidth="1"/>
    <col min="15" max="15" width="12.5" style="78" bestFit="1" customWidth="1"/>
    <col min="16" max="16" width="9" style="78" bestFit="1" customWidth="1"/>
    <col min="17" max="17" width="14.5" style="78" bestFit="1" customWidth="1"/>
    <col min="18" max="18" width="8.125" style="78" hidden="1" customWidth="1"/>
    <col min="19" max="19" width="9.375" style="78" hidden="1" customWidth="1"/>
    <col min="20" max="20" width="9" style="78" hidden="1" customWidth="1"/>
    <col min="21" max="21" width="10.5" style="78" hidden="1" customWidth="1"/>
    <col min="22" max="22" width="16.5" style="78" customWidth="1"/>
    <col min="23" max="23" width="10.625" style="79" customWidth="1"/>
    <col min="24" max="24" width="7.75" style="78" bestFit="1" customWidth="1"/>
    <col min="25" max="16384" width="9" style="78"/>
  </cols>
  <sheetData>
    <row r="1" spans="1:24" ht="19.899999999999999" customHeight="1">
      <c r="A1" s="139"/>
      <c r="B1" s="139"/>
      <c r="C1" s="139"/>
      <c r="D1" s="139"/>
      <c r="E1" s="139"/>
      <c r="F1" s="139"/>
      <c r="G1" s="139"/>
      <c r="H1" s="139"/>
      <c r="I1" s="139"/>
      <c r="N1" s="79"/>
      <c r="O1" s="77" t="s">
        <v>95</v>
      </c>
      <c r="Q1" s="77" t="s">
        <v>95</v>
      </c>
      <c r="S1" s="77" t="s">
        <v>95</v>
      </c>
      <c r="U1" s="77" t="s">
        <v>95</v>
      </c>
    </row>
    <row r="2" spans="1:24" ht="19.899999999999999" customHeight="1" thickBot="1">
      <c r="A2" s="139"/>
      <c r="B2" s="139"/>
      <c r="C2" s="139"/>
      <c r="D2" s="139"/>
      <c r="E2" s="139"/>
      <c r="F2" s="139"/>
      <c r="G2" s="139"/>
      <c r="H2" s="139"/>
      <c r="I2" s="139"/>
      <c r="N2" s="80"/>
      <c r="O2" s="81">
        <v>0.83499999999999996</v>
      </c>
      <c r="Q2" s="81">
        <v>0.83499999999999996</v>
      </c>
      <c r="S2" s="81">
        <v>0.83499999999999996</v>
      </c>
      <c r="U2" s="81">
        <v>0.83499999999999996</v>
      </c>
    </row>
    <row r="3" spans="1:24" ht="19.899999999999999" customHeight="1">
      <c r="A3" s="82"/>
      <c r="B3" s="82"/>
      <c r="C3" s="82"/>
      <c r="D3" s="82"/>
      <c r="E3" s="82"/>
      <c r="F3" s="82" t="s">
        <v>96</v>
      </c>
      <c r="G3" s="83"/>
      <c r="H3" s="83"/>
      <c r="I3" s="83"/>
      <c r="J3" s="148" t="s">
        <v>97</v>
      </c>
      <c r="K3" s="148"/>
      <c r="L3" s="148" t="s">
        <v>52</v>
      </c>
      <c r="M3" s="148" t="s">
        <v>5</v>
      </c>
      <c r="N3" s="144" t="s">
        <v>98</v>
      </c>
      <c r="O3" s="144"/>
      <c r="P3" s="144" t="s">
        <v>99</v>
      </c>
      <c r="Q3" s="144"/>
      <c r="R3" s="145" t="s">
        <v>100</v>
      </c>
      <c r="S3" s="145"/>
      <c r="T3" s="145" t="s">
        <v>101</v>
      </c>
      <c r="U3" s="145"/>
      <c r="V3" s="146" t="s">
        <v>102</v>
      </c>
      <c r="W3" s="142" t="s">
        <v>103</v>
      </c>
      <c r="X3" s="140" t="s">
        <v>46</v>
      </c>
    </row>
    <row r="4" spans="1:24" ht="19.899999999999999" customHeight="1">
      <c r="A4" s="84" t="s">
        <v>104</v>
      </c>
      <c r="B4" s="85"/>
      <c r="C4" s="85"/>
      <c r="D4" s="85"/>
      <c r="E4" s="85"/>
      <c r="F4" s="86" t="s">
        <v>105</v>
      </c>
      <c r="G4" s="86" t="s">
        <v>106</v>
      </c>
      <c r="H4" s="86" t="s">
        <v>107</v>
      </c>
      <c r="I4" s="86" t="s">
        <v>108</v>
      </c>
      <c r="J4" s="87" t="s">
        <v>109</v>
      </c>
      <c r="K4" s="87" t="s">
        <v>110</v>
      </c>
      <c r="L4" s="149"/>
      <c r="M4" s="149"/>
      <c r="N4" s="88" t="s">
        <v>111</v>
      </c>
      <c r="O4" s="89" t="s">
        <v>112</v>
      </c>
      <c r="P4" s="88" t="s">
        <v>113</v>
      </c>
      <c r="Q4" s="89" t="s">
        <v>112</v>
      </c>
      <c r="R4" s="89" t="s">
        <v>114</v>
      </c>
      <c r="S4" s="89" t="s">
        <v>112</v>
      </c>
      <c r="T4" s="89" t="s">
        <v>114</v>
      </c>
      <c r="U4" s="89" t="s">
        <v>112</v>
      </c>
      <c r="V4" s="147"/>
      <c r="W4" s="143"/>
      <c r="X4" s="141"/>
    </row>
    <row r="5" spans="1:24" s="104" customFormat="1" ht="19.899999999999999" customHeight="1">
      <c r="A5" s="90" t="str">
        <f t="shared" ref="A5:A10" si="0">F5&amp;G5&amp;H5&amp;I5</f>
        <v>D02339</v>
      </c>
      <c r="B5" s="91"/>
      <c r="C5" s="91"/>
      <c r="D5" s="91"/>
      <c r="E5" s="91"/>
      <c r="F5" s="92" t="s">
        <v>78</v>
      </c>
      <c r="G5" s="93"/>
      <c r="H5" s="93"/>
      <c r="I5" s="93"/>
      <c r="J5" s="94" t="s">
        <v>88</v>
      </c>
      <c r="K5" s="94" t="s">
        <v>77</v>
      </c>
      <c r="L5" s="95" t="s">
        <v>115</v>
      </c>
      <c r="M5" s="96">
        <v>10</v>
      </c>
      <c r="N5" s="97"/>
      <c r="O5" s="98">
        <f t="shared" ref="O5" si="1">SUM(N5:N5)*M5*$O$2</f>
        <v>0</v>
      </c>
      <c r="P5" s="116">
        <v>24278</v>
      </c>
      <c r="Q5" s="98">
        <f t="shared" ref="Q5" si="2">(P5*M5)*$Q$2</f>
        <v>202721.3</v>
      </c>
      <c r="R5" s="100"/>
      <c r="S5" s="98">
        <f t="shared" ref="S5" si="3">R5*M5*$S$2</f>
        <v>0</v>
      </c>
      <c r="T5" s="100"/>
      <c r="U5" s="98">
        <f t="shared" ref="U5" si="4">T5*M5*$U$2</f>
        <v>0</v>
      </c>
      <c r="V5" s="101">
        <f t="shared" ref="V5" si="5">SUM(O5+Q5)+S5+U5</f>
        <v>202721.3</v>
      </c>
      <c r="W5" s="102"/>
      <c r="X5" s="103"/>
    </row>
    <row r="6" spans="1:24" s="104" customFormat="1" ht="19.899999999999999" customHeight="1">
      <c r="A6" s="90" t="str">
        <f t="shared" si="0"/>
        <v>L003</v>
      </c>
      <c r="B6" s="91"/>
      <c r="C6" s="91"/>
      <c r="D6" s="91"/>
      <c r="E6" s="91"/>
      <c r="F6" s="92"/>
      <c r="G6" s="93"/>
      <c r="H6" s="93"/>
      <c r="I6" s="93" t="s">
        <v>87</v>
      </c>
      <c r="J6" s="94" t="s">
        <v>122</v>
      </c>
      <c r="K6" s="94" t="s">
        <v>89</v>
      </c>
      <c r="L6" s="95" t="s">
        <v>92</v>
      </c>
      <c r="M6" s="96">
        <v>2</v>
      </c>
      <c r="N6" s="97"/>
      <c r="O6" s="98">
        <f t="shared" ref="O6:O10" si="6">SUM(N6:N6)*M6*$O$2</f>
        <v>0</v>
      </c>
      <c r="P6" s="116">
        <v>208527</v>
      </c>
      <c r="Q6" s="98">
        <f>M6*P6</f>
        <v>417054</v>
      </c>
      <c r="R6" s="100"/>
      <c r="S6" s="98">
        <f t="shared" ref="S6:S11" si="7">R6*M6*$S$2</f>
        <v>0</v>
      </c>
      <c r="T6" s="100"/>
      <c r="U6" s="98">
        <f t="shared" ref="U6:U11" si="8">T6*M6*$U$2</f>
        <v>0</v>
      </c>
      <c r="V6" s="101">
        <f t="shared" ref="V6:V11" si="9">SUM(O6+Q6)+S6+U6</f>
        <v>417054</v>
      </c>
      <c r="W6" s="102"/>
      <c r="X6" s="103"/>
    </row>
    <row r="7" spans="1:24" s="104" customFormat="1" ht="19.899999999999999" customHeight="1">
      <c r="A7" s="90" t="str">
        <f t="shared" si="0"/>
        <v>M011902400300101</v>
      </c>
      <c r="B7" s="91"/>
      <c r="C7" s="91"/>
      <c r="D7" s="91"/>
      <c r="E7" s="91"/>
      <c r="F7" s="92"/>
      <c r="G7" s="93"/>
      <c r="H7" s="93" t="s">
        <v>86</v>
      </c>
      <c r="I7" s="93"/>
      <c r="J7" s="94" t="s">
        <v>94</v>
      </c>
      <c r="K7" s="94" t="s">
        <v>85</v>
      </c>
      <c r="L7" s="95" t="s">
        <v>116</v>
      </c>
      <c r="M7" s="96">
        <v>26</v>
      </c>
      <c r="N7" s="97">
        <v>5900</v>
      </c>
      <c r="O7" s="98">
        <f t="shared" si="6"/>
        <v>128089</v>
      </c>
      <c r="P7" s="116"/>
      <c r="Q7" s="98">
        <f t="shared" ref="Q7:Q9" si="10">(P7*M7)*$Q$2</f>
        <v>0</v>
      </c>
      <c r="R7" s="100"/>
      <c r="S7" s="98">
        <f t="shared" si="7"/>
        <v>0</v>
      </c>
      <c r="T7" s="100"/>
      <c r="U7" s="98">
        <f t="shared" si="8"/>
        <v>0</v>
      </c>
      <c r="V7" s="101">
        <f t="shared" si="9"/>
        <v>128089</v>
      </c>
      <c r="W7" s="102"/>
      <c r="X7" s="103"/>
    </row>
    <row r="8" spans="1:24" s="104" customFormat="1" ht="19.899999999999999" customHeight="1">
      <c r="A8" s="90" t="str">
        <f t="shared" ref="A8" si="11">F8&amp;G8&amp;H8&amp;I8</f>
        <v>M011900900300401</v>
      </c>
      <c r="B8" s="91"/>
      <c r="C8" s="91"/>
      <c r="D8" s="91"/>
      <c r="E8" s="91"/>
      <c r="F8" s="92"/>
      <c r="G8" s="93"/>
      <c r="H8" s="126" t="s">
        <v>117</v>
      </c>
      <c r="I8" s="93"/>
      <c r="J8" s="127" t="s">
        <v>119</v>
      </c>
      <c r="K8" s="127" t="s">
        <v>118</v>
      </c>
      <c r="L8" s="95" t="s">
        <v>116</v>
      </c>
      <c r="M8" s="96">
        <v>26</v>
      </c>
      <c r="N8" s="128">
        <v>13100</v>
      </c>
      <c r="O8" s="98"/>
      <c r="P8" s="116"/>
      <c r="Q8" s="98"/>
      <c r="R8" s="100"/>
      <c r="S8" s="98"/>
      <c r="T8" s="100"/>
      <c r="U8" s="98"/>
      <c r="V8" s="101"/>
      <c r="W8" s="102"/>
      <c r="X8" s="103"/>
    </row>
    <row r="9" spans="1:24" s="104" customFormat="1" ht="19.899999999999999" customHeight="1">
      <c r="A9" s="90" t="str">
        <f t="shared" si="0"/>
        <v>D02620</v>
      </c>
      <c r="B9" s="91"/>
      <c r="C9" s="91"/>
      <c r="D9" s="91"/>
      <c r="E9" s="91"/>
      <c r="F9" s="92" t="s">
        <v>83</v>
      </c>
      <c r="G9" s="93"/>
      <c r="H9" s="93"/>
      <c r="I9" s="93"/>
      <c r="J9" s="94" t="s">
        <v>90</v>
      </c>
      <c r="K9" s="94" t="s">
        <v>84</v>
      </c>
      <c r="L9" s="95" t="s">
        <v>116</v>
      </c>
      <c r="M9" s="96">
        <v>52</v>
      </c>
      <c r="N9" s="97">
        <v>125</v>
      </c>
      <c r="O9" s="98">
        <f t="shared" si="6"/>
        <v>5427.5</v>
      </c>
      <c r="P9" s="116">
        <v>14590</v>
      </c>
      <c r="Q9" s="98">
        <f t="shared" si="10"/>
        <v>633497.79999999993</v>
      </c>
      <c r="R9" s="100"/>
      <c r="S9" s="98">
        <f t="shared" si="7"/>
        <v>0</v>
      </c>
      <c r="T9" s="100"/>
      <c r="U9" s="98">
        <f t="shared" si="8"/>
        <v>0</v>
      </c>
      <c r="V9" s="101">
        <f t="shared" si="9"/>
        <v>638925.29999999993</v>
      </c>
      <c r="W9" s="102"/>
      <c r="X9" s="103"/>
    </row>
    <row r="10" spans="1:24" s="104" customFormat="1" ht="19.899999999999999" customHeight="1">
      <c r="A10" s="90" t="str">
        <f t="shared" si="0"/>
        <v>L003</v>
      </c>
      <c r="B10" s="91"/>
      <c r="C10" s="91"/>
      <c r="D10" s="91"/>
      <c r="E10" s="91"/>
      <c r="F10" s="92"/>
      <c r="G10" s="93"/>
      <c r="H10" s="93"/>
      <c r="I10" s="93" t="s">
        <v>93</v>
      </c>
      <c r="J10" s="94" t="s">
        <v>91</v>
      </c>
      <c r="K10" s="94" t="s">
        <v>89</v>
      </c>
      <c r="L10" s="95" t="s">
        <v>92</v>
      </c>
      <c r="M10" s="96">
        <v>1.5</v>
      </c>
      <c r="N10" s="97"/>
      <c r="O10" s="98">
        <f t="shared" si="6"/>
        <v>0</v>
      </c>
      <c r="P10" s="116">
        <v>208527</v>
      </c>
      <c r="Q10" s="98">
        <f>M10*P10</f>
        <v>312790.5</v>
      </c>
      <c r="R10" s="100"/>
      <c r="S10" s="98">
        <f t="shared" si="7"/>
        <v>0</v>
      </c>
      <c r="T10" s="100"/>
      <c r="U10" s="98">
        <f t="shared" si="8"/>
        <v>0</v>
      </c>
      <c r="V10" s="101">
        <f t="shared" si="9"/>
        <v>312790.5</v>
      </c>
      <c r="W10" s="102"/>
      <c r="X10" s="103"/>
    </row>
    <row r="11" spans="1:24" s="104" customFormat="1" ht="19.899999999999999" customHeight="1">
      <c r="A11" s="90" t="str">
        <f t="shared" ref="A11" si="12">F11&amp;G11&amp;H11&amp;I11</f>
        <v/>
      </c>
      <c r="B11" s="91"/>
      <c r="C11" s="91"/>
      <c r="D11" s="91"/>
      <c r="E11" s="91"/>
      <c r="F11" s="92"/>
      <c r="G11" s="93"/>
      <c r="H11" s="93"/>
      <c r="I11" s="93"/>
      <c r="J11" s="94" t="s">
        <v>79</v>
      </c>
      <c r="K11" s="94" t="s">
        <v>82</v>
      </c>
      <c r="L11" s="95" t="s">
        <v>81</v>
      </c>
      <c r="M11" s="96">
        <v>0.5</v>
      </c>
      <c r="N11" s="97"/>
      <c r="O11" s="98"/>
      <c r="P11" s="116"/>
      <c r="Q11" s="98"/>
      <c r="R11" s="100">
        <v>40900</v>
      </c>
      <c r="S11" s="98">
        <f t="shared" si="7"/>
        <v>17075.75</v>
      </c>
      <c r="T11" s="100">
        <v>213000</v>
      </c>
      <c r="U11" s="98">
        <f t="shared" si="8"/>
        <v>88927.5</v>
      </c>
      <c r="V11" s="101">
        <f t="shared" si="9"/>
        <v>106003.25</v>
      </c>
      <c r="W11" s="102"/>
      <c r="X11" s="103"/>
    </row>
    <row r="12" spans="1:24" s="104" customFormat="1" ht="19.899999999999999" customHeight="1">
      <c r="A12" s="90"/>
      <c r="B12" s="91"/>
      <c r="C12" s="91"/>
      <c r="D12" s="91"/>
      <c r="E12" s="91"/>
      <c r="F12" s="92"/>
      <c r="G12" s="93"/>
      <c r="H12" s="93"/>
      <c r="I12" s="92"/>
      <c r="J12" s="95"/>
      <c r="K12" s="95"/>
      <c r="L12" s="105"/>
      <c r="M12" s="106"/>
      <c r="N12" s="97"/>
      <c r="O12" s="98"/>
      <c r="P12" s="99"/>
      <c r="Q12" s="107"/>
      <c r="R12" s="100"/>
      <c r="S12" s="98"/>
      <c r="T12" s="100"/>
      <c r="U12" s="98"/>
      <c r="V12" s="100"/>
      <c r="W12" s="102"/>
      <c r="X12" s="103"/>
    </row>
    <row r="13" spans="1:24" s="109" customFormat="1" ht="19.899999999999999" customHeight="1">
      <c r="A13" s="108"/>
      <c r="B13" s="108"/>
      <c r="C13" s="108"/>
      <c r="D13" s="108"/>
      <c r="E13" s="108"/>
      <c r="O13" s="110">
        <f>SUM(O5:O12)</f>
        <v>133516.5</v>
      </c>
      <c r="P13" s="111"/>
      <c r="Q13" s="110">
        <f>SUM(Q5:Q12)</f>
        <v>1566063.6</v>
      </c>
      <c r="R13" s="111"/>
      <c r="S13" s="110">
        <f>SUM(S5:S12)</f>
        <v>17075.75</v>
      </c>
      <c r="T13" s="111"/>
      <c r="U13" s="110">
        <f>SUM(U5:U12)</f>
        <v>88927.5</v>
      </c>
      <c r="V13" s="112">
        <f>SUM(V5:V12)</f>
        <v>1805583.35</v>
      </c>
      <c r="W13" s="113"/>
    </row>
    <row r="17" spans="17:17">
      <c r="Q17" s="11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3">
    <pageSetUpPr fitToPage="1"/>
  </sheetPr>
  <dimension ref="A1:P2"/>
  <sheetViews>
    <sheetView zoomScale="55" zoomScaleNormal="55" zoomScaleSheetLayoutView="85" workbookViewId="0">
      <selection activeCell="I47" sqref="I47"/>
    </sheetView>
  </sheetViews>
  <sheetFormatPr defaultColWidth="9" defaultRowHeight="16.5"/>
  <cols>
    <col min="1" max="1" width="11.5" style="68" bestFit="1" customWidth="1"/>
    <col min="2" max="2" width="17.875" style="68" customWidth="1"/>
    <col min="3" max="3" width="14.625" style="68" customWidth="1"/>
    <col min="4" max="4" width="10.875" style="68" customWidth="1"/>
    <col min="5" max="5" width="12" style="68" customWidth="1"/>
    <col min="6" max="6" width="10.625" style="68" customWidth="1"/>
    <col min="7" max="7" width="13.625" style="69" customWidth="1"/>
    <col min="8" max="8" width="9.625" style="68" customWidth="1"/>
    <col min="9" max="9" width="13.625" style="68" customWidth="1"/>
    <col min="10" max="10" width="12.75" style="68" customWidth="1"/>
    <col min="11" max="11" width="9.25" style="68" customWidth="1"/>
    <col min="12" max="12" width="13.625" style="69" customWidth="1"/>
    <col min="13" max="13" width="9.625" style="68" customWidth="1"/>
    <col min="14" max="14" width="13.625" style="69" customWidth="1"/>
    <col min="15" max="15" width="18.75" style="70" customWidth="1"/>
    <col min="16" max="16" width="20.875" style="70" customWidth="1"/>
    <col min="17" max="16384" width="9" style="68"/>
  </cols>
  <sheetData>
    <row r="1" spans="1:5" ht="15" customHeight="1"/>
    <row r="2" spans="1:5">
      <c r="A2" s="71"/>
      <c r="B2" s="72"/>
      <c r="C2" s="72"/>
      <c r="D2" s="72"/>
      <c r="E2" s="73"/>
    </row>
  </sheetData>
  <phoneticPr fontId="10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4"/>
  <dimension ref="A1:R13"/>
  <sheetViews>
    <sheetView workbookViewId="0">
      <selection activeCell="F3" sqref="F3"/>
    </sheetView>
  </sheetViews>
  <sheetFormatPr defaultColWidth="9" defaultRowHeight="16.5"/>
  <cols>
    <col min="1" max="1" width="11.125" style="74" customWidth="1"/>
    <col min="2" max="2" width="13.375" style="74" customWidth="1"/>
    <col min="3" max="3" width="29.125" style="74" bestFit="1" customWidth="1"/>
    <col min="4" max="4" width="30.875" style="74" bestFit="1" customWidth="1"/>
    <col min="5" max="5" width="5" style="74" customWidth="1"/>
    <col min="6" max="6" width="6.25" style="74" customWidth="1"/>
    <col min="7" max="7" width="10" style="74" customWidth="1"/>
    <col min="8" max="8" width="11.875" style="74" customWidth="1"/>
    <col min="9" max="9" width="10" style="74" customWidth="1"/>
    <col min="10" max="10" width="11.875" style="74" customWidth="1"/>
    <col min="11" max="11" width="10" style="74" customWidth="1"/>
    <col min="12" max="12" width="11.875" style="74" customWidth="1"/>
    <col min="13" max="13" width="10" style="74" customWidth="1"/>
    <col min="14" max="14" width="11.875" style="74" customWidth="1"/>
    <col min="15" max="15" width="9.125" style="74" customWidth="1"/>
    <col min="16" max="16" width="11.5" style="74" customWidth="1"/>
    <col min="17" max="17" width="11.75" style="74" customWidth="1"/>
    <col min="18" max="18" width="17.875" style="74" customWidth="1"/>
    <col min="19" max="16384" width="9" style="74"/>
  </cols>
  <sheetData>
    <row r="1" spans="1:18" ht="18" customHeight="1">
      <c r="A1" s="117" t="s">
        <v>48</v>
      </c>
      <c r="B1" s="117" t="s">
        <v>49</v>
      </c>
      <c r="C1" s="117" t="s">
        <v>50</v>
      </c>
      <c r="D1" s="117" t="s">
        <v>51</v>
      </c>
      <c r="E1" s="117" t="s">
        <v>52</v>
      </c>
      <c r="F1" s="117" t="s">
        <v>5</v>
      </c>
      <c r="G1" s="117" t="s">
        <v>53</v>
      </c>
      <c r="H1" s="117" t="s">
        <v>54</v>
      </c>
      <c r="I1" s="117" t="s">
        <v>55</v>
      </c>
      <c r="J1" s="117" t="s">
        <v>56</v>
      </c>
      <c r="K1" s="117" t="s">
        <v>57</v>
      </c>
      <c r="L1" s="117" t="s">
        <v>58</v>
      </c>
      <c r="M1" s="117" t="s">
        <v>59</v>
      </c>
      <c r="N1" s="117" t="s">
        <v>60</v>
      </c>
      <c r="O1" s="117" t="s">
        <v>61</v>
      </c>
      <c r="P1" s="117" t="s">
        <v>62</v>
      </c>
      <c r="Q1" s="117" t="s">
        <v>63</v>
      </c>
      <c r="R1" s="117" t="s">
        <v>64</v>
      </c>
    </row>
    <row r="2" spans="1:18" ht="18" customHeight="1">
      <c r="A2" s="78">
        <v>999999</v>
      </c>
      <c r="B2" s="79" t="s">
        <v>76</v>
      </c>
      <c r="C2" s="118" t="s">
        <v>79</v>
      </c>
      <c r="D2" s="119" t="s">
        <v>80</v>
      </c>
      <c r="E2" s="120" t="s">
        <v>81</v>
      </c>
      <c r="F2" s="121">
        <v>0.5</v>
      </c>
      <c r="G2" s="122"/>
      <c r="H2" s="122"/>
      <c r="I2" s="122"/>
      <c r="J2" s="122"/>
      <c r="K2" s="122">
        <v>34151.5</v>
      </c>
      <c r="L2" s="122"/>
      <c r="M2" s="122">
        <v>177855</v>
      </c>
      <c r="N2" s="122"/>
      <c r="O2" s="122"/>
      <c r="P2" s="122"/>
      <c r="Q2" s="122"/>
      <c r="R2" s="120"/>
    </row>
    <row r="3" spans="1:18"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1:18"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pans="1:18"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</row>
    <row r="6" spans="1:18"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</row>
    <row r="7" spans="1:18"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</row>
    <row r="8" spans="1:18"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</row>
    <row r="9" spans="1:18"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</row>
    <row r="10" spans="1:18"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</row>
    <row r="11" spans="1:18"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</row>
    <row r="12" spans="1:18"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</row>
    <row r="13" spans="1:18"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7"/>
  <sheetViews>
    <sheetView showGridLines="0" zoomScaleNormal="100" workbookViewId="0">
      <selection activeCell="G24" sqref="G24:G25"/>
    </sheetView>
  </sheetViews>
  <sheetFormatPr defaultColWidth="9" defaultRowHeight="16.5"/>
  <cols>
    <col min="1" max="1" width="25.125" style="76" customWidth="1"/>
    <col min="2" max="2" width="16.25" style="76" customWidth="1"/>
    <col min="3" max="3" width="22.375" style="76" customWidth="1"/>
    <col min="4" max="4" width="24.125" style="76" customWidth="1"/>
    <col min="5" max="5" width="13" style="76" customWidth="1"/>
    <col min="6" max="6" width="7.5" style="76" customWidth="1"/>
    <col min="7" max="16384" width="9" style="74"/>
  </cols>
  <sheetData>
    <row r="1" spans="1:6" ht="18" customHeight="1">
      <c r="A1" s="123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3" t="s">
        <v>5</v>
      </c>
    </row>
    <row r="2" spans="1:6">
      <c r="A2" s="124" t="str">
        <f>'내역서(표준단가)'!A5</f>
        <v>D02339</v>
      </c>
      <c r="B2" s="125" t="str">
        <f>'내역서(표준단가)'!F5</f>
        <v>D02339</v>
      </c>
      <c r="C2" s="125">
        <f>'내역서(표준단가)'!G5</f>
        <v>0</v>
      </c>
      <c r="D2" s="125">
        <f>'내역서(표준단가)'!H5</f>
        <v>0</v>
      </c>
      <c r="E2" s="125">
        <f>'내역서(표준단가)'!I5</f>
        <v>0</v>
      </c>
      <c r="F2" s="129">
        <f>'내역서(표준단가)'!M5</f>
        <v>10</v>
      </c>
    </row>
    <row r="3" spans="1:6">
      <c r="A3" s="124" t="str">
        <f>'내역서(표준단가)'!A6</f>
        <v>L003</v>
      </c>
      <c r="B3" s="125">
        <f>'내역서(표준단가)'!F6</f>
        <v>0</v>
      </c>
      <c r="C3" s="125">
        <f>'내역서(표준단가)'!G6</f>
        <v>0</v>
      </c>
      <c r="D3" s="125">
        <f>'내역서(표준단가)'!H6</f>
        <v>0</v>
      </c>
      <c r="E3" s="125" t="str">
        <f>'내역서(표준단가)'!I6</f>
        <v>L003</v>
      </c>
      <c r="F3" s="129">
        <f>'내역서(표준단가)'!M6</f>
        <v>2</v>
      </c>
    </row>
    <row r="4" spans="1:6">
      <c r="A4" s="124" t="str">
        <f>'내역서(표준단가)'!A7</f>
        <v>M011902400300101</v>
      </c>
      <c r="B4" s="125">
        <f>'내역서(표준단가)'!F7</f>
        <v>0</v>
      </c>
      <c r="C4" s="125">
        <f>'내역서(표준단가)'!G7</f>
        <v>0</v>
      </c>
      <c r="D4" s="125" t="str">
        <f>'내역서(표준단가)'!H7</f>
        <v>M011902400300101</v>
      </c>
      <c r="E4" s="125">
        <f>'내역서(표준단가)'!I7</f>
        <v>0</v>
      </c>
      <c r="F4" s="129">
        <f>'내역서(표준단가)'!M7</f>
        <v>26</v>
      </c>
    </row>
    <row r="5" spans="1:6">
      <c r="A5" s="124" t="str">
        <f>'내역서(표준단가)'!A8</f>
        <v>M011900900300401</v>
      </c>
      <c r="B5" s="125">
        <f>'내역서(표준단가)'!F8</f>
        <v>0</v>
      </c>
      <c r="C5" s="125">
        <f>'내역서(표준단가)'!G8</f>
        <v>0</v>
      </c>
      <c r="D5" s="125" t="str">
        <f>'내역서(표준단가)'!H8</f>
        <v>M011900900300401</v>
      </c>
      <c r="E5" s="125">
        <f>'내역서(표준단가)'!I8</f>
        <v>0</v>
      </c>
      <c r="F5" s="129">
        <f>'내역서(표준단가)'!M8</f>
        <v>26</v>
      </c>
    </row>
    <row r="6" spans="1:6">
      <c r="A6" s="124" t="str">
        <f>'내역서(표준단가)'!A9</f>
        <v>D02620</v>
      </c>
      <c r="B6" s="125" t="str">
        <f>'내역서(표준단가)'!F9</f>
        <v>D02620</v>
      </c>
      <c r="C6" s="125">
        <f>'내역서(표준단가)'!G9</f>
        <v>0</v>
      </c>
      <c r="D6" s="125">
        <f>'내역서(표준단가)'!H9</f>
        <v>0</v>
      </c>
      <c r="E6" s="125">
        <f>'내역서(표준단가)'!I9</f>
        <v>0</v>
      </c>
      <c r="F6" s="129">
        <f>'내역서(표준단가)'!M9</f>
        <v>52</v>
      </c>
    </row>
    <row r="7" spans="1:6">
      <c r="A7" s="124" t="str">
        <f>'내역서(표준단가)'!A10</f>
        <v>L003</v>
      </c>
      <c r="B7" s="125">
        <f>'내역서(표준단가)'!F10</f>
        <v>0</v>
      </c>
      <c r="C7" s="125">
        <f>'내역서(표준단가)'!G10</f>
        <v>0</v>
      </c>
      <c r="D7" s="125">
        <f>'내역서(표준단가)'!H10</f>
        <v>0</v>
      </c>
      <c r="E7" s="125" t="str">
        <f>'내역서(표준단가)'!I10</f>
        <v>L003</v>
      </c>
      <c r="F7" s="129">
        <f>'내역서(표준단가)'!M10</f>
        <v>1.5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2024-12-19T22:40:23Z</dcterms:modified>
</cp:coreProperties>
</file>
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현재_통합_문서"/>
  <xr:revisionPtr revIDLastSave="0" documentId="13_ncr:1_{B9C1AEB8-9CEB-4891-B134-1B701CC328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Upload" sheetId="1" r:id="rId3"/>
    <sheet name="Upload(시중가)" sheetId="7" r:id="rId4"/>
    <sheet name="시중가 근거서류" sheetId="6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" l="1"/>
  <c r="O8" i="4"/>
  <c r="M8" i="4"/>
  <c r="K8" i="4"/>
  <c r="Q10" i="4"/>
  <c r="O10" i="4"/>
  <c r="M10" i="4"/>
  <c r="K10" i="4"/>
  <c r="R8" i="4" l="1"/>
  <c r="R10" i="4"/>
  <c r="F3" i="1"/>
  <c r="E3" i="1"/>
  <c r="D3" i="1"/>
  <c r="C3" i="1"/>
  <c r="B3" i="1"/>
  <c r="K9" i="4"/>
  <c r="K7" i="4"/>
  <c r="Q9" i="4"/>
  <c r="O9" i="4"/>
  <c r="M9" i="4"/>
  <c r="Q7" i="4"/>
  <c r="O7" i="4"/>
  <c r="M7" i="4"/>
  <c r="R9" i="4" l="1"/>
  <c r="R7" i="4"/>
  <c r="A6" i="4"/>
  <c r="A3" i="1" s="1"/>
  <c r="A5" i="4"/>
  <c r="A2" i="1" s="1"/>
  <c r="F2" i="1"/>
  <c r="E2" i="1"/>
  <c r="D2" i="1"/>
  <c r="C2" i="1"/>
  <c r="B2" i="1"/>
  <c r="M6" i="4"/>
  <c r="M5" i="4"/>
  <c r="Q6" i="4"/>
  <c r="O6" i="4"/>
  <c r="K6" i="4"/>
  <c r="Q5" i="4"/>
  <c r="O5" i="4"/>
  <c r="K5" i="4"/>
  <c r="R6" i="4" l="1"/>
  <c r="R5" i="4"/>
  <c r="K11" i="4" l="1"/>
  <c r="M11" i="4"/>
  <c r="F17" i="5" s="1"/>
  <c r="F21" i="5" l="1"/>
  <c r="F22" i="5"/>
  <c r="R11" i="4"/>
  <c r="Q11" i="4"/>
  <c r="F16" i="5"/>
  <c r="O11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<sst xmlns="http://schemas.openxmlformats.org/spreadsheetml/2006/main" count="151" uniqueCount="112">
  <si>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</si>
  <si>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</si>
  <si>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</si>
  <si>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</si>
  <si>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</si>
  <si>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</si>
  <si>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</si>
  <si>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</si>
  <si>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</si>
  <si>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</si>
  <si>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</si>
  <si>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</si>
  <si>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</si>
  <si>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</si>
  <si>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</si>
  <si>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</si>
  <si>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</si>
  <si>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</si>
  <si>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</si>
  <si>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</si>
  <si>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</si>
  <si>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</si>
  <si>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</si>
  <si>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</si>
  <si>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</si>
  <si>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</si>
  <si>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</si>
  <si>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</si>
  <si>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</si>
  <si>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</si>
  <si>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</si>
  <si>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</si>
  <si>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</si>
  <si>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</si>
  <si>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</si>
  <si>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</si>
  <si>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</si>
  <si>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</si>
  <si>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</si>
  <si>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</si>
  <si>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</si>
  <si>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</si>
  <si>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</si>
  <si>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</si>
  <si>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</si>
  <si>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</si>
  <si>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</si>
  <si>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</si>
  <si>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</si>
  <si>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</si>
  <si>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</si>
  <si>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</si>
  <si>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</si>
  <si>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</si>
  <si>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</si>
  <si>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</si>
  <si>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</si>
  <si>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</si>
  <si>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</si>
  <si>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</si>
  <si>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</si>
  <si>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</si>
  <si>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</si>
  <si>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</si>
  <si>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</si>
  <si>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</si>
  <si>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</si>
  <si>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</si>
  <si>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</si>
  <si>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</si>
  <si>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</si>
  <si>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</si>
  <si>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</si>
  <si>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</si>
  <si>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</si>
  <si>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</si>
  <si>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</si>
  <si>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</si>
  <si>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 노무비*4.75%</t>
    <phoneticPr fontId="14" type="noConversion"/>
  </si>
  <si>
    <t> 노무비*3.595%</t>
    <phoneticPr fontId="14" type="noConversion"/>
  </si>
  <si>
    <t>L003</t>
    <phoneticPr fontId="6" type="noConversion"/>
  </si>
  <si>
    <t>인</t>
    <phoneticPr fontId="6" type="noConversion"/>
  </si>
  <si>
    <t>L030</t>
    <phoneticPr fontId="6" type="noConversion"/>
  </si>
  <si>
    <t>내장공, 시중노임단가</t>
    <phoneticPr fontId="6" type="noConversion"/>
  </si>
  <si>
    <t>특별인부, 시중노임단가</t>
    <phoneticPr fontId="6" type="noConversion"/>
  </si>
  <si>
    <t>set</t>
    <phoneticPr fontId="6" type="noConversion"/>
  </si>
  <si>
    <t>재료+ 노무비, 전문업체 견적서 참조</t>
    <phoneticPr fontId="6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</si>
  <si>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</si>
  <si>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</si>
  <si>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</si>
  <si>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</si>
  <si>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</si>
  <si>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</si>
  <si>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</si>
  <si>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</si>
  <si>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</si>
  <si>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</si>
  <si>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</si>
  <si>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</si>
  <si>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</si>
  <si>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</si>
  <si>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</si>
  <si>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</si>
  <si>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t xml:space="preserve">4가구 씽크대 후드교체, 폐기물 처리 및 현장 청소작업 내장공, </t>
    </r>
    <r>
      <rPr>
        <sz val="10"/>
        <color rgb="FFFF0000"/>
        <rFont val="Malgun Gothic"/>
        <family val="3"/>
        <charset val="129"/>
      </rPr>
      <t>최소 인건비 적용</t>
    </r>
    <phoneticPr fontId="6" type="noConversion"/>
  </si>
  <si>
    <r>
      <t xml:space="preserve">4가구 씽크대 후드교체, 폐기물 처리 및 현장 청소작업 특별인부, </t>
    </r>
    <r>
      <rPr>
        <sz val="10"/>
        <color rgb="FFFF0000"/>
        <rFont val="Malgun Gothic"/>
        <family val="3"/>
        <charset val="129"/>
      </rPr>
      <t>최소 인건비 적용</t>
    </r>
    <phoneticPr fontId="6" type="noConversion"/>
  </si>
  <si>
    <t>5-503 통 후드교체</t>
    <phoneticPr fontId="6" type="noConversion"/>
  </si>
  <si>
    <t>5-506 통 후드교체</t>
    <phoneticPr fontId="6" type="noConversion"/>
  </si>
  <si>
    <t>8-408 통 후드교체(입주세대)</t>
    <phoneticPr fontId="6" type="noConversion"/>
  </si>
  <si>
    <t>8-510 통 후드교체</t>
    <phoneticPr fontId="6" type="noConversion"/>
  </si>
  <si>
    <t xml:space="preserve"> 공사명 : 사택 5-503 외 5세대 씽크대 후드교체</t>
    <phoneticPr fontId="12" type="noConversion"/>
  </si>
  <si>
    <t xml:space="preserve"> 견적일 : 2026년  09월  08일</t>
    <phoneticPr fontId="6" type="noConversion"/>
  </si>
  <si>
    <r>
      <t xml:space="preserve">재료+ 노무비, </t>
    </r>
    <r>
      <rPr>
        <sz val="10"/>
        <color rgb="FFFF0000"/>
        <rFont val="Malgun Gothic"/>
        <family val="3"/>
        <charset val="129"/>
      </rPr>
      <t>전문업체 세금계산서 첨부예정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</si>
</sst>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.000_ "/>
    <numFmt numFmtId="184" formatCode="0.000_ "/>
    <numFmt numFmtId="185" formatCode="#,##0;\-#,##0;"/>
    <numFmt numFmtId="186" formatCode="0.000"/>
    <numFmt numFmtId="187" formatCode="#,##0_ 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2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000000"/>
      <name val="Arial"/>
      <family val="2"/>
    </font>
    <font>
      <sz val="9"/>
      <color rgb="FF00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1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77" fontId="17" fillId="6" borderId="3" xfId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8" fillId="0" borderId="0" xfId="0" applyFont="1">
      <alignment vertical="center"/>
    </xf>
    <xf numFmtId="49" fontId="17" fillId="7" borderId="3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184" fontId="17" fillId="0" borderId="1" xfId="1" applyNumberFormat="1" applyFont="1" applyBorder="1" applyAlignment="1">
      <alignment horizontal="center" vertical="center"/>
    </xf>
    <xf numFmtId="183" fontId="17" fillId="0" borderId="3" xfId="1" applyNumberFormat="1" applyFont="1" applyFill="1" applyBorder="1" applyAlignment="1">
      <alignment horizontal="center" vertical="center"/>
    </xf>
    <xf numFmtId="49" fontId="17" fillId="5" borderId="3" xfId="0" applyNumberFormat="1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2" fillId="5" borderId="3" xfId="0" applyNumberFormat="1" applyFont="1" applyFill="1" applyBorder="1" applyAlignment="1">
      <alignment horizontal="center" vertical="center"/>
    </xf>
    <xf numFmtId="185" fontId="17" fillId="5" borderId="3" xfId="0" applyNumberFormat="1" applyFont="1" applyFill="1" applyBorder="1" applyAlignment="1">
      <alignment horizontal="right" vertical="center" wrapText="1"/>
    </xf>
    <xf numFmtId="185" fontId="17" fillId="6" borderId="3" xfId="1" applyNumberFormat="1" applyFont="1" applyFill="1" applyBorder="1" applyAlignment="1">
      <alignment horizontal="right" vertical="center" wrapText="1"/>
    </xf>
    <xf numFmtId="185" fontId="17" fillId="0" borderId="3" xfId="1" applyNumberFormat="1" applyFont="1" applyFill="1" applyBorder="1" applyAlignment="1">
      <alignment horizontal="right" vertical="center" wrapText="1"/>
    </xf>
    <xf numFmtId="186" fontId="17" fillId="5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3" xfId="0" applyFont="1" applyFill="1" applyBorder="1">
      <alignment vertical="center"/>
    </xf>
    <xf numFmtId="0" fontId="20" fillId="10" borderId="0" xfId="0" applyFont="1" applyFill="1">
      <alignment vertical="center"/>
    </xf>
    <xf numFmtId="0" fontId="20" fillId="5" borderId="0" xfId="0" applyFont="1" applyFill="1">
      <alignment vertical="center"/>
    </xf>
    <xf numFmtId="177" fontId="13" fillId="10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5" fillId="0" borderId="15" xfId="8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49" fontId="26" fillId="5" borderId="3" xfId="0" applyNumberFormat="1" applyFont="1" applyFill="1" applyBorder="1" applyAlignment="1">
      <alignment horizontal="center" vertical="center" wrapText="1"/>
    </xf>
    <xf numFmtId="49" fontId="27" fillId="5" borderId="3" xfId="0" applyNumberFormat="1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/>
    </xf>
    <xf numFmtId="49" fontId="26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187" fontId="17" fillId="5" borderId="3" xfId="0" applyNumberFormat="1" applyFont="1" applyFill="1" applyBorder="1">
      <alignment vertical="center"/>
    </xf>
    <xf numFmtId="49" fontId="17" fillId="2" borderId="0" xfId="0" applyNumberFormat="1" applyFont="1" applyFill="1" applyAlignment="1">
      <alignment horizontal="center" vertical="center" wrapText="1"/>
    </xf>
    <xf numFmtId="177" fontId="17" fillId="0" borderId="0" xfId="1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177" fontId="18" fillId="0" borderId="0" xfId="1" applyFont="1" applyBorder="1">
      <alignment vertical="center"/>
    </xf>
    <xf numFmtId="0" fontId="18" fillId="0" borderId="3" xfId="0" applyFont="1" applyBorder="1">
      <alignment vertical="center"/>
    </xf>
    <xf numFmtId="0" fontId="25" fillId="0" borderId="15" xfId="6" applyFont="1" applyBorder="1" applyAlignment="1">
      <alignment vertical="center"/>
    </xf>
    <xf numFmtId="178" fontId="25" fillId="0" borderId="15" xfId="5" applyFont="1" applyFill="1" applyBorder="1" applyAlignment="1">
      <alignment horizontal="right" vertical="center"/>
    </xf>
    <xf numFmtId="178" fontId="25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 2 2" xfId="20" xr:uid="{A010E156-5809-4107-BC0C-DF18B8ACDC96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 3 2" xfId="19" xr:uid="{F085EABA-1CFC-412C-884E-C4C3EFDA37F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322817</xdr:colOff>
      <xdr:row>2</xdr:row>
      <xdr:rowOff>18964</xdr:rowOff>
    </xdr:from>
    <xdr:to>
      <xdr:col>5</xdr:col>
      <xdr:colOff>754675</xdr:colOff>
      <xdr:row>46</xdr:row>
      <xdr:rowOff>102576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293415-E2EB-4D65-8936-E34EA3FF67B1}"/>
            </a:ext>
          </a:extLst>
        </xdr:cNvPr>
        <xdr:cNvSpPr/>
      </xdr:nvSpPr>
      <xdr:spPr>
        <a:xfrm>
          <a:off x="322817" y="356002"/>
          <a:ext cx="5531396" cy="749845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전문업체 세금계산서 첨부 예정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608134</xdr:colOff>
      <xdr:row>3</xdr:row>
      <xdr:rowOff>153866</xdr:rowOff>
    </xdr:from>
    <xdr:to>
      <xdr:col>5</xdr:col>
      <xdr:colOff>402978</xdr:colOff>
      <xdr:row>45</xdr:row>
      <xdr:rowOff>23032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13C512-E88F-4B56-A2BF-79A08A51A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134" y="703385"/>
          <a:ext cx="4894382" cy="7562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72BA68-CF57-46DC-86C3-6C8C629EB842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F31" sqref="F3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30" t="s">
        <v>6</v>
      </c>
      <c r="B2" s="130"/>
      <c r="C2" s="130"/>
      <c r="D2" s="130"/>
      <c r="E2" s="130"/>
      <c r="F2" s="130"/>
      <c r="G2" s="130"/>
      <c r="H2" s="2"/>
    </row>
    <row r="3" spans="1:9" ht="14.25">
      <c r="A3" s="83"/>
      <c r="B3" s="83"/>
      <c r="C3" s="83"/>
      <c r="D3" s="83"/>
      <c r="E3" s="83"/>
      <c r="F3" s="83"/>
      <c r="G3" s="83"/>
      <c r="H3" s="83"/>
    </row>
    <row r="4" spans="1:9" ht="14.25">
      <c r="A4" s="83"/>
      <c r="B4" s="83"/>
      <c r="C4" s="83"/>
      <c r="D4" s="83"/>
      <c r="E4" s="83"/>
      <c r="H4" s="83"/>
    </row>
    <row r="5" spans="1:9" ht="27" customHeight="1">
      <c r="A5" s="84" t="s">
        <v>48</v>
      </c>
      <c r="B5" s="4"/>
      <c r="C5" s="5"/>
      <c r="D5" s="83"/>
      <c r="E5" s="83"/>
      <c r="F5" s="6" t="s">
        <v>38</v>
      </c>
      <c r="G5" s="7" t="s">
        <v>51</v>
      </c>
      <c r="H5" s="83"/>
    </row>
    <row r="6" spans="1:9" ht="27" customHeight="1">
      <c r="A6" s="83"/>
      <c r="B6" s="83"/>
      <c r="C6" s="83"/>
      <c r="D6" s="83"/>
      <c r="E6" s="83"/>
      <c r="F6" s="8" t="s">
        <v>41</v>
      </c>
      <c r="G6" s="9" t="s">
        <v>52</v>
      </c>
      <c r="H6" s="83"/>
    </row>
    <row r="7" spans="1:9" ht="27" customHeight="1">
      <c r="A7" s="133" t="s">
        <v>109</v>
      </c>
      <c r="B7" s="134"/>
      <c r="C7" s="135"/>
      <c r="D7" s="83"/>
      <c r="E7" s="10"/>
      <c r="F7" s="11" t="s">
        <v>42</v>
      </c>
      <c r="G7" s="9" t="s">
        <v>53</v>
      </c>
      <c r="H7" s="83"/>
    </row>
    <row r="8" spans="1:9" ht="27" customHeight="1">
      <c r="A8" s="83"/>
      <c r="B8" s="83"/>
      <c r="C8" s="83"/>
      <c r="D8" s="83"/>
      <c r="E8" s="83"/>
      <c r="F8" s="8" t="s">
        <v>43</v>
      </c>
      <c r="G8" s="9" t="s">
        <v>54</v>
      </c>
      <c r="H8" s="83"/>
    </row>
    <row r="9" spans="1:9" ht="27" customHeight="1">
      <c r="A9" s="84" t="s">
        <v>110</v>
      </c>
      <c r="B9" s="106"/>
      <c r="C9" s="107"/>
      <c r="D9" s="83"/>
      <c r="E9" s="83"/>
      <c r="F9" s="8" t="s">
        <v>44</v>
      </c>
      <c r="G9" s="9" t="s">
        <v>55</v>
      </c>
      <c r="H9" s="83"/>
    </row>
    <row r="10" spans="1:9" ht="27" customHeight="1">
      <c r="A10" s="83"/>
      <c r="B10" s="83"/>
      <c r="C10" s="83"/>
      <c r="D10" s="83"/>
      <c r="E10" s="83"/>
      <c r="F10" s="12" t="s">
        <v>39</v>
      </c>
      <c r="G10" s="13" t="s">
        <v>56</v>
      </c>
      <c r="H10" s="83"/>
      <c r="I10" s="83"/>
    </row>
    <row r="11" spans="1:9" ht="27" customHeight="1">
      <c r="A11" s="131"/>
      <c r="B11" s="132"/>
      <c r="C11" s="132"/>
      <c r="D11" s="83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일백육십일만육천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3"/>
      <c r="B13" s="83"/>
      <c r="C13" s="83"/>
      <c r="D13" s="83"/>
      <c r="E13" s="83"/>
      <c r="F13" s="83"/>
      <c r="G13" s="8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1000000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479721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1479721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09" t="s">
        <v>23</v>
      </c>
      <c r="C21" s="127" t="s">
        <v>78</v>
      </c>
      <c r="D21" s="110">
        <v>1</v>
      </c>
      <c r="E21" s="110" t="s">
        <v>24</v>
      </c>
      <c r="F21" s="128">
        <f>F17*4.75%</f>
        <v>22786.747500000001</v>
      </c>
      <c r="G21" s="35" t="s">
        <v>25</v>
      </c>
    </row>
    <row r="22" spans="1:7" ht="33" customHeight="1">
      <c r="A22" s="29"/>
      <c r="B22" s="111" t="s">
        <v>26</v>
      </c>
      <c r="C22" s="127" t="s">
        <v>79</v>
      </c>
      <c r="D22" s="112">
        <v>1</v>
      </c>
      <c r="E22" s="112" t="s">
        <v>24</v>
      </c>
      <c r="F22" s="129">
        <f>F17*3.595%</f>
        <v>17245.969950000002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2233.3531085250006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4845.1821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17078.067599999998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43355.825300000004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29363.307277926251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136908.45283645124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1616629.4528364511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1616000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90" zoomScaleNormal="90" workbookViewId="0">
      <pane ySplit="4" topLeftCell="A5" activePane="bottomLeft" state="frozen"/>
      <selection pane="bottomLeft" activeCell="K18" sqref="K18"/>
    </sheetView>
  </sheetViews>
  <sheetFormatPr defaultColWidth="9" defaultRowHeight="38.1" customHeight="1"/>
  <cols>
    <col min="1" max="1" width="20.5" style="105" bestFit="1" customWidth="1"/>
    <col min="2" max="2" width="9" style="94" hidden="1" customWidth="1"/>
    <col min="3" max="5" width="12.625" style="94" hidden="1" customWidth="1"/>
    <col min="6" max="7" width="30.625" style="90" customWidth="1"/>
    <col min="8" max="8" width="7.75" style="94" customWidth="1"/>
    <col min="9" max="9" width="8.25" style="94" customWidth="1"/>
    <col min="10" max="10" width="10.625" style="94" bestFit="1" customWidth="1"/>
    <col min="11" max="11" width="14" style="94" customWidth="1"/>
    <col min="12" max="12" width="12" style="94" bestFit="1" customWidth="1"/>
    <col min="13" max="13" width="15" style="94" bestFit="1" customWidth="1"/>
    <col min="14" max="14" width="9" style="94" customWidth="1"/>
    <col min="15" max="15" width="8.375" style="94" bestFit="1" customWidth="1"/>
    <col min="16" max="16" width="10.5" style="94" customWidth="1"/>
    <col min="17" max="17" width="8.375" style="94" bestFit="1" customWidth="1"/>
    <col min="18" max="18" width="15.625" style="94" bestFit="1" customWidth="1"/>
    <col min="19" max="19" width="10.625" style="62" bestFit="1" customWidth="1"/>
    <col min="20" max="20" width="8.5" style="94" bestFit="1" customWidth="1"/>
    <col min="21" max="16384" width="9" style="94"/>
  </cols>
  <sheetData>
    <row r="1" spans="1:20" ht="19.899999999999999" customHeight="1">
      <c r="A1" s="136"/>
      <c r="B1" s="136"/>
      <c r="C1" s="136"/>
      <c r="D1" s="136"/>
      <c r="E1" s="136"/>
      <c r="J1" s="62"/>
      <c r="K1" s="93" t="s">
        <v>58</v>
      </c>
      <c r="M1" s="93" t="s">
        <v>58</v>
      </c>
      <c r="O1" s="93" t="s">
        <v>58</v>
      </c>
      <c r="Q1" s="93" t="s">
        <v>58</v>
      </c>
    </row>
    <row r="2" spans="1:20" ht="19.899999999999999" customHeight="1" thickBot="1">
      <c r="A2" s="136"/>
      <c r="B2" s="136"/>
      <c r="C2" s="136"/>
      <c r="D2" s="136"/>
      <c r="E2" s="13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5"/>
      <c r="B3" s="96" t="s">
        <v>59</v>
      </c>
      <c r="C3" s="96"/>
      <c r="D3" s="96"/>
      <c r="E3" s="96"/>
      <c r="F3" s="147" t="s">
        <v>60</v>
      </c>
      <c r="G3" s="147"/>
      <c r="H3" s="145" t="s">
        <v>47</v>
      </c>
      <c r="I3" s="145" t="s">
        <v>5</v>
      </c>
      <c r="J3" s="141" t="s">
        <v>61</v>
      </c>
      <c r="K3" s="141"/>
      <c r="L3" s="141" t="s">
        <v>62</v>
      </c>
      <c r="M3" s="141"/>
      <c r="N3" s="142" t="s">
        <v>63</v>
      </c>
      <c r="O3" s="142"/>
      <c r="P3" s="142" t="s">
        <v>64</v>
      </c>
      <c r="Q3" s="142"/>
      <c r="R3" s="143" t="s">
        <v>65</v>
      </c>
      <c r="S3" s="139" t="s">
        <v>66</v>
      </c>
      <c r="T3" s="137" t="s">
        <v>45</v>
      </c>
    </row>
    <row r="4" spans="1:20" ht="19.899999999999999" customHeight="1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91" t="s">
        <v>72</v>
      </c>
      <c r="G4" s="91" t="s">
        <v>73</v>
      </c>
      <c r="H4" s="146"/>
      <c r="I4" s="146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44"/>
      <c r="S4" s="140"/>
      <c r="T4" s="138"/>
    </row>
    <row r="5" spans="1:20" s="97" customFormat="1" ht="38.1" customHeight="1">
      <c r="A5" s="69" t="str">
        <f t="shared" ref="A5:A6" si="0">B5&amp;C5&amp;D5&amp;E5</f>
        <v>L030</v>
      </c>
      <c r="B5" s="75"/>
      <c r="C5" s="70"/>
      <c r="D5" s="116"/>
      <c r="E5" s="117" t="s">
        <v>82</v>
      </c>
      <c r="F5" s="113" t="s">
        <v>103</v>
      </c>
      <c r="G5" s="114" t="s">
        <v>83</v>
      </c>
      <c r="H5" s="85" t="s">
        <v>81</v>
      </c>
      <c r="I5" s="89">
        <v>1</v>
      </c>
      <c r="J5" s="108"/>
      <c r="K5" s="87">
        <f t="shared" ref="K5:K6" si="1">SUM(J5:J5)*I5*$K$2</f>
        <v>0</v>
      </c>
      <c r="L5" s="86">
        <v>255231</v>
      </c>
      <c r="M5" s="87">
        <f>I5*L5</f>
        <v>255231</v>
      </c>
      <c r="N5" s="88"/>
      <c r="O5" s="87">
        <f t="shared" ref="O5:O6" si="2">N5*I5*$O$2</f>
        <v>0</v>
      </c>
      <c r="P5" s="88"/>
      <c r="Q5" s="87">
        <f t="shared" ref="Q5:Q6" si="3">P5*I5*$Q$2</f>
        <v>0</v>
      </c>
      <c r="R5" s="72">
        <f t="shared" ref="R5:R6" si="4">SUM(K5+M5)+O5+Q5</f>
        <v>255231</v>
      </c>
      <c r="S5" s="81"/>
      <c r="T5" s="73"/>
    </row>
    <row r="6" spans="1:20" s="97" customFormat="1" ht="38.1" customHeight="1">
      <c r="A6" s="69" t="str">
        <f t="shared" si="0"/>
        <v>L003</v>
      </c>
      <c r="B6" s="75"/>
      <c r="C6" s="70"/>
      <c r="D6" s="115"/>
      <c r="E6" s="117" t="s">
        <v>80</v>
      </c>
      <c r="F6" s="113" t="s">
        <v>104</v>
      </c>
      <c r="G6" s="114" t="s">
        <v>84</v>
      </c>
      <c r="H6" s="82" t="s">
        <v>81</v>
      </c>
      <c r="I6" s="89">
        <v>1</v>
      </c>
      <c r="J6" s="98"/>
      <c r="K6" s="71">
        <f t="shared" si="1"/>
        <v>0</v>
      </c>
      <c r="L6" s="86">
        <v>224490</v>
      </c>
      <c r="M6" s="87">
        <f>I6*L6</f>
        <v>224490</v>
      </c>
      <c r="N6" s="72"/>
      <c r="O6" s="71">
        <f t="shared" si="2"/>
        <v>0</v>
      </c>
      <c r="P6" s="72"/>
      <c r="Q6" s="71">
        <f t="shared" si="3"/>
        <v>0</v>
      </c>
      <c r="R6" s="72">
        <f t="shared" si="4"/>
        <v>224490</v>
      </c>
      <c r="S6" s="81"/>
      <c r="T6" s="73"/>
    </row>
    <row r="7" spans="1:20" s="97" customFormat="1" ht="38.1" customHeight="1">
      <c r="A7" s="69">
        <v>999999</v>
      </c>
      <c r="B7" s="75"/>
      <c r="C7" s="70"/>
      <c r="D7" s="115"/>
      <c r="E7" s="117"/>
      <c r="F7" s="113" t="s">
        <v>105</v>
      </c>
      <c r="G7" s="114" t="s">
        <v>111</v>
      </c>
      <c r="H7" s="82" t="s">
        <v>85</v>
      </c>
      <c r="I7" s="89">
        <v>1</v>
      </c>
      <c r="J7" s="121">
        <v>250000</v>
      </c>
      <c r="K7" s="71">
        <f t="shared" ref="K7:K9" si="5">I7*J7</f>
        <v>250000</v>
      </c>
      <c r="L7" s="86"/>
      <c r="M7" s="87">
        <f t="shared" ref="M7:M9" si="6">I7*L7</f>
        <v>0</v>
      </c>
      <c r="N7" s="72"/>
      <c r="O7" s="71">
        <f t="shared" ref="O7:O9" si="7">N7*I7*$O$2</f>
        <v>0</v>
      </c>
      <c r="P7" s="72"/>
      <c r="Q7" s="71">
        <f t="shared" ref="Q7:Q9" si="8">P7*I7*$Q$2</f>
        <v>0</v>
      </c>
      <c r="R7" s="72">
        <f t="shared" ref="R7:R9" si="9">SUM(K7+M7)+O7+Q7</f>
        <v>250000</v>
      </c>
      <c r="S7" s="81"/>
      <c r="T7" s="73"/>
    </row>
    <row r="8" spans="1:20" s="97" customFormat="1" ht="38.1" customHeight="1">
      <c r="A8" s="69">
        <v>999999</v>
      </c>
      <c r="B8" s="75"/>
      <c r="C8" s="70"/>
      <c r="D8" s="115"/>
      <c r="E8" s="117"/>
      <c r="F8" s="113" t="s">
        <v>106</v>
      </c>
      <c r="G8" s="114" t="s">
        <v>111</v>
      </c>
      <c r="H8" s="82" t="s">
        <v>85</v>
      </c>
      <c r="I8" s="89">
        <v>1</v>
      </c>
      <c r="J8" s="121">
        <v>250000</v>
      </c>
      <c r="K8" s="71">
        <f t="shared" ref="K8" si="10">I8*J8</f>
        <v>250000</v>
      </c>
      <c r="L8" s="86"/>
      <c r="M8" s="87">
        <f t="shared" ref="M8" si="11">I8*L8</f>
        <v>0</v>
      </c>
      <c r="N8" s="72"/>
      <c r="O8" s="71">
        <f t="shared" ref="O8" si="12">N8*I8*$O$2</f>
        <v>0</v>
      </c>
      <c r="P8" s="72"/>
      <c r="Q8" s="71">
        <f t="shared" ref="Q8" si="13">P8*I8*$Q$2</f>
        <v>0</v>
      </c>
      <c r="R8" s="72">
        <f t="shared" ref="R8" si="14">SUM(K8+M8)+O8+Q8</f>
        <v>250000</v>
      </c>
      <c r="S8" s="81"/>
      <c r="T8" s="73"/>
    </row>
    <row r="9" spans="1:20" s="97" customFormat="1" ht="38.1" customHeight="1">
      <c r="A9" s="69">
        <v>999999</v>
      </c>
      <c r="B9" s="75"/>
      <c r="C9" s="70"/>
      <c r="D9" s="115"/>
      <c r="E9" s="117"/>
      <c r="F9" s="113" t="s">
        <v>107</v>
      </c>
      <c r="G9" s="114" t="s">
        <v>111</v>
      </c>
      <c r="H9" s="82" t="s">
        <v>85</v>
      </c>
      <c r="I9" s="89">
        <v>1</v>
      </c>
      <c r="J9" s="121">
        <v>250000</v>
      </c>
      <c r="K9" s="71">
        <f t="shared" si="5"/>
        <v>250000</v>
      </c>
      <c r="L9" s="86"/>
      <c r="M9" s="87">
        <f t="shared" si="6"/>
        <v>0</v>
      </c>
      <c r="N9" s="72"/>
      <c r="O9" s="71">
        <f t="shared" si="7"/>
        <v>0</v>
      </c>
      <c r="P9" s="72"/>
      <c r="Q9" s="71">
        <f t="shared" si="8"/>
        <v>0</v>
      </c>
      <c r="R9" s="72">
        <f t="shared" si="9"/>
        <v>250000</v>
      </c>
      <c r="S9" s="81"/>
      <c r="T9" s="73"/>
    </row>
    <row r="10" spans="1:20" s="97" customFormat="1" ht="38.1" customHeight="1">
      <c r="A10" s="69">
        <v>999999</v>
      </c>
      <c r="B10" s="75"/>
      <c r="C10" s="70"/>
      <c r="D10" s="115"/>
      <c r="E10" s="117"/>
      <c r="F10" s="113" t="s">
        <v>108</v>
      </c>
      <c r="G10" s="114" t="s">
        <v>111</v>
      </c>
      <c r="H10" s="82" t="s">
        <v>85</v>
      </c>
      <c r="I10" s="89">
        <v>1</v>
      </c>
      <c r="J10" s="121">
        <v>250000</v>
      </c>
      <c r="K10" s="71">
        <f t="shared" ref="K10" si="15">I10*J10</f>
        <v>250000</v>
      </c>
      <c r="L10" s="86"/>
      <c r="M10" s="87">
        <f t="shared" ref="M10" si="16">I10*L10</f>
        <v>0</v>
      </c>
      <c r="N10" s="72"/>
      <c r="O10" s="71">
        <f t="shared" ref="O10" si="17">N10*I10*$O$2</f>
        <v>0</v>
      </c>
      <c r="P10" s="72"/>
      <c r="Q10" s="71">
        <f t="shared" ref="Q10" si="18">P10*I10*$Q$2</f>
        <v>0</v>
      </c>
      <c r="R10" s="72">
        <f t="shared" ref="R10" si="19">SUM(K10+M10)+O10+Q10</f>
        <v>250000</v>
      </c>
      <c r="S10" s="81"/>
      <c r="T10" s="73"/>
    </row>
    <row r="11" spans="1:20" s="104" customFormat="1" ht="38.1" customHeight="1">
      <c r="A11" s="99"/>
      <c r="B11" s="100"/>
      <c r="C11" s="100"/>
      <c r="D11" s="100"/>
      <c r="E11" s="100"/>
      <c r="F11" s="92"/>
      <c r="G11" s="92"/>
      <c r="H11" s="100"/>
      <c r="I11" s="100"/>
      <c r="J11" s="100"/>
      <c r="K11" s="101">
        <f>SUM(K5:K10)</f>
        <v>1000000</v>
      </c>
      <c r="L11" s="102"/>
      <c r="M11" s="101">
        <f>SUM(M5:M10)</f>
        <v>479721</v>
      </c>
      <c r="N11" s="102"/>
      <c r="O11" s="101">
        <f>SUM(O5:O10)</f>
        <v>0</v>
      </c>
      <c r="P11" s="102"/>
      <c r="Q11" s="101">
        <f>SUM(Q5:Q10)</f>
        <v>0</v>
      </c>
      <c r="R11" s="103">
        <f>SUM(R5:R10)</f>
        <v>1479721</v>
      </c>
      <c r="S11" s="79"/>
      <c r="T11" s="10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G23" sqref="G23:G24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L030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L030</v>
      </c>
      <c r="F2" s="80">
        <f>'내역서(표준단가)'!I5</f>
        <v>1</v>
      </c>
    </row>
    <row r="3" spans="1:6">
      <c r="A3" s="77" t="str">
        <f>'내역서(표준단가)'!A6</f>
        <v>L003</v>
      </c>
      <c r="B3" s="78">
        <f>'내역서(표준단가)'!B6</f>
        <v>0</v>
      </c>
      <c r="C3" s="78">
        <f>'내역서(표준단가)'!C6</f>
        <v>0</v>
      </c>
      <c r="D3" s="78">
        <f>'내역서(표준단가)'!D6</f>
        <v>0</v>
      </c>
      <c r="E3" s="78" t="str">
        <f>'내역서(표준단가)'!E6</f>
        <v>L003</v>
      </c>
      <c r="F3" s="80">
        <f>'내역서(표준단가)'!I6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6CC3-E0A6-48E0-9099-6A0D735A4086}">
  <dimension ref="A1:R5"/>
  <sheetViews>
    <sheetView workbookViewId="0">
      <selection activeCell="D20" sqref="D20"/>
    </sheetView>
  </sheetViews>
  <sheetFormatPr defaultColWidth="9" defaultRowHeight="14.25"/>
  <cols>
    <col min="1" max="1" width="11.125" style="74" customWidth="1"/>
    <col min="2" max="2" width="13.375" style="74" customWidth="1"/>
    <col min="3" max="3" width="38.375" style="74" customWidth="1"/>
    <col min="4" max="4" width="36.875" style="74" customWidth="1"/>
    <col min="5" max="5" width="5" style="74" customWidth="1"/>
    <col min="6" max="6" width="6.25" style="74" customWidth="1"/>
    <col min="7" max="7" width="11.625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>
      <c r="A1" s="122" t="s">
        <v>87</v>
      </c>
      <c r="B1" s="122" t="s">
        <v>88</v>
      </c>
      <c r="C1" s="122" t="s">
        <v>89</v>
      </c>
      <c r="D1" s="122" t="s">
        <v>90</v>
      </c>
      <c r="E1" s="122" t="s">
        <v>47</v>
      </c>
      <c r="F1" s="122" t="s">
        <v>5</v>
      </c>
      <c r="G1" s="122" t="s">
        <v>91</v>
      </c>
      <c r="H1" s="122" t="s">
        <v>92</v>
      </c>
      <c r="I1" s="122" t="s">
        <v>93</v>
      </c>
      <c r="J1" s="122" t="s">
        <v>94</v>
      </c>
      <c r="K1" s="122" t="s">
        <v>95</v>
      </c>
      <c r="L1" s="122" t="s">
        <v>96</v>
      </c>
      <c r="M1" s="122" t="s">
        <v>97</v>
      </c>
      <c r="N1" s="122" t="s">
        <v>98</v>
      </c>
      <c r="O1" s="122" t="s">
        <v>99</v>
      </c>
      <c r="P1" s="122" t="s">
        <v>100</v>
      </c>
      <c r="Q1" s="122" t="s">
        <v>101</v>
      </c>
      <c r="R1" s="122" t="s">
        <v>102</v>
      </c>
    </row>
    <row r="2" spans="1:18" ht="18" customHeight="1">
      <c r="A2" s="126"/>
      <c r="B2" s="126"/>
      <c r="C2" s="113" t="s">
        <v>105</v>
      </c>
      <c r="D2" s="114" t="s">
        <v>86</v>
      </c>
      <c r="E2" s="82" t="s">
        <v>85</v>
      </c>
      <c r="F2" s="89">
        <v>1</v>
      </c>
      <c r="G2" s="121">
        <v>250000</v>
      </c>
      <c r="H2" s="123"/>
      <c r="I2" s="123"/>
      <c r="J2" s="123"/>
      <c r="K2" s="123"/>
      <c r="L2" s="123"/>
      <c r="M2" s="123"/>
      <c r="N2" s="123"/>
      <c r="O2" s="124"/>
      <c r="P2" s="124"/>
      <c r="Q2" s="124"/>
      <c r="R2" s="124"/>
    </row>
    <row r="3" spans="1:18">
      <c r="A3" s="126"/>
      <c r="B3" s="126"/>
      <c r="C3" s="113" t="s">
        <v>106</v>
      </c>
      <c r="D3" s="114" t="s">
        <v>86</v>
      </c>
      <c r="E3" s="82" t="s">
        <v>85</v>
      </c>
      <c r="F3" s="89">
        <v>1</v>
      </c>
      <c r="G3" s="121">
        <v>250000</v>
      </c>
      <c r="H3" s="125"/>
      <c r="I3" s="125"/>
      <c r="J3" s="125"/>
      <c r="K3" s="125"/>
      <c r="L3" s="125"/>
      <c r="M3" s="125"/>
      <c r="N3" s="125"/>
    </row>
    <row r="4" spans="1:18">
      <c r="A4" s="126"/>
      <c r="B4" s="126"/>
      <c r="C4" s="113" t="s">
        <v>107</v>
      </c>
      <c r="D4" s="114" t="s">
        <v>86</v>
      </c>
      <c r="E4" s="82" t="s">
        <v>85</v>
      </c>
      <c r="F4" s="89">
        <v>1</v>
      </c>
      <c r="G4" s="121">
        <v>250000</v>
      </c>
      <c r="H4" s="125"/>
      <c r="I4" s="125"/>
      <c r="J4" s="125"/>
      <c r="K4" s="125"/>
      <c r="L4" s="125"/>
      <c r="M4" s="125"/>
      <c r="N4" s="125"/>
    </row>
    <row r="5" spans="1:18">
      <c r="A5" s="126"/>
      <c r="B5" s="126"/>
      <c r="C5" s="113" t="s">
        <v>108</v>
      </c>
      <c r="D5" s="114" t="s">
        <v>86</v>
      </c>
      <c r="E5" s="82" t="s">
        <v>85</v>
      </c>
      <c r="F5" s="89">
        <v>1</v>
      </c>
      <c r="G5" s="121">
        <v>250000</v>
      </c>
      <c r="H5" s="125"/>
      <c r="I5" s="125"/>
      <c r="J5" s="125"/>
      <c r="K5" s="125"/>
      <c r="L5" s="125"/>
      <c r="M5" s="125"/>
      <c r="N5" s="125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3033-D8F9-42E0-8F94-785EC13D919E}">
  <sheetPr>
    <pageSetUpPr fitToPage="1"/>
  </sheetPr>
  <dimension ref="G1:P1"/>
  <sheetViews>
    <sheetView zoomScaleNormal="100" zoomScaleSheetLayoutView="85" workbookViewId="0"/>
  </sheetViews>
  <sheetFormatPr defaultColWidth="9" defaultRowHeight="14.25"/>
  <cols>
    <col min="1" max="1" width="11.5" style="118" bestFit="1" customWidth="1"/>
    <col min="2" max="2" width="17.875" style="118" customWidth="1"/>
    <col min="3" max="3" width="14.625" style="118" customWidth="1"/>
    <col min="4" max="4" width="10.875" style="118" customWidth="1"/>
    <col min="5" max="5" width="12" style="118" customWidth="1"/>
    <col min="6" max="6" width="10.625" style="118" customWidth="1"/>
    <col min="7" max="7" width="13.625" style="119" customWidth="1"/>
    <col min="8" max="8" width="9.625" style="118" customWidth="1"/>
    <col min="9" max="9" width="13.625" style="118" customWidth="1"/>
    <col min="10" max="10" width="12.75" style="118" customWidth="1"/>
    <col min="11" max="11" width="9.25" style="118" customWidth="1"/>
    <col min="12" max="12" width="13.625" style="119" customWidth="1"/>
    <col min="13" max="13" width="9.625" style="118" customWidth="1"/>
    <col min="14" max="14" width="13.625" style="119" customWidth="1"/>
    <col min="15" max="15" width="18.75" style="120" customWidth="1"/>
    <col min="16" max="16" width="20.875" style="120" customWidth="1"/>
    <col min="17" max="16384" width="9" style="118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Upload(시중가)</vt:lpstr>
      <vt:lpstr>시중가 근거서류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2026-09-09T01:50:30Z</dcterms:modified>
</cp:coreProperties>
</file>
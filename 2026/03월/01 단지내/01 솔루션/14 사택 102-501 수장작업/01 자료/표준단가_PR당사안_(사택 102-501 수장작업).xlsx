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982918DA-F5E2-4107-8331-872DA519849F}"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6" i="12"/>
  <c r="J23"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<sst xmlns="http://schemas.openxmlformats.org/spreadsheetml/2006/main" count="220" uniqueCount="169">
  <si>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</si>
  <si>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</si>
  <si>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</si>
  <si>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</si>
  <si>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</si>
  <si>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</si>
  <si>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</si>
  <si>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</si>
  <si>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</si>
  <si>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</si>
  <si>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</si>
  <si>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</si>
  <si>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</si>
  <si>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</si>
  <si>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</si>
  <si>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</si>
  <si>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</si>
  <si>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</si>
  <si>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</si>
  <si>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</si>
  <si>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</si>
  <si>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</si>
  <si>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</si>
  <si>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</si>
  <si>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</si>
  <si>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</si>
  <si>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</si>
  <si>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</si>
  <si>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</si>
  <si>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</si>
  <si>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</si>
  <si>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</si>
  <si>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</si>
  <si>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</si>
  <si>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</si>
  <si>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</si>
  <si>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</si>
  <si>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</si>
  <si>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</si>
  <si>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</si>
  <si>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</si>
  <si>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</si>
  <si>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</si>
  <si>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</si>
  <si>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</si>
  <si>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</si>
  <si>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</si>
  <si>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</si>
  <si>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</si>
  <si>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</si>
  <si>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</si>
  <si>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</si>
  <si>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</si>
  <si>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</si>
  <si>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</si>
  <si>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</si>
  <si>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</si>
  <si>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</si>
  <si>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</si>
  <si>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</si>
  <si>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</si>
  <si>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</si>
  <si>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</si>
  <si>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</si>
  <si>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</si>
  <si>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</si>
  <si>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</si>
  <si>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</si>
  <si>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</si>
  <si>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</si>
  <si>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</si>
  <si>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</si>
  <si>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</si>
  <si>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</si>
  <si>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</si>
  <si>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</si>
  <si>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</si>
  <si>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</si>
  <si>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</si>
  <si>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</si>
  <si>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</si>
  <si>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</si>
  <si>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</si>
  <si>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</si>
  <si>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</si>
  <si>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</si>
  <si>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</si>
  <si>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</si>
  <si>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</si>
  <si>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</si>
  <si>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</si>
  <si>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</si>
  <si>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</si>
  <si>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</si>
  <si>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</si>
  <si>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</si>
  <si>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</si>
  <si>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</si>
  <si>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</si>
  <si>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</si>
  <si>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</si>
  <si>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</si>
  <si>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102-501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</si>
  <si>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</si>
  <si>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</si>
  <si>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</si>
  <si>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</si>
  <si>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</si>
  <si>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</si>
  <si>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</si>
  <si>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</si>
  <si>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</si>
  <si>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</si>
  <si>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</si>
  <si>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</si>
  <si>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</si>
  <si>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</si>
  <si>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</si>
  <si>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</si>
  <si>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</si>
  <si>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</si>
  <si>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</si>
  <si>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</si>
  <si>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</si>
  <si>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</si>
  <si>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</si>
  <si>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</si>
  <si>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</si>
  <si>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</si>
  <si>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</si>
  <si>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</si>
  <si>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</si>
  <si>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</si>
  <si>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</si>
  <si>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</si>
  <si>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</si>
  <si>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</si>
  <si>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</si>
  <si>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</si>
  <si>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</si>
  <si>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</si>
  <si>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</si>
  <si>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</si>
  <si>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</si>
  <si>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</si>
  <si>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</si>
  <si>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</si>
  <si>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</si>
  <si>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</si>
  <si>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</si>
  <si>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</si>
  <si>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</si>
  <si>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</si>
  <si>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</si>
  <si>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</si>
  <si>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</si>
  <si>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</si>
  <si>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</si>
  <si>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</si>
  <si>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</si>
  <si>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</si>
  <si>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</si>
  <si>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</si>
  <si>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</si>
  <si>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</si>
  <si>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</si>
  <si>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</si>
  <si>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102-501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</si>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</sst>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04B1B47B-B77B-4841-ADF1-F00FD1BBCCCB}"/>
    <cellStyle name="쉼표 [0] 2 84" xfId="24" xr:uid="{B635F8B1-63B9-4029-BF9A-8397B5523632}"/>
    <cellStyle name="쉼표 [0] 3" xfId="14" xr:uid="{8F7BE219-40E1-4BBB-A9BD-02188B74B2A3}"/>
    <cellStyle name="쉼표 [0] 4" xfId="21" xr:uid="{F7723301-C602-4422-80DA-05F0079DFA68}"/>
    <cellStyle name="쉼표 [0] 5" xfId="23" xr:uid="{3C977590-81B1-4F05-809F-31DB97B406FE}"/>
    <cellStyle name="통화 [0] 2 2" xfId="10" xr:uid="{00000000-0005-0000-0000-000007000000}"/>
    <cellStyle name="표준" xfId="0" builtinId="0"/>
    <cellStyle name="표준 10 10 2" xfId="3" xr:uid="{00000000-0005-0000-0000-000009000000}"/>
    <cellStyle name="표준 10 2" xfId="18" xr:uid="{4EAD026A-657C-4172-80A6-8C51F463D20F}"/>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C2C178F-914C-4527-86A9-E46722E218DA}"/>
    <cellStyle name="표준_P456 공장 및 복지동 전면 유리창 청소건 라상혁님_1129(최종)" xfId="20" xr:uid="{F6770F81-8E08-4E6E-85FE-6636E0C86FFF}"/>
    <cellStyle name="표준_S&amp;D_MAIN VALVE_최빈_2" xfId="17" xr:uid="{10B902C2-77CF-47F1-8031-208CDA658A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0B45FFC-AE4B-419D-A989-2534F0E6AF0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1CD563-1587-4326-BFFA-AA6E356BA514}">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E52D-2F18-4CE0-A080-F974AF3834E7}">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103</v>
      </c>
      <c r="B3" s="177"/>
      <c r="C3" s="177"/>
      <c r="D3" s="177"/>
      <c r="E3" s="177"/>
      <c r="F3" s="177"/>
      <c r="G3" s="177"/>
      <c r="H3" s="177"/>
      <c r="I3" s="177"/>
      <c r="J3" s="177"/>
      <c r="K3" s="177"/>
      <c r="L3" s="177"/>
      <c r="M3" s="177"/>
      <c r="N3" s="177"/>
      <c r="O3" s="178"/>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105</v>
      </c>
      <c r="B7" s="180"/>
      <c r="C7" s="181"/>
      <c r="D7" s="166">
        <v>2026</v>
      </c>
      <c r="E7" s="116" t="s">
        <v>106</v>
      </c>
      <c r="F7" s="167">
        <v>1</v>
      </c>
      <c r="G7" s="116" t="s">
        <v>107</v>
      </c>
      <c r="H7" s="167">
        <v>17</v>
      </c>
      <c r="I7" s="116" t="s">
        <v>108</v>
      </c>
      <c r="J7" s="117"/>
      <c r="K7" s="182" t="s">
        <v>109</v>
      </c>
      <c r="L7" s="118" t="s">
        <v>110</v>
      </c>
      <c r="M7" s="118" t="s">
        <v>111</v>
      </c>
      <c r="N7" s="118" t="s">
        <v>112</v>
      </c>
      <c r="O7" s="119" t="s">
        <v>113</v>
      </c>
    </row>
    <row r="8" spans="1:15" ht="23.25" customHeight="1" x14ac:dyDescent="0.3">
      <c r="A8" s="185" t="s">
        <v>114</v>
      </c>
      <c r="B8" s="186"/>
      <c r="C8" s="187"/>
      <c r="D8" s="188" t="s">
        <v>115</v>
      </c>
      <c r="E8" s="189"/>
      <c r="F8" s="189"/>
      <c r="G8" s="190"/>
      <c r="H8" s="191" t="s">
        <v>116</v>
      </c>
      <c r="I8" s="189"/>
      <c r="J8" s="192"/>
      <c r="K8" s="183"/>
      <c r="L8" s="120" t="s">
        <v>117</v>
      </c>
      <c r="M8" s="120" t="s">
        <v>118</v>
      </c>
      <c r="N8" s="120" t="s">
        <v>119</v>
      </c>
      <c r="O8" s="121" t="s">
        <v>120</v>
      </c>
    </row>
    <row r="9" spans="1:15" ht="23.25" customHeight="1" x14ac:dyDescent="0.3">
      <c r="A9" s="185" t="s">
        <v>121</v>
      </c>
      <c r="B9" s="186"/>
      <c r="C9" s="187"/>
      <c r="D9" s="193" t="s">
        <v>122</v>
      </c>
      <c r="E9" s="194"/>
      <c r="F9" s="194"/>
      <c r="G9" s="194"/>
      <c r="H9" s="194"/>
      <c r="I9" s="194"/>
      <c r="J9" s="195"/>
      <c r="K9" s="183"/>
      <c r="L9" s="120" t="s">
        <v>123</v>
      </c>
      <c r="M9" s="196" t="s">
        <v>124</v>
      </c>
      <c r="N9" s="186"/>
      <c r="O9" s="187"/>
    </row>
    <row r="10" spans="1:15" ht="23.25" customHeight="1" thickBot="1" x14ac:dyDescent="0.35">
      <c r="A10" s="197" t="s">
        <v>125</v>
      </c>
      <c r="B10" s="198"/>
      <c r="C10" s="199"/>
      <c r="D10" s="200" t="s">
        <v>126</v>
      </c>
      <c r="E10" s="201"/>
      <c r="F10" s="201"/>
      <c r="G10" s="201"/>
      <c r="H10" s="201"/>
      <c r="I10" s="201"/>
      <c r="J10" s="202"/>
      <c r="K10" s="184"/>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167</v>
      </c>
      <c r="C13" s="172"/>
      <c r="D13" s="172"/>
      <c r="E13" s="172"/>
      <c r="F13" s="172"/>
      <c r="G13" s="172"/>
      <c r="H13" s="172"/>
      <c r="I13" s="172"/>
      <c r="J13" s="172"/>
      <c r="K13" s="172"/>
      <c r="L13" s="172"/>
      <c r="M13" s="172"/>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132</v>
      </c>
      <c r="B17" s="213" t="s">
        <v>133</v>
      </c>
      <c r="C17" s="214"/>
      <c r="D17" s="214"/>
      <c r="E17" s="214"/>
      <c r="F17" s="214"/>
      <c r="G17" s="215"/>
      <c r="H17" s="133" t="s">
        <v>134</v>
      </c>
      <c r="I17" s="134" t="s">
        <v>135</v>
      </c>
      <c r="J17" s="216" t="s">
        <v>136</v>
      </c>
      <c r="K17" s="217"/>
      <c r="L17" s="217"/>
      <c r="M17" s="218"/>
      <c r="N17" s="213" t="s">
        <v>137</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138</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139</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140</v>
      </c>
      <c r="O21" s="243"/>
    </row>
    <row r="22" spans="1:17" ht="28.5" customHeight="1" x14ac:dyDescent="0.3">
      <c r="A22" s="135"/>
      <c r="B22" s="139"/>
      <c r="C22" s="244" t="s">
        <v>141</v>
      </c>
      <c r="D22" s="245"/>
      <c r="E22" s="245"/>
      <c r="F22" s="245"/>
      <c r="G22" s="246"/>
      <c r="H22" s="140">
        <v>3.11</v>
      </c>
      <c r="I22" s="140" t="s">
        <v>142</v>
      </c>
      <c r="J22" s="247">
        <f>IFERROR((J18+J19)*H22%,"-")</f>
        <v>141924.85639142321</v>
      </c>
      <c r="K22" s="248"/>
      <c r="L22" s="248"/>
      <c r="M22" s="249"/>
      <c r="N22" s="250" t="s">
        <v>143</v>
      </c>
      <c r="O22" s="251"/>
    </row>
    <row r="23" spans="1:17" ht="28.5" customHeight="1" x14ac:dyDescent="0.3">
      <c r="A23" s="135"/>
      <c r="B23" s="139"/>
      <c r="C23" s="244" t="s">
        <v>144</v>
      </c>
      <c r="D23" s="245"/>
      <c r="E23" s="245"/>
      <c r="F23" s="245"/>
      <c r="G23" s="246"/>
      <c r="H23" s="140">
        <v>3.56</v>
      </c>
      <c r="I23" s="140" t="s">
        <v>145</v>
      </c>
      <c r="J23" s="247">
        <f>IFERROR(J19*H23%,"-")</f>
        <v>128512.12711202718</v>
      </c>
      <c r="K23" s="248"/>
      <c r="L23" s="248"/>
      <c r="M23" s="249"/>
      <c r="N23" s="250" t="s">
        <v>146</v>
      </c>
      <c r="O23" s="251"/>
    </row>
    <row r="24" spans="1:17" ht="28.5" customHeight="1" x14ac:dyDescent="0.3">
      <c r="A24" s="135"/>
      <c r="B24" s="139"/>
      <c r="C24" s="244" t="s">
        <v>147</v>
      </c>
      <c r="D24" s="245"/>
      <c r="E24" s="245"/>
      <c r="F24" s="245"/>
      <c r="G24" s="246"/>
      <c r="H24" s="140">
        <v>1.01</v>
      </c>
      <c r="I24" s="140" t="s">
        <v>145</v>
      </c>
      <c r="J24" s="247">
        <f>IFERROR(J19*H24%,"-")</f>
        <v>36459.901231221193</v>
      </c>
      <c r="K24" s="248"/>
      <c r="L24" s="248"/>
      <c r="M24" s="249"/>
      <c r="N24" s="250" t="s">
        <v>148</v>
      </c>
      <c r="O24" s="251"/>
    </row>
    <row r="25" spans="1:17" ht="28.5" customHeight="1" x14ac:dyDescent="0.3">
      <c r="A25" s="135"/>
      <c r="B25" s="139"/>
      <c r="C25" s="244" t="s">
        <v>149</v>
      </c>
      <c r="D25" s="245"/>
      <c r="E25" s="245"/>
      <c r="F25" s="245"/>
      <c r="G25" s="246"/>
      <c r="H25" s="141">
        <v>3.5449999999999999</v>
      </c>
      <c r="I25" s="140" t="s">
        <v>145</v>
      </c>
      <c r="J25" s="247">
        <f>IFERROR(J19*H25%,"-")</f>
        <v>127970.64343037541</v>
      </c>
      <c r="K25" s="248"/>
      <c r="L25" s="248"/>
      <c r="M25" s="249"/>
      <c r="N25" s="250" t="s">
        <v>150</v>
      </c>
      <c r="O25" s="251"/>
      <c r="Q25" s="138"/>
    </row>
    <row r="26" spans="1:17" ht="28.5" customHeight="1" x14ac:dyDescent="0.3">
      <c r="A26" s="135"/>
      <c r="B26" s="139"/>
      <c r="C26" s="244" t="s">
        <v>151</v>
      </c>
      <c r="D26" s="245"/>
      <c r="E26" s="245"/>
      <c r="F26" s="245"/>
      <c r="G26" s="246"/>
      <c r="H26" s="140">
        <v>4.5</v>
      </c>
      <c r="I26" s="140" t="s">
        <v>145</v>
      </c>
      <c r="J26" s="247">
        <f>IFERROR(J19*H26%,"-")</f>
        <v>162445.10449553997</v>
      </c>
      <c r="K26" s="248"/>
      <c r="L26" s="248"/>
      <c r="M26" s="249"/>
      <c r="N26" s="250" t="s">
        <v>152</v>
      </c>
      <c r="O26" s="251"/>
      <c r="Q26" s="142"/>
    </row>
    <row r="27" spans="1:17" ht="28.5" customHeight="1" x14ac:dyDescent="0.3">
      <c r="A27" s="135"/>
      <c r="B27" s="139"/>
      <c r="C27" s="252" t="s">
        <v>153</v>
      </c>
      <c r="D27" s="253"/>
      <c r="E27" s="253"/>
      <c r="F27" s="253"/>
      <c r="G27" s="254"/>
      <c r="H27" s="143">
        <v>12.95</v>
      </c>
      <c r="I27" s="144" t="s">
        <v>145</v>
      </c>
      <c r="J27" s="255">
        <f>IFERROR($H$27*J25%,"-")</f>
        <v>16572.198324233614</v>
      </c>
      <c r="K27" s="256"/>
      <c r="L27" s="256"/>
      <c r="M27" s="257"/>
      <c r="N27" s="250" t="s">
        <v>154</v>
      </c>
      <c r="O27" s="251"/>
    </row>
    <row r="28" spans="1:17" ht="28.5" customHeight="1" x14ac:dyDescent="0.3">
      <c r="A28" s="135"/>
      <c r="B28" s="139"/>
      <c r="C28" s="252" t="s">
        <v>155</v>
      </c>
      <c r="D28" s="253"/>
      <c r="E28" s="253"/>
      <c r="F28" s="253"/>
      <c r="G28" s="254"/>
      <c r="H28" s="143">
        <v>8.1000000000000003E-2</v>
      </c>
      <c r="I28" s="144" t="s">
        <v>145</v>
      </c>
      <c r="J28" s="255" t="str">
        <f>IFERROR(IF(SUM(J21:J27,J18:J19)&gt;=10000000,SUM(J21:J27,J18:J19)*H28%,"-"),"-")</f>
        <v>-</v>
      </c>
      <c r="K28" s="256"/>
      <c r="L28" s="256"/>
      <c r="M28" s="257"/>
      <c r="N28" s="258" t="s">
        <v>156</v>
      </c>
      <c r="O28" s="259"/>
    </row>
    <row r="29" spans="1:17" ht="28.5" customHeight="1" x14ac:dyDescent="0.3">
      <c r="A29" s="145"/>
      <c r="B29" s="146"/>
      <c r="C29" s="260" t="s">
        <v>157</v>
      </c>
      <c r="D29" s="261"/>
      <c r="E29" s="261"/>
      <c r="F29" s="261"/>
      <c r="G29" s="262"/>
      <c r="H29" s="147">
        <v>1</v>
      </c>
      <c r="I29" s="148" t="s">
        <v>158</v>
      </c>
      <c r="J29" s="263">
        <f>34*0</f>
        <v>0</v>
      </c>
      <c r="K29" s="264"/>
      <c r="L29" s="264"/>
      <c r="M29" s="265"/>
      <c r="N29" s="266" t="s">
        <v>159</v>
      </c>
      <c r="O29" s="267"/>
    </row>
    <row r="30" spans="1:17" ht="28.5" customHeight="1" x14ac:dyDescent="0.3">
      <c r="A30" s="145">
        <v>4</v>
      </c>
      <c r="B30" s="146"/>
      <c r="C30" s="260" t="s">
        <v>160</v>
      </c>
      <c r="D30" s="261"/>
      <c r="E30" s="261"/>
      <c r="F30" s="261"/>
      <c r="G30" s="262"/>
      <c r="H30" s="148">
        <v>5</v>
      </c>
      <c r="I30" s="149" t="s">
        <v>161</v>
      </c>
      <c r="J30" s="273">
        <f>IFERROR(IF(ISNUMBER(H30), SUM(J18:M20) * (H30 / 100), "-"), "-")</f>
        <v>258869.25182484105</v>
      </c>
      <c r="K30" s="274"/>
      <c r="L30" s="274"/>
      <c r="M30" s="275"/>
      <c r="N30" s="276" t="s">
        <v>162</v>
      </c>
      <c r="O30" s="277"/>
    </row>
    <row r="31" spans="1:17" ht="28.5" customHeight="1" thickBot="1" x14ac:dyDescent="0.35">
      <c r="A31" s="145">
        <v>5</v>
      </c>
      <c r="B31" s="146"/>
      <c r="C31" s="260" t="s">
        <v>163</v>
      </c>
      <c r="D31" s="261"/>
      <c r="E31" s="261"/>
      <c r="F31" s="261"/>
      <c r="G31" s="262"/>
      <c r="H31" s="148">
        <v>7.5</v>
      </c>
      <c r="I31" s="149" t="s">
        <v>145</v>
      </c>
      <c r="J31" s="263">
        <f>IFERROR(SUM(J18:M20, J30) * (H31 / 100), "-")+-51873</f>
        <v>355846.0716241246</v>
      </c>
      <c r="K31" s="264"/>
      <c r="L31" s="264"/>
      <c r="M31" s="265"/>
      <c r="N31" s="278" t="s">
        <v>164</v>
      </c>
      <c r="O31" s="279"/>
      <c r="Q31" s="150"/>
    </row>
    <row r="32" spans="1:17" ht="28.5" customHeight="1" thickBot="1" x14ac:dyDescent="0.35">
      <c r="A32" s="268" t="s">
        <v>165</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102</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2026-01-18T06:46:52Z</dcterms:modified>
</cp:coreProperties>
</file>
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30\06 작업폴더\01 사택 8-505 수장공사\01 자료\"/>
    </mc:Choice>
  </mc:AlternateContent>
  <xr:revisionPtr revIDLastSave="0" documentId="13_ncr:1_{9367F6A3-4C91-4C7E-BFBE-FC5021D7F0C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U5" i="4"/>
  <c r="S5" i="4"/>
  <c r="Q5" i="4"/>
  <c r="O5" i="4"/>
  <c r="A5" i="4"/>
  <c r="A2" i="1" s="1"/>
  <c r="J28" i="11" l="1"/>
  <c r="J20" i="11" s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22" i="9" l="1"/>
  <c r="L33" i="9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<sst xmlns="http://schemas.openxmlformats.org/spreadsheetml/2006/main" count="253" uniqueCount="185">
  <si>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</si>
  <si>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</si>
  <si>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</si>
  <si>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</si>
  <si>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</si>
  <si>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</si>
  <si>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</si>
  <si>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</si>
  <si>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</si>
  <si>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</si>
  <si>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</si>
  <si>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</si>
  <si>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</si>
  <si>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</si>
  <si>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</si>
  <si>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</si>
  <si>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</si>
  <si>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</si>
  <si>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</si>
  <si>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</si>
  <si>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</si>
  <si>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</si>
  <si>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</si>
  <si>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</si>
  <si>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</si>
  <si>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</si>
  <si>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</si>
  <si>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</si>
  <si>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</si>
  <si>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</si>
  <si>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</si>
  <si>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</si>
  <si>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</si>
  <si>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</si>
  <si>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</si>
  <si>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</si>
  <si>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</si>
  <si>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</si>
  <si>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</si>
  <si>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</si>
  <si>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</si>
  <si>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</si>
  <si>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</si>
  <si>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</si>
  <si>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</si>
  <si>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</si>
  <si>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</si>
  <si>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</si>
  <si>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</si>
  <si>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</si>
  <si>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</si>
  <si>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</si>
  <si>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</si>
  <si>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</si>
  <si>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</si>
  <si>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</si>
  <si>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</si>
  <si>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</si>
  <si>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</si>
  <si>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</si>
  <si>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</si>
  <si>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</si>
  <si>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</si>
  <si>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</si>
  <si>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</si>
  <si>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</si>
  <si>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</si>
  <si>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</si>
  <si>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</si>
  <si>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</si>
  <si>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</si>
  <si>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</si>
  <si>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</si>
  <si>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</si>
  <si>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</si>
  <si>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</si>
  <si>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</si>
  <si>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</si>
  <si>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</si>
  <si>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</si>
  <si>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</si>
  <si>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</si>
  <si>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</si>
  <si>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</si>
  <si>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</si>
  <si>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</si>
  <si>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</si>
  <si>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</si>
  <si>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</si>
  <si>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</si>
  <si>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</si>
  <si>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</si>
  <si>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</si>
  <si>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</si>
  <si>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</si>
  <si>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</si>
  <si>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</si>
  <si>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</si>
  <si>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</si>
  <si>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</si>
  <si>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</si>
  <si>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</si>
  <si>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</si>
  <si>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</si>
  <si>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</si>
  <si>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</si>
  <si>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</si>
  <si>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</si>
  <si>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</si>
  <si>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</si>
  <si>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</si>
  <si>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</si>
  <si>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</si>
  <si>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</si>
  <si>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</si>
  <si>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</si>
  <si>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</si>
  <si>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</si>
  <si>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8-505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</si>
  <si>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</si>
  <si>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</si>
  <si>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</si>
  <si>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</si>
  <si>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</si>
  <si>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</si>
  <si>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</si>
  <si>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</si>
  <si>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</si>
  <si>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</si>
  <si>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</si>
  <si>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</si>
  <si>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</si>
  <si>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</si>
  <si>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</si>
  <si>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</si>
  <si>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</si>
  <si>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</si>
  <si>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</si>
  <si>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</si>
  <si>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</si>
  <si>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</si>
  <si>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</si>
  <si>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</si>
  <si>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</si>
  <si>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</si>
  <si>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</si>
  <si>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</si>
  <si>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</si>
  <si>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</si>
  <si>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</si>
  <si>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</si>
  <si>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</si>
  <si>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</si>
  <si>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</si>
  <si>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</si>
  <si>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</si>
  <si>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</si>
  <si>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</si>
  <si>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</si>
  <si>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</si>
  <si>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</si>
  <si>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</si>
  <si>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</si>
  <si>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</si>
  <si>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</si>
  <si>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</si>
  <si>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</si>
  <si>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</si>
  <si>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</si>
  <si>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</si>
  <si>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</si>
  <si>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</si>
  <si>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</si>
  <si>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</si>
  <si>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</si>
  <si>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</si>
  <si>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</si>
  <si>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</si>
  <si>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</si>
  <si>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</si>
  <si>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</si>
  <si>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</si>
  <si>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</si>
  <si>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8-505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</si>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</sst>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7BA233DC-02BA-4A2A-8112-769282509A92}"/>
    <cellStyle name="쉼표 [0] 2 84" xfId="24" xr:uid="{B2945FB5-A14D-4903-A53C-C8231BE2DE07}"/>
    <cellStyle name="쉼표 [0] 3" xfId="14" xr:uid="{8F7BE219-40E1-4BBB-A9BD-02188B74B2A3}"/>
    <cellStyle name="쉼표 [0] 4" xfId="21" xr:uid="{BCDFBFDC-19F6-4493-A62C-115C0E83F701}"/>
    <cellStyle name="쉼표 [0] 5" xfId="23" xr:uid="{5CFC4AC6-5A57-40E2-ADBB-9C7E6EC79BC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925E7C6-F17F-403A-BBF4-160BB66A37E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3559C1D-7E1B-4627-9C07-53C62ADE6A5D}"/>
    <cellStyle name="표준_P456 공장 및 복지동 전면 유리창 청소건 라상혁님_1129(최종)" xfId="20" xr:uid="{5F22CAB2-45FE-43B1-8194-6E856427E473}"/>
    <cellStyle name="표준_S&amp;D_MAIN VALVE_최빈_2" xfId="17" xr:uid="{5AD878C7-5D98-4E31-AC45-E544EBD75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A804818-589E-4AA9-BFC5-61B7F72DB8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AC84-FB17-4308-8FFB-9F946A437D8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0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2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3" t="s">
        <v>119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/>
    </row>
    <row r="4" spans="1:15" ht="16.5" customHeight="1" x14ac:dyDescent="0.3">
      <c r="A4" s="108" t="s">
        <v>120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184</v>
      </c>
      <c r="C5" s="169"/>
      <c r="D5" s="169"/>
      <c r="E5" s="169"/>
      <c r="F5" s="169"/>
      <c r="G5" s="114"/>
      <c r="H5" s="114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56" t="s">
        <v>121</v>
      </c>
      <c r="B7" s="257"/>
      <c r="C7" s="258"/>
      <c r="D7" s="170">
        <v>2025</v>
      </c>
      <c r="E7" s="121" t="s">
        <v>122</v>
      </c>
      <c r="F7" s="121">
        <v>9</v>
      </c>
      <c r="G7" s="121" t="s">
        <v>123</v>
      </c>
      <c r="H7" s="121">
        <v>30</v>
      </c>
      <c r="I7" s="121" t="s">
        <v>124</v>
      </c>
      <c r="J7" s="122"/>
      <c r="K7" s="259" t="s">
        <v>125</v>
      </c>
      <c r="L7" s="123" t="s">
        <v>126</v>
      </c>
      <c r="M7" s="123" t="s">
        <v>127</v>
      </c>
      <c r="N7" s="123" t="s">
        <v>128</v>
      </c>
      <c r="O7" s="124" t="s">
        <v>129</v>
      </c>
    </row>
    <row r="8" spans="1:15" ht="23.25" customHeight="1" x14ac:dyDescent="0.3">
      <c r="A8" s="262" t="s">
        <v>130</v>
      </c>
      <c r="B8" s="263"/>
      <c r="C8" s="264"/>
      <c r="D8" s="265" t="s">
        <v>131</v>
      </c>
      <c r="E8" s="266"/>
      <c r="F8" s="266"/>
      <c r="G8" s="267"/>
      <c r="H8" s="268" t="s">
        <v>132</v>
      </c>
      <c r="I8" s="266"/>
      <c r="J8" s="269"/>
      <c r="K8" s="260"/>
      <c r="L8" s="125" t="s">
        <v>133</v>
      </c>
      <c r="M8" s="125" t="s">
        <v>134</v>
      </c>
      <c r="N8" s="125" t="s">
        <v>135</v>
      </c>
      <c r="O8" s="126" t="s">
        <v>136</v>
      </c>
    </row>
    <row r="9" spans="1:15" ht="23.25" customHeight="1" x14ac:dyDescent="0.3">
      <c r="A9" s="262" t="s">
        <v>137</v>
      </c>
      <c r="B9" s="263"/>
      <c r="C9" s="264"/>
      <c r="D9" s="270" t="s">
        <v>138</v>
      </c>
      <c r="E9" s="271"/>
      <c r="F9" s="271"/>
      <c r="G9" s="271"/>
      <c r="H9" s="271"/>
      <c r="I9" s="271"/>
      <c r="J9" s="272"/>
      <c r="K9" s="260"/>
      <c r="L9" s="125" t="s">
        <v>139</v>
      </c>
      <c r="M9" s="273" t="s">
        <v>140</v>
      </c>
      <c r="N9" s="263"/>
      <c r="O9" s="264"/>
    </row>
    <row r="10" spans="1:15" ht="23.25" customHeight="1" thickBot="1" x14ac:dyDescent="0.35">
      <c r="A10" s="274" t="s">
        <v>141</v>
      </c>
      <c r="B10" s="275"/>
      <c r="C10" s="276"/>
      <c r="D10" s="277" t="s">
        <v>142</v>
      </c>
      <c r="E10" s="278"/>
      <c r="F10" s="278"/>
      <c r="G10" s="278"/>
      <c r="H10" s="278"/>
      <c r="I10" s="278"/>
      <c r="J10" s="279"/>
      <c r="K10" s="261"/>
      <c r="L10" s="127" t="s">
        <v>143</v>
      </c>
      <c r="M10" s="127" t="s">
        <v>144</v>
      </c>
      <c r="N10" s="127" t="s">
        <v>145</v>
      </c>
      <c r="O10" s="128" t="s">
        <v>146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49" t="s">
        <v>183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136" t="s">
        <v>147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2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4"/>
      <c r="L16" s="234"/>
      <c r="M16" s="234"/>
      <c r="N16" s="234"/>
      <c r="O16" s="235"/>
    </row>
    <row r="17" spans="1:17" ht="27.75" customHeight="1" thickBot="1" x14ac:dyDescent="0.35">
      <c r="A17" s="137" t="s">
        <v>148</v>
      </c>
      <c r="B17" s="242" t="s">
        <v>149</v>
      </c>
      <c r="C17" s="243"/>
      <c r="D17" s="243"/>
      <c r="E17" s="243"/>
      <c r="F17" s="243"/>
      <c r="G17" s="244"/>
      <c r="H17" s="138" t="s">
        <v>150</v>
      </c>
      <c r="I17" s="139" t="s">
        <v>151</v>
      </c>
      <c r="J17" s="245" t="s">
        <v>152</v>
      </c>
      <c r="K17" s="246"/>
      <c r="L17" s="246"/>
      <c r="M17" s="247"/>
      <c r="N17" s="242" t="s">
        <v>153</v>
      </c>
      <c r="O17" s="248"/>
    </row>
    <row r="18" spans="1:17" ht="28.5" customHeight="1" x14ac:dyDescent="0.3">
      <c r="A18" s="140">
        <v>1</v>
      </c>
      <c r="B18" s="236" t="s">
        <v>52</v>
      </c>
      <c r="C18" s="237"/>
      <c r="D18" s="237"/>
      <c r="E18" s="237"/>
      <c r="F18" s="237"/>
      <c r="G18" s="238"/>
      <c r="H18" s="171">
        <v>1</v>
      </c>
      <c r="I18" s="172" t="s">
        <v>6</v>
      </c>
      <c r="J18" s="239">
        <f>IFERROR(LOOKUP(2, 1/(TRIM('내역서(표준단가)'!O4:O100)&lt;&gt;""), '내역서(표준단가)'!O4:O100), "-")</f>
        <v>897493.73800000001</v>
      </c>
      <c r="K18" s="239"/>
      <c r="L18" s="239"/>
      <c r="M18" s="239"/>
      <c r="N18" s="240"/>
      <c r="O18" s="241"/>
    </row>
    <row r="19" spans="1:17" ht="28.5" customHeight="1" x14ac:dyDescent="0.3">
      <c r="A19" s="141">
        <v>2</v>
      </c>
      <c r="B19" s="219" t="s">
        <v>53</v>
      </c>
      <c r="C19" s="220"/>
      <c r="D19" s="220"/>
      <c r="E19" s="220"/>
      <c r="F19" s="220"/>
      <c r="G19" s="221"/>
      <c r="H19" s="173">
        <v>1</v>
      </c>
      <c r="I19" s="173" t="s">
        <v>6</v>
      </c>
      <c r="J19" s="222">
        <f>IFERROR(LOOKUP(2, 1/(TRIM('내역서(표준단가)'!Q4:Q100)&lt;&gt;""), '내역서(표준단가)'!Q4:Q100), "-")</f>
        <v>3495707.6123039997</v>
      </c>
      <c r="K19" s="223"/>
      <c r="L19" s="223"/>
      <c r="M19" s="224"/>
      <c r="N19" s="225"/>
      <c r="O19" s="226"/>
    </row>
    <row r="20" spans="1:17" ht="28.5" customHeight="1" x14ac:dyDescent="0.3">
      <c r="A20" s="141">
        <v>3</v>
      </c>
      <c r="B20" s="219" t="s">
        <v>154</v>
      </c>
      <c r="C20" s="220"/>
      <c r="D20" s="220"/>
      <c r="E20" s="220"/>
      <c r="F20" s="220"/>
      <c r="G20" s="221"/>
      <c r="H20" s="142">
        <v>1</v>
      </c>
      <c r="I20" s="142" t="s">
        <v>6</v>
      </c>
      <c r="J20" s="227">
        <f>IFERROR(SUM(J21:M29),"-")</f>
        <v>593660.08440047887</v>
      </c>
      <c r="K20" s="228"/>
      <c r="L20" s="228"/>
      <c r="M20" s="229"/>
      <c r="N20" s="230"/>
      <c r="O20" s="231"/>
      <c r="P20" s="143"/>
    </row>
    <row r="21" spans="1:17" ht="28.5" customHeight="1" x14ac:dyDescent="0.3">
      <c r="A21" s="140"/>
      <c r="B21" s="144"/>
      <c r="C21" s="211" t="s">
        <v>155</v>
      </c>
      <c r="D21" s="212"/>
      <c r="E21" s="212"/>
      <c r="F21" s="212"/>
      <c r="G21" s="213"/>
      <c r="H21" s="174">
        <v>1</v>
      </c>
      <c r="I21" s="174" t="s">
        <v>6</v>
      </c>
      <c r="J21" s="21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5"/>
      <c r="L21" s="215"/>
      <c r="M21" s="216"/>
      <c r="N21" s="217" t="s">
        <v>156</v>
      </c>
      <c r="O21" s="218"/>
    </row>
    <row r="22" spans="1:17" ht="28.5" customHeight="1" x14ac:dyDescent="0.3">
      <c r="A22" s="140"/>
      <c r="B22" s="144"/>
      <c r="C22" s="205" t="s">
        <v>157</v>
      </c>
      <c r="D22" s="206"/>
      <c r="E22" s="206"/>
      <c r="F22" s="206"/>
      <c r="G22" s="207"/>
      <c r="H22" s="145">
        <v>3.11</v>
      </c>
      <c r="I22" s="145" t="s">
        <v>158</v>
      </c>
      <c r="J22" s="208">
        <f>IFERROR((J18+J19)*H22%,"-")</f>
        <v>136628.56199445439</v>
      </c>
      <c r="K22" s="209"/>
      <c r="L22" s="209"/>
      <c r="M22" s="210"/>
      <c r="N22" s="201" t="s">
        <v>159</v>
      </c>
      <c r="O22" s="202"/>
    </row>
    <row r="23" spans="1:17" ht="28.5" customHeight="1" x14ac:dyDescent="0.3">
      <c r="A23" s="140"/>
      <c r="B23" s="144"/>
      <c r="C23" s="205" t="s">
        <v>160</v>
      </c>
      <c r="D23" s="206"/>
      <c r="E23" s="206"/>
      <c r="F23" s="206"/>
      <c r="G23" s="207"/>
      <c r="H23" s="145">
        <v>3.56</v>
      </c>
      <c r="I23" s="145" t="s">
        <v>161</v>
      </c>
      <c r="J23" s="208">
        <f>IFERROR(J19*H23%,"-")</f>
        <v>124447.19099802239</v>
      </c>
      <c r="K23" s="209"/>
      <c r="L23" s="209"/>
      <c r="M23" s="210"/>
      <c r="N23" s="201" t="s">
        <v>162</v>
      </c>
      <c r="O23" s="202"/>
    </row>
    <row r="24" spans="1:17" ht="28.5" customHeight="1" x14ac:dyDescent="0.3">
      <c r="A24" s="140"/>
      <c r="B24" s="144"/>
      <c r="C24" s="205" t="s">
        <v>163</v>
      </c>
      <c r="D24" s="206"/>
      <c r="E24" s="206"/>
      <c r="F24" s="206"/>
      <c r="G24" s="207"/>
      <c r="H24" s="145">
        <v>1.01</v>
      </c>
      <c r="I24" s="145" t="s">
        <v>161</v>
      </c>
      <c r="J24" s="208">
        <f>IFERROR(J19*H24%,"-")</f>
        <v>35306.646884270398</v>
      </c>
      <c r="K24" s="209"/>
      <c r="L24" s="209"/>
      <c r="M24" s="210"/>
      <c r="N24" s="201" t="s">
        <v>164</v>
      </c>
      <c r="O24" s="202"/>
    </row>
    <row r="25" spans="1:17" ht="28.5" customHeight="1" x14ac:dyDescent="0.3">
      <c r="A25" s="140"/>
      <c r="B25" s="144"/>
      <c r="C25" s="205" t="s">
        <v>165</v>
      </c>
      <c r="D25" s="206"/>
      <c r="E25" s="206"/>
      <c r="F25" s="206"/>
      <c r="G25" s="207"/>
      <c r="H25" s="146">
        <v>3.5449999999999999</v>
      </c>
      <c r="I25" s="145" t="s">
        <v>161</v>
      </c>
      <c r="J25" s="208">
        <f>IFERROR(J19*H25%,"-")</f>
        <v>123922.83485617679</v>
      </c>
      <c r="K25" s="209"/>
      <c r="L25" s="209"/>
      <c r="M25" s="210"/>
      <c r="N25" s="201" t="s">
        <v>166</v>
      </c>
      <c r="O25" s="202"/>
      <c r="Q25" s="143"/>
    </row>
    <row r="26" spans="1:17" ht="28.5" customHeight="1" x14ac:dyDescent="0.3">
      <c r="A26" s="140"/>
      <c r="B26" s="144"/>
      <c r="C26" s="205" t="s">
        <v>167</v>
      </c>
      <c r="D26" s="206"/>
      <c r="E26" s="206"/>
      <c r="F26" s="206"/>
      <c r="G26" s="207"/>
      <c r="H26" s="145">
        <v>4.5</v>
      </c>
      <c r="I26" s="145" t="s">
        <v>161</v>
      </c>
      <c r="J26" s="208">
        <f>IFERROR(J19*H26%,"-")</f>
        <v>157306.84255367998</v>
      </c>
      <c r="K26" s="209"/>
      <c r="L26" s="209"/>
      <c r="M26" s="210"/>
      <c r="N26" s="201" t="s">
        <v>168</v>
      </c>
      <c r="O26" s="202"/>
      <c r="Q26" s="147"/>
    </row>
    <row r="27" spans="1:17" ht="28.5" customHeight="1" x14ac:dyDescent="0.3">
      <c r="A27" s="140"/>
      <c r="B27" s="144"/>
      <c r="C27" s="195" t="s">
        <v>169</v>
      </c>
      <c r="D27" s="196"/>
      <c r="E27" s="196"/>
      <c r="F27" s="196"/>
      <c r="G27" s="197"/>
      <c r="H27" s="148">
        <v>12.95</v>
      </c>
      <c r="I27" s="149" t="s">
        <v>161</v>
      </c>
      <c r="J27" s="198">
        <f>IFERROR($H$27*J25%,"-")</f>
        <v>16048.007113874894</v>
      </c>
      <c r="K27" s="199"/>
      <c r="L27" s="199"/>
      <c r="M27" s="200"/>
      <c r="N27" s="201" t="s">
        <v>170</v>
      </c>
      <c r="O27" s="202"/>
    </row>
    <row r="28" spans="1:17" ht="28.5" customHeight="1" x14ac:dyDescent="0.3">
      <c r="A28" s="140"/>
      <c r="B28" s="144"/>
      <c r="C28" s="195" t="s">
        <v>171</v>
      </c>
      <c r="D28" s="196"/>
      <c r="E28" s="196"/>
      <c r="F28" s="196"/>
      <c r="G28" s="197"/>
      <c r="H28" s="148">
        <v>8.1000000000000003E-2</v>
      </c>
      <c r="I28" s="149" t="s">
        <v>161</v>
      </c>
      <c r="J28" s="198" t="str">
        <f>IFERROR(IF(SUM(J21:J27,J18:J19)&gt;=10000000,SUM(J21:J27,J18:J19)*H28%,"-"),"-")</f>
        <v>-</v>
      </c>
      <c r="K28" s="199"/>
      <c r="L28" s="199"/>
      <c r="M28" s="200"/>
      <c r="N28" s="203" t="s">
        <v>172</v>
      </c>
      <c r="O28" s="204"/>
    </row>
    <row r="29" spans="1:17" ht="28.5" customHeight="1" x14ac:dyDescent="0.3">
      <c r="A29" s="150"/>
      <c r="B29" s="151"/>
      <c r="C29" s="175" t="s">
        <v>173</v>
      </c>
      <c r="D29" s="176"/>
      <c r="E29" s="176"/>
      <c r="F29" s="176"/>
      <c r="G29" s="177"/>
      <c r="H29" s="152">
        <v>1</v>
      </c>
      <c r="I29" s="153" t="s">
        <v>174</v>
      </c>
      <c r="J29" s="178">
        <f>34*0</f>
        <v>0</v>
      </c>
      <c r="K29" s="179"/>
      <c r="L29" s="179"/>
      <c r="M29" s="180"/>
      <c r="N29" s="181" t="s">
        <v>175</v>
      </c>
      <c r="O29" s="182"/>
    </row>
    <row r="30" spans="1:17" ht="28.5" customHeight="1" x14ac:dyDescent="0.3">
      <c r="A30" s="150">
        <v>4</v>
      </c>
      <c r="B30" s="151"/>
      <c r="C30" s="175" t="s">
        <v>176</v>
      </c>
      <c r="D30" s="176"/>
      <c r="E30" s="176"/>
      <c r="F30" s="176"/>
      <c r="G30" s="177"/>
      <c r="H30" s="153">
        <v>5</v>
      </c>
      <c r="I30" s="154" t="s">
        <v>177</v>
      </c>
      <c r="J30" s="188">
        <f>IFERROR(IF(ISNUMBER(H30), SUM(J18:M20) * (H30 / 100), "-"), "-")</f>
        <v>249343.07173522396</v>
      </c>
      <c r="K30" s="189"/>
      <c r="L30" s="189"/>
      <c r="M30" s="190"/>
      <c r="N30" s="191" t="s">
        <v>178</v>
      </c>
      <c r="O30" s="192"/>
    </row>
    <row r="31" spans="1:17" ht="28.5" customHeight="1" thickBot="1" x14ac:dyDescent="0.35">
      <c r="A31" s="150">
        <v>5</v>
      </c>
      <c r="B31" s="151"/>
      <c r="C31" s="175" t="s">
        <v>179</v>
      </c>
      <c r="D31" s="176"/>
      <c r="E31" s="176"/>
      <c r="F31" s="176"/>
      <c r="G31" s="177"/>
      <c r="H31" s="153">
        <v>7.5</v>
      </c>
      <c r="I31" s="154" t="s">
        <v>161</v>
      </c>
      <c r="J31" s="178">
        <f>IFERROR(SUM(J18:M20, J30) * (H31 / 100), "-")+-57194</f>
        <v>335521.33798297768</v>
      </c>
      <c r="K31" s="179"/>
      <c r="L31" s="179"/>
      <c r="M31" s="180"/>
      <c r="N31" s="193" t="s">
        <v>180</v>
      </c>
      <c r="O31" s="194"/>
      <c r="Q31" s="155"/>
    </row>
    <row r="32" spans="1:17" ht="28.5" customHeight="1" thickBot="1" x14ac:dyDescent="0.35">
      <c r="A32" s="183" t="s">
        <v>181</v>
      </c>
      <c r="B32" s="184"/>
      <c r="C32" s="184"/>
      <c r="D32" s="184"/>
      <c r="E32" s="184"/>
      <c r="F32" s="184"/>
      <c r="G32" s="184"/>
      <c r="H32" s="184"/>
      <c r="I32" s="185"/>
      <c r="J32" s="156"/>
      <c r="K32" s="157"/>
      <c r="L32" s="157"/>
      <c r="M32" s="158">
        <f>IFERROR(ROUNDDOWN(SUM(J18:M20)+J30+J31,0),"-")</f>
        <v>5571725</v>
      </c>
      <c r="N32" s="186"/>
      <c r="O32" s="187"/>
      <c r="P32" s="159"/>
    </row>
    <row r="33" spans="1:15" x14ac:dyDescent="0.3">
      <c r="A33" s="160" t="s">
        <v>182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topLeftCell="K1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80"/>
      <c r="B1" s="280"/>
      <c r="C1" s="280"/>
      <c r="D1" s="280"/>
      <c r="E1" s="280"/>
      <c r="F1" s="280"/>
      <c r="G1" s="280"/>
      <c r="H1" s="280"/>
      <c r="I1" s="280"/>
      <c r="N1" s="2"/>
      <c r="O1" s="85" t="s">
        <v>49</v>
      </c>
      <c r="Q1" s="85" t="s">
        <v>49</v>
      </c>
      <c r="S1" s="85" t="s">
        <v>49</v>
      </c>
      <c r="U1" s="85" t="s">
        <v>49</v>
      </c>
    </row>
    <row r="2" spans="1:24" ht="19.899999999999999" customHeight="1" thickBot="1" x14ac:dyDescent="0.35">
      <c r="A2" s="280"/>
      <c r="B2" s="280"/>
      <c r="C2" s="280"/>
      <c r="D2" s="280"/>
      <c r="E2" s="280"/>
      <c r="F2" s="280"/>
      <c r="G2" s="280"/>
      <c r="H2" s="280"/>
      <c r="I2" s="280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50</v>
      </c>
      <c r="G3" s="89"/>
      <c r="H3" s="89"/>
      <c r="I3" s="89"/>
      <c r="J3" s="291" t="s">
        <v>51</v>
      </c>
      <c r="K3" s="291"/>
      <c r="L3" s="289" t="s">
        <v>8</v>
      </c>
      <c r="M3" s="289" t="s">
        <v>5</v>
      </c>
      <c r="N3" s="285" t="s">
        <v>52</v>
      </c>
      <c r="O3" s="285"/>
      <c r="P3" s="285" t="s">
        <v>53</v>
      </c>
      <c r="Q3" s="285"/>
      <c r="R3" s="286" t="s">
        <v>54</v>
      </c>
      <c r="S3" s="286"/>
      <c r="T3" s="286" t="s">
        <v>55</v>
      </c>
      <c r="U3" s="286"/>
      <c r="V3" s="287" t="s">
        <v>56</v>
      </c>
      <c r="W3" s="283" t="s">
        <v>57</v>
      </c>
      <c r="X3" s="281" t="s">
        <v>7</v>
      </c>
    </row>
    <row r="4" spans="1:24" ht="19.899999999999999" customHeight="1" x14ac:dyDescent="0.3">
      <c r="A4" s="5" t="s">
        <v>58</v>
      </c>
      <c r="B4" s="86"/>
      <c r="C4" s="86"/>
      <c r="D4" s="86"/>
      <c r="E4" s="86"/>
      <c r="F4" s="6" t="s">
        <v>59</v>
      </c>
      <c r="G4" s="6" t="s">
        <v>60</v>
      </c>
      <c r="H4" s="6" t="s">
        <v>61</v>
      </c>
      <c r="I4" s="6" t="s">
        <v>62</v>
      </c>
      <c r="J4" s="82" t="s">
        <v>63</v>
      </c>
      <c r="K4" s="82" t="s">
        <v>64</v>
      </c>
      <c r="L4" s="290"/>
      <c r="M4" s="290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88"/>
      <c r="W4" s="284"/>
      <c r="X4" s="282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80" t="s">
        <v>105</v>
      </c>
      <c r="K5" s="80" t="s">
        <v>114</v>
      </c>
      <c r="L5" s="59" t="s">
        <v>113</v>
      </c>
      <c r="M5" s="79">
        <v>11.992000000000001</v>
      </c>
      <c r="N5" s="102">
        <v>20900</v>
      </c>
      <c r="O5" s="74">
        <f t="shared" ref="O5" si="1">SUM(N5:N5)*M5*$O$2</f>
        <v>209278.38800000001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209278.38800000001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80" t="s">
        <v>71</v>
      </c>
      <c r="K6" s="80" t="s">
        <v>115</v>
      </c>
      <c r="L6" s="11" t="s">
        <v>70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80" t="s">
        <v>72</v>
      </c>
      <c r="K7" s="80" t="s">
        <v>116</v>
      </c>
      <c r="L7" s="11" t="s">
        <v>70</v>
      </c>
      <c r="M7" s="79">
        <v>1.7709999999999999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720280.68265999993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720280.68265999993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80" t="s">
        <v>108</v>
      </c>
      <c r="K8" s="80" t="s">
        <v>109</v>
      </c>
      <c r="L8" s="59" t="s">
        <v>106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80" t="s">
        <v>74</v>
      </c>
      <c r="K9" s="80" t="s">
        <v>117</v>
      </c>
      <c r="L9" s="11" t="s">
        <v>70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99</v>
      </c>
      <c r="I10" s="39"/>
      <c r="J10" s="83" t="s">
        <v>98</v>
      </c>
      <c r="K10" s="83" t="s">
        <v>93</v>
      </c>
      <c r="L10" s="70" t="s">
        <v>92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80" t="s">
        <v>76</v>
      </c>
      <c r="K11" s="80" t="s">
        <v>77</v>
      </c>
      <c r="L11" s="59" t="s">
        <v>90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80" t="s">
        <v>80</v>
      </c>
      <c r="K12" s="80" t="s">
        <v>81</v>
      </c>
      <c r="L12" s="59" t="s">
        <v>78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94</v>
      </c>
      <c r="I13" s="39"/>
      <c r="J13" s="83" t="s">
        <v>95</v>
      </c>
      <c r="K13" s="83" t="s">
        <v>96</v>
      </c>
      <c r="L13" s="70" t="s">
        <v>92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80" t="s">
        <v>83</v>
      </c>
      <c r="K14" s="80" t="s">
        <v>84</v>
      </c>
      <c r="L14" s="59" t="s">
        <v>78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80" t="s">
        <v>86</v>
      </c>
      <c r="K15" s="80" t="s">
        <v>81</v>
      </c>
      <c r="L15" s="59" t="s">
        <v>78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80" t="s">
        <v>87</v>
      </c>
      <c r="K16" s="80" t="s">
        <v>84</v>
      </c>
      <c r="L16" s="59" t="s">
        <v>78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80" t="s">
        <v>89</v>
      </c>
      <c r="K17" s="80" t="s">
        <v>81</v>
      </c>
      <c r="L17" s="59" t="s">
        <v>78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3" t="s">
        <v>102</v>
      </c>
      <c r="K18" s="93" t="s">
        <v>111</v>
      </c>
      <c r="L18" s="94" t="s">
        <v>103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897493.73800000001</v>
      </c>
      <c r="P19" s="98"/>
      <c r="Q19" s="97">
        <f>SUM(Q5:Q18)</f>
        <v>3495707.6123039997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4393201.3503040001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A38" sqref="A38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294" t="s">
        <v>9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</row>
    <row r="2" spans="1:16" ht="15" customHeight="1" x14ac:dyDescent="0.3">
      <c r="A2" s="295" t="s">
        <v>10</v>
      </c>
      <c r="B2" s="296" t="s">
        <v>11</v>
      </c>
      <c r="C2" s="297" t="s">
        <v>8</v>
      </c>
      <c r="D2" s="297" t="s">
        <v>12</v>
      </c>
      <c r="E2" s="299" t="s">
        <v>13</v>
      </c>
      <c r="F2" s="296"/>
      <c r="G2" s="296" t="s">
        <v>14</v>
      </c>
      <c r="H2" s="296"/>
      <c r="I2" s="300" t="s">
        <v>15</v>
      </c>
      <c r="J2" s="301"/>
      <c r="K2" s="300" t="s">
        <v>16</v>
      </c>
      <c r="L2" s="301"/>
      <c r="M2" s="299" t="s">
        <v>17</v>
      </c>
      <c r="N2" s="296"/>
      <c r="O2" s="302" t="s">
        <v>18</v>
      </c>
    </row>
    <row r="3" spans="1:16" ht="15" customHeight="1" x14ac:dyDescent="0.3">
      <c r="A3" s="295"/>
      <c r="B3" s="296"/>
      <c r="C3" s="298"/>
      <c r="D3" s="298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03"/>
    </row>
    <row r="4" spans="1:16" ht="15" customHeight="1" x14ac:dyDescent="0.3">
      <c r="A4" s="292" t="s">
        <v>118</v>
      </c>
      <c r="B4" s="293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05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07" t="s">
        <v>100</v>
      </c>
    </row>
    <row r="6" spans="1:16" ht="15" customHeight="1" x14ac:dyDescent="0.3">
      <c r="A6" s="306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08"/>
    </row>
    <row r="7" spans="1:16" ht="15" customHeight="1" x14ac:dyDescent="0.3">
      <c r="A7" s="306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08"/>
      <c r="P7" s="56">
        <f>D6+D8+D10+D12</f>
        <v>62</v>
      </c>
    </row>
    <row r="8" spans="1:16" ht="15" customHeight="1" x14ac:dyDescent="0.3">
      <c r="A8" s="306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08"/>
    </row>
    <row r="9" spans="1:16" ht="15" customHeight="1" x14ac:dyDescent="0.3">
      <c r="A9" s="306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08"/>
    </row>
    <row r="10" spans="1:16" ht="15" customHeight="1" x14ac:dyDescent="0.3">
      <c r="A10" s="306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08"/>
    </row>
    <row r="11" spans="1:16" ht="15" customHeight="1" x14ac:dyDescent="0.3">
      <c r="A11" s="306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08"/>
    </row>
    <row r="12" spans="1:16" ht="15" customHeight="1" x14ac:dyDescent="0.3">
      <c r="A12" s="306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08"/>
    </row>
    <row r="13" spans="1:16" ht="15" customHeight="1" x14ac:dyDescent="0.3">
      <c r="A13" s="49" t="s">
        <v>32</v>
      </c>
      <c r="B13" s="50"/>
      <c r="C13" s="51"/>
      <c r="D13" s="52">
        <f>SUM(D5:D12)</f>
        <v>198</v>
      </c>
      <c r="E13" s="61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6" ht="15" customHeight="1" x14ac:dyDescent="0.3">
      <c r="A14" s="309" t="s">
        <v>101</v>
      </c>
      <c r="B14" s="18" t="s">
        <v>33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08"/>
    </row>
    <row r="15" spans="1:16" ht="15" customHeight="1" x14ac:dyDescent="0.3">
      <c r="A15" s="309"/>
      <c r="B15" s="18" t="s">
        <v>34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08"/>
    </row>
    <row r="16" spans="1:16" ht="15" customHeight="1" x14ac:dyDescent="0.3">
      <c r="A16" s="309"/>
      <c r="B16" s="18" t="s">
        <v>35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08"/>
    </row>
    <row r="17" spans="1:15" ht="15" customHeight="1" x14ac:dyDescent="0.3">
      <c r="A17" s="310"/>
      <c r="B17" s="18" t="s">
        <v>36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11"/>
    </row>
    <row r="18" spans="1:15" ht="15" customHeight="1" x14ac:dyDescent="0.3">
      <c r="A18" s="40" t="s">
        <v>32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97</v>
      </c>
      <c r="B20" s="71" t="s">
        <v>93</v>
      </c>
      <c r="C20" s="71" t="s">
        <v>92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04" t="s">
        <v>38</v>
      </c>
      <c r="B21" s="28" t="s">
        <v>39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04"/>
      <c r="B22" s="28" t="s">
        <v>40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04" t="s">
        <v>41</v>
      </c>
      <c r="B23" s="28" t="s">
        <v>39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04"/>
      <c r="B24" s="28" t="s">
        <v>40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95</v>
      </c>
      <c r="B25" s="71" t="s">
        <v>96</v>
      </c>
      <c r="C25" s="71" t="s">
        <v>92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04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04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04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04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2025-09-29T19:24:15Z</dcterms:modified>
</cp:coreProperties>
</file>
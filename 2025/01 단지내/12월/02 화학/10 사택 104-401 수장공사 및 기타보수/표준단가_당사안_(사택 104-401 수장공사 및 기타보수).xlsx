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2 화학\250930\06 작업폴더\02 사택 104-401 수장공사\"/>
    </mc:Choice>
  </mc:AlternateContent>
  <xr:revisionPtr revIDLastSave="0" documentId="13_ncr:1_{FC8ADD29-3BB5-4EE3-A96B-61FE3D32E82B}" xr6:coauthVersionLast="47" xr6:coauthVersionMax="47" xr10:uidLastSave="{00000000-0000-0000-0000-000000000000}"/>
  <bookViews>
    <workbookView xWindow="-60" yWindow="-60" windowWidth="28920" windowHeight="16320" xr2:uid="{00000000-000D-0000-FFFF-FFFF00000000}"/>
  </bookViews>
  <sheets>
    <sheet name="갑지" sheetId="5" r:id="rId1"/>
    <sheet name="내역서(표준단가)" sheetId="4" r:id="rId2"/>
    <sheet name="상세내역" sheetId="9" r:id="rId3"/>
    <sheet name="Upload" sheetId="10" r:id="rId4"/>
    <sheet name="도면" sheetId="11" r:id="rId5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3" i="10" l="1"/>
  <c r="E13" i="10"/>
  <c r="D13" i="10"/>
  <c r="C13" i="10"/>
  <c r="B13" i="10"/>
  <c r="F12" i="10"/>
  <c r="E12" i="10"/>
  <c r="D12" i="10"/>
  <c r="C12" i="10"/>
  <c r="B12" i="10"/>
  <c r="F11" i="10"/>
  <c r="E11" i="10"/>
  <c r="D11" i="10"/>
  <c r="C11" i="10"/>
  <c r="B11" i="10"/>
  <c r="F10" i="10"/>
  <c r="E10" i="10"/>
  <c r="D10" i="10"/>
  <c r="C10" i="10"/>
  <c r="B10" i="10"/>
  <c r="F9" i="10"/>
  <c r="E9" i="10"/>
  <c r="D9" i="10"/>
  <c r="C9" i="10"/>
  <c r="B9" i="10"/>
  <c r="F8" i="10"/>
  <c r="E8" i="10"/>
  <c r="D8" i="10"/>
  <c r="C8" i="10"/>
  <c r="B8" i="10"/>
  <c r="F7" i="10"/>
  <c r="E7" i="10"/>
  <c r="D7" i="10"/>
  <c r="C7" i="10"/>
  <c r="B7" i="10"/>
  <c r="F6" i="10"/>
  <c r="E6" i="10"/>
  <c r="D6" i="10"/>
  <c r="C6" i="10"/>
  <c r="B6" i="10"/>
  <c r="F5" i="10"/>
  <c r="E5" i="10"/>
  <c r="D5" i="10"/>
  <c r="C5" i="10"/>
  <c r="B5" i="10"/>
  <c r="F4" i="10"/>
  <c r="E4" i="10"/>
  <c r="D4" i="10"/>
  <c r="C4" i="10"/>
  <c r="B4" i="10"/>
  <c r="F3" i="10"/>
  <c r="E3" i="10"/>
  <c r="D3" i="10"/>
  <c r="C3" i="10"/>
  <c r="B3" i="10"/>
  <c r="H32" i="9"/>
  <c r="N32" i="9" s="1"/>
  <c r="P5" i="9" l="1"/>
  <c r="U16" i="4" l="1"/>
  <c r="S16" i="4"/>
  <c r="Q16" i="4"/>
  <c r="O16" i="4"/>
  <c r="A16" i="4"/>
  <c r="A13" i="10" s="1"/>
  <c r="U15" i="4"/>
  <c r="S15" i="4"/>
  <c r="Q15" i="4"/>
  <c r="O15" i="4"/>
  <c r="A15" i="4"/>
  <c r="A12" i="10" s="1"/>
  <c r="U14" i="4"/>
  <c r="S14" i="4"/>
  <c r="Q14" i="4"/>
  <c r="O14" i="4"/>
  <c r="A14" i="4"/>
  <c r="A11" i="10" s="1"/>
  <c r="U13" i="4"/>
  <c r="S13" i="4"/>
  <c r="Q13" i="4"/>
  <c r="O13" i="4"/>
  <c r="A13" i="4"/>
  <c r="A10" i="10" s="1"/>
  <c r="U12" i="4"/>
  <c r="S12" i="4"/>
  <c r="Q12" i="4"/>
  <c r="O12" i="4"/>
  <c r="V12" i="4" s="1"/>
  <c r="A12" i="4"/>
  <c r="A9" i="10" s="1"/>
  <c r="U11" i="4"/>
  <c r="S11" i="4"/>
  <c r="Q11" i="4"/>
  <c r="O11" i="4"/>
  <c r="A11" i="4"/>
  <c r="A8" i="10" s="1"/>
  <c r="U10" i="4"/>
  <c r="S10" i="4"/>
  <c r="Q10" i="4"/>
  <c r="O10" i="4"/>
  <c r="A10" i="4"/>
  <c r="A7" i="10" s="1"/>
  <c r="O9" i="4"/>
  <c r="V9" i="4" s="1"/>
  <c r="A9" i="4"/>
  <c r="A6" i="10" s="1"/>
  <c r="U8" i="4"/>
  <c r="S8" i="4"/>
  <c r="Q8" i="4"/>
  <c r="O8" i="4"/>
  <c r="A8" i="4"/>
  <c r="A5" i="10" s="1"/>
  <c r="U7" i="4"/>
  <c r="S7" i="4"/>
  <c r="Q7" i="4"/>
  <c r="O7" i="4"/>
  <c r="A7" i="4"/>
  <c r="A4" i="10" s="1"/>
  <c r="U6" i="4"/>
  <c r="S6" i="4"/>
  <c r="Q6" i="4"/>
  <c r="O6" i="4"/>
  <c r="A6" i="4"/>
  <c r="A3" i="10" s="1"/>
  <c r="U5" i="4"/>
  <c r="S5" i="4"/>
  <c r="Q5" i="4"/>
  <c r="O5" i="4"/>
  <c r="A5" i="4"/>
  <c r="L33" i="9"/>
  <c r="J33" i="9"/>
  <c r="H31" i="9"/>
  <c r="H30" i="9"/>
  <c r="F30" i="9"/>
  <c r="H29" i="9"/>
  <c r="H33" i="9" s="1"/>
  <c r="F29" i="9"/>
  <c r="F33" i="9" s="1"/>
  <c r="L27" i="9"/>
  <c r="J27" i="9"/>
  <c r="H26" i="9"/>
  <c r="H27" i="9" s="1"/>
  <c r="L25" i="9"/>
  <c r="J25" i="9"/>
  <c r="H24" i="9"/>
  <c r="F24" i="9"/>
  <c r="H23" i="9"/>
  <c r="F23" i="9"/>
  <c r="H22" i="9"/>
  <c r="F22" i="9"/>
  <c r="H21" i="9"/>
  <c r="F21" i="9"/>
  <c r="F20" i="9"/>
  <c r="L18" i="9"/>
  <c r="J18" i="9"/>
  <c r="D18" i="9"/>
  <c r="H17" i="9"/>
  <c r="F17" i="9"/>
  <c r="H16" i="9"/>
  <c r="F16" i="9"/>
  <c r="N16" i="9" s="1"/>
  <c r="H15" i="9"/>
  <c r="F15" i="9"/>
  <c r="N15" i="9" s="1"/>
  <c r="H14" i="9"/>
  <c r="F14" i="9"/>
  <c r="L13" i="9"/>
  <c r="J13" i="9"/>
  <c r="H11" i="9"/>
  <c r="F11" i="9"/>
  <c r="H9" i="9"/>
  <c r="F9" i="9"/>
  <c r="N9" i="9" s="1"/>
  <c r="H7" i="9"/>
  <c r="F7" i="9"/>
  <c r="H5" i="9"/>
  <c r="F5" i="9"/>
  <c r="N30" i="9" l="1"/>
  <c r="N7" i="9"/>
  <c r="H18" i="9"/>
  <c r="L34" i="9"/>
  <c r="V16" i="4"/>
  <c r="N17" i="9"/>
  <c r="N24" i="9"/>
  <c r="J34" i="9"/>
  <c r="F25" i="9"/>
  <c r="N22" i="9"/>
  <c r="N29" i="9"/>
  <c r="F13" i="9"/>
  <c r="H13" i="9"/>
  <c r="N5" i="9"/>
  <c r="N11" i="9"/>
  <c r="N13" i="9" s="1"/>
  <c r="H25" i="9"/>
  <c r="N23" i="9"/>
  <c r="U17" i="4"/>
  <c r="V7" i="4"/>
  <c r="V13" i="4"/>
  <c r="O17" i="4"/>
  <c r="F16" i="5" s="1"/>
  <c r="V8" i="4"/>
  <c r="V10" i="4"/>
  <c r="V14" i="4"/>
  <c r="S17" i="4"/>
  <c r="V6" i="4"/>
  <c r="V11" i="4"/>
  <c r="V15" i="4"/>
  <c r="V5" i="4"/>
  <c r="Q17" i="4"/>
  <c r="F17" i="5" s="1"/>
  <c r="F18" i="9"/>
  <c r="N14" i="9"/>
  <c r="N21" i="9"/>
  <c r="N26" i="9"/>
  <c r="N27" i="9" s="1"/>
  <c r="N31" i="9"/>
  <c r="N20" i="9"/>
  <c r="N33" i="9" l="1"/>
  <c r="N18" i="9"/>
  <c r="V17" i="4"/>
  <c r="F34" i="9"/>
  <c r="F18" i="5"/>
  <c r="H34" i="9"/>
  <c r="N25" i="9"/>
  <c r="N34" i="9" l="1"/>
  <c r="F2" i="10"/>
  <c r="E2" i="10"/>
  <c r="D2" i="10"/>
  <c r="C2" i="10"/>
  <c r="B2" i="10"/>
  <c r="A2" i="10" l="1"/>
  <c r="F26" i="5" l="1"/>
  <c r="F19" i="5" l="1"/>
  <c r="F21" i="5"/>
  <c r="F24" i="5"/>
  <c r="F25" i="5"/>
  <c r="F22" i="5"/>
  <c r="F23" i="5" s="1"/>
  <c r="F27" i="5" l="1"/>
  <c r="F28" i="5" s="1"/>
  <c r="F30" i="5" s="1"/>
  <c r="F31" i="5" s="1"/>
  <c r="B12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<sst xmlns="http://schemas.openxmlformats.org/spreadsheetml/2006/main" count="232" uniqueCount="178">
  <si>
    <t>수량</t>
  </si>
  <si>
    <t>견 적 서</t>
    <phoneticPr fontId="11" type="noConversion"/>
  </si>
  <si>
    <t xml:space="preserve">금액: </t>
    <phoneticPr fontId="11" type="noConversion"/>
  </si>
  <si>
    <t>원정</t>
    <phoneticPr fontId="13" type="noConversion"/>
  </si>
  <si>
    <t xml:space="preserve">  </t>
  </si>
  <si>
    <t>NO</t>
  </si>
  <si>
    <t>품명</t>
    <phoneticPr fontId="13" type="noConversion"/>
  </si>
  <si>
    <t>규격</t>
    <phoneticPr fontId="13" type="noConversion"/>
  </si>
  <si>
    <t>수량</t>
    <phoneticPr fontId="13" type="noConversion"/>
  </si>
  <si>
    <t>단위</t>
    <phoneticPr fontId="13" type="noConversion"/>
  </si>
  <si>
    <t>금액</t>
    <phoneticPr fontId="13" type="noConversion"/>
  </si>
  <si>
    <t>비고</t>
    <phoneticPr fontId="13" type="noConversion"/>
  </si>
  <si>
    <t>직접비</t>
    <phoneticPr fontId="11" type="noConversion"/>
  </si>
  <si>
    <t>재료비</t>
    <phoneticPr fontId="11" type="noConversion"/>
  </si>
  <si>
    <t>노무비</t>
    <phoneticPr fontId="13" type="noConversion"/>
  </si>
  <si>
    <t>기계/기타경비</t>
    <phoneticPr fontId="11" type="noConversion"/>
  </si>
  <si>
    <t>소계</t>
    <phoneticPr fontId="11" type="noConversion"/>
  </si>
  <si>
    <t>간접비</t>
    <phoneticPr fontId="11" type="noConversion"/>
  </si>
  <si>
    <t>  국민연금</t>
    <phoneticPr fontId="13" type="noConversion"/>
  </si>
  <si>
    <t> 노무비*4.5%</t>
    <phoneticPr fontId="13" type="noConversion"/>
  </si>
  <si>
    <t>식</t>
    <phoneticPr fontId="13" type="noConversion"/>
  </si>
  <si>
    <t>모든공사에 적용</t>
    <phoneticPr fontId="13" type="noConversion"/>
  </si>
  <si>
    <t>  건강보험료</t>
    <phoneticPr fontId="13" type="noConversion"/>
  </si>
  <si>
    <t>모든공사에 적용</t>
    <phoneticPr fontId="13" type="noConversion"/>
  </si>
  <si>
    <t>  장기요양보험료</t>
    <phoneticPr fontId="13" type="noConversion"/>
  </si>
  <si>
    <t>  고용보험료</t>
    <phoneticPr fontId="13" type="noConversion"/>
  </si>
  <si>
    <t>  산재보험료</t>
    <phoneticPr fontId="13" type="noConversion"/>
  </si>
  <si>
    <t xml:space="preserve">  산업안전보건관리비</t>
    <phoneticPr fontId="13" type="noConversion"/>
  </si>
  <si>
    <t>소계</t>
    <phoneticPr fontId="11" type="noConversion"/>
  </si>
  <si>
    <t>합계(단수조정)</t>
    <phoneticPr fontId="11" type="noConversion"/>
  </si>
  <si>
    <t>VAT별도</t>
    <phoneticPr fontId="13" type="noConversion"/>
  </si>
  <si>
    <t>일반관리비/이윤</t>
    <phoneticPr fontId="13" type="noConversion"/>
  </si>
  <si>
    <t> (노무비+간접공사비)*5%</t>
    <phoneticPr fontId="13" type="noConversion"/>
  </si>
  <si>
    <t>등록번호</t>
    <phoneticPr fontId="7" type="noConversion"/>
  </si>
  <si>
    <t>종 목</t>
    <phoneticPr fontId="7" type="noConversion"/>
  </si>
  <si>
    <t>TEL, FAX</t>
    <phoneticPr fontId="7" type="noConversion"/>
  </si>
  <si>
    <t>상 호</t>
    <phoneticPr fontId="7" type="noConversion"/>
  </si>
  <si>
    <t>대표 이사</t>
    <phoneticPr fontId="7" type="noConversion"/>
  </si>
  <si>
    <t>사업장</t>
    <phoneticPr fontId="7" type="noConversion"/>
  </si>
  <si>
    <t>업 태</t>
    <phoneticPr fontId="7" type="noConversion"/>
  </si>
  <si>
    <t>할증기준</t>
    <phoneticPr fontId="5" type="noConversion"/>
  </si>
  <si>
    <t> 노무비*1.01%</t>
    <phoneticPr fontId="13" type="noConversion"/>
  </si>
  <si>
    <t>단위</t>
  </si>
  <si>
    <t xml:space="preserve"> 수신인 : 주식회사 에스엔아이 코퍼레이션</t>
    <phoneticPr fontId="11" type="noConversion"/>
  </si>
  <si>
    <t> 노무비*3.545%</t>
    <phoneticPr fontId="13" type="noConversion"/>
  </si>
  <si>
    <t> 건강보험료*12.95%</t>
    <phoneticPr fontId="13" type="noConversion"/>
  </si>
  <si>
    <t> 노무비*3.56%</t>
    <phoneticPr fontId="13" type="noConversion"/>
  </si>
  <si>
    <t>314-86-35718</t>
    <phoneticPr fontId="5" type="noConversion"/>
  </si>
  <si>
    <t>㈜일성건축</t>
    <phoneticPr fontId="5" type="noConversion"/>
  </si>
  <si>
    <t>상 석 희</t>
    <phoneticPr fontId="5" type="noConversion"/>
  </si>
  <si>
    <t>대전 서구 도마6길 107 (도마동)</t>
    <phoneticPr fontId="5" type="noConversion"/>
  </si>
  <si>
    <t>건설업</t>
    <phoneticPr fontId="5" type="noConversion"/>
  </si>
  <si>
    <t>실내건축,인테리어공사</t>
    <phoneticPr fontId="5" type="noConversion"/>
  </si>
  <si>
    <t>042)527-0995, 042)527-0996</t>
    <phoneticPr fontId="5" type="noConversion"/>
  </si>
  <si>
    <t xml:space="preserve"> 내   역   서</t>
    <phoneticPr fontId="13" type="noConversion"/>
  </si>
  <si>
    <t>품        명</t>
    <phoneticPr fontId="13" type="noConversion"/>
  </si>
  <si>
    <t>규      격</t>
  </si>
  <si>
    <t>수 량</t>
    <phoneticPr fontId="13" type="noConversion"/>
  </si>
  <si>
    <t xml:space="preserve">재    료   비   </t>
    <phoneticPr fontId="13" type="noConversion"/>
  </si>
  <si>
    <t>노   무   비</t>
    <phoneticPr fontId="13" type="noConversion"/>
  </si>
  <si>
    <t xml:space="preserve"> 기계경비</t>
    <phoneticPr fontId="7" type="noConversion"/>
  </si>
  <si>
    <t xml:space="preserve"> 기타경비(부자재비)</t>
    <phoneticPr fontId="7" type="noConversion"/>
  </si>
  <si>
    <t>합  계</t>
    <phoneticPr fontId="13" type="noConversion"/>
  </si>
  <si>
    <t>비  고</t>
    <phoneticPr fontId="13" type="noConversion"/>
  </si>
  <si>
    <t>단   가</t>
    <phoneticPr fontId="13" type="noConversion"/>
  </si>
  <si>
    <t>금     액</t>
    <phoneticPr fontId="13" type="noConversion"/>
  </si>
  <si>
    <t>금    액</t>
    <phoneticPr fontId="13" type="noConversion"/>
  </si>
  <si>
    <t>1.도배</t>
    <phoneticPr fontId="13" type="noConversion"/>
  </si>
  <si>
    <t>거실 벽면</t>
    <phoneticPr fontId="13" type="noConversion"/>
  </si>
  <si>
    <t>㎡</t>
    <phoneticPr fontId="13" type="noConversion"/>
  </si>
  <si>
    <t>거실 천정</t>
    <phoneticPr fontId="13" type="noConversion"/>
  </si>
  <si>
    <t>방A 벽면</t>
    <phoneticPr fontId="13" type="noConversion"/>
  </si>
  <si>
    <t>방A 천정</t>
    <phoneticPr fontId="13" type="noConversion"/>
  </si>
  <si>
    <t>방B 벽면</t>
    <phoneticPr fontId="13" type="noConversion"/>
  </si>
  <si>
    <t>방B 천정</t>
    <phoneticPr fontId="13" type="noConversion"/>
  </si>
  <si>
    <t>방C 벽면</t>
    <phoneticPr fontId="13" type="noConversion"/>
  </si>
  <si>
    <t>방C 천정</t>
    <phoneticPr fontId="13" type="noConversion"/>
  </si>
  <si>
    <t>소 계</t>
    <phoneticPr fontId="7" type="noConversion"/>
  </si>
  <si>
    <t>거실 바닥</t>
    <phoneticPr fontId="13" type="noConversion"/>
  </si>
  <si>
    <t>방A 바닥</t>
    <phoneticPr fontId="13" type="noConversion"/>
  </si>
  <si>
    <t>방B 바닥</t>
    <phoneticPr fontId="13" type="noConversion"/>
  </si>
  <si>
    <t>방C 바닥</t>
    <phoneticPr fontId="13" type="noConversion"/>
  </si>
  <si>
    <t>3.도장</t>
    <phoneticPr fontId="5" type="noConversion"/>
  </si>
  <si>
    <t>베란다 수성페인트(전면)</t>
    <phoneticPr fontId="5" type="noConversion"/>
  </si>
  <si>
    <t>석고보드면 바탕만들기(줄퍼티)</t>
    <phoneticPr fontId="5" type="noConversion"/>
  </si>
  <si>
    <t>붓칠,내벽</t>
    <phoneticPr fontId="5" type="noConversion"/>
  </si>
  <si>
    <t>베란다 수성페인트(후면)</t>
    <phoneticPr fontId="5" type="noConversion"/>
  </si>
  <si>
    <t>4.청소</t>
    <phoneticPr fontId="7" type="noConversion"/>
  </si>
  <si>
    <t>2023년 실내건축 일위대가</t>
    <phoneticPr fontId="7" type="noConversion"/>
  </si>
  <si>
    <t>▼낙찰율</t>
    <phoneticPr fontId="7" type="noConversion"/>
  </si>
  <si>
    <t>▶ 표준 Code(표준단가/품셈/물정/노임) 순서별 입력(Upload 자동반영)</t>
    <phoneticPr fontId="5" type="noConversion"/>
  </si>
  <si>
    <t>주요내역</t>
    <phoneticPr fontId="5" type="noConversion"/>
  </si>
  <si>
    <t>재료비</t>
    <phoneticPr fontId="7" type="noConversion"/>
  </si>
  <si>
    <t>노무비</t>
    <phoneticPr fontId="7" type="noConversion"/>
  </si>
  <si>
    <t>기계경비</t>
  </si>
  <si>
    <t>기타경비(부자재비)</t>
  </si>
  <si>
    <t>합계</t>
    <phoneticPr fontId="7" type="noConversion"/>
  </si>
  <si>
    <t>노무비 할증</t>
    <phoneticPr fontId="5" type="noConversion"/>
  </si>
  <si>
    <t>합계</t>
    <phoneticPr fontId="5" type="noConversion"/>
  </si>
  <si>
    <t>표준단가 D</t>
    <phoneticPr fontId="5" type="noConversion"/>
  </si>
  <si>
    <t>표준품셈 E</t>
    <phoneticPr fontId="5" type="noConversion"/>
  </si>
  <si>
    <t>물가정보 M</t>
    <phoneticPr fontId="5" type="noConversion"/>
  </si>
  <si>
    <t>노임단가 L</t>
    <phoneticPr fontId="5" type="noConversion"/>
  </si>
  <si>
    <t>품목</t>
    <phoneticPr fontId="5" type="noConversion"/>
  </si>
  <si>
    <t>규격</t>
    <phoneticPr fontId="5" type="noConversion"/>
  </si>
  <si>
    <t>품셈/표단</t>
    <phoneticPr fontId="5" type="noConversion"/>
  </si>
  <si>
    <t>금액</t>
  </si>
  <si>
    <t>단가</t>
    <phoneticPr fontId="7" type="noConversion"/>
  </si>
  <si>
    <t>단가</t>
  </si>
  <si>
    <t>E00000803071260301</t>
  </si>
  <si>
    <t>(일당)</t>
  </si>
  <si>
    <t>도배 교체(벽)</t>
    <phoneticPr fontId="5" type="noConversion"/>
  </si>
  <si>
    <t>E00000803071260401</t>
  </si>
  <si>
    <t>PVC계바닥재 교체</t>
  </si>
  <si>
    <t>E00000803061120402</t>
  </si>
  <si>
    <t>석고보드면 바탕만들기</t>
  </si>
  <si>
    <t>줄퍼티</t>
  </si>
  <si>
    <t>(㎡ 당)</t>
  </si>
  <si>
    <t>E00000803061300201</t>
  </si>
  <si>
    <t>수성페인트 붓칠</t>
  </si>
  <si>
    <t>1회칠</t>
  </si>
  <si>
    <t>(㎡ 당)</t>
    <phoneticPr fontId="5" type="noConversion"/>
  </si>
  <si>
    <t>합 계</t>
    <phoneticPr fontId="5" type="noConversion"/>
  </si>
  <si>
    <t>18ℓ</t>
  </si>
  <si>
    <t>KSM-6010 내부용, 2급, 백색</t>
  </si>
  <si>
    <t>수성페인트</t>
    <phoneticPr fontId="5" type="noConversion"/>
  </si>
  <si>
    <t>합성수지에멀션페인트</t>
    <phoneticPr fontId="5" type="noConversion"/>
  </si>
  <si>
    <t>M020412614110102</t>
    <phoneticPr fontId="5" type="noConversion"/>
  </si>
  <si>
    <t>광폭합지 벽지(LX하우시스, 휘앙세), 24년 12월 물가자료</t>
    <phoneticPr fontId="5" type="noConversion"/>
  </si>
  <si>
    <t>2.바닥재</t>
    <phoneticPr fontId="5" type="noConversion"/>
  </si>
  <si>
    <t> (재료비+노무비)*3.11%</t>
    <phoneticPr fontId="13" type="noConversion"/>
  </si>
  <si>
    <t>M020853710050101</t>
  </si>
  <si>
    <t>아이리스</t>
  </si>
  <si>
    <t>㎡</t>
    <phoneticPr fontId="5" type="noConversion"/>
  </si>
  <si>
    <t>M020809012520101</t>
  </si>
  <si>
    <t>비닐시트바닥재</t>
  </si>
  <si>
    <t>데코리아 다솜(륨) 1.8T×1,830㎜</t>
  </si>
  <si>
    <t>준공청소</t>
  </si>
  <si>
    <t>전체면적</t>
    <phoneticPr fontId="5" type="noConversion"/>
  </si>
  <si>
    <t>(연면적 ㎡당)</t>
  </si>
  <si>
    <t xml:space="preserve">준공청소(특별인부), </t>
    <phoneticPr fontId="13" type="noConversion"/>
  </si>
  <si>
    <t>구분</t>
  </si>
  <si>
    <t>표준단가</t>
  </si>
  <si>
    <t>표준품셈</t>
  </si>
  <si>
    <t>물가정보</t>
  </si>
  <si>
    <t>노임단가</t>
  </si>
  <si>
    <t>E00000801011510701</t>
  </si>
  <si>
    <t>R/L</t>
  </si>
  <si>
    <t xml:space="preserve">일당 시공량-벽 46㎡, 적산정보 500p 참조,시공총량186/일당46=4.043, </t>
    <phoneticPr fontId="5" type="noConversion"/>
  </si>
  <si>
    <t xml:space="preserve">일당 시공량-61㎡ 적산정보 500p 참조,시공총량61.8/일당61=0.0.8196, </t>
    <phoneticPr fontId="5" type="noConversion"/>
  </si>
  <si>
    <t>5.기타작업</t>
    <phoneticPr fontId="5" type="noConversion"/>
  </si>
  <si>
    <t>개소</t>
    <phoneticPr fontId="5" type="noConversion"/>
  </si>
  <si>
    <t>씽크대 상판 전체 재코킹 작업</t>
    <phoneticPr fontId="5" type="noConversion"/>
  </si>
  <si>
    <t>코킹재(다우실 1000),1액형 실리콘, 발코니 창호 주위 조인트용(창틀용)</t>
    <phoneticPr fontId="5" type="noConversion"/>
  </si>
  <si>
    <t>270㎖</t>
    <phoneticPr fontId="7" type="noConversion"/>
  </si>
  <si>
    <t>보통인부</t>
    <phoneticPr fontId="5" type="noConversion"/>
  </si>
  <si>
    <t>인</t>
    <phoneticPr fontId="7" type="noConversion"/>
  </si>
  <si>
    <t>M020450310340103</t>
  </si>
  <si>
    <t>방충망 AL</t>
  </si>
  <si>
    <t>MFA, 1,000×1,000㎜, AL도장</t>
  </si>
  <si>
    <t>㎡</t>
  </si>
  <si>
    <t>M020251411670101</t>
  </si>
  <si>
    <t>다우실 1000</t>
    <phoneticPr fontId="5" type="noConversion"/>
  </si>
  <si>
    <t>1액형 실리콘, 발코니 창호 주위 조인트용(창틀용)</t>
    <phoneticPr fontId="5" type="noConversion"/>
  </si>
  <si>
    <t>270㎖</t>
    <phoneticPr fontId="5" type="noConversion"/>
  </si>
  <si>
    <t>L002</t>
    <phoneticPr fontId="5" type="noConversion"/>
  </si>
  <si>
    <r>
      <rPr>
        <sz val="10"/>
        <rFont val="맑은 고딕"/>
        <family val="1"/>
        <charset val="129"/>
      </rPr>
      <t>씽크대</t>
    </r>
    <r>
      <rPr>
        <sz val="10"/>
        <rFont val="Arial"/>
        <family val="1"/>
      </rPr>
      <t xml:space="preserve"> </t>
    </r>
    <r>
      <rPr>
        <sz val="10"/>
        <rFont val="맑은 고딕"/>
        <family val="1"/>
        <charset val="129"/>
      </rPr>
      <t>상판</t>
    </r>
    <r>
      <rPr>
        <sz val="10"/>
        <rFont val="Arial"/>
        <family val="1"/>
      </rPr>
      <t xml:space="preserve"> </t>
    </r>
    <r>
      <rPr>
        <sz val="10"/>
        <rFont val="맑은 고딕"/>
        <family val="1"/>
        <charset val="129"/>
      </rPr>
      <t>전체</t>
    </r>
    <r>
      <rPr>
        <sz val="10"/>
        <rFont val="Arial"/>
        <family val="1"/>
      </rPr>
      <t xml:space="preserve"> </t>
    </r>
    <r>
      <rPr>
        <sz val="10"/>
        <rFont val="맑은 고딕"/>
        <family val="1"/>
        <charset val="129"/>
      </rPr>
      <t>실리콘</t>
    </r>
    <r>
      <rPr>
        <sz val="10"/>
        <rFont val="Arial"/>
        <family val="1"/>
      </rPr>
      <t>(</t>
    </r>
    <r>
      <rPr>
        <sz val="10"/>
        <rFont val="맑은 고딕"/>
        <family val="1"/>
        <charset val="129"/>
      </rPr>
      <t>들뜸</t>
    </r>
    <r>
      <rPr>
        <sz val="10"/>
        <rFont val="Arial"/>
        <family val="1"/>
      </rPr>
      <t xml:space="preserve">) </t>
    </r>
    <r>
      <rPr>
        <sz val="10"/>
        <rFont val="맑은 고딕"/>
        <family val="1"/>
        <charset val="129"/>
      </rPr>
      <t>재코킹작업</t>
    </r>
    <phoneticPr fontId="5" type="noConversion"/>
  </si>
  <si>
    <t>인</t>
    <phoneticPr fontId="5" type="noConversion"/>
  </si>
  <si>
    <t>L003</t>
    <phoneticPr fontId="5" type="noConversion"/>
  </si>
  <si>
    <t>방충망 교체(3개소)</t>
    <phoneticPr fontId="5" type="noConversion"/>
  </si>
  <si>
    <t>특별인부</t>
    <phoneticPr fontId="5" type="noConversion"/>
  </si>
  <si>
    <t xml:space="preserve"> 공사명 : 사택 104-401 수장공사</t>
    <phoneticPr fontId="11" type="noConversion"/>
  </si>
  <si>
    <t xml:space="preserve"> 견적일 : 2025 년  09월  29일</t>
    <phoneticPr fontId="11" type="noConversion"/>
  </si>
  <si>
    <t>사택 104-401 수장공사</t>
    <phoneticPr fontId="5" type="noConversion"/>
  </si>
  <si>
    <r>
      <t>합지벽지 1R/L=93㎝(고정)×17.75m=16.51</t>
    </r>
    <r>
      <rPr>
        <sz val="10"/>
        <color rgb="FF000000"/>
        <rFont val="Segoe UI Symbol"/>
        <family val="3"/>
      </rPr>
      <t>㎡</t>
    </r>
    <r>
      <rPr>
        <sz val="10"/>
        <color rgb="FF000000"/>
        <rFont val="LG스마트체 Regular"/>
        <family val="3"/>
        <charset val="129"/>
      </rPr>
      <t>, 소요량186/16.51=11.2659R/L</t>
    </r>
    <phoneticPr fontId="5" type="noConversion"/>
  </si>
  <si>
    <t xml:space="preserve">(주방우측방, 뒤베란다, 주방좌측방)교체, </t>
    <phoneticPr fontId="5" type="noConversion"/>
  </si>
  <si>
    <t xml:space="preserve">걸레받이 보수- 5군데(거실(1군데), 주방입구(1군데), 안방화장실입구(2군데), 주방우측방(1군데)),문끌림 보수-2개(안방문, 주방우측방문), </t>
    <phoneticPr fontId="5" type="noConversion"/>
  </si>
  <si>
    <r>
      <rPr>
        <sz val="10"/>
        <rFont val="맑은 고딕"/>
        <family val="1"/>
        <charset val="129"/>
      </rPr>
      <t>걸레받이</t>
    </r>
    <r>
      <rPr>
        <sz val="10"/>
        <rFont val="Arial"/>
        <family val="1"/>
      </rPr>
      <t xml:space="preserve"> </t>
    </r>
    <r>
      <rPr>
        <sz val="10"/>
        <rFont val="맑은 고딕"/>
        <family val="1"/>
        <charset val="129"/>
      </rPr>
      <t>보수</t>
    </r>
    <r>
      <rPr>
        <sz val="10"/>
        <rFont val="Arial"/>
        <family val="1"/>
      </rPr>
      <t>- 5</t>
    </r>
    <r>
      <rPr>
        <sz val="10"/>
        <rFont val="맑은 고딕"/>
        <family val="1"/>
        <charset val="129"/>
      </rPr>
      <t>군데</t>
    </r>
    <r>
      <rPr>
        <sz val="10"/>
        <rFont val="Arial"/>
        <family val="1"/>
      </rPr>
      <t>(</t>
    </r>
    <r>
      <rPr>
        <sz val="10"/>
        <rFont val="맑은 고딕"/>
        <family val="1"/>
        <charset val="129"/>
      </rPr>
      <t>거실</t>
    </r>
    <r>
      <rPr>
        <sz val="10"/>
        <rFont val="Arial"/>
        <family val="1"/>
      </rPr>
      <t>(1</t>
    </r>
    <r>
      <rPr>
        <sz val="10"/>
        <rFont val="맑은 고딕"/>
        <family val="1"/>
        <charset val="129"/>
      </rPr>
      <t>군데</t>
    </r>
    <r>
      <rPr>
        <sz val="10"/>
        <rFont val="Arial"/>
        <family val="1"/>
      </rPr>
      <t xml:space="preserve">), </t>
    </r>
    <r>
      <rPr>
        <sz val="10"/>
        <rFont val="맑은 고딕"/>
        <family val="1"/>
        <charset val="129"/>
      </rPr>
      <t>주방입구</t>
    </r>
    <r>
      <rPr>
        <sz val="10"/>
        <rFont val="Arial"/>
        <family val="1"/>
      </rPr>
      <t>(1</t>
    </r>
    <r>
      <rPr>
        <sz val="10"/>
        <rFont val="맑은 고딕"/>
        <family val="1"/>
        <charset val="129"/>
      </rPr>
      <t>군데</t>
    </r>
    <r>
      <rPr>
        <sz val="10"/>
        <rFont val="Arial"/>
        <family val="1"/>
      </rPr>
      <t xml:space="preserve">), </t>
    </r>
    <r>
      <rPr>
        <sz val="10"/>
        <rFont val="맑은 고딕"/>
        <family val="1"/>
        <charset val="129"/>
      </rPr>
      <t>안방화장실입구</t>
    </r>
    <r>
      <rPr>
        <sz val="10"/>
        <rFont val="Arial"/>
        <family val="1"/>
      </rPr>
      <t>(2</t>
    </r>
    <r>
      <rPr>
        <sz val="10"/>
        <rFont val="맑은 고딕"/>
        <family val="1"/>
        <charset val="129"/>
      </rPr>
      <t>군데</t>
    </r>
    <r>
      <rPr>
        <sz val="10"/>
        <rFont val="Arial"/>
        <family val="1"/>
      </rPr>
      <t xml:space="preserve">), </t>
    </r>
    <r>
      <rPr>
        <sz val="10"/>
        <rFont val="맑은 고딕"/>
        <family val="1"/>
        <charset val="129"/>
      </rPr>
      <t>주방우측방</t>
    </r>
    <r>
      <rPr>
        <sz val="10"/>
        <rFont val="Arial"/>
        <family val="1"/>
      </rPr>
      <t>(1</t>
    </r>
    <r>
      <rPr>
        <sz val="10"/>
        <rFont val="맑은 고딕"/>
        <family val="1"/>
        <charset val="129"/>
      </rPr>
      <t>군데</t>
    </r>
    <r>
      <rPr>
        <sz val="10"/>
        <rFont val="Arial"/>
        <family val="1"/>
      </rPr>
      <t>)),</t>
    </r>
    <r>
      <rPr>
        <sz val="10"/>
        <rFont val="맑은 고딕"/>
        <family val="1"/>
        <charset val="129"/>
      </rPr>
      <t>문끌림</t>
    </r>
    <r>
      <rPr>
        <sz val="10"/>
        <rFont val="Arial"/>
        <family val="1"/>
      </rPr>
      <t xml:space="preserve"> </t>
    </r>
    <r>
      <rPr>
        <sz val="10"/>
        <rFont val="맑은 고딕"/>
        <family val="1"/>
        <charset val="129"/>
      </rPr>
      <t>보수</t>
    </r>
    <r>
      <rPr>
        <sz val="10"/>
        <rFont val="Arial"/>
        <family val="1"/>
      </rPr>
      <t>-2</t>
    </r>
    <r>
      <rPr>
        <sz val="10"/>
        <rFont val="맑은 고딕"/>
        <family val="1"/>
        <charset val="129"/>
      </rPr>
      <t>개</t>
    </r>
    <r>
      <rPr>
        <sz val="10"/>
        <rFont val="Arial"/>
        <family val="1"/>
      </rPr>
      <t>(</t>
    </r>
    <r>
      <rPr>
        <sz val="10"/>
        <rFont val="맑은 고딕"/>
        <family val="1"/>
        <charset val="129"/>
      </rPr>
      <t>안방문</t>
    </r>
    <r>
      <rPr>
        <sz val="10"/>
        <rFont val="Arial"/>
        <family val="1"/>
      </rPr>
      <t xml:space="preserve">, </t>
    </r>
    <r>
      <rPr>
        <sz val="10"/>
        <rFont val="맑은 고딕"/>
        <family val="1"/>
        <charset val="129"/>
      </rPr>
      <t>주방우측방문</t>
    </r>
    <r>
      <rPr>
        <sz val="10"/>
        <rFont val="Arial"/>
        <family val="1"/>
      </rPr>
      <t xml:space="preserve">), </t>
    </r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</si>
</sst>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##,#00,000"/>
    <numFmt numFmtId="180" formatCode="_-* #,##0_-;&quot;₩&quot;\!\-* #,##0_-;_-* &quot;-&quot;_-;_-@_-"/>
    <numFmt numFmtId="181" formatCode="0.0%"/>
    <numFmt numFmtId="182" formatCode="#,##0_);[Red]\(#,##0\)"/>
    <numFmt numFmtId="183" formatCode="#,##0_ "/>
    <numFmt numFmtId="184" formatCode="&quot;₩&quot;#,##0"/>
    <numFmt numFmtId="185" formatCode="0_);[Red]\(0\)"/>
    <numFmt numFmtId="186" formatCode="###,###,###,##0"/>
    <numFmt numFmtId="187" formatCode="#,##0.000_ "/>
    <numFmt numFmtId="188" formatCode="#,##0.0_);[Red]\(#,##0.0\)"/>
    <numFmt numFmtId="189" formatCode="#"/>
    <numFmt numFmtId="190" formatCode="0.000_ "/>
    <numFmt numFmtId="191" formatCode="#,##0;\-#,##0;"/>
    <numFmt numFmtId="192" formatCode="0.000"/>
    <numFmt numFmtId="193" formatCode="#,###,###,###"/>
  </numFmts>
  <fonts count="35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11"/>
      <name val="바탕체"/>
      <family val="1"/>
      <charset val="129"/>
    </font>
    <font>
      <sz val="8"/>
      <name val="바탕체"/>
      <family val="1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b/>
      <sz val="26"/>
      <color rgb="FF000000"/>
      <name val="LG스마트체 Regular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b/>
      <sz val="9"/>
      <color rgb="FF000000"/>
      <name val="LG스마트체 Regular"/>
      <family val="3"/>
      <charset val="129"/>
    </font>
    <font>
      <b/>
      <sz val="11"/>
      <color rgb="FF000000"/>
      <name val="LG스마트체 Regular"/>
      <family val="3"/>
      <charset val="129"/>
    </font>
    <font>
      <sz val="10"/>
      <color rgb="FF000000"/>
      <name val="Arial"/>
      <family val="2"/>
    </font>
    <font>
      <sz val="10"/>
      <color theme="1"/>
      <name val="Arial"/>
      <family val="2"/>
    </font>
    <font>
      <sz val="10"/>
      <color indexed="8"/>
      <name val="Malgun Gothic"/>
      <family val="3"/>
      <charset val="129"/>
    </font>
    <font>
      <sz val="10"/>
      <name val="Arial"/>
      <family val="2"/>
    </font>
    <font>
      <sz val="10"/>
      <name val="Arial"/>
      <family val="1"/>
      <charset val="129"/>
    </font>
    <font>
      <sz val="10"/>
      <name val="맑은 고딕"/>
      <family val="1"/>
      <charset val="129"/>
    </font>
    <font>
      <sz val="10"/>
      <name val="Arial"/>
      <family val="1"/>
    </font>
    <font>
      <sz val="10"/>
      <color rgb="FF000000"/>
      <name val="Segoe UI Symbol"/>
      <family val="3"/>
    </font>
  </fonts>
  <fills count="1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5F5F5"/>
      </patternFill>
    </fill>
    <fill>
      <patternFill patternType="solid">
        <fgColor rgb="FFFFFF00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</borders>
  <cellStyleXfs count="19">
    <xf numFmtId="0" fontId="0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8" fillId="0" borderId="0"/>
    <xf numFmtId="177" fontId="4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/>
    <xf numFmtId="0" fontId="10" fillId="0" borderId="0"/>
    <xf numFmtId="180" fontId="10" fillId="0" borderId="0" applyFont="0" applyFill="0" applyBorder="0" applyAlignment="0" applyProtection="0"/>
    <xf numFmtId="0" fontId="4" fillId="0" borderId="0">
      <alignment vertical="center"/>
    </xf>
    <xf numFmtId="9" fontId="9" fillId="0" borderId="0" applyFont="0" applyFill="0" applyBorder="0" applyAlignment="0" applyProtection="0"/>
    <xf numFmtId="0" fontId="8" fillId="0" borderId="0"/>
    <xf numFmtId="0" fontId="17" fillId="0" borderId="0"/>
    <xf numFmtId="176" fontId="17" fillId="0" borderId="0" applyFont="0" applyFill="0" applyBorder="0" applyAlignment="0" applyProtection="0"/>
    <xf numFmtId="177" fontId="17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77" fontId="1" fillId="0" borderId="0" applyFont="0" applyFill="0" applyBorder="0" applyAlignment="0" applyProtection="0">
      <alignment vertical="center"/>
    </xf>
  </cellStyleXfs>
  <cellXfs count="228">
    <xf numFmtId="0" fontId="0" fillId="0" borderId="0" xfId="0">
      <alignment vertical="center"/>
    </xf>
    <xf numFmtId="0" fontId="12" fillId="0" borderId="6" xfId="6" applyFont="1" applyBorder="1" applyAlignment="1">
      <alignment horizontal="right" vertical="center"/>
    </xf>
    <xf numFmtId="0" fontId="18" fillId="0" borderId="0" xfId="6" applyFont="1" applyAlignment="1">
      <alignment vertical="center"/>
    </xf>
    <xf numFmtId="0" fontId="19" fillId="0" borderId="0" xfId="3" applyFont="1"/>
    <xf numFmtId="0" fontId="20" fillId="0" borderId="4" xfId="6" applyFont="1" applyBorder="1" applyAlignment="1">
      <alignment horizontal="center" vertical="center"/>
    </xf>
    <xf numFmtId="0" fontId="12" fillId="0" borderId="5" xfId="6" applyFont="1" applyBorder="1" applyAlignment="1">
      <alignment horizontal="right" vertical="center"/>
    </xf>
    <xf numFmtId="0" fontId="12" fillId="4" borderId="24" xfId="6" applyFont="1" applyFill="1" applyBorder="1" applyAlignment="1">
      <alignment horizontal="center" vertical="center"/>
    </xf>
    <xf numFmtId="0" fontId="12" fillId="4" borderId="25" xfId="6" applyFont="1" applyFill="1" applyBorder="1" applyAlignment="1">
      <alignment vertical="center" shrinkToFit="1"/>
    </xf>
    <xf numFmtId="0" fontId="12" fillId="4" borderId="1" xfId="6" applyFont="1" applyFill="1" applyBorder="1" applyAlignment="1">
      <alignment horizontal="center" vertical="center"/>
    </xf>
    <xf numFmtId="0" fontId="12" fillId="4" borderId="26" xfId="6" applyFont="1" applyFill="1" applyBorder="1" applyAlignment="1">
      <alignment vertical="center" shrinkToFit="1"/>
    </xf>
    <xf numFmtId="0" fontId="21" fillId="0" borderId="0" xfId="6" applyFont="1" applyAlignment="1">
      <alignment vertical="center" shrinkToFit="1"/>
    </xf>
    <xf numFmtId="0" fontId="12" fillId="4" borderId="1" xfId="6" applyFont="1" applyFill="1" applyBorder="1" applyAlignment="1">
      <alignment horizontal="center" vertical="center" shrinkToFit="1"/>
    </xf>
    <xf numFmtId="0" fontId="12" fillId="0" borderId="1" xfId="6" applyFont="1" applyBorder="1" applyAlignment="1">
      <alignment horizontal="center" vertical="center"/>
    </xf>
    <xf numFmtId="0" fontId="12" fillId="0" borderId="26" xfId="6" applyFont="1" applyBorder="1" applyAlignment="1">
      <alignment vertical="center"/>
    </xf>
    <xf numFmtId="0" fontId="20" fillId="0" borderId="0" xfId="6" applyFont="1" applyAlignment="1">
      <alignment horizontal="center" vertical="center" shrinkToFit="1"/>
    </xf>
    <xf numFmtId="0" fontId="12" fillId="0" borderId="27" xfId="6" applyFont="1" applyBorder="1" applyAlignment="1">
      <alignment horizontal="center" vertical="center" shrinkToFit="1"/>
    </xf>
    <xf numFmtId="0" fontId="12" fillId="0" borderId="28" xfId="6" applyFont="1" applyBorder="1" applyAlignment="1">
      <alignment vertical="center" shrinkToFit="1"/>
    </xf>
    <xf numFmtId="0" fontId="21" fillId="0" borderId="6" xfId="6" applyFont="1" applyBorder="1" applyAlignment="1">
      <alignment vertical="center"/>
    </xf>
    <xf numFmtId="179" fontId="20" fillId="0" borderId="6" xfId="6" applyNumberFormat="1" applyFont="1" applyBorder="1" applyAlignment="1">
      <alignment vertical="center"/>
    </xf>
    <xf numFmtId="0" fontId="20" fillId="0" borderId="0" xfId="6" applyFont="1" applyAlignment="1">
      <alignment vertical="center" shrinkToFit="1"/>
    </xf>
    <xf numFmtId="0" fontId="12" fillId="0" borderId="7" xfId="6" applyFont="1" applyBorder="1" applyAlignment="1">
      <alignment horizontal="center" vertical="center"/>
    </xf>
    <xf numFmtId="0" fontId="12" fillId="0" borderId="8" xfId="6" applyFont="1" applyBorder="1" applyAlignment="1">
      <alignment horizontal="center" vertical="center"/>
    </xf>
    <xf numFmtId="0" fontId="12" fillId="0" borderId="9" xfId="6" applyFont="1" applyBorder="1" applyAlignment="1">
      <alignment horizontal="center" vertical="center"/>
    </xf>
    <xf numFmtId="0" fontId="22" fillId="0" borderId="10" xfId="6" applyFont="1" applyBorder="1" applyAlignment="1">
      <alignment horizontal="center" vertical="center"/>
    </xf>
    <xf numFmtId="0" fontId="12" fillId="0" borderId="11" xfId="6" applyFont="1" applyBorder="1" applyAlignment="1">
      <alignment vertical="center"/>
    </xf>
    <xf numFmtId="0" fontId="22" fillId="0" borderId="11" xfId="6" applyFont="1" applyBorder="1" applyAlignment="1">
      <alignment vertical="center"/>
    </xf>
    <xf numFmtId="1" fontId="22" fillId="0" borderId="11" xfId="6" applyNumberFormat="1" applyFont="1" applyBorder="1" applyAlignment="1">
      <alignment horizontal="center" vertical="center"/>
    </xf>
    <xf numFmtId="180" fontId="22" fillId="0" borderId="11" xfId="7" applyFont="1" applyBorder="1" applyAlignment="1">
      <alignment horizontal="right" vertical="center"/>
    </xf>
    <xf numFmtId="0" fontId="22" fillId="0" borderId="12" xfId="6" applyFont="1" applyBorder="1" applyAlignment="1">
      <alignment vertical="center"/>
    </xf>
    <xf numFmtId="0" fontId="22" fillId="0" borderId="13" xfId="6" applyFont="1" applyBorder="1" applyAlignment="1">
      <alignment horizontal="center" vertical="center"/>
    </xf>
    <xf numFmtId="0" fontId="22" fillId="0" borderId="14" xfId="6" applyFont="1" applyBorder="1" applyAlignment="1">
      <alignment horizontal="center" vertical="center"/>
    </xf>
    <xf numFmtId="0" fontId="22" fillId="0" borderId="14" xfId="3" applyFont="1" applyBorder="1" applyAlignment="1">
      <alignment horizontal="center" vertical="center"/>
    </xf>
    <xf numFmtId="1" fontId="22" fillId="0" borderId="14" xfId="6" applyNumberFormat="1" applyFont="1" applyBorder="1" applyAlignment="1">
      <alignment horizontal="center" vertical="center"/>
    </xf>
    <xf numFmtId="180" fontId="22" fillId="0" borderId="14" xfId="7" applyFont="1" applyBorder="1" applyAlignment="1">
      <alignment horizontal="right" vertical="center"/>
    </xf>
    <xf numFmtId="0" fontId="22" fillId="0" borderId="15" xfId="6" quotePrefix="1" applyFont="1" applyBorder="1" applyAlignment="1">
      <alignment vertical="center"/>
    </xf>
    <xf numFmtId="0" fontId="22" fillId="0" borderId="15" xfId="6" applyFont="1" applyBorder="1" applyAlignment="1">
      <alignment vertical="center"/>
    </xf>
    <xf numFmtId="0" fontId="12" fillId="7" borderId="14" xfId="6" applyFont="1" applyFill="1" applyBorder="1" applyAlignment="1">
      <alignment vertical="center"/>
    </xf>
    <xf numFmtId="1" fontId="12" fillId="7" borderId="14" xfId="6" applyNumberFormat="1" applyFont="1" applyFill="1" applyBorder="1" applyAlignment="1">
      <alignment horizontal="center" vertical="center"/>
    </xf>
    <xf numFmtId="180" fontId="12" fillId="7" borderId="14" xfId="7" applyFont="1" applyFill="1" applyBorder="1" applyAlignment="1">
      <alignment horizontal="right" vertical="center"/>
    </xf>
    <xf numFmtId="0" fontId="12" fillId="0" borderId="14" xfId="6" applyFont="1" applyBorder="1" applyAlignment="1">
      <alignment vertical="center"/>
    </xf>
    <xf numFmtId="0" fontId="22" fillId="0" borderId="14" xfId="6" applyFont="1" applyBorder="1" applyAlignment="1">
      <alignment vertical="center"/>
    </xf>
    <xf numFmtId="180" fontId="12" fillId="0" borderId="14" xfId="7" applyFont="1" applyFill="1" applyBorder="1" applyAlignment="1">
      <alignment horizontal="right" vertical="center"/>
    </xf>
    <xf numFmtId="0" fontId="22" fillId="0" borderId="14" xfId="8" applyFont="1" applyBorder="1" applyAlignment="1">
      <alignment horizontal="center" vertical="center"/>
    </xf>
    <xf numFmtId="178" fontId="22" fillId="0" borderId="14" xfId="5" applyFont="1" applyFill="1" applyBorder="1" applyAlignment="1">
      <alignment horizontal="right" vertical="center"/>
    </xf>
    <xf numFmtId="0" fontId="22" fillId="4" borderId="14" xfId="8" applyFont="1" applyFill="1" applyBorder="1" applyAlignment="1">
      <alignment horizontal="center" vertical="center"/>
    </xf>
    <xf numFmtId="0" fontId="22" fillId="4" borderId="14" xfId="6" applyFont="1" applyFill="1" applyBorder="1" applyAlignment="1">
      <alignment vertical="center"/>
    </xf>
    <xf numFmtId="0" fontId="22" fillId="4" borderId="14" xfId="6" applyFont="1" applyFill="1" applyBorder="1" applyAlignment="1">
      <alignment horizontal="center" vertical="center"/>
    </xf>
    <xf numFmtId="178" fontId="22" fillId="4" borderId="14" xfId="5" applyFont="1" applyFill="1" applyBorder="1" applyAlignment="1">
      <alignment horizontal="right" vertical="center"/>
    </xf>
    <xf numFmtId="0" fontId="22" fillId="4" borderId="15" xfId="6" applyFont="1" applyFill="1" applyBorder="1" applyAlignment="1">
      <alignment vertical="center"/>
    </xf>
    <xf numFmtId="0" fontId="22" fillId="0" borderId="14" xfId="3" applyFont="1" applyBorder="1" applyAlignment="1">
      <alignment horizontal="left" vertical="center"/>
    </xf>
    <xf numFmtId="9" fontId="12" fillId="7" borderId="14" xfId="3" applyNumberFormat="1" applyFont="1" applyFill="1" applyBorder="1" applyAlignment="1">
      <alignment horizontal="right" vertical="center"/>
    </xf>
    <xf numFmtId="1" fontId="12" fillId="7" borderId="14" xfId="9" applyNumberFormat="1" applyFont="1" applyFill="1" applyBorder="1" applyAlignment="1">
      <alignment horizontal="center" vertical="center"/>
    </xf>
    <xf numFmtId="177" fontId="12" fillId="7" borderId="14" xfId="7" applyNumberFormat="1" applyFont="1" applyFill="1" applyBorder="1" applyAlignment="1">
      <alignment horizontal="right" vertical="center"/>
    </xf>
    <xf numFmtId="9" fontId="22" fillId="0" borderId="14" xfId="3" applyNumberFormat="1" applyFont="1" applyBorder="1" applyAlignment="1">
      <alignment horizontal="right" vertical="center"/>
    </xf>
    <xf numFmtId="1" fontId="22" fillId="0" borderId="14" xfId="9" applyNumberFormat="1" applyFont="1" applyFill="1" applyBorder="1" applyAlignment="1">
      <alignment horizontal="center" vertical="center"/>
    </xf>
    <xf numFmtId="177" fontId="12" fillId="0" borderId="14" xfId="7" applyNumberFormat="1" applyFont="1" applyFill="1" applyBorder="1" applyAlignment="1">
      <alignment horizontal="right" vertical="center"/>
    </xf>
    <xf numFmtId="0" fontId="22" fillId="0" borderId="14" xfId="3" applyFont="1" applyBorder="1" applyAlignment="1">
      <alignment vertical="center"/>
    </xf>
    <xf numFmtId="180" fontId="22" fillId="4" borderId="14" xfId="7" applyFont="1" applyFill="1" applyBorder="1" applyAlignment="1">
      <alignment horizontal="right" vertical="center"/>
    </xf>
    <xf numFmtId="180" fontId="12" fillId="7" borderId="0" xfId="3" applyNumberFormat="1" applyFont="1" applyFill="1" applyAlignment="1">
      <alignment vertical="center"/>
    </xf>
    <xf numFmtId="0" fontId="12" fillId="0" borderId="16" xfId="6" applyFont="1" applyBorder="1" applyAlignment="1">
      <alignment horizontal="center" vertical="center" textRotation="255"/>
    </xf>
    <xf numFmtId="0" fontId="12" fillId="0" borderId="17" xfId="6" applyFont="1" applyBorder="1" applyAlignment="1">
      <alignment vertical="top"/>
    </xf>
    <xf numFmtId="0" fontId="22" fillId="0" borderId="18" xfId="6" applyFont="1" applyBorder="1" applyAlignment="1">
      <alignment vertical="center"/>
    </xf>
    <xf numFmtId="0" fontId="22" fillId="0" borderId="18" xfId="6" applyFont="1" applyBorder="1" applyAlignment="1">
      <alignment horizontal="right" vertical="center"/>
    </xf>
    <xf numFmtId="0" fontId="22" fillId="0" borderId="19" xfId="6" applyFont="1" applyBorder="1" applyAlignment="1">
      <alignment vertical="center"/>
    </xf>
    <xf numFmtId="0" fontId="12" fillId="0" borderId="0" xfId="10" applyFont="1"/>
    <xf numFmtId="0" fontId="19" fillId="0" borderId="0" xfId="0" applyFont="1" applyAlignment="1">
      <alignment horizontal="center" vertical="center"/>
    </xf>
    <xf numFmtId="9" fontId="23" fillId="0" borderId="0" xfId="0" applyNumberFormat="1" applyFont="1" applyAlignment="1">
      <alignment horizontal="center" vertical="center"/>
    </xf>
    <xf numFmtId="181" fontId="23" fillId="2" borderId="0" xfId="2" applyNumberFormat="1" applyFont="1" applyFill="1" applyAlignment="1">
      <alignment horizontal="center" vertical="center"/>
    </xf>
    <xf numFmtId="0" fontId="23" fillId="3" borderId="21" xfId="0" applyFont="1" applyFill="1" applyBorder="1" applyAlignment="1">
      <alignment horizontal="center" vertical="center"/>
    </xf>
    <xf numFmtId="0" fontId="23" fillId="6" borderId="2" xfId="0" applyFont="1" applyFill="1" applyBorder="1" applyAlignment="1">
      <alignment horizontal="center" vertical="center"/>
    </xf>
    <xf numFmtId="177" fontId="23" fillId="3" borderId="2" xfId="4" applyFont="1" applyFill="1" applyBorder="1" applyAlignment="1">
      <alignment horizontal="center" vertical="center"/>
    </xf>
    <xf numFmtId="178" fontId="23" fillId="3" borderId="2" xfId="5" applyFont="1" applyFill="1" applyBorder="1" applyAlignment="1">
      <alignment horizontal="center" vertical="center"/>
    </xf>
    <xf numFmtId="0" fontId="19" fillId="5" borderId="21" xfId="0" applyFont="1" applyFill="1" applyBorder="1" applyAlignment="1">
      <alignment horizontal="center" vertical="center"/>
    </xf>
    <xf numFmtId="0" fontId="19" fillId="6" borderId="2" xfId="0" applyFont="1" applyFill="1" applyBorder="1" applyAlignment="1">
      <alignment horizontal="center" vertical="center"/>
    </xf>
    <xf numFmtId="49" fontId="19" fillId="4" borderId="2" xfId="0" applyNumberFormat="1" applyFont="1" applyFill="1" applyBorder="1" applyAlignment="1">
      <alignment horizontal="center" vertical="center" wrapText="1"/>
    </xf>
    <xf numFmtId="177" fontId="19" fillId="5" borderId="2" xfId="1" applyFont="1" applyFill="1" applyBorder="1" applyAlignment="1">
      <alignment horizontal="center" vertical="center" wrapText="1"/>
    </xf>
    <xf numFmtId="177" fontId="19" fillId="0" borderId="2" xfId="1" applyFont="1" applyFill="1" applyBorder="1" applyAlignment="1">
      <alignment horizontal="center" vertical="center" wrapText="1"/>
    </xf>
    <xf numFmtId="0" fontId="24" fillId="0" borderId="22" xfId="0" applyFont="1" applyBorder="1" applyAlignment="1">
      <alignment horizontal="center" vertical="center"/>
    </xf>
    <xf numFmtId="0" fontId="20" fillId="0" borderId="0" xfId="0" applyFont="1">
      <alignment vertical="center"/>
    </xf>
    <xf numFmtId="182" fontId="25" fillId="0" borderId="30" xfId="15" quotePrefix="1" applyNumberFormat="1" applyFont="1" applyBorder="1" applyAlignment="1">
      <alignment horizontal="center" vertical="center"/>
    </xf>
    <xf numFmtId="177" fontId="24" fillId="0" borderId="30" xfId="13" applyFont="1" applyBorder="1" applyAlignment="1">
      <alignment vertical="center"/>
    </xf>
    <xf numFmtId="184" fontId="24" fillId="0" borderId="30" xfId="13" applyNumberFormat="1" applyFont="1" applyBorder="1" applyAlignment="1">
      <alignment horizontal="center" vertical="center"/>
    </xf>
    <xf numFmtId="177" fontId="24" fillId="0" borderId="30" xfId="13" applyFont="1" applyBorder="1" applyAlignment="1">
      <alignment horizontal="center" vertical="center"/>
    </xf>
    <xf numFmtId="185" fontId="24" fillId="0" borderId="30" xfId="13" applyNumberFormat="1" applyFont="1" applyBorder="1" applyAlignment="1">
      <alignment horizontal="center" vertical="center"/>
    </xf>
    <xf numFmtId="182" fontId="24" fillId="4" borderId="30" xfId="13" applyNumberFormat="1" applyFont="1" applyFill="1" applyBorder="1" applyAlignment="1">
      <alignment horizontal="right" vertical="center" wrapText="1"/>
    </xf>
    <xf numFmtId="185" fontId="24" fillId="9" borderId="30" xfId="13" applyNumberFormat="1" applyFont="1" applyFill="1" applyBorder="1" applyAlignment="1">
      <alignment horizontal="center" vertical="center"/>
    </xf>
    <xf numFmtId="184" fontId="24" fillId="10" borderId="30" xfId="13" applyNumberFormat="1" applyFont="1" applyFill="1" applyBorder="1" applyAlignment="1">
      <alignment horizontal="center" vertical="center"/>
    </xf>
    <xf numFmtId="177" fontId="24" fillId="10" borderId="30" xfId="13" applyFont="1" applyFill="1" applyBorder="1" applyAlignment="1">
      <alignment horizontal="center" vertical="center"/>
    </xf>
    <xf numFmtId="185" fontId="25" fillId="10" borderId="30" xfId="13" applyNumberFormat="1" applyFont="1" applyFill="1" applyBorder="1" applyAlignment="1">
      <alignment horizontal="center" vertical="center"/>
    </xf>
    <xf numFmtId="182" fontId="25" fillId="10" borderId="30" xfId="13" applyNumberFormat="1" applyFont="1" applyFill="1" applyBorder="1" applyAlignment="1">
      <alignment horizontal="right" vertical="center" wrapText="1"/>
    </xf>
    <xf numFmtId="182" fontId="25" fillId="10" borderId="30" xfId="13" applyNumberFormat="1" applyFont="1" applyFill="1" applyBorder="1" applyAlignment="1">
      <alignment horizontal="center" vertical="center" wrapText="1"/>
    </xf>
    <xf numFmtId="184" fontId="24" fillId="4" borderId="30" xfId="13" applyNumberFormat="1" applyFont="1" applyFill="1" applyBorder="1" applyAlignment="1">
      <alignment horizontal="center" vertical="center"/>
    </xf>
    <xf numFmtId="177" fontId="24" fillId="4" borderId="30" xfId="13" applyFont="1" applyFill="1" applyBorder="1" applyAlignment="1">
      <alignment horizontal="center" vertical="center"/>
    </xf>
    <xf numFmtId="182" fontId="24" fillId="4" borderId="30" xfId="13" applyNumberFormat="1" applyFont="1" applyFill="1" applyBorder="1" applyAlignment="1">
      <alignment horizontal="center" vertical="center" wrapText="1"/>
    </xf>
    <xf numFmtId="184" fontId="25" fillId="10" borderId="30" xfId="13" applyNumberFormat="1" applyFont="1" applyFill="1" applyBorder="1" applyAlignment="1">
      <alignment horizontal="center" vertical="center"/>
    </xf>
    <xf numFmtId="177" fontId="25" fillId="10" borderId="30" xfId="13" applyFont="1" applyFill="1" applyBorder="1" applyAlignment="1">
      <alignment horizontal="center" vertical="center"/>
    </xf>
    <xf numFmtId="182" fontId="19" fillId="4" borderId="30" xfId="13" applyNumberFormat="1" applyFont="1" applyFill="1" applyBorder="1" applyAlignment="1">
      <alignment horizontal="center" vertical="center" wrapText="1"/>
    </xf>
    <xf numFmtId="185" fontId="24" fillId="10" borderId="30" xfId="13" applyNumberFormat="1" applyFont="1" applyFill="1" applyBorder="1" applyAlignment="1">
      <alignment horizontal="center" vertical="center"/>
    </xf>
    <xf numFmtId="182" fontId="24" fillId="10" borderId="30" xfId="13" applyNumberFormat="1" applyFont="1" applyFill="1" applyBorder="1" applyAlignment="1">
      <alignment horizontal="right" vertical="center" wrapText="1"/>
    </xf>
    <xf numFmtId="182" fontId="24" fillId="10" borderId="30" xfId="13" applyNumberFormat="1" applyFont="1" applyFill="1" applyBorder="1" applyAlignment="1">
      <alignment vertical="center" wrapText="1"/>
    </xf>
    <xf numFmtId="182" fontId="25" fillId="10" borderId="30" xfId="13" applyNumberFormat="1" applyFont="1" applyFill="1" applyBorder="1" applyAlignment="1">
      <alignment vertical="center" wrapText="1"/>
    </xf>
    <xf numFmtId="0" fontId="20" fillId="0" borderId="0" xfId="15" applyFont="1">
      <alignment vertical="center"/>
    </xf>
    <xf numFmtId="49" fontId="19" fillId="6" borderId="2" xfId="0" applyNumberFormat="1" applyFont="1" applyFill="1" applyBorder="1" applyAlignment="1">
      <alignment horizontal="center" vertical="center"/>
    </xf>
    <xf numFmtId="0" fontId="23" fillId="10" borderId="30" xfId="13" applyNumberFormat="1" applyFont="1" applyFill="1" applyBorder="1" applyAlignment="1">
      <alignment horizontal="center" vertical="center"/>
    </xf>
    <xf numFmtId="0" fontId="19" fillId="5" borderId="2" xfId="0" applyFont="1" applyFill="1" applyBorder="1" applyAlignment="1">
      <alignment horizontal="center" vertical="center"/>
    </xf>
    <xf numFmtId="0" fontId="23" fillId="0" borderId="31" xfId="13" applyNumberFormat="1" applyFont="1" applyBorder="1" applyAlignment="1">
      <alignment vertical="center"/>
    </xf>
    <xf numFmtId="0" fontId="23" fillId="0" borderId="34" xfId="13" applyNumberFormat="1" applyFont="1" applyBorder="1" applyAlignment="1">
      <alignment vertical="center"/>
    </xf>
    <xf numFmtId="0" fontId="22" fillId="4" borderId="0" xfId="0" applyFont="1" applyFill="1" applyAlignment="1">
      <alignment horizontal="center" vertical="center"/>
    </xf>
    <xf numFmtId="0" fontId="23" fillId="7" borderId="30" xfId="13" applyNumberFormat="1" applyFont="1" applyFill="1" applyBorder="1" applyAlignment="1">
      <alignment horizontal="center" vertical="center"/>
    </xf>
    <xf numFmtId="184" fontId="24" fillId="7" borderId="30" xfId="13" applyNumberFormat="1" applyFont="1" applyFill="1" applyBorder="1" applyAlignment="1">
      <alignment horizontal="center" vertical="center"/>
    </xf>
    <xf numFmtId="177" fontId="24" fillId="7" borderId="30" xfId="13" applyFont="1" applyFill="1" applyBorder="1" applyAlignment="1">
      <alignment horizontal="center" vertical="center"/>
    </xf>
    <xf numFmtId="185" fontId="25" fillId="7" borderId="30" xfId="13" applyNumberFormat="1" applyFont="1" applyFill="1" applyBorder="1" applyAlignment="1">
      <alignment horizontal="center" vertical="center"/>
    </xf>
    <xf numFmtId="182" fontId="25" fillId="7" borderId="30" xfId="13" applyNumberFormat="1" applyFont="1" applyFill="1" applyBorder="1" applyAlignment="1">
      <alignment horizontal="right" vertical="center" wrapText="1"/>
    </xf>
    <xf numFmtId="188" fontId="24" fillId="4" borderId="30" xfId="13" applyNumberFormat="1" applyFont="1" applyFill="1" applyBorder="1" applyAlignment="1">
      <alignment horizontal="center" vertical="center" wrapText="1"/>
    </xf>
    <xf numFmtId="49" fontId="19" fillId="11" borderId="37" xfId="0" applyNumberFormat="1" applyFont="1" applyFill="1" applyBorder="1" applyAlignment="1">
      <alignment horizontal="center" vertical="center" wrapText="1"/>
    </xf>
    <xf numFmtId="189" fontId="19" fillId="6" borderId="37" xfId="1" applyNumberFormat="1" applyFont="1" applyFill="1" applyBorder="1" applyAlignment="1">
      <alignment horizontal="center" vertical="center"/>
    </xf>
    <xf numFmtId="189" fontId="19" fillId="0" borderId="37" xfId="1" applyNumberFormat="1" applyFont="1" applyBorder="1" applyAlignment="1">
      <alignment horizontal="center" vertical="center"/>
    </xf>
    <xf numFmtId="190" fontId="19" fillId="0" borderId="37" xfId="1" applyNumberFormat="1" applyFont="1" applyBorder="1" applyAlignment="1">
      <alignment horizontal="center" vertical="center"/>
    </xf>
    <xf numFmtId="189" fontId="20" fillId="0" borderId="0" xfId="1" applyNumberFormat="1" applyFont="1" applyAlignment="1">
      <alignment horizontal="center" vertical="center"/>
    </xf>
    <xf numFmtId="187" fontId="19" fillId="0" borderId="2" xfId="1" applyNumberFormat="1" applyFont="1" applyFill="1" applyBorder="1" applyAlignment="1">
      <alignment horizontal="center" vertical="center"/>
    </xf>
    <xf numFmtId="49" fontId="19" fillId="4" borderId="2" xfId="0" applyNumberFormat="1" applyFont="1" applyFill="1" applyBorder="1" applyAlignment="1">
      <alignment horizontal="center" vertical="center"/>
    </xf>
    <xf numFmtId="186" fontId="19" fillId="4" borderId="2" xfId="0" applyNumberFormat="1" applyFont="1" applyFill="1" applyBorder="1" applyAlignment="1">
      <alignment horizontal="right" vertical="center" wrapText="1"/>
    </xf>
    <xf numFmtId="182" fontId="24" fillId="0" borderId="30" xfId="13" applyNumberFormat="1" applyFont="1" applyBorder="1" applyAlignment="1">
      <alignment horizontal="right" vertical="center" wrapText="1"/>
    </xf>
    <xf numFmtId="182" fontId="24" fillId="0" borderId="30" xfId="13" applyNumberFormat="1" applyFont="1" applyBorder="1" applyAlignment="1">
      <alignment horizontal="center" vertical="center" wrapText="1"/>
    </xf>
    <xf numFmtId="188" fontId="25" fillId="10" borderId="30" xfId="13" applyNumberFormat="1" applyFont="1" applyFill="1" applyBorder="1" applyAlignment="1">
      <alignment horizontal="center" vertical="center" wrapText="1"/>
    </xf>
    <xf numFmtId="0" fontId="19" fillId="4" borderId="30" xfId="13" applyNumberFormat="1" applyFont="1" applyFill="1" applyBorder="1" applyAlignment="1">
      <alignment vertical="center"/>
    </xf>
    <xf numFmtId="182" fontId="24" fillId="0" borderId="30" xfId="13" applyNumberFormat="1" applyFont="1" applyFill="1" applyBorder="1" applyAlignment="1">
      <alignment horizontal="right" vertical="center" wrapText="1"/>
    </xf>
    <xf numFmtId="185" fontId="24" fillId="4" borderId="30" xfId="13" applyNumberFormat="1" applyFont="1" applyFill="1" applyBorder="1" applyAlignment="1">
      <alignment horizontal="center" vertical="center"/>
    </xf>
    <xf numFmtId="0" fontId="20" fillId="0" borderId="0" xfId="6" applyFont="1" applyAlignment="1">
      <alignment vertical="center"/>
    </xf>
    <xf numFmtId="0" fontId="12" fillId="0" borderId="3" xfId="6" applyFont="1" applyBorder="1" applyAlignment="1">
      <alignment vertical="center"/>
    </xf>
    <xf numFmtId="0" fontId="25" fillId="0" borderId="30" xfId="15" quotePrefix="1" applyFont="1" applyBorder="1" applyAlignment="1">
      <alignment horizontal="center" vertical="center"/>
    </xf>
    <xf numFmtId="182" fontId="19" fillId="4" borderId="2" xfId="0" applyNumberFormat="1" applyFont="1" applyFill="1" applyBorder="1" applyAlignment="1">
      <alignment vertical="center" wrapText="1"/>
    </xf>
    <xf numFmtId="49" fontId="24" fillId="4" borderId="2" xfId="0" applyNumberFormat="1" applyFont="1" applyFill="1" applyBorder="1" applyAlignment="1">
      <alignment horizontal="center" vertical="center"/>
    </xf>
    <xf numFmtId="49" fontId="24" fillId="4" borderId="30" xfId="0" applyNumberFormat="1" applyFont="1" applyFill="1" applyBorder="1" applyAlignment="1">
      <alignment horizontal="center" vertical="center"/>
    </xf>
    <xf numFmtId="191" fontId="19" fillId="4" borderId="2" xfId="0" applyNumberFormat="1" applyFont="1" applyFill="1" applyBorder="1" applyAlignment="1">
      <alignment horizontal="right" vertical="center" wrapText="1"/>
    </xf>
    <xf numFmtId="191" fontId="19" fillId="5" borderId="2" xfId="1" applyNumberFormat="1" applyFont="1" applyFill="1" applyBorder="1" applyAlignment="1">
      <alignment horizontal="right" vertical="center" wrapText="1"/>
    </xf>
    <xf numFmtId="191" fontId="19" fillId="0" borderId="2" xfId="1" applyNumberFormat="1" applyFont="1" applyFill="1" applyBorder="1" applyAlignment="1">
      <alignment horizontal="right" vertical="center" wrapText="1"/>
    </xf>
    <xf numFmtId="191" fontId="19" fillId="4" borderId="2" xfId="0" applyNumberFormat="1" applyFont="1" applyFill="1" applyBorder="1" applyAlignment="1">
      <alignment horizontal="right" vertical="center"/>
    </xf>
    <xf numFmtId="191" fontId="19" fillId="4" borderId="2" xfId="1" applyNumberFormat="1" applyFont="1" applyFill="1" applyBorder="1" applyAlignment="1">
      <alignment horizontal="right" vertical="center" wrapText="1"/>
    </xf>
    <xf numFmtId="192" fontId="19" fillId="4" borderId="2" xfId="1" applyNumberFormat="1" applyFont="1" applyFill="1" applyBorder="1" applyAlignment="1">
      <alignment horizontal="center" vertical="center"/>
    </xf>
    <xf numFmtId="49" fontId="19" fillId="0" borderId="2" xfId="0" applyNumberFormat="1" applyFont="1" applyBorder="1" applyAlignment="1">
      <alignment horizontal="center" vertical="center" wrapText="1"/>
    </xf>
    <xf numFmtId="0" fontId="19" fillId="0" borderId="0" xfId="0" applyFont="1" applyAlignment="1">
      <alignment vertical="center" wrapText="1"/>
    </xf>
    <xf numFmtId="0" fontId="23" fillId="3" borderId="2" xfId="3" applyFont="1" applyFill="1" applyBorder="1" applyAlignment="1">
      <alignment horizontal="center" vertical="center" wrapText="1"/>
    </xf>
    <xf numFmtId="0" fontId="22" fillId="4" borderId="0" xfId="0" applyFont="1" applyFill="1" applyAlignment="1">
      <alignment vertical="center" wrapText="1"/>
    </xf>
    <xf numFmtId="0" fontId="23" fillId="0" borderId="0" xfId="0" applyFont="1" applyAlignment="1">
      <alignment horizontal="center" vertical="center"/>
    </xf>
    <xf numFmtId="0" fontId="23" fillId="3" borderId="2" xfId="0" applyFont="1" applyFill="1" applyBorder="1" applyAlignment="1">
      <alignment horizontal="center" vertical="center"/>
    </xf>
    <xf numFmtId="0" fontId="19" fillId="0" borderId="0" xfId="0" applyFont="1">
      <alignment vertical="center"/>
    </xf>
    <xf numFmtId="0" fontId="23" fillId="8" borderId="23" xfId="0" applyFont="1" applyFill="1" applyBorder="1">
      <alignment vertical="center"/>
    </xf>
    <xf numFmtId="0" fontId="23" fillId="8" borderId="20" xfId="0" applyFont="1" applyFill="1" applyBorder="1">
      <alignment vertical="center"/>
    </xf>
    <xf numFmtId="0" fontId="24" fillId="0" borderId="0" xfId="0" applyFont="1">
      <alignment vertical="center"/>
    </xf>
    <xf numFmtId="49" fontId="20" fillId="0" borderId="2" xfId="0" applyNumberFormat="1" applyFont="1" applyBorder="1" applyAlignment="1">
      <alignment horizontal="center" vertical="center" wrapText="1"/>
    </xf>
    <xf numFmtId="0" fontId="19" fillId="4" borderId="2" xfId="0" applyFont="1" applyFill="1" applyBorder="1">
      <alignment vertical="center"/>
    </xf>
    <xf numFmtId="0" fontId="22" fillId="12" borderId="0" xfId="0" applyFont="1" applyFill="1">
      <alignment vertical="center"/>
    </xf>
    <xf numFmtId="0" fontId="22" fillId="4" borderId="0" xfId="0" applyFont="1" applyFill="1">
      <alignment vertical="center"/>
    </xf>
    <xf numFmtId="177" fontId="12" fillId="12" borderId="0" xfId="0" applyNumberFormat="1" applyFont="1" applyFill="1">
      <alignment vertical="center"/>
    </xf>
    <xf numFmtId="0" fontId="26" fillId="0" borderId="0" xfId="0" applyFont="1">
      <alignment vertical="center"/>
    </xf>
    <xf numFmtId="177" fontId="26" fillId="0" borderId="0" xfId="0" applyNumberFormat="1" applyFont="1">
      <alignment vertical="center"/>
    </xf>
    <xf numFmtId="0" fontId="22" fillId="0" borderId="0" xfId="0" applyFont="1">
      <alignment vertical="center"/>
    </xf>
    <xf numFmtId="0" fontId="23" fillId="4" borderId="0" xfId="0" applyFont="1" applyFill="1">
      <alignment vertical="center"/>
    </xf>
    <xf numFmtId="191" fontId="19" fillId="4" borderId="2" xfId="1" applyNumberFormat="1" applyFont="1" applyFill="1" applyBorder="1" applyAlignment="1">
      <alignment horizontal="right" vertical="center"/>
    </xf>
    <xf numFmtId="0" fontId="24" fillId="6" borderId="2" xfId="0" applyFont="1" applyFill="1" applyBorder="1" applyAlignment="1">
      <alignment horizontal="center" vertical="center"/>
    </xf>
    <xf numFmtId="49" fontId="24" fillId="0" borderId="2" xfId="0" applyNumberFormat="1" applyFont="1" applyBorder="1" applyAlignment="1">
      <alignment horizontal="center" vertical="center" wrapText="1"/>
    </xf>
    <xf numFmtId="191" fontId="24" fillId="4" borderId="2" xfId="1" applyNumberFormat="1" applyFont="1" applyFill="1" applyBorder="1" applyAlignment="1">
      <alignment horizontal="right" vertical="center" wrapText="1"/>
    </xf>
    <xf numFmtId="177" fontId="19" fillId="4" borderId="2" xfId="1" applyFont="1" applyFill="1" applyBorder="1" applyAlignment="1">
      <alignment vertical="center"/>
    </xf>
    <xf numFmtId="0" fontId="23" fillId="4" borderId="35" xfId="13" applyNumberFormat="1" applyFont="1" applyFill="1" applyBorder="1" applyAlignment="1">
      <alignment vertical="center"/>
    </xf>
    <xf numFmtId="182" fontId="25" fillId="4" borderId="30" xfId="13" applyNumberFormat="1" applyFont="1" applyFill="1" applyBorder="1" applyAlignment="1">
      <alignment horizontal="right" vertical="center" wrapText="1"/>
    </xf>
    <xf numFmtId="182" fontId="24" fillId="4" borderId="30" xfId="16" applyNumberFormat="1" applyFont="1" applyFill="1" applyBorder="1" applyAlignment="1">
      <alignment vertical="center"/>
    </xf>
    <xf numFmtId="193" fontId="24" fillId="4" borderId="30" xfId="0" applyNumberFormat="1" applyFont="1" applyFill="1" applyBorder="1" applyAlignment="1">
      <alignment horizontal="right" vertical="center" wrapText="1"/>
    </xf>
    <xf numFmtId="182" fontId="24" fillId="0" borderId="30" xfId="13" applyNumberFormat="1" applyFont="1" applyBorder="1" applyAlignment="1">
      <alignment vertical="center"/>
    </xf>
    <xf numFmtId="0" fontId="24" fillId="4" borderId="30" xfId="15" applyFont="1" applyFill="1" applyBorder="1" applyAlignment="1">
      <alignment horizontal="center" vertical="center" wrapText="1"/>
    </xf>
    <xf numFmtId="0" fontId="24" fillId="4" borderId="30" xfId="15" applyFont="1" applyFill="1" applyBorder="1" applyAlignment="1">
      <alignment horizontal="center" vertical="center"/>
    </xf>
    <xf numFmtId="184" fontId="24" fillId="4" borderId="30" xfId="13" applyNumberFormat="1" applyFont="1" applyFill="1" applyBorder="1" applyAlignment="1">
      <alignment horizontal="center" vertical="center" wrapText="1"/>
    </xf>
    <xf numFmtId="49" fontId="27" fillId="6" borderId="2" xfId="0" applyNumberFormat="1" applyFont="1" applyFill="1" applyBorder="1" applyAlignment="1">
      <alignment horizontal="center" vertical="center" wrapText="1"/>
    </xf>
    <xf numFmtId="0" fontId="28" fillId="6" borderId="2" xfId="0" applyFont="1" applyFill="1" applyBorder="1" applyAlignment="1">
      <alignment horizontal="center" vertical="center"/>
    </xf>
    <xf numFmtId="0" fontId="29" fillId="6" borderId="2" xfId="0" applyFont="1" applyFill="1" applyBorder="1" applyAlignment="1">
      <alignment horizontal="center" vertical="center"/>
    </xf>
    <xf numFmtId="0" fontId="29" fillId="4" borderId="2" xfId="0" applyFont="1" applyFill="1" applyBorder="1" applyAlignment="1">
      <alignment horizontal="center" vertical="center"/>
    </xf>
    <xf numFmtId="49" fontId="29" fillId="4" borderId="2" xfId="0" applyNumberFormat="1" applyFont="1" applyFill="1" applyBorder="1" applyAlignment="1">
      <alignment horizontal="center" vertical="center"/>
    </xf>
    <xf numFmtId="177" fontId="29" fillId="4" borderId="2" xfId="1" applyFont="1" applyFill="1" applyBorder="1" applyAlignment="1">
      <alignment horizontal="center" vertical="center"/>
    </xf>
    <xf numFmtId="49" fontId="30" fillId="6" borderId="2" xfId="0" applyNumberFormat="1" applyFont="1" applyFill="1" applyBorder="1" applyAlignment="1">
      <alignment horizontal="center" vertical="center" wrapText="1"/>
    </xf>
    <xf numFmtId="0" fontId="27" fillId="6" borderId="2" xfId="0" applyFont="1" applyFill="1" applyBorder="1" applyAlignment="1">
      <alignment horizontal="center" vertical="center"/>
    </xf>
    <xf numFmtId="0" fontId="29" fillId="4" borderId="2" xfId="0" applyFont="1" applyFill="1" applyBorder="1" applyAlignment="1">
      <alignment horizontal="center" vertical="center" wrapText="1"/>
    </xf>
    <xf numFmtId="49" fontId="31" fillId="4" borderId="2" xfId="0" applyNumberFormat="1" applyFont="1" applyFill="1" applyBorder="1" applyAlignment="1">
      <alignment horizontal="center" vertical="center" wrapText="1"/>
    </xf>
    <xf numFmtId="0" fontId="19" fillId="4" borderId="34" xfId="15" applyFont="1" applyFill="1" applyBorder="1" applyAlignment="1">
      <alignment vertical="center" wrapText="1"/>
    </xf>
    <xf numFmtId="184" fontId="24" fillId="6" borderId="30" xfId="13" applyNumberFormat="1" applyFont="1" applyFill="1" applyBorder="1" applyAlignment="1">
      <alignment horizontal="center" vertical="center"/>
    </xf>
    <xf numFmtId="177" fontId="24" fillId="6" borderId="30" xfId="13" applyFont="1" applyFill="1" applyBorder="1" applyAlignment="1">
      <alignment horizontal="center" vertical="center"/>
    </xf>
    <xf numFmtId="185" fontId="24" fillId="6" borderId="30" xfId="13" applyNumberFormat="1" applyFont="1" applyFill="1" applyBorder="1" applyAlignment="1">
      <alignment horizontal="center" vertical="center"/>
    </xf>
    <xf numFmtId="182" fontId="24" fillId="6" borderId="30" xfId="13" applyNumberFormat="1" applyFont="1" applyFill="1" applyBorder="1" applyAlignment="1">
      <alignment horizontal="right" vertical="center" wrapText="1"/>
    </xf>
    <xf numFmtId="185" fontId="20" fillId="0" borderId="0" xfId="0" applyNumberFormat="1" applyFont="1">
      <alignment vertical="center"/>
    </xf>
    <xf numFmtId="0" fontId="18" fillId="0" borderId="0" xfId="6" applyFont="1" applyAlignment="1">
      <alignment horizontal="center" vertical="center"/>
    </xf>
    <xf numFmtId="0" fontId="21" fillId="0" borderId="0" xfId="6" applyFont="1" applyAlignment="1">
      <alignment vertical="center"/>
    </xf>
    <xf numFmtId="0" fontId="20" fillId="0" borderId="0" xfId="6" applyFont="1" applyAlignment="1">
      <alignment vertical="center"/>
    </xf>
    <xf numFmtId="0" fontId="12" fillId="0" borderId="3" xfId="6" applyFont="1" applyBorder="1" applyAlignment="1">
      <alignment vertical="center"/>
    </xf>
    <xf numFmtId="0" fontId="12" fillId="0" borderId="4" xfId="6" applyFont="1" applyBorder="1" applyAlignment="1">
      <alignment vertical="center"/>
    </xf>
    <xf numFmtId="0" fontId="12" fillId="0" borderId="5" xfId="6" applyFont="1" applyBorder="1" applyAlignment="1">
      <alignment vertical="center"/>
    </xf>
    <xf numFmtId="0" fontId="23" fillId="0" borderId="0" xfId="0" applyFont="1" applyAlignment="1">
      <alignment horizontal="center" vertical="center"/>
    </xf>
    <xf numFmtId="0" fontId="19" fillId="0" borderId="36" xfId="0" applyFont="1" applyBorder="1" applyAlignment="1">
      <alignment horizontal="center" vertical="center"/>
    </xf>
    <xf numFmtId="0" fontId="19" fillId="0" borderId="22" xfId="0" applyFont="1" applyBorder="1" applyAlignment="1">
      <alignment horizontal="center" vertical="center"/>
    </xf>
    <xf numFmtId="0" fontId="23" fillId="0" borderId="20" xfId="0" applyFont="1" applyBorder="1" applyAlignment="1">
      <alignment horizontal="center" vertical="center"/>
    </xf>
    <xf numFmtId="0" fontId="23" fillId="8" borderId="2" xfId="0" applyFont="1" applyFill="1" applyBorder="1" applyAlignment="1">
      <alignment horizontal="center" vertical="center"/>
    </xf>
    <xf numFmtId="177" fontId="23" fillId="3" borderId="20" xfId="4" applyFont="1" applyFill="1" applyBorder="1" applyAlignment="1">
      <alignment horizontal="center" vertical="center"/>
    </xf>
    <xf numFmtId="178" fontId="23" fillId="3" borderId="20" xfId="5" applyFont="1" applyFill="1" applyBorder="1" applyAlignment="1">
      <alignment horizontal="center" vertical="center"/>
    </xf>
    <xf numFmtId="0" fontId="23" fillId="3" borderId="20" xfId="0" applyFont="1" applyFill="1" applyBorder="1" applyAlignment="1">
      <alignment horizontal="center" vertical="center"/>
    </xf>
    <xf numFmtId="0" fontId="23" fillId="3" borderId="2" xfId="0" applyFont="1" applyFill="1" applyBorder="1" applyAlignment="1">
      <alignment horizontal="center" vertical="center"/>
    </xf>
    <xf numFmtId="0" fontId="23" fillId="3" borderId="20" xfId="3" applyFont="1" applyFill="1" applyBorder="1" applyAlignment="1">
      <alignment horizontal="center" vertical="center"/>
    </xf>
    <xf numFmtId="0" fontId="23" fillId="3" borderId="2" xfId="3" applyFont="1" applyFill="1" applyBorder="1" applyAlignment="1">
      <alignment horizontal="center" vertical="center"/>
    </xf>
    <xf numFmtId="0" fontId="23" fillId="3" borderId="20" xfId="3" applyFont="1" applyFill="1" applyBorder="1" applyAlignment="1">
      <alignment horizontal="center" vertical="center" wrapText="1"/>
    </xf>
    <xf numFmtId="0" fontId="19" fillId="4" borderId="31" xfId="15" applyFont="1" applyFill="1" applyBorder="1" applyAlignment="1">
      <alignment vertical="center" wrapText="1"/>
    </xf>
    <xf numFmtId="0" fontId="19" fillId="4" borderId="34" xfId="15" applyFont="1" applyFill="1" applyBorder="1" applyAlignment="1">
      <alignment vertical="center" wrapText="1"/>
    </xf>
    <xf numFmtId="182" fontId="19" fillId="0" borderId="31" xfId="13" applyNumberFormat="1" applyFont="1" applyBorder="1" applyAlignment="1">
      <alignment horizontal="center" vertical="center" wrapText="1"/>
    </xf>
    <xf numFmtId="182" fontId="19" fillId="0" borderId="35" xfId="13" applyNumberFormat="1" applyFont="1" applyBorder="1" applyAlignment="1">
      <alignment horizontal="center" vertical="center" wrapText="1"/>
    </xf>
    <xf numFmtId="0" fontId="19" fillId="9" borderId="35" xfId="13" applyNumberFormat="1" applyFont="1" applyFill="1" applyBorder="1" applyAlignment="1">
      <alignment vertical="center"/>
    </xf>
    <xf numFmtId="0" fontId="19" fillId="9" borderId="34" xfId="13" applyNumberFormat="1" applyFont="1" applyFill="1" applyBorder="1" applyAlignment="1">
      <alignment vertical="center"/>
    </xf>
    <xf numFmtId="182" fontId="19" fillId="0" borderId="34" xfId="13" applyNumberFormat="1" applyFont="1" applyBorder="1" applyAlignment="1">
      <alignment horizontal="center" vertical="center" wrapText="1"/>
    </xf>
    <xf numFmtId="0" fontId="19" fillId="0" borderId="30" xfId="13" applyNumberFormat="1" applyFont="1" applyBorder="1" applyAlignment="1">
      <alignment vertical="center"/>
    </xf>
    <xf numFmtId="0" fontId="19" fillId="0" borderId="31" xfId="13" applyNumberFormat="1" applyFont="1" applyBorder="1" applyAlignment="1">
      <alignment vertical="center"/>
    </xf>
    <xf numFmtId="0" fontId="19" fillId="0" borderId="35" xfId="13" applyNumberFormat="1" applyFont="1" applyBorder="1" applyAlignment="1">
      <alignment vertical="center"/>
    </xf>
    <xf numFmtId="183" fontId="23" fillId="10" borderId="32" xfId="13" applyNumberFormat="1" applyFont="1" applyFill="1" applyBorder="1" applyAlignment="1">
      <alignment vertical="center"/>
    </xf>
    <xf numFmtId="183" fontId="25" fillId="10" borderId="33" xfId="13" applyNumberFormat="1" applyFont="1" applyFill="1" applyBorder="1" applyAlignment="1">
      <alignment vertical="center"/>
    </xf>
    <xf numFmtId="0" fontId="21" fillId="0" borderId="29" xfId="15" applyFont="1" applyBorder="1" applyAlignment="1">
      <alignment horizontal="center" vertical="center"/>
    </xf>
    <xf numFmtId="0" fontId="23" fillId="0" borderId="30" xfId="15" quotePrefix="1" applyFont="1" applyBorder="1" applyAlignment="1">
      <alignment horizontal="center" vertical="center"/>
    </xf>
    <xf numFmtId="0" fontId="25" fillId="0" borderId="30" xfId="15" quotePrefix="1" applyFont="1" applyBorder="1" applyAlignment="1">
      <alignment horizontal="center" vertical="center"/>
    </xf>
    <xf numFmtId="0" fontId="25" fillId="0" borderId="31" xfId="15" quotePrefix="1" applyFont="1" applyBorder="1" applyAlignment="1">
      <alignment horizontal="center" vertical="center"/>
    </xf>
    <xf numFmtId="0" fontId="25" fillId="0" borderId="34" xfId="15" quotePrefix="1" applyFont="1" applyBorder="1" applyAlignment="1">
      <alignment horizontal="center" vertical="center"/>
    </xf>
    <xf numFmtId="0" fontId="25" fillId="0" borderId="30" xfId="15" applyFont="1" applyBorder="1" applyAlignment="1">
      <alignment horizontal="center" vertical="center"/>
    </xf>
    <xf numFmtId="0" fontId="25" fillId="0" borderId="32" xfId="15" quotePrefix="1" applyFont="1" applyBorder="1" applyAlignment="1">
      <alignment horizontal="center" vertical="center"/>
    </xf>
    <xf numFmtId="0" fontId="25" fillId="0" borderId="33" xfId="15" quotePrefix="1" applyFont="1" applyBorder="1" applyAlignment="1">
      <alignment horizontal="center" vertical="center"/>
    </xf>
    <xf numFmtId="0" fontId="25" fillId="0" borderId="31" xfId="15" applyFont="1" applyBorder="1" applyAlignment="1">
      <alignment horizontal="center" vertical="center"/>
    </xf>
    <xf numFmtId="0" fontId="25" fillId="0" borderId="34" xfId="15" applyFont="1" applyBorder="1" applyAlignment="1">
      <alignment horizontal="center" vertical="center"/>
    </xf>
  </cellXfs>
  <cellStyles count="19">
    <cellStyle name="백분율" xfId="2" builtinId="5"/>
    <cellStyle name="백분율 2 64" xfId="9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8" xr:uid="{9DE5560C-89D3-4234-A527-EA49B53D4971}"/>
    <cellStyle name="쉼표 [0] 2 2 29" xfId="13" xr:uid="{00000000-0005-0000-0000-000005000000}"/>
    <cellStyle name="쉼표 [0] 3" xfId="16" xr:uid="{8F7BE219-40E1-4BBB-A9BD-02188B74B2A3}"/>
    <cellStyle name="쉼표 [0]_봉강빌딩신축공사" xfId="7" xr:uid="{00000000-0005-0000-0000-000006000000}"/>
    <cellStyle name="통화 [0] 2 2" xfId="12" xr:uid="{00000000-0005-0000-0000-000007000000}"/>
    <cellStyle name="표준" xfId="0" builtinId="0"/>
    <cellStyle name="표준 10 10 2" xfId="3" xr:uid="{00000000-0005-0000-0000-000009000000}"/>
    <cellStyle name="표준 10 31" xfId="11" xr:uid="{00000000-0005-0000-0000-00000A000000}"/>
    <cellStyle name="표준 2" xfId="8" xr:uid="{00000000-0005-0000-0000-00000B000000}"/>
    <cellStyle name="표준 2 10 5" xfId="10" xr:uid="{00000000-0005-0000-0000-00000C000000}"/>
    <cellStyle name="표준 3" xfId="14" xr:uid="{00000000-0005-0000-0000-00000D000000}"/>
    <cellStyle name="표준 4" xfId="15" xr:uid="{08D43F33-5EF4-4FAF-B422-8A71947BBD29}"/>
    <cellStyle name="표준 5" xfId="17" xr:uid="{B39ACF8E-5B1E-4331-957C-34579729CB23}"/>
    <cellStyle name="표준_봉강빌딩신축공사" xfId="6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3" name="Picture 1" descr="세원도장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" name="Picture 6" descr="도장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5" name="Picture 1" descr="세원도장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" name="Picture 6" descr="도장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" name="Picture 6" descr="도장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" name="Picture 6" descr="도장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" name="Picture 6" descr="도장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8" name="Picture 6" descr="도장">
          <a:extLst>
            <a:ext uri="{FF2B5EF4-FFF2-40B4-BE49-F238E27FC236}">
              <a16:creationId xmlns:a16="http://schemas.microsoft.com/office/drawing/2014/main" id="{58F3E340-E599-46BE-9E8C-FA96064F7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1" name="Picture 1" descr="세원도장">
          <a:extLst>
            <a:ext uri="{FF2B5EF4-FFF2-40B4-BE49-F238E27FC236}">
              <a16:creationId xmlns:a16="http://schemas.microsoft.com/office/drawing/2014/main" id="{BFD26053-C86C-454F-BAAE-C22BD44A9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" name="Picture 6" descr="도장">
          <a:extLst>
            <a:ext uri="{FF2B5EF4-FFF2-40B4-BE49-F238E27FC236}">
              <a16:creationId xmlns:a16="http://schemas.microsoft.com/office/drawing/2014/main" id="{EB347FB3-564D-4B15-9EBC-B07BC58EB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3" name="Picture 1" descr="세원도장">
          <a:extLst>
            <a:ext uri="{FF2B5EF4-FFF2-40B4-BE49-F238E27FC236}">
              <a16:creationId xmlns:a16="http://schemas.microsoft.com/office/drawing/2014/main" id="{B0ACC25C-A4C6-482A-80E1-3B27B1DCE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4" name="Picture 1" descr="세원도장">
          <a:extLst>
            <a:ext uri="{FF2B5EF4-FFF2-40B4-BE49-F238E27FC236}">
              <a16:creationId xmlns:a16="http://schemas.microsoft.com/office/drawing/2014/main" id="{9FD6EC32-C5A1-471A-BA27-6604E1161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5" name="Picture 1" descr="세원도장">
          <a:extLst>
            <a:ext uri="{FF2B5EF4-FFF2-40B4-BE49-F238E27FC236}">
              <a16:creationId xmlns:a16="http://schemas.microsoft.com/office/drawing/2014/main" id="{C025AE9D-6D75-4C0B-8D39-B52F57D41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6" name="Picture 1" descr="세원도장">
          <a:extLst>
            <a:ext uri="{FF2B5EF4-FFF2-40B4-BE49-F238E27FC236}">
              <a16:creationId xmlns:a16="http://schemas.microsoft.com/office/drawing/2014/main" id="{3DB1C1D3-5E0E-48D9-8440-A0F822117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7" name="Picture 1" descr="세원도장">
          <a:extLst>
            <a:ext uri="{FF2B5EF4-FFF2-40B4-BE49-F238E27FC236}">
              <a16:creationId xmlns:a16="http://schemas.microsoft.com/office/drawing/2014/main" id="{4725828D-394F-41BF-B914-794E48891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8" name="Picture 1" descr="세원도장">
          <a:extLst>
            <a:ext uri="{FF2B5EF4-FFF2-40B4-BE49-F238E27FC236}">
              <a16:creationId xmlns:a16="http://schemas.microsoft.com/office/drawing/2014/main" id="{89DC7C37-23EB-42F3-AFCB-BCC68DE44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9" name="Picture 1" descr="세원도장">
          <a:extLst>
            <a:ext uri="{FF2B5EF4-FFF2-40B4-BE49-F238E27FC236}">
              <a16:creationId xmlns:a16="http://schemas.microsoft.com/office/drawing/2014/main" id="{E44C58A3-246E-4D32-B978-6FBC162FC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0" name="Picture 1" descr="세원도장">
          <a:extLst>
            <a:ext uri="{FF2B5EF4-FFF2-40B4-BE49-F238E27FC236}">
              <a16:creationId xmlns:a16="http://schemas.microsoft.com/office/drawing/2014/main" id="{5EE48E27-9484-4AF6-BAF4-E237DD04B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1" name="Picture 1" descr="세원도장">
          <a:extLst>
            <a:ext uri="{FF2B5EF4-FFF2-40B4-BE49-F238E27FC236}">
              <a16:creationId xmlns:a16="http://schemas.microsoft.com/office/drawing/2014/main" id="{D7569884-D0FA-4298-A9F7-2F8EA3258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2" name="Picture 1" descr="세원도장">
          <a:extLst>
            <a:ext uri="{FF2B5EF4-FFF2-40B4-BE49-F238E27FC236}">
              <a16:creationId xmlns:a16="http://schemas.microsoft.com/office/drawing/2014/main" id="{D6D71E39-AE40-4897-B67E-4DC47E051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3" name="Picture 1" descr="세원도장">
          <a:extLst>
            <a:ext uri="{FF2B5EF4-FFF2-40B4-BE49-F238E27FC236}">
              <a16:creationId xmlns:a16="http://schemas.microsoft.com/office/drawing/2014/main" id="{8A6A7AA3-8F11-4252-A916-4910E00B3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4" name="Picture 1" descr="세원도장">
          <a:extLst>
            <a:ext uri="{FF2B5EF4-FFF2-40B4-BE49-F238E27FC236}">
              <a16:creationId xmlns:a16="http://schemas.microsoft.com/office/drawing/2014/main" id="{954762A1-D062-42BE-BB04-A042C39AA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5" name="Picture 1" descr="세원도장">
          <a:extLst>
            <a:ext uri="{FF2B5EF4-FFF2-40B4-BE49-F238E27FC236}">
              <a16:creationId xmlns:a16="http://schemas.microsoft.com/office/drawing/2014/main" id="{DB13B384-02D2-4A89-BABB-F0AAAE9DE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6" name="Picture 1" descr="세원도장">
          <a:extLst>
            <a:ext uri="{FF2B5EF4-FFF2-40B4-BE49-F238E27FC236}">
              <a16:creationId xmlns:a16="http://schemas.microsoft.com/office/drawing/2014/main" id="{58266D4E-D6D1-41BA-8021-F45C27F1B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7" name="Picture 1" descr="세원도장">
          <a:extLst>
            <a:ext uri="{FF2B5EF4-FFF2-40B4-BE49-F238E27FC236}">
              <a16:creationId xmlns:a16="http://schemas.microsoft.com/office/drawing/2014/main" id="{9EF17E01-878E-45A1-8E21-32C0F8911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8" name="Picture 1" descr="세원도장">
          <a:extLst>
            <a:ext uri="{FF2B5EF4-FFF2-40B4-BE49-F238E27FC236}">
              <a16:creationId xmlns:a16="http://schemas.microsoft.com/office/drawing/2014/main" id="{6E2D99E9-30AE-4708-B321-B4EE6083C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9" name="Picture 1" descr="세원도장">
          <a:extLst>
            <a:ext uri="{FF2B5EF4-FFF2-40B4-BE49-F238E27FC236}">
              <a16:creationId xmlns:a16="http://schemas.microsoft.com/office/drawing/2014/main" id="{1DE30400-F6C4-433B-9528-AB2FF1C77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0" name="Picture 1" descr="세원도장">
          <a:extLst>
            <a:ext uri="{FF2B5EF4-FFF2-40B4-BE49-F238E27FC236}">
              <a16:creationId xmlns:a16="http://schemas.microsoft.com/office/drawing/2014/main" id="{64B389D0-D427-4BE4-ADEC-297FE3946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1" name="Picture 1" descr="세원도장">
          <a:extLst>
            <a:ext uri="{FF2B5EF4-FFF2-40B4-BE49-F238E27FC236}">
              <a16:creationId xmlns:a16="http://schemas.microsoft.com/office/drawing/2014/main" id="{DAB75B71-B2B3-4422-985B-372E94B02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2" name="Picture 1" descr="세원도장">
          <a:extLst>
            <a:ext uri="{FF2B5EF4-FFF2-40B4-BE49-F238E27FC236}">
              <a16:creationId xmlns:a16="http://schemas.microsoft.com/office/drawing/2014/main" id="{D0B769DC-8325-403A-921F-393C1FC82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3" name="Picture 1" descr="세원도장">
          <a:extLst>
            <a:ext uri="{FF2B5EF4-FFF2-40B4-BE49-F238E27FC236}">
              <a16:creationId xmlns:a16="http://schemas.microsoft.com/office/drawing/2014/main" id="{8BF8F784-9BCC-4B37-8359-D7EA98F30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4" name="Picture 1" descr="세원도장">
          <a:extLst>
            <a:ext uri="{FF2B5EF4-FFF2-40B4-BE49-F238E27FC236}">
              <a16:creationId xmlns:a16="http://schemas.microsoft.com/office/drawing/2014/main" id="{30C40510-27D0-4954-853C-90BAB02D0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5" name="Picture 1" descr="세원도장">
          <a:extLst>
            <a:ext uri="{FF2B5EF4-FFF2-40B4-BE49-F238E27FC236}">
              <a16:creationId xmlns:a16="http://schemas.microsoft.com/office/drawing/2014/main" id="{F2CF8535-B92B-4423-8225-AF99190B1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6" name="Picture 6" descr="도장">
          <a:extLst>
            <a:ext uri="{FF2B5EF4-FFF2-40B4-BE49-F238E27FC236}">
              <a16:creationId xmlns:a16="http://schemas.microsoft.com/office/drawing/2014/main" id="{36E5D8DF-282B-4AFB-9369-75E391C13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7" name="Picture 1" descr="세원도장">
          <a:extLst>
            <a:ext uri="{FF2B5EF4-FFF2-40B4-BE49-F238E27FC236}">
              <a16:creationId xmlns:a16="http://schemas.microsoft.com/office/drawing/2014/main" id="{E832764B-732E-4A88-A739-BDD2449AF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8" name="Picture 6" descr="도장">
          <a:extLst>
            <a:ext uri="{FF2B5EF4-FFF2-40B4-BE49-F238E27FC236}">
              <a16:creationId xmlns:a16="http://schemas.microsoft.com/office/drawing/2014/main" id="{B87FA265-8E5E-480B-A3F2-69DC37F17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9" name="Picture 1" descr="세원도장">
          <a:extLst>
            <a:ext uri="{FF2B5EF4-FFF2-40B4-BE49-F238E27FC236}">
              <a16:creationId xmlns:a16="http://schemas.microsoft.com/office/drawing/2014/main" id="{F6C26153-CD90-476A-BFCA-A3CE30B11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0" name="Picture 6" descr="도장">
          <a:extLst>
            <a:ext uri="{FF2B5EF4-FFF2-40B4-BE49-F238E27FC236}">
              <a16:creationId xmlns:a16="http://schemas.microsoft.com/office/drawing/2014/main" id="{0D360081-209A-49ED-9C8F-91B0D4512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1" name="Picture 6" descr="도장">
          <a:extLst>
            <a:ext uri="{FF2B5EF4-FFF2-40B4-BE49-F238E27FC236}">
              <a16:creationId xmlns:a16="http://schemas.microsoft.com/office/drawing/2014/main" id="{8A8E1C8F-C925-41E1-A4A6-29679FB53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2" name="Picture 6" descr="도장">
          <a:extLst>
            <a:ext uri="{FF2B5EF4-FFF2-40B4-BE49-F238E27FC236}">
              <a16:creationId xmlns:a16="http://schemas.microsoft.com/office/drawing/2014/main" id="{0364B22F-A0B2-409E-AB28-C930DBFEB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3" name="Picture 6" descr="도장">
          <a:extLst>
            <a:ext uri="{FF2B5EF4-FFF2-40B4-BE49-F238E27FC236}">
              <a16:creationId xmlns:a16="http://schemas.microsoft.com/office/drawing/2014/main" id="{8AC2503E-024C-44E1-90FD-DDCBC3EFA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4" name="Picture 6" descr="도장">
          <a:extLst>
            <a:ext uri="{FF2B5EF4-FFF2-40B4-BE49-F238E27FC236}">
              <a16:creationId xmlns:a16="http://schemas.microsoft.com/office/drawing/2014/main" id="{9C10EB2C-6EA8-45BD-A0BC-9C5BC48AA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5" name="Picture 1" descr="세원도장">
          <a:extLst>
            <a:ext uri="{FF2B5EF4-FFF2-40B4-BE49-F238E27FC236}">
              <a16:creationId xmlns:a16="http://schemas.microsoft.com/office/drawing/2014/main" id="{00D1DDBB-AD45-4E44-BF68-CE1EA1EAD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6" name="Picture 6" descr="도장">
          <a:extLst>
            <a:ext uri="{FF2B5EF4-FFF2-40B4-BE49-F238E27FC236}">
              <a16:creationId xmlns:a16="http://schemas.microsoft.com/office/drawing/2014/main" id="{34472790-6475-47E3-A06A-262CE3FE2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7" name="Picture 1" descr="세원도장">
          <a:extLst>
            <a:ext uri="{FF2B5EF4-FFF2-40B4-BE49-F238E27FC236}">
              <a16:creationId xmlns:a16="http://schemas.microsoft.com/office/drawing/2014/main" id="{4F6FB9E9-4CC3-4C5E-91AC-6EB7792C1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8" name="Picture 1" descr="세원도장">
          <a:extLst>
            <a:ext uri="{FF2B5EF4-FFF2-40B4-BE49-F238E27FC236}">
              <a16:creationId xmlns:a16="http://schemas.microsoft.com/office/drawing/2014/main" id="{202516F6-3335-4CF7-B049-55CEBD9EC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9" name="Picture 1" descr="세원도장">
          <a:extLst>
            <a:ext uri="{FF2B5EF4-FFF2-40B4-BE49-F238E27FC236}">
              <a16:creationId xmlns:a16="http://schemas.microsoft.com/office/drawing/2014/main" id="{B1093FD1-2980-41D3-859A-6CE645BE2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0" name="Picture 1" descr="세원도장">
          <a:extLst>
            <a:ext uri="{FF2B5EF4-FFF2-40B4-BE49-F238E27FC236}">
              <a16:creationId xmlns:a16="http://schemas.microsoft.com/office/drawing/2014/main" id="{D9592157-FDD7-4C21-B4B9-44337520B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1" name="Picture 1" descr="세원도장">
          <a:extLst>
            <a:ext uri="{FF2B5EF4-FFF2-40B4-BE49-F238E27FC236}">
              <a16:creationId xmlns:a16="http://schemas.microsoft.com/office/drawing/2014/main" id="{DBFF5F32-7AEA-4009-8317-4C62DE947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2" name="Picture 1" descr="세원도장">
          <a:extLst>
            <a:ext uri="{FF2B5EF4-FFF2-40B4-BE49-F238E27FC236}">
              <a16:creationId xmlns:a16="http://schemas.microsoft.com/office/drawing/2014/main" id="{426F5045-B9EA-479F-BF55-BCA673967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3" name="Picture 1" descr="세원도장">
          <a:extLst>
            <a:ext uri="{FF2B5EF4-FFF2-40B4-BE49-F238E27FC236}">
              <a16:creationId xmlns:a16="http://schemas.microsoft.com/office/drawing/2014/main" id="{98FDE52D-2CEE-40AC-9D40-20E6EC116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4" name="Picture 1" descr="세원도장">
          <a:extLst>
            <a:ext uri="{FF2B5EF4-FFF2-40B4-BE49-F238E27FC236}">
              <a16:creationId xmlns:a16="http://schemas.microsoft.com/office/drawing/2014/main" id="{58905083-0D49-41C2-A6E8-3CC0EE506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5" name="Picture 1" descr="세원도장">
          <a:extLst>
            <a:ext uri="{FF2B5EF4-FFF2-40B4-BE49-F238E27FC236}">
              <a16:creationId xmlns:a16="http://schemas.microsoft.com/office/drawing/2014/main" id="{79925FA0-10EF-4738-8560-FD0B4ED00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6" name="Picture 1" descr="세원도장">
          <a:extLst>
            <a:ext uri="{FF2B5EF4-FFF2-40B4-BE49-F238E27FC236}">
              <a16:creationId xmlns:a16="http://schemas.microsoft.com/office/drawing/2014/main" id="{B45AF68E-E086-4275-BD9B-1D362E532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7" name="Picture 1" descr="세원도장">
          <a:extLst>
            <a:ext uri="{FF2B5EF4-FFF2-40B4-BE49-F238E27FC236}">
              <a16:creationId xmlns:a16="http://schemas.microsoft.com/office/drawing/2014/main" id="{91C30C8D-412A-4320-B790-2152646DF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8" name="Picture 1" descr="세원도장">
          <a:extLst>
            <a:ext uri="{FF2B5EF4-FFF2-40B4-BE49-F238E27FC236}">
              <a16:creationId xmlns:a16="http://schemas.microsoft.com/office/drawing/2014/main" id="{58FF05B5-A94B-4155-87A2-7BF77EF1D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9" name="Picture 1" descr="세원도장">
          <a:extLst>
            <a:ext uri="{FF2B5EF4-FFF2-40B4-BE49-F238E27FC236}">
              <a16:creationId xmlns:a16="http://schemas.microsoft.com/office/drawing/2014/main" id="{425971EC-1351-4861-A73F-FA984FD1E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0" name="Picture 1" descr="세원도장">
          <a:extLst>
            <a:ext uri="{FF2B5EF4-FFF2-40B4-BE49-F238E27FC236}">
              <a16:creationId xmlns:a16="http://schemas.microsoft.com/office/drawing/2014/main" id="{F1C4241F-0E15-4217-B984-EC6D2A294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1" name="Picture 1" descr="세원도장">
          <a:extLst>
            <a:ext uri="{FF2B5EF4-FFF2-40B4-BE49-F238E27FC236}">
              <a16:creationId xmlns:a16="http://schemas.microsoft.com/office/drawing/2014/main" id="{52DD8E77-DCD7-49D1-A6D5-C06F5F353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2" name="Picture 1" descr="세원도장">
          <a:extLst>
            <a:ext uri="{FF2B5EF4-FFF2-40B4-BE49-F238E27FC236}">
              <a16:creationId xmlns:a16="http://schemas.microsoft.com/office/drawing/2014/main" id="{3DAF327B-D985-4425-96E1-9E4AA6233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3" name="Picture 1" descr="세원도장">
          <a:extLst>
            <a:ext uri="{FF2B5EF4-FFF2-40B4-BE49-F238E27FC236}">
              <a16:creationId xmlns:a16="http://schemas.microsoft.com/office/drawing/2014/main" id="{10F7F231-286B-4162-87FC-B7BB3D1DB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4" name="Picture 1" descr="세원도장">
          <a:extLst>
            <a:ext uri="{FF2B5EF4-FFF2-40B4-BE49-F238E27FC236}">
              <a16:creationId xmlns:a16="http://schemas.microsoft.com/office/drawing/2014/main" id="{7803E51A-39CE-41C6-A305-B48BABE81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5" name="Picture 1" descr="세원도장">
          <a:extLst>
            <a:ext uri="{FF2B5EF4-FFF2-40B4-BE49-F238E27FC236}">
              <a16:creationId xmlns:a16="http://schemas.microsoft.com/office/drawing/2014/main" id="{D0C929EA-52BE-4E0C-A70D-81EA999F3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6" name="Picture 1" descr="세원도장">
          <a:extLst>
            <a:ext uri="{FF2B5EF4-FFF2-40B4-BE49-F238E27FC236}">
              <a16:creationId xmlns:a16="http://schemas.microsoft.com/office/drawing/2014/main" id="{588B6B4C-D21F-4952-B8D8-8932F5650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7" name="Picture 1" descr="세원도장">
          <a:extLst>
            <a:ext uri="{FF2B5EF4-FFF2-40B4-BE49-F238E27FC236}">
              <a16:creationId xmlns:a16="http://schemas.microsoft.com/office/drawing/2014/main" id="{A420B6B8-D29B-4A92-B6A3-DADFE6E13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8" name="Picture 1" descr="세원도장">
          <a:extLst>
            <a:ext uri="{FF2B5EF4-FFF2-40B4-BE49-F238E27FC236}">
              <a16:creationId xmlns:a16="http://schemas.microsoft.com/office/drawing/2014/main" id="{4B1ED88C-D99A-47D5-B35D-0F4C5D6E3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9" name="Picture 1" descr="세원도장">
          <a:extLst>
            <a:ext uri="{FF2B5EF4-FFF2-40B4-BE49-F238E27FC236}">
              <a16:creationId xmlns:a16="http://schemas.microsoft.com/office/drawing/2014/main" id="{CF05C864-8446-40E4-AB30-895CDA177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0" name="Picture 6" descr="도장">
          <a:extLst>
            <a:ext uri="{FF2B5EF4-FFF2-40B4-BE49-F238E27FC236}">
              <a16:creationId xmlns:a16="http://schemas.microsoft.com/office/drawing/2014/main" id="{963B62DC-E534-43FD-B562-4E35C9E74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1" name="Picture 1" descr="세원도장">
          <a:extLst>
            <a:ext uri="{FF2B5EF4-FFF2-40B4-BE49-F238E27FC236}">
              <a16:creationId xmlns:a16="http://schemas.microsoft.com/office/drawing/2014/main" id="{0468753B-EC5D-4D2C-9EF5-52BB0BBE5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2" name="Picture 6" descr="도장">
          <a:extLst>
            <a:ext uri="{FF2B5EF4-FFF2-40B4-BE49-F238E27FC236}">
              <a16:creationId xmlns:a16="http://schemas.microsoft.com/office/drawing/2014/main" id="{14FA63F9-4DF2-4FE3-94B6-8EB84EC36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3" name="Picture 1" descr="세원도장">
          <a:extLst>
            <a:ext uri="{FF2B5EF4-FFF2-40B4-BE49-F238E27FC236}">
              <a16:creationId xmlns:a16="http://schemas.microsoft.com/office/drawing/2014/main" id="{EC991305-C3CA-4EF4-AAFD-DCE38C5A2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4" name="Picture 1" descr="세원도장">
          <a:extLst>
            <a:ext uri="{FF2B5EF4-FFF2-40B4-BE49-F238E27FC236}">
              <a16:creationId xmlns:a16="http://schemas.microsoft.com/office/drawing/2014/main" id="{9D85CB60-7F15-4C6F-A4AD-0030B9FD2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5" name="Picture 1" descr="세원도장">
          <a:extLst>
            <a:ext uri="{FF2B5EF4-FFF2-40B4-BE49-F238E27FC236}">
              <a16:creationId xmlns:a16="http://schemas.microsoft.com/office/drawing/2014/main" id="{6C046020-B4D4-4BE8-8FD4-A910DA1FA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6" name="Picture 1" descr="세원도장">
          <a:extLst>
            <a:ext uri="{FF2B5EF4-FFF2-40B4-BE49-F238E27FC236}">
              <a16:creationId xmlns:a16="http://schemas.microsoft.com/office/drawing/2014/main" id="{6DCDEEA6-4AF0-4679-AFB8-3C4533980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7" name="Picture 1" descr="세원도장">
          <a:extLst>
            <a:ext uri="{FF2B5EF4-FFF2-40B4-BE49-F238E27FC236}">
              <a16:creationId xmlns:a16="http://schemas.microsoft.com/office/drawing/2014/main" id="{C1C9DBCD-9DAA-44CA-8689-E7770167D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8" name="Picture 1" descr="세원도장">
          <a:extLst>
            <a:ext uri="{FF2B5EF4-FFF2-40B4-BE49-F238E27FC236}">
              <a16:creationId xmlns:a16="http://schemas.microsoft.com/office/drawing/2014/main" id="{04572688-08B2-481B-B684-A6908302E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9" name="Picture 1" descr="세원도장">
          <a:extLst>
            <a:ext uri="{FF2B5EF4-FFF2-40B4-BE49-F238E27FC236}">
              <a16:creationId xmlns:a16="http://schemas.microsoft.com/office/drawing/2014/main" id="{57B85ECD-AB2E-4AA2-80CF-F7028EC59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0" name="Picture 1" descr="세원도장">
          <a:extLst>
            <a:ext uri="{FF2B5EF4-FFF2-40B4-BE49-F238E27FC236}">
              <a16:creationId xmlns:a16="http://schemas.microsoft.com/office/drawing/2014/main" id="{1E85B33F-E4FC-4FAF-BD59-7F1861592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1" name="Picture 1" descr="세원도장">
          <a:extLst>
            <a:ext uri="{FF2B5EF4-FFF2-40B4-BE49-F238E27FC236}">
              <a16:creationId xmlns:a16="http://schemas.microsoft.com/office/drawing/2014/main" id="{324C4B55-4A51-4DCE-BCB5-DDF388E59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2" name="Picture 1" descr="세원도장">
          <a:extLst>
            <a:ext uri="{FF2B5EF4-FFF2-40B4-BE49-F238E27FC236}">
              <a16:creationId xmlns:a16="http://schemas.microsoft.com/office/drawing/2014/main" id="{DCC4F479-45BA-4CFC-ABA5-A83BBA1F8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3" name="Picture 1" descr="세원도장">
          <a:extLst>
            <a:ext uri="{FF2B5EF4-FFF2-40B4-BE49-F238E27FC236}">
              <a16:creationId xmlns:a16="http://schemas.microsoft.com/office/drawing/2014/main" id="{CD8D305C-EC69-4858-AB70-8170AA563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4" name="Picture 1" descr="세원도장">
          <a:extLst>
            <a:ext uri="{FF2B5EF4-FFF2-40B4-BE49-F238E27FC236}">
              <a16:creationId xmlns:a16="http://schemas.microsoft.com/office/drawing/2014/main" id="{22DDF8EE-3E26-4171-8732-AE556380F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5" name="Picture 1" descr="세원도장">
          <a:extLst>
            <a:ext uri="{FF2B5EF4-FFF2-40B4-BE49-F238E27FC236}">
              <a16:creationId xmlns:a16="http://schemas.microsoft.com/office/drawing/2014/main" id="{E2AB7C2F-EFAC-4C58-B6D0-022A8CD70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6" name="Picture 1" descr="세원도장">
          <a:extLst>
            <a:ext uri="{FF2B5EF4-FFF2-40B4-BE49-F238E27FC236}">
              <a16:creationId xmlns:a16="http://schemas.microsoft.com/office/drawing/2014/main" id="{F9397D94-93A3-49E6-A208-D673C3A47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7" name="Picture 1" descr="세원도장">
          <a:extLst>
            <a:ext uri="{FF2B5EF4-FFF2-40B4-BE49-F238E27FC236}">
              <a16:creationId xmlns:a16="http://schemas.microsoft.com/office/drawing/2014/main" id="{8123E8B4-A1DE-4C47-B4E2-67FF23B25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8" name="Picture 1" descr="세원도장">
          <a:extLst>
            <a:ext uri="{FF2B5EF4-FFF2-40B4-BE49-F238E27FC236}">
              <a16:creationId xmlns:a16="http://schemas.microsoft.com/office/drawing/2014/main" id="{8F924FED-9869-466F-AF6E-62E735A37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9" name="Picture 1" descr="세원도장">
          <a:extLst>
            <a:ext uri="{FF2B5EF4-FFF2-40B4-BE49-F238E27FC236}">
              <a16:creationId xmlns:a16="http://schemas.microsoft.com/office/drawing/2014/main" id="{4A5B6436-7E66-4C2E-B005-A061C8232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0" name="Picture 1" descr="세원도장">
          <a:extLst>
            <a:ext uri="{FF2B5EF4-FFF2-40B4-BE49-F238E27FC236}">
              <a16:creationId xmlns:a16="http://schemas.microsoft.com/office/drawing/2014/main" id="{40ADFC0D-539D-49E3-BD30-F692CAFC0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1" name="Picture 1" descr="세원도장">
          <a:extLst>
            <a:ext uri="{FF2B5EF4-FFF2-40B4-BE49-F238E27FC236}">
              <a16:creationId xmlns:a16="http://schemas.microsoft.com/office/drawing/2014/main" id="{2EE42A78-B3C9-4E0A-B2D7-70E93A0E2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2" name="Picture 1" descr="세원도장">
          <a:extLst>
            <a:ext uri="{FF2B5EF4-FFF2-40B4-BE49-F238E27FC236}">
              <a16:creationId xmlns:a16="http://schemas.microsoft.com/office/drawing/2014/main" id="{EE7FC3C8-4E3C-4927-89D8-FBF418AF9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3" name="Picture 1" descr="세원도장">
          <a:extLst>
            <a:ext uri="{FF2B5EF4-FFF2-40B4-BE49-F238E27FC236}">
              <a16:creationId xmlns:a16="http://schemas.microsoft.com/office/drawing/2014/main" id="{6295CE8B-20A5-440D-8D7F-79E4810B5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4" name="Picture 1" descr="세원도장">
          <a:extLst>
            <a:ext uri="{FF2B5EF4-FFF2-40B4-BE49-F238E27FC236}">
              <a16:creationId xmlns:a16="http://schemas.microsoft.com/office/drawing/2014/main" id="{36ABFAC6-BB4F-462B-ACD3-474AA9642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5" name="Picture 1" descr="세원도장">
          <a:extLst>
            <a:ext uri="{FF2B5EF4-FFF2-40B4-BE49-F238E27FC236}">
              <a16:creationId xmlns:a16="http://schemas.microsoft.com/office/drawing/2014/main" id="{B071CEEA-55F9-410A-B0FB-64E3ED50A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762000</xdr:colOff>
      <xdr:row>5</xdr:row>
      <xdr:rowOff>217714</xdr:rowOff>
    </xdr:from>
    <xdr:to>
      <xdr:col>6</xdr:col>
      <xdr:colOff>1445264</xdr:colOff>
      <xdr:row>7</xdr:row>
      <xdr:rowOff>190501</xdr:rowOff>
    </xdr:to>
    <xdr:pic>
      <xdr:nvPicPr>
        <xdr:cNvPr id="96" name="Picture 2">
          <a:extLst>
            <a:ext uri="{FF2B5EF4-FFF2-40B4-BE49-F238E27FC236}">
              <a16:creationId xmlns:a16="http://schemas.microsoft.com/office/drawing/2014/main" id="{EB6EED97-5D40-4EA3-8628-073E98298E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clrChange>
            <a:clrFrom>
              <a:srgbClr val="F3F7FF"/>
            </a:clrFrom>
            <a:clrTo>
              <a:srgbClr val="F3F7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99" t="6516" r="1" b="16889"/>
        <a:stretch/>
      </xdr:blipFill>
      <xdr:spPr bwMode="auto">
        <a:xfrm>
          <a:off x="8775700" y="1589314"/>
          <a:ext cx="683264" cy="65858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7" name="Picture 6" descr="도장">
          <a:extLst>
            <a:ext uri="{FF2B5EF4-FFF2-40B4-BE49-F238E27FC236}">
              <a16:creationId xmlns:a16="http://schemas.microsoft.com/office/drawing/2014/main" id="{42F43338-9981-4CA1-BB94-B3396B4B8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98" name="Picture 1" descr="세원도장">
          <a:extLst>
            <a:ext uri="{FF2B5EF4-FFF2-40B4-BE49-F238E27FC236}">
              <a16:creationId xmlns:a16="http://schemas.microsoft.com/office/drawing/2014/main" id="{BB22A8EB-B6E2-4207-BC19-E9720A098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9" name="Picture 6" descr="도장">
          <a:extLst>
            <a:ext uri="{FF2B5EF4-FFF2-40B4-BE49-F238E27FC236}">
              <a16:creationId xmlns:a16="http://schemas.microsoft.com/office/drawing/2014/main" id="{20A67D42-24E5-477B-B084-046732CDB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100" name="Picture 1" descr="세원도장">
          <a:extLst>
            <a:ext uri="{FF2B5EF4-FFF2-40B4-BE49-F238E27FC236}">
              <a16:creationId xmlns:a16="http://schemas.microsoft.com/office/drawing/2014/main" id="{F4C89B1E-BB9F-4A15-B847-E19F44409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1" name="Picture 6" descr="도장">
          <a:extLst>
            <a:ext uri="{FF2B5EF4-FFF2-40B4-BE49-F238E27FC236}">
              <a16:creationId xmlns:a16="http://schemas.microsoft.com/office/drawing/2014/main" id="{00CF2B0A-5D4B-4AB3-9565-75DC0E345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2" name="Picture 6" descr="도장">
          <a:extLst>
            <a:ext uri="{FF2B5EF4-FFF2-40B4-BE49-F238E27FC236}">
              <a16:creationId xmlns:a16="http://schemas.microsoft.com/office/drawing/2014/main" id="{EC37C49D-A7CF-4467-9F4F-25F4E236F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3" name="Picture 6" descr="도장">
          <a:extLst>
            <a:ext uri="{FF2B5EF4-FFF2-40B4-BE49-F238E27FC236}">
              <a16:creationId xmlns:a16="http://schemas.microsoft.com/office/drawing/2014/main" id="{C323D8D0-29FB-4282-B6A9-BF1306E87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4" name="Picture 6" descr="도장">
          <a:extLst>
            <a:ext uri="{FF2B5EF4-FFF2-40B4-BE49-F238E27FC236}">
              <a16:creationId xmlns:a16="http://schemas.microsoft.com/office/drawing/2014/main" id="{BA4632F1-2CF8-4095-A74B-F27D89CE6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5" name="Picture 6" descr="도장">
          <a:extLst>
            <a:ext uri="{FF2B5EF4-FFF2-40B4-BE49-F238E27FC236}">
              <a16:creationId xmlns:a16="http://schemas.microsoft.com/office/drawing/2014/main" id="{0E9C3B37-625A-4484-B2A5-0BEDCCA0B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6" name="Picture 1" descr="세원도장">
          <a:extLst>
            <a:ext uri="{FF2B5EF4-FFF2-40B4-BE49-F238E27FC236}">
              <a16:creationId xmlns:a16="http://schemas.microsoft.com/office/drawing/2014/main" id="{83D298DD-5E7E-4C48-9D3C-8F85FD770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7" name="Picture 6" descr="도장">
          <a:extLst>
            <a:ext uri="{FF2B5EF4-FFF2-40B4-BE49-F238E27FC236}">
              <a16:creationId xmlns:a16="http://schemas.microsoft.com/office/drawing/2014/main" id="{5302F66E-7976-4FF0-810D-E95EA4AB6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8" name="Picture 1" descr="세원도장">
          <a:extLst>
            <a:ext uri="{FF2B5EF4-FFF2-40B4-BE49-F238E27FC236}">
              <a16:creationId xmlns:a16="http://schemas.microsoft.com/office/drawing/2014/main" id="{C95DE69F-04C1-4C00-90B5-8963F76B1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9" name="Picture 6" descr="도장">
          <a:extLst>
            <a:ext uri="{FF2B5EF4-FFF2-40B4-BE49-F238E27FC236}">
              <a16:creationId xmlns:a16="http://schemas.microsoft.com/office/drawing/2014/main" id="{34A66773-CA8D-4842-AA6C-7448F14E2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0" name="Picture 6" descr="도장">
          <a:extLst>
            <a:ext uri="{FF2B5EF4-FFF2-40B4-BE49-F238E27FC236}">
              <a16:creationId xmlns:a16="http://schemas.microsoft.com/office/drawing/2014/main" id="{1B168C20-AE47-42C6-A3FA-BC39C582C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1" name="Picture 6" descr="도장">
          <a:extLst>
            <a:ext uri="{FF2B5EF4-FFF2-40B4-BE49-F238E27FC236}">
              <a16:creationId xmlns:a16="http://schemas.microsoft.com/office/drawing/2014/main" id="{21DD1395-3BFA-48A1-BA24-F7C00A7F8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2" name="Picture 6" descr="도장">
          <a:extLst>
            <a:ext uri="{FF2B5EF4-FFF2-40B4-BE49-F238E27FC236}">
              <a16:creationId xmlns:a16="http://schemas.microsoft.com/office/drawing/2014/main" id="{32A92A93-D90E-416C-BE8C-BA482BB80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9</xdr:col>
      <xdr:colOff>427886</xdr:colOff>
      <xdr:row>41</xdr:row>
      <xdr:rowOff>122905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3D02999E-3174-41BB-8A14-62A2F116E6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209550"/>
          <a:ext cx="5914286" cy="73619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2:I34"/>
  <sheetViews>
    <sheetView showGridLines="0" tabSelected="1" zoomScale="85" zoomScaleNormal="85" workbookViewId="0">
      <selection activeCell="A7" sqref="A7:C7"/>
    </sheetView>
  </sheetViews>
  <sheetFormatPr defaultColWidth="9" defaultRowHeight="12.75"/>
  <cols>
    <col min="1" max="1" width="9.875" style="3" customWidth="1"/>
    <col min="2" max="2" width="24.25" style="3" customWidth="1"/>
    <col min="3" max="3" width="27" style="3" customWidth="1"/>
    <col min="4" max="5" width="9" style="3"/>
    <col min="6" max="6" width="23.5" style="3" customWidth="1"/>
    <col min="7" max="7" width="44.75" style="3" customWidth="1"/>
    <col min="8" max="8" width="11.25" style="3" customWidth="1"/>
    <col min="9" max="16384" width="9" style="3"/>
  </cols>
  <sheetData>
    <row r="2" spans="1:9" ht="33">
      <c r="A2" s="188" t="s">
        <v>1</v>
      </c>
      <c r="B2" s="188"/>
      <c r="C2" s="188"/>
      <c r="D2" s="188"/>
      <c r="E2" s="188"/>
      <c r="F2" s="188"/>
      <c r="G2" s="188"/>
      <c r="H2" s="2"/>
    </row>
    <row r="3" spans="1:9" ht="14.25">
      <c r="A3" s="128"/>
      <c r="B3" s="128"/>
      <c r="C3" s="128"/>
      <c r="D3" s="128"/>
      <c r="E3" s="128"/>
      <c r="F3" s="128"/>
      <c r="G3" s="128"/>
      <c r="H3" s="128"/>
    </row>
    <row r="4" spans="1:9" ht="14.25">
      <c r="A4" s="128"/>
      <c r="B4" s="128"/>
      <c r="C4" s="128"/>
      <c r="D4" s="128"/>
      <c r="E4" s="128"/>
      <c r="H4" s="128"/>
    </row>
    <row r="5" spans="1:9" ht="27" customHeight="1">
      <c r="A5" s="129" t="s">
        <v>43</v>
      </c>
      <c r="B5" s="4"/>
      <c r="C5" s="5"/>
      <c r="D5" s="128"/>
      <c r="E5" s="128"/>
      <c r="F5" s="6" t="s">
        <v>33</v>
      </c>
      <c r="G5" s="7" t="s">
        <v>47</v>
      </c>
      <c r="H5" s="128"/>
    </row>
    <row r="6" spans="1:9" ht="27" customHeight="1">
      <c r="A6" s="128"/>
      <c r="B6" s="128"/>
      <c r="C6" s="128"/>
      <c r="D6" s="128"/>
      <c r="E6" s="128"/>
      <c r="F6" s="8" t="s">
        <v>36</v>
      </c>
      <c r="G6" s="9" t="s">
        <v>48</v>
      </c>
      <c r="H6" s="128"/>
    </row>
    <row r="7" spans="1:9" ht="27" customHeight="1">
      <c r="A7" s="191" t="s">
        <v>171</v>
      </c>
      <c r="B7" s="192"/>
      <c r="C7" s="193"/>
      <c r="D7" s="128"/>
      <c r="E7" s="10"/>
      <c r="F7" s="11" t="s">
        <v>37</v>
      </c>
      <c r="G7" s="9" t="s">
        <v>49</v>
      </c>
      <c r="H7" s="128"/>
    </row>
    <row r="8" spans="1:9" ht="27" customHeight="1">
      <c r="A8" s="128"/>
      <c r="B8" s="128"/>
      <c r="C8" s="128"/>
      <c r="D8" s="128"/>
      <c r="E8" s="128"/>
      <c r="F8" s="8" t="s">
        <v>38</v>
      </c>
      <c r="G8" s="9" t="s">
        <v>50</v>
      </c>
      <c r="H8" s="128"/>
    </row>
    <row r="9" spans="1:9" ht="27" customHeight="1">
      <c r="A9" s="191" t="s">
        <v>172</v>
      </c>
      <c r="B9" s="192"/>
      <c r="C9" s="193"/>
      <c r="D9" s="128"/>
      <c r="E9" s="128"/>
      <c r="F9" s="8" t="s">
        <v>39</v>
      </c>
      <c r="G9" s="9" t="s">
        <v>51</v>
      </c>
      <c r="H9" s="128"/>
    </row>
    <row r="10" spans="1:9" ht="27" customHeight="1">
      <c r="A10" s="128"/>
      <c r="B10" s="128"/>
      <c r="C10" s="128"/>
      <c r="D10" s="128"/>
      <c r="E10" s="128"/>
      <c r="F10" s="12" t="s">
        <v>34</v>
      </c>
      <c r="G10" s="13" t="s">
        <v>52</v>
      </c>
      <c r="H10" s="128"/>
      <c r="I10" s="128"/>
    </row>
    <row r="11" spans="1:9" ht="27" customHeight="1">
      <c r="A11" s="189"/>
      <c r="B11" s="190"/>
      <c r="C11" s="190"/>
      <c r="D11" s="128"/>
      <c r="E11" s="14"/>
      <c r="F11" s="15" t="s">
        <v>35</v>
      </c>
      <c r="G11" s="16" t="s">
        <v>53</v>
      </c>
      <c r="H11" s="14"/>
    </row>
    <row r="12" spans="1:9" ht="18.75" thickBot="1">
      <c r="A12" s="17" t="s">
        <v>2</v>
      </c>
      <c r="B12" s="17" t="str">
        <f>NUMBERSTRING(F31,1)</f>
        <v>오백팔만팔천</v>
      </c>
      <c r="C12" s="18"/>
      <c r="D12" s="1" t="s">
        <v>3</v>
      </c>
      <c r="E12" s="1" t="s">
        <v>4</v>
      </c>
      <c r="F12" s="1" t="s">
        <v>4</v>
      </c>
      <c r="G12" s="1"/>
      <c r="H12" s="19"/>
    </row>
    <row r="13" spans="1:9" ht="15.75" thickTop="1" thickBot="1">
      <c r="A13" s="128"/>
      <c r="B13" s="128"/>
      <c r="C13" s="128"/>
      <c r="D13" s="128"/>
      <c r="E13" s="128"/>
      <c r="F13" s="128"/>
      <c r="G13" s="128"/>
      <c r="H13" s="19"/>
    </row>
    <row r="14" spans="1:9" ht="33" customHeight="1" thickBot="1">
      <c r="A14" s="20" t="s">
        <v>5</v>
      </c>
      <c r="B14" s="21" t="s">
        <v>6</v>
      </c>
      <c r="C14" s="21" t="s">
        <v>7</v>
      </c>
      <c r="D14" s="21" t="s">
        <v>8</v>
      </c>
      <c r="E14" s="21" t="s">
        <v>9</v>
      </c>
      <c r="F14" s="21" t="s">
        <v>10</v>
      </c>
      <c r="G14" s="22" t="s">
        <v>11</v>
      </c>
      <c r="H14" s="19"/>
    </row>
    <row r="15" spans="1:9" ht="33" customHeight="1" thickTop="1">
      <c r="A15" s="23"/>
      <c r="B15" s="24" t="s">
        <v>12</v>
      </c>
      <c r="C15" s="25"/>
      <c r="D15" s="26"/>
      <c r="E15" s="26"/>
      <c r="F15" s="27"/>
      <c r="G15" s="28"/>
    </row>
    <row r="16" spans="1:9" ht="33" customHeight="1">
      <c r="A16" s="29"/>
      <c r="B16" s="30" t="s">
        <v>13</v>
      </c>
      <c r="C16" s="31"/>
      <c r="D16" s="32"/>
      <c r="E16" s="32"/>
      <c r="F16" s="33">
        <f>'내역서(표준단가)'!O17</f>
        <v>983636.10384999996</v>
      </c>
      <c r="G16" s="34"/>
    </row>
    <row r="17" spans="1:7" ht="33" customHeight="1">
      <c r="A17" s="29"/>
      <c r="B17" s="30" t="s">
        <v>14</v>
      </c>
      <c r="C17" s="31"/>
      <c r="D17" s="32"/>
      <c r="E17" s="32"/>
      <c r="F17" s="33">
        <f>'내역서(표준단가)'!Q17</f>
        <v>3338901.5554520003</v>
      </c>
      <c r="G17" s="35"/>
    </row>
    <row r="18" spans="1:7" ht="33" customHeight="1">
      <c r="A18" s="29"/>
      <c r="B18" s="30" t="s">
        <v>15</v>
      </c>
      <c r="C18" s="31"/>
      <c r="D18" s="32"/>
      <c r="E18" s="32"/>
      <c r="F18" s="33">
        <f>'내역서(표준단가)'!S17+'내역서(표준단가)'!U17</f>
        <v>0</v>
      </c>
      <c r="G18" s="35"/>
    </row>
    <row r="19" spans="1:7" ht="33" customHeight="1">
      <c r="A19" s="29"/>
      <c r="B19" s="36" t="s">
        <v>16</v>
      </c>
      <c r="C19" s="36"/>
      <c r="D19" s="37"/>
      <c r="E19" s="37"/>
      <c r="F19" s="38">
        <f>F16+F17+F18</f>
        <v>4322537.659302</v>
      </c>
      <c r="G19" s="35"/>
    </row>
    <row r="20" spans="1:7" ht="33" customHeight="1">
      <c r="A20" s="29"/>
      <c r="B20" s="39" t="s">
        <v>17</v>
      </c>
      <c r="C20" s="40"/>
      <c r="D20" s="32"/>
      <c r="E20" s="32"/>
      <c r="F20" s="41"/>
      <c r="G20" s="35"/>
    </row>
    <row r="21" spans="1:7" ht="33" customHeight="1">
      <c r="A21" s="29"/>
      <c r="B21" s="42" t="s">
        <v>18</v>
      </c>
      <c r="C21" s="40" t="s">
        <v>19</v>
      </c>
      <c r="D21" s="30">
        <v>1</v>
      </c>
      <c r="E21" s="30" t="s">
        <v>20</v>
      </c>
      <c r="F21" s="43">
        <f>F17*4.5%</f>
        <v>150250.56999534002</v>
      </c>
      <c r="G21" s="35" t="s">
        <v>21</v>
      </c>
    </row>
    <row r="22" spans="1:7" ht="33" customHeight="1">
      <c r="A22" s="29"/>
      <c r="B22" s="44" t="s">
        <v>22</v>
      </c>
      <c r="C22" s="45" t="s">
        <v>44</v>
      </c>
      <c r="D22" s="46">
        <v>1</v>
      </c>
      <c r="E22" s="46" t="s">
        <v>20</v>
      </c>
      <c r="F22" s="47">
        <f>F17*3.545%</f>
        <v>118364.06014077342</v>
      </c>
      <c r="G22" s="48" t="s">
        <v>23</v>
      </c>
    </row>
    <row r="23" spans="1:7" ht="33" customHeight="1">
      <c r="A23" s="29"/>
      <c r="B23" s="42" t="s">
        <v>24</v>
      </c>
      <c r="C23" s="40" t="s">
        <v>45</v>
      </c>
      <c r="D23" s="30">
        <v>1</v>
      </c>
      <c r="E23" s="30" t="s">
        <v>20</v>
      </c>
      <c r="F23" s="43">
        <f>F22*12.95%</f>
        <v>15328.145788230158</v>
      </c>
      <c r="G23" s="35" t="s">
        <v>23</v>
      </c>
    </row>
    <row r="24" spans="1:7" ht="33" customHeight="1">
      <c r="A24" s="29"/>
      <c r="B24" s="42" t="s">
        <v>25</v>
      </c>
      <c r="C24" s="40" t="s">
        <v>41</v>
      </c>
      <c r="D24" s="30">
        <v>1</v>
      </c>
      <c r="E24" s="30" t="s">
        <v>20</v>
      </c>
      <c r="F24" s="43">
        <f>F17*1.01%</f>
        <v>33722.905710065199</v>
      </c>
      <c r="G24" s="35" t="s">
        <v>23</v>
      </c>
    </row>
    <row r="25" spans="1:7" ht="33" customHeight="1">
      <c r="A25" s="29"/>
      <c r="B25" s="42" t="s">
        <v>26</v>
      </c>
      <c r="C25" s="40" t="s">
        <v>46</v>
      </c>
      <c r="D25" s="30">
        <v>1</v>
      </c>
      <c r="E25" s="30" t="s">
        <v>20</v>
      </c>
      <c r="F25" s="43">
        <f>F17*3.56%</f>
        <v>118864.89537409121</v>
      </c>
      <c r="G25" s="35" t="s">
        <v>23</v>
      </c>
    </row>
    <row r="26" spans="1:7" ht="33" customHeight="1">
      <c r="A26" s="29"/>
      <c r="B26" s="42" t="s">
        <v>27</v>
      </c>
      <c r="C26" s="49" t="s">
        <v>130</v>
      </c>
      <c r="D26" s="30">
        <v>1</v>
      </c>
      <c r="E26" s="30" t="s">
        <v>20</v>
      </c>
      <c r="F26" s="43">
        <f>(F16+F17)*3.11%</f>
        <v>134430.92120429219</v>
      </c>
      <c r="G26" s="35" t="s">
        <v>21</v>
      </c>
    </row>
    <row r="27" spans="1:7" ht="33" customHeight="1">
      <c r="A27" s="29"/>
      <c r="B27" s="42" t="s">
        <v>31</v>
      </c>
      <c r="C27" s="49" t="s">
        <v>32</v>
      </c>
      <c r="D27" s="30">
        <v>1</v>
      </c>
      <c r="E27" s="30" t="s">
        <v>20</v>
      </c>
      <c r="F27" s="43">
        <f>SUM(F17+F21+F22+F23+F24+F25+F26)*5%</f>
        <v>195493.15268323966</v>
      </c>
      <c r="G27" s="35"/>
    </row>
    <row r="28" spans="1:7" ht="33" customHeight="1">
      <c r="A28" s="29"/>
      <c r="B28" s="36" t="s">
        <v>28</v>
      </c>
      <c r="C28" s="50"/>
      <c r="D28" s="51"/>
      <c r="E28" s="37"/>
      <c r="F28" s="52">
        <f>F21+F22+F23+F24+F25+F26+F27</f>
        <v>766454.65089603188</v>
      </c>
      <c r="G28" s="35"/>
    </row>
    <row r="29" spans="1:7" ht="33" customHeight="1">
      <c r="A29" s="29"/>
      <c r="B29" s="40"/>
      <c r="C29" s="53"/>
      <c r="D29" s="54"/>
      <c r="E29" s="32"/>
      <c r="F29" s="55"/>
      <c r="G29" s="35"/>
    </row>
    <row r="30" spans="1:7" ht="33" customHeight="1">
      <c r="A30" s="29"/>
      <c r="B30" s="56"/>
      <c r="C30" s="53"/>
      <c r="D30" s="54"/>
      <c r="E30" s="32"/>
      <c r="F30" s="57">
        <f>F19+F28+F29</f>
        <v>5088992.3101980314</v>
      </c>
      <c r="G30" s="35"/>
    </row>
    <row r="31" spans="1:7" ht="33" customHeight="1">
      <c r="A31" s="29"/>
      <c r="B31" s="36" t="s">
        <v>29</v>
      </c>
      <c r="C31" s="36"/>
      <c r="D31" s="37"/>
      <c r="E31" s="37"/>
      <c r="F31" s="58">
        <f>ROUNDDOWN(F30,-3)</f>
        <v>5088000</v>
      </c>
      <c r="G31" s="35"/>
    </row>
    <row r="32" spans="1:7" ht="33" customHeight="1" thickBot="1">
      <c r="A32" s="59"/>
      <c r="B32" s="60" t="s">
        <v>30</v>
      </c>
      <c r="C32" s="61"/>
      <c r="D32" s="61"/>
      <c r="E32" s="61"/>
      <c r="F32" s="62"/>
      <c r="G32" s="63"/>
    </row>
    <row r="33" spans="2:2" ht="15.75">
      <c r="B33" s="64"/>
    </row>
    <row r="34" spans="2:2" ht="15.75">
      <c r="B34" s="64"/>
    </row>
  </sheetData>
  <mergeCells count="4">
    <mergeCell ref="A2:G2"/>
    <mergeCell ref="A11:C11"/>
    <mergeCell ref="A9:C9"/>
    <mergeCell ref="A7:C7"/>
  </mergeCells>
  <phoneticPr fontId="5" type="noConversion"/>
  <pageMargins left="0.31496062992125984" right="0.19685039370078741" top="0.94488188976377963" bottom="0.55118110236220474" header="0.31496062992125984" footer="0.31496062992125984"/>
  <pageSetup paperSize="9" scale="6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  <pageSetUpPr fitToPage="1"/>
  </sheetPr>
  <dimension ref="A1:X17"/>
  <sheetViews>
    <sheetView showGridLines="0" zoomScale="80" zoomScaleNormal="80" workbookViewId="0">
      <pane ySplit="4" topLeftCell="A5" activePane="bottomLeft" state="frozen"/>
      <selection pane="bottomLeft" activeCell="O21" sqref="O21"/>
    </sheetView>
  </sheetViews>
  <sheetFormatPr defaultColWidth="9" defaultRowHeight="38.1" customHeight="1"/>
  <cols>
    <col min="1" max="1" width="22.625" style="158" bestFit="1" customWidth="1"/>
    <col min="2" max="5" width="4.625" style="158" hidden="1" customWidth="1"/>
    <col min="6" max="6" width="9" style="146" hidden="1" customWidth="1"/>
    <col min="7" max="9" width="12.625" style="146" hidden="1" customWidth="1"/>
    <col min="10" max="11" width="30.625" style="141" customWidth="1"/>
    <col min="12" max="12" width="11.375" style="146" bestFit="1" customWidth="1"/>
    <col min="13" max="13" width="8.25" style="146" customWidth="1"/>
    <col min="14" max="14" width="10.625" style="146" bestFit="1" customWidth="1"/>
    <col min="15" max="15" width="15.5" style="146" customWidth="1"/>
    <col min="16" max="16" width="12" style="146" bestFit="1" customWidth="1"/>
    <col min="17" max="17" width="15.625" style="146" bestFit="1" customWidth="1"/>
    <col min="18" max="18" width="9" style="146" customWidth="1"/>
    <col min="19" max="19" width="8.75" style="146" bestFit="1" customWidth="1"/>
    <col min="20" max="20" width="10.5" style="146" customWidth="1"/>
    <col min="21" max="21" width="8.75" style="146" bestFit="1" customWidth="1"/>
    <col min="22" max="22" width="15.625" style="146" bestFit="1" customWidth="1"/>
    <col min="23" max="23" width="10.625" style="65" bestFit="1" customWidth="1"/>
    <col min="24" max="24" width="8.5" style="146" bestFit="1" customWidth="1"/>
    <col min="25" max="16384" width="9" style="146"/>
  </cols>
  <sheetData>
    <row r="1" spans="1:24" ht="19.899999999999999" customHeight="1">
      <c r="A1" s="194"/>
      <c r="B1" s="194"/>
      <c r="C1" s="194"/>
      <c r="D1" s="194"/>
      <c r="E1" s="194"/>
      <c r="F1" s="194"/>
      <c r="G1" s="194"/>
      <c r="H1" s="194"/>
      <c r="I1" s="194"/>
      <c r="N1" s="65"/>
      <c r="O1" s="144" t="s">
        <v>89</v>
      </c>
      <c r="Q1" s="144" t="s">
        <v>89</v>
      </c>
      <c r="S1" s="144" t="s">
        <v>89</v>
      </c>
      <c r="U1" s="144" t="s">
        <v>89</v>
      </c>
    </row>
    <row r="2" spans="1:24" ht="19.899999999999999" customHeight="1" thickBot="1">
      <c r="A2" s="194"/>
      <c r="B2" s="194"/>
      <c r="C2" s="194"/>
      <c r="D2" s="194"/>
      <c r="E2" s="194"/>
      <c r="F2" s="194"/>
      <c r="G2" s="194"/>
      <c r="H2" s="194"/>
      <c r="I2" s="194"/>
      <c r="N2" s="66"/>
      <c r="O2" s="67">
        <v>0.83499999999999996</v>
      </c>
      <c r="Q2" s="67">
        <v>0.83499999999999996</v>
      </c>
      <c r="S2" s="67">
        <v>0.83499999999999996</v>
      </c>
      <c r="U2" s="67">
        <v>0.83499999999999996</v>
      </c>
    </row>
    <row r="3" spans="1:24" ht="19.899999999999999" customHeight="1">
      <c r="A3" s="147"/>
      <c r="B3" s="148"/>
      <c r="C3" s="148"/>
      <c r="D3" s="148"/>
      <c r="E3" s="148"/>
      <c r="F3" s="148" t="s">
        <v>90</v>
      </c>
      <c r="G3" s="148"/>
      <c r="H3" s="148"/>
      <c r="I3" s="148"/>
      <c r="J3" s="205" t="s">
        <v>91</v>
      </c>
      <c r="K3" s="205"/>
      <c r="L3" s="203" t="s">
        <v>42</v>
      </c>
      <c r="M3" s="203" t="s">
        <v>0</v>
      </c>
      <c r="N3" s="199" t="s">
        <v>92</v>
      </c>
      <c r="O3" s="199"/>
      <c r="P3" s="199" t="s">
        <v>93</v>
      </c>
      <c r="Q3" s="199"/>
      <c r="R3" s="200" t="s">
        <v>94</v>
      </c>
      <c r="S3" s="200"/>
      <c r="T3" s="200" t="s">
        <v>95</v>
      </c>
      <c r="U3" s="200"/>
      <c r="V3" s="201" t="s">
        <v>96</v>
      </c>
      <c r="W3" s="197" t="s">
        <v>97</v>
      </c>
      <c r="X3" s="195" t="s">
        <v>40</v>
      </c>
    </row>
    <row r="4" spans="1:24" ht="19.899999999999999" customHeight="1">
      <c r="A4" s="68" t="s">
        <v>98</v>
      </c>
      <c r="B4" s="145"/>
      <c r="C4" s="145"/>
      <c r="D4" s="145"/>
      <c r="E4" s="145"/>
      <c r="F4" s="69" t="s">
        <v>99</v>
      </c>
      <c r="G4" s="69" t="s">
        <v>100</v>
      </c>
      <c r="H4" s="69" t="s">
        <v>101</v>
      </c>
      <c r="I4" s="69" t="s">
        <v>102</v>
      </c>
      <c r="J4" s="142" t="s">
        <v>103</v>
      </c>
      <c r="K4" s="142" t="s">
        <v>104</v>
      </c>
      <c r="L4" s="204"/>
      <c r="M4" s="204"/>
      <c r="N4" s="70" t="s">
        <v>105</v>
      </c>
      <c r="O4" s="71" t="s">
        <v>106</v>
      </c>
      <c r="P4" s="70" t="s">
        <v>107</v>
      </c>
      <c r="Q4" s="71" t="s">
        <v>106</v>
      </c>
      <c r="R4" s="71" t="s">
        <v>108</v>
      </c>
      <c r="S4" s="71" t="s">
        <v>106</v>
      </c>
      <c r="T4" s="71" t="s">
        <v>108</v>
      </c>
      <c r="U4" s="71" t="s">
        <v>106</v>
      </c>
      <c r="V4" s="202"/>
      <c r="W4" s="198"/>
      <c r="X4" s="196"/>
    </row>
    <row r="5" spans="1:24" s="149" customFormat="1" ht="38.1" customHeight="1">
      <c r="A5" s="72" t="str">
        <f t="shared" ref="A5:A16" si="0">F5&amp;G5&amp;H5&amp;I5</f>
        <v>M020853710050101</v>
      </c>
      <c r="B5" s="104"/>
      <c r="C5" s="104"/>
      <c r="D5" s="104"/>
      <c r="E5" s="104"/>
      <c r="F5" s="102"/>
      <c r="G5" s="73"/>
      <c r="H5" s="73" t="s">
        <v>131</v>
      </c>
      <c r="I5" s="102"/>
      <c r="J5" s="140" t="s">
        <v>132</v>
      </c>
      <c r="K5" s="140" t="s">
        <v>174</v>
      </c>
      <c r="L5" s="120" t="s">
        <v>147</v>
      </c>
      <c r="M5" s="139">
        <v>11.2659</v>
      </c>
      <c r="N5" s="159">
        <v>20900</v>
      </c>
      <c r="O5" s="135">
        <f t="shared" ref="O5" si="1">SUM(N5:N5)*M5*$O$2</f>
        <v>196606.85384999998</v>
      </c>
      <c r="P5" s="134"/>
      <c r="Q5" s="135">
        <f t="shared" ref="Q5:Q14" si="2">(P5*M5)*$Q$2</f>
        <v>0</v>
      </c>
      <c r="R5" s="136"/>
      <c r="S5" s="135">
        <f t="shared" ref="S5:S16" si="3">R5*M5*$S$2</f>
        <v>0</v>
      </c>
      <c r="T5" s="136"/>
      <c r="U5" s="135">
        <f t="shared" ref="U5:U16" si="4">T5*M5*$U$2</f>
        <v>0</v>
      </c>
      <c r="V5" s="76">
        <f t="shared" ref="V5:V16" si="5">SUM(O5+Q5)+S5+U5</f>
        <v>196606.85384999998</v>
      </c>
      <c r="W5" s="119"/>
      <c r="X5" s="77"/>
    </row>
    <row r="6" spans="1:24" s="149" customFormat="1" ht="38.1" customHeight="1">
      <c r="A6" s="72" t="str">
        <f t="shared" si="0"/>
        <v>E00000803071260301</v>
      </c>
      <c r="B6" s="104"/>
      <c r="C6" s="104"/>
      <c r="D6" s="104"/>
      <c r="E6" s="104"/>
      <c r="F6" s="102"/>
      <c r="G6" s="73" t="s">
        <v>109</v>
      </c>
      <c r="H6" s="73"/>
      <c r="I6" s="102"/>
      <c r="J6" s="140" t="s">
        <v>111</v>
      </c>
      <c r="K6" s="140" t="s">
        <v>148</v>
      </c>
      <c r="L6" s="74" t="s">
        <v>110</v>
      </c>
      <c r="M6" s="139">
        <v>4.0430000000000001</v>
      </c>
      <c r="N6" s="137"/>
      <c r="O6" s="135">
        <f t="shared" ref="O6:O13" si="6">SUM(N6:N6)*M6*$O$2</f>
        <v>0</v>
      </c>
      <c r="P6" s="134">
        <v>487076</v>
      </c>
      <c r="Q6" s="135">
        <f t="shared" si="2"/>
        <v>1644322.30378</v>
      </c>
      <c r="R6" s="136"/>
      <c r="S6" s="135">
        <f t="shared" si="3"/>
        <v>0</v>
      </c>
      <c r="T6" s="136"/>
      <c r="U6" s="135">
        <f t="shared" si="4"/>
        <v>0</v>
      </c>
      <c r="V6" s="76">
        <f t="shared" si="5"/>
        <v>1644322.30378</v>
      </c>
      <c r="W6" s="119"/>
      <c r="X6" s="77"/>
    </row>
    <row r="7" spans="1:24" s="149" customFormat="1" ht="38.1" customHeight="1">
      <c r="A7" s="72" t="str">
        <f t="shared" si="0"/>
        <v>M020809012520101</v>
      </c>
      <c r="B7" s="104"/>
      <c r="C7" s="104"/>
      <c r="D7" s="104"/>
      <c r="E7" s="104"/>
      <c r="F7" s="102"/>
      <c r="G7" s="73"/>
      <c r="H7" s="73" t="s">
        <v>134</v>
      </c>
      <c r="I7" s="102"/>
      <c r="J7" s="140" t="s">
        <v>135</v>
      </c>
      <c r="K7" s="140" t="s">
        <v>136</v>
      </c>
      <c r="L7" s="120" t="s">
        <v>133</v>
      </c>
      <c r="M7" s="139">
        <v>61.8</v>
      </c>
      <c r="N7" s="138">
        <v>13000</v>
      </c>
      <c r="O7" s="135">
        <f t="shared" si="6"/>
        <v>670839</v>
      </c>
      <c r="P7" s="134"/>
      <c r="Q7" s="135">
        <f t="shared" si="2"/>
        <v>0</v>
      </c>
      <c r="R7" s="136"/>
      <c r="S7" s="135">
        <f t="shared" si="3"/>
        <v>0</v>
      </c>
      <c r="T7" s="136"/>
      <c r="U7" s="135">
        <f t="shared" si="4"/>
        <v>0</v>
      </c>
      <c r="V7" s="76">
        <f t="shared" si="5"/>
        <v>670839</v>
      </c>
      <c r="W7" s="119"/>
      <c r="X7" s="77"/>
    </row>
    <row r="8" spans="1:24" s="149" customFormat="1" ht="38.1" customHeight="1">
      <c r="A8" s="72" t="str">
        <f t="shared" si="0"/>
        <v>E00000803071260401</v>
      </c>
      <c r="B8" s="104"/>
      <c r="C8" s="104"/>
      <c r="D8" s="104"/>
      <c r="E8" s="104"/>
      <c r="F8" s="102"/>
      <c r="G8" s="73" t="s">
        <v>112</v>
      </c>
      <c r="H8" s="73"/>
      <c r="I8" s="102"/>
      <c r="J8" s="140" t="s">
        <v>113</v>
      </c>
      <c r="K8" s="140" t="s">
        <v>149</v>
      </c>
      <c r="L8" s="74" t="s">
        <v>110</v>
      </c>
      <c r="M8" s="139">
        <v>1.0132000000000001</v>
      </c>
      <c r="N8" s="137"/>
      <c r="O8" s="135">
        <f t="shared" si="6"/>
        <v>0</v>
      </c>
      <c r="P8" s="134">
        <v>487076</v>
      </c>
      <c r="Q8" s="135">
        <f t="shared" si="2"/>
        <v>412077.01167200005</v>
      </c>
      <c r="R8" s="136"/>
      <c r="S8" s="135">
        <f t="shared" si="3"/>
        <v>0</v>
      </c>
      <c r="T8" s="136"/>
      <c r="U8" s="135">
        <f t="shared" si="4"/>
        <v>0</v>
      </c>
      <c r="V8" s="76">
        <f t="shared" si="5"/>
        <v>412077.01167200005</v>
      </c>
      <c r="W8" s="119"/>
      <c r="X8" s="77"/>
    </row>
    <row r="9" spans="1:24" s="149" customFormat="1" ht="38.1" customHeight="1">
      <c r="A9" s="72" t="str">
        <f t="shared" si="0"/>
        <v>M020412614110102</v>
      </c>
      <c r="B9" s="104"/>
      <c r="C9" s="104"/>
      <c r="D9" s="104"/>
      <c r="E9" s="104"/>
      <c r="F9" s="102"/>
      <c r="G9" s="73"/>
      <c r="H9" s="160" t="s">
        <v>127</v>
      </c>
      <c r="I9" s="102"/>
      <c r="J9" s="161" t="s">
        <v>126</v>
      </c>
      <c r="K9" s="161" t="s">
        <v>124</v>
      </c>
      <c r="L9" s="132" t="s">
        <v>123</v>
      </c>
      <c r="M9" s="139">
        <v>0.3</v>
      </c>
      <c r="N9" s="162">
        <v>65500</v>
      </c>
      <c r="O9" s="135">
        <f t="shared" si="6"/>
        <v>16407.75</v>
      </c>
      <c r="P9" s="134"/>
      <c r="Q9" s="135"/>
      <c r="R9" s="136"/>
      <c r="S9" s="135"/>
      <c r="T9" s="136"/>
      <c r="U9" s="135"/>
      <c r="V9" s="76">
        <f t="shared" si="5"/>
        <v>16407.75</v>
      </c>
      <c r="W9" s="119"/>
      <c r="X9" s="77"/>
    </row>
    <row r="10" spans="1:24" s="149" customFormat="1" ht="38.1" customHeight="1">
      <c r="A10" s="72" t="str">
        <f t="shared" si="0"/>
        <v>E00000803061120402</v>
      </c>
      <c r="B10" s="104"/>
      <c r="C10" s="104"/>
      <c r="D10" s="104"/>
      <c r="E10" s="104"/>
      <c r="F10" s="102"/>
      <c r="G10" s="73" t="s">
        <v>114</v>
      </c>
      <c r="H10" s="73"/>
      <c r="I10" s="102"/>
      <c r="J10" s="140" t="s">
        <v>115</v>
      </c>
      <c r="K10" s="140" t="s">
        <v>116</v>
      </c>
      <c r="L10" s="120" t="s">
        <v>121</v>
      </c>
      <c r="M10" s="139">
        <v>28</v>
      </c>
      <c r="N10" s="121"/>
      <c r="O10" s="75">
        <f t="shared" si="6"/>
        <v>0</v>
      </c>
      <c r="P10" s="131">
        <v>10432</v>
      </c>
      <c r="Q10" s="75">
        <f t="shared" si="2"/>
        <v>243900.16</v>
      </c>
      <c r="R10" s="76"/>
      <c r="S10" s="75">
        <f t="shared" si="3"/>
        <v>0</v>
      </c>
      <c r="T10" s="76"/>
      <c r="U10" s="75">
        <f t="shared" si="4"/>
        <v>0</v>
      </c>
      <c r="V10" s="76">
        <f t="shared" si="5"/>
        <v>243900.16</v>
      </c>
      <c r="W10" s="119"/>
      <c r="X10" s="77"/>
    </row>
    <row r="11" spans="1:24" s="149" customFormat="1" ht="38.1" customHeight="1">
      <c r="A11" s="72" t="str">
        <f t="shared" si="0"/>
        <v>E00000803061300201</v>
      </c>
      <c r="B11" s="104"/>
      <c r="C11" s="104"/>
      <c r="D11" s="104"/>
      <c r="E11" s="104"/>
      <c r="F11" s="102"/>
      <c r="G11" s="73" t="s">
        <v>118</v>
      </c>
      <c r="H11" s="73"/>
      <c r="I11" s="102"/>
      <c r="J11" s="140" t="s">
        <v>119</v>
      </c>
      <c r="K11" s="140" t="s">
        <v>120</v>
      </c>
      <c r="L11" s="120" t="s">
        <v>117</v>
      </c>
      <c r="M11" s="139">
        <v>28</v>
      </c>
      <c r="N11" s="121"/>
      <c r="O11" s="75">
        <f t="shared" si="6"/>
        <v>0</v>
      </c>
      <c r="P11" s="131">
        <v>6179</v>
      </c>
      <c r="Q11" s="75">
        <f t="shared" si="2"/>
        <v>144465.01999999999</v>
      </c>
      <c r="R11" s="76"/>
      <c r="S11" s="75">
        <f t="shared" si="3"/>
        <v>0</v>
      </c>
      <c r="T11" s="76"/>
      <c r="U11" s="75">
        <f t="shared" si="4"/>
        <v>0</v>
      </c>
      <c r="V11" s="76">
        <f t="shared" si="5"/>
        <v>144465.01999999999</v>
      </c>
      <c r="W11" s="119"/>
      <c r="X11" s="77"/>
    </row>
    <row r="12" spans="1:24" s="149" customFormat="1" ht="38.1" customHeight="1">
      <c r="A12" s="72" t="str">
        <f t="shared" si="0"/>
        <v>E00000801011510701</v>
      </c>
      <c r="B12" s="104"/>
      <c r="C12" s="104"/>
      <c r="D12" s="104"/>
      <c r="E12" s="104"/>
      <c r="F12" s="102"/>
      <c r="G12" s="73" t="s">
        <v>146</v>
      </c>
      <c r="H12" s="73"/>
      <c r="I12" s="102"/>
      <c r="J12" s="150" t="s">
        <v>137</v>
      </c>
      <c r="K12" s="150" t="s">
        <v>138</v>
      </c>
      <c r="L12" s="120" t="s">
        <v>139</v>
      </c>
      <c r="M12" s="139">
        <v>96</v>
      </c>
      <c r="N12" s="151"/>
      <c r="O12" s="75">
        <f t="shared" si="6"/>
        <v>0</v>
      </c>
      <c r="P12" s="163">
        <v>4966</v>
      </c>
      <c r="Q12" s="75">
        <f t="shared" si="2"/>
        <v>398074.56</v>
      </c>
      <c r="R12" s="76"/>
      <c r="S12" s="75">
        <f t="shared" si="3"/>
        <v>0</v>
      </c>
      <c r="T12" s="76"/>
      <c r="U12" s="75">
        <f t="shared" si="4"/>
        <v>0</v>
      </c>
      <c r="V12" s="76">
        <f t="shared" si="5"/>
        <v>398074.56</v>
      </c>
      <c r="W12" s="119"/>
      <c r="X12" s="77"/>
    </row>
    <row r="13" spans="1:24" s="149" customFormat="1" ht="38.1" customHeight="1">
      <c r="A13" s="72" t="str">
        <f t="shared" si="0"/>
        <v>M020450310340103</v>
      </c>
      <c r="B13" s="104"/>
      <c r="C13" s="104"/>
      <c r="D13" s="104"/>
      <c r="E13" s="104"/>
      <c r="F13" s="172"/>
      <c r="G13" s="173"/>
      <c r="H13" s="174" t="s">
        <v>157</v>
      </c>
      <c r="I13" s="172"/>
      <c r="J13" s="175" t="s">
        <v>158</v>
      </c>
      <c r="K13" s="175" t="s">
        <v>159</v>
      </c>
      <c r="L13" s="176" t="s">
        <v>160</v>
      </c>
      <c r="M13" s="139">
        <v>3</v>
      </c>
      <c r="N13" s="177">
        <v>36500</v>
      </c>
      <c r="O13" s="135">
        <f t="shared" si="6"/>
        <v>91432.5</v>
      </c>
      <c r="P13" s="134"/>
      <c r="Q13" s="75">
        <f t="shared" si="2"/>
        <v>0</v>
      </c>
      <c r="R13" s="76"/>
      <c r="S13" s="75">
        <f t="shared" si="3"/>
        <v>0</v>
      </c>
      <c r="T13" s="76"/>
      <c r="U13" s="75">
        <f t="shared" si="4"/>
        <v>0</v>
      </c>
      <c r="V13" s="76">
        <f t="shared" si="5"/>
        <v>91432.5</v>
      </c>
      <c r="W13" s="119"/>
      <c r="X13" s="77"/>
    </row>
    <row r="14" spans="1:24" s="149" customFormat="1" ht="38.1" customHeight="1">
      <c r="A14" s="72" t="str">
        <f t="shared" si="0"/>
        <v>M020251411670101</v>
      </c>
      <c r="B14" s="104"/>
      <c r="C14" s="104"/>
      <c r="D14" s="104"/>
      <c r="E14" s="104"/>
      <c r="F14" s="178"/>
      <c r="G14" s="179"/>
      <c r="H14" s="174" t="s">
        <v>161</v>
      </c>
      <c r="I14" s="172"/>
      <c r="J14" s="175" t="s">
        <v>162</v>
      </c>
      <c r="K14" s="180" t="s">
        <v>163</v>
      </c>
      <c r="L14" s="175" t="s">
        <v>164</v>
      </c>
      <c r="M14" s="139">
        <v>2</v>
      </c>
      <c r="N14" s="177">
        <v>5000</v>
      </c>
      <c r="O14" s="135">
        <f t="shared" ref="O14" si="7">SUM(N14:N14)*M14*$O$2</f>
        <v>8350</v>
      </c>
      <c r="P14" s="134"/>
      <c r="Q14" s="75">
        <f t="shared" si="2"/>
        <v>0</v>
      </c>
      <c r="R14" s="76"/>
      <c r="S14" s="75">
        <f t="shared" si="3"/>
        <v>0</v>
      </c>
      <c r="T14" s="76"/>
      <c r="U14" s="75">
        <f t="shared" si="4"/>
        <v>0</v>
      </c>
      <c r="V14" s="76">
        <f t="shared" si="5"/>
        <v>8350</v>
      </c>
      <c r="W14" s="119"/>
      <c r="X14" s="77"/>
    </row>
    <row r="15" spans="1:24" s="149" customFormat="1" ht="38.1" customHeight="1">
      <c r="A15" s="72" t="str">
        <f t="shared" si="0"/>
        <v>L002</v>
      </c>
      <c r="B15" s="104"/>
      <c r="C15" s="104"/>
      <c r="D15" s="104"/>
      <c r="E15" s="104"/>
      <c r="F15" s="172"/>
      <c r="G15" s="173"/>
      <c r="H15" s="173"/>
      <c r="I15" s="102" t="s">
        <v>165</v>
      </c>
      <c r="J15" s="181" t="s">
        <v>166</v>
      </c>
      <c r="K15" s="140" t="s">
        <v>155</v>
      </c>
      <c r="L15" s="120" t="s">
        <v>167</v>
      </c>
      <c r="M15" s="139">
        <v>1</v>
      </c>
      <c r="N15" s="137"/>
      <c r="O15" s="135">
        <f t="shared" ref="O15" si="8">SUM(N15:N15)*M15*$O$2</f>
        <v>0</v>
      </c>
      <c r="P15" s="134">
        <v>167081</v>
      </c>
      <c r="Q15" s="135">
        <f t="shared" ref="Q15:Q16" si="9">M15*P15</f>
        <v>167081</v>
      </c>
      <c r="R15" s="136"/>
      <c r="S15" s="135">
        <f t="shared" si="3"/>
        <v>0</v>
      </c>
      <c r="T15" s="136"/>
      <c r="U15" s="135">
        <f t="shared" si="4"/>
        <v>0</v>
      </c>
      <c r="V15" s="76">
        <f t="shared" si="5"/>
        <v>167081</v>
      </c>
      <c r="W15" s="119"/>
      <c r="X15" s="77"/>
    </row>
    <row r="16" spans="1:24" s="149" customFormat="1" ht="68.25" customHeight="1">
      <c r="A16" s="72" t="str">
        <f t="shared" si="0"/>
        <v>L003</v>
      </c>
      <c r="B16" s="104"/>
      <c r="C16" s="104"/>
      <c r="D16" s="104"/>
      <c r="E16" s="104"/>
      <c r="F16" s="172"/>
      <c r="G16" s="173"/>
      <c r="H16" s="173"/>
      <c r="I16" s="102" t="s">
        <v>168</v>
      </c>
      <c r="J16" s="181" t="s">
        <v>177</v>
      </c>
      <c r="K16" s="140" t="s">
        <v>170</v>
      </c>
      <c r="L16" s="120" t="s">
        <v>167</v>
      </c>
      <c r="M16" s="139">
        <v>1.5</v>
      </c>
      <c r="N16" s="137"/>
      <c r="O16" s="135">
        <f t="shared" ref="O16" si="10">SUM(N16:N16)*M16*$O$2</f>
        <v>0</v>
      </c>
      <c r="P16" s="134">
        <v>219321</v>
      </c>
      <c r="Q16" s="135">
        <f t="shared" si="9"/>
        <v>328981.5</v>
      </c>
      <c r="R16" s="136"/>
      <c r="S16" s="135">
        <f t="shared" si="3"/>
        <v>0</v>
      </c>
      <c r="T16" s="136"/>
      <c r="U16" s="135">
        <f t="shared" si="4"/>
        <v>0</v>
      </c>
      <c r="V16" s="76">
        <f t="shared" si="5"/>
        <v>328981.5</v>
      </c>
      <c r="W16" s="119"/>
      <c r="X16" s="77"/>
    </row>
    <row r="17" spans="1:24" s="157" customFormat="1" ht="38.1" customHeight="1">
      <c r="A17" s="152"/>
      <c r="B17" s="153"/>
      <c r="C17" s="153"/>
      <c r="D17" s="153"/>
      <c r="E17" s="153"/>
      <c r="F17" s="153"/>
      <c r="G17" s="153"/>
      <c r="H17" s="153"/>
      <c r="I17" s="153"/>
      <c r="J17" s="143"/>
      <c r="K17" s="143"/>
      <c r="L17" s="153"/>
      <c r="M17" s="153"/>
      <c r="N17" s="153"/>
      <c r="O17" s="154">
        <f>SUM(O5:O16)</f>
        <v>983636.10384999996</v>
      </c>
      <c r="P17" s="155"/>
      <c r="Q17" s="154">
        <f>SUM(Q5:Q16)</f>
        <v>3338901.5554520003</v>
      </c>
      <c r="R17" s="155"/>
      <c r="S17" s="154">
        <f>SUM(S5:S16)</f>
        <v>0</v>
      </c>
      <c r="T17" s="155"/>
      <c r="U17" s="154">
        <f>SUM(U5:U16)</f>
        <v>0</v>
      </c>
      <c r="V17" s="156">
        <f>SUM(V5:V16)</f>
        <v>4322537.659302</v>
      </c>
      <c r="W17" s="107"/>
      <c r="X17" s="153"/>
    </row>
  </sheetData>
  <mergeCells count="12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5" type="noConversion"/>
  <pageMargins left="0.7" right="0.7" top="0.75" bottom="0.75" header="0.3" footer="0.3"/>
  <pageSetup paperSize="9" scale="36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17312-07D0-4A8D-B654-FAEA5B43046C}">
  <sheetPr codeName="Sheet3">
    <pageSetUpPr fitToPage="1"/>
  </sheetPr>
  <dimension ref="A1:P34"/>
  <sheetViews>
    <sheetView topLeftCell="A10" zoomScaleNormal="100" workbookViewId="0">
      <selection activeCell="F39" sqref="F39"/>
    </sheetView>
  </sheetViews>
  <sheetFormatPr defaultColWidth="9" defaultRowHeight="14.25"/>
  <cols>
    <col min="1" max="1" width="22.625" style="101" customWidth="1"/>
    <col min="2" max="2" width="27.625" style="101" customWidth="1"/>
    <col min="3" max="3" width="5.75" style="101" customWidth="1"/>
    <col min="4" max="4" width="5.25" style="101" customWidth="1"/>
    <col min="5" max="8" width="20.625" style="101" customWidth="1"/>
    <col min="9" max="12" width="20.625" style="101" hidden="1" customWidth="1"/>
    <col min="13" max="14" width="20.625" style="101" customWidth="1"/>
    <col min="15" max="15" width="32.75" style="101" customWidth="1"/>
    <col min="16" max="16384" width="9" style="78"/>
  </cols>
  <sheetData>
    <row r="1" spans="1:16" ht="27" customHeight="1">
      <c r="A1" s="218" t="s">
        <v>54</v>
      </c>
      <c r="B1" s="218"/>
      <c r="C1" s="218"/>
      <c r="D1" s="218"/>
      <c r="E1" s="218"/>
      <c r="F1" s="218"/>
      <c r="G1" s="218"/>
      <c r="H1" s="218"/>
      <c r="I1" s="218"/>
      <c r="J1" s="218"/>
      <c r="K1" s="218"/>
      <c r="L1" s="218"/>
      <c r="M1" s="218"/>
      <c r="N1" s="218"/>
      <c r="O1" s="218"/>
    </row>
    <row r="2" spans="1:16" ht="15" customHeight="1">
      <c r="A2" s="219" t="s">
        <v>55</v>
      </c>
      <c r="B2" s="220" t="s">
        <v>56</v>
      </c>
      <c r="C2" s="221" t="s">
        <v>42</v>
      </c>
      <c r="D2" s="221" t="s">
        <v>57</v>
      </c>
      <c r="E2" s="223" t="s">
        <v>58</v>
      </c>
      <c r="F2" s="220"/>
      <c r="G2" s="220" t="s">
        <v>59</v>
      </c>
      <c r="H2" s="220"/>
      <c r="I2" s="224" t="s">
        <v>60</v>
      </c>
      <c r="J2" s="225"/>
      <c r="K2" s="224" t="s">
        <v>61</v>
      </c>
      <c r="L2" s="225"/>
      <c r="M2" s="223" t="s">
        <v>62</v>
      </c>
      <c r="N2" s="220"/>
      <c r="O2" s="226" t="s">
        <v>63</v>
      </c>
    </row>
    <row r="3" spans="1:16" ht="15" customHeight="1">
      <c r="A3" s="219"/>
      <c r="B3" s="220"/>
      <c r="C3" s="222"/>
      <c r="D3" s="222"/>
      <c r="E3" s="130" t="s">
        <v>64</v>
      </c>
      <c r="F3" s="130" t="s">
        <v>65</v>
      </c>
      <c r="G3" s="79" t="s">
        <v>64</v>
      </c>
      <c r="H3" s="130" t="s">
        <v>66</v>
      </c>
      <c r="I3" s="130"/>
      <c r="J3" s="130"/>
      <c r="K3" s="79" t="s">
        <v>64</v>
      </c>
      <c r="L3" s="130" t="s">
        <v>66</v>
      </c>
      <c r="M3" s="79" t="s">
        <v>64</v>
      </c>
      <c r="N3" s="130" t="s">
        <v>66</v>
      </c>
      <c r="O3" s="227"/>
    </row>
    <row r="4" spans="1:16" ht="15" customHeight="1">
      <c r="A4" s="216" t="s">
        <v>173</v>
      </c>
      <c r="B4" s="217"/>
      <c r="C4" s="80"/>
      <c r="D4" s="80"/>
      <c r="E4" s="80"/>
      <c r="F4" s="80"/>
      <c r="G4" s="80"/>
      <c r="H4" s="80"/>
      <c r="I4" s="80"/>
      <c r="J4" s="80"/>
      <c r="K4" s="80"/>
      <c r="L4" s="80"/>
      <c r="M4" s="80"/>
      <c r="N4" s="80"/>
      <c r="O4" s="80"/>
    </row>
    <row r="5" spans="1:16" ht="15" customHeight="1">
      <c r="A5" s="214" t="s">
        <v>67</v>
      </c>
      <c r="B5" s="81" t="s">
        <v>68</v>
      </c>
      <c r="C5" s="82" t="s">
        <v>69</v>
      </c>
      <c r="D5" s="83">
        <v>85</v>
      </c>
      <c r="E5" s="84">
        <v>1057</v>
      </c>
      <c r="F5" s="84">
        <f t="shared" ref="F5:F11" si="0">D5*E5</f>
        <v>89845</v>
      </c>
      <c r="G5" s="84">
        <v>8839.9</v>
      </c>
      <c r="H5" s="84">
        <f t="shared" ref="H5:H11" si="1">D5*G5</f>
        <v>751391.5</v>
      </c>
      <c r="I5" s="84"/>
      <c r="J5" s="84"/>
      <c r="K5" s="84"/>
      <c r="L5" s="84"/>
      <c r="M5" s="84"/>
      <c r="N5" s="84">
        <f>F5+H5+J5+L5</f>
        <v>841236.5</v>
      </c>
      <c r="O5" s="208" t="s">
        <v>128</v>
      </c>
      <c r="P5" s="187">
        <f>D5+D7+D9+D11</f>
        <v>186</v>
      </c>
    </row>
    <row r="6" spans="1:16" ht="15" customHeight="1">
      <c r="A6" s="215"/>
      <c r="B6" s="183" t="s">
        <v>70</v>
      </c>
      <c r="C6" s="184" t="s">
        <v>69</v>
      </c>
      <c r="D6" s="185"/>
      <c r="E6" s="186"/>
      <c r="F6" s="186"/>
      <c r="G6" s="186"/>
      <c r="H6" s="186"/>
      <c r="I6" s="186"/>
      <c r="J6" s="186"/>
      <c r="K6" s="186"/>
      <c r="L6" s="186"/>
      <c r="M6" s="186"/>
      <c r="N6" s="186"/>
      <c r="O6" s="209"/>
    </row>
    <row r="7" spans="1:16" ht="15" customHeight="1">
      <c r="A7" s="215"/>
      <c r="B7" s="81" t="s">
        <v>71</v>
      </c>
      <c r="C7" s="82" t="s">
        <v>69</v>
      </c>
      <c r="D7" s="83">
        <v>38</v>
      </c>
      <c r="E7" s="84">
        <v>1057</v>
      </c>
      <c r="F7" s="84">
        <f t="shared" si="0"/>
        <v>40166</v>
      </c>
      <c r="G7" s="84">
        <v>8839.9</v>
      </c>
      <c r="H7" s="84">
        <f t="shared" si="1"/>
        <v>335916.2</v>
      </c>
      <c r="I7" s="84"/>
      <c r="J7" s="84"/>
      <c r="K7" s="84"/>
      <c r="L7" s="84"/>
      <c r="M7" s="84"/>
      <c r="N7" s="84">
        <f t="shared" ref="N7:N11" si="2">F7+H7+J7+L7</f>
        <v>376082.2</v>
      </c>
      <c r="O7" s="209"/>
    </row>
    <row r="8" spans="1:16" ht="15" customHeight="1">
      <c r="A8" s="215"/>
      <c r="B8" s="183" t="s">
        <v>72</v>
      </c>
      <c r="C8" s="184" t="s">
        <v>69</v>
      </c>
      <c r="D8" s="185"/>
      <c r="E8" s="186"/>
      <c r="F8" s="186"/>
      <c r="G8" s="186"/>
      <c r="H8" s="186"/>
      <c r="I8" s="186"/>
      <c r="J8" s="186"/>
      <c r="K8" s="186"/>
      <c r="L8" s="186"/>
      <c r="M8" s="186"/>
      <c r="N8" s="186"/>
      <c r="O8" s="209"/>
    </row>
    <row r="9" spans="1:16" ht="15" customHeight="1">
      <c r="A9" s="215"/>
      <c r="B9" s="81" t="s">
        <v>73</v>
      </c>
      <c r="C9" s="82" t="s">
        <v>69</v>
      </c>
      <c r="D9" s="83">
        <v>32</v>
      </c>
      <c r="E9" s="84">
        <v>1057</v>
      </c>
      <c r="F9" s="84">
        <f t="shared" si="0"/>
        <v>33824</v>
      </c>
      <c r="G9" s="84">
        <v>8839.9</v>
      </c>
      <c r="H9" s="84">
        <f t="shared" si="1"/>
        <v>282876.79999999999</v>
      </c>
      <c r="I9" s="84"/>
      <c r="J9" s="84"/>
      <c r="K9" s="84"/>
      <c r="L9" s="84"/>
      <c r="M9" s="84"/>
      <c r="N9" s="84">
        <f t="shared" si="2"/>
        <v>316700.79999999999</v>
      </c>
      <c r="O9" s="209"/>
    </row>
    <row r="10" spans="1:16" ht="15" customHeight="1">
      <c r="A10" s="215"/>
      <c r="B10" s="183" t="s">
        <v>74</v>
      </c>
      <c r="C10" s="184" t="s">
        <v>69</v>
      </c>
      <c r="D10" s="185"/>
      <c r="E10" s="186"/>
      <c r="F10" s="186"/>
      <c r="G10" s="186"/>
      <c r="H10" s="186"/>
      <c r="I10" s="186"/>
      <c r="J10" s="186"/>
      <c r="K10" s="186"/>
      <c r="L10" s="186"/>
      <c r="M10" s="186"/>
      <c r="N10" s="186"/>
      <c r="O10" s="209"/>
    </row>
    <row r="11" spans="1:16" ht="15" customHeight="1">
      <c r="A11" s="215"/>
      <c r="B11" s="81" t="s">
        <v>75</v>
      </c>
      <c r="C11" s="82" t="s">
        <v>69</v>
      </c>
      <c r="D11" s="83">
        <v>31</v>
      </c>
      <c r="E11" s="84">
        <v>1057</v>
      </c>
      <c r="F11" s="84">
        <f t="shared" si="0"/>
        <v>32767</v>
      </c>
      <c r="G11" s="84">
        <v>8839.9</v>
      </c>
      <c r="H11" s="84">
        <f t="shared" si="1"/>
        <v>274036.89999999997</v>
      </c>
      <c r="I11" s="84"/>
      <c r="J11" s="84"/>
      <c r="K11" s="84"/>
      <c r="L11" s="84"/>
      <c r="M11" s="84"/>
      <c r="N11" s="84">
        <f t="shared" si="2"/>
        <v>306803.89999999997</v>
      </c>
      <c r="O11" s="209"/>
    </row>
    <row r="12" spans="1:16" ht="15" customHeight="1">
      <c r="A12" s="215"/>
      <c r="B12" s="183" t="s">
        <v>76</v>
      </c>
      <c r="C12" s="184" t="s">
        <v>69</v>
      </c>
      <c r="D12" s="185"/>
      <c r="E12" s="186"/>
      <c r="F12" s="186"/>
      <c r="G12" s="186"/>
      <c r="H12" s="186"/>
      <c r="I12" s="186"/>
      <c r="J12" s="186"/>
      <c r="K12" s="186"/>
      <c r="L12" s="186"/>
      <c r="M12" s="186"/>
      <c r="N12" s="186"/>
      <c r="O12" s="209"/>
    </row>
    <row r="13" spans="1:16" ht="15" customHeight="1">
      <c r="A13" s="108" t="s">
        <v>77</v>
      </c>
      <c r="B13" s="109"/>
      <c r="C13" s="110"/>
      <c r="D13" s="111"/>
      <c r="E13" s="112"/>
      <c r="F13" s="112">
        <f>SUM(F5:F12)</f>
        <v>196602</v>
      </c>
      <c r="G13" s="112"/>
      <c r="H13" s="112">
        <f>SUM(H5:H12)</f>
        <v>1644221.4</v>
      </c>
      <c r="I13" s="112"/>
      <c r="J13" s="112">
        <f>SUM(J5:J12)</f>
        <v>0</v>
      </c>
      <c r="K13" s="112"/>
      <c r="L13" s="112">
        <f>SUM(L5:L12)</f>
        <v>0</v>
      </c>
      <c r="M13" s="112"/>
      <c r="N13" s="112">
        <f>SUM(N5:N12)</f>
        <v>1840823.4</v>
      </c>
      <c r="O13" s="112"/>
    </row>
    <row r="14" spans="1:16" ht="15" customHeight="1">
      <c r="A14" s="210" t="s">
        <v>129</v>
      </c>
      <c r="B14" s="81" t="s">
        <v>78</v>
      </c>
      <c r="C14" s="82" t="s">
        <v>69</v>
      </c>
      <c r="D14" s="85">
        <v>33.200000000000003</v>
      </c>
      <c r="E14" s="84">
        <v>10855</v>
      </c>
      <c r="F14" s="122">
        <f>D14*E14</f>
        <v>360386.00000000006</v>
      </c>
      <c r="G14" s="84">
        <v>6668.1</v>
      </c>
      <c r="H14" s="122">
        <f>D14*G14</f>
        <v>221380.92000000004</v>
      </c>
      <c r="I14" s="122"/>
      <c r="J14" s="122"/>
      <c r="K14" s="84"/>
      <c r="L14" s="122"/>
      <c r="M14" s="84"/>
      <c r="N14" s="122">
        <f t="shared" ref="N14:N17" si="3">F14+H14+J14+L14</f>
        <v>581766.92000000016</v>
      </c>
      <c r="O14" s="209"/>
    </row>
    <row r="15" spans="1:16" ht="15" customHeight="1">
      <c r="A15" s="210"/>
      <c r="B15" s="81" t="s">
        <v>79</v>
      </c>
      <c r="C15" s="82" t="s">
        <v>69</v>
      </c>
      <c r="D15" s="123">
        <v>11.7</v>
      </c>
      <c r="E15" s="84">
        <v>10855</v>
      </c>
      <c r="F15" s="122">
        <f>D15*E15</f>
        <v>127003.49999999999</v>
      </c>
      <c r="G15" s="84">
        <v>6668.1</v>
      </c>
      <c r="H15" s="122">
        <f>D15*G15</f>
        <v>78016.77</v>
      </c>
      <c r="I15" s="122"/>
      <c r="J15" s="122"/>
      <c r="K15" s="84"/>
      <c r="L15" s="122"/>
      <c r="M15" s="84"/>
      <c r="N15" s="122">
        <f t="shared" si="3"/>
        <v>205020.27</v>
      </c>
      <c r="O15" s="209"/>
    </row>
    <row r="16" spans="1:16" ht="15" customHeight="1">
      <c r="A16" s="210"/>
      <c r="B16" s="81" t="s">
        <v>80</v>
      </c>
      <c r="C16" s="82" t="s">
        <v>69</v>
      </c>
      <c r="D16" s="123">
        <v>8.5</v>
      </c>
      <c r="E16" s="84">
        <v>10855</v>
      </c>
      <c r="F16" s="122">
        <f>D16*E16</f>
        <v>92267.5</v>
      </c>
      <c r="G16" s="84">
        <v>6668.1</v>
      </c>
      <c r="H16" s="122">
        <f>D16*G16</f>
        <v>56678.850000000006</v>
      </c>
      <c r="I16" s="122"/>
      <c r="J16" s="122"/>
      <c r="K16" s="84"/>
      <c r="L16" s="122"/>
      <c r="M16" s="84"/>
      <c r="N16" s="122">
        <f t="shared" si="3"/>
        <v>148946.35</v>
      </c>
      <c r="O16" s="209"/>
    </row>
    <row r="17" spans="1:15" ht="15" customHeight="1">
      <c r="A17" s="211"/>
      <c r="B17" s="81" t="s">
        <v>81</v>
      </c>
      <c r="C17" s="82" t="s">
        <v>69</v>
      </c>
      <c r="D17" s="123">
        <v>8.4</v>
      </c>
      <c r="E17" s="84">
        <v>10855</v>
      </c>
      <c r="F17" s="122">
        <f>D17*E17</f>
        <v>91182</v>
      </c>
      <c r="G17" s="84">
        <v>6668.1</v>
      </c>
      <c r="H17" s="122">
        <f>D17*G17</f>
        <v>56012.040000000008</v>
      </c>
      <c r="I17" s="122"/>
      <c r="J17" s="122"/>
      <c r="K17" s="84"/>
      <c r="L17" s="122"/>
      <c r="M17" s="84"/>
      <c r="N17" s="122">
        <f t="shared" si="3"/>
        <v>147194.04</v>
      </c>
      <c r="O17" s="212"/>
    </row>
    <row r="18" spans="1:15" ht="15" customHeight="1">
      <c r="A18" s="103" t="s">
        <v>77</v>
      </c>
      <c r="B18" s="86"/>
      <c r="C18" s="90"/>
      <c r="D18" s="124">
        <f>SUM(D14:D17)</f>
        <v>61.800000000000004</v>
      </c>
      <c r="E18" s="89"/>
      <c r="F18" s="89">
        <f>SUM(F14:F17)</f>
        <v>670839</v>
      </c>
      <c r="G18" s="89"/>
      <c r="H18" s="89">
        <f>SUM(H14:H17)</f>
        <v>412088.58000000007</v>
      </c>
      <c r="I18" s="89"/>
      <c r="J18" s="89">
        <f>SUM(J14:J17)</f>
        <v>0</v>
      </c>
      <c r="K18" s="89"/>
      <c r="L18" s="89">
        <f>SUM(L14:L17)</f>
        <v>0</v>
      </c>
      <c r="M18" s="89"/>
      <c r="N18" s="89">
        <f>SUM(N14:N17)</f>
        <v>1082927.58</v>
      </c>
      <c r="O18" s="89"/>
    </row>
    <row r="19" spans="1:15" ht="15" customHeight="1">
      <c r="A19" s="105" t="s">
        <v>82</v>
      </c>
      <c r="B19" s="91"/>
      <c r="C19" s="92"/>
      <c r="D19" s="93"/>
      <c r="E19" s="84"/>
      <c r="F19" s="84"/>
      <c r="G19" s="84"/>
      <c r="H19" s="84"/>
      <c r="I19" s="84"/>
      <c r="J19" s="84"/>
      <c r="K19" s="84"/>
      <c r="L19" s="84"/>
      <c r="M19" s="84"/>
      <c r="N19" s="84"/>
      <c r="O19" s="84"/>
    </row>
    <row r="20" spans="1:15" ht="15" customHeight="1">
      <c r="A20" s="125" t="s">
        <v>125</v>
      </c>
      <c r="B20" s="133" t="s">
        <v>124</v>
      </c>
      <c r="C20" s="133" t="s">
        <v>123</v>
      </c>
      <c r="D20" s="113">
        <v>0.3</v>
      </c>
      <c r="E20" s="84">
        <v>54693</v>
      </c>
      <c r="F20" s="122">
        <f>D20*E20</f>
        <v>16407.899999999998</v>
      </c>
      <c r="G20" s="84"/>
      <c r="H20" s="84"/>
      <c r="I20" s="84"/>
      <c r="J20" s="84"/>
      <c r="K20" s="84"/>
      <c r="L20" s="84"/>
      <c r="M20" s="84"/>
      <c r="N20" s="126">
        <f t="shared" ref="N20:N24" si="4">F20+H20+J20+L20</f>
        <v>16407.899999999998</v>
      </c>
      <c r="O20" s="84"/>
    </row>
    <row r="21" spans="1:15" ht="15" customHeight="1">
      <c r="A21" s="213" t="s">
        <v>83</v>
      </c>
      <c r="B21" s="91" t="s">
        <v>84</v>
      </c>
      <c r="C21" s="92" t="s">
        <v>69</v>
      </c>
      <c r="D21" s="93">
        <v>17</v>
      </c>
      <c r="E21" s="126"/>
      <c r="F21" s="126">
        <f>D21*E21</f>
        <v>0</v>
      </c>
      <c r="G21" s="126">
        <v>8711</v>
      </c>
      <c r="H21" s="126">
        <f t="shared" ref="H21:H24" si="5">D21*G21</f>
        <v>148087</v>
      </c>
      <c r="I21" s="126"/>
      <c r="J21" s="126"/>
      <c r="K21" s="126"/>
      <c r="L21" s="126"/>
      <c r="M21" s="126"/>
      <c r="N21" s="126">
        <f t="shared" si="4"/>
        <v>148087</v>
      </c>
      <c r="O21" s="84"/>
    </row>
    <row r="22" spans="1:15" ht="15" customHeight="1">
      <c r="A22" s="213"/>
      <c r="B22" s="91" t="s">
        <v>85</v>
      </c>
      <c r="C22" s="92" t="s">
        <v>69</v>
      </c>
      <c r="D22" s="93">
        <v>17</v>
      </c>
      <c r="E22" s="126"/>
      <c r="F22" s="126">
        <f t="shared" ref="F22" si="6">D22*E22</f>
        <v>0</v>
      </c>
      <c r="G22" s="126">
        <v>5159</v>
      </c>
      <c r="H22" s="126">
        <f t="shared" si="5"/>
        <v>87703</v>
      </c>
      <c r="I22" s="126"/>
      <c r="J22" s="126"/>
      <c r="K22" s="126"/>
      <c r="L22" s="126"/>
      <c r="M22" s="126"/>
      <c r="N22" s="126">
        <f t="shared" si="4"/>
        <v>87703</v>
      </c>
      <c r="O22" s="84"/>
    </row>
    <row r="23" spans="1:15" ht="15" customHeight="1">
      <c r="A23" s="213" t="s">
        <v>86</v>
      </c>
      <c r="B23" s="91" t="s">
        <v>84</v>
      </c>
      <c r="C23" s="92" t="s">
        <v>69</v>
      </c>
      <c r="D23" s="93">
        <v>11</v>
      </c>
      <c r="E23" s="126"/>
      <c r="F23" s="126">
        <f>D23*E23</f>
        <v>0</v>
      </c>
      <c r="G23" s="126">
        <v>8711</v>
      </c>
      <c r="H23" s="126">
        <f t="shared" si="5"/>
        <v>95821</v>
      </c>
      <c r="I23" s="126"/>
      <c r="J23" s="126"/>
      <c r="K23" s="126"/>
      <c r="L23" s="126"/>
      <c r="M23" s="126"/>
      <c r="N23" s="126">
        <f t="shared" si="4"/>
        <v>95821</v>
      </c>
      <c r="O23" s="84"/>
    </row>
    <row r="24" spans="1:15" ht="15" customHeight="1">
      <c r="A24" s="213"/>
      <c r="B24" s="91" t="s">
        <v>85</v>
      </c>
      <c r="C24" s="92" t="s">
        <v>69</v>
      </c>
      <c r="D24" s="93">
        <v>11</v>
      </c>
      <c r="E24" s="126"/>
      <c r="F24" s="126">
        <f t="shared" ref="F24" si="7">D24*E24</f>
        <v>0</v>
      </c>
      <c r="G24" s="126">
        <v>5159</v>
      </c>
      <c r="H24" s="126">
        <f t="shared" si="5"/>
        <v>56749</v>
      </c>
      <c r="I24" s="126"/>
      <c r="J24" s="126"/>
      <c r="K24" s="126"/>
      <c r="L24" s="126"/>
      <c r="M24" s="126"/>
      <c r="N24" s="126">
        <f t="shared" si="4"/>
        <v>56749</v>
      </c>
      <c r="O24" s="84"/>
    </row>
    <row r="25" spans="1:15" ht="15" customHeight="1">
      <c r="A25" s="103" t="s">
        <v>77</v>
      </c>
      <c r="B25" s="94"/>
      <c r="C25" s="95"/>
      <c r="D25" s="88"/>
      <c r="E25" s="89"/>
      <c r="F25" s="89">
        <f>SUM(F19:F24)</f>
        <v>16407.899999999998</v>
      </c>
      <c r="G25" s="89"/>
      <c r="H25" s="89">
        <f>SUM(H19:H24)</f>
        <v>388360</v>
      </c>
      <c r="I25" s="89"/>
      <c r="J25" s="89">
        <f>SUM(J19:J24)</f>
        <v>0</v>
      </c>
      <c r="K25" s="89"/>
      <c r="L25" s="89">
        <f>SUM(L19:L24)</f>
        <v>0</v>
      </c>
      <c r="M25" s="89"/>
      <c r="N25" s="89">
        <f>SUM(N19:N24)</f>
        <v>404767.9</v>
      </c>
      <c r="O25" s="89"/>
    </row>
    <row r="26" spans="1:15" ht="15" customHeight="1">
      <c r="A26" s="106" t="s">
        <v>87</v>
      </c>
      <c r="B26" s="81" t="s">
        <v>140</v>
      </c>
      <c r="C26" s="82" t="s">
        <v>69</v>
      </c>
      <c r="D26" s="127">
        <v>96</v>
      </c>
      <c r="E26" s="122"/>
      <c r="F26" s="122"/>
      <c r="G26" s="84">
        <v>4147</v>
      </c>
      <c r="H26" s="122">
        <f>D26*G26</f>
        <v>398112</v>
      </c>
      <c r="I26" s="122"/>
      <c r="J26" s="122"/>
      <c r="K26" s="122"/>
      <c r="L26" s="122"/>
      <c r="M26" s="122"/>
      <c r="N26" s="122">
        <f>F26+H26+J26+L26</f>
        <v>398112</v>
      </c>
      <c r="O26" s="96" t="s">
        <v>88</v>
      </c>
    </row>
    <row r="27" spans="1:15" ht="15" customHeight="1">
      <c r="A27" s="103" t="s">
        <v>77</v>
      </c>
      <c r="B27" s="86"/>
      <c r="C27" s="87"/>
      <c r="D27" s="97"/>
      <c r="E27" s="98"/>
      <c r="F27" s="98"/>
      <c r="G27" s="98"/>
      <c r="H27" s="89">
        <f>SUM(H26:H26)</f>
        <v>398112</v>
      </c>
      <c r="I27" s="98"/>
      <c r="J27" s="89">
        <f t="shared" ref="J27:N27" si="8">SUM(J26:J26)</f>
        <v>0</v>
      </c>
      <c r="K27" s="89"/>
      <c r="L27" s="89">
        <f t="shared" si="8"/>
        <v>0</v>
      </c>
      <c r="M27" s="89"/>
      <c r="N27" s="89">
        <f t="shared" si="8"/>
        <v>398112</v>
      </c>
      <c r="O27" s="98"/>
    </row>
    <row r="28" spans="1:15" ht="15" customHeight="1">
      <c r="A28" s="164" t="s">
        <v>150</v>
      </c>
      <c r="B28" s="91"/>
      <c r="C28" s="92"/>
      <c r="D28" s="127"/>
      <c r="E28" s="84"/>
      <c r="F28" s="84"/>
      <c r="G28" s="84"/>
      <c r="H28" s="165"/>
      <c r="I28" s="84"/>
      <c r="J28" s="165"/>
      <c r="K28" s="165"/>
      <c r="L28" s="165"/>
      <c r="M28" s="165"/>
      <c r="N28" s="165"/>
      <c r="O28" s="84"/>
    </row>
    <row r="29" spans="1:15" ht="24.75" customHeight="1">
      <c r="A29" s="125" t="s">
        <v>169</v>
      </c>
      <c r="B29" s="171" t="s">
        <v>175</v>
      </c>
      <c r="C29" s="92" t="s">
        <v>151</v>
      </c>
      <c r="D29" s="127">
        <v>3</v>
      </c>
      <c r="E29" s="84">
        <v>30478</v>
      </c>
      <c r="F29" s="166">
        <f>D29*E29</f>
        <v>91434</v>
      </c>
      <c r="G29" s="167"/>
      <c r="H29" s="166">
        <f t="shared" ref="H29:H32" si="9">D29*G29</f>
        <v>0</v>
      </c>
      <c r="I29" s="168"/>
      <c r="J29" s="168"/>
      <c r="K29" s="168"/>
      <c r="L29" s="168"/>
      <c r="M29" s="168"/>
      <c r="N29" s="122">
        <f t="shared" ref="N29:N32" si="10">F29+H29+J29+L29</f>
        <v>91434</v>
      </c>
      <c r="O29" s="84"/>
    </row>
    <row r="30" spans="1:15" ht="21.75" customHeight="1">
      <c r="A30" s="206" t="s">
        <v>152</v>
      </c>
      <c r="B30" s="169" t="s">
        <v>153</v>
      </c>
      <c r="C30" s="170" t="s">
        <v>154</v>
      </c>
      <c r="D30" s="170">
        <v>2</v>
      </c>
      <c r="E30" s="166">
        <v>4175</v>
      </c>
      <c r="F30" s="166">
        <f>D30*E30</f>
        <v>8350</v>
      </c>
      <c r="G30" s="167"/>
      <c r="H30" s="166">
        <f t="shared" si="9"/>
        <v>0</v>
      </c>
      <c r="I30" s="168"/>
      <c r="J30" s="168"/>
      <c r="K30" s="168"/>
      <c r="L30" s="168"/>
      <c r="M30" s="168"/>
      <c r="N30" s="122">
        <f t="shared" si="10"/>
        <v>8350</v>
      </c>
      <c r="O30" s="84"/>
    </row>
    <row r="31" spans="1:15" ht="22.5" customHeight="1">
      <c r="A31" s="207"/>
      <c r="B31" s="170" t="s">
        <v>155</v>
      </c>
      <c r="C31" s="170" t="s">
        <v>156</v>
      </c>
      <c r="D31" s="170">
        <v>1</v>
      </c>
      <c r="E31" s="166"/>
      <c r="F31" s="166"/>
      <c r="G31" s="167">
        <v>167081</v>
      </c>
      <c r="H31" s="166">
        <f t="shared" si="9"/>
        <v>167081</v>
      </c>
      <c r="I31" s="168"/>
      <c r="J31" s="168"/>
      <c r="K31" s="168"/>
      <c r="L31" s="168"/>
      <c r="M31" s="168"/>
      <c r="N31" s="122">
        <f t="shared" si="10"/>
        <v>167081</v>
      </c>
      <c r="O31" s="84"/>
    </row>
    <row r="32" spans="1:15" ht="79.5" customHeight="1">
      <c r="A32" s="182" t="s">
        <v>176</v>
      </c>
      <c r="B32" s="170" t="s">
        <v>170</v>
      </c>
      <c r="C32" s="170" t="s">
        <v>156</v>
      </c>
      <c r="D32" s="170">
        <v>1.5</v>
      </c>
      <c r="E32" s="166"/>
      <c r="F32" s="166"/>
      <c r="G32" s="167">
        <v>219321</v>
      </c>
      <c r="H32" s="166">
        <f t="shared" si="9"/>
        <v>328981.5</v>
      </c>
      <c r="I32" s="168"/>
      <c r="J32" s="168"/>
      <c r="K32" s="168"/>
      <c r="L32" s="168"/>
      <c r="M32" s="168"/>
      <c r="N32" s="122">
        <f t="shared" si="10"/>
        <v>328981.5</v>
      </c>
      <c r="O32" s="84"/>
    </row>
    <row r="33" spans="1:15" ht="15" customHeight="1">
      <c r="A33" s="103" t="s">
        <v>77</v>
      </c>
      <c r="B33" s="94"/>
      <c r="C33" s="95"/>
      <c r="D33" s="88"/>
      <c r="E33" s="89"/>
      <c r="F33" s="89">
        <f>SUM(F29:F32)</f>
        <v>99784</v>
      </c>
      <c r="G33" s="89"/>
      <c r="H33" s="89">
        <f>SUM(H29:H32)</f>
        <v>496062.5</v>
      </c>
      <c r="I33" s="89"/>
      <c r="J33" s="89">
        <f>SUM(J31:J32)</f>
        <v>0</v>
      </c>
      <c r="K33" s="89"/>
      <c r="L33" s="89">
        <f>SUM(L31:L32)</f>
        <v>0</v>
      </c>
      <c r="M33" s="89"/>
      <c r="N33" s="89">
        <f>SUM(N29:N32)</f>
        <v>595846.5</v>
      </c>
      <c r="O33" s="89"/>
    </row>
    <row r="34" spans="1:15" ht="15" customHeight="1">
      <c r="A34" s="103" t="s">
        <v>122</v>
      </c>
      <c r="B34" s="86"/>
      <c r="C34" s="87"/>
      <c r="D34" s="97"/>
      <c r="E34" s="99"/>
      <c r="F34" s="100">
        <f>F13+F18+F25+F27+F33</f>
        <v>983632.9</v>
      </c>
      <c r="G34" s="100"/>
      <c r="H34" s="100">
        <f>H13+H18+H25+H27+H33</f>
        <v>3338844.48</v>
      </c>
      <c r="I34" s="99"/>
      <c r="J34" s="100">
        <f>J13+J18+J25+J27</f>
        <v>0</v>
      </c>
      <c r="K34" s="99"/>
      <c r="L34" s="100">
        <f>L13+L18+L25+L27</f>
        <v>0</v>
      </c>
      <c r="M34" s="99"/>
      <c r="N34" s="100">
        <f>N13+N18+N25+N27+N33</f>
        <v>4322477.38</v>
      </c>
      <c r="O34" s="99"/>
    </row>
  </sheetData>
  <mergeCells count="19">
    <mergeCell ref="A4:B4"/>
    <mergeCell ref="A1:O1"/>
    <mergeCell ref="A2:A3"/>
    <mergeCell ref="B2:B3"/>
    <mergeCell ref="C2:C3"/>
    <mergeCell ref="D2:D3"/>
    <mergeCell ref="E2:F2"/>
    <mergeCell ref="G2:H2"/>
    <mergeCell ref="I2:J2"/>
    <mergeCell ref="K2:L2"/>
    <mergeCell ref="M2:N2"/>
    <mergeCell ref="O2:O3"/>
    <mergeCell ref="A30:A31"/>
    <mergeCell ref="O5:O12"/>
    <mergeCell ref="A14:A17"/>
    <mergeCell ref="O14:O17"/>
    <mergeCell ref="A21:A22"/>
    <mergeCell ref="A23:A24"/>
    <mergeCell ref="A5:A12"/>
  </mergeCells>
  <phoneticPr fontId="5" type="noConversion"/>
  <pageMargins left="0.7" right="0.7" top="0.75" bottom="0.75" header="0.3" footer="0.3"/>
  <pageSetup paperSize="9" scale="47" orientation="landscape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F869F-9931-4C5B-8149-E501A83BDBE7}">
  <sheetPr codeName="Sheet4"/>
  <dimension ref="A1:F13"/>
  <sheetViews>
    <sheetView showGridLines="0" zoomScaleNormal="100" workbookViewId="0">
      <selection activeCell="M30" sqref="M30"/>
    </sheetView>
  </sheetViews>
  <sheetFormatPr defaultColWidth="9" defaultRowHeight="14.25"/>
  <cols>
    <col min="1" max="1" width="25.125" style="118" customWidth="1"/>
    <col min="2" max="2" width="16.25" style="118" customWidth="1"/>
    <col min="3" max="3" width="22.375" style="118" customWidth="1"/>
    <col min="4" max="4" width="24.125" style="118" customWidth="1"/>
    <col min="5" max="5" width="13" style="118" customWidth="1"/>
    <col min="6" max="6" width="9" style="118" customWidth="1"/>
    <col min="7" max="16384" width="9" style="78"/>
  </cols>
  <sheetData>
    <row r="1" spans="1:6" ht="18" customHeight="1">
      <c r="A1" s="114" t="s">
        <v>141</v>
      </c>
      <c r="B1" s="114" t="s">
        <v>142</v>
      </c>
      <c r="C1" s="114" t="s">
        <v>143</v>
      </c>
      <c r="D1" s="114" t="s">
        <v>144</v>
      </c>
      <c r="E1" s="114" t="s">
        <v>145</v>
      </c>
      <c r="F1" s="114" t="s">
        <v>0</v>
      </c>
    </row>
    <row r="2" spans="1:6">
      <c r="A2" s="115" t="str">
        <f>'내역서(표준단가)'!A5</f>
        <v>M020853710050101</v>
      </c>
      <c r="B2" s="116">
        <f>'내역서(표준단가)'!F5</f>
        <v>0</v>
      </c>
      <c r="C2" s="116">
        <f>'내역서(표준단가)'!G5</f>
        <v>0</v>
      </c>
      <c r="D2" s="116" t="str">
        <f>'내역서(표준단가)'!H5</f>
        <v>M020853710050101</v>
      </c>
      <c r="E2" s="116">
        <f>'내역서(표준단가)'!I5</f>
        <v>0</v>
      </c>
      <c r="F2" s="117">
        <f>'내역서(표준단가)'!M5</f>
        <v>11.2659</v>
      </c>
    </row>
    <row r="3" spans="1:6">
      <c r="A3" s="115" t="str">
        <f>'내역서(표준단가)'!A6</f>
        <v>E00000803071260301</v>
      </c>
      <c r="B3" s="116">
        <f>'내역서(표준단가)'!F6</f>
        <v>0</v>
      </c>
      <c r="C3" s="116" t="str">
        <f>'내역서(표준단가)'!G6</f>
        <v>E00000803071260301</v>
      </c>
      <c r="D3" s="116">
        <f>'내역서(표준단가)'!H6</f>
        <v>0</v>
      </c>
      <c r="E3" s="116">
        <f>'내역서(표준단가)'!I6</f>
        <v>0</v>
      </c>
      <c r="F3" s="117">
        <f>'내역서(표준단가)'!M6</f>
        <v>4.0430000000000001</v>
      </c>
    </row>
    <row r="4" spans="1:6">
      <c r="A4" s="115" t="str">
        <f>'내역서(표준단가)'!A7</f>
        <v>M020809012520101</v>
      </c>
      <c r="B4" s="116">
        <f>'내역서(표준단가)'!F7</f>
        <v>0</v>
      </c>
      <c r="C4" s="116">
        <f>'내역서(표준단가)'!G7</f>
        <v>0</v>
      </c>
      <c r="D4" s="116" t="str">
        <f>'내역서(표준단가)'!H7</f>
        <v>M020809012520101</v>
      </c>
      <c r="E4" s="116">
        <f>'내역서(표준단가)'!I7</f>
        <v>0</v>
      </c>
      <c r="F4" s="117">
        <f>'내역서(표준단가)'!M7</f>
        <v>61.8</v>
      </c>
    </row>
    <row r="5" spans="1:6">
      <c r="A5" s="115" t="str">
        <f>'내역서(표준단가)'!A8</f>
        <v>E00000803071260401</v>
      </c>
      <c r="B5" s="116">
        <f>'내역서(표준단가)'!F8</f>
        <v>0</v>
      </c>
      <c r="C5" s="116" t="str">
        <f>'내역서(표준단가)'!G8</f>
        <v>E00000803071260401</v>
      </c>
      <c r="D5" s="116">
        <f>'내역서(표준단가)'!H8</f>
        <v>0</v>
      </c>
      <c r="E5" s="116">
        <f>'내역서(표준단가)'!I8</f>
        <v>0</v>
      </c>
      <c r="F5" s="117">
        <f>'내역서(표준단가)'!M8</f>
        <v>1.0132000000000001</v>
      </c>
    </row>
    <row r="6" spans="1:6">
      <c r="A6" s="115" t="str">
        <f>'내역서(표준단가)'!A9</f>
        <v>M020412614110102</v>
      </c>
      <c r="B6" s="116">
        <f>'내역서(표준단가)'!F9</f>
        <v>0</v>
      </c>
      <c r="C6" s="116">
        <f>'내역서(표준단가)'!G9</f>
        <v>0</v>
      </c>
      <c r="D6" s="116" t="str">
        <f>'내역서(표준단가)'!H9</f>
        <v>M020412614110102</v>
      </c>
      <c r="E6" s="116">
        <f>'내역서(표준단가)'!I9</f>
        <v>0</v>
      </c>
      <c r="F6" s="117">
        <f>'내역서(표준단가)'!M9</f>
        <v>0.3</v>
      </c>
    </row>
    <row r="7" spans="1:6">
      <c r="A7" s="115" t="str">
        <f>'내역서(표준단가)'!A10</f>
        <v>E00000803061120402</v>
      </c>
      <c r="B7" s="116">
        <f>'내역서(표준단가)'!F10</f>
        <v>0</v>
      </c>
      <c r="C7" s="116" t="str">
        <f>'내역서(표준단가)'!G10</f>
        <v>E00000803061120402</v>
      </c>
      <c r="D7" s="116">
        <f>'내역서(표준단가)'!H10</f>
        <v>0</v>
      </c>
      <c r="E7" s="116">
        <f>'내역서(표준단가)'!I10</f>
        <v>0</v>
      </c>
      <c r="F7" s="117">
        <f>'내역서(표준단가)'!M10</f>
        <v>28</v>
      </c>
    </row>
    <row r="8" spans="1:6">
      <c r="A8" s="115" t="str">
        <f>'내역서(표준단가)'!A11</f>
        <v>E00000803061300201</v>
      </c>
      <c r="B8" s="116">
        <f>'내역서(표준단가)'!F11</f>
        <v>0</v>
      </c>
      <c r="C8" s="116" t="str">
        <f>'내역서(표준단가)'!G11</f>
        <v>E00000803061300201</v>
      </c>
      <c r="D8" s="116">
        <f>'내역서(표준단가)'!H11</f>
        <v>0</v>
      </c>
      <c r="E8" s="116">
        <f>'내역서(표준단가)'!I11</f>
        <v>0</v>
      </c>
      <c r="F8" s="117">
        <f>'내역서(표준단가)'!M11</f>
        <v>28</v>
      </c>
    </row>
    <row r="9" spans="1:6">
      <c r="A9" s="115" t="str">
        <f>'내역서(표준단가)'!A12</f>
        <v>E00000801011510701</v>
      </c>
      <c r="B9" s="116">
        <f>'내역서(표준단가)'!F12</f>
        <v>0</v>
      </c>
      <c r="C9" s="116" t="str">
        <f>'내역서(표준단가)'!G12</f>
        <v>E00000801011510701</v>
      </c>
      <c r="D9" s="116">
        <f>'내역서(표준단가)'!H12</f>
        <v>0</v>
      </c>
      <c r="E9" s="116">
        <f>'내역서(표준단가)'!I12</f>
        <v>0</v>
      </c>
      <c r="F9" s="117">
        <f>'내역서(표준단가)'!M12</f>
        <v>96</v>
      </c>
    </row>
    <row r="10" spans="1:6">
      <c r="A10" s="115" t="str">
        <f>'내역서(표준단가)'!A13</f>
        <v>M020450310340103</v>
      </c>
      <c r="B10" s="116">
        <f>'내역서(표준단가)'!F13</f>
        <v>0</v>
      </c>
      <c r="C10" s="116">
        <f>'내역서(표준단가)'!G13</f>
        <v>0</v>
      </c>
      <c r="D10" s="116" t="str">
        <f>'내역서(표준단가)'!H13</f>
        <v>M020450310340103</v>
      </c>
      <c r="E10" s="116">
        <f>'내역서(표준단가)'!I13</f>
        <v>0</v>
      </c>
      <c r="F10" s="117">
        <f>'내역서(표준단가)'!M13</f>
        <v>3</v>
      </c>
    </row>
    <row r="11" spans="1:6">
      <c r="A11" s="115" t="str">
        <f>'내역서(표준단가)'!A14</f>
        <v>M020251411670101</v>
      </c>
      <c r="B11" s="116">
        <f>'내역서(표준단가)'!F14</f>
        <v>0</v>
      </c>
      <c r="C11" s="116">
        <f>'내역서(표준단가)'!G14</f>
        <v>0</v>
      </c>
      <c r="D11" s="116" t="str">
        <f>'내역서(표준단가)'!H14</f>
        <v>M020251411670101</v>
      </c>
      <c r="E11" s="116">
        <f>'내역서(표준단가)'!I14</f>
        <v>0</v>
      </c>
      <c r="F11" s="117">
        <f>'내역서(표준단가)'!M14</f>
        <v>2</v>
      </c>
    </row>
    <row r="12" spans="1:6">
      <c r="A12" s="115" t="str">
        <f>'내역서(표준단가)'!A15</f>
        <v>L002</v>
      </c>
      <c r="B12" s="116">
        <f>'내역서(표준단가)'!F15</f>
        <v>0</v>
      </c>
      <c r="C12" s="116">
        <f>'내역서(표준단가)'!G15</f>
        <v>0</v>
      </c>
      <c r="D12" s="116">
        <f>'내역서(표준단가)'!H15</f>
        <v>0</v>
      </c>
      <c r="E12" s="116" t="str">
        <f>'내역서(표준단가)'!I15</f>
        <v>L002</v>
      </c>
      <c r="F12" s="117">
        <f>'내역서(표준단가)'!M15</f>
        <v>1</v>
      </c>
    </row>
    <row r="13" spans="1:6">
      <c r="A13" s="115" t="str">
        <f>'내역서(표준단가)'!A16</f>
        <v>L003</v>
      </c>
      <c r="B13" s="116">
        <f>'내역서(표준단가)'!F16</f>
        <v>0</v>
      </c>
      <c r="C13" s="116">
        <f>'내역서(표준단가)'!G16</f>
        <v>0</v>
      </c>
      <c r="D13" s="116">
        <f>'내역서(표준단가)'!H16</f>
        <v>0</v>
      </c>
      <c r="E13" s="116" t="str">
        <f>'내역서(표준단가)'!I16</f>
        <v>L003</v>
      </c>
      <c r="F13" s="117">
        <f>'내역서(표준단가)'!M16</f>
        <v>1.5</v>
      </c>
    </row>
  </sheetData>
  <phoneticPr fontId="5" type="noConversion"/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5576F-9D74-4D34-9229-D9D7DB37CD10}">
  <sheetPr codeName="Sheet5"/>
  <dimension ref="A1"/>
  <sheetViews>
    <sheetView workbookViewId="0">
      <selection activeCell="B2" sqref="B2"/>
    </sheetView>
  </sheetViews>
  <sheetFormatPr defaultRowHeight="14.25"/>
  <cols>
    <col min="1" max="16384" width="9" style="78"/>
  </cols>
  <sheetData/>
  <phoneticPr fontId="5" type="noConversion"/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갑지</vt:lpstr>
      <vt:lpstr>내역서(표준단가)</vt:lpstr>
      <vt:lpstr>상세내역</vt:lpstr>
      <vt:lpstr>Upload</vt:lpstr>
      <vt:lpstr>도면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2024-12-21T04:56:43Z</cp:lastPrinted>
  <dcterms:created xsi:type="dcterms:W3CDTF">2020-09-15T23:52:51Z</dcterms:created>
  <dcterms:modified xsi:type="dcterms:W3CDTF">2025-09-29T18:44:13Z</dcterms:modified>
</cp:coreProperties>
</file>
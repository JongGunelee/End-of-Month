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2D901658-9578-4591-857B-61B123CB0C10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4" i="3"/>
  <c r="K13" i="3"/>
  <c r="K12" i="3"/>
  <c r="K11" i="3"/>
  <c r="K20" i="3" s="1"/>
  <c r="U7" i="2"/>
  <c r="Q7" i="2"/>
  <c r="V6" i="2"/>
  <c r="U6" i="2"/>
  <c r="S6" i="2"/>
  <c r="Q6" i="2"/>
  <c r="O6" i="2"/>
  <c r="A6" i="2"/>
  <c r="U5" i="2"/>
  <c r="S5" i="2"/>
  <c r="S7" i="2" s="1"/>
  <c r="Q5" i="2"/>
  <c r="O5" i="2"/>
  <c r="O7" i="2" s="1"/>
  <c r="J22" i="4" l="1"/>
  <c r="J28" i="4" s="1"/>
  <c r="J24" i="4"/>
  <c r="J23" i="4"/>
  <c r="J26" i="4"/>
  <c r="J25" i="4"/>
  <c r="J27" i="4" s="1"/>
  <c r="K9" i="3"/>
  <c r="D9" i="3"/>
  <c r="V5" i="2"/>
  <c r="V7" i="2" s="1"/>
  <c r="J20" i="4" l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<sst xmlns="http://schemas.openxmlformats.org/spreadsheetml/2006/main" count="146" uniqueCount="128">
  <si>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t>네번타는보일러-30K</t>
  </si>
  <si>
    <t>GTX-8000</t>
  </si>
  <si>
    <t>상      호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</si>
  <si>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</si>
  <si>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</si>
  <si>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</si>
  <si>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>EI-730ECO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</si>
  <si>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</si>
  <si>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</si>
  <si>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</si>
  <si>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점화트랜스</t>
  </si>
  <si>
    <t>GRV-300(601)</t>
  </si>
  <si>
    <t>보일러,버너,배관자재,에어컨</t>
  </si>
  <si>
    <t>314-19-99933</t>
  </si>
  <si>
    <t xml:space="preserve">  에스앤아이코퍼레이션시스템 귀하</t>
  </si>
  <si>
    <t>거꾸로ECO콘덴싱L20-27H 외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</si>
  <si>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</si>
  <si>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</si>
  <si>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</si>
  <si>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</si>
  <si>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</si>
  <si>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</si>
  <si>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  </t>
  </si>
  <si>
    <t>SET</t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</si>
  <si>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</si>
  <si>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</si>
  <si>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</si>
  <si>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</si>
  <si>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</si>
  <si>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</si>
  <si>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</si>
  <si>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</si>
  <si>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</si>
  <si>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</si>
  <si>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</si>
  <si>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  김 태 용</t>
  </si>
  <si>
    <t>종   목</t>
  </si>
  <si>
    <t>품     명</t>
  </si>
  <si>
    <t>규     격</t>
  </si>
  <si>
    <t>할증기준</t>
  </si>
  <si>
    <t>기 타 사 항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</si>
  <si>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</si>
  <si>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</si>
  <si>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</si>
  <si>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등 록 번 호</t>
  </si>
  <si>
    <t>성   명</t>
  </si>
  <si>
    <t>세    액</t>
  </si>
  <si>
    <t>공 급 가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</si>
  <si>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</si>
  <si>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</si>
  <si>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전 화 번 호</t>
  </si>
  <si>
    <t>열교환기</t>
  </si>
  <si>
    <t>합 계 금 액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</si>
  <si>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</si>
  <si>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비   고</t>
  </si>
  <si>
    <t>가스밸브</t>
  </si>
  <si>
    <t>귀뚜라미산업</t>
  </si>
  <si>
    <t xml:space="preserve">  ※ LG사택 103동 205호</t>
  </si>
  <si>
    <t>103동 205호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</si>
  <si>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</si>
  <si>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</si>
  <si>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</si>
  <si>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</si>
  <si>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</si>
  <si>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</si>
  <si>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</si>
  <si>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</si>
  <si>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</si>
  <si>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</si>
  <si>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</si>
  <si>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</si>
  <si>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</si>
  <si>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</si>
  <si>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</si>
  <si>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</si>
  <si>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</si>
  <si>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</si>
  <si>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</si>
  <si>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</si>
  <si>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</si>
  <si>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</si>
  <si>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</si>
  <si>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</si>
  <si>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</si>
  <si>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</si>
  <si>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</si>
  <si>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</si>
  <si>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</si>
  <si>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</si>
  <si>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</si>
  <si>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</si>
  <si>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</si>
  <si>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</si>
  <si>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</si>
  <si>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</si>
  <si>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</si>
  <si>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</si>
  <si>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</si>
  <si>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</si>
  <si>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</si>
  <si>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</si>
  <si>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</si>
  <si>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</si>
  <si>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</si>
  <si>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</si>
  <si>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</si>
  <si>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</si>
  <si>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</si>
  <si>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</si>
  <si>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</si>
  <si>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</si>
  <si>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</si>
  <si>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</si>
  <si>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</si>
  <si>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</si>
  <si>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</si>
  <si>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</si>
  <si>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</si>
  <si>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</si>
  <si>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</si>
  <si>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</si>
  <si>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</si>
  <si>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</si>
  <si>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</si>
  <si>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</si>
  <si>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</si>
  <si>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103-205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</si>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</sst>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06EDBCCE-800F-4303-8CD5-AF81F3D98C09}"/>
    <cellStyle name="백분율 2 3" xfId="6" xr:uid="{00000000-0005-0000-0000-000006000000}"/>
    <cellStyle name="쉼표 [0] 17" xfId="2" xr:uid="{00000000-0005-0000-0000-000002000000}"/>
    <cellStyle name="쉼표 [0] 17 2" xfId="20" xr:uid="{5C556937-8524-467E-B496-1D1549613F25}"/>
    <cellStyle name="쉼표 [0] 2" xfId="13" xr:uid="{BD1CCD8A-7098-45A3-93C1-63443EB2997F}"/>
    <cellStyle name="쉼표 [0] 2 2 2" xfId="5" xr:uid="{00000000-0005-0000-0000-000005000000}"/>
    <cellStyle name="쉼표 [0] 2 2 29" xfId="14" xr:uid="{9819C7AF-BBFD-46C1-BC34-1EDFD75B3FAA}"/>
    <cellStyle name="쉼표 [0] 2 3" xfId="4" xr:uid="{00000000-0005-0000-0000-000004000000}"/>
    <cellStyle name="쉼표 [0] 2 84" xfId="18" xr:uid="{18FDB439-6F6F-47E1-924D-2DDB295B8168}"/>
    <cellStyle name="쉼표 [0] 5" xfId="16" xr:uid="{C70E81F0-D950-41DB-A552-96428FF08C8F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E90027F5-BAD9-48DA-A2E6-72FECA8346C2}"/>
    <cellStyle name="표준 10 2" xfId="10" xr:uid="{161A6F2A-45A8-4D44-AC47-CB3682E1EBD1}"/>
    <cellStyle name="표준 2" xfId="17" xr:uid="{7A6E874C-9034-48E8-B51A-C4C55CC2755B}"/>
    <cellStyle name="표준 3 2" xfId="3" xr:uid="{00000000-0005-0000-0000-000003000000}"/>
    <cellStyle name="표준 7" xfId="7" xr:uid="{00000000-0005-0000-0000-000007000000}"/>
    <cellStyle name="표준_p1공장 외벽청소(08.03.17)" xfId="11" xr:uid="{E0D08542-A3E6-46F7-9A2D-AB3113092616}"/>
    <cellStyle name="표준_P456 공장 및 복지동 전면 유리창 청소건 라상혁님_1129(최종)" xfId="12" xr:uid="{B2715E95-0AC6-46F0-BB32-4FD3B5FFD257}"/>
    <cellStyle name="표준_S&amp;D_MAIN VALVE_최빈_2" xfId="9" xr:uid="{53A454B3-083F-441F-9366-D0262D56B4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B8E9FC-5542-4AB9-9C4A-92899C710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394E-E488-4B28-AB0B-94EDA1335E0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49</v>
      </c>
      <c r="Q1" s="44" t="s">
        <v>49</v>
      </c>
      <c r="S1" s="44" t="s">
        <v>49</v>
      </c>
      <c r="U1" s="44" t="s">
        <v>49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8</v>
      </c>
      <c r="G3" s="40"/>
      <c r="H3" s="40"/>
      <c r="I3" s="40"/>
      <c r="J3" s="234" t="s">
        <v>53</v>
      </c>
      <c r="K3" s="234"/>
      <c r="L3" s="234" t="s">
        <v>28</v>
      </c>
      <c r="M3" s="234" t="s">
        <v>30</v>
      </c>
      <c r="N3" s="240" t="s">
        <v>19</v>
      </c>
      <c r="O3" s="240"/>
      <c r="P3" s="240" t="s">
        <v>27</v>
      </c>
      <c r="Q3" s="240"/>
      <c r="R3" s="241" t="s">
        <v>48</v>
      </c>
      <c r="S3" s="241"/>
      <c r="T3" s="241" t="s">
        <v>4</v>
      </c>
      <c r="U3" s="241"/>
      <c r="V3" s="242" t="s">
        <v>20</v>
      </c>
      <c r="W3" s="236" t="s">
        <v>43</v>
      </c>
      <c r="X3" s="238" t="s">
        <v>39</v>
      </c>
    </row>
    <row r="4" spans="1:24" ht="19.899999999999999" customHeight="1">
      <c r="A4" s="39" t="s">
        <v>20</v>
      </c>
      <c r="B4" s="38"/>
      <c r="C4" s="38"/>
      <c r="D4" s="38"/>
      <c r="E4" s="38"/>
      <c r="F4" s="37"/>
      <c r="G4" s="37"/>
      <c r="H4" s="37"/>
      <c r="I4" s="37"/>
      <c r="J4" s="36" t="s">
        <v>21</v>
      </c>
      <c r="K4" s="36" t="s">
        <v>34</v>
      </c>
      <c r="L4" s="235"/>
      <c r="M4" s="235"/>
      <c r="N4" s="35" t="s">
        <v>41</v>
      </c>
      <c r="O4" s="34" t="s">
        <v>26</v>
      </c>
      <c r="P4" s="35" t="s">
        <v>31</v>
      </c>
      <c r="Q4" s="34" t="s">
        <v>26</v>
      </c>
      <c r="R4" s="34" t="s">
        <v>31</v>
      </c>
      <c r="S4" s="34" t="s">
        <v>26</v>
      </c>
      <c r="T4" s="34" t="s">
        <v>31</v>
      </c>
      <c r="U4" s="34" t="s">
        <v>26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58</v>
      </c>
      <c r="K5" s="32" t="s">
        <v>15</v>
      </c>
      <c r="L5" s="31" t="s">
        <v>23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3" sqref="O13:Q13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18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14</v>
      </c>
      <c r="B3" s="246"/>
      <c r="C3" s="246"/>
      <c r="D3" s="246"/>
      <c r="E3" s="246"/>
      <c r="F3" s="247" t="s">
        <v>44</v>
      </c>
      <c r="G3" s="248"/>
      <c r="H3" s="247"/>
      <c r="I3" s="249" t="s">
        <v>13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2</v>
      </c>
      <c r="G4" s="250"/>
      <c r="H4" s="247"/>
      <c r="I4" s="249" t="s">
        <v>56</v>
      </c>
      <c r="J4" s="249"/>
      <c r="K4" s="249"/>
      <c r="L4" s="249"/>
      <c r="M4" s="249"/>
      <c r="N4" s="249" t="s">
        <v>45</v>
      </c>
      <c r="O4" s="249"/>
      <c r="P4" s="249"/>
      <c r="Q4" s="251" t="s">
        <v>35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17</v>
      </c>
      <c r="B5" s="252"/>
      <c r="C5" s="252"/>
      <c r="D5" s="252"/>
      <c r="E5" s="252"/>
      <c r="F5" s="247" t="s">
        <v>5</v>
      </c>
      <c r="G5" s="248"/>
      <c r="H5" s="247"/>
      <c r="I5" s="249" t="s">
        <v>7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</v>
      </c>
      <c r="G6" s="250"/>
      <c r="H6" s="247"/>
      <c r="I6" s="249" t="s">
        <v>33</v>
      </c>
      <c r="J6" s="249"/>
      <c r="K6" s="249" t="s">
        <v>36</v>
      </c>
      <c r="L6" s="249"/>
      <c r="M6" s="249"/>
      <c r="N6" s="249" t="s">
        <v>12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16</v>
      </c>
      <c r="B7" s="252"/>
      <c r="C7" s="252"/>
      <c r="D7" s="252"/>
      <c r="E7" s="252"/>
      <c r="F7" s="247" t="s">
        <v>50</v>
      </c>
      <c r="G7" s="250"/>
      <c r="H7" s="247"/>
      <c r="I7" s="249" t="s">
        <v>9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22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52</v>
      </c>
      <c r="B9" s="250"/>
      <c r="C9" s="250"/>
      <c r="D9" s="256" t="str">
        <f>"일금 "&amp;NUMBERSTRING((K20+N20),1)&amp;"원정"</f>
        <v>일금 칠십이만원정</v>
      </c>
      <c r="E9" s="256"/>
      <c r="F9" s="256"/>
      <c r="G9" s="256"/>
      <c r="H9" s="256"/>
      <c r="I9" s="256"/>
      <c r="J9" s="256"/>
      <c r="K9" s="257">
        <f>K20+N20</f>
        <v>720000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32</v>
      </c>
      <c r="B10" s="260" t="s">
        <v>37</v>
      </c>
      <c r="C10" s="261"/>
      <c r="D10" s="262" t="s">
        <v>38</v>
      </c>
      <c r="E10" s="263"/>
      <c r="F10" s="51" t="s">
        <v>25</v>
      </c>
      <c r="G10" s="262" t="s">
        <v>42</v>
      </c>
      <c r="H10" s="264"/>
      <c r="I10" s="264"/>
      <c r="J10" s="263"/>
      <c r="K10" s="262" t="s">
        <v>47</v>
      </c>
      <c r="L10" s="264"/>
      <c r="M10" s="264"/>
      <c r="N10" s="263"/>
      <c r="O10" s="262" t="s">
        <v>46</v>
      </c>
      <c r="P10" s="264"/>
      <c r="Q10" s="263"/>
      <c r="R10" s="51" t="s">
        <v>54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51</v>
      </c>
      <c r="C11" s="266"/>
      <c r="D11" s="267" t="s">
        <v>0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10</v>
      </c>
      <c r="C12" s="266"/>
      <c r="D12" s="267" t="s">
        <v>6</v>
      </c>
      <c r="E12" s="266"/>
      <c r="F12" s="51">
        <v>1</v>
      </c>
      <c r="G12" s="268">
        <v>65000</v>
      </c>
      <c r="H12" s="269"/>
      <c r="I12" s="269"/>
      <c r="J12" s="270"/>
      <c r="K12" s="271">
        <f>F12*G12</f>
        <v>65000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55</v>
      </c>
      <c r="C13" s="266"/>
      <c r="D13" s="267" t="s">
        <v>11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65" t="s">
        <v>29</v>
      </c>
      <c r="C14" s="266"/>
      <c r="D14" s="267" t="s">
        <v>1</v>
      </c>
      <c r="E14" s="266"/>
      <c r="F14" s="51">
        <v>1</v>
      </c>
      <c r="G14" s="268">
        <v>138000</v>
      </c>
      <c r="H14" s="269"/>
      <c r="I14" s="269"/>
      <c r="J14" s="270"/>
      <c r="K14" s="271">
        <f>F14*G14</f>
        <v>138000</v>
      </c>
      <c r="L14" s="272"/>
      <c r="M14" s="272"/>
      <c r="N14" s="273"/>
      <c r="O14" s="274"/>
      <c r="P14" s="275"/>
      <c r="Q14" s="276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7"/>
      <c r="C15" s="278"/>
      <c r="D15" s="279"/>
      <c r="E15" s="278"/>
      <c r="F15" s="51"/>
      <c r="G15" s="274"/>
      <c r="H15" s="275"/>
      <c r="I15" s="275"/>
      <c r="J15" s="276"/>
      <c r="K15" s="280"/>
      <c r="L15" s="281"/>
      <c r="M15" s="281"/>
      <c r="N15" s="282"/>
      <c r="O15" s="274"/>
      <c r="P15" s="275"/>
      <c r="Q15" s="276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7"/>
      <c r="C16" s="278"/>
      <c r="D16" s="279"/>
      <c r="E16" s="278"/>
      <c r="F16" s="51"/>
      <c r="G16" s="274"/>
      <c r="H16" s="275"/>
      <c r="I16" s="275"/>
      <c r="J16" s="276"/>
      <c r="K16" s="280"/>
      <c r="L16" s="281"/>
      <c r="M16" s="281"/>
      <c r="N16" s="282"/>
      <c r="O16" s="274"/>
      <c r="P16" s="275"/>
      <c r="Q16" s="276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7"/>
      <c r="C17" s="278"/>
      <c r="D17" s="279"/>
      <c r="E17" s="278"/>
      <c r="F17" s="51"/>
      <c r="G17" s="274"/>
      <c r="H17" s="275"/>
      <c r="I17" s="275"/>
      <c r="J17" s="276"/>
      <c r="K17" s="280"/>
      <c r="L17" s="281"/>
      <c r="M17" s="281"/>
      <c r="N17" s="282"/>
      <c r="O17" s="274"/>
      <c r="P17" s="275"/>
      <c r="Q17" s="276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7"/>
      <c r="C18" s="278"/>
      <c r="D18" s="279"/>
      <c r="E18" s="278"/>
      <c r="F18" s="51"/>
      <c r="G18" s="274"/>
      <c r="H18" s="275"/>
      <c r="I18" s="275"/>
      <c r="J18" s="276"/>
      <c r="K18" s="280"/>
      <c r="L18" s="281"/>
      <c r="M18" s="281"/>
      <c r="N18" s="282"/>
      <c r="O18" s="274"/>
      <c r="P18" s="275"/>
      <c r="Q18" s="276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7"/>
      <c r="C19" s="278"/>
      <c r="D19" s="279"/>
      <c r="E19" s="278"/>
      <c r="F19" s="51"/>
      <c r="G19" s="274"/>
      <c r="H19" s="275"/>
      <c r="I19" s="275"/>
      <c r="J19" s="276"/>
      <c r="K19" s="280"/>
      <c r="L19" s="281"/>
      <c r="M19" s="281"/>
      <c r="N19" s="282"/>
      <c r="O19" s="274"/>
      <c r="P19" s="275"/>
      <c r="Q19" s="276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24</v>
      </c>
      <c r="B20" s="265"/>
      <c r="C20" s="266"/>
      <c r="D20" s="267"/>
      <c r="E20" s="266"/>
      <c r="F20" s="51"/>
      <c r="G20" s="268">
        <f>SUM(G11:J14)</f>
        <v>720000</v>
      </c>
      <c r="H20" s="269"/>
      <c r="I20" s="269"/>
      <c r="J20" s="270"/>
      <c r="K20" s="271">
        <f>SUM(K11:N14)</f>
        <v>720000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40</v>
      </c>
      <c r="B21" s="284"/>
      <c r="C21" s="285"/>
      <c r="D21" s="286" t="s">
        <v>57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2025-10-01T23:48:09Z</dcterms:modified>
  <cp:version>1300.0100.01</cp:version>
</cp:coreProperties>
</file>
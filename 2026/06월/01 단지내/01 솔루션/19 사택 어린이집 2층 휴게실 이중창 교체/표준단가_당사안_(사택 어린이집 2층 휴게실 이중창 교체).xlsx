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EF971E54-8302-4FD4-AE88-0EC06DCE135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2" r:id="rId3"/>
    <sheet name="Upload(시중가)" sheetId="13" r:id="rId4"/>
    <sheet name="Upload" sheetId="1" r:id="rId5"/>
  </sheets>
  <definedNames>
    <definedName name="_xlnm.Print_Area" localSheetId="3">#REF!</definedName>
    <definedName name="_xlnm.Print_Area" localSheetId="2">#REF!</definedName>
    <definedName name="_xlnm.Print_Area">#REF!</definedName>
    <definedName name="_xlnm.Print_Titles" localSheetId="3">#REF!,#REF!</definedName>
    <definedName name="_xlnm.Print_Titles" localSheetId="2">#REF!,#REF!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A3" i="1"/>
  <c r="Q6" i="4" l="1"/>
  <c r="O6" i="4"/>
  <c r="M6" i="4"/>
  <c r="K6" i="4"/>
  <c r="Q5" i="4"/>
  <c r="O5" i="4"/>
  <c r="M5" i="4"/>
  <c r="K5" i="4"/>
  <c r="A5" i="4"/>
  <c r="R6" i="4" l="1"/>
  <c r="R5" i="4"/>
  <c r="F2" i="1" l="1"/>
  <c r="E2" i="1"/>
  <c r="D2" i="1"/>
  <c r="C2" i="1"/>
  <c r="B2" i="1"/>
  <c r="A2" i="1" l="1"/>
  <c r="K7" i="4" l="1"/>
  <c r="M7" i="4"/>
  <c r="F17" i="5" s="1"/>
  <c r="F21" i="5" l="1"/>
  <c r="F22" i="5"/>
  <c r="R7" i="4"/>
  <c r="Q7" i="4"/>
  <c r="F16" i="5"/>
  <c r="O7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<sst xmlns="http://schemas.openxmlformats.org/spreadsheetml/2006/main" count="130" uniqueCount="107">
  <si>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</si>
  <si>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</si>
  <si>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</si>
  <si>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</si>
  <si>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</si>
  <si>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</si>
  <si>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</si>
  <si>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</si>
  <si>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</si>
  <si>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</si>
  <si>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</si>
  <si>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</si>
  <si>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</si>
  <si>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</si>
  <si>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</si>
  <si>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</si>
  <si>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</si>
  <si>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</si>
  <si>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</si>
  <si>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</si>
  <si>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</si>
  <si>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</si>
  <si>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</si>
  <si>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</si>
  <si>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</si>
  <si>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</si>
  <si>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</si>
  <si>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</si>
  <si>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</si>
  <si>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</si>
  <si>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</si>
  <si>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</si>
  <si>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</si>
  <si>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</si>
  <si>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</si>
  <si>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</si>
  <si>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</si>
  <si>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</si>
  <si>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</si>
  <si>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</si>
  <si>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</si>
  <si>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</si>
  <si>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</si>
  <si>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</si>
  <si>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</si>
  <si>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</si>
  <si>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</si>
  <si>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</si>
  <si>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</si>
  <si>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</si>
  <si>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</si>
  <si>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</si>
  <si>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</si>
  <si>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</si>
  <si>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</si>
  <si>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</si>
  <si>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</si>
  <si>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</si>
  <si>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</si>
  <si>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</si>
  <si>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</si>
  <si>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</si>
  <si>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</si>
  <si>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</si>
  <si>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</si>
  <si>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</si>
  <si>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</si>
  <si>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</si>
  <si>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</si>
  <si>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</si>
  <si>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</si>
  <si>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</si>
  <si>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</si>
  <si>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</si>
  <si>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</si>
  <si>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</si>
  <si>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</si>
  <si>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</si>
  <si>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 노무비*4.75%</t>
    <phoneticPr fontId="14" type="noConversion"/>
  </si>
  <si>
    <t> 노무비*3.595%</t>
    <phoneticPr fontId="14" type="noConversion"/>
  </si>
  <si>
    <t>인</t>
    <phoneticPr fontId="6" type="noConversion"/>
  </si>
  <si>
    <t>전문업체 견적서 참조</t>
    <phoneticPr fontId="6" type="noConversion"/>
  </si>
  <si>
    <t>set</t>
    <phoneticPr fontId="6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</si>
  <si>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</si>
  <si>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</si>
  <si>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</si>
  <si>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</si>
  <si>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</si>
  <si>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</si>
  <si>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</si>
  <si>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</si>
  <si>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</si>
  <si>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</si>
  <si>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</si>
  <si>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</si>
  <si>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</si>
  <si>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</si>
  <si>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</si>
  <si>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</si>
  <si>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6" type="noConversion"/>
  </si>
  <si>
    <t xml:space="preserve"> 견적일 : 2026년  04월  06일</t>
    <phoneticPr fontId="6" type="noConversion"/>
  </si>
  <si>
    <t>어린이집 2층 교사 휴게실 창호 유리교체(재료비 포함)</t>
    <phoneticPr fontId="6" type="noConversion"/>
  </si>
  <si>
    <t>사다리 보조자</t>
    <phoneticPr fontId="6" type="noConversion"/>
  </si>
  <si>
    <t>보통인부</t>
    <phoneticPr fontId="6" type="noConversion"/>
  </si>
  <si>
    <t>L002</t>
    <phoneticPr fontId="6" type="noConversion"/>
  </si>
  <si>
    <t>전문업체 견적서 및 세금계산서 첨부예정</t>
    <phoneticPr fontId="6" type="noConversion"/>
  </si>
  <si>
    <t xml:space="preserve"> 공사명 : 어린이집 2층 교사 휴게실 창문 유리교체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</si>
</sst>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 "/>
    <numFmt numFmtId="184" formatCode="0.000_ "/>
    <numFmt numFmtId="185" formatCode="#,##0;\-#,##0;"/>
    <numFmt numFmtId="186" formatCode="0.000"/>
    <numFmt numFmtId="187" formatCode="_-* #,##0.0_-;\-* #,##0.0_-;_-* &quot;-&quot;_-;_-@_-"/>
    <numFmt numFmtId="188" formatCode="0.0_ 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3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8" fillId="0" borderId="0" xfId="0" applyFont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184" fontId="17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185" fontId="17" fillId="5" borderId="3" xfId="0" applyNumberFormat="1" applyFont="1" applyFill="1" applyBorder="1" applyAlignment="1">
      <alignment horizontal="right" vertical="center" wrapText="1"/>
    </xf>
    <xf numFmtId="185" fontId="17" fillId="6" borderId="3" xfId="1" applyNumberFormat="1" applyFont="1" applyFill="1" applyBorder="1" applyAlignment="1">
      <alignment horizontal="right" vertical="center" wrapText="1"/>
    </xf>
    <xf numFmtId="185" fontId="17" fillId="0" borderId="3" xfId="1" applyNumberFormat="1" applyFont="1" applyFill="1" applyBorder="1" applyAlignment="1">
      <alignment horizontal="right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5" borderId="0" xfId="0" applyFont="1" applyFill="1">
      <alignment vertical="center"/>
    </xf>
    <xf numFmtId="177" fontId="13" fillId="10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15" xfId="8" applyFont="1" applyBorder="1" applyAlignment="1">
      <alignment horizontal="center" vertical="center"/>
    </xf>
    <xf numFmtId="0" fontId="25" fillId="0" borderId="15" xfId="6" applyFont="1" applyBorder="1" applyAlignment="1">
      <alignment vertical="center"/>
    </xf>
    <xf numFmtId="0" fontId="24" fillId="0" borderId="15" xfId="6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horizontal="center" vertical="center"/>
    </xf>
    <xf numFmtId="178" fontId="25" fillId="5" borderId="15" xfId="5" applyFont="1" applyFill="1" applyBorder="1" applyAlignment="1">
      <alignment horizontal="right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186" fontId="17" fillId="0" borderId="3" xfId="1" applyNumberFormat="1" applyFont="1" applyFill="1" applyBorder="1" applyAlignment="1">
      <alignment horizontal="center" vertical="center"/>
    </xf>
    <xf numFmtId="185" fontId="17" fillId="0" borderId="3" xfId="0" applyNumberFormat="1" applyFont="1" applyBorder="1" applyAlignment="1">
      <alignment horizontal="right" vertical="center"/>
    </xf>
    <xf numFmtId="187" fontId="17" fillId="5" borderId="3" xfId="1" applyNumberFormat="1" applyFont="1" applyFill="1" applyBorder="1" applyAlignment="1">
      <alignment horizontal="center" vertical="center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49" fontId="17" fillId="2" borderId="31" xfId="0" applyNumberFormat="1" applyFont="1" applyFill="1" applyBorder="1" applyAlignment="1">
      <alignment horizontal="center" vertical="center" wrapText="1"/>
    </xf>
    <xf numFmtId="49" fontId="17" fillId="2" borderId="32" xfId="0" applyNumberFormat="1" applyFont="1" applyFill="1" applyBorder="1" applyAlignment="1">
      <alignment horizontal="center" vertical="center" wrapText="1"/>
    </xf>
    <xf numFmtId="188" fontId="17" fillId="0" borderId="0" xfId="0" applyNumberFormat="1" applyFont="1">
      <alignment vertical="center"/>
    </xf>
    <xf numFmtId="183" fontId="17" fillId="0" borderId="0" xfId="0" applyNumberFormat="1" applyFont="1">
      <alignment vertical="center"/>
    </xf>
    <xf numFmtId="0" fontId="17" fillId="0" borderId="0" xfId="0" applyFont="1" applyAlignment="1">
      <alignment horizontal="center" vertical="center" wrapText="1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B476147B-5E36-4C13-9919-3A814595066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9E3180-75BC-4D41-AB0A-63548B03BC8E}"/>
            </a:ext>
          </a:extLst>
        </xdr:cNvPr>
        <xdr:cNvSpPr/>
      </xdr:nvSpPr>
      <xdr:spPr>
        <a:xfrm>
          <a:off x="1" y="650422"/>
          <a:ext cx="4232763" cy="55136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N15" sqref="N1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 x14ac:dyDescent="0.2">
      <c r="A3" s="80"/>
      <c r="B3" s="80"/>
      <c r="C3" s="80"/>
      <c r="D3" s="80"/>
      <c r="E3" s="80"/>
      <c r="F3" s="80"/>
      <c r="G3" s="80"/>
      <c r="H3" s="80"/>
    </row>
    <row r="4" spans="1:9" ht="14.25" x14ac:dyDescent="0.2">
      <c r="A4" s="80"/>
      <c r="B4" s="80"/>
      <c r="C4" s="80"/>
      <c r="D4" s="80"/>
      <c r="E4" s="80"/>
      <c r="H4" s="80"/>
    </row>
    <row r="5" spans="1:9" ht="27" customHeight="1" x14ac:dyDescent="0.2">
      <c r="A5" s="81" t="s">
        <v>48</v>
      </c>
      <c r="B5" s="4"/>
      <c r="C5" s="5"/>
      <c r="D5" s="80"/>
      <c r="E5" s="80"/>
      <c r="F5" s="6" t="s">
        <v>38</v>
      </c>
      <c r="G5" s="7" t="s">
        <v>51</v>
      </c>
      <c r="H5" s="80"/>
    </row>
    <row r="6" spans="1:9" ht="27" customHeight="1" x14ac:dyDescent="0.2">
      <c r="A6" s="80"/>
      <c r="B6" s="80"/>
      <c r="C6" s="80"/>
      <c r="D6" s="80"/>
      <c r="E6" s="80"/>
      <c r="F6" s="8" t="s">
        <v>41</v>
      </c>
      <c r="G6" s="9" t="s">
        <v>52</v>
      </c>
      <c r="H6" s="80"/>
    </row>
    <row r="7" spans="1:9" ht="27" customHeight="1" x14ac:dyDescent="0.2">
      <c r="A7" s="128" t="s">
        <v>106</v>
      </c>
      <c r="B7" s="129"/>
      <c r="C7" s="130"/>
      <c r="D7" s="80"/>
      <c r="E7" s="10"/>
      <c r="F7" s="11" t="s">
        <v>42</v>
      </c>
      <c r="G7" s="9" t="s">
        <v>53</v>
      </c>
      <c r="H7" s="80"/>
    </row>
    <row r="8" spans="1:9" ht="27" customHeight="1" x14ac:dyDescent="0.2">
      <c r="A8" s="80"/>
      <c r="B8" s="80"/>
      <c r="C8" s="80"/>
      <c r="D8" s="80"/>
      <c r="E8" s="80"/>
      <c r="F8" s="8" t="s">
        <v>43</v>
      </c>
      <c r="G8" s="9" t="s">
        <v>54</v>
      </c>
      <c r="H8" s="80"/>
    </row>
    <row r="9" spans="1:9" ht="27" customHeight="1" x14ac:dyDescent="0.2">
      <c r="A9" s="81" t="s">
        <v>100</v>
      </c>
      <c r="B9" s="101"/>
      <c r="C9" s="102"/>
      <c r="D9" s="80"/>
      <c r="E9" s="80"/>
      <c r="F9" s="8" t="s">
        <v>44</v>
      </c>
      <c r="G9" s="9" t="s">
        <v>55</v>
      </c>
      <c r="H9" s="80"/>
    </row>
    <row r="10" spans="1:9" ht="27" customHeight="1" x14ac:dyDescent="0.2">
      <c r="A10" s="80"/>
      <c r="B10" s="80"/>
      <c r="C10" s="80"/>
      <c r="D10" s="80"/>
      <c r="E10" s="80"/>
      <c r="F10" s="12" t="s">
        <v>39</v>
      </c>
      <c r="G10" s="13" t="s">
        <v>56</v>
      </c>
      <c r="H10" s="80"/>
      <c r="I10" s="80"/>
    </row>
    <row r="11" spans="1:9" ht="27" customHeight="1" x14ac:dyDescent="0.2">
      <c r="A11" s="126"/>
      <c r="B11" s="127"/>
      <c r="C11" s="127"/>
      <c r="D11" s="80"/>
      <c r="E11" s="14"/>
      <c r="F11" s="15" t="s">
        <v>40</v>
      </c>
      <c r="G11" s="16" t="s">
        <v>57</v>
      </c>
      <c r="H11" s="14"/>
    </row>
    <row r="12" spans="1:9" ht="18.75" thickBot="1" x14ac:dyDescent="0.25">
      <c r="A12" s="17" t="s">
        <v>7</v>
      </c>
      <c r="B12" s="17" t="str">
        <f>NUMBERSTRING(F31,1)</f>
        <v>일백만이천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0"/>
      <c r="B13" s="80"/>
      <c r="C13" s="80"/>
      <c r="D13" s="80"/>
      <c r="E13" s="80"/>
      <c r="F13" s="80"/>
      <c r="G13" s="80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770000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171037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941037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03" t="s">
        <v>23</v>
      </c>
      <c r="C21" s="104" t="s">
        <v>78</v>
      </c>
      <c r="D21" s="105">
        <v>1</v>
      </c>
      <c r="E21" s="105" t="s">
        <v>24</v>
      </c>
      <c r="F21" s="106">
        <f>F17*4.75%</f>
        <v>8124.2574999999997</v>
      </c>
      <c r="G21" s="35" t="s">
        <v>25</v>
      </c>
    </row>
    <row r="22" spans="1:7" ht="33" customHeight="1" x14ac:dyDescent="0.2">
      <c r="A22" s="29"/>
      <c r="B22" s="107" t="s">
        <v>26</v>
      </c>
      <c r="C22" s="104" t="s">
        <v>79</v>
      </c>
      <c r="D22" s="108">
        <v>1</v>
      </c>
      <c r="E22" s="108" t="s">
        <v>24</v>
      </c>
      <c r="F22" s="109">
        <f>F17*3.595%</f>
        <v>6148.7801500000005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796.26702942500015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1727.4737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6088.9171999999999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27572.384100000003</v>
      </c>
      <c r="G26" s="35" t="s">
        <v>25</v>
      </c>
    </row>
    <row r="27" spans="1:7" ht="33" customHeight="1" x14ac:dyDescent="0.2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11074.753983971252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61532.833663396261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1002569.8336633963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1002000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3">
    <mergeCell ref="A2:G2"/>
    <mergeCell ref="A11:C11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7"/>
  <sheetViews>
    <sheetView showGridLines="0" zoomScale="90" zoomScaleNormal="9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20.5" style="100" bestFit="1" customWidth="1"/>
    <col min="2" max="2" width="9" style="90" hidden="1" customWidth="1"/>
    <col min="3" max="5" width="12.625" style="90" hidden="1" customWidth="1"/>
    <col min="6" max="7" width="30.625" style="86" customWidth="1"/>
    <col min="8" max="8" width="12.25" style="90" bestFit="1" customWidth="1"/>
    <col min="9" max="9" width="8.25" style="90" customWidth="1"/>
    <col min="10" max="10" width="10.625" style="90" bestFit="1" customWidth="1"/>
    <col min="11" max="11" width="14" style="90" customWidth="1"/>
    <col min="12" max="12" width="12" style="90" bestFit="1" customWidth="1"/>
    <col min="13" max="13" width="15" style="90" bestFit="1" customWidth="1"/>
    <col min="14" max="14" width="9" style="90" customWidth="1"/>
    <col min="15" max="15" width="8.375" style="90" bestFit="1" customWidth="1"/>
    <col min="16" max="16" width="10.5" style="90" customWidth="1"/>
    <col min="17" max="17" width="8.375" style="90" bestFit="1" customWidth="1"/>
    <col min="18" max="18" width="15.625" style="90" bestFit="1" customWidth="1"/>
    <col min="19" max="19" width="10.625" style="62" bestFit="1" customWidth="1"/>
    <col min="20" max="20" width="8.5" style="90" bestFit="1" customWidth="1"/>
    <col min="21" max="16384" width="9" style="90"/>
  </cols>
  <sheetData>
    <row r="1" spans="1:20" ht="19.899999999999999" customHeight="1" x14ac:dyDescent="0.3">
      <c r="A1" s="131"/>
      <c r="B1" s="131"/>
      <c r="C1" s="131"/>
      <c r="D1" s="131"/>
      <c r="E1" s="131"/>
      <c r="J1" s="62"/>
      <c r="K1" s="89" t="s">
        <v>58</v>
      </c>
      <c r="M1" s="89" t="s">
        <v>58</v>
      </c>
      <c r="O1" s="89" t="s">
        <v>58</v>
      </c>
      <c r="Q1" s="89" t="s">
        <v>58</v>
      </c>
    </row>
    <row r="2" spans="1:20" ht="19.899999999999999" customHeight="1" thickBot="1" x14ac:dyDescent="0.35">
      <c r="A2" s="131"/>
      <c r="B2" s="131"/>
      <c r="C2" s="131"/>
      <c r="D2" s="131"/>
      <c r="E2" s="13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 x14ac:dyDescent="0.3">
      <c r="A3" s="91"/>
      <c r="B3" s="92" t="s">
        <v>59</v>
      </c>
      <c r="C3" s="92"/>
      <c r="D3" s="92"/>
      <c r="E3" s="92"/>
      <c r="F3" s="142" t="s">
        <v>60</v>
      </c>
      <c r="G3" s="142"/>
      <c r="H3" s="140" t="s">
        <v>47</v>
      </c>
      <c r="I3" s="140" t="s">
        <v>5</v>
      </c>
      <c r="J3" s="136" t="s">
        <v>61</v>
      </c>
      <c r="K3" s="136"/>
      <c r="L3" s="136" t="s">
        <v>62</v>
      </c>
      <c r="M3" s="136"/>
      <c r="N3" s="137" t="s">
        <v>63</v>
      </c>
      <c r="O3" s="137"/>
      <c r="P3" s="137" t="s">
        <v>64</v>
      </c>
      <c r="Q3" s="137"/>
      <c r="R3" s="138" t="s">
        <v>65</v>
      </c>
      <c r="S3" s="134" t="s">
        <v>66</v>
      </c>
      <c r="T3" s="132" t="s">
        <v>45</v>
      </c>
    </row>
    <row r="4" spans="1:20" ht="19.899999999999999" customHeight="1" x14ac:dyDescent="0.3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87" t="s">
        <v>72</v>
      </c>
      <c r="G4" s="87" t="s">
        <v>73</v>
      </c>
      <c r="H4" s="141"/>
      <c r="I4" s="141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39"/>
      <c r="S4" s="135"/>
      <c r="T4" s="133"/>
    </row>
    <row r="5" spans="1:20" s="93" customFormat="1" ht="38.1" customHeight="1" x14ac:dyDescent="0.3">
      <c r="A5" s="69" t="str">
        <f t="shared" ref="A5" si="0">B5&amp;C5&amp;D5&amp;E5</f>
        <v>L002</v>
      </c>
      <c r="B5" s="110"/>
      <c r="C5" s="70"/>
      <c r="D5" s="111"/>
      <c r="E5" s="112" t="s">
        <v>104</v>
      </c>
      <c r="F5" s="113" t="s">
        <v>102</v>
      </c>
      <c r="G5" s="85" t="s">
        <v>103</v>
      </c>
      <c r="H5" s="71" t="s">
        <v>80</v>
      </c>
      <c r="I5" s="114">
        <v>1</v>
      </c>
      <c r="J5" s="115"/>
      <c r="K5" s="83">
        <f>I5*J5</f>
        <v>0</v>
      </c>
      <c r="L5" s="82">
        <v>171037</v>
      </c>
      <c r="M5" s="83">
        <f>I5*L5</f>
        <v>171037</v>
      </c>
      <c r="N5" s="84"/>
      <c r="O5" s="83">
        <f t="shared" ref="O5:O6" si="1">N5*I5*$O$2</f>
        <v>0</v>
      </c>
      <c r="P5" s="84"/>
      <c r="Q5" s="83">
        <f t="shared" ref="Q5:Q6" si="2">P5*I5*$Q$2</f>
        <v>0</v>
      </c>
      <c r="R5" s="72">
        <f t="shared" ref="R5:R6" si="3">SUM(K5+M5)+O5+Q5</f>
        <v>171037</v>
      </c>
      <c r="S5" s="116"/>
      <c r="T5" s="73"/>
    </row>
    <row r="6" spans="1:20" s="93" customFormat="1" ht="38.1" customHeight="1" x14ac:dyDescent="0.3">
      <c r="A6" s="69">
        <v>999999</v>
      </c>
      <c r="B6" s="110"/>
      <c r="C6" s="70"/>
      <c r="D6" s="111"/>
      <c r="E6" s="110"/>
      <c r="F6" s="113" t="s">
        <v>101</v>
      </c>
      <c r="G6" s="85" t="s">
        <v>105</v>
      </c>
      <c r="H6" s="71" t="s">
        <v>82</v>
      </c>
      <c r="I6" s="114">
        <v>1</v>
      </c>
      <c r="J6" s="115">
        <v>770000</v>
      </c>
      <c r="K6" s="83">
        <f>I6*J6</f>
        <v>770000</v>
      </c>
      <c r="L6" s="82"/>
      <c r="M6" s="83">
        <f t="shared" ref="M6" si="4">(L6*I6)*$M$2</f>
        <v>0</v>
      </c>
      <c r="N6" s="84"/>
      <c r="O6" s="83">
        <f t="shared" si="1"/>
        <v>0</v>
      </c>
      <c r="P6" s="84"/>
      <c r="Q6" s="83">
        <f t="shared" si="2"/>
        <v>0</v>
      </c>
      <c r="R6" s="72">
        <f t="shared" si="3"/>
        <v>770000</v>
      </c>
      <c r="S6" s="116"/>
      <c r="T6" s="73"/>
    </row>
    <row r="7" spans="1:20" s="99" customFormat="1" ht="38.1" customHeight="1" x14ac:dyDescent="0.3">
      <c r="A7" s="94"/>
      <c r="B7" s="95"/>
      <c r="C7" s="95"/>
      <c r="D7" s="95"/>
      <c r="E7" s="95"/>
      <c r="F7" s="88"/>
      <c r="G7" s="88"/>
      <c r="H7" s="95"/>
      <c r="I7" s="95"/>
      <c r="J7" s="95"/>
      <c r="K7" s="96">
        <f>SUM(K5:K6)</f>
        <v>770000</v>
      </c>
      <c r="L7" s="97"/>
      <c r="M7" s="96">
        <f>SUM(M5:M6)</f>
        <v>171037</v>
      </c>
      <c r="N7" s="97"/>
      <c r="O7" s="96">
        <f>SUM(O5:O6)</f>
        <v>0</v>
      </c>
      <c r="P7" s="97"/>
      <c r="Q7" s="96">
        <f>SUM(Q5:Q6)</f>
        <v>0</v>
      </c>
      <c r="R7" s="98">
        <f>SUM(R5:R6)</f>
        <v>941037</v>
      </c>
      <c r="S7" s="78"/>
      <c r="T7" s="9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A918-0E97-4685-B78F-1E5AAA3C7C30}">
  <sheetPr>
    <pageSetUpPr fitToPage="1"/>
  </sheetPr>
  <dimension ref="G1:P1"/>
  <sheetViews>
    <sheetView topLeftCell="A4" zoomScale="130" zoomScaleNormal="130" zoomScaleSheetLayoutView="85" workbookViewId="0">
      <selection activeCell="G18" sqref="G18"/>
    </sheetView>
  </sheetViews>
  <sheetFormatPr defaultColWidth="9" defaultRowHeight="14.25" x14ac:dyDescent="0.3"/>
  <cols>
    <col min="1" max="1" width="11.5" style="117" bestFit="1" customWidth="1"/>
    <col min="2" max="2" width="17.875" style="117" customWidth="1"/>
    <col min="3" max="3" width="14.625" style="117" customWidth="1"/>
    <col min="4" max="4" width="10.875" style="117" customWidth="1"/>
    <col min="5" max="5" width="12" style="117" customWidth="1"/>
    <col min="6" max="6" width="10.625" style="117" customWidth="1"/>
    <col min="7" max="7" width="13.625" style="118" customWidth="1"/>
    <col min="8" max="8" width="9.625" style="117" customWidth="1"/>
    <col min="9" max="9" width="13.625" style="117" customWidth="1"/>
    <col min="10" max="10" width="12.75" style="117" customWidth="1"/>
    <col min="11" max="11" width="9.25" style="117" customWidth="1"/>
    <col min="12" max="12" width="13.625" style="118" customWidth="1"/>
    <col min="13" max="13" width="9.625" style="117" customWidth="1"/>
    <col min="14" max="14" width="13.625" style="118" customWidth="1"/>
    <col min="15" max="15" width="19.75" style="119" bestFit="1" customWidth="1"/>
    <col min="16" max="16" width="12.25" style="119" bestFit="1" customWidth="1"/>
    <col min="17" max="16384" width="9" style="11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174F-753B-4488-A6B3-0C92BBDEAE99}">
  <sheetPr>
    <pageSetUpPr fitToPage="1"/>
  </sheetPr>
  <dimension ref="A1:R2"/>
  <sheetViews>
    <sheetView workbookViewId="0">
      <selection activeCell="G14" sqref="G14"/>
    </sheetView>
  </sheetViews>
  <sheetFormatPr defaultColWidth="9" defaultRowHeight="14.25" x14ac:dyDescent="0.3"/>
  <cols>
    <col min="1" max="1" width="11.125" style="74" customWidth="1"/>
    <col min="2" max="2" width="13.375" style="74" customWidth="1"/>
    <col min="3" max="3" width="28.625" style="74" customWidth="1"/>
    <col min="4" max="4" width="28.75" style="74" customWidth="1"/>
    <col min="5" max="5" width="5" style="74" customWidth="1"/>
    <col min="6" max="6" width="6.25" style="74" customWidth="1"/>
    <col min="7" max="7" width="10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 x14ac:dyDescent="0.3">
      <c r="A1" s="75" t="s">
        <v>83</v>
      </c>
      <c r="B1" s="120" t="s">
        <v>84</v>
      </c>
      <c r="C1" s="121" t="s">
        <v>85</v>
      </c>
      <c r="D1" s="121" t="s">
        <v>86</v>
      </c>
      <c r="E1" s="121" t="s">
        <v>47</v>
      </c>
      <c r="F1" s="121" t="s">
        <v>5</v>
      </c>
      <c r="G1" s="120" t="s">
        <v>87</v>
      </c>
      <c r="H1" s="120" t="s">
        <v>88</v>
      </c>
      <c r="I1" s="120" t="s">
        <v>89</v>
      </c>
      <c r="J1" s="120" t="s">
        <v>90</v>
      </c>
      <c r="K1" s="120" t="s">
        <v>91</v>
      </c>
      <c r="L1" s="120" t="s">
        <v>92</v>
      </c>
      <c r="M1" s="120" t="s">
        <v>93</v>
      </c>
      <c r="N1" s="120" t="s">
        <v>94</v>
      </c>
      <c r="O1" s="120" t="s">
        <v>95</v>
      </c>
      <c r="P1" s="120" t="s">
        <v>96</v>
      </c>
      <c r="Q1" s="120" t="s">
        <v>97</v>
      </c>
      <c r="R1" s="120" t="s">
        <v>98</v>
      </c>
    </row>
    <row r="2" spans="1:18" ht="25.5" x14ac:dyDescent="0.3">
      <c r="A2" s="62">
        <v>999999</v>
      </c>
      <c r="B2" s="62" t="s">
        <v>99</v>
      </c>
      <c r="C2" s="124" t="s">
        <v>101</v>
      </c>
      <c r="D2" s="62" t="s">
        <v>81</v>
      </c>
      <c r="E2" s="62" t="s">
        <v>82</v>
      </c>
      <c r="F2" s="122">
        <v>1</v>
      </c>
      <c r="G2" s="123">
        <v>770000</v>
      </c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H29" sqref="H29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 x14ac:dyDescent="0.3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 x14ac:dyDescent="0.3">
      <c r="A2" s="76" t="str">
        <f>'내역서(표준단가)'!A5</f>
        <v>L002</v>
      </c>
      <c r="B2" s="77">
        <f>'내역서(표준단가)'!B5</f>
        <v>0</v>
      </c>
      <c r="C2" s="77">
        <f>'내역서(표준단가)'!C5</f>
        <v>0</v>
      </c>
      <c r="D2" s="77">
        <f>'내역서(표준단가)'!D5</f>
        <v>0</v>
      </c>
      <c r="E2" s="77" t="str">
        <f>'내역서(표준단가)'!E5</f>
        <v>L002</v>
      </c>
      <c r="F2" s="79">
        <f>'내역서(표준단가)'!I5</f>
        <v>1</v>
      </c>
    </row>
    <row r="3" spans="1:6" x14ac:dyDescent="0.3">
      <c r="A3" s="76">
        <f>'내역서(표준단가)'!A6</f>
        <v>999999</v>
      </c>
      <c r="B3" s="77">
        <f>'내역서(표준단가)'!B6</f>
        <v>0</v>
      </c>
      <c r="C3" s="77">
        <f>'내역서(표준단가)'!C6</f>
        <v>0</v>
      </c>
      <c r="D3" s="77">
        <f>'내역서(표준단가)'!D6</f>
        <v>0</v>
      </c>
      <c r="E3" s="77">
        <f>'내역서(표준단가)'!E6</f>
        <v>0</v>
      </c>
      <c r="F3" s="79">
        <f>'내역서(표준단가)'!I6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2026-04-22T02:49:51Z</dcterms:modified>
</cp:coreProperties>
</file>
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81AC4D3F-E03F-4A68-972D-C3FE849C1857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Q7" i="2"/>
  <c r="O7" i="2"/>
  <c r="V6" i="2"/>
  <c r="U6" i="2"/>
  <c r="S6" i="2"/>
  <c r="Q6" i="2"/>
  <c r="O6" i="2"/>
  <c r="A6" i="2"/>
  <c r="U5" i="2"/>
  <c r="U7" i="2" s="1"/>
  <c r="S5" i="2"/>
  <c r="V5" i="2" s="1"/>
  <c r="V7" i="2" s="1"/>
  <c r="Q5" i="2"/>
  <c r="O5" i="2"/>
  <c r="J22" i="4" l="1"/>
  <c r="J28" i="4" s="1"/>
  <c r="J24" i="4"/>
  <c r="J23" i="4"/>
  <c r="J26" i="4"/>
  <c r="J25" i="4"/>
  <c r="J27" i="4" s="1"/>
  <c r="K9" i="3"/>
  <c r="D9" i="3"/>
  <c r="S7" i="2"/>
  <c r="J20" i="4" l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<sst xmlns="http://schemas.openxmlformats.org/spreadsheetml/2006/main" count="144" uniqueCount="126">
  <si>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</si>
  <si>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</si>
  <si>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</si>
  <si>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>종   목</t>
  </si>
  <si>
    <t>비   고</t>
  </si>
  <si>
    <t>단    가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</si>
  <si>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</si>
  <si>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▼낙찰율</t>
    </r>
  </si>
  <si>
    <t>공 급 가 액</t>
  </si>
  <si>
    <t>세    액</t>
  </si>
  <si>
    <t>규     격</t>
  </si>
  <si>
    <t>성   명</t>
  </si>
  <si>
    <t>할증기준</t>
  </si>
  <si>
    <t>합 계 금 액</t>
  </si>
  <si>
    <t>열교환기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</si>
  <si>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</si>
  <si>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귀뚜라미산업</t>
  </si>
  <si>
    <t>전 화 번 호</t>
  </si>
  <si>
    <r>
      <rPr>
        <b/>
        <sz val="10"/>
        <color rgb="FF000000"/>
        <rFont val="LG스마트체 Regular"/>
        <family val="3"/>
        <charset val="129"/>
      </rPr>
      <t>주요내역</t>
    </r>
  </si>
  <si>
    <t>등 록 번 호</t>
  </si>
  <si>
    <t>기 타 사 항</t>
  </si>
  <si>
    <t>품     명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</si>
  <si>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</si>
  <si>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</si>
  <si>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상      호</t>
  </si>
  <si>
    <t>주      소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</si>
  <si>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</si>
  <si>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</si>
  <si>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네번타는보일러-30K</t>
  </si>
  <si>
    <t>GTX-8000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</si>
  <si>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</si>
  <si>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</si>
  <si>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</si>
  <si>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보일러,버너,배관자재,에어컨</t>
  </si>
  <si>
    <t>314-19-99933</t>
  </si>
  <si>
    <t xml:space="preserve">  에스앤아이코퍼레이션시스템 귀하</t>
  </si>
  <si>
    <t>거꾸로ECO콘덴싱L20-27H 외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</si>
  <si>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</si>
  <si>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</si>
  <si>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</si>
  <si>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콘트롤</t>
  </si>
  <si>
    <t>번 호</t>
  </si>
  <si>
    <r>
      <rPr>
        <b/>
        <sz val="10"/>
        <color rgb="FF000000"/>
        <rFont val="LG스마트체 Regular"/>
        <family val="3"/>
        <charset val="129"/>
      </rPr>
      <t>규격</t>
    </r>
  </si>
  <si>
    <t>합계</t>
  </si>
  <si>
    <t>SET</t>
  </si>
  <si>
    <r>
      <rPr>
        <b/>
        <sz val="10"/>
        <color rgb="FF000000"/>
        <rFont val="LG스마트체 Regular"/>
        <family val="3"/>
        <charset val="129"/>
      </rPr>
      <t>품목</t>
    </r>
  </si>
  <si>
    <t>수 량</t>
  </si>
  <si>
    <r>
      <rPr>
        <b/>
        <sz val="10"/>
        <color rgb="FF000000"/>
        <rFont val="LG스마트체 Regular"/>
        <family val="3"/>
        <charset val="129"/>
      </rPr>
      <t>합계</t>
    </r>
  </si>
  <si>
    <t>도소매</t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</si>
  <si>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</si>
  <si>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</si>
  <si>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</si>
  <si>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</si>
  <si>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순환펌프</t>
  </si>
  <si>
    <t>KP-111</t>
  </si>
  <si>
    <t xml:space="preserve">  ※ LG사택 101동 302호</t>
  </si>
  <si>
    <t>101동 302호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</si>
  <si>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</si>
  <si>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</si>
  <si>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</si>
  <si>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</si>
  <si>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</si>
  <si>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</si>
  <si>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</si>
  <si>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</si>
  <si>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</si>
  <si>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</si>
  <si>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</si>
  <si>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</si>
  <si>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</si>
  <si>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</si>
  <si>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</si>
  <si>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</si>
  <si>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</si>
  <si>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</si>
  <si>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</si>
  <si>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</si>
  <si>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</si>
  <si>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</si>
  <si>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</si>
  <si>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</si>
  <si>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</si>
  <si>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</si>
  <si>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</si>
  <si>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</si>
  <si>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</si>
  <si>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</si>
  <si>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</si>
  <si>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</si>
  <si>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</si>
  <si>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</si>
  <si>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</si>
  <si>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</si>
  <si>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</si>
  <si>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</si>
  <si>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</si>
  <si>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</si>
  <si>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</si>
  <si>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</si>
  <si>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</si>
  <si>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</si>
  <si>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</si>
  <si>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</si>
  <si>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</si>
  <si>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</si>
  <si>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</si>
  <si>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</si>
  <si>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</si>
  <si>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</si>
  <si>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</si>
  <si>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</si>
  <si>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</si>
  <si>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</si>
  <si>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</si>
  <si>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</si>
  <si>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</si>
  <si>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</si>
  <si>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</si>
  <si>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</si>
  <si>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</si>
  <si>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</si>
  <si>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</si>
  <si>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</si>
  <si>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</si>
  <si>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101-302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</si>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</sst>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9D011ED7-08A2-434F-B5F2-38481E8C885D}"/>
    <cellStyle name="백분율 2 3" xfId="6" xr:uid="{00000000-0005-0000-0000-000006000000}"/>
    <cellStyle name="쉼표 [0] 17" xfId="2" xr:uid="{00000000-0005-0000-0000-000002000000}"/>
    <cellStyle name="쉼표 [0] 17 2" xfId="20" xr:uid="{60E7E654-A552-46C7-89C4-EE301C54B0CB}"/>
    <cellStyle name="쉼표 [0] 2" xfId="13" xr:uid="{85ACE995-7EC9-4A33-A594-8D3D6DE92472}"/>
    <cellStyle name="쉼표 [0] 2 2 2" xfId="5" xr:uid="{00000000-0005-0000-0000-000005000000}"/>
    <cellStyle name="쉼표 [0] 2 2 29" xfId="14" xr:uid="{98AE146D-45EA-48AF-A738-2A78154EA874}"/>
    <cellStyle name="쉼표 [0] 2 3" xfId="4" xr:uid="{00000000-0005-0000-0000-000004000000}"/>
    <cellStyle name="쉼표 [0] 2 84" xfId="18" xr:uid="{88D317FD-A80E-48B0-926B-DBE52CDD3E35}"/>
    <cellStyle name="쉼표 [0] 5" xfId="16" xr:uid="{3C5AB778-D593-4A2A-94EA-5B0851E6E14F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87E2587A-F2E7-4FF2-86F0-9CFEE43176E2}"/>
    <cellStyle name="표준 10 2" xfId="10" xr:uid="{1E5AA368-811A-407A-88DA-4C9D3DF3FC28}"/>
    <cellStyle name="표준 2" xfId="17" xr:uid="{212FBF1B-9986-461B-B992-3C8FD28E4A90}"/>
    <cellStyle name="표준 3 2" xfId="3" xr:uid="{00000000-0005-0000-0000-000003000000}"/>
    <cellStyle name="표준 7" xfId="7" xr:uid="{00000000-0005-0000-0000-000007000000}"/>
    <cellStyle name="표준_p1공장 외벽청소(08.03.17)" xfId="11" xr:uid="{1443652B-57E5-4457-85E9-2146F0EB15BC}"/>
    <cellStyle name="표준_P456 공장 및 복지동 전면 유리창 청소건 라상혁님_1129(최종)" xfId="12" xr:uid="{A67D7A1C-4845-4A8C-A473-D36C41BFC92B}"/>
    <cellStyle name="표준_S&amp;D_MAIN VALVE_최빈_2" xfId="9" xr:uid="{C6F71475-4E13-4AD7-B63B-1BB2E1823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78F65AC-5BB8-4F79-A6ED-6C630B1673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447C-F630-4514-8CBE-F8071A8370E8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7</v>
      </c>
      <c r="Q1" s="44" t="s">
        <v>7</v>
      </c>
      <c r="S1" s="44" t="s">
        <v>7</v>
      </c>
      <c r="U1" s="44" t="s">
        <v>7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1</v>
      </c>
      <c r="G3" s="40"/>
      <c r="H3" s="40"/>
      <c r="I3" s="40"/>
      <c r="J3" s="234" t="s">
        <v>18</v>
      </c>
      <c r="K3" s="234"/>
      <c r="L3" s="234" t="s">
        <v>49</v>
      </c>
      <c r="M3" s="234" t="s">
        <v>51</v>
      </c>
      <c r="N3" s="240" t="s">
        <v>52</v>
      </c>
      <c r="O3" s="240"/>
      <c r="P3" s="240" t="s">
        <v>38</v>
      </c>
      <c r="Q3" s="240"/>
      <c r="R3" s="241" t="s">
        <v>15</v>
      </c>
      <c r="S3" s="241"/>
      <c r="T3" s="241" t="s">
        <v>26</v>
      </c>
      <c r="U3" s="241"/>
      <c r="V3" s="242" t="s">
        <v>47</v>
      </c>
      <c r="W3" s="236" t="s">
        <v>23</v>
      </c>
      <c r="X3" s="238" t="s">
        <v>12</v>
      </c>
    </row>
    <row r="4" spans="1:24" ht="19.899999999999999" customHeight="1">
      <c r="A4" s="39" t="s">
        <v>47</v>
      </c>
      <c r="B4" s="38"/>
      <c r="C4" s="38"/>
      <c r="D4" s="38"/>
      <c r="E4" s="38"/>
      <c r="F4" s="37"/>
      <c r="G4" s="37"/>
      <c r="H4" s="37"/>
      <c r="I4" s="37"/>
      <c r="J4" s="36" t="s">
        <v>45</v>
      </c>
      <c r="K4" s="36" t="s">
        <v>42</v>
      </c>
      <c r="L4" s="235"/>
      <c r="M4" s="235"/>
      <c r="N4" s="35" t="s">
        <v>22</v>
      </c>
      <c r="O4" s="34" t="s">
        <v>39</v>
      </c>
      <c r="P4" s="35" t="s">
        <v>50</v>
      </c>
      <c r="Q4" s="34" t="s">
        <v>39</v>
      </c>
      <c r="R4" s="34" t="s">
        <v>50</v>
      </c>
      <c r="S4" s="34" t="s">
        <v>39</v>
      </c>
      <c r="T4" s="34" t="s">
        <v>50</v>
      </c>
      <c r="U4" s="34" t="s">
        <v>39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56</v>
      </c>
      <c r="K5" s="32" t="s">
        <v>36</v>
      </c>
      <c r="L5" s="31" t="s">
        <v>44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32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35</v>
      </c>
      <c r="B3" s="246"/>
      <c r="C3" s="246"/>
      <c r="D3" s="246"/>
      <c r="E3" s="246"/>
      <c r="F3" s="247" t="s">
        <v>19</v>
      </c>
      <c r="G3" s="248"/>
      <c r="H3" s="247"/>
      <c r="I3" s="249" t="s">
        <v>34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24</v>
      </c>
      <c r="G4" s="250"/>
      <c r="H4" s="247"/>
      <c r="I4" s="249" t="s">
        <v>16</v>
      </c>
      <c r="J4" s="249"/>
      <c r="K4" s="249"/>
      <c r="L4" s="249"/>
      <c r="M4" s="249"/>
      <c r="N4" s="249" t="s">
        <v>11</v>
      </c>
      <c r="O4" s="249"/>
      <c r="P4" s="249"/>
      <c r="Q4" s="251" t="s">
        <v>6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31</v>
      </c>
      <c r="B5" s="252"/>
      <c r="C5" s="252"/>
      <c r="D5" s="252"/>
      <c r="E5" s="252"/>
      <c r="F5" s="247" t="s">
        <v>25</v>
      </c>
      <c r="G5" s="248"/>
      <c r="H5" s="247"/>
      <c r="I5" s="249" t="s">
        <v>0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27</v>
      </c>
      <c r="G6" s="250"/>
      <c r="H6" s="247"/>
      <c r="I6" s="249" t="s">
        <v>48</v>
      </c>
      <c r="J6" s="249"/>
      <c r="K6" s="249" t="s">
        <v>3</v>
      </c>
      <c r="L6" s="249"/>
      <c r="M6" s="249"/>
      <c r="N6" s="249" t="s">
        <v>33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30</v>
      </c>
      <c r="B7" s="252"/>
      <c r="C7" s="252"/>
      <c r="D7" s="252"/>
      <c r="E7" s="252"/>
      <c r="F7" s="247" t="s">
        <v>17</v>
      </c>
      <c r="G7" s="250"/>
      <c r="H7" s="247"/>
      <c r="I7" s="249" t="s">
        <v>2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37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13</v>
      </c>
      <c r="B9" s="250"/>
      <c r="C9" s="250"/>
      <c r="D9" s="256" t="str">
        <f>"일금 "&amp;NUMBERSTRING((K20+N20),1)&amp;"원정"</f>
        <v>일금 육십육만일천원정</v>
      </c>
      <c r="E9" s="256"/>
      <c r="F9" s="256"/>
      <c r="G9" s="256"/>
      <c r="H9" s="256"/>
      <c r="I9" s="256"/>
      <c r="J9" s="256"/>
      <c r="K9" s="257">
        <f>K20+N20</f>
        <v>661000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41</v>
      </c>
      <c r="B10" s="260" t="s">
        <v>21</v>
      </c>
      <c r="C10" s="261"/>
      <c r="D10" s="262" t="s">
        <v>10</v>
      </c>
      <c r="E10" s="263"/>
      <c r="F10" s="51" t="s">
        <v>46</v>
      </c>
      <c r="G10" s="262" t="s">
        <v>5</v>
      </c>
      <c r="H10" s="264"/>
      <c r="I10" s="264"/>
      <c r="J10" s="263"/>
      <c r="K10" s="262" t="s">
        <v>8</v>
      </c>
      <c r="L10" s="264"/>
      <c r="M10" s="264"/>
      <c r="N10" s="263"/>
      <c r="O10" s="262" t="s">
        <v>9</v>
      </c>
      <c r="P10" s="264"/>
      <c r="Q10" s="263"/>
      <c r="R10" s="51" t="s">
        <v>4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14</v>
      </c>
      <c r="C11" s="266"/>
      <c r="D11" s="267" t="s">
        <v>28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40</v>
      </c>
      <c r="C12" s="266"/>
      <c r="D12" s="267" t="s">
        <v>29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53</v>
      </c>
      <c r="C13" s="266"/>
      <c r="D13" s="267" t="s">
        <v>54</v>
      </c>
      <c r="E13" s="266"/>
      <c r="F13" s="51">
        <v>1</v>
      </c>
      <c r="G13" s="268">
        <v>123000</v>
      </c>
      <c r="H13" s="269"/>
      <c r="I13" s="269"/>
      <c r="J13" s="270"/>
      <c r="K13" s="271">
        <f>F13*G13</f>
        <v>123000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43</v>
      </c>
      <c r="B20" s="265"/>
      <c r="C20" s="266"/>
      <c r="D20" s="267"/>
      <c r="E20" s="266"/>
      <c r="F20" s="51"/>
      <c r="G20" s="268">
        <f>SUM(G11:J14)</f>
        <v>661000</v>
      </c>
      <c r="H20" s="269"/>
      <c r="I20" s="269"/>
      <c r="J20" s="270"/>
      <c r="K20" s="271">
        <f>SUM(K11:N14)</f>
        <v>661000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20</v>
      </c>
      <c r="B21" s="284"/>
      <c r="C21" s="285"/>
      <c r="D21" s="286" t="s">
        <v>55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20</cp:revision>
  <dcterms:created xsi:type="dcterms:W3CDTF">2020-09-15T23:52:51Z</dcterms:created>
  <dcterms:modified xsi:type="dcterms:W3CDTF">2025-10-01T23:47:32Z</dcterms:modified>
  <cp:version>1300.0100.01</cp:version>
</cp:coreProperties>
</file>
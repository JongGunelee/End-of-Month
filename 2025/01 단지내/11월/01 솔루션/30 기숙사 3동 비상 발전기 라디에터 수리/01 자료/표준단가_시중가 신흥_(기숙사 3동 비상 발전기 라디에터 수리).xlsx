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FB2A0E65-7A33-41F8-B744-BAE48384B30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10" r:id="rId1"/>
    <sheet name="내역서" sheetId="2" r:id="rId2"/>
    <sheet name="공사원가게산서" sheetId="11" r:id="rId3"/>
    <sheet name="집수정펌프 설치적산" sheetId="14" r:id="rId4"/>
  </sheets>
  <definedNames>
    <definedName name="_xlnm.Print_Area" localSheetId="1">내역서!#REF!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1" l="1"/>
  <c r="G18" i="2"/>
  <c r="G10" i="2"/>
  <c r="I17" i="2"/>
  <c r="I16" i="2"/>
  <c r="I18" i="2"/>
  <c r="G9" i="2"/>
  <c r="D5" i="11"/>
  <c r="D8" i="11"/>
  <c r="D17" i="11"/>
  <c r="D9" i="11"/>
  <c r="D10" i="11"/>
  <c r="D16" i="11"/>
  <c r="D18" i="11"/>
  <c r="D7" i="11"/>
  <c r="D13" i="11"/>
  <c r="D15" i="11"/>
  <c r="D14" i="11"/>
  <c r="D21" i="11"/>
  <c r="D22" i="11"/>
  <c r="D23" i="11"/>
  <c r="D24" i="11"/>
  <c r="D25" i="11"/>
  <c r="D3" i="11"/>
  <c r="J14" i="10"/>
  <c r="J20" i="10"/>
</calcChain>
</file>

<file path=xl/sharedStrings.xml><?xml version="1.0" encoding="utf-8"?>
<sst xmlns="http://schemas.openxmlformats.org/spreadsheetml/2006/main" count="118" uniqueCount="115">
  <si>
    <t>품명</t>
  </si>
  <si>
    <t>규격</t>
  </si>
  <si>
    <t>단위</t>
  </si>
  <si>
    <t>수량</t>
  </si>
  <si>
    <t>공 사 원 가 계 산 서</t>
    <phoneticPr fontId="5" type="noConversion"/>
  </si>
  <si>
    <t>공 사 명 :</t>
    <phoneticPr fontId="5" type="noConversion"/>
  </si>
  <si>
    <t>내역금액 : 이백칠십만이천구백육십팔원 원정</t>
    <phoneticPr fontId="5" type="noConversion"/>
  </si>
  <si>
    <t>비              목</t>
    <phoneticPr fontId="5" type="noConversion"/>
  </si>
  <si>
    <t>금   액</t>
    <phoneticPr fontId="5" type="noConversion"/>
  </si>
  <si>
    <t>구  성  비</t>
    <phoneticPr fontId="5" type="noConversion"/>
  </si>
  <si>
    <t>비   고</t>
    <phoneticPr fontId="5" type="noConversion"/>
  </si>
  <si>
    <t>재
료
비</t>
    <phoneticPr fontId="5" type="noConversion"/>
  </si>
  <si>
    <t>(1)직 접 재 료 비</t>
    <phoneticPr fontId="5" type="noConversion"/>
  </si>
  <si>
    <t xml:space="preserve">   작 업 부 산 물</t>
    <phoneticPr fontId="5" type="noConversion"/>
  </si>
  <si>
    <t>(2)소            계(A)</t>
    <phoneticPr fontId="5" type="noConversion"/>
  </si>
  <si>
    <t>노
무
비</t>
    <phoneticPr fontId="5" type="noConversion"/>
  </si>
  <si>
    <t>(3)직 접 노 무 비</t>
    <phoneticPr fontId="5" type="noConversion"/>
  </si>
  <si>
    <t>(4) 간 접 노 무 비</t>
    <phoneticPr fontId="5" type="noConversion"/>
  </si>
  <si>
    <t>(5)소            계(B)</t>
    <phoneticPr fontId="5" type="noConversion"/>
  </si>
  <si>
    <t>경비</t>
    <phoneticPr fontId="1" type="noConversion"/>
  </si>
  <si>
    <t>운   반   비</t>
    <phoneticPr fontId="5" type="noConversion"/>
  </si>
  <si>
    <t>(6)기계경비</t>
    <phoneticPr fontId="5" type="noConversion"/>
  </si>
  <si>
    <t>(7)산재보험료</t>
    <phoneticPr fontId="5" type="noConversion"/>
  </si>
  <si>
    <t>(8)안전관리비</t>
    <phoneticPr fontId="5" type="noConversion"/>
  </si>
  <si>
    <t>(9)고용보험료</t>
    <phoneticPr fontId="5" type="noConversion"/>
  </si>
  <si>
    <t>(13)소            계(B)</t>
    <phoneticPr fontId="5" type="noConversion"/>
  </si>
  <si>
    <t xml:space="preserve">   (14)     계</t>
    <phoneticPr fontId="5" type="noConversion"/>
  </si>
  <si>
    <t xml:space="preserve">       (15) 일    반  관  리  비(D)</t>
    <phoneticPr fontId="5" type="noConversion"/>
  </si>
  <si>
    <t xml:space="preserve">       (16) 이                   윤</t>
    <phoneticPr fontId="5" type="noConversion"/>
  </si>
  <si>
    <t>見   積   書</t>
  </si>
  <si>
    <t>貴下</t>
  </si>
  <si>
    <r>
      <t xml:space="preserve">     신 흥 산 업 전기</t>
    </r>
    <r>
      <rPr>
        <b/>
        <sz val="16"/>
        <color indexed="8"/>
        <rFont val="새굴림"/>
        <family val="1"/>
        <charset val="129"/>
      </rPr>
      <t xml:space="preserve">
 </t>
    </r>
    <r>
      <rPr>
        <b/>
        <sz val="12"/>
        <color indexed="8"/>
        <rFont val="새굴림"/>
        <family val="1"/>
        <charset val="129"/>
      </rPr>
      <t>&lt;등록번호 306-02-66374&gt;</t>
    </r>
    <r>
      <rPr>
        <b/>
        <sz val="16"/>
        <color indexed="8"/>
        <rFont val="새굴림"/>
        <family val="1"/>
        <charset val="129"/>
      </rPr>
      <t xml:space="preserve"> </t>
    </r>
    <phoneticPr fontId="18" type="noConversion"/>
  </si>
  <si>
    <t>납품일자</t>
  </si>
  <si>
    <t>인도장소</t>
  </si>
  <si>
    <t xml:space="preserve">           代 表       김     성     완</t>
    <phoneticPr fontId="18" type="noConversion"/>
  </si>
  <si>
    <t>(인)</t>
  </si>
  <si>
    <t>유효기간</t>
  </si>
  <si>
    <r>
      <t xml:space="preserve">     본사/공장 : </t>
    </r>
    <r>
      <rPr>
        <b/>
        <sz val="9"/>
        <color indexed="8"/>
        <rFont val="새굴림"/>
        <family val="1"/>
        <charset val="129"/>
      </rPr>
      <t>대전광역시 대덕구 오정동 427-16</t>
    </r>
    <phoneticPr fontId="18" type="noConversion"/>
  </si>
  <si>
    <t>거래조건</t>
  </si>
  <si>
    <t>현금 결제</t>
  </si>
  <si>
    <t xml:space="preserve">     E-Mail : ksw6374@hanmail.net</t>
    <phoneticPr fontId="18" type="noConversion"/>
  </si>
  <si>
    <t>아래와 같이 견적 합니다.</t>
  </si>
  <si>
    <t xml:space="preserve">    담당자: 대표 김 성 완 010-5407-2195</t>
    <phoneticPr fontId="18" type="noConversion"/>
  </si>
  <si>
    <t>품                명</t>
  </si>
  <si>
    <t>규        격</t>
  </si>
  <si>
    <t>수  량</t>
  </si>
  <si>
    <t>단 위</t>
  </si>
  <si>
    <t>단   가</t>
    <phoneticPr fontId="18" type="noConversion"/>
  </si>
  <si>
    <t>금   액</t>
    <phoneticPr fontId="18" type="noConversion"/>
  </si>
  <si>
    <t>비   고</t>
  </si>
  <si>
    <t>합             계</t>
    <phoneticPr fontId="18" type="noConversion"/>
  </si>
  <si>
    <t>식</t>
    <phoneticPr fontId="18" type="noConversion"/>
  </si>
  <si>
    <t>공사금액</t>
    <phoneticPr fontId="1" type="noConversion"/>
  </si>
  <si>
    <t>직노비의*13%</t>
    <phoneticPr fontId="5" type="noConversion"/>
  </si>
  <si>
    <t>(직노비)의*3.8%</t>
    <phoneticPr fontId="5" type="noConversion"/>
  </si>
  <si>
    <t>(재+노)*2.93%</t>
    <phoneticPr fontId="1" type="noConversion"/>
  </si>
  <si>
    <t>노무비*0.87%</t>
    <phoneticPr fontId="1" type="noConversion"/>
  </si>
  <si>
    <t>(재료비+노무비+경비)*5%</t>
    <phoneticPr fontId="5" type="noConversion"/>
  </si>
  <si>
    <t>(노무비+경비+일반관리)*10%</t>
    <phoneticPr fontId="5" type="noConversion"/>
  </si>
  <si>
    <t>부가세 별도임</t>
    <phoneticPr fontId="1" type="noConversion"/>
  </si>
  <si>
    <t xml:space="preserve">        합                 계</t>
    <phoneticPr fontId="5" type="noConversion"/>
  </si>
  <si>
    <t xml:space="preserve">        공    급    가    액</t>
    <phoneticPr fontId="5" type="noConversion"/>
  </si>
  <si>
    <t xml:space="preserve">        부       가        세</t>
    <phoneticPr fontId="5" type="noConversion"/>
  </si>
  <si>
    <t xml:space="preserve">
순
공
사
원
가
</t>
    <phoneticPr fontId="5" type="noConversion"/>
  </si>
  <si>
    <t>내 역 서</t>
    <phoneticPr fontId="5" type="noConversion"/>
  </si>
  <si>
    <t>NO</t>
    <phoneticPr fontId="5" type="noConversion"/>
  </si>
  <si>
    <t>자  재  비</t>
    <phoneticPr fontId="5" type="noConversion"/>
  </si>
  <si>
    <t>인  건  비</t>
    <phoneticPr fontId="5" type="noConversion"/>
  </si>
  <si>
    <t>자재근거</t>
    <phoneticPr fontId="5" type="noConversion"/>
  </si>
  <si>
    <t>노무근거</t>
    <phoneticPr fontId="5" type="noConversion"/>
  </si>
  <si>
    <t>단 가</t>
    <phoneticPr fontId="5" type="noConversion"/>
  </si>
  <si>
    <t>금 액</t>
    <phoneticPr fontId="5" type="noConversion"/>
  </si>
  <si>
    <t>표준품셈</t>
    <phoneticPr fontId="5" type="noConversion"/>
  </si>
  <si>
    <t>공 수</t>
    <phoneticPr fontId="5" type="noConversion"/>
  </si>
  <si>
    <t>*노무비</t>
    <phoneticPr fontId="5" type="noConversion"/>
  </si>
  <si>
    <t xml:space="preserve"> </t>
    <phoneticPr fontId="5" type="noConversion"/>
  </si>
  <si>
    <t>인</t>
    <phoneticPr fontId="5" type="noConversion"/>
  </si>
  <si>
    <t>계</t>
    <phoneticPr fontId="5" type="noConversion"/>
  </si>
  <si>
    <t>*재료비</t>
    <phoneticPr fontId="5" type="noConversion"/>
  </si>
  <si>
    <t>천원미만절삭</t>
    <phoneticPr fontId="1" type="noConversion"/>
  </si>
  <si>
    <t>*</t>
    <phoneticPr fontId="1" type="noConversion"/>
  </si>
  <si>
    <t xml:space="preserve">     T E L. : 042-285-3569  F A X. : 042-285-3519</t>
    <phoneticPr fontId="18" type="noConversion"/>
  </si>
  <si>
    <t>(10)국민건강보험</t>
    <phoneticPr fontId="1" type="noConversion"/>
  </si>
  <si>
    <t>(11)국민연금보험</t>
    <phoneticPr fontId="5" type="noConversion"/>
  </si>
  <si>
    <t>(12)노인장기용양보험</t>
    <phoneticPr fontId="5" type="noConversion"/>
  </si>
  <si>
    <t>건강보험료의*6.55%</t>
    <phoneticPr fontId="1" type="noConversion"/>
  </si>
  <si>
    <t>(직노비)의*1.7%</t>
    <phoneticPr fontId="5" type="noConversion"/>
  </si>
  <si>
    <t>(직노비)의*2.49%</t>
    <phoneticPr fontId="5" type="noConversion"/>
  </si>
  <si>
    <t>기계설비공</t>
    <phoneticPr fontId="5" type="noConversion"/>
  </si>
  <si>
    <t>보통인부</t>
    <phoneticPr fontId="1" type="noConversion"/>
  </si>
  <si>
    <t>인</t>
    <phoneticPr fontId="1" type="noConversion"/>
  </si>
  <si>
    <t>발주일로부터   30  이내</t>
    <phoneticPr fontId="18" type="noConversion"/>
  </si>
  <si>
    <t>발행일로부터 30일</t>
    <phoneticPr fontId="18" type="noConversion"/>
  </si>
  <si>
    <t>]</t>
    <phoneticPr fontId="1" type="noConversion"/>
  </si>
  <si>
    <t>LG사택현장</t>
    <phoneticPr fontId="18" type="noConversion"/>
  </si>
  <si>
    <t>EA</t>
    <phoneticPr fontId="1" type="noConversion"/>
  </si>
  <si>
    <t>25년상반기</t>
    <phoneticPr fontId="1" type="noConversion"/>
  </si>
  <si>
    <t xml:space="preserve"> 발행번호 : SH-2025-09-1 </t>
    <phoneticPr fontId="18" type="noConversion"/>
  </si>
  <si>
    <t>적산765</t>
    <phoneticPr fontId="1" type="noConversion"/>
  </si>
  <si>
    <t xml:space="preserve">발행일 : 2025. 09 .26 . </t>
    <phoneticPr fontId="18" type="noConversion"/>
  </si>
  <si>
    <t>사텍 비상발전기 보수</t>
    <phoneticPr fontId="18" type="noConversion"/>
  </si>
  <si>
    <t>공사명:사텍 비상발전기보수</t>
    <phoneticPr fontId="5" type="noConversion"/>
  </si>
  <si>
    <t>사텍 비상발전기 보수           115KW380V</t>
    <phoneticPr fontId="1" type="noConversion"/>
  </si>
  <si>
    <t xml:space="preserve">라지에터 특수용접    </t>
    <phoneticPr fontId="1" type="noConversion"/>
  </si>
  <si>
    <t>S1146T</t>
    <phoneticPr fontId="1" type="noConversion"/>
  </si>
  <si>
    <t>EA</t>
    <phoneticPr fontId="5" type="noConversion"/>
  </si>
  <si>
    <t>부동액</t>
    <phoneticPr fontId="1" type="noConversion"/>
  </si>
  <si>
    <t>사계절용</t>
    <phoneticPr fontId="1" type="noConversion"/>
  </si>
  <si>
    <t>리터</t>
    <phoneticPr fontId="5" type="noConversion"/>
  </si>
  <si>
    <t>라지에터 분해,설치공임</t>
    <phoneticPr fontId="1" type="noConversion"/>
  </si>
  <si>
    <t>사텍 비상발전기 보수</t>
    <phoneticPr fontId="1" type="noConversion"/>
  </si>
  <si>
    <t>천원미만절삭(절삭금액069원)</t>
    <phoneticPr fontId="1" type="noConversion"/>
  </si>
  <si>
    <t>일금일백일십만일천원정</t>
    <phoneticPr fontId="1" type="noConversion"/>
  </si>
  <si>
    <r>
      <t xml:space="preserve"> : 일금일백일십만일천</t>
    </r>
    <r>
      <rPr>
        <b/>
        <sz val="14"/>
        <color indexed="8"/>
        <rFont val="새굴림"/>
        <family val="1"/>
        <charset val="129"/>
      </rPr>
      <t xml:space="preserve">원정   (￦1,101,000) </t>
    </r>
    <phoneticPr fontId="18" type="noConversion"/>
  </si>
  <si>
    <t xml:space="preserve"> 제목 :LG사택비상발전기보수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</si>
</sst>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??_ ;_ @_ "/>
    <numFmt numFmtId="177" formatCode="0.0000%"/>
    <numFmt numFmtId="178" formatCode="#,##0_ "/>
    <numFmt numFmtId="179" formatCode="#,##0_);[Red]\(#,##0\)"/>
    <numFmt numFmtId="180" formatCode="0.000_ "/>
    <numFmt numFmtId="181" formatCode="#,##0.00_);[Red]\(#,##0.00\)"/>
    <numFmt numFmtId="182" formatCode="#,##0.00_ "/>
    <numFmt numFmtId="183" formatCode="0_);[Red]\(0\)"/>
    <numFmt numFmtId="184" formatCode="0.0_);[Red]\(0.0\)"/>
  </numFmts>
  <fonts count="3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b/>
      <u/>
      <sz val="20"/>
      <name val="굴림체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9"/>
      <name val="굴림"/>
      <family val="3"/>
      <charset val="129"/>
    </font>
    <font>
      <sz val="9"/>
      <name val="굴림체"/>
      <family val="3"/>
      <charset val="129"/>
    </font>
    <font>
      <b/>
      <u/>
      <sz val="24"/>
      <name val="새굴림"/>
      <family val="1"/>
      <charset val="129"/>
    </font>
    <font>
      <sz val="11"/>
      <color indexed="10"/>
      <name val="돋움"/>
      <family val="3"/>
      <charset val="129"/>
    </font>
    <font>
      <b/>
      <sz val="10"/>
      <color indexed="8"/>
      <name val="새굴림"/>
      <family val="1"/>
      <charset val="129"/>
    </font>
    <font>
      <sz val="8"/>
      <name val="맑은 고딕"/>
      <family val="3"/>
      <charset val="129"/>
    </font>
    <font>
      <b/>
      <u/>
      <sz val="12"/>
      <color indexed="8"/>
      <name val="새굴림"/>
      <family val="1"/>
      <charset val="129"/>
    </font>
    <font>
      <b/>
      <sz val="14"/>
      <color indexed="8"/>
      <name val="새굴림"/>
      <family val="1"/>
      <charset val="129"/>
    </font>
    <font>
      <sz val="15"/>
      <color indexed="8"/>
      <name val="새굴림"/>
      <family val="1"/>
      <charset val="129"/>
    </font>
    <font>
      <b/>
      <sz val="24"/>
      <color indexed="8"/>
      <name val="새굴림"/>
      <family val="1"/>
      <charset val="129"/>
    </font>
    <font>
      <b/>
      <sz val="16"/>
      <color indexed="8"/>
      <name val="새굴림"/>
      <family val="1"/>
      <charset val="129"/>
    </font>
    <font>
      <b/>
      <sz val="12"/>
      <color indexed="8"/>
      <name val="새굴림"/>
      <family val="1"/>
      <charset val="129"/>
    </font>
    <font>
      <sz val="10"/>
      <color indexed="8"/>
      <name val="새굴림"/>
      <family val="1"/>
      <charset val="129"/>
    </font>
    <font>
      <b/>
      <sz val="13"/>
      <color indexed="8"/>
      <name val="새굴림"/>
      <family val="1"/>
      <charset val="129"/>
    </font>
    <font>
      <sz val="12"/>
      <color indexed="8"/>
      <name val="새굴림"/>
      <family val="1"/>
      <charset val="129"/>
    </font>
    <font>
      <b/>
      <sz val="9"/>
      <color indexed="8"/>
      <name val="새굴림"/>
      <family val="1"/>
      <charset val="129"/>
    </font>
    <font>
      <b/>
      <sz val="11"/>
      <color indexed="8"/>
      <name val="새굴림"/>
      <family val="1"/>
      <charset val="129"/>
    </font>
    <font>
      <sz val="11"/>
      <color indexed="8"/>
      <name val="새굴림"/>
      <family val="1"/>
      <charset val="129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hadow/>
      <sz val="10"/>
      <color indexed="8"/>
      <name val="새굴림"/>
      <family val="1"/>
      <charset val="129"/>
    </font>
    <font>
      <b/>
      <sz val="11"/>
      <name val="돋움"/>
      <family val="3"/>
      <charset val="129"/>
    </font>
    <font>
      <sz val="8"/>
      <color indexed="8"/>
      <name val="새굴림"/>
      <family val="1"/>
      <charset val="129"/>
    </font>
    <font>
      <sz val="11"/>
      <color indexed="10"/>
      <name val="맑은 고딕"/>
      <family val="3"/>
      <charset val="129"/>
    </font>
    <font>
      <sz val="8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213">
    <xf numFmtId="0" fontId="0" fillId="0" borderId="0" xfId="0">
      <alignment vertical="center"/>
    </xf>
    <xf numFmtId="0" fontId="6" fillId="0" borderId="0" xfId="2" applyFont="1" applyAlignment="1">
      <alignment horizontal="left" vertical="center"/>
    </xf>
    <xf numFmtId="42" fontId="6" fillId="0" borderId="0" xfId="1" applyNumberFormat="1" applyFont="1" applyAlignment="1">
      <alignment vertical="center"/>
    </xf>
    <xf numFmtId="0" fontId="6" fillId="0" borderId="0" xfId="2" applyFont="1" applyAlignment="1">
      <alignment vertical="center"/>
    </xf>
    <xf numFmtId="41" fontId="6" fillId="0" borderId="1" xfId="1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176" fontId="6" fillId="0" borderId="1" xfId="1" applyNumberFormat="1" applyFont="1" applyBorder="1" applyAlignment="1">
      <alignment vertical="center"/>
    </xf>
    <xf numFmtId="41" fontId="6" fillId="0" borderId="3" xfId="1" applyFont="1" applyBorder="1" applyAlignment="1">
      <alignment vertical="center"/>
    </xf>
    <xf numFmtId="177" fontId="6" fillId="0" borderId="3" xfId="1" applyNumberFormat="1" applyFont="1" applyBorder="1" applyAlignment="1">
      <alignment horizontal="center" vertical="center"/>
    </xf>
    <xf numFmtId="0" fontId="6" fillId="0" borderId="5" xfId="2" applyFont="1" applyBorder="1" applyAlignment="1">
      <alignment vertical="center"/>
    </xf>
    <xf numFmtId="41" fontId="6" fillId="0" borderId="3" xfId="1" applyFont="1" applyBorder="1" applyAlignment="1">
      <alignment horizontal="center" vertical="center"/>
    </xf>
    <xf numFmtId="10" fontId="6" fillId="0" borderId="3" xfId="1" applyNumberFormat="1" applyFont="1" applyBorder="1" applyAlignment="1">
      <alignment horizontal="center" vertical="center"/>
    </xf>
    <xf numFmtId="9" fontId="6" fillId="0" borderId="1" xfId="1" applyNumberFormat="1" applyFont="1" applyBorder="1" applyAlignment="1">
      <alignment horizontal="center" vertical="center"/>
    </xf>
    <xf numFmtId="0" fontId="6" fillId="2" borderId="0" xfId="0" applyFont="1" applyFill="1" applyAlignment="1"/>
    <xf numFmtId="0" fontId="6" fillId="2" borderId="9" xfId="0" applyFont="1" applyFill="1" applyBorder="1" applyAlignment="1"/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8" xfId="0" applyFont="1" applyBorder="1">
      <alignment vertical="center"/>
    </xf>
    <xf numFmtId="179" fontId="6" fillId="2" borderId="18" xfId="0" applyNumberFormat="1" applyFont="1" applyFill="1" applyBorder="1">
      <alignment vertical="center"/>
    </xf>
    <xf numFmtId="0" fontId="6" fillId="0" borderId="18" xfId="3" applyFont="1" applyBorder="1" applyAlignment="1">
      <alignment horizontal="center" vertical="center"/>
    </xf>
    <xf numFmtId="1" fontId="6" fillId="0" borderId="18" xfId="3" applyNumberFormat="1" applyFont="1" applyBorder="1" applyAlignment="1">
      <alignment horizontal="center" vertical="center"/>
    </xf>
    <xf numFmtId="179" fontId="6" fillId="2" borderId="19" xfId="0" applyNumberFormat="1" applyFont="1" applyFill="1" applyBorder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11" fillId="3" borderId="18" xfId="0" applyFont="1" applyFill="1" applyBorder="1">
      <alignment vertical="center"/>
    </xf>
    <xf numFmtId="0" fontId="11" fillId="3" borderId="18" xfId="0" applyFont="1" applyFill="1" applyBorder="1" applyAlignment="1">
      <alignment horizontal="center" vertical="center"/>
    </xf>
    <xf numFmtId="179" fontId="6" fillId="3" borderId="18" xfId="0" applyNumberFormat="1" applyFont="1" applyFill="1" applyBorder="1">
      <alignment vertical="center"/>
    </xf>
    <xf numFmtId="179" fontId="9" fillId="3" borderId="18" xfId="0" applyNumberFormat="1" applyFont="1" applyFill="1" applyBorder="1">
      <alignment vertical="center"/>
    </xf>
    <xf numFmtId="0" fontId="12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>
      <alignment vertical="center"/>
    </xf>
    <xf numFmtId="179" fontId="14" fillId="2" borderId="21" xfId="0" applyNumberFormat="1" applyFont="1" applyFill="1" applyBorder="1">
      <alignment vertical="center"/>
    </xf>
    <xf numFmtId="0" fontId="9" fillId="2" borderId="10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8" fontId="6" fillId="0" borderId="1" xfId="1" applyNumberFormat="1" applyFont="1" applyBorder="1" applyAlignment="1">
      <alignment vertical="center"/>
    </xf>
    <xf numFmtId="179" fontId="6" fillId="2" borderId="18" xfId="0" applyNumberFormat="1" applyFont="1" applyFill="1" applyBorder="1" applyAlignment="1">
      <alignment horizontal="center" vertical="center"/>
    </xf>
    <xf numFmtId="179" fontId="6" fillId="2" borderId="19" xfId="0" applyNumberFormat="1" applyFont="1" applyFill="1" applyBorder="1" applyAlignment="1">
      <alignment horizontal="center" vertical="center"/>
    </xf>
    <xf numFmtId="0" fontId="6" fillId="0" borderId="3" xfId="2" applyFont="1" applyBorder="1" applyAlignment="1">
      <alignment vertical="center"/>
    </xf>
    <xf numFmtId="0" fontId="6" fillId="0" borderId="3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21" fillId="0" borderId="39" xfId="4" applyFont="1" applyBorder="1" applyAlignment="1">
      <alignment horizontal="center" vertical="center" wrapText="1"/>
    </xf>
    <xf numFmtId="0" fontId="25" fillId="0" borderId="43" xfId="4" applyFont="1" applyBorder="1" applyAlignment="1">
      <alignment horizontal="center" vertical="center" wrapText="1"/>
    </xf>
    <xf numFmtId="179" fontId="27" fillId="0" borderId="33" xfId="4" applyNumberFormat="1" applyFont="1" applyBorder="1" applyAlignment="1">
      <alignment horizontal="center" vertical="center" wrapText="1"/>
    </xf>
    <xf numFmtId="0" fontId="25" fillId="0" borderId="46" xfId="4" applyFont="1" applyBorder="1" applyAlignment="1">
      <alignment horizontal="center" vertical="center" wrapText="1"/>
    </xf>
    <xf numFmtId="0" fontId="25" fillId="0" borderId="45" xfId="4" applyFont="1" applyBorder="1" applyAlignment="1">
      <alignment horizontal="center" vertical="center" wrapText="1"/>
    </xf>
    <xf numFmtId="0" fontId="29" fillId="2" borderId="57" xfId="4" applyFont="1" applyFill="1" applyBorder="1" applyAlignment="1">
      <alignment horizontal="center" vertical="center" wrapText="1"/>
    </xf>
    <xf numFmtId="0" fontId="30" fillId="2" borderId="61" xfId="4" applyFont="1" applyFill="1" applyBorder="1" applyAlignment="1">
      <alignment horizontal="center" vertical="center" wrapText="1"/>
    </xf>
    <xf numFmtId="178" fontId="30" fillId="2" borderId="61" xfId="4" applyNumberFormat="1" applyFont="1" applyFill="1" applyBorder="1" applyAlignment="1">
      <alignment horizontal="center" vertical="center" wrapText="1"/>
    </xf>
    <xf numFmtId="0" fontId="16" fillId="0" borderId="0" xfId="5" applyFont="1">
      <alignment vertical="center"/>
    </xf>
    <xf numFmtId="0" fontId="32" fillId="2" borderId="63" xfId="6" applyFont="1" applyFill="1" applyBorder="1" applyAlignment="1">
      <alignment horizontal="center" vertical="center"/>
    </xf>
    <xf numFmtId="179" fontId="25" fillId="2" borderId="62" xfId="4" applyNumberFormat="1" applyFont="1" applyFill="1" applyBorder="1" applyAlignment="1">
      <alignment horizontal="right" vertical="center" wrapText="1"/>
    </xf>
    <xf numFmtId="0" fontId="16" fillId="0" borderId="0" xfId="4" applyFont="1" applyAlignment="1">
      <alignment horizontal="center" vertical="center"/>
    </xf>
    <xf numFmtId="182" fontId="25" fillId="2" borderId="70" xfId="4" applyNumberFormat="1" applyFont="1" applyFill="1" applyBorder="1" applyAlignment="1">
      <alignment horizontal="center" vertical="center" wrapText="1"/>
    </xf>
    <xf numFmtId="0" fontId="32" fillId="2" borderId="71" xfId="6" applyFont="1" applyFill="1" applyBorder="1" applyAlignment="1">
      <alignment horizontal="center" vertical="center"/>
    </xf>
    <xf numFmtId="179" fontId="25" fillId="2" borderId="70" xfId="4" applyNumberFormat="1" applyFont="1" applyFill="1" applyBorder="1" applyAlignment="1">
      <alignment horizontal="right" vertical="center" wrapText="1"/>
    </xf>
    <xf numFmtId="0" fontId="32" fillId="2" borderId="1" xfId="6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2" fillId="2" borderId="5" xfId="6" applyFont="1" applyFill="1" applyBorder="1" applyAlignment="1">
      <alignment horizontal="center" vertical="center"/>
    </xf>
    <xf numFmtId="0" fontId="32" fillId="2" borderId="75" xfId="6" applyFont="1" applyFill="1" applyBorder="1" applyAlignment="1">
      <alignment horizontal="center" vertical="center"/>
    </xf>
    <xf numFmtId="179" fontId="17" fillId="2" borderId="70" xfId="4" applyNumberFormat="1" applyFont="1" applyFill="1" applyBorder="1" applyAlignment="1">
      <alignment horizontal="right" vertical="center" wrapText="1"/>
    </xf>
    <xf numFmtId="0" fontId="25" fillId="0" borderId="70" xfId="4" applyFont="1" applyBorder="1" applyAlignment="1">
      <alignment horizontal="center" vertical="center" wrapText="1"/>
    </xf>
    <xf numFmtId="179" fontId="25" fillId="0" borderId="70" xfId="4" applyNumberFormat="1" applyFont="1" applyBorder="1" applyAlignment="1">
      <alignment horizontal="right" vertical="center" wrapText="1"/>
    </xf>
    <xf numFmtId="179" fontId="17" fillId="0" borderId="70" xfId="4" applyNumberFormat="1" applyFont="1" applyBorder="1" applyAlignment="1">
      <alignment horizontal="right" vertical="center" wrapText="1"/>
    </xf>
    <xf numFmtId="0" fontId="25" fillId="0" borderId="77" xfId="4" applyFont="1" applyBorder="1" applyAlignment="1">
      <alignment horizontal="center" vertical="center" wrapText="1"/>
    </xf>
    <xf numFmtId="179" fontId="25" fillId="0" borderId="77" xfId="4" applyNumberFormat="1" applyFont="1" applyBorder="1" applyAlignment="1">
      <alignment horizontal="right" vertical="center" wrapText="1"/>
    </xf>
    <xf numFmtId="179" fontId="17" fillId="0" borderId="77" xfId="4" applyNumberFormat="1" applyFont="1" applyBorder="1" applyAlignment="1">
      <alignment horizontal="right" vertical="center" wrapText="1"/>
    </xf>
    <xf numFmtId="178" fontId="25" fillId="2" borderId="62" xfId="4" applyNumberFormat="1" applyFont="1" applyFill="1" applyBorder="1" applyAlignment="1">
      <alignment horizontal="center" vertical="center" wrapText="1"/>
    </xf>
    <xf numFmtId="0" fontId="6" fillId="0" borderId="0" xfId="0" applyFont="1" applyAlignment="1"/>
    <xf numFmtId="0" fontId="9" fillId="2" borderId="10" xfId="0" applyFont="1" applyFill="1" applyBorder="1">
      <alignment vertical="center"/>
    </xf>
    <xf numFmtId="49" fontId="8" fillId="0" borderId="10" xfId="0" applyNumberFormat="1" applyFont="1" applyBorder="1" applyAlignment="1">
      <alignment horizontal="center" vertical="center"/>
    </xf>
    <xf numFmtId="0" fontId="9" fillId="2" borderId="8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8" fontId="6" fillId="0" borderId="18" xfId="0" applyNumberFormat="1" applyFont="1" applyBorder="1" applyAlignment="1">
      <alignment horizontal="center" vertical="center"/>
    </xf>
    <xf numFmtId="180" fontId="6" fillId="0" borderId="18" xfId="0" applyNumberFormat="1" applyFont="1" applyBorder="1">
      <alignment vertical="center"/>
    </xf>
    <xf numFmtId="181" fontId="6" fillId="2" borderId="18" xfId="0" applyNumberFormat="1" applyFont="1" applyFill="1" applyBorder="1">
      <alignment vertical="center"/>
    </xf>
    <xf numFmtId="3" fontId="6" fillId="0" borderId="18" xfId="0" applyNumberFormat="1" applyFont="1" applyBorder="1">
      <alignment vertical="center"/>
    </xf>
    <xf numFmtId="49" fontId="6" fillId="0" borderId="83" xfId="0" applyNumberFormat="1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79" fontId="6" fillId="2" borderId="84" xfId="0" applyNumberFormat="1" applyFont="1" applyFill="1" applyBorder="1">
      <alignment vertical="center"/>
    </xf>
    <xf numFmtId="0" fontId="6" fillId="2" borderId="82" xfId="0" applyFont="1" applyFill="1" applyBorder="1" applyAlignment="1">
      <alignment horizontal="center" vertical="center"/>
    </xf>
    <xf numFmtId="179" fontId="6" fillId="2" borderId="85" xfId="0" applyNumberFormat="1" applyFont="1" applyFill="1" applyBorder="1">
      <alignment vertical="center"/>
    </xf>
    <xf numFmtId="0" fontId="11" fillId="0" borderId="11" xfId="0" applyFont="1" applyBorder="1">
      <alignment vertical="center"/>
    </xf>
    <xf numFmtId="179" fontId="6" fillId="3" borderId="85" xfId="0" applyNumberFormat="1" applyFont="1" applyFill="1" applyBorder="1">
      <alignment vertical="center"/>
    </xf>
    <xf numFmtId="0" fontId="6" fillId="3" borderId="83" xfId="0" applyFont="1" applyFill="1" applyBorder="1" applyAlignment="1">
      <alignment horizontal="center" vertical="center"/>
    </xf>
    <xf numFmtId="179" fontId="14" fillId="2" borderId="86" xfId="0" applyNumberFormat="1" applyFont="1" applyFill="1" applyBorder="1">
      <alignment vertical="center"/>
    </xf>
    <xf numFmtId="0" fontId="14" fillId="2" borderId="87" xfId="0" applyFont="1" applyFill="1" applyBorder="1" applyAlignment="1">
      <alignment horizontal="center" vertical="center"/>
    </xf>
    <xf numFmtId="0" fontId="37" fillId="2" borderId="82" xfId="0" applyFont="1" applyFill="1" applyBorder="1" applyAlignment="1">
      <alignment horizontal="center" vertical="center"/>
    </xf>
    <xf numFmtId="183" fontId="6" fillId="0" borderId="18" xfId="3" applyNumberFormat="1" applyFont="1" applyBorder="1" applyAlignment="1">
      <alignment horizontal="center" vertical="center"/>
    </xf>
    <xf numFmtId="184" fontId="6" fillId="0" borderId="18" xfId="3" applyNumberFormat="1" applyFont="1" applyBorder="1" applyAlignment="1">
      <alignment horizontal="center" vertical="center"/>
    </xf>
    <xf numFmtId="0" fontId="15" fillId="0" borderId="29" xfId="4" applyFont="1" applyBorder="1" applyAlignment="1">
      <alignment horizontal="center" vertical="center"/>
    </xf>
    <xf numFmtId="0" fontId="15" fillId="0" borderId="30" xfId="4" applyFont="1" applyBorder="1" applyAlignment="1">
      <alignment horizontal="center" vertical="center"/>
    </xf>
    <xf numFmtId="0" fontId="15" fillId="0" borderId="31" xfId="4" applyFont="1" applyBorder="1" applyAlignment="1">
      <alignment horizontal="center" vertical="center"/>
    </xf>
    <xf numFmtId="0" fontId="17" fillId="0" borderId="32" xfId="4" applyFont="1" applyBorder="1" applyAlignment="1">
      <alignment horizontal="left" vertical="center" wrapText="1"/>
    </xf>
    <xf numFmtId="0" fontId="17" fillId="0" borderId="0" xfId="4" applyFont="1" applyAlignment="1">
      <alignment horizontal="left" vertical="center" wrapText="1"/>
    </xf>
    <xf numFmtId="0" fontId="17" fillId="0" borderId="33" xfId="4" applyFont="1" applyBorder="1" applyAlignment="1">
      <alignment horizontal="left" vertical="center" wrapText="1"/>
    </xf>
    <xf numFmtId="0" fontId="17" fillId="0" borderId="32" xfId="4" applyFont="1" applyBorder="1" applyAlignment="1">
      <alignment horizontal="right" vertical="center" wrapText="1"/>
    </xf>
    <xf numFmtId="0" fontId="17" fillId="0" borderId="0" xfId="4" applyFont="1" applyAlignment="1">
      <alignment horizontal="right" vertical="center" wrapText="1"/>
    </xf>
    <xf numFmtId="0" fontId="17" fillId="0" borderId="33" xfId="4" applyFont="1" applyBorder="1" applyAlignment="1">
      <alignment horizontal="right" vertical="center" wrapText="1"/>
    </xf>
    <xf numFmtId="0" fontId="19" fillId="0" borderId="34" xfId="4" applyFont="1" applyBorder="1" applyAlignment="1">
      <alignment horizontal="left" vertical="center" wrapText="1"/>
    </xf>
    <xf numFmtId="0" fontId="19" fillId="0" borderId="35" xfId="4" applyFont="1" applyBorder="1" applyAlignment="1">
      <alignment horizontal="left" vertical="center" wrapText="1"/>
    </xf>
    <xf numFmtId="0" fontId="19" fillId="0" borderId="36" xfId="4" applyFont="1" applyBorder="1" applyAlignment="1">
      <alignment horizontal="left" vertical="center" wrapText="1"/>
    </xf>
    <xf numFmtId="0" fontId="20" fillId="0" borderId="37" xfId="4" applyFont="1" applyBorder="1" applyAlignment="1">
      <alignment horizontal="center" vertical="center" wrapText="1"/>
    </xf>
    <xf numFmtId="0" fontId="20" fillId="0" borderId="38" xfId="4" applyFont="1" applyBorder="1" applyAlignment="1">
      <alignment horizontal="center" vertical="center" wrapText="1"/>
    </xf>
    <xf numFmtId="0" fontId="22" fillId="0" borderId="40" xfId="4" applyFont="1" applyBorder="1" applyAlignment="1">
      <alignment horizontal="center" vertical="center" wrapText="1"/>
    </xf>
    <xf numFmtId="0" fontId="22" fillId="0" borderId="30" xfId="4" applyFont="1" applyBorder="1" applyAlignment="1">
      <alignment horizontal="center" vertical="center" wrapText="1"/>
    </xf>
    <xf numFmtId="0" fontId="22" fillId="0" borderId="31" xfId="4" applyFont="1" applyBorder="1" applyAlignment="1">
      <alignment horizontal="center" vertical="center" wrapText="1"/>
    </xf>
    <xf numFmtId="0" fontId="22" fillId="0" borderId="45" xfId="4" applyFont="1" applyBorder="1" applyAlignment="1">
      <alignment horizontal="center" vertical="center" wrapText="1"/>
    </xf>
    <xf numFmtId="0" fontId="22" fillId="0" borderId="0" xfId="4" applyFont="1" applyAlignment="1">
      <alignment horizontal="center" vertical="center" wrapText="1"/>
    </xf>
    <xf numFmtId="0" fontId="22" fillId="0" borderId="33" xfId="4" applyFont="1" applyBorder="1" applyAlignment="1">
      <alignment horizontal="center" vertical="center" wrapText="1"/>
    </xf>
    <xf numFmtId="0" fontId="25" fillId="0" borderId="41" xfId="4" applyFont="1" applyBorder="1" applyAlignment="1">
      <alignment horizontal="center" vertical="center" wrapText="1"/>
    </xf>
    <xf numFmtId="0" fontId="25" fillId="0" borderId="42" xfId="4" applyFont="1" applyBorder="1" applyAlignment="1">
      <alignment horizontal="center" vertical="center" wrapText="1"/>
    </xf>
    <xf numFmtId="0" fontId="17" fillId="0" borderId="44" xfId="4" applyFont="1" applyBorder="1" applyAlignment="1">
      <alignment horizontal="left" vertical="center" wrapText="1"/>
    </xf>
    <xf numFmtId="0" fontId="17" fillId="0" borderId="42" xfId="4" applyFont="1" applyBorder="1" applyAlignment="1">
      <alignment horizontal="left" vertical="center" wrapText="1"/>
    </xf>
    <xf numFmtId="0" fontId="26" fillId="0" borderId="45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17" fillId="0" borderId="45" xfId="4" applyFont="1" applyBorder="1" applyAlignment="1">
      <alignment horizontal="left" vertical="center" wrapText="1"/>
    </xf>
    <xf numFmtId="0" fontId="25" fillId="0" borderId="47" xfId="4" applyFont="1" applyBorder="1" applyAlignment="1">
      <alignment horizontal="center" vertical="center" wrapText="1"/>
    </xf>
    <xf numFmtId="0" fontId="25" fillId="0" borderId="48" xfId="4" applyFont="1" applyBorder="1" applyAlignment="1">
      <alignment horizontal="center" vertical="center" wrapText="1"/>
    </xf>
    <xf numFmtId="0" fontId="25" fillId="0" borderId="50" xfId="4" applyFont="1" applyBorder="1" applyAlignment="1">
      <alignment horizontal="center" vertical="center" wrapText="1"/>
    </xf>
    <xf numFmtId="0" fontId="25" fillId="0" borderId="51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left" vertical="center" wrapText="1"/>
    </xf>
    <xf numFmtId="0" fontId="17" fillId="0" borderId="48" xfId="4" applyFont="1" applyBorder="1" applyAlignment="1">
      <alignment horizontal="left" vertical="center" wrapText="1"/>
    </xf>
    <xf numFmtId="0" fontId="17" fillId="0" borderId="52" xfId="4" applyFont="1" applyBorder="1" applyAlignment="1">
      <alignment horizontal="left" vertical="center" wrapText="1"/>
    </xf>
    <xf numFmtId="0" fontId="17" fillId="0" borderId="51" xfId="4" applyFont="1" applyBorder="1" applyAlignment="1">
      <alignment horizontal="left" vertical="center" wrapText="1"/>
    </xf>
    <xf numFmtId="0" fontId="24" fillId="0" borderId="53" xfId="4" applyFont="1" applyBorder="1" applyAlignment="1">
      <alignment horizontal="left" vertical="center" wrapText="1"/>
    </xf>
    <xf numFmtId="0" fontId="24" fillId="0" borderId="54" xfId="4" applyFont="1" applyBorder="1" applyAlignment="1">
      <alignment horizontal="left" vertical="center" wrapText="1"/>
    </xf>
    <xf numFmtId="0" fontId="24" fillId="0" borderId="55" xfId="4" applyFont="1" applyBorder="1" applyAlignment="1">
      <alignment horizontal="left" vertical="center" wrapText="1"/>
    </xf>
    <xf numFmtId="0" fontId="24" fillId="0" borderId="56" xfId="4" applyFont="1" applyBorder="1" applyAlignment="1">
      <alignment horizontal="left" vertical="center" wrapText="1"/>
    </xf>
    <xf numFmtId="0" fontId="24" fillId="0" borderId="35" xfId="4" applyFont="1" applyBorder="1" applyAlignment="1">
      <alignment horizontal="left" vertical="center" wrapText="1"/>
    </xf>
    <xf numFmtId="0" fontId="24" fillId="0" borderId="36" xfId="4" applyFont="1" applyBorder="1" applyAlignment="1">
      <alignment horizontal="left" vertical="center" wrapText="1"/>
    </xf>
    <xf numFmtId="0" fontId="23" fillId="2" borderId="58" xfId="4" applyFont="1" applyFill="1" applyBorder="1" applyAlignment="1">
      <alignment horizontal="left" vertical="center" wrapText="1"/>
    </xf>
    <xf numFmtId="0" fontId="23" fillId="2" borderId="59" xfId="4" applyFont="1" applyFill="1" applyBorder="1" applyAlignment="1">
      <alignment horizontal="left" vertical="center" wrapText="1"/>
    </xf>
    <xf numFmtId="0" fontId="30" fillId="2" borderId="29" xfId="4" applyFont="1" applyFill="1" applyBorder="1" applyAlignment="1">
      <alignment horizontal="center" vertical="center" wrapText="1"/>
    </xf>
    <xf numFmtId="0" fontId="3" fillId="0" borderId="30" xfId="5" applyBorder="1">
      <alignment vertical="center"/>
    </xf>
    <xf numFmtId="0" fontId="3" fillId="0" borderId="60" xfId="5" applyBorder="1">
      <alignment vertical="center"/>
    </xf>
    <xf numFmtId="0" fontId="30" fillId="2" borderId="40" xfId="4" applyFont="1" applyFill="1" applyBorder="1" applyAlignment="1">
      <alignment horizontal="center" vertical="center" wrapText="1"/>
    </xf>
    <xf numFmtId="0" fontId="30" fillId="2" borderId="30" xfId="4" applyFont="1" applyFill="1" applyBorder="1" applyAlignment="1">
      <alignment horizontal="center" vertical="center" wrapText="1"/>
    </xf>
    <xf numFmtId="179" fontId="30" fillId="2" borderId="40" xfId="4" applyNumberFormat="1" applyFont="1" applyFill="1" applyBorder="1" applyAlignment="1">
      <alignment horizontal="center" vertical="center" wrapText="1"/>
    </xf>
    <xf numFmtId="179" fontId="30" fillId="2" borderId="31" xfId="4" applyNumberFormat="1" applyFont="1" applyFill="1" applyBorder="1" applyAlignment="1">
      <alignment horizontal="center" vertical="center" wrapText="1"/>
    </xf>
    <xf numFmtId="0" fontId="31" fillId="2" borderId="37" xfId="6" applyFont="1" applyFill="1" applyBorder="1" applyAlignment="1">
      <alignment horizontal="left" vertical="center"/>
    </xf>
    <xf numFmtId="0" fontId="31" fillId="2" borderId="38" xfId="6" applyFont="1" applyFill="1" applyBorder="1" applyAlignment="1">
      <alignment horizontal="left" vertical="center"/>
    </xf>
    <xf numFmtId="0" fontId="31" fillId="2" borderId="39" xfId="6" applyFont="1" applyFill="1" applyBorder="1" applyAlignment="1">
      <alignment horizontal="left" vertical="center"/>
    </xf>
    <xf numFmtId="179" fontId="33" fillId="2" borderId="64" xfId="4" applyNumberFormat="1" applyFont="1" applyFill="1" applyBorder="1" applyAlignment="1">
      <alignment horizontal="center" vertical="center" wrapText="1"/>
    </xf>
    <xf numFmtId="179" fontId="33" fillId="2" borderId="65" xfId="4" applyNumberFormat="1" applyFont="1" applyFill="1" applyBorder="1" applyAlignment="1">
      <alignment horizontal="center" vertical="center" wrapText="1"/>
    </xf>
    <xf numFmtId="0" fontId="31" fillId="2" borderId="66" xfId="6" applyFont="1" applyFill="1" applyBorder="1" applyAlignment="1">
      <alignment vertical="center"/>
    </xf>
    <xf numFmtId="0" fontId="34" fillId="0" borderId="4" xfId="5" applyFont="1" applyBorder="1">
      <alignment vertical="center"/>
    </xf>
    <xf numFmtId="0" fontId="34" fillId="0" borderId="67" xfId="5" applyFont="1" applyBorder="1">
      <alignment vertical="center"/>
    </xf>
    <xf numFmtId="0" fontId="32" fillId="2" borderId="68" xfId="6" applyFont="1" applyFill="1" applyBorder="1" applyAlignment="1">
      <alignment horizontal="center" vertical="center"/>
    </xf>
    <xf numFmtId="0" fontId="32" fillId="2" borderId="69" xfId="6" applyFont="1" applyFill="1" applyBorder="1" applyAlignment="1">
      <alignment horizontal="center" vertical="center"/>
    </xf>
    <xf numFmtId="179" fontId="25" fillId="2" borderId="43" xfId="4" applyNumberFormat="1" applyFont="1" applyFill="1" applyBorder="1" applyAlignment="1">
      <alignment horizontal="center" vertical="center" wrapText="1"/>
    </xf>
    <xf numFmtId="179" fontId="25" fillId="2" borderId="72" xfId="4" applyNumberFormat="1" applyFont="1" applyFill="1" applyBorder="1" applyAlignment="1">
      <alignment horizontal="center" vertical="center" wrapText="1"/>
    </xf>
    <xf numFmtId="49" fontId="32" fillId="2" borderId="66" xfId="6" applyNumberFormat="1" applyFont="1" applyFill="1" applyBorder="1" applyAlignment="1">
      <alignment vertical="center"/>
    </xf>
    <xf numFmtId="49" fontId="3" fillId="0" borderId="4" xfId="5" applyNumberFormat="1" applyBorder="1">
      <alignment vertical="center"/>
    </xf>
    <xf numFmtId="49" fontId="3" fillId="0" borderId="67" xfId="5" applyNumberFormat="1" applyBorder="1">
      <alignment vertical="center"/>
    </xf>
    <xf numFmtId="0" fontId="32" fillId="2" borderId="73" xfId="6" applyFont="1" applyFill="1" applyBorder="1" applyAlignment="1">
      <alignment horizontal="center" vertical="center"/>
    </xf>
    <xf numFmtId="0" fontId="32" fillId="2" borderId="74" xfId="6" applyFont="1" applyFill="1" applyBorder="1" applyAlignment="1">
      <alignment horizontal="center" vertical="center"/>
    </xf>
    <xf numFmtId="179" fontId="35" fillId="2" borderId="43" xfId="4" applyNumberFormat="1" applyFont="1" applyFill="1" applyBorder="1" applyAlignment="1">
      <alignment horizontal="left" vertical="center" wrapText="1"/>
    </xf>
    <xf numFmtId="179" fontId="35" fillId="2" borderId="72" xfId="4" applyNumberFormat="1" applyFont="1" applyFill="1" applyBorder="1" applyAlignment="1">
      <alignment horizontal="left" vertical="center" wrapText="1"/>
    </xf>
    <xf numFmtId="0" fontId="31" fillId="2" borderId="41" xfId="6" applyFont="1" applyFill="1" applyBorder="1" applyAlignment="1">
      <alignment horizontal="left" vertical="center"/>
    </xf>
    <xf numFmtId="0" fontId="31" fillId="2" borderId="44" xfId="6" applyFont="1" applyFill="1" applyBorder="1" applyAlignment="1">
      <alignment horizontal="left" vertical="center"/>
    </xf>
    <xf numFmtId="0" fontId="31" fillId="2" borderId="42" xfId="6" applyFont="1" applyFill="1" applyBorder="1" applyAlignment="1">
      <alignment horizontal="left" vertical="center"/>
    </xf>
    <xf numFmtId="0" fontId="32" fillId="2" borderId="43" xfId="6" applyFont="1" applyFill="1" applyBorder="1" applyAlignment="1">
      <alignment horizontal="center" vertical="center"/>
    </xf>
    <xf numFmtId="0" fontId="32" fillId="2" borderId="42" xfId="6" applyFont="1" applyFill="1" applyBorder="1" applyAlignment="1">
      <alignment horizontal="center" vertical="center"/>
    </xf>
    <xf numFmtId="0" fontId="17" fillId="0" borderId="41" xfId="4" applyFont="1" applyBorder="1" applyAlignment="1">
      <alignment horizontal="center" vertical="center" wrapText="1"/>
    </xf>
    <xf numFmtId="0" fontId="17" fillId="0" borderId="44" xfId="4" applyFont="1" applyBorder="1" applyAlignment="1">
      <alignment horizontal="center" vertical="center" wrapText="1"/>
    </xf>
    <xf numFmtId="0" fontId="17" fillId="0" borderId="42" xfId="4" applyFont="1" applyBorder="1" applyAlignment="1">
      <alignment horizontal="center" vertical="center" wrapText="1"/>
    </xf>
    <xf numFmtId="0" fontId="17" fillId="0" borderId="43" xfId="4" applyFont="1" applyBorder="1" applyAlignment="1">
      <alignment horizontal="center" vertical="center" wrapText="1"/>
    </xf>
    <xf numFmtId="179" fontId="25" fillId="0" borderId="43" xfId="4" applyNumberFormat="1" applyFont="1" applyBorder="1" applyAlignment="1">
      <alignment horizontal="left" vertical="center" wrapText="1"/>
    </xf>
    <xf numFmtId="179" fontId="25" fillId="0" borderId="72" xfId="4" applyNumberFormat="1" applyFont="1" applyBorder="1" applyAlignment="1">
      <alignment horizontal="left" vertical="center" wrapText="1"/>
    </xf>
    <xf numFmtId="0" fontId="25" fillId="0" borderId="43" xfId="4" applyFont="1" applyBorder="1" applyAlignment="1">
      <alignment horizontal="center" vertical="center" wrapText="1"/>
    </xf>
    <xf numFmtId="0" fontId="17" fillId="0" borderId="53" xfId="4" applyFont="1" applyBorder="1" applyAlignment="1">
      <alignment horizontal="center" vertical="center" wrapText="1"/>
    </xf>
    <xf numFmtId="0" fontId="17" fillId="0" borderId="54" xfId="4" applyFont="1" applyBorder="1" applyAlignment="1">
      <alignment horizontal="center" vertical="center" wrapText="1"/>
    </xf>
    <xf numFmtId="0" fontId="17" fillId="0" borderId="55" xfId="4" applyFont="1" applyBorder="1" applyAlignment="1">
      <alignment horizontal="center" vertical="center" wrapText="1"/>
    </xf>
    <xf numFmtId="0" fontId="25" fillId="0" borderId="76" xfId="4" applyFont="1" applyBorder="1" applyAlignment="1">
      <alignment horizontal="center" vertical="center" wrapText="1"/>
    </xf>
    <xf numFmtId="0" fontId="25" fillId="0" borderId="55" xfId="4" applyFont="1" applyBorder="1" applyAlignment="1">
      <alignment horizontal="center" vertical="center" wrapText="1"/>
    </xf>
    <xf numFmtId="179" fontId="32" fillId="0" borderId="76" xfId="4" applyNumberFormat="1" applyFont="1" applyBorder="1" applyAlignment="1">
      <alignment horizontal="center" vertical="center" wrapText="1"/>
    </xf>
    <xf numFmtId="179" fontId="32" fillId="0" borderId="78" xfId="4" applyNumberFormat="1" applyFont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left" vertical="center"/>
    </xf>
    <xf numFmtId="0" fontId="9" fillId="2" borderId="89" xfId="0" applyFont="1" applyFill="1" applyBorder="1" applyAlignment="1">
      <alignment horizontal="left" vertical="center"/>
    </xf>
    <xf numFmtId="0" fontId="8" fillId="2" borderId="9" xfId="0" applyFont="1" applyFill="1" applyBorder="1">
      <alignment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79" xfId="0" applyFont="1" applyFill="1" applyBorder="1" applyAlignment="1">
      <alignment horizontal="center" vertical="center"/>
    </xf>
    <xf numFmtId="0" fontId="9" fillId="2" borderId="80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6" fillId="0" borderId="2" xfId="2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2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</cellXfs>
  <cellStyles count="7">
    <cellStyle name="쉼표 [0]" xfId="1" builtinId="6"/>
    <cellStyle name="표준" xfId="0" builtinId="0"/>
    <cellStyle name="표준 2" xfId="5" xr:uid="{00000000-0005-0000-0000-000002000000}"/>
    <cellStyle name="표준_Sheet1" xfId="6" xr:uid="{00000000-0005-0000-0000-000003000000}"/>
    <cellStyle name="표준_경덕공고-ESCO" xfId="3" xr:uid="{00000000-0005-0000-0000-000004000000}"/>
    <cellStyle name="표준_무동력 와류 혼화장치STS304-수정중(11.6.7)-4대분" xfId="4" xr:uid="{00000000-0005-0000-0000-000005000000}"/>
    <cellStyle name="표준_전자동 전등 및 분전반 교체공사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5</xdr:row>
      <xdr:rowOff>247651</xdr:rowOff>
    </xdr:from>
    <xdr:to>
      <xdr:col>11</xdr:col>
      <xdr:colOff>323850</xdr:colOff>
      <xdr:row>7</xdr:row>
      <xdr:rowOff>123826</xdr:rowOff>
    </xdr:to>
    <xdr:pic>
      <xdr:nvPicPr>
        <xdr:cNvPr id="2" name="_x64072944" descr="EMB0000144c28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05450" y="2009776"/>
          <a:ext cx="561975" cy="5810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529559</xdr:colOff>
      <xdr:row>1</xdr:row>
      <xdr:rowOff>129967</xdr:rowOff>
    </xdr:from>
    <xdr:to>
      <xdr:col>9</xdr:col>
      <xdr:colOff>398005</xdr:colOff>
      <xdr:row>41</xdr:row>
      <xdr:rowOff>206734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0AA950-598E-48F6-BE83-6E6F8F733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9559" y="342448"/>
          <a:ext cx="6067023" cy="8575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A2" workbookViewId="0">
      <selection activeCell="A5" sqref="A5:E5"/>
    </sheetView>
  </sheetViews>
  <sheetFormatPr defaultRowHeight="27.75" customHeight="1" x14ac:dyDescent="0.3"/>
  <cols>
    <col min="2" max="2" width="1.875" customWidth="1"/>
    <col min="3" max="3" width="5" customWidth="1"/>
    <col min="4" max="4" width="2.75" customWidth="1"/>
    <col min="6" max="6" width="8.125" customWidth="1"/>
    <col min="7" max="7" width="5.75" customWidth="1"/>
    <col min="8" max="8" width="5.625" customWidth="1"/>
    <col min="9" max="9" width="6.375" customWidth="1"/>
    <col min="10" max="10" width="11.625" customWidth="1"/>
    <col min="11" max="11" width="9" customWidth="1"/>
    <col min="12" max="12" width="4.75" customWidth="1"/>
  </cols>
  <sheetData>
    <row r="1" spans="1:13" ht="27.75" customHeight="1" thickTop="1" x14ac:dyDescent="0.3">
      <c r="A1" s="95" t="s">
        <v>29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45"/>
    </row>
    <row r="2" spans="1:13" ht="27.75" customHeight="1" x14ac:dyDescent="0.3">
      <c r="A2" s="98" t="s">
        <v>97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45"/>
    </row>
    <row r="3" spans="1:13" ht="27.75" customHeight="1" x14ac:dyDescent="0.3">
      <c r="A3" s="101" t="s">
        <v>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45"/>
    </row>
    <row r="4" spans="1:13" ht="27.75" customHeight="1" thickBot="1" x14ac:dyDescent="0.35">
      <c r="A4" s="104" t="s">
        <v>114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  <c r="M4" s="45"/>
    </row>
    <row r="5" spans="1:13" ht="27.75" customHeight="1" thickTop="1" x14ac:dyDescent="0.3">
      <c r="A5" s="107"/>
      <c r="B5" s="108"/>
      <c r="C5" s="108"/>
      <c r="D5" s="108"/>
      <c r="E5" s="108"/>
      <c r="F5" s="46" t="s">
        <v>30</v>
      </c>
      <c r="G5" s="109" t="s">
        <v>31</v>
      </c>
      <c r="H5" s="110"/>
      <c r="I5" s="110"/>
      <c r="J5" s="110"/>
      <c r="K5" s="110"/>
      <c r="L5" s="111"/>
      <c r="M5" s="45"/>
    </row>
    <row r="6" spans="1:13" ht="27.75" customHeight="1" x14ac:dyDescent="0.3">
      <c r="A6" s="115" t="s">
        <v>32</v>
      </c>
      <c r="B6" s="116"/>
      <c r="C6" s="47"/>
      <c r="D6" s="117" t="s">
        <v>91</v>
      </c>
      <c r="E6" s="117"/>
      <c r="F6" s="118"/>
      <c r="G6" s="112"/>
      <c r="H6" s="113"/>
      <c r="I6" s="113"/>
      <c r="J6" s="113"/>
      <c r="K6" s="113"/>
      <c r="L6" s="114"/>
      <c r="M6" s="45"/>
    </row>
    <row r="7" spans="1:13" ht="27.75" customHeight="1" x14ac:dyDescent="0.3">
      <c r="A7" s="115" t="s">
        <v>33</v>
      </c>
      <c r="B7" s="116"/>
      <c r="C7" s="47"/>
      <c r="D7" s="117" t="s">
        <v>94</v>
      </c>
      <c r="E7" s="117"/>
      <c r="F7" s="118"/>
      <c r="G7" s="119" t="s">
        <v>34</v>
      </c>
      <c r="H7" s="120"/>
      <c r="I7" s="120"/>
      <c r="J7" s="120"/>
      <c r="K7" s="120"/>
      <c r="L7" s="48" t="s">
        <v>35</v>
      </c>
      <c r="M7" s="45"/>
    </row>
    <row r="8" spans="1:13" ht="27.75" customHeight="1" x14ac:dyDescent="0.3">
      <c r="A8" s="115" t="s">
        <v>36</v>
      </c>
      <c r="B8" s="116"/>
      <c r="C8" s="49"/>
      <c r="D8" s="117" t="s">
        <v>92</v>
      </c>
      <c r="E8" s="117"/>
      <c r="F8" s="118"/>
      <c r="G8" s="121" t="s">
        <v>37</v>
      </c>
      <c r="H8" s="99"/>
      <c r="I8" s="99"/>
      <c r="J8" s="99"/>
      <c r="K8" s="99"/>
      <c r="L8" s="100"/>
      <c r="M8" s="45"/>
    </row>
    <row r="9" spans="1:13" ht="27.75" customHeight="1" x14ac:dyDescent="0.3">
      <c r="A9" s="122" t="s">
        <v>38</v>
      </c>
      <c r="B9" s="123"/>
      <c r="C9" s="50"/>
      <c r="D9" s="126" t="s">
        <v>39</v>
      </c>
      <c r="E9" s="126"/>
      <c r="F9" s="127"/>
      <c r="G9" s="121" t="s">
        <v>81</v>
      </c>
      <c r="H9" s="99"/>
      <c r="I9" s="99"/>
      <c r="J9" s="99"/>
      <c r="K9" s="99"/>
      <c r="L9" s="100"/>
      <c r="M9" s="45"/>
    </row>
    <row r="10" spans="1:13" ht="27.75" customHeight="1" x14ac:dyDescent="0.3">
      <c r="A10" s="124"/>
      <c r="B10" s="125"/>
      <c r="C10" s="49"/>
      <c r="D10" s="128"/>
      <c r="E10" s="128"/>
      <c r="F10" s="129"/>
      <c r="G10" s="121" t="s">
        <v>40</v>
      </c>
      <c r="H10" s="99"/>
      <c r="I10" s="99"/>
      <c r="J10" s="99"/>
      <c r="K10" s="99"/>
      <c r="L10" s="100"/>
      <c r="M10" s="45"/>
    </row>
    <row r="11" spans="1:13" ht="27.75" customHeight="1" thickBot="1" x14ac:dyDescent="0.35">
      <c r="A11" s="130" t="s">
        <v>41</v>
      </c>
      <c r="B11" s="131"/>
      <c r="C11" s="131"/>
      <c r="D11" s="131"/>
      <c r="E11" s="131"/>
      <c r="F11" s="132"/>
      <c r="G11" s="133" t="s">
        <v>42</v>
      </c>
      <c r="H11" s="134"/>
      <c r="I11" s="134"/>
      <c r="J11" s="134"/>
      <c r="K11" s="134"/>
      <c r="L11" s="135"/>
      <c r="M11" s="45"/>
    </row>
    <row r="12" spans="1:13" ht="27.75" customHeight="1" thickTop="1" thickBot="1" x14ac:dyDescent="0.35">
      <c r="A12" s="51" t="s">
        <v>52</v>
      </c>
      <c r="B12" s="136" t="s">
        <v>113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7"/>
      <c r="M12" s="45"/>
    </row>
    <row r="13" spans="1:13" ht="27.75" customHeight="1" thickTop="1" thickBot="1" x14ac:dyDescent="0.35">
      <c r="A13" s="138" t="s">
        <v>43</v>
      </c>
      <c r="B13" s="139"/>
      <c r="C13" s="139"/>
      <c r="D13" s="140"/>
      <c r="E13" s="141" t="s">
        <v>44</v>
      </c>
      <c r="F13" s="142"/>
      <c r="G13" s="52" t="s">
        <v>45</v>
      </c>
      <c r="H13" s="52" t="s">
        <v>46</v>
      </c>
      <c r="I13" s="53" t="s">
        <v>47</v>
      </c>
      <c r="J13" s="53" t="s">
        <v>48</v>
      </c>
      <c r="K13" s="143" t="s">
        <v>49</v>
      </c>
      <c r="L13" s="144"/>
      <c r="M13" s="54"/>
    </row>
    <row r="14" spans="1:13" ht="27.75" customHeight="1" thickTop="1" x14ac:dyDescent="0.3">
      <c r="A14" s="145" t="s">
        <v>100</v>
      </c>
      <c r="B14" s="146"/>
      <c r="C14" s="146"/>
      <c r="D14" s="146"/>
      <c r="E14" s="146"/>
      <c r="F14" s="147"/>
      <c r="G14" s="72">
        <v>1</v>
      </c>
      <c r="H14" s="55" t="s">
        <v>51</v>
      </c>
      <c r="I14" s="56"/>
      <c r="J14" s="56">
        <f>공사원가게산서!D27</f>
        <v>1100999.764316095</v>
      </c>
      <c r="K14" s="148"/>
      <c r="L14" s="149"/>
      <c r="M14" s="57"/>
    </row>
    <row r="15" spans="1:13" ht="27.75" customHeight="1" x14ac:dyDescent="0.3">
      <c r="A15" s="150" t="s">
        <v>59</v>
      </c>
      <c r="B15" s="151"/>
      <c r="C15" s="151"/>
      <c r="D15" s="152"/>
      <c r="E15" s="153"/>
      <c r="F15" s="154"/>
      <c r="G15" s="58"/>
      <c r="H15" s="59"/>
      <c r="I15" s="60"/>
      <c r="J15" s="60"/>
      <c r="K15" s="155"/>
      <c r="L15" s="156"/>
      <c r="M15" s="57"/>
    </row>
    <row r="16" spans="1:13" ht="27.75" customHeight="1" x14ac:dyDescent="0.3">
      <c r="A16" s="157"/>
      <c r="B16" s="158"/>
      <c r="C16" s="158"/>
      <c r="D16" s="159"/>
      <c r="E16" s="160"/>
      <c r="F16" s="161"/>
      <c r="G16" s="58"/>
      <c r="H16" s="61"/>
      <c r="I16" s="60"/>
      <c r="J16" s="60"/>
      <c r="K16" s="162"/>
      <c r="L16" s="163"/>
      <c r="M16" s="45"/>
    </row>
    <row r="17" spans="1:13" ht="28.5" customHeight="1" x14ac:dyDescent="0.3">
      <c r="A17" s="164"/>
      <c r="B17" s="165"/>
      <c r="C17" s="165"/>
      <c r="D17" s="166"/>
      <c r="E17" s="167"/>
      <c r="F17" s="168"/>
      <c r="G17" s="63"/>
      <c r="H17" s="64"/>
      <c r="I17" s="60"/>
      <c r="J17" s="65"/>
      <c r="K17" s="162"/>
      <c r="L17" s="163"/>
      <c r="M17" s="45"/>
    </row>
    <row r="18" spans="1:13" ht="27.75" customHeight="1" x14ac:dyDescent="0.3">
      <c r="A18" s="169"/>
      <c r="B18" s="170"/>
      <c r="C18" s="170"/>
      <c r="D18" s="171"/>
      <c r="E18" s="172"/>
      <c r="F18" s="171"/>
      <c r="G18" s="66"/>
      <c r="H18" s="66"/>
      <c r="I18" s="67"/>
      <c r="J18" s="68"/>
      <c r="K18" s="173"/>
      <c r="L18" s="174"/>
      <c r="M18" s="62"/>
    </row>
    <row r="19" spans="1:13" ht="27.75" customHeight="1" x14ac:dyDescent="0.3">
      <c r="A19" s="169"/>
      <c r="B19" s="170"/>
      <c r="C19" s="170"/>
      <c r="D19" s="171"/>
      <c r="E19" s="175"/>
      <c r="F19" s="116"/>
      <c r="G19" s="66"/>
      <c r="H19" s="66"/>
      <c r="I19" s="67"/>
      <c r="J19" s="68"/>
      <c r="K19" s="173"/>
      <c r="L19" s="174"/>
      <c r="M19" s="62"/>
    </row>
    <row r="20" spans="1:13" ht="27.75" customHeight="1" thickBot="1" x14ac:dyDescent="0.35">
      <c r="A20" s="176" t="s">
        <v>50</v>
      </c>
      <c r="B20" s="177"/>
      <c r="C20" s="177"/>
      <c r="D20" s="178"/>
      <c r="E20" s="179"/>
      <c r="F20" s="180"/>
      <c r="G20" s="69"/>
      <c r="H20" s="69"/>
      <c r="I20" s="70"/>
      <c r="J20" s="71">
        <f>SUM(J14:J19)</f>
        <v>1100999.764316095</v>
      </c>
      <c r="K20" s="181" t="s">
        <v>79</v>
      </c>
      <c r="L20" s="182"/>
      <c r="M20" s="62"/>
    </row>
    <row r="21" spans="1:13" ht="27.75" customHeight="1" thickTop="1" x14ac:dyDescent="0.3">
      <c r="M21" s="62"/>
    </row>
    <row r="22" spans="1:13" ht="27.75" customHeight="1" x14ac:dyDescent="0.3">
      <c r="M22" s="62"/>
    </row>
    <row r="23" spans="1:13" ht="27.75" customHeight="1" x14ac:dyDescent="0.3">
      <c r="M23" s="62"/>
    </row>
    <row r="24" spans="1:13" ht="27.75" customHeight="1" x14ac:dyDescent="0.3">
      <c r="M24" s="62"/>
    </row>
    <row r="25" spans="1:13" ht="27.75" customHeight="1" x14ac:dyDescent="0.3">
      <c r="M25" s="62"/>
    </row>
    <row r="26" spans="1:13" ht="27.75" customHeight="1" x14ac:dyDescent="0.3">
      <c r="M26" s="62"/>
    </row>
    <row r="27" spans="1:13" ht="27.75" customHeight="1" x14ac:dyDescent="0.3">
      <c r="M27" s="62"/>
    </row>
    <row r="28" spans="1:13" ht="27.75" customHeight="1" x14ac:dyDescent="0.3">
      <c r="M28" s="62"/>
    </row>
  </sheetData>
  <mergeCells count="44">
    <mergeCell ref="A19:D19"/>
    <mergeCell ref="E19:F19"/>
    <mergeCell ref="K19:L19"/>
    <mergeCell ref="A20:D20"/>
    <mergeCell ref="E20:F20"/>
    <mergeCell ref="K20:L20"/>
    <mergeCell ref="A17:D17"/>
    <mergeCell ref="E17:F17"/>
    <mergeCell ref="K17:L17"/>
    <mergeCell ref="A18:D18"/>
    <mergeCell ref="E18:F18"/>
    <mergeCell ref="K18:L18"/>
    <mergeCell ref="A15:D15"/>
    <mergeCell ref="E15:F15"/>
    <mergeCell ref="K15:L15"/>
    <mergeCell ref="A16:D16"/>
    <mergeCell ref="E16:F16"/>
    <mergeCell ref="K16:L16"/>
    <mergeCell ref="B12:L12"/>
    <mergeCell ref="A13:D13"/>
    <mergeCell ref="E13:F13"/>
    <mergeCell ref="K13:L13"/>
    <mergeCell ref="A14:F14"/>
    <mergeCell ref="K14:L14"/>
    <mergeCell ref="A9:B10"/>
    <mergeCell ref="D9:F10"/>
    <mergeCell ref="G9:L9"/>
    <mergeCell ref="G10:L10"/>
    <mergeCell ref="A11:F11"/>
    <mergeCell ref="G11:L11"/>
    <mergeCell ref="A7:B7"/>
    <mergeCell ref="D7:F7"/>
    <mergeCell ref="G7:K7"/>
    <mergeCell ref="A8:B8"/>
    <mergeCell ref="D8:F8"/>
    <mergeCell ref="G8:L8"/>
    <mergeCell ref="A1:L1"/>
    <mergeCell ref="A2:L2"/>
    <mergeCell ref="A3:L3"/>
    <mergeCell ref="A4:L4"/>
    <mergeCell ref="A5:E5"/>
    <mergeCell ref="G5:L6"/>
    <mergeCell ref="A6:B6"/>
    <mergeCell ref="D6:F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F18" sqref="F18"/>
    </sheetView>
  </sheetViews>
  <sheetFormatPr defaultRowHeight="16.5" x14ac:dyDescent="0.3"/>
  <cols>
    <col min="1" max="1" width="3.25" customWidth="1"/>
    <col min="2" max="2" width="27.375" customWidth="1"/>
    <col min="3" max="3" width="14.5" customWidth="1"/>
    <col min="4" max="5" width="4.5" customWidth="1"/>
    <col min="6" max="6" width="10.375" customWidth="1"/>
    <col min="7" max="7" width="13.75" customWidth="1"/>
    <col min="8" max="8" width="8.25" customWidth="1"/>
    <col min="9" max="9" width="12.875" customWidth="1"/>
    <col min="10" max="10" width="7.375" customWidth="1"/>
    <col min="11" max="11" width="7.875" customWidth="1"/>
  </cols>
  <sheetData>
    <row r="1" spans="1:11" ht="16.5" customHeight="1" x14ac:dyDescent="0.3"/>
    <row r="2" spans="1:11" ht="17.25" customHeight="1" x14ac:dyDescent="0.3">
      <c r="A2" s="186" t="s">
        <v>64</v>
      </c>
      <c r="B2" s="186"/>
      <c r="C2" s="187"/>
      <c r="D2" s="187"/>
      <c r="E2" s="187"/>
      <c r="F2" s="187"/>
      <c r="G2" s="187"/>
      <c r="H2" s="187"/>
      <c r="I2" s="187"/>
      <c r="J2" s="187"/>
      <c r="K2" s="187"/>
    </row>
    <row r="3" spans="1:11" ht="16.5" customHeight="1" x14ac:dyDescent="0.15">
      <c r="A3" s="14"/>
      <c r="B3" s="14"/>
      <c r="C3" s="14"/>
      <c r="D3" s="14"/>
      <c r="E3" s="14"/>
      <c r="F3" s="14"/>
      <c r="G3" s="14"/>
      <c r="H3" s="14"/>
      <c r="I3" s="14"/>
      <c r="J3" s="14"/>
      <c r="K3" s="73"/>
    </row>
    <row r="4" spans="1:11" ht="17.25" customHeight="1" thickBot="1" x14ac:dyDescent="0.2">
      <c r="A4" s="185" t="s">
        <v>101</v>
      </c>
      <c r="B4" s="185"/>
      <c r="C4" s="185"/>
      <c r="D4" s="185"/>
      <c r="E4" s="185"/>
      <c r="F4" s="185"/>
      <c r="G4" s="15"/>
      <c r="H4" s="15"/>
      <c r="I4" s="15"/>
      <c r="J4" s="15"/>
      <c r="K4" s="73"/>
    </row>
    <row r="5" spans="1:11" x14ac:dyDescent="0.3">
      <c r="A5" s="194" t="s">
        <v>65</v>
      </c>
      <c r="B5" s="190" t="s">
        <v>0</v>
      </c>
      <c r="C5" s="190" t="s">
        <v>1</v>
      </c>
      <c r="D5" s="190" t="s">
        <v>2</v>
      </c>
      <c r="E5" s="190" t="s">
        <v>3</v>
      </c>
      <c r="F5" s="192" t="s">
        <v>66</v>
      </c>
      <c r="G5" s="193"/>
      <c r="H5" s="192" t="s">
        <v>67</v>
      </c>
      <c r="I5" s="193"/>
      <c r="J5" s="190" t="s">
        <v>68</v>
      </c>
      <c r="K5" s="188" t="s">
        <v>69</v>
      </c>
    </row>
    <row r="6" spans="1:11" ht="17.25" thickBot="1" x14ac:dyDescent="0.35">
      <c r="A6" s="195"/>
      <c r="B6" s="191"/>
      <c r="C6" s="191"/>
      <c r="D6" s="191"/>
      <c r="E6" s="191"/>
      <c r="F6" s="16" t="s">
        <v>70</v>
      </c>
      <c r="G6" s="17" t="s">
        <v>71</v>
      </c>
      <c r="H6" s="18" t="s">
        <v>72</v>
      </c>
      <c r="I6" s="19" t="s">
        <v>73</v>
      </c>
      <c r="J6" s="191"/>
      <c r="K6" s="189"/>
    </row>
    <row r="7" spans="1:11" ht="17.25" thickBot="1" x14ac:dyDescent="0.35">
      <c r="A7" s="20">
        <v>1</v>
      </c>
      <c r="B7" s="183" t="s">
        <v>102</v>
      </c>
      <c r="C7" s="184"/>
      <c r="D7" s="37" t="s">
        <v>95</v>
      </c>
      <c r="E7" s="37">
        <v>1</v>
      </c>
      <c r="F7" s="37"/>
      <c r="G7" s="74"/>
      <c r="H7" s="37"/>
      <c r="I7" s="37"/>
      <c r="J7" s="75"/>
      <c r="K7" s="76"/>
    </row>
    <row r="8" spans="1:11" x14ac:dyDescent="0.3">
      <c r="A8" s="20"/>
      <c r="B8" s="37" t="s">
        <v>78</v>
      </c>
      <c r="C8" s="37"/>
      <c r="D8" s="37"/>
      <c r="E8" s="37"/>
      <c r="F8" s="37"/>
      <c r="G8" s="37"/>
      <c r="H8" s="37"/>
      <c r="I8" s="37"/>
      <c r="J8" s="75"/>
      <c r="K8" s="76"/>
    </row>
    <row r="9" spans="1:11" x14ac:dyDescent="0.3">
      <c r="A9" s="21" t="s">
        <v>80</v>
      </c>
      <c r="B9" s="22" t="s">
        <v>103</v>
      </c>
      <c r="C9" s="23" t="s">
        <v>104</v>
      </c>
      <c r="D9" s="77" t="s">
        <v>105</v>
      </c>
      <c r="E9" s="77">
        <v>1</v>
      </c>
      <c r="F9" s="78">
        <v>300000</v>
      </c>
      <c r="G9" s="40">
        <f t="shared" ref="G9" si="0">F9*E9</f>
        <v>300000</v>
      </c>
      <c r="H9" s="79"/>
      <c r="I9" s="80"/>
      <c r="J9" s="81"/>
      <c r="K9" s="82"/>
    </row>
    <row r="10" spans="1:11" x14ac:dyDescent="0.3">
      <c r="A10" s="21" t="s">
        <v>80</v>
      </c>
      <c r="B10" s="22" t="s">
        <v>106</v>
      </c>
      <c r="C10" s="23" t="s">
        <v>107</v>
      </c>
      <c r="D10" s="77" t="s">
        <v>108</v>
      </c>
      <c r="E10" s="77">
        <v>3</v>
      </c>
      <c r="F10" s="78">
        <v>5000</v>
      </c>
      <c r="G10" s="40">
        <f>F10*E10</f>
        <v>15000</v>
      </c>
      <c r="H10" s="79"/>
      <c r="I10" s="80"/>
      <c r="J10" s="81"/>
      <c r="K10" s="82"/>
    </row>
    <row r="11" spans="1:11" x14ac:dyDescent="0.3">
      <c r="A11" s="21"/>
      <c r="B11" s="22"/>
      <c r="C11" s="23"/>
      <c r="D11" s="77"/>
      <c r="E11" s="77"/>
      <c r="F11" s="78"/>
      <c r="G11" s="40"/>
      <c r="H11" s="79"/>
      <c r="I11" s="80"/>
      <c r="J11" s="81"/>
      <c r="K11" s="82"/>
    </row>
    <row r="12" spans="1:11" x14ac:dyDescent="0.3">
      <c r="A12" s="21"/>
      <c r="B12" s="22"/>
      <c r="C12" s="23"/>
      <c r="D12" s="77"/>
      <c r="E12" s="77"/>
      <c r="F12" s="78"/>
      <c r="G12" s="40"/>
      <c r="H12" s="79"/>
      <c r="I12" s="80"/>
      <c r="J12" s="81"/>
      <c r="K12" s="82"/>
    </row>
    <row r="13" spans="1:11" x14ac:dyDescent="0.3">
      <c r="A13" s="21"/>
      <c r="B13" s="22"/>
      <c r="C13" s="23"/>
      <c r="D13" s="77"/>
      <c r="E13" s="77"/>
      <c r="F13" s="78"/>
      <c r="G13" s="40"/>
      <c r="H13" s="79"/>
      <c r="I13" s="80"/>
      <c r="J13" s="81"/>
      <c r="K13" s="82"/>
    </row>
    <row r="14" spans="1:11" x14ac:dyDescent="0.3">
      <c r="A14" s="21"/>
      <c r="B14" s="22"/>
      <c r="C14" s="23"/>
      <c r="D14" s="77"/>
      <c r="E14" s="77"/>
      <c r="F14" s="78"/>
      <c r="G14" s="40"/>
      <c r="H14" s="79"/>
      <c r="I14" s="80"/>
      <c r="J14" s="81"/>
      <c r="K14" s="82"/>
    </row>
    <row r="15" spans="1:11" x14ac:dyDescent="0.3">
      <c r="A15" s="21"/>
      <c r="B15" s="83" t="s">
        <v>74</v>
      </c>
      <c r="C15" s="22"/>
      <c r="D15" s="25"/>
      <c r="E15" s="26"/>
      <c r="F15" s="27"/>
      <c r="G15" s="24" t="s">
        <v>75</v>
      </c>
      <c r="H15" s="27"/>
      <c r="I15" s="24"/>
      <c r="J15" s="84"/>
      <c r="K15" s="85"/>
    </row>
    <row r="16" spans="1:11" x14ac:dyDescent="0.3">
      <c r="A16" s="21"/>
      <c r="B16" s="22" t="s">
        <v>109</v>
      </c>
      <c r="C16" s="24" t="s">
        <v>88</v>
      </c>
      <c r="D16" s="25" t="s">
        <v>76</v>
      </c>
      <c r="E16" s="94">
        <v>1.5</v>
      </c>
      <c r="F16" s="27"/>
      <c r="G16" s="24"/>
      <c r="H16" s="41">
        <v>237652</v>
      </c>
      <c r="I16" s="40">
        <f t="shared" ref="I16" si="1">H16*E16</f>
        <v>356478</v>
      </c>
      <c r="J16" s="84" t="s">
        <v>98</v>
      </c>
      <c r="K16" s="92" t="s">
        <v>96</v>
      </c>
    </row>
    <row r="17" spans="1:11" x14ac:dyDescent="0.3">
      <c r="A17" s="21"/>
      <c r="B17" s="87"/>
      <c r="C17" s="24" t="s">
        <v>89</v>
      </c>
      <c r="D17" s="25" t="s">
        <v>90</v>
      </c>
      <c r="E17" s="93">
        <v>1</v>
      </c>
      <c r="F17" s="24"/>
      <c r="G17" s="24"/>
      <c r="H17" s="41">
        <v>169804</v>
      </c>
      <c r="I17" s="40">
        <f>H17*E17</f>
        <v>169804</v>
      </c>
      <c r="J17" s="86" t="s">
        <v>98</v>
      </c>
      <c r="K17" s="92" t="s">
        <v>96</v>
      </c>
    </row>
    <row r="18" spans="1:11" x14ac:dyDescent="0.3">
      <c r="A18" s="38"/>
      <c r="B18" s="28" t="s">
        <v>77</v>
      </c>
      <c r="C18" s="29"/>
      <c r="D18" s="30"/>
      <c r="E18" s="30"/>
      <c r="F18" s="31"/>
      <c r="G18" s="32">
        <f>G10+G9</f>
        <v>315000</v>
      </c>
      <c r="H18" s="31"/>
      <c r="I18" s="32">
        <f>I17+I16</f>
        <v>526282</v>
      </c>
      <c r="J18" s="88"/>
      <c r="K18" s="89"/>
    </row>
    <row r="19" spans="1:11" ht="17.25" thickBot="1" x14ac:dyDescent="0.35">
      <c r="A19" s="33"/>
      <c r="B19" s="34"/>
      <c r="C19" s="35"/>
      <c r="D19" s="34"/>
      <c r="E19" s="34"/>
      <c r="F19" s="36"/>
      <c r="G19" s="36" t="s">
        <v>93</v>
      </c>
      <c r="H19" s="36"/>
      <c r="I19" s="36"/>
      <c r="J19" s="90"/>
      <c r="K19" s="91"/>
    </row>
  </sheetData>
  <mergeCells count="12">
    <mergeCell ref="B7:C7"/>
    <mergeCell ref="A4:F4"/>
    <mergeCell ref="A2:K2"/>
    <mergeCell ref="K5:K6"/>
    <mergeCell ref="J5:J6"/>
    <mergeCell ref="H5:I5"/>
    <mergeCell ref="F5:G5"/>
    <mergeCell ref="E5:E6"/>
    <mergeCell ref="D5:D6"/>
    <mergeCell ref="C5:C6"/>
    <mergeCell ref="B5:B6"/>
    <mergeCell ref="A5:A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activeCell="D12" sqref="D12"/>
    </sheetView>
  </sheetViews>
  <sheetFormatPr defaultRowHeight="16.5" x14ac:dyDescent="0.3"/>
  <cols>
    <col min="2" max="2" width="9" customWidth="1"/>
    <col min="3" max="3" width="21.75" customWidth="1"/>
    <col min="4" max="4" width="25.125" customWidth="1"/>
    <col min="5" max="5" width="21.75" customWidth="1"/>
    <col min="6" max="6" width="25" customWidth="1"/>
    <col min="7" max="7" width="29.375" customWidth="1"/>
  </cols>
  <sheetData>
    <row r="1" spans="1:6" ht="25.5" x14ac:dyDescent="0.3">
      <c r="A1" s="199" t="s">
        <v>4</v>
      </c>
      <c r="B1" s="199"/>
      <c r="C1" s="199"/>
      <c r="D1" s="199"/>
      <c r="E1" s="199"/>
      <c r="F1" s="199"/>
    </row>
    <row r="2" spans="1:6" x14ac:dyDescent="0.3">
      <c r="A2" s="1" t="s">
        <v>5</v>
      </c>
      <c r="B2" s="1" t="s">
        <v>110</v>
      </c>
      <c r="D2" s="2"/>
      <c r="E2" s="2"/>
      <c r="F2" s="3"/>
    </row>
    <row r="3" spans="1:6" x14ac:dyDescent="0.3">
      <c r="A3" s="1" t="s">
        <v>6</v>
      </c>
      <c r="B3" s="1" t="s">
        <v>112</v>
      </c>
      <c r="D3" s="2">
        <f>D27</f>
        <v>1100999.764316095</v>
      </c>
      <c r="E3" s="2"/>
      <c r="F3" s="3"/>
    </row>
    <row r="4" spans="1:6" x14ac:dyDescent="0.3">
      <c r="A4" s="200" t="s">
        <v>7</v>
      </c>
      <c r="B4" s="201"/>
      <c r="C4" s="202"/>
      <c r="D4" s="4" t="s">
        <v>8</v>
      </c>
      <c r="E4" s="4" t="s">
        <v>9</v>
      </c>
      <c r="F4" s="44" t="s">
        <v>10</v>
      </c>
    </row>
    <row r="5" spans="1:6" x14ac:dyDescent="0.3">
      <c r="A5" s="203" t="s">
        <v>63</v>
      </c>
      <c r="B5" s="205" t="s">
        <v>11</v>
      </c>
      <c r="C5" s="5" t="s">
        <v>12</v>
      </c>
      <c r="D5" s="6">
        <f>내역서!G18</f>
        <v>315000</v>
      </c>
      <c r="E5" s="6"/>
      <c r="F5" s="5"/>
    </row>
    <row r="6" spans="1:6" x14ac:dyDescent="0.3">
      <c r="A6" s="204"/>
      <c r="B6" s="206"/>
      <c r="C6" s="5" t="s">
        <v>13</v>
      </c>
      <c r="D6" s="6"/>
      <c r="E6" s="7"/>
      <c r="F6" s="5"/>
    </row>
    <row r="7" spans="1:6" x14ac:dyDescent="0.3">
      <c r="A7" s="204"/>
      <c r="B7" s="206"/>
      <c r="C7" s="5" t="s">
        <v>14</v>
      </c>
      <c r="D7" s="6">
        <f>D5+D6</f>
        <v>315000</v>
      </c>
      <c r="E7" s="6"/>
      <c r="F7" s="5"/>
    </row>
    <row r="8" spans="1:6" x14ac:dyDescent="0.3">
      <c r="A8" s="204"/>
      <c r="B8" s="203" t="s">
        <v>15</v>
      </c>
      <c r="C8" s="5" t="s">
        <v>16</v>
      </c>
      <c r="D8" s="39">
        <f>내역서!I18</f>
        <v>526282</v>
      </c>
      <c r="E8" s="8"/>
      <c r="F8" s="42"/>
    </row>
    <row r="9" spans="1:6" x14ac:dyDescent="0.3">
      <c r="A9" s="204"/>
      <c r="B9" s="207"/>
      <c r="C9" s="5" t="s">
        <v>17</v>
      </c>
      <c r="D9" s="6">
        <f>D8*0.13</f>
        <v>68416.66</v>
      </c>
      <c r="E9" s="9"/>
      <c r="F9" s="43" t="s">
        <v>53</v>
      </c>
    </row>
    <row r="10" spans="1:6" x14ac:dyDescent="0.3">
      <c r="A10" s="204"/>
      <c r="B10" s="208"/>
      <c r="C10" s="10" t="s">
        <v>18</v>
      </c>
      <c r="D10" s="6">
        <f>SUM(D8+D9)</f>
        <v>594698.66</v>
      </c>
      <c r="E10" s="8"/>
      <c r="F10" s="42"/>
    </row>
    <row r="11" spans="1:6" x14ac:dyDescent="0.3">
      <c r="A11" s="204"/>
      <c r="B11" s="209" t="s">
        <v>19</v>
      </c>
      <c r="C11" s="5" t="s">
        <v>20</v>
      </c>
      <c r="D11" s="8"/>
      <c r="E11" s="8"/>
      <c r="F11" s="5"/>
    </row>
    <row r="12" spans="1:6" x14ac:dyDescent="0.3">
      <c r="A12" s="204"/>
      <c r="B12" s="209"/>
      <c r="C12" s="5" t="s">
        <v>21</v>
      </c>
      <c r="D12" s="11"/>
      <c r="E12" s="11"/>
      <c r="F12" s="44"/>
    </row>
    <row r="13" spans="1:6" x14ac:dyDescent="0.3">
      <c r="A13" s="204"/>
      <c r="B13" s="209"/>
      <c r="C13" s="5" t="s">
        <v>22</v>
      </c>
      <c r="D13" s="11">
        <f>D8*0.038</f>
        <v>19998.716</v>
      </c>
      <c r="E13" s="12"/>
      <c r="F13" s="44" t="s">
        <v>54</v>
      </c>
    </row>
    <row r="14" spans="1:6" x14ac:dyDescent="0.3">
      <c r="A14" s="204"/>
      <c r="B14" s="209"/>
      <c r="C14" s="5" t="s">
        <v>23</v>
      </c>
      <c r="D14" s="8">
        <f>(D7+D10)*0.0293</f>
        <v>26654.170738000001</v>
      </c>
      <c r="E14" s="8"/>
      <c r="F14" s="44" t="s">
        <v>55</v>
      </c>
    </row>
    <row r="15" spans="1:6" x14ac:dyDescent="0.3">
      <c r="A15" s="204"/>
      <c r="B15" s="209"/>
      <c r="C15" s="5" t="s">
        <v>24</v>
      </c>
      <c r="D15" s="11">
        <f>D10*0.0087</f>
        <v>5173.878342</v>
      </c>
      <c r="E15" s="11"/>
      <c r="F15" s="44" t="s">
        <v>56</v>
      </c>
    </row>
    <row r="16" spans="1:6" x14ac:dyDescent="0.3">
      <c r="A16" s="204"/>
      <c r="B16" s="209"/>
      <c r="C16" s="5" t="s">
        <v>82</v>
      </c>
      <c r="D16" s="8">
        <f>D10*0.017</f>
        <v>10109.877220000002</v>
      </c>
      <c r="E16" s="8"/>
      <c r="F16" s="44" t="s">
        <v>86</v>
      </c>
    </row>
    <row r="17" spans="1:6" x14ac:dyDescent="0.3">
      <c r="A17" s="204"/>
      <c r="B17" s="209"/>
      <c r="C17" s="5" t="s">
        <v>83</v>
      </c>
      <c r="D17" s="8">
        <f>D8*0.0249</f>
        <v>13104.4218</v>
      </c>
      <c r="E17" s="8"/>
      <c r="F17" s="44" t="s">
        <v>87</v>
      </c>
    </row>
    <row r="18" spans="1:6" x14ac:dyDescent="0.3">
      <c r="A18" s="204"/>
      <c r="B18" s="209"/>
      <c r="C18" s="5" t="s">
        <v>84</v>
      </c>
      <c r="D18" s="11">
        <f>D16*0.0655</f>
        <v>662.19695791000015</v>
      </c>
      <c r="E18" s="11"/>
      <c r="F18" s="44" t="s">
        <v>85</v>
      </c>
    </row>
    <row r="19" spans="1:6" x14ac:dyDescent="0.3">
      <c r="A19" s="204"/>
      <c r="B19" s="209"/>
      <c r="C19" s="5"/>
      <c r="D19" s="8"/>
      <c r="E19" s="8"/>
      <c r="F19" s="5"/>
    </row>
    <row r="20" spans="1:6" x14ac:dyDescent="0.3">
      <c r="A20" s="204"/>
      <c r="B20" s="209"/>
      <c r="C20" s="5"/>
      <c r="D20" s="11"/>
      <c r="E20" s="11"/>
      <c r="F20" s="44"/>
    </row>
    <row r="21" spans="1:6" ht="17.25" customHeight="1" x14ac:dyDescent="0.3">
      <c r="A21" s="204"/>
      <c r="B21" s="209"/>
      <c r="C21" s="10" t="s">
        <v>25</v>
      </c>
      <c r="D21" s="8">
        <f>SUM(D12:D20)</f>
        <v>75703.26105791</v>
      </c>
      <c r="E21" s="8"/>
      <c r="F21" s="5"/>
    </row>
    <row r="22" spans="1:6" x14ac:dyDescent="0.3">
      <c r="A22" s="200" t="s">
        <v>26</v>
      </c>
      <c r="B22" s="201"/>
      <c r="C22" s="202"/>
      <c r="D22" s="8">
        <f>D21+D10+D7</f>
        <v>985401.92105791008</v>
      </c>
      <c r="E22" s="8"/>
      <c r="F22" s="5"/>
    </row>
    <row r="23" spans="1:6" x14ac:dyDescent="0.3">
      <c r="A23" s="196" t="s">
        <v>27</v>
      </c>
      <c r="B23" s="197"/>
      <c r="C23" s="198"/>
      <c r="D23" s="7">
        <f>D22*0.05</f>
        <v>49270.096052895504</v>
      </c>
      <c r="E23" s="13"/>
      <c r="F23" s="5" t="s">
        <v>57</v>
      </c>
    </row>
    <row r="24" spans="1:6" x14ac:dyDescent="0.3">
      <c r="A24" s="196" t="s">
        <v>28</v>
      </c>
      <c r="B24" s="197"/>
      <c r="C24" s="198"/>
      <c r="D24" s="6">
        <f>SUM(D10,D13,D23)*0.1</f>
        <v>66396.747205289561</v>
      </c>
      <c r="E24" s="13"/>
      <c r="F24" s="5" t="s">
        <v>58</v>
      </c>
    </row>
    <row r="25" spans="1:6" x14ac:dyDescent="0.3">
      <c r="A25" s="196" t="s">
        <v>61</v>
      </c>
      <c r="B25" s="197"/>
      <c r="C25" s="198"/>
      <c r="D25" s="7">
        <f>D24+D23+D22</f>
        <v>1101068.764316095</v>
      </c>
      <c r="E25" s="7"/>
      <c r="F25" s="44"/>
    </row>
    <row r="26" spans="1:6" x14ac:dyDescent="0.3">
      <c r="A26" s="210" t="s">
        <v>62</v>
      </c>
      <c r="B26" s="211"/>
      <c r="C26" s="212"/>
      <c r="D26" s="7"/>
      <c r="E26" s="7"/>
      <c r="F26" s="44"/>
    </row>
    <row r="27" spans="1:6" x14ac:dyDescent="0.3">
      <c r="A27" s="196" t="s">
        <v>60</v>
      </c>
      <c r="B27" s="197"/>
      <c r="C27" s="198"/>
      <c r="D27" s="7">
        <f>D25-69</f>
        <v>1100999.764316095</v>
      </c>
      <c r="E27" s="7"/>
      <c r="F27" s="44" t="s">
        <v>111</v>
      </c>
    </row>
  </sheetData>
  <mergeCells count="12">
    <mergeCell ref="A27:C27"/>
    <mergeCell ref="A1:F1"/>
    <mergeCell ref="A4:C4"/>
    <mergeCell ref="A5:A21"/>
    <mergeCell ref="B5:B7"/>
    <mergeCell ref="B8:B10"/>
    <mergeCell ref="B11:B21"/>
    <mergeCell ref="A22:C22"/>
    <mergeCell ref="A23:C23"/>
    <mergeCell ref="A24:C24"/>
    <mergeCell ref="A25:C25"/>
    <mergeCell ref="A26:C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B7" zoomScale="130" zoomScaleNormal="130" workbookViewId="0">
      <selection activeCell="T20" sqref="T20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</vt:lpstr>
      <vt:lpstr>공사원가게산서</vt:lpstr>
      <vt:lpstr>집수정펌프 설치적산</vt:lpstr>
    </vt:vector>
  </TitlesOfParts>
  <Company>korea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</dc:creator>
  <cp:lastModifiedBy>종근 이</cp:lastModifiedBy>
  <cp:lastPrinted>2017-07-17T00:34:23Z</cp:lastPrinted>
  <dcterms:created xsi:type="dcterms:W3CDTF">2010-05-06T04:22:11Z</dcterms:created>
  <dcterms:modified xsi:type="dcterms:W3CDTF">2025-09-29T20:49:14Z</dcterms:modified>
</cp:coreProperties>
</file>
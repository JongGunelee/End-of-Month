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현재_통합_문서"/>
  <mc:AlternateContent xmlns:mc="http://schemas.openxmlformats.org/markup-compatibility/2006">
    <mc:Choice Requires="x15">
      <x15ac:absPath xmlns:x15ac="http://schemas.microsoft.com/office/spreadsheetml/2010/11/ac" url="D:\02 기숙사 및 사택\05 기숙사 및 사택 월마감\25년-사택 작업\00 연간 긴급대응\01 정산 현황\01 건축\[완료]기숙사 및 사택 긴급보수 작업(건축)-3차\"/>
    </mc:Choice>
  </mc:AlternateContent>
  <xr:revisionPtr revIDLastSave="0" documentId="13_ncr:1_{4BA9E440-F3EC-4F7A-B731-6926E85316BD}" xr6:coauthVersionLast="47" xr6:coauthVersionMax="47" xr10:uidLastSave="{00000000-0000-0000-0000-000000000000}"/>
  <bookViews>
    <workbookView xWindow="-60" yWindow="-60" windowWidth="28920" windowHeight="16320" activeTab="2" xr2:uid="{00000000-000D-0000-FFFF-FFFF00000000}"/>
  </bookViews>
  <sheets>
    <sheet name="갑지" sheetId="20" r:id="rId1"/>
    <sheet name="내역서(표준단가)" sheetId="19" r:id="rId2"/>
    <sheet name="관리소 접수 입력-3차" sheetId="16" r:id="rId3"/>
    <sheet name="시중가 근거서류" sheetId="18" r:id="rId4"/>
  </sheets>
  <externalReferences>
    <externalReference r:id="rId5"/>
    <externalReference r:id="rId6"/>
    <externalReference r:id="rId7"/>
    <externalReference r:id="rId8"/>
    <externalReference r:id="rId9"/>
    <externalReference r:id="rId10"/>
    <externalReference r:id="rId11"/>
  </externalReferences>
  <definedNames>
    <definedName name="_" hidden="1">#REF!</definedName>
    <definedName name="_Fill" hidden="1">[1]암거날개벽!#REF!</definedName>
    <definedName name="_Key1" hidden="1">[2]내역서!#REF!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[2]내역서!#REF!</definedName>
    <definedName name="a\" localSheetId="0" hidden="1">{#N/A,#N/A,TRUE,"자재관리";#N/A,#N/A,TRUE,"품질"}</definedName>
    <definedName name="a\" localSheetId="2" hidden="1">{#N/A,#N/A,TRUE,"자재관리";#N/A,#N/A,TRUE,"품질"}</definedName>
    <definedName name="a\" localSheetId="1" hidden="1">{#N/A,#N/A,TRUE,"자재관리";#N/A,#N/A,TRUE,"품질"}</definedName>
    <definedName name="a\" localSheetId="3" hidden="1">{#N/A,#N/A,TRUE,"자재관리";#N/A,#N/A,TRUE,"품질"}</definedName>
    <definedName name="a\" hidden="1">{#N/A,#N/A,TRUE,"자재관리";#N/A,#N/A,TRUE,"품질"}</definedName>
    <definedName name="A1C1" hidden="1">#REF!</definedName>
    <definedName name="AccessDatabase" hidden="1">"D:\공무jaje\98년품의-수불\98146.mdb"</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0" hidden="1">{#N/A,#N/A,FALSE,"CCTV"}</definedName>
    <definedName name="asdfasdf" localSheetId="2" hidden="1">{#N/A,#N/A,FALSE,"CCTV"}</definedName>
    <definedName name="asdfasdf" localSheetId="1" hidden="1">{#N/A,#N/A,FALSE,"CCTV"}</definedName>
    <definedName name="asdfasdf" localSheetId="3" hidden="1">{#N/A,#N/A,FALSE,"CCTV"}</definedName>
    <definedName name="asdfasdf" hidden="1">{#N/A,#N/A,FALSE,"CCTV"}</definedName>
    <definedName name="as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0" hidden="1">{"'Sheet1'!$E$23","'Sheet1'!$A$3:$H$19","'Sheet1'!$A$1:$H$19"}</definedName>
    <definedName name="BUSH" localSheetId="2" hidden="1">{"'Sheet1'!$E$23","'Sheet1'!$A$3:$H$19","'Sheet1'!$A$1:$H$19"}</definedName>
    <definedName name="BUSH" localSheetId="1" hidden="1">{"'Sheet1'!$E$23","'Sheet1'!$A$3:$H$19","'Sheet1'!$A$1:$H$19"}</definedName>
    <definedName name="BUSH" localSheetId="3" hidden="1">{"'Sheet1'!$E$23","'Sheet1'!$A$3:$H$19","'Sheet1'!$A$1:$H$19"}</definedName>
    <definedName name="BUSH" hidden="1">{"'Sheet1'!$E$23","'Sheet1'!$A$3:$H$19","'Sheet1'!$A$1:$H$19"}</definedName>
    <definedName name="copy2" localSheetId="0" hidden="1">{#N/A,#N/A,TRUE,"자재관리";#N/A,#N/A,TRUE,"품질"}</definedName>
    <definedName name="copy2" localSheetId="2" hidden="1">{#N/A,#N/A,TRUE,"자재관리";#N/A,#N/A,TRUE,"품질"}</definedName>
    <definedName name="copy2" localSheetId="1" hidden="1">{#N/A,#N/A,TRUE,"자재관리";#N/A,#N/A,TRUE,"품질"}</definedName>
    <definedName name="copy2" localSheetId="3" hidden="1">{#N/A,#N/A,TRUE,"자재관리";#N/A,#N/A,TRUE,"품질"}</definedName>
    <definedName name="copy2" hidden="1">{#N/A,#N/A,TRUE,"자재관리";#N/A,#N/A,TRUE,"품질"}</definedName>
    <definedName name="copy3" localSheetId="0" hidden="1">{#N/A,#N/A,TRUE,"자재관리";#N/A,#N/A,TRUE,"품질"}</definedName>
    <definedName name="copy3" localSheetId="2" hidden="1">{#N/A,#N/A,TRUE,"자재관리";#N/A,#N/A,TRUE,"품질"}</definedName>
    <definedName name="copy3" localSheetId="1" hidden="1">{#N/A,#N/A,TRUE,"자재관리";#N/A,#N/A,TRUE,"품질"}</definedName>
    <definedName name="copy3" localSheetId="3" hidden="1">{#N/A,#N/A,TRUE,"자재관리";#N/A,#N/A,TRUE,"품질"}</definedName>
    <definedName name="copy3" hidden="1">{#N/A,#N/A,TRUE,"자재관리";#N/A,#N/A,TRUE,"품질"}</definedName>
    <definedName name="copy4" localSheetId="0" hidden="1">{#N/A,#N/A,FALSE,"자재관리";#N/A,#N/A,FALSE,"자재관리";#N/A,#N/A,FALSE,"자재관리"}</definedName>
    <definedName name="copy4" localSheetId="2" hidden="1">{#N/A,#N/A,FALSE,"자재관리";#N/A,#N/A,FALSE,"자재관리";#N/A,#N/A,FALSE,"자재관리"}</definedName>
    <definedName name="copy4" localSheetId="1" hidden="1">{#N/A,#N/A,FALSE,"자재관리";#N/A,#N/A,FALSE,"자재관리";#N/A,#N/A,FALSE,"자재관리"}</definedName>
    <definedName name="copy4" localSheetId="3" hidden="1">{#N/A,#N/A,FALSE,"자재관리";#N/A,#N/A,FALSE,"자재관리";#N/A,#N/A,FALSE,"자재관리"}</definedName>
    <definedName name="copy4" hidden="1">{#N/A,#N/A,FALSE,"자재관리";#N/A,#N/A,FALSE,"자재관리";#N/A,#N/A,FALSE,"자재관리"}</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0" hidden="1">{#N/A,#N/A,FALSE,"자재관리";#N/A,#N/A,FALSE,"자재관리";#N/A,#N/A,FALSE,"자재관리"}</definedName>
    <definedName name="D" localSheetId="2" hidden="1">{#N/A,#N/A,FALSE,"자재관리";#N/A,#N/A,FALSE,"자재관리";#N/A,#N/A,FALSE,"자재관리"}</definedName>
    <definedName name="D" localSheetId="1" hidden="1">{#N/A,#N/A,FALSE,"자재관리";#N/A,#N/A,FALSE,"자재관리";#N/A,#N/A,FALSE,"자재관리"}</definedName>
    <definedName name="D" localSheetId="3" hidden="1">{#N/A,#N/A,FALSE,"자재관리";#N/A,#N/A,FALSE,"자재관리";#N/A,#N/A,FALSE,"자재관리"}</definedName>
    <definedName name="D" hidden="1">{#N/A,#N/A,FALSE,"자재관리";#N/A,#N/A,FALSE,"자재관리";#N/A,#N/A,FALSE,"자재관리"}</definedName>
    <definedName name="DDD" hidden="1">#REF!</definedName>
    <definedName name="ddddd" hidden="1">#REF!</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0" hidden="1">{#N/A,#N/A,FALSE,"자재관리";#N/A,#N/A,FALSE,"자재관리";#N/A,#N/A,FALSE,"자재관리"}</definedName>
    <definedName name="DFV" localSheetId="2" hidden="1">{#N/A,#N/A,FALSE,"자재관리";#N/A,#N/A,FALSE,"자재관리";#N/A,#N/A,FALSE,"자재관리"}</definedName>
    <definedName name="DFV" localSheetId="1" hidden="1">{#N/A,#N/A,FALSE,"자재관리";#N/A,#N/A,FALSE,"자재관리";#N/A,#N/A,FALSE,"자재관리"}</definedName>
    <definedName name="DFV" localSheetId="3" hidden="1">{#N/A,#N/A,FALSE,"자재관리";#N/A,#N/A,FALSE,"자재관리";#N/A,#N/A,FALSE,"자재관리"}</definedName>
    <definedName name="DFV" hidden="1">{#N/A,#N/A,FALSE,"자재관리";#N/A,#N/A,FALSE,"자재관리";#N/A,#N/A,FALSE,"자재관리"}</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0" hidden="1">{#N/A,#N/A,FALSE,"자재관리";#N/A,#N/A,FALSE,"자재관리";#N/A,#N/A,FALSE,"자재관리"}</definedName>
    <definedName name="dkd" localSheetId="2" hidden="1">{#N/A,#N/A,FALSE,"자재관리";#N/A,#N/A,FALSE,"자재관리";#N/A,#N/A,FALSE,"자재관리"}</definedName>
    <definedName name="dkd" localSheetId="1" hidden="1">{#N/A,#N/A,FALSE,"자재관리";#N/A,#N/A,FALSE,"자재관리";#N/A,#N/A,FALSE,"자재관리"}</definedName>
    <definedName name="dkd" localSheetId="3"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localSheetId="2" hidden="1">{#N/A,#N/A,FALSE,"전력간선"}</definedName>
    <definedName name="DKFDK" localSheetId="1" hidden="1">{#N/A,#N/A,FALSE,"전력간선"}</definedName>
    <definedName name="DKFDK" localSheetId="3" hidden="1">{#N/A,#N/A,FALSE,"전력간선"}</definedName>
    <definedName name="DKFDK" hidden="1">{#N/A,#N/A,FALSE,"전력간선"}</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0" hidden="1">{#N/A,#N/A,FALSE,"CCTV"}</definedName>
    <definedName name="FFF" localSheetId="2" hidden="1">{#N/A,#N/A,FALSE,"CCTV"}</definedName>
    <definedName name="FFF" localSheetId="1" hidden="1">{#N/A,#N/A,FALSE,"CCTV"}</definedName>
    <definedName name="FFF" localSheetId="3" hidden="1">{#N/A,#N/A,FALSE,"CCTV"}</definedName>
    <definedName name="FFF" hidden="1">{#N/A,#N/A,FALSE,"CCTV"}</definedName>
    <definedName name="FFFF" localSheetId="0" hidden="1">{#N/A,#N/A,FALSE,"자재관리";#N/A,#N/A,FALSE,"자재관리";#N/A,#N/A,FALSE,"자재관리"}</definedName>
    <definedName name="FFFF" localSheetId="2" hidden="1">{#N/A,#N/A,FALSE,"자재관리";#N/A,#N/A,FALSE,"자재관리";#N/A,#N/A,FALSE,"자재관리"}</definedName>
    <definedName name="FFFF" localSheetId="1" hidden="1">{#N/A,#N/A,FALSE,"자재관리";#N/A,#N/A,FALSE,"자재관리";#N/A,#N/A,FALSE,"자재관리"}</definedName>
    <definedName name="FFFF" localSheetId="3"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localSheetId="2" hidden="1">{#N/A,#N/A,FALSE,"자재관리";#N/A,#N/A,FALSE,"자재관리";#N/A,#N/A,FALSE,"자재관리"}</definedName>
    <definedName name="FFFFFF" localSheetId="1" hidden="1">{#N/A,#N/A,FALSE,"자재관리";#N/A,#N/A,FALSE,"자재관리";#N/A,#N/A,FALSE,"자재관리"}</definedName>
    <definedName name="FFFFFF" localSheetId="3"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localSheetId="2" hidden="1">{#N/A,#N/A,FALSE,"자재관리";#N/A,#N/A,FALSE,"자재관리";#N/A,#N/A,FALSE,"자재관리"}</definedName>
    <definedName name="fffffff" localSheetId="1" hidden="1">{#N/A,#N/A,FALSE,"자재관리";#N/A,#N/A,FALSE,"자재관리";#N/A,#N/A,FALSE,"자재관리"}</definedName>
    <definedName name="fffffff" localSheetId="3" hidden="1">{#N/A,#N/A,FALSE,"자재관리";#N/A,#N/A,FALSE,"자재관리";#N/A,#N/A,FALSE,"자재관리"}</definedName>
    <definedName name="fffffff" hidden="1">{#N/A,#N/A,FALSE,"자재관리";#N/A,#N/A,FALSE,"자재관리";#N/A,#N/A,FALSE,"자재관리"}</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0" hidden="1">{#N/A,#N/A,FALSE,"전력간선"}</definedName>
    <definedName name="fg" localSheetId="2" hidden="1">{#N/A,#N/A,FALSE,"전력간선"}</definedName>
    <definedName name="fg" localSheetId="1" hidden="1">{#N/A,#N/A,FALSE,"전력간선"}</definedName>
    <definedName name="fg" localSheetId="3" hidden="1">{#N/A,#N/A,FALSE,"전력간선"}</definedName>
    <definedName name="fg" hidden="1">{#N/A,#N/A,FALSE,"전력간선"}</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[3]수량산출!$A$1:$A$8561</definedName>
    <definedName name="FHFK" hidden="1">[3]수량산출!#REF!</definedName>
    <definedName name="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localSheetId="0" hidden="1">{#N/A,#N/A,FALSE,"자재관리";#N/A,#N/A,FALSE,"자재관리";#N/A,#N/A,FALSE,"자재관리"}</definedName>
    <definedName name="HHHHH" localSheetId="2" hidden="1">{#N/A,#N/A,FALSE,"자재관리";#N/A,#N/A,FALSE,"자재관리";#N/A,#N/A,FALSE,"자재관리"}</definedName>
    <definedName name="HHHHH" localSheetId="1" hidden="1">{#N/A,#N/A,FALSE,"자재관리";#N/A,#N/A,FALSE,"자재관리";#N/A,#N/A,FALSE,"자재관리"}</definedName>
    <definedName name="HHHHH" localSheetId="3"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localSheetId="2" hidden="1">{#N/A,#N/A,FALSE,"자재관리";#N/A,#N/A,FALSE,"자재관리";#N/A,#N/A,FALSE,"자재관리"}</definedName>
    <definedName name="HHHHHH" localSheetId="1" hidden="1">{#N/A,#N/A,FALSE,"자재관리";#N/A,#N/A,FALSE,"자재관리";#N/A,#N/A,FALSE,"자재관리"}</definedName>
    <definedName name="HHHHHH" localSheetId="3" hidden="1">{#N/A,#N/A,FALSE,"자재관리";#N/A,#N/A,FALSE,"자재관리";#N/A,#N/A,FALSE,"자재관리"}</definedName>
    <definedName name="HHHHHH" hidden="1">{#N/A,#N/A,FALSE,"자재관리";#N/A,#N/A,FALSE,"자재관리";#N/A,#N/A,FALSE,"자재관리"}</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0" hidden="1">{"'Sheet1'!$E$23","'Sheet1'!$A$3:$H$19","'Sheet1'!$A$1:$H$19"}</definedName>
    <definedName name="HTML_Control" localSheetId="2" hidden="1">{"'Sheet1'!$E$23","'Sheet1'!$A$3:$H$19","'Sheet1'!$A$1:$H$19"}</definedName>
    <definedName name="HTML_Control" localSheetId="1" hidden="1">{"'Sheet1'!$E$23","'Sheet1'!$A$3:$H$19","'Sheet1'!$A$1:$H$19"}</definedName>
    <definedName name="HTML_Control" localSheetId="3"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0" hidden="1">{#N/A,#N/A,FALSE,"자재관리";#N/A,#N/A,FALSE,"자재관리";#N/A,#N/A,FALSE,"자재관리"}</definedName>
    <definedName name="JJJJ" localSheetId="2" hidden="1">{#N/A,#N/A,FALSE,"자재관리";#N/A,#N/A,FALSE,"자재관리";#N/A,#N/A,FALSE,"자재관리"}</definedName>
    <definedName name="JJJJ" localSheetId="1" hidden="1">{#N/A,#N/A,FALSE,"자재관리";#N/A,#N/A,FALSE,"자재관리";#N/A,#N/A,FALSE,"자재관리"}</definedName>
    <definedName name="JJJJ" localSheetId="3" hidden="1">{#N/A,#N/A,FALSE,"자재관리";#N/A,#N/A,FALSE,"자재관리";#N/A,#N/A,FALSE,"자재관리"}</definedName>
    <definedName name="JJJJ" hidden="1">{#N/A,#N/A,FALSE,"자재관리";#N/A,#N/A,FALSE,"자재관리";#N/A,#N/A,FALSE,"자재관리"}</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0" hidden="1">{#N/A,#N/A,FALSE,"자재관리";#N/A,#N/A,FALSE,"자재관리";#N/A,#N/A,FALSE,"자재관리"}</definedName>
    <definedName name="K" localSheetId="2" hidden="1">{#N/A,#N/A,FALSE,"자재관리";#N/A,#N/A,FALSE,"자재관리";#N/A,#N/A,FALSE,"자재관리"}</definedName>
    <definedName name="K" localSheetId="1" hidden="1">{#N/A,#N/A,FALSE,"자재관리";#N/A,#N/A,FALSE,"자재관리";#N/A,#N/A,FALSE,"자재관리"}</definedName>
    <definedName name="K" localSheetId="3" hidden="1">{#N/A,#N/A,FALSE,"자재관리";#N/A,#N/A,FALSE,"자재관리";#N/A,#N/A,FALSE,"자재관리"}</definedName>
    <definedName name="K" hidden="1">{#N/A,#N/A,FALSE,"자재관리";#N/A,#N/A,FALSE,"자재관리";#N/A,#N/A,FALSE,"자재관리"}</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localSheetId="0" hidden="1">{#N/A,#N/A,FALSE,"자재관리";#N/A,#N/A,FALSE,"자재관리";#N/A,#N/A,FALSE,"자재관리"}</definedName>
    <definedName name="kkkkk" localSheetId="2" hidden="1">{#N/A,#N/A,FALSE,"자재관리";#N/A,#N/A,FALSE,"자재관리";#N/A,#N/A,FALSE,"자재관리"}</definedName>
    <definedName name="kkkkk" localSheetId="1" hidden="1">{#N/A,#N/A,FALSE,"자재관리";#N/A,#N/A,FALSE,"자재관리";#N/A,#N/A,FALSE,"자재관리"}</definedName>
    <definedName name="kkkkk" localSheetId="3"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localSheetId="2" hidden="1">{#N/A,#N/A,FALSE,"자재관리";#N/A,#N/A,FALSE,"자재관리";#N/A,#N/A,FALSE,"자재관리"}</definedName>
    <definedName name="knauf" localSheetId="1" hidden="1">{#N/A,#N/A,FALSE,"자재관리";#N/A,#N/A,FALSE,"자재관리";#N/A,#N/A,FALSE,"자재관리"}</definedName>
    <definedName name="knauf" localSheetId="3" hidden="1">{#N/A,#N/A,FALSE,"자재관리";#N/A,#N/A,FALSE,"자재관리";#N/A,#N/A,FALSE,"자재관리"}</definedName>
    <definedName name="knauf" hidden="1">{#N/A,#N/A,FALSE,"자재관리";#N/A,#N/A,FALSE,"자재관리";#N/A,#N/A,FALSE,"자재관리"}</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0" hidden="1">{#N/A,#N/A,TRUE,"자재관리";#N/A,#N/A,TRUE,"품질"}</definedName>
    <definedName name="L" localSheetId="2" hidden="1">{#N/A,#N/A,TRUE,"자재관리";#N/A,#N/A,TRUE,"품질"}</definedName>
    <definedName name="L" localSheetId="1" hidden="1">{#N/A,#N/A,TRUE,"자재관리";#N/A,#N/A,TRUE,"품질"}</definedName>
    <definedName name="L" localSheetId="3" hidden="1">{#N/A,#N/A,TRUE,"자재관리";#N/A,#N/A,TRUE,"품질"}</definedName>
    <definedName name="L" hidden="1">{#N/A,#N/A,TRUE,"자재관리";#N/A,#N/A,TRUE,"품질"}</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localSheetId="0" hidden="1">{#N/A,#N/A,FALSE,"자재관리";#N/A,#N/A,FALSE,"자재관리";#N/A,#N/A,FALSE,"자재관리"}</definedName>
    <definedName name="MC" localSheetId="2" hidden="1">{#N/A,#N/A,FALSE,"자재관리";#N/A,#N/A,FALSE,"자재관리";#N/A,#N/A,FALSE,"자재관리"}</definedName>
    <definedName name="MC" localSheetId="1" hidden="1">{#N/A,#N/A,FALSE,"자재관리";#N/A,#N/A,FALSE,"자재관리";#N/A,#N/A,FALSE,"자재관리"}</definedName>
    <definedName name="MC" localSheetId="3" hidden="1">{#N/A,#N/A,FALSE,"자재관리";#N/A,#N/A,FALSE,"자재관리";#N/A,#N/A,FALSE,"자재관리"}</definedName>
    <definedName name="MC" hidden="1">{#N/A,#N/A,FALSE,"자재관리";#N/A,#N/A,FALSE,"자재관리";#N/A,#N/A,FALSE,"자재관리"}</definedName>
    <definedName name="MM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0" hidden="1">{#N/A,#N/A,FALSE,"자재관리";#N/A,#N/A,FALSE,"자재관리";#N/A,#N/A,FALSE,"자재관리"}</definedName>
    <definedName name="Neotech" localSheetId="2" hidden="1">{#N/A,#N/A,FALSE,"자재관리";#N/A,#N/A,FALSE,"자재관리";#N/A,#N/A,FALSE,"자재관리"}</definedName>
    <definedName name="Neotech" localSheetId="1" hidden="1">{#N/A,#N/A,FALSE,"자재관리";#N/A,#N/A,FALSE,"자재관리";#N/A,#N/A,FALSE,"자재관리"}</definedName>
    <definedName name="Neotech" localSheetId="3"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localSheetId="2" hidden="1">{#N/A,#N/A,FALSE,"CCTV"}</definedName>
    <definedName name="NEWNAME" localSheetId="1" hidden="1">{#N/A,#N/A,FALSE,"CCTV"}</definedName>
    <definedName name="NEWNAME" localSheetId="3" hidden="1">{#N/A,#N/A,FALSE,"CCTV"}</definedName>
    <definedName name="NEWNAME" hidden="1">{#N/A,#N/A,FALSE,"CCTV"}</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localSheetId="0" hidden="1">{#N/A,#N/A,FALSE,"자재관리";#N/A,#N/A,FALSE,"자재관리";#N/A,#N/A,FALSE,"자재관리"}</definedName>
    <definedName name="OOOOOO" localSheetId="2" hidden="1">{#N/A,#N/A,FALSE,"자재관리";#N/A,#N/A,FALSE,"자재관리";#N/A,#N/A,FALSE,"자재관리"}</definedName>
    <definedName name="OOOOOO" localSheetId="1" hidden="1">{#N/A,#N/A,FALSE,"자재관리";#N/A,#N/A,FALSE,"자재관리";#N/A,#N/A,FALSE,"자재관리"}</definedName>
    <definedName name="OOOOOO" localSheetId="3" hidden="1">{#N/A,#N/A,FALSE,"자재관리";#N/A,#N/A,FALSE,"자재관리";#N/A,#N/A,FALSE,"자재관리"}</definedName>
    <definedName name="OOOOOO" hidden="1">{#N/A,#N/A,FALSE,"자재관리";#N/A,#N/A,FALSE,"자재관리";#N/A,#N/A,FALSE,"자재관리"}</definedName>
    <definedName name="PRESS" localSheetId="0" hidden="1">{"'Sheet1'!$E$23","'Sheet1'!$A$3:$H$19","'Sheet1'!$A$1:$H$19"}</definedName>
    <definedName name="PRESS" localSheetId="2" hidden="1">{"'Sheet1'!$E$23","'Sheet1'!$A$3:$H$19","'Sheet1'!$A$1:$H$19"}</definedName>
    <definedName name="PRESS" localSheetId="1" hidden="1">{"'Sheet1'!$E$23","'Sheet1'!$A$3:$H$19","'Sheet1'!$A$1:$H$19"}</definedName>
    <definedName name="PRESS" localSheetId="3" hidden="1">{"'Sheet1'!$E$23","'Sheet1'!$A$3:$H$19","'Sheet1'!$A$1:$H$19"}</definedName>
    <definedName name="PRESS" hidden="1">{"'Sheet1'!$E$23","'Sheet1'!$A$3:$H$19","'Sheet1'!$A$1:$H$19"}</definedName>
    <definedName name="press1" localSheetId="0" hidden="1">{"'Sheet1'!$E$23","'Sheet1'!$A$3:$H$19","'Sheet1'!$A$1:$H$19"}</definedName>
    <definedName name="press1" localSheetId="2" hidden="1">{"'Sheet1'!$E$23","'Sheet1'!$A$3:$H$19","'Sheet1'!$A$1:$H$19"}</definedName>
    <definedName name="press1" localSheetId="1" hidden="1">{"'Sheet1'!$E$23","'Sheet1'!$A$3:$H$19","'Sheet1'!$A$1:$H$19"}</definedName>
    <definedName name="press1" localSheetId="3" hidden="1">{"'Sheet1'!$E$23","'Sheet1'!$A$3:$H$19","'Sheet1'!$A$1:$H$19"}</definedName>
    <definedName name="press1" hidden="1">{"'Sheet1'!$E$23","'Sheet1'!$A$3:$H$19","'Sheet1'!$A$1:$H$19"}</definedName>
    <definedName name="_xlnm.Print_Area">#REF!</definedName>
    <definedName name="_xlnm.Print_Titles">#REF!,#REF!</definedName>
    <definedName name="Q" localSheetId="0" hidden="1">{#N/A,#N/A,FALSE,"자재관리";#N/A,#N/A,FALSE,"자재관리";#N/A,#N/A,FALSE,"자재관리"}</definedName>
    <definedName name="Q" localSheetId="2" hidden="1">{#N/A,#N/A,FALSE,"자재관리";#N/A,#N/A,FALSE,"자재관리";#N/A,#N/A,FALSE,"자재관리"}</definedName>
    <definedName name="Q" localSheetId="1" hidden="1">{#N/A,#N/A,FALSE,"자재관리";#N/A,#N/A,FALSE,"자재관리";#N/A,#N/A,FALSE,"자재관리"}</definedName>
    <definedName name="Q" localSheetId="3" hidden="1">{#N/A,#N/A,FALSE,"자재관리";#N/A,#N/A,FALSE,"자재관리";#N/A,#N/A,FALSE,"자재관리"}</definedName>
    <definedName name="Q" hidden="1">{#N/A,#N/A,FALSE,"자재관리";#N/A,#N/A,FALSE,"자재관리";#N/A,#N/A,FALSE,"자재관리"}</definedName>
    <definedName name="qqq" localSheetId="0" hidden="1">{#N/A,#N/A,FALSE,"전력간선"}</definedName>
    <definedName name="qqq" localSheetId="2" hidden="1">{#N/A,#N/A,FALSE,"전력간선"}</definedName>
    <definedName name="qqq" localSheetId="1" hidden="1">{#N/A,#N/A,FALSE,"전력간선"}</definedName>
    <definedName name="qqq" localSheetId="3" hidden="1">{#N/A,#N/A,FALSE,"전력간선"}</definedName>
    <definedName name="qqq" hidden="1">{#N/A,#N/A,FALSE,"전력간선"}</definedName>
    <definedName name="QQQW" localSheetId="0" hidden="1">{#N/A,#N/A,FALSE,"전력간선"}</definedName>
    <definedName name="QQQW" localSheetId="2" hidden="1">{#N/A,#N/A,FALSE,"전력간선"}</definedName>
    <definedName name="QQQW" localSheetId="1" hidden="1">{#N/A,#N/A,FALSE,"전력간선"}</definedName>
    <definedName name="QQQW" localSheetId="3" hidden="1">{#N/A,#N/A,FALSE,"전력간선"}</definedName>
    <definedName name="QQQW" hidden="1">{#N/A,#N/A,FALSE,"전력간선"}</definedName>
    <definedName name="ret" localSheetId="0" hidden="1">{#N/A,#N/A,FALSE,"전력간선"}</definedName>
    <definedName name="ret" localSheetId="2" hidden="1">{#N/A,#N/A,FALSE,"전력간선"}</definedName>
    <definedName name="ret" localSheetId="1" hidden="1">{#N/A,#N/A,FALSE,"전력간선"}</definedName>
    <definedName name="ret" localSheetId="3" hidden="1">{#N/A,#N/A,FALSE,"전력간선"}</definedName>
    <definedName name="ret" hidden="1">{#N/A,#N/A,FALSE,"전력간선"}</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0" hidden="1">{#N/A,#N/A,FALSE,"전력간선"}</definedName>
    <definedName name="RIRI" localSheetId="2" hidden="1">{#N/A,#N/A,FALSE,"전력간선"}</definedName>
    <definedName name="RIRI" localSheetId="1" hidden="1">{#N/A,#N/A,FALSE,"전력간선"}</definedName>
    <definedName name="RIRI" localSheetId="3" hidden="1">{#N/A,#N/A,FALSE,"전력간선"}</definedName>
    <definedName name="RIRI" hidden="1">{#N/A,#N/A,FALSE,"전력간선"}</definedName>
    <definedName name="RK" hidden="1">[3]수량산출!#REF!</definedName>
    <definedName name="rP"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0" hidden="1">{#N/A,#N/A,FALSE,"전력간선"}</definedName>
    <definedName name="rr" localSheetId="2" hidden="1">{#N/A,#N/A,FALSE,"전력간선"}</definedName>
    <definedName name="rr" localSheetId="1" hidden="1">{#N/A,#N/A,FALSE,"전력간선"}</definedName>
    <definedName name="rr" localSheetId="3" hidden="1">{#N/A,#N/A,FALSE,"전력간선"}</definedName>
    <definedName name="rr" hidden="1">{#N/A,#N/A,FALSE,"전력간선"}</definedName>
    <definedName name="R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0" hidden="1">{#N/A,#N/A,TRUE,"자재관리";#N/A,#N/A,TRUE,"품질"}</definedName>
    <definedName name="rthyetyuety" localSheetId="2" hidden="1">{#N/A,#N/A,TRUE,"자재관리";#N/A,#N/A,TRUE,"품질"}</definedName>
    <definedName name="rthyetyuety" localSheetId="1" hidden="1">{#N/A,#N/A,TRUE,"자재관리";#N/A,#N/A,TRUE,"품질"}</definedName>
    <definedName name="rthyetyuety" localSheetId="3" hidden="1">{#N/A,#N/A,TRUE,"자재관리";#N/A,#N/A,TRUE,"품질"}</definedName>
    <definedName name="rthyetyuety" hidden="1">{#N/A,#N/A,TRUE,"자재관리";#N/A,#N/A,TRUE,"품질"}</definedName>
    <definedName name="SD" localSheetId="0" hidden="1">{#N/A,#N/A,FALSE,"자재관리";#N/A,#N/A,FALSE,"자재관리";#N/A,#N/A,FALSE,"자재관리"}</definedName>
    <definedName name="SD" localSheetId="2" hidden="1">{#N/A,#N/A,FALSE,"자재관리";#N/A,#N/A,FALSE,"자재관리";#N/A,#N/A,FALSE,"자재관리"}</definedName>
    <definedName name="SD" localSheetId="1" hidden="1">{#N/A,#N/A,FALSE,"자재관리";#N/A,#N/A,FALSE,"자재관리";#N/A,#N/A,FALSE,"자재관리"}</definedName>
    <definedName name="SD" localSheetId="3" hidden="1">{#N/A,#N/A,FALSE,"자재관리";#N/A,#N/A,FALSE,"자재관리";#N/A,#N/A,FALSE,"자재관리"}</definedName>
    <definedName name="SD" hidden="1">{#N/A,#N/A,FALSE,"자재관리";#N/A,#N/A,FALSE,"자재관리";#N/A,#N/A,FALSE,"자재관리"}</definedName>
    <definedName name="S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localSheetId="0" hidden="1">{#N/A,#N/A,FALSE,"전력간선"}</definedName>
    <definedName name="sss" localSheetId="2" hidden="1">{#N/A,#N/A,FALSE,"전력간선"}</definedName>
    <definedName name="sss" localSheetId="1" hidden="1">{#N/A,#N/A,FALSE,"전력간선"}</definedName>
    <definedName name="sss" localSheetId="3" hidden="1">{#N/A,#N/A,FALSE,"전력간선"}</definedName>
    <definedName name="sss" hidden="1">{#N/A,#N/A,FALSE,"전력간선"}</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0" hidden="1">{#N/A,#N/A,TRUE,"자재관리";#N/A,#N/A,TRUE,"품질"}</definedName>
    <definedName name="t" localSheetId="2" hidden="1">{#N/A,#N/A,TRUE,"자재관리";#N/A,#N/A,TRUE,"품질"}</definedName>
    <definedName name="t" localSheetId="1" hidden="1">{#N/A,#N/A,TRUE,"자재관리";#N/A,#N/A,TRUE,"품질"}</definedName>
    <definedName name="t" localSheetId="3" hidden="1">{#N/A,#N/A,TRUE,"자재관리";#N/A,#N/A,TRUE,"품질"}</definedName>
    <definedName name="t" hidden="1">{#N/A,#N/A,TRUE,"자재관리";#N/A,#N/A,TRUE,"품질"}</definedName>
    <definedName name="tka" localSheetId="0" hidden="1">{#N/A,#N/A,FALSE,"전력간선"}</definedName>
    <definedName name="tka" localSheetId="2" hidden="1">{#N/A,#N/A,FALSE,"전력간선"}</definedName>
    <definedName name="tka" localSheetId="1" hidden="1">{#N/A,#N/A,FALSE,"전력간선"}</definedName>
    <definedName name="tka" localSheetId="3" hidden="1">{#N/A,#N/A,FALSE,"전력간선"}</definedName>
    <definedName name="tka" hidden="1">{#N/A,#N/A,FALSE,"전력간선"}</definedName>
    <definedName name="TTTT" hidden="1">#REF!</definedName>
    <definedName name="uwehdiueih" localSheetId="0" hidden="1">{#N/A,#N/A,FALSE,"자재관리";#N/A,#N/A,FALSE,"자재관리";#N/A,#N/A,FALSE,"자재관리"}</definedName>
    <definedName name="uwehdiueih" localSheetId="2" hidden="1">{#N/A,#N/A,FALSE,"자재관리";#N/A,#N/A,FALSE,"자재관리";#N/A,#N/A,FALSE,"자재관리"}</definedName>
    <definedName name="uwehdiueih" localSheetId="1" hidden="1">{#N/A,#N/A,FALSE,"자재관리";#N/A,#N/A,FALSE,"자재관리";#N/A,#N/A,FALSE,"자재관리"}</definedName>
    <definedName name="uwehdiueih" localSheetId="3" hidden="1">{#N/A,#N/A,FALSE,"자재관리";#N/A,#N/A,FALSE,"자재관리";#N/A,#N/A,FALSE,"자재관리"}</definedName>
    <definedName name="uwehdiueih" hidden="1">{#N/A,#N/A,FALSE,"자재관리";#N/A,#N/A,FALSE,"자재관리";#N/A,#N/A,FALSE,"자재관리"}</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0" hidden="1">{#N/A,#N/A,FALSE,"CCTV"}</definedName>
    <definedName name="WJDEHDRHS" localSheetId="2" hidden="1">{#N/A,#N/A,FALSE,"CCTV"}</definedName>
    <definedName name="WJDEHDRHS" localSheetId="1" hidden="1">{#N/A,#N/A,FALSE,"CCTV"}</definedName>
    <definedName name="WJDEHDRHS" localSheetId="3" hidden="1">{#N/A,#N/A,FALSE,"CCTV"}</definedName>
    <definedName name="WJDEHDRHS" hidden="1">{#N/A,#N/A,FALSE,"CCTV"}</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0" hidden="1">{#N/A,#N/A,FALSE,"CCTV"}</definedName>
    <definedName name="WRITE" localSheetId="2" hidden="1">{#N/A,#N/A,FALSE,"CCTV"}</definedName>
    <definedName name="WRITE" localSheetId="1" hidden="1">{#N/A,#N/A,FALSE,"CCTV"}</definedName>
    <definedName name="WRITE" localSheetId="3"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localSheetId="3"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localSheetId="2" hidden="1">{#N/A,#N/A,FALSE,"자재관리";#N/A,#N/A,FALSE,"자재관리";#N/A,#N/A,FALSE,"자재관리"}</definedName>
    <definedName name="wrn.6월._.자재관리._.현황." localSheetId="1" hidden="1">{#N/A,#N/A,FALSE,"자재관리";#N/A,#N/A,FALSE,"자재관리";#N/A,#N/A,FALSE,"자재관리"}</definedName>
    <definedName name="wrn.6월._.자재관리._.현황." localSheetId="3" hidden="1">{#N/A,#N/A,FALSE,"자재관리";#N/A,#N/A,FALSE,"자재관리";#N/A,#N/A,FALSE,"자재관리"}</definedName>
    <definedName name="wrn.6월._.자재관리._.현황." hidden="1">{#N/A,#N/A,FALSE,"자재관리";#N/A,#N/A,FALSE,"자재관리";#N/A,#N/A,FALSE,"자재관리"}</definedName>
    <definedName name="wrn.abc." localSheetId="0" hidden="1">{#N/A,#N/A,TRUE,"천상그린44PY"}</definedName>
    <definedName name="wrn.abc." localSheetId="2" hidden="1">{#N/A,#N/A,TRUE,"천상그린44PY"}</definedName>
    <definedName name="wrn.abc." localSheetId="1" hidden="1">{#N/A,#N/A,TRUE,"천상그린44PY"}</definedName>
    <definedName name="wrn.abc." localSheetId="3" hidden="1">{#N/A,#N/A,TRUE,"천상그린44PY"}</definedName>
    <definedName name="wrn.abc." hidden="1">{#N/A,#N/A,TRUE,"천상그린44PY"}</definedName>
    <definedName name="wrn.ac30prn." localSheetId="0"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localSheetId="1" hidden="1">{#N/A,#N/A,FALSE,"별표20 ";#N/A,#N/A,FALSE,"부표";#N/A,#N/A,FALSE,"품셈내역";#N/A,#N/A,FALSE,"품셈집계";#N/A,#N/A,FALSE,"내역서";#N/A,#N/A,FALSE,"집계표";#N/A,#N/A,FALSE,"표지";#N/A,#N/A,FALSE,"별표총괄표"}</definedName>
    <definedName name="wrn.ac30prn." localSheetId="3"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localSheetId="2" hidden="1">{#N/A,#N/A,FALSE,"CCTV"}</definedName>
    <definedName name="wrn.BM." localSheetId="1" hidden="1">{#N/A,#N/A,FALSE,"CCTV"}</definedName>
    <definedName name="wrn.BM." localSheetId="3"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교육청." localSheetId="2" hidden="1">{#N/A,#N/A,FALSE,"전력간선"}</definedName>
    <definedName name="wrn.교육청." localSheetId="1" hidden="1">{#N/A,#N/A,FALSE,"전력간선"}</definedName>
    <definedName name="wrn.교육청." localSheetId="3" hidden="1">{#N/A,#N/A,FALSE,"전력간선"}</definedName>
    <definedName name="wrn.교육청." hidden="1">{#N/A,#N/A,FALSE,"전력간선"}</definedName>
    <definedName name="wrn.기성." localSheetId="0" hidden="1">{#N/A,#N/A,FALSE,"신청통보";#N/A,#N/A,FALSE,"기성확인서";#N/A,#N/A,FALSE,"기성내역서"}</definedName>
    <definedName name="wrn.기성." localSheetId="2" hidden="1">{#N/A,#N/A,FALSE,"신청통보";#N/A,#N/A,FALSE,"기성확인서";#N/A,#N/A,FALSE,"기성내역서"}</definedName>
    <definedName name="wrn.기성." localSheetId="1" hidden="1">{#N/A,#N/A,FALSE,"신청통보";#N/A,#N/A,FALSE,"기성확인서";#N/A,#N/A,FALSE,"기성내역서"}</definedName>
    <definedName name="wrn.기성." localSheetId="3"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localSheetId="1" hidden="1">{#N/A,#N/A,FALSE,"터빈집계";#N/A,#N/A,FALSE,"터빈내역";#N/A,#N/A,FALSE,"보일러집계";#N/A,#N/A,FALSE,"보일러내역"}</definedName>
    <definedName name="wrn.기초." localSheetId="3"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0" hidden="1">{#N/A,#N/A,TRUE,"자재관리";#N/A,#N/A,TRUE,"품질"}</definedName>
    <definedName name="wrn.보고서." localSheetId="2" hidden="1">{#N/A,#N/A,TRUE,"자재관리";#N/A,#N/A,TRUE,"품질"}</definedName>
    <definedName name="wrn.보고서." localSheetId="1" hidden="1">{#N/A,#N/A,TRUE,"자재관리";#N/A,#N/A,TRUE,"품질"}</definedName>
    <definedName name="wrn.보고서." localSheetId="3"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localSheetId="1" hidden="1">{#N/A,#N/A,FALSE,"물가변동 (2)";#N/A,#N/A,FALSE,"공사비";#N/A,#N/A,FALSE,"사급";#N/A,#N/A,FALSE,"도급집계";#N/A,#N/A,FALSE,"재료비";#N/A,#N/A,FALSE,"노무비";#N/A,#N/A,FALSE,"경비"}</definedName>
    <definedName name="wrn.보일러마감." localSheetId="3"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0"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localSheetId="1" hidden="1">{#N/A,#N/A,FALSE,"도급대비시행율";#N/A,#N/A,FALSE,"결의서";#N/A,#N/A,FALSE,"내역서";#N/A,#N/A,FALSE,"도급예상"}</definedName>
    <definedName name="wrn.시행결의." localSheetId="3"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localSheetId="2" hidden="1">{#N/A,#N/A,FALSE,"신청통보";#N/A,#N/A,FALSE,"기성확인서";#N/A,#N/A,FALSE,"기성내역서"}</definedName>
    <definedName name="wrn.외주기성." localSheetId="1" hidden="1">{#N/A,#N/A,FALSE,"신청통보";#N/A,#N/A,FALSE,"기성확인서";#N/A,#N/A,FALSE,"기성내역서"}</definedName>
    <definedName name="wrn.외주기성." localSheetId="3" hidden="1">{#N/A,#N/A,FALSE,"신청통보";#N/A,#N/A,FALSE,"기성확인서";#N/A,#N/A,FALSE,"기성내역서"}</definedName>
    <definedName name="wrn.외주기성." hidden="1">{#N/A,#N/A,FALSE,"신청통보";#N/A,#N/A,FALSE,"기성확인서";#N/A,#N/A,FALSE,"기성내역서"}</definedName>
    <definedName name="wrn.일위대가." localSheetId="0" hidden="1">{#N/A,#N/A,TRUE,"대가1"}</definedName>
    <definedName name="wrn.일위대가." localSheetId="2" hidden="1">{#N/A,#N/A,TRUE,"대가1"}</definedName>
    <definedName name="wrn.일위대가." localSheetId="1" hidden="1">{#N/A,#N/A,TRUE,"대가1"}</definedName>
    <definedName name="wrn.일위대가." localSheetId="3" hidden="1">{#N/A,#N/A,TRUE,"대가1"}</definedName>
    <definedName name="wrn.일위대가." hidden="1">{#N/A,#N/A,TRUE,"대가1"}</definedName>
    <definedName name="W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0" hidden="1">{#N/A,#N/A,TRUE,"자재관리";#N/A,#N/A,TRUE,"품질"}</definedName>
    <definedName name="X" localSheetId="2" hidden="1">{#N/A,#N/A,TRUE,"자재관리";#N/A,#N/A,TRUE,"품질"}</definedName>
    <definedName name="X" localSheetId="1" hidden="1">{#N/A,#N/A,TRUE,"자재관리";#N/A,#N/A,TRUE,"품질"}</definedName>
    <definedName name="X" localSheetId="3" hidden="1">{#N/A,#N/A,TRUE,"자재관리";#N/A,#N/A,TRUE,"품질"}</definedName>
    <definedName name="X" hidden="1">{#N/A,#N/A,TRUE,"자재관리";#N/A,#N/A,TRUE,"품질"}</definedName>
    <definedName name="yy" localSheetId="0" hidden="1">{#N/A,#N/A,FALSE,"전력간선"}</definedName>
    <definedName name="yy" localSheetId="2" hidden="1">{#N/A,#N/A,FALSE,"전력간선"}</definedName>
    <definedName name="yy" localSheetId="1" hidden="1">{#N/A,#N/A,FALSE,"전력간선"}</definedName>
    <definedName name="yy" localSheetId="3" hidden="1">{#N/A,#N/A,FALSE,"전력간선"}</definedName>
    <definedName name="yy" hidden="1">{#N/A,#N/A,FALSE,"전력간선"}</definedName>
    <definedName name="YY0" localSheetId="0" hidden="1">{#N/A,#N/A,FALSE,"전력간선"}</definedName>
    <definedName name="YY0" localSheetId="2" hidden="1">{#N/A,#N/A,FALSE,"전력간선"}</definedName>
    <definedName name="YY0" localSheetId="1" hidden="1">{#N/A,#N/A,FALSE,"전력간선"}</definedName>
    <definedName name="YY0" localSheetId="3" hidden="1">{#N/A,#N/A,FALSE,"전력간선"}</definedName>
    <definedName name="YY0" hidden="1">{#N/A,#N/A,FALSE,"전력간선"}</definedName>
    <definedName name="yyy" hidden="1">[4]수량산출!$A$1:$A$8561</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0" hidden="1">{#N/A,#N/A,FALSE,"CCTV"}</definedName>
    <definedName name="가스" localSheetId="2" hidden="1">{#N/A,#N/A,FALSE,"CCTV"}</definedName>
    <definedName name="가스" localSheetId="1" hidden="1">{#N/A,#N/A,FALSE,"CCTV"}</definedName>
    <definedName name="가스" localSheetId="3" hidden="1">{#N/A,#N/A,FALSE,"CCTV"}</definedName>
    <definedName name="가스" hidden="1">{#N/A,#N/A,FALSE,"CCTV"}</definedName>
    <definedName name="가스실행내역" localSheetId="0" hidden="1">{#N/A,#N/A,FALSE,"전력간선"}</definedName>
    <definedName name="가스실행내역" localSheetId="2" hidden="1">{#N/A,#N/A,FALSE,"전력간선"}</definedName>
    <definedName name="가스실행내역" localSheetId="1" hidden="1">{#N/A,#N/A,FALSE,"전력간선"}</definedName>
    <definedName name="가스실행내역" localSheetId="3" hidden="1">{#N/A,#N/A,FALSE,"전력간선"}</definedName>
    <definedName name="가스실행내역" hidden="1">{#N/A,#N/A,FALSE,"전력간선"}</definedName>
    <definedName name="가실" localSheetId="0" hidden="1">{#N/A,#N/A,FALSE,"전력간선"}</definedName>
    <definedName name="가실" localSheetId="2" hidden="1">{#N/A,#N/A,FALSE,"전력간선"}</definedName>
    <definedName name="가실" localSheetId="1" hidden="1">{#N/A,#N/A,FALSE,"전력간선"}</definedName>
    <definedName name="가실" localSheetId="3" hidden="1">{#N/A,#N/A,FALSE,"전력간선"}</definedName>
    <definedName name="가실" hidden="1">{#N/A,#N/A,FALSE,"전력간선"}</definedName>
    <definedName name="가아" hidden="1">[5]수량산출!#REF!</definedName>
    <definedName name="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[6]수량산출!$A$3:$H$8539</definedName>
    <definedName name="건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'[7]내역서1999.8최종'!$A$1:$A$2438</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0" hidden="1">{#N/A,#N/A,FALSE,"도급대비시행율";#N/A,#N/A,FALSE,"결의서";#N/A,#N/A,FALSE,"내역서";#N/A,#N/A,FALSE,"도급예상"}</definedName>
    <definedName name="경수" localSheetId="2" hidden="1">{#N/A,#N/A,FALSE,"도급대비시행율";#N/A,#N/A,FALSE,"결의서";#N/A,#N/A,FALSE,"내역서";#N/A,#N/A,FALSE,"도급예상"}</definedName>
    <definedName name="경수" localSheetId="1" hidden="1">{#N/A,#N/A,FALSE,"도급대비시행율";#N/A,#N/A,FALSE,"결의서";#N/A,#N/A,FALSE,"내역서";#N/A,#N/A,FALSE,"도급예상"}</definedName>
    <definedName name="경수" localSheetId="3"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localSheetId="2" hidden="1">{#N/A,#N/A,FALSE,"자재관리";#N/A,#N/A,FALSE,"자재관리";#N/A,#N/A,FALSE,"자재관리"}</definedName>
    <definedName name="경영목표2" localSheetId="1" hidden="1">{#N/A,#N/A,FALSE,"자재관리";#N/A,#N/A,FALSE,"자재관리";#N/A,#N/A,FALSE,"자재관리"}</definedName>
    <definedName name="경영목표2" localSheetId="3" hidden="1">{#N/A,#N/A,FALSE,"자재관리";#N/A,#N/A,FALSE,"자재관리";#N/A,#N/A,FALSE,"자재관리"}</definedName>
    <definedName name="경영목표2" hidden="1">{#N/A,#N/A,FALSE,"자재관리";#N/A,#N/A,FALSE,"자재관리";#N/A,#N/A,FALSE,"자재관리"}</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localSheetId="0" hidden="1">{#N/A,#N/A,FALSE,"CCTV"}</definedName>
    <definedName name="공내역" localSheetId="2" hidden="1">{#N/A,#N/A,FALSE,"CCTV"}</definedName>
    <definedName name="공내역" localSheetId="1" hidden="1">{#N/A,#N/A,FALSE,"CCTV"}</definedName>
    <definedName name="공내역" localSheetId="3" hidden="1">{#N/A,#N/A,FALSE,"CCTV"}</definedName>
    <definedName name="공내역" hidden="1">{#N/A,#N/A,FALSE,"CCTV"}</definedName>
    <definedName name="공문" localSheetId="0" hidden="1">{#N/A,#N/A,FALSE,"자재관리";#N/A,#N/A,FALSE,"자재관리";#N/A,#N/A,FALSE,"자재관리"}</definedName>
    <definedName name="공문" localSheetId="2" hidden="1">{#N/A,#N/A,FALSE,"자재관리";#N/A,#N/A,FALSE,"자재관리";#N/A,#N/A,FALSE,"자재관리"}</definedName>
    <definedName name="공문" localSheetId="1" hidden="1">{#N/A,#N/A,FALSE,"자재관리";#N/A,#N/A,FALSE,"자재관리";#N/A,#N/A,FALSE,"자재관리"}</definedName>
    <definedName name="공문" localSheetId="3"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localSheetId="2" hidden="1">{#N/A,#N/A,FALSE,"자재관리";#N/A,#N/A,FALSE,"자재관리";#N/A,#N/A,FALSE,"자재관리"}</definedName>
    <definedName name="공문1" localSheetId="1" hidden="1">{#N/A,#N/A,FALSE,"자재관리";#N/A,#N/A,FALSE,"자재관리";#N/A,#N/A,FALSE,"자재관리"}</definedName>
    <definedName name="공문1" localSheetId="3" hidden="1">{#N/A,#N/A,FALSE,"자재관리";#N/A,#N/A,FALSE,"자재관리";#N/A,#N/A,FALSE,"자재관리"}</definedName>
    <definedName name="공문1" hidden="1">{#N/A,#N/A,FALSE,"자재관리";#N/A,#N/A,FALSE,"자재관리";#N/A,#N/A,FALSE,"자재관리"}</definedName>
    <definedName name="공장동" hidden="1">#REF!</definedName>
    <definedName name="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localSheetId="0" hidden="1">{#N/A,#N/A,FALSE,"신청통보";#N/A,#N/A,FALSE,"기성확인서";#N/A,#N/A,FALSE,"기성내역서"}</definedName>
    <definedName name="구자관" localSheetId="2" hidden="1">{#N/A,#N/A,FALSE,"신청통보";#N/A,#N/A,FALSE,"기성확인서";#N/A,#N/A,FALSE,"기성내역서"}</definedName>
    <definedName name="구자관" localSheetId="1" hidden="1">{#N/A,#N/A,FALSE,"신청통보";#N/A,#N/A,FALSE,"기성확인서";#N/A,#N/A,FALSE,"기성내역서"}</definedName>
    <definedName name="구자관" localSheetId="3" hidden="1">{#N/A,#N/A,FALSE,"신청통보";#N/A,#N/A,FALSE,"기성확인서";#N/A,#N/A,FALSE,"기성내역서"}</definedName>
    <definedName name="구자관" hidden="1">{#N/A,#N/A,FALSE,"신청통보";#N/A,#N/A,FALSE,"기성확인서";#N/A,#N/A,FALSE,"기성내역서"}</definedName>
    <definedName name="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0" hidden="1">{#N/A,#N/A,TRUE,"자재관리";#N/A,#N/A,TRUE,"품질"}</definedName>
    <definedName name="기" localSheetId="2" hidden="1">{#N/A,#N/A,TRUE,"자재관리";#N/A,#N/A,TRUE,"품질"}</definedName>
    <definedName name="기" localSheetId="1" hidden="1">{#N/A,#N/A,TRUE,"자재관리";#N/A,#N/A,TRUE,"품질"}</definedName>
    <definedName name="기" localSheetId="3" hidden="1">{#N/A,#N/A,TRUE,"자재관리";#N/A,#N/A,TRUE,"품질"}</definedName>
    <definedName name="기" hidden="1">{#N/A,#N/A,TRUE,"자재관리";#N/A,#N/A,TRUE,"품질"}</definedName>
    <definedName name="기계단가1" localSheetId="0" hidden="1">{#N/A,#N/A,FALSE,"전력간선"}</definedName>
    <definedName name="기계단가1" localSheetId="2" hidden="1">{#N/A,#N/A,FALSE,"전력간선"}</definedName>
    <definedName name="기계단가1" localSheetId="1" hidden="1">{#N/A,#N/A,FALSE,"전력간선"}</definedName>
    <definedName name="기계단가1" localSheetId="3" hidden="1">{#N/A,#N/A,FALSE,"전력간선"}</definedName>
    <definedName name="기계단가1" hidden="1">{#N/A,#N/A,FALSE,"전력간선"}</definedName>
    <definedName name="기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localSheetId="2" hidden="1">{#N/A,#N/A,FALSE,"도급대비시행율";#N/A,#N/A,FALSE,"결의서";#N/A,#N/A,FALSE,"내역서";#N/A,#N/A,FALSE,"도급예상"}</definedName>
    <definedName name="길화건" localSheetId="1" hidden="1">{#N/A,#N/A,FALSE,"도급대비시행율";#N/A,#N/A,FALSE,"결의서";#N/A,#N/A,FALSE,"내역서";#N/A,#N/A,FALSE,"도급예상"}</definedName>
    <definedName name="길화건" localSheetId="3"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1" hidden="1">{#N/A,#N/A,FALSE,"집계";#N/A,#N/A,FALSE,"표지";#N/A,#N/A,FALSE,"터빈집계";#N/A,#N/A,FALSE,"터빈내역";#N/A,#N/A,FALSE,"주제어집계";#N/A,#N/A,FALSE,"주제어내역";#N/A,#N/A,FALSE,"보일러집계";#N/A,#N/A,FALSE,"보일러내역"}</definedName>
    <definedName name="길화건업" localSheetId="3"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0" hidden="1">{#N/A,#N/A,TRUE,"자재관리";#N/A,#N/A,TRUE,"품질"}</definedName>
    <definedName name="ㄴ" localSheetId="2" hidden="1">{#N/A,#N/A,TRUE,"자재관리";#N/A,#N/A,TRUE,"품질"}</definedName>
    <definedName name="ㄴ" localSheetId="1" hidden="1">{#N/A,#N/A,TRUE,"자재관리";#N/A,#N/A,TRUE,"품질"}</definedName>
    <definedName name="ㄴ" localSheetId="3" hidden="1">{#N/A,#N/A,TRUE,"자재관리";#N/A,#N/A,TRUE,"품질"}</definedName>
    <definedName name="ㄴ" hidden="1">{#N/A,#N/A,TRUE,"자재관리";#N/A,#N/A,TRUE,"품질"}</definedName>
    <definedName name="ㄴㄴㄴ" localSheetId="0" hidden="1">{#N/A,#N/A,FALSE,"자재관리";#N/A,#N/A,FALSE,"자재관리";#N/A,#N/A,FALSE,"자재관리"}</definedName>
    <definedName name="ㄴㄴㄴ" localSheetId="2" hidden="1">{#N/A,#N/A,FALSE,"자재관리";#N/A,#N/A,FALSE,"자재관리";#N/A,#N/A,FALSE,"자재관리"}</definedName>
    <definedName name="ㄴㄴㄴ" localSheetId="1" hidden="1">{#N/A,#N/A,FALSE,"자재관리";#N/A,#N/A,FALSE,"자재관리";#N/A,#N/A,FALSE,"자재관리"}</definedName>
    <definedName name="ㄴㄴㄴ" localSheetId="3" hidden="1">{#N/A,#N/A,FALSE,"자재관리";#N/A,#N/A,FALSE,"자재관리";#N/A,#N/A,FALSE,"자재관리"}</definedName>
    <definedName name="ㄴㄴㄴ" hidden="1">{#N/A,#N/A,FALSE,"자재관리";#N/A,#N/A,FALSE,"자재관리";#N/A,#N/A,FALSE,"자재관리"}</definedName>
    <definedName name="ㄴㄴㄴㄴ" hidden="1">#REF!</definedName>
    <definedName name="ㄴㄴㄴㄴㄴ" localSheetId="0" hidden="1">{#N/A,#N/A,TRUE,"자재관리";#N/A,#N/A,TRUE,"품질"}</definedName>
    <definedName name="ㄴㄴㄴㄴㄴ" localSheetId="2" hidden="1">{#N/A,#N/A,TRUE,"자재관리";#N/A,#N/A,TRUE,"품질"}</definedName>
    <definedName name="ㄴㄴㄴㄴㄴ" localSheetId="1" hidden="1">{#N/A,#N/A,TRUE,"자재관리";#N/A,#N/A,TRUE,"품질"}</definedName>
    <definedName name="ㄴㄴㄴㄴㄴ" localSheetId="3" hidden="1">{#N/A,#N/A,TRUE,"자재관리";#N/A,#N/A,TRUE,"품질"}</definedName>
    <definedName name="ㄴㄴㄴㄴㄴ" hidden="1">{#N/A,#N/A,TRUE,"자재관리";#N/A,#N/A,TRUE,"품질"}</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0" hidden="1">{#N/A,#N/A,FALSE,"자재관리";#N/A,#N/A,FALSE,"자재관리";#N/A,#N/A,FALSE,"자재관리"}</definedName>
    <definedName name="ㄴㅁㅁㅁ" localSheetId="2" hidden="1">{#N/A,#N/A,FALSE,"자재관리";#N/A,#N/A,FALSE,"자재관리";#N/A,#N/A,FALSE,"자재관리"}</definedName>
    <definedName name="ㄴㅁㅁㅁ" localSheetId="1" hidden="1">{#N/A,#N/A,FALSE,"자재관리";#N/A,#N/A,FALSE,"자재관리";#N/A,#N/A,FALSE,"자재관리"}</definedName>
    <definedName name="ㄴㅁㅁㅁ" localSheetId="3" hidden="1">{#N/A,#N/A,FALSE,"자재관리";#N/A,#N/A,FALSE,"자재관리";#N/A,#N/A,FALSE,"자재관리"}</definedName>
    <definedName name="ㄴㅁㅁㅁ" hidden="1">{#N/A,#N/A,FALSE,"자재관리";#N/A,#N/A,FALSE,"자재관리";#N/A,#N/A,FALSE,"자재관리"}</definedName>
    <definedName name="ㄴㅌㄴㅌ" localSheetId="0" hidden="1">{#N/A,#N/A,FALSE,"CCTV"}</definedName>
    <definedName name="ㄴㅌㄴㅌ" localSheetId="2" hidden="1">{#N/A,#N/A,FALSE,"CCTV"}</definedName>
    <definedName name="ㄴㅌㄴㅌ" localSheetId="1" hidden="1">{#N/A,#N/A,FALSE,"CCTV"}</definedName>
    <definedName name="ㄴㅌㄴㅌ" localSheetId="3" hidden="1">{#N/A,#N/A,FALSE,"CCTV"}</definedName>
    <definedName name="ㄴㅌㄴㅌ" hidden="1">{#N/A,#N/A,FALSE,"CCTV"}</definedName>
    <definedName name="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0" hidden="1">{#N/A,#N/A,FALSE,"CCTV"}</definedName>
    <definedName name="내역" localSheetId="2" hidden="1">{#N/A,#N/A,FALSE,"CCTV"}</definedName>
    <definedName name="내역" localSheetId="1" hidden="1">{#N/A,#N/A,FALSE,"CCTV"}</definedName>
    <definedName name="내역" localSheetId="3" hidden="1">{#N/A,#N/A,FALSE,"CCTV"}</definedName>
    <definedName name="내역" hidden="1">{#N/A,#N/A,FALSE,"CCTV"}</definedName>
    <definedName name="내역점검" localSheetId="0" hidden="1">{#N/A,#N/A,FALSE,"전력간선"}</definedName>
    <definedName name="내역점검" localSheetId="2" hidden="1">{#N/A,#N/A,FALSE,"전력간선"}</definedName>
    <definedName name="내역점검" localSheetId="1" hidden="1">{#N/A,#N/A,FALSE,"전력간선"}</definedName>
    <definedName name="내역점검" localSheetId="3" hidden="1">{#N/A,#N/A,FALSE,"전력간선"}</definedName>
    <definedName name="내역점검" hidden="1">{#N/A,#N/A,FALSE,"전력간선"}</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0" hidden="1">{#N/A,#N/A,FALSE,"전력간선"}</definedName>
    <definedName name="단가산출서" localSheetId="2" hidden="1">{#N/A,#N/A,FALSE,"전력간선"}</definedName>
    <definedName name="단가산출서" localSheetId="1" hidden="1">{#N/A,#N/A,FALSE,"전력간선"}</definedName>
    <definedName name="단가산출서" localSheetId="3" hidden="1">{#N/A,#N/A,FALSE,"전력간선"}</definedName>
    <definedName name="단가산출서" hidden="1">{#N/A,#N/A,FALSE,"전력간선"}</definedName>
    <definedName name="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localSheetId="0" hidden="1">{#N/A,#N/A,FALSE,"도급대비시행율";#N/A,#N/A,FALSE,"결의서";#N/A,#N/A,FALSE,"내역서";#N/A,#N/A,FALSE,"도급예상"}</definedName>
    <definedName name="러헐" localSheetId="2" hidden="1">{#N/A,#N/A,FALSE,"도급대비시행율";#N/A,#N/A,FALSE,"결의서";#N/A,#N/A,FALSE,"내역서";#N/A,#N/A,FALSE,"도급예상"}</definedName>
    <definedName name="러헐" localSheetId="1" hidden="1">{#N/A,#N/A,FALSE,"도급대비시행율";#N/A,#N/A,FALSE,"결의서";#N/A,#N/A,FALSE,"내역서";#N/A,#N/A,FALSE,"도급예상"}</definedName>
    <definedName name="러헐" localSheetId="3" hidden="1">{#N/A,#N/A,FALSE,"도급대비시행율";#N/A,#N/A,FALSE,"결의서";#N/A,#N/A,FALSE,"내역서";#N/A,#N/A,FALSE,"도급예상"}</definedName>
    <definedName name="러헐" hidden="1">{#N/A,#N/A,FALSE,"도급대비시행율";#N/A,#N/A,FALSE,"결의서";#N/A,#N/A,FALSE,"내역서";#N/A,#N/A,FALSE,"도급예상"}</definedName>
    <definedName name="럭키" localSheetId="0" hidden="1">{#N/A,#N/A,FALSE,"전력간선"}</definedName>
    <definedName name="럭키" localSheetId="2" hidden="1">{#N/A,#N/A,FALSE,"전력간선"}</definedName>
    <definedName name="럭키" localSheetId="1" hidden="1">{#N/A,#N/A,FALSE,"전력간선"}</definedName>
    <definedName name="럭키" localSheetId="3" hidden="1">{#N/A,#N/A,FALSE,"전력간선"}</definedName>
    <definedName name="럭키" hidden="1">{#N/A,#N/A,FALSE,"전력간선"}</definedName>
    <definedName name="롯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0" hidden="1">{#N/A,#N/A,FALSE,"자재관리";#N/A,#N/A,FALSE,"자재관리";#N/A,#N/A,FALSE,"자재관리"}</definedName>
    <definedName name="ㅁ" localSheetId="2" hidden="1">{#N/A,#N/A,FALSE,"자재관리";#N/A,#N/A,FALSE,"자재관리";#N/A,#N/A,FALSE,"자재관리"}</definedName>
    <definedName name="ㅁ" localSheetId="1" hidden="1">{#N/A,#N/A,FALSE,"자재관리";#N/A,#N/A,FALSE,"자재관리";#N/A,#N/A,FALSE,"자재관리"}</definedName>
    <definedName name="ㅁ" localSheetId="3" hidden="1">{#N/A,#N/A,FALSE,"자재관리";#N/A,#N/A,FALSE,"자재관리";#N/A,#N/A,FALSE,"자재관리"}</definedName>
    <definedName name="ㅁ" hidden="1">{#N/A,#N/A,FALSE,"자재관리";#N/A,#N/A,FALSE,"자재관리";#N/A,#N/A,FALSE,"자재관리"}</definedName>
    <definedName name="ㅁㄱㄷ" localSheetId="0" hidden="1">{#N/A,#N/A,FALSE,"자재관리";#N/A,#N/A,FALSE,"자재관리";#N/A,#N/A,FALSE,"자재관리"}</definedName>
    <definedName name="ㅁㄱㄷ" localSheetId="2" hidden="1">{#N/A,#N/A,FALSE,"자재관리";#N/A,#N/A,FALSE,"자재관리";#N/A,#N/A,FALSE,"자재관리"}</definedName>
    <definedName name="ㅁㄱㄷ" localSheetId="1" hidden="1">{#N/A,#N/A,FALSE,"자재관리";#N/A,#N/A,FALSE,"자재관리";#N/A,#N/A,FALSE,"자재관리"}</definedName>
    <definedName name="ㅁㄱㄷ" localSheetId="3" hidden="1">{#N/A,#N/A,FALSE,"자재관리";#N/A,#N/A,FALSE,"자재관리";#N/A,#N/A,FALSE,"자재관리"}</definedName>
    <definedName name="ㅁㄱㄷ" hidden="1">{#N/A,#N/A,FALSE,"자재관리";#N/A,#N/A,FALSE,"자재관리";#N/A,#N/A,FALSE,"자재관리"}</definedName>
    <definedName name="ㅁㅁ" localSheetId="0" hidden="1">{#N/A,#N/A,FALSE,"전력간선"}</definedName>
    <definedName name="ㅁㅁ" localSheetId="2" hidden="1">{#N/A,#N/A,FALSE,"전력간선"}</definedName>
    <definedName name="ㅁㅁ" localSheetId="1" hidden="1">{#N/A,#N/A,FALSE,"전력간선"}</definedName>
    <definedName name="ㅁㅁ" localSheetId="3" hidden="1">{#N/A,#N/A,FALSE,"전력간선"}</definedName>
    <definedName name="ㅁㅁ" hidden="1">{#N/A,#N/A,FALSE,"전력간선"}</definedName>
    <definedName name="ㅁㅇ" localSheetId="0" hidden="1">{#N/A,#N/A,FALSE,"자재관리";#N/A,#N/A,FALSE,"자재관리";#N/A,#N/A,FALSE,"자재관리"}</definedName>
    <definedName name="ㅁㅇ" localSheetId="2" hidden="1">{#N/A,#N/A,FALSE,"자재관리";#N/A,#N/A,FALSE,"자재관리";#N/A,#N/A,FALSE,"자재관리"}</definedName>
    <definedName name="ㅁㅇ" localSheetId="1" hidden="1">{#N/A,#N/A,FALSE,"자재관리";#N/A,#N/A,FALSE,"자재관리";#N/A,#N/A,FALSE,"자재관리"}</definedName>
    <definedName name="ㅁㅇ" localSheetId="3" hidden="1">{#N/A,#N/A,FALSE,"자재관리";#N/A,#N/A,FALSE,"자재관리";#N/A,#N/A,FALSE,"자재관리"}</definedName>
    <definedName name="ㅁㅇ" hidden="1">{#N/A,#N/A,FALSE,"자재관리";#N/A,#N/A,FALSE,"자재관리";#N/A,#N/A,FALSE,"자재관리"}</definedName>
    <definedName name="마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0" hidden="1">{#N/A,#N/A,FALSE,"전력간선"}</definedName>
    <definedName name="명신" localSheetId="2" hidden="1">{#N/A,#N/A,FALSE,"전력간선"}</definedName>
    <definedName name="명신" localSheetId="1" hidden="1">{#N/A,#N/A,FALSE,"전력간선"}</definedName>
    <definedName name="명신" localSheetId="3" hidden="1">{#N/A,#N/A,FALSE,"전력간선"}</definedName>
    <definedName name="명신" hidden="1">{#N/A,#N/A,FALSE,"전력간선"}</definedName>
    <definedName name="목표" localSheetId="0" hidden="1">{#N/A,#N/A,FALSE,"자재관리";#N/A,#N/A,FALSE,"자재관리";#N/A,#N/A,FALSE,"자재관리"}</definedName>
    <definedName name="목표" localSheetId="2" hidden="1">{#N/A,#N/A,FALSE,"자재관리";#N/A,#N/A,FALSE,"자재관리";#N/A,#N/A,FALSE,"자재관리"}</definedName>
    <definedName name="목표" localSheetId="1" hidden="1">{#N/A,#N/A,FALSE,"자재관리";#N/A,#N/A,FALSE,"자재관리";#N/A,#N/A,FALSE,"자재관리"}</definedName>
    <definedName name="목표" localSheetId="3" hidden="1">{#N/A,#N/A,FALSE,"자재관리";#N/A,#N/A,FALSE,"자재관리";#N/A,#N/A,FALSE,"자재관리"}</definedName>
    <definedName name="목표" hidden="1">{#N/A,#N/A,FALSE,"자재관리";#N/A,#N/A,FALSE,"자재관리";#N/A,#N/A,FALSE,"자재관리"}</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0" hidden="1">{#N/A,#N/A,FALSE,"전력간선"}</definedName>
    <definedName name="ㅂ" localSheetId="2" hidden="1">{#N/A,#N/A,FALSE,"전력간선"}</definedName>
    <definedName name="ㅂ" localSheetId="1" hidden="1">{#N/A,#N/A,FALSE,"전력간선"}</definedName>
    <definedName name="ㅂ" localSheetId="3" hidden="1">{#N/A,#N/A,FALSE,"전력간선"}</definedName>
    <definedName name="ㅂ" hidden="1">{#N/A,#N/A,FALSE,"전력간선"}</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0" hidden="1">{#N/A,#N/A,FALSE,"자재관리";#N/A,#N/A,FALSE,"자재관리";#N/A,#N/A,FALSE,"자재관리"}</definedName>
    <definedName name="ㅅ" localSheetId="2" hidden="1">{#N/A,#N/A,FALSE,"자재관리";#N/A,#N/A,FALSE,"자재관리";#N/A,#N/A,FALSE,"자재관리"}</definedName>
    <definedName name="ㅅ" localSheetId="1" hidden="1">{#N/A,#N/A,FALSE,"자재관리";#N/A,#N/A,FALSE,"자재관리";#N/A,#N/A,FALSE,"자재관리"}</definedName>
    <definedName name="ㅅ" localSheetId="3" hidden="1">{#N/A,#N/A,FALSE,"자재관리";#N/A,#N/A,FALSE,"자재관리";#N/A,#N/A,FALSE,"자재관리"}</definedName>
    <definedName name="ㅅ" hidden="1">{#N/A,#N/A,FALSE,"자재관리";#N/A,#N/A,FALSE,"자재관리";#N/A,#N/A,FALSE,"자재관리"}</definedName>
    <definedName name="ㅅㅅ" hidden="1">#REF!</definedName>
    <definedName name="산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0" hidden="1">{#N/A,#N/A,FALSE,"자재관리";#N/A,#N/A,FALSE,"자재관리";#N/A,#N/A,FALSE,"자재관리"}</definedName>
    <definedName name="서원열" localSheetId="2" hidden="1">{#N/A,#N/A,FALSE,"자재관리";#N/A,#N/A,FALSE,"자재관리";#N/A,#N/A,FALSE,"자재관리"}</definedName>
    <definedName name="서원열" localSheetId="1" hidden="1">{#N/A,#N/A,FALSE,"자재관리";#N/A,#N/A,FALSE,"자재관리";#N/A,#N/A,FALSE,"자재관리"}</definedName>
    <definedName name="서원열" localSheetId="3"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localSheetId="2" hidden="1">{#N/A,#N/A,FALSE,"자재관리";#N/A,#N/A,FALSE,"자재관리";#N/A,#N/A,FALSE,"자재관리"}</definedName>
    <definedName name="서원영" localSheetId="1" hidden="1">{#N/A,#N/A,FALSE,"자재관리";#N/A,#N/A,FALSE,"자재관리";#N/A,#N/A,FALSE,"자재관리"}</definedName>
    <definedName name="서원영" localSheetId="3" hidden="1">{#N/A,#N/A,FALSE,"자재관리";#N/A,#N/A,FALSE,"자재관리";#N/A,#N/A,FALSE,"자재관리"}</definedName>
    <definedName name="서원영" hidden="1">{#N/A,#N/A,FALSE,"자재관리";#N/A,#N/A,FALSE,"자재관리";#N/A,#N/A,FALSE,"자재관리"}</definedName>
    <definedName name="석"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0" hidden="1">{#N/A,#N/A,FALSE,"자재관리";#N/A,#N/A,FALSE,"자재관리";#N/A,#N/A,FALSE,"자재관리"}</definedName>
    <definedName name="세현" localSheetId="2" hidden="1">{#N/A,#N/A,FALSE,"자재관리";#N/A,#N/A,FALSE,"자재관리";#N/A,#N/A,FALSE,"자재관리"}</definedName>
    <definedName name="세현" localSheetId="1" hidden="1">{#N/A,#N/A,FALSE,"자재관리";#N/A,#N/A,FALSE,"자재관리";#N/A,#N/A,FALSE,"자재관리"}</definedName>
    <definedName name="세현" localSheetId="3" hidden="1">{#N/A,#N/A,FALSE,"자재관리";#N/A,#N/A,FALSE,"자재관리";#N/A,#N/A,FALSE,"자재관리"}</definedName>
    <definedName name="세현" hidden="1">{#N/A,#N/A,FALSE,"자재관리";#N/A,#N/A,FALSE,"자재관리";#N/A,#N/A,FALSE,"자재관리"}</definedName>
    <definedName name="소화갑지" localSheetId="0" hidden="1">{#N/A,#N/A,FALSE,"CCTV"}</definedName>
    <definedName name="소화갑지" localSheetId="2" hidden="1">{#N/A,#N/A,FALSE,"CCTV"}</definedName>
    <definedName name="소화갑지" localSheetId="1" hidden="1">{#N/A,#N/A,FALSE,"CCTV"}</definedName>
    <definedName name="소화갑지" localSheetId="3" hidden="1">{#N/A,#N/A,FALSE,"CCTV"}</definedName>
    <definedName name="소화갑지" hidden="1">{#N/A,#N/A,FALSE,"CCTV"}</definedName>
    <definedName name="수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0" hidden="1">{#N/A,#N/A,TRUE,"자재관리";#N/A,#N/A,TRUE,"품질"}</definedName>
    <definedName name="ㅇ" localSheetId="2" hidden="1">{#N/A,#N/A,TRUE,"자재관리";#N/A,#N/A,TRUE,"품질"}</definedName>
    <definedName name="ㅇ" localSheetId="1" hidden="1">{#N/A,#N/A,TRUE,"자재관리";#N/A,#N/A,TRUE,"품질"}</definedName>
    <definedName name="ㅇ" localSheetId="3" hidden="1">{#N/A,#N/A,TRUE,"자재관리";#N/A,#N/A,TRUE,"품질"}</definedName>
    <definedName name="ㅇ" hidden="1">{#N/A,#N/A,TRUE,"자재관리";#N/A,#N/A,TRUE,"품질"}</definedName>
    <definedName name="ㅇㄴㅇㄴ" localSheetId="0" hidden="1">{#N/A,#N/A,FALSE,"CCTV"}</definedName>
    <definedName name="ㅇㄴㅇㄴ" localSheetId="2" hidden="1">{#N/A,#N/A,FALSE,"CCTV"}</definedName>
    <definedName name="ㅇㄴㅇㄴ" localSheetId="1" hidden="1">{#N/A,#N/A,FALSE,"CCTV"}</definedName>
    <definedName name="ㅇㄴㅇㄴ" localSheetId="3" hidden="1">{#N/A,#N/A,FALSE,"CCTV"}</definedName>
    <definedName name="ㅇㄴㅇㄴ" hidden="1">{#N/A,#N/A,FALSE,"CCTV"}</definedName>
    <definedName name="ㅇㄹㅇㄹ" hidden="1">#REF!</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0" hidden="1">{#N/A,#N/A,FALSE,"자재관리";#N/A,#N/A,FALSE,"자재관리";#N/A,#N/A,FALSE,"자재관리"}</definedName>
    <definedName name="ㅇㅇ" localSheetId="2" hidden="1">{#N/A,#N/A,FALSE,"자재관리";#N/A,#N/A,FALSE,"자재관리";#N/A,#N/A,FALSE,"자재관리"}</definedName>
    <definedName name="ㅇㅇ" localSheetId="1" hidden="1">{#N/A,#N/A,FALSE,"자재관리";#N/A,#N/A,FALSE,"자재관리";#N/A,#N/A,FALSE,"자재관리"}</definedName>
    <definedName name="ㅇㅇ" localSheetId="3"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localSheetId="2" hidden="1">{#N/A,#N/A,FALSE,"자재관리";#N/A,#N/A,FALSE,"자재관리";#N/A,#N/A,FALSE,"자재관리"}</definedName>
    <definedName name="ㅇㅇㄹㄴㅁㄹ" localSheetId="1" hidden="1">{#N/A,#N/A,FALSE,"자재관리";#N/A,#N/A,FALSE,"자재관리";#N/A,#N/A,FALSE,"자재관리"}</definedName>
    <definedName name="ㅇㅇㄹㄴㅁㄹ" localSheetId="3"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localSheetId="2" hidden="1">{#N/A,#N/A,TRUE,"자재관리";#N/A,#N/A,TRUE,"품질"}</definedName>
    <definedName name="ㅇㅇㅇㅇㅇ" localSheetId="1" hidden="1">{#N/A,#N/A,TRUE,"자재관리";#N/A,#N/A,TRUE,"품질"}</definedName>
    <definedName name="ㅇㅇㅇㅇㅇ" localSheetId="3" hidden="1">{#N/A,#N/A,TRUE,"자재관리";#N/A,#N/A,TRUE,"품질"}</definedName>
    <definedName name="ㅇㅇㅇㅇㅇ" hidden="1">{#N/A,#N/A,TRUE,"자재관리";#N/A,#N/A,TRUE,"품질"}</definedName>
    <definedName name="아" localSheetId="0" hidden="1">{#N/A,#N/A,FALSE,"자재관리";#N/A,#N/A,FALSE,"자재관리";#N/A,#N/A,FALSE,"자재관리"}</definedName>
    <definedName name="아" localSheetId="2" hidden="1">{#N/A,#N/A,FALSE,"자재관리";#N/A,#N/A,FALSE,"자재관리";#N/A,#N/A,FALSE,"자재관리"}</definedName>
    <definedName name="아" localSheetId="1" hidden="1">{#N/A,#N/A,FALSE,"자재관리";#N/A,#N/A,FALSE,"자재관리";#N/A,#N/A,FALSE,"자재관리"}</definedName>
    <definedName name="아" localSheetId="3" hidden="1">{#N/A,#N/A,FALSE,"자재관리";#N/A,#N/A,FALSE,"자재관리";#N/A,#N/A,FALSE,"자재관리"}</definedName>
    <definedName name="아" hidden="1">{#N/A,#N/A,FALSE,"자재관리";#N/A,#N/A,FALSE,"자재관리";#N/A,#N/A,FALSE,"자재관리"}</definedName>
    <definedName name="아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0" hidden="1">{#N/A,#N/A,FALSE,"자재관리";#N/A,#N/A,FALSE,"자재관리";#N/A,#N/A,FALSE,"자재관리"}</definedName>
    <definedName name="아이템별투자" localSheetId="2" hidden="1">{#N/A,#N/A,FALSE,"자재관리";#N/A,#N/A,FALSE,"자재관리";#N/A,#N/A,FALSE,"자재관리"}</definedName>
    <definedName name="아이템별투자" localSheetId="1" hidden="1">{#N/A,#N/A,FALSE,"자재관리";#N/A,#N/A,FALSE,"자재관리";#N/A,#N/A,FALSE,"자재관리"}</definedName>
    <definedName name="아이템별투자" localSheetId="3" hidden="1">{#N/A,#N/A,FALSE,"자재관리";#N/A,#N/A,FALSE,"자재관리";#N/A,#N/A,FALSE,"자재관리"}</definedName>
    <definedName name="아이템별투자" hidden="1">{#N/A,#N/A,FALSE,"자재관리";#N/A,#N/A,FALSE,"자재관리";#N/A,#N/A,FALSE,"자재관리"}</definedName>
    <definedName name="안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localSheetId="0" hidden="1">{#N/A,#N/A,FALSE,"자재관리";#N/A,#N/A,FALSE,"자재관리";#N/A,#N/A,FALSE,"자재관리"}</definedName>
    <definedName name="앙" localSheetId="2" hidden="1">{#N/A,#N/A,FALSE,"자재관리";#N/A,#N/A,FALSE,"자재관리";#N/A,#N/A,FALSE,"자재관리"}</definedName>
    <definedName name="앙" localSheetId="1" hidden="1">{#N/A,#N/A,FALSE,"자재관리";#N/A,#N/A,FALSE,"자재관리";#N/A,#N/A,FALSE,"자재관리"}</definedName>
    <definedName name="앙" localSheetId="3" hidden="1">{#N/A,#N/A,FALSE,"자재관리";#N/A,#N/A,FALSE,"자재관리";#N/A,#N/A,FALSE,"자재관리"}</definedName>
    <definedName name="앙" hidden="1">{#N/A,#N/A,FALSE,"자재관리";#N/A,#N/A,FALSE,"자재관리";#N/A,#N/A,FALSE,"자재관리"}</definedName>
    <definedName name="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0" hidden="1">{#N/A,#N/A,FALSE,"자재관리";#N/A,#N/A,FALSE,"자재관리";#N/A,#N/A,FALSE,"자재관리"}</definedName>
    <definedName name="양" localSheetId="2" hidden="1">{#N/A,#N/A,FALSE,"자재관리";#N/A,#N/A,FALSE,"자재관리";#N/A,#N/A,FALSE,"자재관리"}</definedName>
    <definedName name="양" localSheetId="1" hidden="1">{#N/A,#N/A,FALSE,"자재관리";#N/A,#N/A,FALSE,"자재관리";#N/A,#N/A,FALSE,"자재관리"}</definedName>
    <definedName name="양" localSheetId="3" hidden="1">{#N/A,#N/A,FALSE,"자재관리";#N/A,#N/A,FALSE,"자재관리";#N/A,#N/A,FALSE,"자재관리"}</definedName>
    <definedName name="양" hidden="1">{#N/A,#N/A,FALSE,"자재관리";#N/A,#N/A,FALSE,"자재관리";#N/A,#N/A,FALSE,"자재관리"}</definedName>
    <definedName name="양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0"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localSheetId="1" hidden="1">{#N/A,#N/A,FALSE,"집계";#N/A,#N/A,FALSE,"표지";#N/A,#N/A,FALSE,"터빈집계";#N/A,#N/A,FALSE,"터빈내역";#N/A,#N/A,FALSE,"주제어집계";#N/A,#N/A,FALSE,"주제어내역";#N/A,#N/A,FALSE,"보일러집계";#N/A,#N/A,FALSE,"보일러내역"}</definedName>
    <definedName name="업" localSheetId="3"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localSheetId="2" hidden="1">{#N/A,#N/A,TRUE,"자재관리";#N/A,#N/A,TRUE,"품질"}</definedName>
    <definedName name="업소용" localSheetId="1" hidden="1">{#N/A,#N/A,TRUE,"자재관리";#N/A,#N/A,TRUE,"품질"}</definedName>
    <definedName name="업소용" localSheetId="3"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localSheetId="2" hidden="1">{#N/A,#N/A,FALSE,"자재관리";#N/A,#N/A,FALSE,"자재관리";#N/A,#N/A,FALSE,"자재관리"}</definedName>
    <definedName name="업소용생산1팀" localSheetId="1" hidden="1">{#N/A,#N/A,FALSE,"자재관리";#N/A,#N/A,FALSE,"자재관리";#N/A,#N/A,FALSE,"자재관리"}</definedName>
    <definedName name="업소용생산1팀" localSheetId="3" hidden="1">{#N/A,#N/A,FALSE,"자재관리";#N/A,#N/A,FALSE,"자재관리";#N/A,#N/A,FALSE,"자재관리"}</definedName>
    <definedName name="업소용생산1팀" hidden="1">{#N/A,#N/A,FALSE,"자재관리";#N/A,#N/A,FALSE,"자재관리";#N/A,#N/A,FALSE,"자재관리"}</definedName>
    <definedName name="역"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0" hidden="1">{#N/A,#N/A,FALSE,"전력간선"}</definedName>
    <definedName name="염" localSheetId="2" hidden="1">{#N/A,#N/A,FALSE,"전력간선"}</definedName>
    <definedName name="염" localSheetId="1" hidden="1">{#N/A,#N/A,FALSE,"전력간선"}</definedName>
    <definedName name="염" localSheetId="3" hidden="1">{#N/A,#N/A,FALSE,"전력간선"}</definedName>
    <definedName name="염" hidden="1">{#N/A,#N/A,FALSE,"전력간선"}</definedName>
    <definedName name="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0" hidden="1">{#N/A,#N/A,FALSE,"전력간선"}</definedName>
    <definedName name="영조" localSheetId="2" hidden="1">{#N/A,#N/A,FALSE,"전력간선"}</definedName>
    <definedName name="영조" localSheetId="1" hidden="1">{#N/A,#N/A,FALSE,"전력간선"}</definedName>
    <definedName name="영조" localSheetId="3" hidden="1">{#N/A,#N/A,FALSE,"전력간선"}</definedName>
    <definedName name="영조" hidden="1">{#N/A,#N/A,FALSE,"전력간선"}</definedName>
    <definedName name="예상도급내역" localSheetId="0" hidden="1">{#N/A,#N/A,FALSE,"CCTV"}</definedName>
    <definedName name="예상도급내역" localSheetId="2" hidden="1">{#N/A,#N/A,FALSE,"CCTV"}</definedName>
    <definedName name="예상도급내역" localSheetId="1" hidden="1">{#N/A,#N/A,FALSE,"CCTV"}</definedName>
    <definedName name="예상도급내역" localSheetId="3" hidden="1">{#N/A,#N/A,FALSE,"CCTV"}</definedName>
    <definedName name="예상도급내역" hidden="1">{#N/A,#N/A,FALSE,"CCTV"}</definedName>
    <definedName name="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localSheetId="0" hidden="1">{#N/A,#N/A,FALSE,"자재관리";#N/A,#N/A,FALSE,"자재관리";#N/A,#N/A,FALSE,"자재관리"}</definedName>
    <definedName name="우인보고표지" localSheetId="2" hidden="1">{#N/A,#N/A,FALSE,"자재관리";#N/A,#N/A,FALSE,"자재관리";#N/A,#N/A,FALSE,"자재관리"}</definedName>
    <definedName name="우인보고표지" localSheetId="1" hidden="1">{#N/A,#N/A,FALSE,"자재관리";#N/A,#N/A,FALSE,"자재관리";#N/A,#N/A,FALSE,"자재관리"}</definedName>
    <definedName name="우인보고표지" localSheetId="3"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localSheetId="2" hidden="1">{#N/A,#N/A,TRUE,"자재관리";#N/A,#N/A,TRUE,"품질"}</definedName>
    <definedName name="우인표지" localSheetId="1" hidden="1">{#N/A,#N/A,TRUE,"자재관리";#N/A,#N/A,TRUE,"품질"}</definedName>
    <definedName name="우인표지" localSheetId="3" hidden="1">{#N/A,#N/A,TRUE,"자재관리";#N/A,#N/A,TRUE,"품질"}</definedName>
    <definedName name="우인표지" hidden="1">{#N/A,#N/A,TRUE,"자재관리";#N/A,#N/A,TRUE,"품질"}</definedName>
    <definedName name="원가TABLE" localSheetId="0" hidden="1">{#N/A,#N/A,TRUE,"자재관리";#N/A,#N/A,TRUE,"품질"}</definedName>
    <definedName name="원가TABLE" localSheetId="2" hidden="1">{#N/A,#N/A,TRUE,"자재관리";#N/A,#N/A,TRUE,"품질"}</definedName>
    <definedName name="원가TABLE" localSheetId="1" hidden="1">{#N/A,#N/A,TRUE,"자재관리";#N/A,#N/A,TRUE,"품질"}</definedName>
    <definedName name="원가TABLE" localSheetId="3" hidden="1">{#N/A,#N/A,TRUE,"자재관리";#N/A,#N/A,TRUE,"품질"}</definedName>
    <definedName name="원가TABLE" hidden="1">{#N/A,#N/A,TRUE,"자재관리";#N/A,#N/A,TRUE,"품질"}</definedName>
    <definedName name="원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0" hidden="1">{#N/A,#N/A,FALSE,"도급대비시행율";#N/A,#N/A,FALSE,"결의서";#N/A,#N/A,FALSE,"내역서";#N/A,#N/A,FALSE,"도급예상"}</definedName>
    <definedName name="을" localSheetId="2" hidden="1">{#N/A,#N/A,FALSE,"도급대비시행율";#N/A,#N/A,FALSE,"결의서";#N/A,#N/A,FALSE,"내역서";#N/A,#N/A,FALSE,"도급예상"}</definedName>
    <definedName name="을" localSheetId="1" hidden="1">{#N/A,#N/A,FALSE,"도급대비시행율";#N/A,#N/A,FALSE,"결의서";#N/A,#N/A,FALSE,"내역서";#N/A,#N/A,FALSE,"도급예상"}</definedName>
    <definedName name="을" localSheetId="3"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localSheetId="2" hidden="1">{#N/A,#N/A,FALSE,"자재관리";#N/A,#N/A,FALSE,"자재관리";#N/A,#N/A,FALSE,"자재관리"}</definedName>
    <definedName name="이" localSheetId="1" hidden="1">{#N/A,#N/A,FALSE,"자재관리";#N/A,#N/A,FALSE,"자재관리";#N/A,#N/A,FALSE,"자재관리"}</definedName>
    <definedName name="이" localSheetId="3"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localSheetId="2" hidden="1">{#N/A,#N/A,FALSE,"전력간선"}</definedName>
    <definedName name="이름" localSheetId="1" hidden="1">{#N/A,#N/A,FALSE,"전력간선"}</definedName>
    <definedName name="이름" localSheetId="3" hidden="1">{#N/A,#N/A,FALSE,"전력간선"}</definedName>
    <definedName name="이름" hidden="1">{#N/A,#N/A,FALSE,"전력간선"}</definedName>
    <definedName name="이봉해" localSheetId="0" hidden="1">{#N/A,#N/A,FALSE,"자재관리";#N/A,#N/A,FALSE,"자재관리";#N/A,#N/A,FALSE,"자재관리"}</definedName>
    <definedName name="이봉해" localSheetId="2" hidden="1">{#N/A,#N/A,FALSE,"자재관리";#N/A,#N/A,FALSE,"자재관리";#N/A,#N/A,FALSE,"자재관리"}</definedName>
    <definedName name="이봉해" localSheetId="1" hidden="1">{#N/A,#N/A,FALSE,"자재관리";#N/A,#N/A,FALSE,"자재관리";#N/A,#N/A,FALSE,"자재관리"}</definedName>
    <definedName name="이봉해" localSheetId="3" hidden="1">{#N/A,#N/A,FALSE,"자재관리";#N/A,#N/A,FALSE,"자재관리";#N/A,#N/A,FALSE,"자재관리"}</definedName>
    <definedName name="이봉해" hidden="1">{#N/A,#N/A,FALSE,"자재관리";#N/A,#N/A,FALSE,"자재관리";#N/A,#N/A,FALSE,"자재관리"}</definedName>
    <definedName name="이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0" hidden="1">{#N/A,#N/A,FALSE,"도급대비시행율";#N/A,#N/A,FALSE,"결의서";#N/A,#N/A,FALSE,"내역서";#N/A,#N/A,FALSE,"도급예상"}</definedName>
    <definedName name="일" localSheetId="2" hidden="1">{#N/A,#N/A,FALSE,"도급대비시행율";#N/A,#N/A,FALSE,"결의서";#N/A,#N/A,FALSE,"내역서";#N/A,#N/A,FALSE,"도급예상"}</definedName>
    <definedName name="일" localSheetId="1" hidden="1">{#N/A,#N/A,FALSE,"도급대비시행율";#N/A,#N/A,FALSE,"결의서";#N/A,#N/A,FALSE,"내역서";#N/A,#N/A,FALSE,"도급예상"}</definedName>
    <definedName name="일" localSheetId="3" hidden="1">{#N/A,#N/A,FALSE,"도급대비시행율";#N/A,#N/A,FALSE,"결의서";#N/A,#N/A,FALSE,"내역서";#N/A,#N/A,FALSE,"도급예상"}</definedName>
    <definedName name="일" hidden="1">{#N/A,#N/A,FALSE,"도급대비시행율";#N/A,#N/A,FALSE,"결의서";#N/A,#N/A,FALSE,"내역서";#N/A,#N/A,FALSE,"도급예상"}</definedName>
    <definedName name="ㅈ" localSheetId="0" hidden="1">{#N/A,#N/A,FALSE,"자재관리";#N/A,#N/A,FALSE,"자재관리";#N/A,#N/A,FALSE,"자재관리"}</definedName>
    <definedName name="ㅈ" localSheetId="2" hidden="1">{#N/A,#N/A,FALSE,"자재관리";#N/A,#N/A,FALSE,"자재관리";#N/A,#N/A,FALSE,"자재관리"}</definedName>
    <definedName name="ㅈ" localSheetId="1" hidden="1">{#N/A,#N/A,FALSE,"자재관리";#N/A,#N/A,FALSE,"자재관리";#N/A,#N/A,FALSE,"자재관리"}</definedName>
    <definedName name="ㅈ" localSheetId="3" hidden="1">{#N/A,#N/A,FALSE,"자재관리";#N/A,#N/A,FALSE,"자재관리";#N/A,#N/A,FALSE,"자재관리"}</definedName>
    <definedName name="ㅈ" hidden="1">{#N/A,#N/A,FALSE,"자재관리";#N/A,#N/A,FALSE,"자재관리";#N/A,#N/A,FALSE,"자재관리"}</definedName>
    <definedName name="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0" hidden="1">{#N/A,#N/A,FALSE,"자재관리";#N/A,#N/A,FALSE,"자재관리";#N/A,#N/A,FALSE,"자재관리"}</definedName>
    <definedName name="재료" localSheetId="2" hidden="1">{#N/A,#N/A,FALSE,"자재관리";#N/A,#N/A,FALSE,"자재관리";#N/A,#N/A,FALSE,"자재관리"}</definedName>
    <definedName name="재료" localSheetId="1" hidden="1">{#N/A,#N/A,FALSE,"자재관리";#N/A,#N/A,FALSE,"자재관리";#N/A,#N/A,FALSE,"자재관리"}</definedName>
    <definedName name="재료" localSheetId="3"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localSheetId="2" hidden="1">{#N/A,#N/A,FALSE,"자재관리";#N/A,#N/A,FALSE,"자재관리";#N/A,#N/A,FALSE,"자재관리"}</definedName>
    <definedName name="재료비1" localSheetId="1" hidden="1">{#N/A,#N/A,FALSE,"자재관리";#N/A,#N/A,FALSE,"자재관리";#N/A,#N/A,FALSE,"자재관리"}</definedName>
    <definedName name="재료비1" localSheetId="3" hidden="1">{#N/A,#N/A,FALSE,"자재관리";#N/A,#N/A,FALSE,"자재관리";#N/A,#N/A,FALSE,"자재관리"}</definedName>
    <definedName name="재료비1" hidden="1">{#N/A,#N/A,FALSE,"자재관리";#N/A,#N/A,FALSE,"자재관리";#N/A,#N/A,FALSE,"자재관리"}</definedName>
    <definedName name="전기" localSheetId="0" hidden="1">{#N/A,#N/A,FALSE,"전력간선"}</definedName>
    <definedName name="전기" localSheetId="2" hidden="1">{#N/A,#N/A,FALSE,"전력간선"}</definedName>
    <definedName name="전기" localSheetId="1" hidden="1">{#N/A,#N/A,FALSE,"전력간선"}</definedName>
    <definedName name="전기" localSheetId="3" hidden="1">{#N/A,#N/A,FALSE,"전력간선"}</definedName>
    <definedName name="전기" hidden="1">{#N/A,#N/A,FALSE,"전력간선"}</definedName>
    <definedName name="전년" localSheetId="0" hidden="1">{#N/A,#N/A,FALSE,"자재관리";#N/A,#N/A,FALSE,"자재관리";#N/A,#N/A,FALSE,"자재관리"}</definedName>
    <definedName name="전년" localSheetId="2" hidden="1">{#N/A,#N/A,FALSE,"자재관리";#N/A,#N/A,FALSE,"자재관리";#N/A,#N/A,FALSE,"자재관리"}</definedName>
    <definedName name="전년" localSheetId="1" hidden="1">{#N/A,#N/A,FALSE,"자재관리";#N/A,#N/A,FALSE,"자재관리";#N/A,#N/A,FALSE,"자재관리"}</definedName>
    <definedName name="전년" localSheetId="3"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localSheetId="2" hidden="1">{#N/A,#N/A,FALSE,"자재관리";#N/A,#N/A,FALSE,"자재관리";#N/A,#N/A,FALSE,"자재관리"}</definedName>
    <definedName name="전년월" localSheetId="1" hidden="1">{#N/A,#N/A,FALSE,"자재관리";#N/A,#N/A,FALSE,"자재관리";#N/A,#N/A,FALSE,"자재관리"}</definedName>
    <definedName name="전년월" localSheetId="3" hidden="1">{#N/A,#N/A,FALSE,"자재관리";#N/A,#N/A,FALSE,"자재관리";#N/A,#N/A,FALSE,"자재관리"}</definedName>
    <definedName name="전년월" hidden="1">{#N/A,#N/A,FALSE,"자재관리";#N/A,#N/A,FALSE,"자재관리";#N/A,#N/A,FALSE,"자재관리"}</definedName>
    <definedName name="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0" hidden="1">{#N/A,#N/A,FALSE,"CCTV"}</definedName>
    <definedName name="정화조" localSheetId="2" hidden="1">{#N/A,#N/A,FALSE,"CCTV"}</definedName>
    <definedName name="정화조" localSheetId="1" hidden="1">{#N/A,#N/A,FALSE,"CCTV"}</definedName>
    <definedName name="정화조" localSheetId="3" hidden="1">{#N/A,#N/A,FALSE,"CCTV"}</definedName>
    <definedName name="정화조" hidden="1">{#N/A,#N/A,FALSE,"CCTV"}</definedName>
    <definedName name="조정내역2" localSheetId="0" hidden="1">{#N/A,#N/A,FALSE,"전력간선"}</definedName>
    <definedName name="조정내역2" localSheetId="2" hidden="1">{#N/A,#N/A,FALSE,"전력간선"}</definedName>
    <definedName name="조정내역2" localSheetId="1" hidden="1">{#N/A,#N/A,FALSE,"전력간선"}</definedName>
    <definedName name="조정내역2" localSheetId="3" hidden="1">{#N/A,#N/A,FALSE,"전력간선"}</definedName>
    <definedName name="조정내역2" hidden="1">{#N/A,#N/A,FALSE,"전력간선"}</definedName>
    <definedName name="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0" hidden="1">{#N/A,#N/A,FALSE,"자재관리";#N/A,#N/A,FALSE,"자재관리";#N/A,#N/A,FALSE,"자재관리"}</definedName>
    <definedName name="진우1" localSheetId="2" hidden="1">{#N/A,#N/A,FALSE,"자재관리";#N/A,#N/A,FALSE,"자재관리";#N/A,#N/A,FALSE,"자재관리"}</definedName>
    <definedName name="진우1" localSheetId="1" hidden="1">{#N/A,#N/A,FALSE,"자재관리";#N/A,#N/A,FALSE,"자재관리";#N/A,#N/A,FALSE,"자재관리"}</definedName>
    <definedName name="진우1" localSheetId="3" hidden="1">{#N/A,#N/A,FALSE,"자재관리";#N/A,#N/A,FALSE,"자재관리";#N/A,#N/A,FALSE,"자재관리"}</definedName>
    <definedName name="진우1" hidden="1">{#N/A,#N/A,FALSE,"자재관리";#N/A,#N/A,FALSE,"자재관리";#N/A,#N/A,FALSE,"자재관리"}</definedName>
    <definedName name="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localSheetId="0" hidden="1">{#N/A,#N/A,FALSE,"전력간선"}</definedName>
    <definedName name="최종갑지1" localSheetId="2" hidden="1">{#N/A,#N/A,FALSE,"전력간선"}</definedName>
    <definedName name="최종갑지1" localSheetId="1" hidden="1">{#N/A,#N/A,FALSE,"전력간선"}</definedName>
    <definedName name="최종갑지1" localSheetId="3" hidden="1">{#N/A,#N/A,FALSE,"전력간선"}</definedName>
    <definedName name="최종갑지1" hidden="1">{#N/A,#N/A,FALSE,"전력간선"}</definedName>
    <definedName name="추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0"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localSheetId="1" hidden="1">{#N/A,#N/A,FALSE,"도급대비시행율";#N/A,#N/A,FALSE,"결의서";#N/A,#N/A,FALSE,"내역서";#N/A,#N/A,FALSE,"도급예상"}</definedName>
    <definedName name="ㅌㅍㅊㅇㅌㅎ" localSheetId="3"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0" hidden="1">{#N/A,#N/A,FALSE,"자재관리";#N/A,#N/A,FALSE,"자재관리";#N/A,#N/A,FALSE,"자재관리"}</definedName>
    <definedName name="투자및자재" localSheetId="2" hidden="1">{#N/A,#N/A,FALSE,"자재관리";#N/A,#N/A,FALSE,"자재관리";#N/A,#N/A,FALSE,"자재관리"}</definedName>
    <definedName name="투자및자재" localSheetId="1" hidden="1">{#N/A,#N/A,FALSE,"자재관리";#N/A,#N/A,FALSE,"자재관리";#N/A,#N/A,FALSE,"자재관리"}</definedName>
    <definedName name="투자및자재" localSheetId="3"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localSheetId="2" hidden="1">{#N/A,#N/A,TRUE,"자재관리";#N/A,#N/A,TRUE,"품질"}</definedName>
    <definedName name="투자비내역" localSheetId="1" hidden="1">{#N/A,#N/A,TRUE,"자재관리";#N/A,#N/A,TRUE,"품질"}</definedName>
    <definedName name="투자비내역" localSheetId="3"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localSheetId="2" hidden="1">{#N/A,#N/A,FALSE,"자재관리";#N/A,#N/A,FALSE,"자재관리";#N/A,#N/A,FALSE,"자재관리"}</definedName>
    <definedName name="팀별" localSheetId="1" hidden="1">{#N/A,#N/A,FALSE,"자재관리";#N/A,#N/A,FALSE,"자재관리";#N/A,#N/A,FALSE,"자재관리"}</definedName>
    <definedName name="팀별" localSheetId="3" hidden="1">{#N/A,#N/A,FALSE,"자재관리";#N/A,#N/A,FALSE,"자재관리";#N/A,#N/A,FALSE,"자재관리"}</definedName>
    <definedName name="팀별" hidden="1">{#N/A,#N/A,FALSE,"자재관리";#N/A,#N/A,FALSE,"자재관리";#N/A,#N/A,FALSE,"자재관리"}</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0" hidden="1">{#N/A,#N/A,FALSE,"자재관리";#N/A,#N/A,FALSE,"자재관리";#N/A,#N/A,FALSE,"자재관리"}</definedName>
    <definedName name="표지1" localSheetId="2" hidden="1">{#N/A,#N/A,FALSE,"자재관리";#N/A,#N/A,FALSE,"자재관리";#N/A,#N/A,FALSE,"자재관리"}</definedName>
    <definedName name="표지1" localSheetId="1" hidden="1">{#N/A,#N/A,FALSE,"자재관리";#N/A,#N/A,FALSE,"자재관리";#N/A,#N/A,FALSE,"자재관리"}</definedName>
    <definedName name="표지1" localSheetId="3" hidden="1">{#N/A,#N/A,FALSE,"자재관리";#N/A,#N/A,FALSE,"자재관리";#N/A,#N/A,FALSE,"자재관리"}</definedName>
    <definedName name="표지1" hidden="1">{#N/A,#N/A,FALSE,"자재관리";#N/A,#N/A,FALSE,"자재관리";#N/A,#N/A,FALSE,"자재관리"}</definedName>
    <definedName name="ㅎ" localSheetId="0" hidden="1">{#N/A,#N/A,TRUE,"자재관리";#N/A,#N/A,TRUE,"품질"}</definedName>
    <definedName name="ㅎ" localSheetId="2" hidden="1">{#N/A,#N/A,TRUE,"자재관리";#N/A,#N/A,TRUE,"품질"}</definedName>
    <definedName name="ㅎ" localSheetId="1" hidden="1">{#N/A,#N/A,TRUE,"자재관리";#N/A,#N/A,TRUE,"품질"}</definedName>
    <definedName name="ㅎ" localSheetId="3" hidden="1">{#N/A,#N/A,TRUE,"자재관리";#N/A,#N/A,TRUE,"품질"}</definedName>
    <definedName name="ㅎ" hidden="1">{#N/A,#N/A,TRUE,"자재관리";#N/A,#N/A,TRUE,"품질"}</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0" hidden="1">{#N/A,#N/A,FALSE,"CCTV"}</definedName>
    <definedName name="ㅎㅀㅀㅀㅀㄹ" localSheetId="2" hidden="1">{#N/A,#N/A,FALSE,"CCTV"}</definedName>
    <definedName name="ㅎㅀㅀㅀㅀㄹ" localSheetId="1" hidden="1">{#N/A,#N/A,FALSE,"CCTV"}</definedName>
    <definedName name="ㅎㅀㅀㅀㅀㄹ" localSheetId="3" hidden="1">{#N/A,#N/A,FALSE,"CCTV"}</definedName>
    <definedName name="ㅎㅀㅀㅀㅀㄹ" hidden="1">{#N/A,#N/A,FALSE,"CCTV"}</definedName>
    <definedName name="하행터널" localSheetId="0" hidden="1">{#N/A,#N/A,TRUE,"대가1"}</definedName>
    <definedName name="하행터널" localSheetId="2" hidden="1">{#N/A,#N/A,TRUE,"대가1"}</definedName>
    <definedName name="하행터널" localSheetId="1" hidden="1">{#N/A,#N/A,TRUE,"대가1"}</definedName>
    <definedName name="하행터널" localSheetId="3" hidden="1">{#N/A,#N/A,TRUE,"대가1"}</definedName>
    <definedName name="하행터널" hidden="1">{#N/A,#N/A,TRUE,"대가1"}</definedName>
    <definedName name="한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0" hidden="1">{#N/A,#N/A,FALSE,"전력간선"}</definedName>
    <definedName name="현설자재수량검토" localSheetId="2" hidden="1">{#N/A,#N/A,FALSE,"전력간선"}</definedName>
    <definedName name="현설자재수량검토" localSheetId="1" hidden="1">{#N/A,#N/A,FALSE,"전력간선"}</definedName>
    <definedName name="현설자재수량검토" localSheetId="3" hidden="1">{#N/A,#N/A,FALSE,"전력간선"}</definedName>
    <definedName name="현설자재수량검토" hidden="1">{#N/A,#N/A,FALSE,"전력간선"}</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localSheetId="0" hidden="1">{"'Sheet1'!$E$23","'Sheet1'!$A$3:$H$19","'Sheet1'!$A$1:$H$19"}</definedName>
    <definedName name="ㅏㅏㅏ" localSheetId="2" hidden="1">{"'Sheet1'!$E$23","'Sheet1'!$A$3:$H$19","'Sheet1'!$A$1:$H$19"}</definedName>
    <definedName name="ㅏㅏㅏ" localSheetId="1" hidden="1">{"'Sheet1'!$E$23","'Sheet1'!$A$3:$H$19","'Sheet1'!$A$1:$H$19"}</definedName>
    <definedName name="ㅏㅏㅏ" localSheetId="3"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localSheetId="1" hidden="1">{#N/A,#N/A,FALSE,"물가변동 (2)";#N/A,#N/A,FALSE,"공사비";#N/A,#N/A,FALSE,"사급";#N/A,#N/A,FALSE,"도급집계";#N/A,#N/A,FALSE,"재료비";#N/A,#N/A,FALSE,"노무비";#N/A,#N/A,FALSE,"경비"}</definedName>
    <definedName name="ㅏㅓㅏ" localSheetId="3"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localSheetId="2" hidden="1">{#N/A,#N/A,FALSE,"전력간선"}</definedName>
    <definedName name="ㅏㅓㅗ" localSheetId="1" hidden="1">{#N/A,#N/A,FALSE,"전력간선"}</definedName>
    <definedName name="ㅏㅓㅗ" localSheetId="3" hidden="1">{#N/A,#N/A,FALSE,"전력간선"}</definedName>
    <definedName name="ㅏㅓㅗ" hidden="1">{#N/A,#N/A,FALSE,"전력간선"}</definedName>
    <definedName name="ㅓ" localSheetId="0" hidden="1">{#N/A,#N/A,TRUE,"자재관리";#N/A,#N/A,TRUE,"품질"}</definedName>
    <definedName name="ㅓ" localSheetId="2" hidden="1">{#N/A,#N/A,TRUE,"자재관리";#N/A,#N/A,TRUE,"품질"}</definedName>
    <definedName name="ㅓ" localSheetId="1" hidden="1">{#N/A,#N/A,TRUE,"자재관리";#N/A,#N/A,TRUE,"품질"}</definedName>
    <definedName name="ㅓ" localSheetId="3" hidden="1">{#N/A,#N/A,TRUE,"자재관리";#N/A,#N/A,TRUE,"품질"}</definedName>
    <definedName name="ㅓ" hidden="1">{#N/A,#N/A,TRUE,"자재관리";#N/A,#N/A,TRUE,"품질"}</definedName>
    <definedName name="ㅗㅗㅗ"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localSheetId="0" hidden="1">{#N/A,#N/A,FALSE,"자재관리";#N/A,#N/A,FALSE,"자재관리";#N/A,#N/A,FALSE,"자재관리"}</definedName>
    <definedName name="ㅛ" localSheetId="2" hidden="1">{#N/A,#N/A,FALSE,"자재관리";#N/A,#N/A,FALSE,"자재관리";#N/A,#N/A,FALSE,"자재관리"}</definedName>
    <definedName name="ㅛ" localSheetId="1" hidden="1">{#N/A,#N/A,FALSE,"자재관리";#N/A,#N/A,FALSE,"자재관리";#N/A,#N/A,FALSE,"자재관리"}</definedName>
    <definedName name="ㅛ" localSheetId="3" hidden="1">{#N/A,#N/A,FALSE,"자재관리";#N/A,#N/A,FALSE,"자재관리";#N/A,#N/A,FALSE,"자재관리"}</definedName>
    <definedName name="ㅛ" hidden="1">{#N/A,#N/A,FALSE,"자재관리";#N/A,#N/A,FALSE,"자재관리";#N/A,#N/A,FALSE,"자재관리"}</definedName>
    <definedName name="ㅛㅛㅛㅛ" hidden="1">[4]수량산출!$A$1:$A$8561</definedName>
    <definedName name="ㅜ" hidden="1">[6]수량산출!#REF!</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localSheetId="3" hidden="1">{#N/A,#N/A,FALSE,"CCTV"}</definedName>
    <definedName name="ㅜㅜㅜㅜㅜㅜㅜㅜㅜㅜㅜㅜㅜㅜㅜㅜㅜㅜㅜㅜㅜㅜㅜㅜㅜㅜㅜㅜㅜㅜㅜㅜㅜㅜㅜㅜㅜㅜㅜㅜㅜㅜ" hidden="1">{#N/A,#N/A,FALSE,"CCTV"}</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0" hidden="1">{#N/A,#N/A,FALSE,"전력간선"}</definedName>
    <definedName name="ㅡㅗ" localSheetId="2" hidden="1">{#N/A,#N/A,FALSE,"전력간선"}</definedName>
    <definedName name="ㅡㅗ" localSheetId="1" hidden="1">{#N/A,#N/A,FALSE,"전력간선"}</definedName>
    <definedName name="ㅡㅗ" localSheetId="3"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7" i="16" l="1"/>
  <c r="F17" i="20"/>
  <c r="S46" i="16"/>
  <c r="W46" i="16" l="1"/>
  <c r="F18" i="20" l="1"/>
  <c r="U19" i="19"/>
  <c r="S19" i="19"/>
  <c r="Q19" i="19"/>
  <c r="O19" i="19"/>
  <c r="V19" i="19" s="1"/>
  <c r="A19" i="19"/>
  <c r="U18" i="19"/>
  <c r="V18" i="19" s="1"/>
  <c r="S18" i="19"/>
  <c r="Q18" i="19"/>
  <c r="O18" i="19"/>
  <c r="A18" i="19"/>
  <c r="U17" i="19"/>
  <c r="S17" i="19"/>
  <c r="Q17" i="19"/>
  <c r="V17" i="19" s="1"/>
  <c r="O17" i="19"/>
  <c r="V16" i="19"/>
  <c r="U16" i="19"/>
  <c r="S16" i="19"/>
  <c r="Q16" i="19"/>
  <c r="O16" i="19"/>
  <c r="U15" i="19"/>
  <c r="V15" i="19" s="1"/>
  <c r="S15" i="19"/>
  <c r="Q15" i="19"/>
  <c r="O15" i="19"/>
  <c r="U14" i="19"/>
  <c r="S14" i="19"/>
  <c r="Q14" i="19"/>
  <c r="O14" i="19"/>
  <c r="V14" i="19" s="1"/>
  <c r="U13" i="19"/>
  <c r="S13" i="19"/>
  <c r="Q13" i="19"/>
  <c r="O13" i="19"/>
  <c r="V13" i="19" s="1"/>
  <c r="A13" i="19"/>
  <c r="U12" i="19"/>
  <c r="V12" i="19" s="1"/>
  <c r="S12" i="19"/>
  <c r="Q12" i="19"/>
  <c r="O12" i="19"/>
  <c r="A12" i="19"/>
  <c r="U11" i="19"/>
  <c r="S11" i="19"/>
  <c r="Q11" i="19"/>
  <c r="V11" i="19" s="1"/>
  <c r="O11" i="19"/>
  <c r="A11" i="19"/>
  <c r="U10" i="19"/>
  <c r="S10" i="19"/>
  <c r="Q10" i="19"/>
  <c r="O10" i="19"/>
  <c r="V10" i="19" s="1"/>
  <c r="A10" i="19"/>
  <c r="U9" i="19"/>
  <c r="S9" i="19"/>
  <c r="Q9" i="19"/>
  <c r="O9" i="19"/>
  <c r="A9" i="19"/>
  <c r="U8" i="19"/>
  <c r="V8" i="19" s="1"/>
  <c r="S8" i="19"/>
  <c r="Q8" i="19"/>
  <c r="O8" i="19"/>
  <c r="A8" i="19"/>
  <c r="U7" i="19"/>
  <c r="S7" i="19"/>
  <c r="Q7" i="19"/>
  <c r="O7" i="19"/>
  <c r="V7" i="19" s="1"/>
  <c r="A7" i="19"/>
  <c r="U6" i="19"/>
  <c r="S6" i="19"/>
  <c r="Q6" i="19"/>
  <c r="O6" i="19"/>
  <c r="A6" i="19"/>
  <c r="U5" i="19"/>
  <c r="S5" i="19"/>
  <c r="Q5" i="19"/>
  <c r="O5" i="19"/>
  <c r="V5" i="19" s="1"/>
  <c r="A5" i="19"/>
  <c r="Y46" i="16"/>
  <c r="X46" i="16"/>
  <c r="V46" i="16"/>
  <c r="U46" i="16"/>
  <c r="T46" i="16"/>
  <c r="R46" i="16"/>
  <c r="Q46" i="16"/>
  <c r="P46" i="16"/>
  <c r="D46" i="16"/>
  <c r="I44" i="16"/>
  <c r="J44" i="16" s="1"/>
  <c r="I43" i="16"/>
  <c r="J43" i="16" s="1"/>
  <c r="I42" i="16"/>
  <c r="J42" i="16" s="1"/>
  <c r="I41" i="16"/>
  <c r="J41" i="16" s="1"/>
  <c r="I40" i="16"/>
  <c r="J40" i="16" s="1"/>
  <c r="I39" i="16"/>
  <c r="J39" i="16" s="1"/>
  <c r="I38" i="16"/>
  <c r="J38" i="16" s="1"/>
  <c r="I37" i="16"/>
  <c r="J37" i="16" s="1"/>
  <c r="I36" i="16"/>
  <c r="J36" i="16" s="1"/>
  <c r="I35" i="16"/>
  <c r="J35" i="16" s="1"/>
  <c r="I34" i="16"/>
  <c r="J34" i="16" s="1"/>
  <c r="I33" i="16"/>
  <c r="J33" i="16" s="1"/>
  <c r="I32" i="16"/>
  <c r="J32" i="16" s="1"/>
  <c r="I31" i="16"/>
  <c r="J31" i="16" s="1"/>
  <c r="I30" i="16"/>
  <c r="J30" i="16" s="1"/>
  <c r="O29" i="16"/>
  <c r="O46" i="16" s="1"/>
  <c r="I29" i="16"/>
  <c r="D26" i="16"/>
  <c r="V26" i="16"/>
  <c r="U26" i="16"/>
  <c r="T26" i="16"/>
  <c r="Q26" i="16"/>
  <c r="P26" i="16"/>
  <c r="O20" i="19" l="1"/>
  <c r="F16" i="20" s="1"/>
  <c r="Q20" i="19"/>
  <c r="F22" i="20" s="1"/>
  <c r="F23" i="20" s="1"/>
  <c r="S20" i="19"/>
  <c r="U20" i="19"/>
  <c r="V9" i="19"/>
  <c r="I46" i="16"/>
  <c r="V6" i="19"/>
  <c r="J29" i="16"/>
  <c r="J46" i="16" s="1"/>
  <c r="F26" i="20" l="1"/>
  <c r="F19" i="20"/>
  <c r="F25" i="20"/>
  <c r="F21" i="20"/>
  <c r="F24" i="20"/>
  <c r="V20" i="19"/>
  <c r="F27" i="20" l="1"/>
  <c r="F28" i="20" s="1"/>
  <c r="F30" i="20" s="1"/>
  <c r="F31" i="20" s="1"/>
  <c r="B12" i="20" l="1"/>
  <c r="O24" i="16" l="1"/>
  <c r="O23" i="16"/>
  <c r="O22" i="16"/>
  <c r="O21" i="16"/>
  <c r="O20" i="16"/>
  <c r="O19" i="16"/>
  <c r="I24" i="16"/>
  <c r="J24" i="16" s="1"/>
  <c r="I23" i="16"/>
  <c r="J23" i="16" s="1"/>
  <c r="I22" i="16"/>
  <c r="J22" i="16" s="1"/>
  <c r="I21" i="16"/>
  <c r="J21" i="16" s="1"/>
  <c r="I20" i="16"/>
  <c r="J20" i="16" s="1"/>
  <c r="I19" i="16"/>
  <c r="J19" i="16" s="1"/>
  <c r="O26" i="16" l="1"/>
  <c r="I17" i="16"/>
  <c r="J17" i="16" s="1"/>
  <c r="I16" i="16"/>
  <c r="J16" i="16" s="1"/>
  <c r="I15" i="16"/>
  <c r="J15" i="16" s="1"/>
  <c r="I14" i="16"/>
  <c r="J14" i="16" s="1"/>
  <c r="I13" i="16"/>
  <c r="I12" i="16"/>
  <c r="J12" i="16" s="1"/>
  <c r="I11" i="16"/>
  <c r="J11" i="16" s="1"/>
  <c r="I10" i="16"/>
  <c r="J10" i="16" s="1"/>
  <c r="I9" i="16"/>
  <c r="J9" i="16" s="1"/>
  <c r="I8" i="16"/>
  <c r="J8" i="16" s="1"/>
  <c r="I7" i="16"/>
  <c r="J7" i="16" s="1"/>
  <c r="I6" i="16"/>
  <c r="J13" i="16" l="1"/>
  <c r="J26" i="16" s="1"/>
  <c r="I26" i="16"/>
  <c r="J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B770651C-E310-4FB7-8C4B-243EDE6CE231}">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<sst xmlns="http://schemas.openxmlformats.org/spreadsheetml/2006/main" count="360" uniqueCount="254">
  <si>
    <t>수량</t>
  </si>
  <si>
    <t>견 적 서</t>
    <phoneticPr fontId="15" type="noConversion"/>
  </si>
  <si>
    <t xml:space="preserve">금액: </t>
    <phoneticPr fontId="15" type="noConversion"/>
  </si>
  <si>
    <t>원정</t>
    <phoneticPr fontId="17" type="noConversion"/>
  </si>
  <si>
    <t xml:space="preserve">  </t>
  </si>
  <si>
    <t>NO</t>
  </si>
  <si>
    <t>품명</t>
    <phoneticPr fontId="17" type="noConversion"/>
  </si>
  <si>
    <t>규격</t>
    <phoneticPr fontId="17" type="noConversion"/>
  </si>
  <si>
    <t>수량</t>
    <phoneticPr fontId="17" type="noConversion"/>
  </si>
  <si>
    <t>단위</t>
    <phoneticPr fontId="17" type="noConversion"/>
  </si>
  <si>
    <t>금액</t>
    <phoneticPr fontId="17" type="noConversion"/>
  </si>
  <si>
    <t>비고</t>
    <phoneticPr fontId="17" type="noConversion"/>
  </si>
  <si>
    <t>직접비</t>
    <phoneticPr fontId="15" type="noConversion"/>
  </si>
  <si>
    <t>재료비</t>
    <phoneticPr fontId="15" type="noConversion"/>
  </si>
  <si>
    <t>노무비</t>
    <phoneticPr fontId="17" type="noConversion"/>
  </si>
  <si>
    <t>기계/기타경비</t>
    <phoneticPr fontId="15" type="noConversion"/>
  </si>
  <si>
    <t>소계</t>
    <phoneticPr fontId="15" type="noConversion"/>
  </si>
  <si>
    <t>간접비</t>
    <phoneticPr fontId="15" type="noConversion"/>
  </si>
  <si>
    <t>  국민연금</t>
    <phoneticPr fontId="17" type="noConversion"/>
  </si>
  <si>
    <t> 노무비*4.5%</t>
    <phoneticPr fontId="17" type="noConversion"/>
  </si>
  <si>
    <t>식</t>
    <phoneticPr fontId="17" type="noConversion"/>
  </si>
  <si>
    <t>모든공사에 적용</t>
    <phoneticPr fontId="17" type="noConversion"/>
  </si>
  <si>
    <t>  건강보험료</t>
    <phoneticPr fontId="17" type="noConversion"/>
  </si>
  <si>
    <t>  장기요양보험료</t>
    <phoneticPr fontId="17" type="noConversion"/>
  </si>
  <si>
    <t>  고용보험료</t>
    <phoneticPr fontId="17" type="noConversion"/>
  </si>
  <si>
    <t>  산재보험료</t>
    <phoneticPr fontId="17" type="noConversion"/>
  </si>
  <si>
    <t xml:space="preserve">  산업안전보건관리비</t>
    <phoneticPr fontId="17" type="noConversion"/>
  </si>
  <si>
    <t>합계(단수조정)</t>
    <phoneticPr fontId="15" type="noConversion"/>
  </si>
  <si>
    <t>VAT별도</t>
    <phoneticPr fontId="17" type="noConversion"/>
  </si>
  <si>
    <t>일반관리비/이윤</t>
    <phoneticPr fontId="17" type="noConversion"/>
  </si>
  <si>
    <t> (노무비+간접공사비)*5%</t>
    <phoneticPr fontId="17" type="noConversion"/>
  </si>
  <si>
    <t>등록번호</t>
    <phoneticPr fontId="11" type="noConversion"/>
  </si>
  <si>
    <t>종 목</t>
    <phoneticPr fontId="11" type="noConversion"/>
  </si>
  <si>
    <t>TEL, FAX</t>
    <phoneticPr fontId="11" type="noConversion"/>
  </si>
  <si>
    <t>상 호</t>
    <phoneticPr fontId="11" type="noConversion"/>
  </si>
  <si>
    <t>대표 이사</t>
    <phoneticPr fontId="11" type="noConversion"/>
  </si>
  <si>
    <t>사업장</t>
    <phoneticPr fontId="11" type="noConversion"/>
  </si>
  <si>
    <t>업 태</t>
    <phoneticPr fontId="11" type="noConversion"/>
  </si>
  <si>
    <t>할증기준</t>
    <phoneticPr fontId="9" type="noConversion"/>
  </si>
  <si>
    <t> 노무비*1.01%</t>
    <phoneticPr fontId="17" type="noConversion"/>
  </si>
  <si>
    <t>단위</t>
  </si>
  <si>
    <t xml:space="preserve"> 수신인 : 주식회사 에스엔아이 코퍼레이션</t>
    <phoneticPr fontId="15" type="noConversion"/>
  </si>
  <si>
    <t> 노무비*3.545%</t>
    <phoneticPr fontId="17" type="noConversion"/>
  </si>
  <si>
    <t> 건강보험료*12.95%</t>
    <phoneticPr fontId="17" type="noConversion"/>
  </si>
  <si>
    <t> 노무비*3.56%</t>
    <phoneticPr fontId="17" type="noConversion"/>
  </si>
  <si>
    <t>314-86-35718</t>
    <phoneticPr fontId="9" type="noConversion"/>
  </si>
  <si>
    <t>㈜일성건축</t>
    <phoneticPr fontId="9" type="noConversion"/>
  </si>
  <si>
    <t>상 석 희</t>
    <phoneticPr fontId="9" type="noConversion"/>
  </si>
  <si>
    <t>대전 서구 도마6길 107 (도마동)</t>
    <phoneticPr fontId="9" type="noConversion"/>
  </si>
  <si>
    <t>건설업</t>
    <phoneticPr fontId="9" type="noConversion"/>
  </si>
  <si>
    <t>실내건축,인테리어공사</t>
    <phoneticPr fontId="9" type="noConversion"/>
  </si>
  <si>
    <t>042)527-0995, 042)527-0996</t>
    <phoneticPr fontId="9" type="noConversion"/>
  </si>
  <si>
    <t>▼낙찰율</t>
    <phoneticPr fontId="11" type="noConversion"/>
  </si>
  <si>
    <t>▶ 표준 Code(표준단가/품셈/물정/노임) 순서별 입력(Upload 자동반영)</t>
    <phoneticPr fontId="9" type="noConversion"/>
  </si>
  <si>
    <t>주요내역</t>
    <phoneticPr fontId="9" type="noConversion"/>
  </si>
  <si>
    <t>재료비</t>
    <phoneticPr fontId="11" type="noConversion"/>
  </si>
  <si>
    <t>노무비</t>
    <phoneticPr fontId="11" type="noConversion"/>
  </si>
  <si>
    <t>기계경비</t>
  </si>
  <si>
    <t>기타경비(부자재비)</t>
  </si>
  <si>
    <t>합계</t>
    <phoneticPr fontId="11" type="noConversion"/>
  </si>
  <si>
    <t>노무비 할증</t>
    <phoneticPr fontId="9" type="noConversion"/>
  </si>
  <si>
    <t>합계</t>
    <phoneticPr fontId="9" type="noConversion"/>
  </si>
  <si>
    <t>표준단가 D</t>
    <phoneticPr fontId="9" type="noConversion"/>
  </si>
  <si>
    <t>표준품셈 E</t>
    <phoneticPr fontId="9" type="noConversion"/>
  </si>
  <si>
    <t>물가정보 M</t>
    <phoneticPr fontId="9" type="noConversion"/>
  </si>
  <si>
    <t>노임단가 L</t>
    <phoneticPr fontId="9" type="noConversion"/>
  </si>
  <si>
    <t>품목</t>
    <phoneticPr fontId="9" type="noConversion"/>
  </si>
  <si>
    <t>규격</t>
    <phoneticPr fontId="9" type="noConversion"/>
  </si>
  <si>
    <t>품셈/표단</t>
    <phoneticPr fontId="9" type="noConversion"/>
  </si>
  <si>
    <t>금액</t>
  </si>
  <si>
    <t>단가</t>
    <phoneticPr fontId="11" type="noConversion"/>
  </si>
  <si>
    <t>단가</t>
  </si>
  <si>
    <t> (재료비+노무비)*3.11%</t>
    <phoneticPr fontId="17" type="noConversion"/>
  </si>
  <si>
    <t>사택 5동</t>
    <phoneticPr fontId="11" type="noConversion"/>
  </si>
  <si>
    <t>관리소
담당자</t>
    <phoneticPr fontId="11" type="noConversion"/>
  </si>
  <si>
    <t xml:space="preserve">- 문끌림 4개소/ 방충망 7개소/ 신발장 시트지 1개소
- 빨래건조 4개소 /  누수 천장 임시 철거 및 보수 </t>
    <phoneticPr fontId="11" type="noConversion"/>
  </si>
  <si>
    <t>시작</t>
    <phoneticPr fontId="11" type="noConversion"/>
  </si>
  <si>
    <t>종료</t>
    <phoneticPr fontId="11" type="noConversion"/>
  </si>
  <si>
    <t>건물동</t>
    <phoneticPr fontId="11" type="noConversion"/>
  </si>
  <si>
    <t>호실</t>
    <phoneticPr fontId="11" type="noConversion"/>
  </si>
  <si>
    <t>작업지시</t>
    <phoneticPr fontId="11" type="noConversion"/>
  </si>
  <si>
    <t>보수 내용</t>
    <phoneticPr fontId="11" type="noConversion"/>
  </si>
  <si>
    <t xml:space="preserve"> </t>
    <phoneticPr fontId="9" type="noConversion"/>
  </si>
  <si>
    <t>8
9</t>
    <phoneticPr fontId="9" type="noConversion"/>
  </si>
  <si>
    <t>206
303</t>
    <phoneticPr fontId="9" type="noConversion"/>
  </si>
  <si>
    <t>남해원</t>
    <phoneticPr fontId="11" type="noConversion"/>
  </si>
  <si>
    <t>뒤베란다 창고 누수점검 및 실리콘 작업 완료
뒤베란다 창고문 철거 완료
화장실 우측방 입구 바닥 평탄작업 완료
화장실문 시트지 보수 1개소 완료</t>
    <phoneticPr fontId="11" type="noConversion"/>
  </si>
  <si>
    <t>9
102</t>
    <phoneticPr fontId="9" type="noConversion"/>
  </si>
  <si>
    <t>303
201</t>
    <phoneticPr fontId="9" type="noConversion"/>
  </si>
  <si>
    <t>401-6
503-4
504-2
504-5</t>
    <phoneticPr fontId="9" type="noConversion"/>
  </si>
  <si>
    <t>703-3
703-4  
902-3</t>
    <phoneticPr fontId="9" type="noConversion"/>
  </si>
  <si>
    <t>화장실 도어 , 방 도어보수2개소 완료
화장실 도어 , 방 도어보수2개소 완료 
방 도어 보수완료</t>
    <phoneticPr fontId="11" type="noConversion"/>
  </si>
  <si>
    <t>블라인드 설치 완료
방도어 보수완료
뒤베란다 창고 문틀 설치작업
방충망7개소 완료</t>
    <phoneticPr fontId="11" type="noConversion"/>
  </si>
  <si>
    <t>206
703-4  
902-3</t>
    <phoneticPr fontId="9" type="noConversion"/>
  </si>
  <si>
    <t>뒤베란다 창고문 재설치 완료
방충망7개소 완료 
앞베란다 내.외부 실리콘 제거 및 재시공 완료</t>
    <phoneticPr fontId="11" type="noConversion"/>
  </si>
  <si>
    <t>501
401  
303</t>
    <phoneticPr fontId="9" type="noConversion"/>
  </si>
  <si>
    <t>현관문 도어 가스켓 교체 완료
현관문 도어 가스켓 교체 완료
방충망 7개소 완료</t>
    <phoneticPr fontId="11" type="noConversion"/>
  </si>
  <si>
    <t>문보수 1개소 완료, 방충망 7개소 완료
뒤베란다 천장 패임 보수 작업 완료
문보수 1개소 완료</t>
    <phoneticPr fontId="11" type="noConversion"/>
  </si>
  <si>
    <t>방충망 3개소 완료
화장실문 시트지 교체 완료
뒤베란다 벽면 및 바닥 크렉보수,실리콘 작업
문보수 1개소 완료</t>
    <phoneticPr fontId="11" type="noConversion"/>
  </si>
  <si>
    <t>걸레받이 파손 2개소 교체 완료
도어보수 2개소 보수완료
안방 문틀 보수 완료
방충망 3개소 교체 완료</t>
    <phoneticPr fontId="11" type="noConversion"/>
  </si>
  <si>
    <t>방충망 7개소 완료</t>
    <phoneticPr fontId="11" type="noConversion"/>
  </si>
  <si>
    <t>샘플&gt;</t>
    <phoneticPr fontId="11" type="noConversion"/>
  </si>
  <si>
    <t>일성</t>
    <phoneticPr fontId="11" type="noConversion"/>
  </si>
  <si>
    <t>3
(관리제외)</t>
    <phoneticPr fontId="11" type="noConversion"/>
  </si>
  <si>
    <t>1월1일</t>
    <phoneticPr fontId="11" type="noConversion"/>
  </si>
  <si>
    <t>14시30분</t>
    <phoneticPr fontId="11" type="noConversion"/>
  </si>
  <si>
    <t>1월2일</t>
    <phoneticPr fontId="11" type="noConversion"/>
  </si>
  <si>
    <t>15시30분</t>
    <phoneticPr fontId="11" type="noConversion"/>
  </si>
  <si>
    <t>건수</t>
    <phoneticPr fontId="11" type="noConversion"/>
  </si>
  <si>
    <t>업체명</t>
    <phoneticPr fontId="11" type="noConversion"/>
  </si>
  <si>
    <t>일자</t>
    <phoneticPr fontId="11" type="noConversion"/>
  </si>
  <si>
    <t>시간</t>
    <phoneticPr fontId="11" type="noConversion"/>
  </si>
  <si>
    <t>(종료-시간)</t>
    <phoneticPr fontId="11" type="noConversion"/>
  </si>
  <si>
    <t>(인원*작업시간)</t>
    <phoneticPr fontId="11" type="noConversion"/>
  </si>
  <si>
    <t>일성건축</t>
    <phoneticPr fontId="11" type="noConversion"/>
  </si>
  <si>
    <t>비고</t>
    <phoneticPr fontId="9" type="noConversion"/>
  </si>
  <si>
    <t>근로자 
(직접 서명)</t>
    <phoneticPr fontId="11" type="noConversion"/>
  </si>
  <si>
    <t>자재 내역</t>
    <phoneticPr fontId="9" type="noConversion"/>
  </si>
  <si>
    <t>문보수용 엣지 
필름 구매(10매)
전동 대패날 교체(1set)</t>
    <phoneticPr fontId="9" type="noConversion"/>
  </si>
  <si>
    <t>화장실문 시트지 보수 1개소 완료
안방 걸레받이 들뜸 보수 완료
문보수1개소 완료
거실 걸레받이 2개소 교체 완료</t>
    <phoneticPr fontId="11" type="noConversion"/>
  </si>
  <si>
    <t>특별인부
(시공사 입력)</t>
    <phoneticPr fontId="9" type="noConversion"/>
  </si>
  <si>
    <t>누수 탐지(미래설비)
대기 인원 (일성건축) 
→ 씽크대 철거,원복 하지 않음</t>
    <phoneticPr fontId="11" type="noConversion"/>
  </si>
  <si>
    <t>화장실 도어 보수완료
방 도어 보수완료
화장실 도어 , 방 도어보수2개소 완료
화장실 도어 , 방 도어보수2개소 완료</t>
    <phoneticPr fontId="11" type="noConversion"/>
  </si>
  <si>
    <t>503-4
702-1 
206</t>
    <phoneticPr fontId="9" type="noConversion"/>
  </si>
  <si>
    <t>503
 501</t>
    <phoneticPr fontId="9" type="noConversion"/>
  </si>
  <si>
    <t xml:space="preserve">A </t>
  </si>
  <si>
    <t xml:space="preserve">A 
B </t>
  </si>
  <si>
    <t xml:space="preserve">A 
B 
8 </t>
  </si>
  <si>
    <t xml:space="preserve">8 
9 </t>
  </si>
  <si>
    <t xml:space="preserve">8 
5 </t>
  </si>
  <si>
    <t>작업시간(인당)</t>
    <phoneticPr fontId="9" type="noConversion"/>
  </si>
  <si>
    <t>전체 시간</t>
    <phoneticPr fontId="9" type="noConversion"/>
  </si>
  <si>
    <t>방충망
(개)</t>
    <phoneticPr fontId="9" type="noConversion"/>
  </si>
  <si>
    <t>코킹재
(개)</t>
    <phoneticPr fontId="9" type="noConversion"/>
  </si>
  <si>
    <t>걸레받이
(m)</t>
    <phoneticPr fontId="9" type="noConversion"/>
  </si>
  <si>
    <t>일성건축</t>
    <phoneticPr fontId="9" type="noConversion"/>
  </si>
  <si>
    <t>A</t>
    <phoneticPr fontId="9" type="noConversion"/>
  </si>
  <si>
    <t>A
B</t>
    <phoneticPr fontId="9" type="noConversion"/>
  </si>
  <si>
    <t>903-4
701-5
503-5
401-3
303-5</t>
    <phoneticPr fontId="9" type="noConversion"/>
  </si>
  <si>
    <t>남해원</t>
    <phoneticPr fontId="9" type="noConversion"/>
  </si>
  <si>
    <t>303-5
901-4
704-4</t>
    <phoneticPr fontId="9" type="noConversion"/>
  </si>
  <si>
    <t>701-5
702-1
1002-2</t>
    <phoneticPr fontId="9" type="noConversion"/>
  </si>
  <si>
    <t>앞뒤 베란다 천장.벽면 들뜸보수 및 크랙 전체보수
앞뒤 베란다 창고 곰팡이 제거 및 천장 단열작업</t>
    <phoneticPr fontId="9" type="noConversion"/>
  </si>
  <si>
    <t>방 및 화장실 도어 보수
방 도어 보수
방 도어 보수
화장실 도어 보수
방 도어 보수</t>
    <phoneticPr fontId="9" type="noConversion"/>
  </si>
  <si>
    <t>화장실 도어 보수
화장실 도어 보수
방 및 화장실 도어 보수
버티컬 설치 완료</t>
    <phoneticPr fontId="9" type="noConversion"/>
  </si>
  <si>
    <t>화장실 우측 석고보드 교체
버티컬 설치 완료
화장실 우측 석고 보드 교체 완료
발코니 창문 우측벽 단열재 들뜸 보수</t>
    <phoneticPr fontId="9" type="noConversion"/>
  </si>
  <si>
    <t>화장실 좌측방 천장 누수 점검 및 보수
씽크대 상판 전체 실리콘 제거후 재설치 작업</t>
    <phoneticPr fontId="9" type="noConversion"/>
  </si>
  <si>
    <t>걸레받이 8군데 교체 완료
씽크대 상판 실리콘 제거후 재설치 작업
뒤베란다 벽면 크랙 보수 완료
화장실 벽면 모서리 4군데 실리콘 작업</t>
    <phoneticPr fontId="9" type="noConversion"/>
  </si>
  <si>
    <t>1차분 (정산 완료)</t>
    <phoneticPr fontId="9" type="noConversion"/>
  </si>
  <si>
    <t>L003</t>
  </si>
  <si>
    <t>M/D</t>
    <phoneticPr fontId="9" type="noConversion"/>
  </si>
  <si>
    <t>㎡</t>
  </si>
  <si>
    <t>M020251411670101</t>
  </si>
  <si>
    <t>다우실 1000</t>
  </si>
  <si>
    <t>270㎖</t>
  </si>
  <si>
    <t>M020533113070101</t>
  </si>
  <si>
    <t>걸레받이</t>
  </si>
  <si>
    <t>SHWB-100, W:100×2T</t>
  </si>
  <si>
    <t>m</t>
  </si>
  <si>
    <t>M020852810150101</t>
  </si>
  <si>
    <t>롤스크린(단면암막)</t>
  </si>
  <si>
    <t>방염, 기본면적: 2㎡</t>
  </si>
  <si>
    <t>M020750510120102</t>
  </si>
  <si>
    <t>매</t>
  </si>
  <si>
    <t>M020750510130104</t>
  </si>
  <si>
    <t>에너폴</t>
  </si>
  <si>
    <t>이보드, 1000*1000*33T, 대체</t>
    <phoneticPr fontId="9" type="noConversion"/>
  </si>
  <si>
    <t>석고평보드</t>
  </si>
  <si>
    <t>M020690710060101</t>
  </si>
  <si>
    <t>12.5T× 900×2,400</t>
  </si>
  <si>
    <t>열반사 단열재 (m2)</t>
    <phoneticPr fontId="9" type="noConversion"/>
  </si>
  <si>
    <t>석고보드 12.5t(매)</t>
    <phoneticPr fontId="9" type="noConversion"/>
  </si>
  <si>
    <t>블라인드
개소
(5㎡)</t>
    <phoneticPr fontId="9" type="noConversion"/>
  </si>
  <si>
    <t>이보드 23t
(m2)</t>
    <phoneticPr fontId="9" type="noConversion"/>
  </si>
  <si>
    <t>1.38
(m2)</t>
    <phoneticPr fontId="9" type="noConversion"/>
  </si>
  <si>
    <t>방화문 
가스켓 구매
(3세대)</t>
    <phoneticPr fontId="9" type="noConversion"/>
  </si>
  <si>
    <t>(5)
m2
금회이월</t>
    <phoneticPr fontId="11" type="noConversion"/>
  </si>
  <si>
    <t>(3.62)
m2
금회이월</t>
    <phoneticPr fontId="11" type="noConversion"/>
  </si>
  <si>
    <t>석고보드
(12.5T) 
2장</t>
    <phoneticPr fontId="9" type="noConversion"/>
  </si>
  <si>
    <t>이보드(23T) 
1장, 
열반사 단열재
2.5m2</t>
    <phoneticPr fontId="9" type="noConversion"/>
  </si>
  <si>
    <t>=&gt;금회 이월</t>
    <phoneticPr fontId="11" type="noConversion"/>
  </si>
  <si>
    <t>3차분 (정산진행)</t>
    <phoneticPr fontId="9" type="noConversion"/>
  </si>
  <si>
    <t xml:space="preserve"> 2
103</t>
    <phoneticPr fontId="9" type="noConversion"/>
  </si>
  <si>
    <t>108
303</t>
    <phoneticPr fontId="9" type="noConversion"/>
  </si>
  <si>
    <t>안방,작은방 코너 단열작업
화장실 벽타일 보수 완료
걸레받이 2개소 교체 완료
방충망 3개소 완료</t>
    <phoneticPr fontId="9" type="noConversion"/>
  </si>
  <si>
    <t>이보드(13T) 2장, 열반사 단열재 5.0m2</t>
    <phoneticPr fontId="9" type="noConversion"/>
  </si>
  <si>
    <t>103
9
2</t>
    <phoneticPr fontId="9" type="noConversion"/>
  </si>
  <si>
    <t>303
304
108</t>
    <phoneticPr fontId="9" type="noConversion"/>
  </si>
  <si>
    <t>씽크대 상판 실리콘 재코킹 작업 완료
창문 시트지 6개소 제거 완료
방충망 3개소 교체 완료
도어보수 2개소 완료
방충망 4개소 완료
빨래건조대 설치 완료</t>
    <phoneticPr fontId="9" type="noConversion"/>
  </si>
  <si>
    <t>누수 부분 도배</t>
    <phoneticPr fontId="9" type="noConversion"/>
  </si>
  <si>
    <t>도어 보수2개소 완료
씽크대 상판 실리콘 재코킹 작업 완료
앞베란다 외부샤시 바닥 실리콘 작업 완료
방충망 3개소 완료</t>
    <phoneticPr fontId="9" type="noConversion"/>
  </si>
  <si>
    <t xml:space="preserve"> 8
103</t>
    <phoneticPr fontId="9" type="noConversion"/>
  </si>
  <si>
    <t>401
204</t>
    <phoneticPr fontId="9" type="noConversion"/>
  </si>
  <si>
    <t>도어보수 1개소 완료
방충망 2개소 완료 
방충망 1개소 완료
작은방 커텐박스 아티론+이보드 작업 완료
작은방 창문 하단 실리콘 재시공 완료
걸레받이 3개소 교체 완료</t>
    <phoneticPr fontId="9" type="noConversion"/>
  </si>
  <si>
    <t>103
A
A
102</t>
    <phoneticPr fontId="9" type="noConversion"/>
  </si>
  <si>
    <t>204
701-6
303-1
205</t>
    <phoneticPr fontId="9" type="noConversion"/>
  </si>
  <si>
    <t>방충망 3개소 완료
도어보수 1개소 완료
화장실 좌측 석고보드 들뜸 교체 완료
화장실 도어 보수 완료
화장실 도어 보수 완료
씽크대 측판 교체 (이동원)</t>
    <phoneticPr fontId="9" type="noConversion"/>
  </si>
  <si>
    <t>3
(-0.09)
[감액]</t>
    <phoneticPr fontId="9" type="noConversion"/>
  </si>
  <si>
    <t xml:space="preserve"> A
B</t>
    <phoneticPr fontId="9" type="noConversion"/>
  </si>
  <si>
    <t xml:space="preserve"> 301-1
1001-3</t>
    <phoneticPr fontId="9" type="noConversion"/>
  </si>
  <si>
    <t>화장실 좌측,우측 석고보드 들뜸보수 2개소 완료
버티컬 교체 완료
벽단열재 들뜸 재시공 완료</t>
    <phoneticPr fontId="9" type="noConversion"/>
  </si>
  <si>
    <t>씽크대 상판 실리콘 재코킹
천장 곰팡이 제거
방충망 5개소 완료
앞뒤 베란다 전체 크랙 보수
화장실문 시트지 재시공</t>
    <phoneticPr fontId="9" type="noConversion"/>
  </si>
  <si>
    <t>기숙사 AB동 문보수용
엣지 필름 구매
(영수증 첨부)</t>
    <phoneticPr fontId="9" type="noConversion"/>
  </si>
  <si>
    <r>
      <t xml:space="preserve">앞뒤 베란다 전체 크랙 보수 완료
</t>
    </r>
    <r>
      <rPr>
        <sz val="15"/>
        <color theme="1"/>
        <rFont val="맑은 고딕"/>
        <family val="3"/>
        <charset val="129"/>
        <scheme val="minor"/>
      </rPr>
      <t>붙박이장 시트지 보수 3개소 완료</t>
    </r>
    <r>
      <rPr>
        <sz val="15"/>
        <rFont val="맑은 고딕"/>
        <family val="3"/>
        <charset val="129"/>
        <scheme val="minor"/>
      </rPr>
      <t xml:space="preserve">
도어 보수 3개소 완료</t>
    </r>
    <phoneticPr fontId="9" type="noConversion"/>
  </si>
  <si>
    <t>방충망 7개소 완료</t>
    <phoneticPr fontId="9" type="noConversion"/>
  </si>
  <si>
    <t>0</t>
    <phoneticPr fontId="9" type="noConversion"/>
  </si>
  <si>
    <t>뒤베란다 창고앞 외부샤시 천장 누수점검 및 실리콘
작업 완료
앞베란다 샤시 천장 실리콘 작업 완료
문보수 3개소 완료(합판들뜸 포함)
씽크대 상판 보수 완료
방충망 4개소 완료</t>
    <phoneticPr fontId="9" type="noConversion"/>
  </si>
  <si>
    <t>8
5</t>
    <phoneticPr fontId="9" type="noConversion"/>
  </si>
  <si>
    <t>209
204</t>
    <phoneticPr fontId="9" type="noConversion"/>
  </si>
  <si>
    <t>방충망 3개소 완료
뒤베란다 창고옆 벽면 창틀 누수점검및 실리콘 작업
앞베란다 외부샤시 하단 실리콘 작업 완료
문보수 2개소 완료
방충망 6개소 완료</t>
    <phoneticPr fontId="9" type="noConversion"/>
  </si>
  <si>
    <t>9
7</t>
    <phoneticPr fontId="9" type="noConversion"/>
  </si>
  <si>
    <t>302
405</t>
    <phoneticPr fontId="9" type="noConversion"/>
  </si>
  <si>
    <t>방충망 3개소 교체 완료
씽크대 상판 실리콘 제거 및 재코킹 작업 완료
앞,뒤 베란다 벽면 크렉 전체 보수 완료
도어 보수1개소 완료
걸레받이 1개소 교체 완료</t>
    <phoneticPr fontId="9" type="noConversion"/>
  </si>
  <si>
    <r>
      <rPr>
        <sz val="15"/>
        <color theme="1"/>
        <rFont val="맑은 고딕"/>
        <family val="3"/>
        <charset val="129"/>
        <scheme val="minor"/>
      </rPr>
      <t>신발장 시트지</t>
    </r>
    <r>
      <rPr>
        <sz val="15"/>
        <rFont val="맑은 고딕"/>
        <family val="3"/>
        <charset val="129"/>
        <scheme val="minor"/>
      </rPr>
      <t xml:space="preserve"> 제거 및 교체 완료
화장실 문측면 시트지 교체완료
씽크대 상판 실리콘 제거및 재코킹 작업 완료
방충망 2개소 교체 완료
뒤베란다 크렉 보수 완료</t>
    </r>
    <phoneticPr fontId="9" type="noConversion"/>
  </si>
  <si>
    <t>101
2</t>
    <phoneticPr fontId="9" type="noConversion"/>
  </si>
  <si>
    <t>204
306</t>
    <phoneticPr fontId="9" type="noConversion"/>
  </si>
  <si>
    <t>걸레받이 6개소 교체 완료
씽크대 상판 실리콘 제거 및 재코킹 작업 완료
방충망 3개소 교체 완료
방충망 2개소 교체 완료
씽크대 상판 실리콘 제거 및 재코킹 작업 완료</t>
    <phoneticPr fontId="9" type="noConversion"/>
  </si>
  <si>
    <t>306
106</t>
    <phoneticPr fontId="9" type="noConversion"/>
  </si>
  <si>
    <r>
      <t xml:space="preserve">도어보수 1개소 완료
</t>
    </r>
    <r>
      <rPr>
        <sz val="15"/>
        <color theme="1"/>
        <rFont val="맑은 고딕"/>
        <family val="3"/>
        <charset val="129"/>
        <scheme val="minor"/>
      </rPr>
      <t>신발장 시트지</t>
    </r>
    <r>
      <rPr>
        <sz val="15"/>
        <rFont val="맑은 고딕"/>
        <family val="3"/>
        <charset val="129"/>
        <scheme val="minor"/>
      </rPr>
      <t xml:space="preserve"> 제거 및 교체 완료
도어보수 1개소 완료
씽크대 상판 실리콘 제거 및 재코킹 작업 완료
앞,뒤 베란다 벽면 크렉 전체 보수 완료
뒤베란다 곰팡이 제거 롼료
방충망 3개소 교체 완료</t>
    </r>
    <phoneticPr fontId="9" type="noConversion"/>
  </si>
  <si>
    <r>
      <rPr>
        <sz val="10"/>
        <rFont val="HY견고딕"/>
        <family val="1"/>
        <charset val="129"/>
      </rPr>
      <t>긴급보수</t>
    </r>
    <r>
      <rPr>
        <sz val="10"/>
        <rFont val="Arial"/>
        <family val="2"/>
      </rPr>
      <t xml:space="preserve"> </t>
    </r>
    <r>
      <rPr>
        <sz val="10"/>
        <rFont val="HY견고딕"/>
        <family val="1"/>
        <charset val="129"/>
      </rPr>
      <t>대응</t>
    </r>
    <phoneticPr fontId="9" type="noConversion"/>
  </si>
  <si>
    <t>특별인부(</t>
    <phoneticPr fontId="9" type="noConversion"/>
  </si>
  <si>
    <t>M020450310340103</t>
  </si>
  <si>
    <t>방충망 AL</t>
  </si>
  <si>
    <t>MFA, 1,000×1,000㎜, AL도장</t>
  </si>
  <si>
    <t>1액형 실리콘, 발코니 창호 주위 조인트용(창틀용)</t>
  </si>
  <si>
    <t>에너폴(태화론 TW-06, 6㎜×1M×50M단면-점착 대체)</t>
  </si>
  <si>
    <t>900 X 1800X40, 3호(비중0.020)</t>
  </si>
  <si>
    <t>M020850811250101</t>
  </si>
  <si>
    <t>LX지인 인테리어필름, 세대신발장=6㎡, 2세대=12㎡</t>
    <phoneticPr fontId="9" type="noConversion"/>
  </si>
  <si>
    <t>방염 엘레이나(EL,EV) 0.42 X 1,220㎜</t>
    <phoneticPr fontId="9" type="noConversion"/>
  </si>
  <si>
    <t>㎡</t>
    <phoneticPr fontId="9" type="noConversion"/>
  </si>
  <si>
    <t>4월 10일/ 2-108 빨레건조대 구입</t>
    <phoneticPr fontId="9" type="noConversion"/>
  </si>
  <si>
    <t>스텐인레스봉</t>
    <phoneticPr fontId="9" type="noConversion"/>
  </si>
  <si>
    <t>ea</t>
    <phoneticPr fontId="9" type="noConversion"/>
  </si>
  <si>
    <t>4월 28일/ 102-205 씽크대 하부장 수선</t>
    <phoneticPr fontId="9" type="noConversion"/>
  </si>
  <si>
    <t>전문업체 세금계산서 발행 첨부</t>
    <phoneticPr fontId="9" type="noConversion"/>
  </si>
  <si>
    <t>set</t>
    <phoneticPr fontId="9" type="noConversion"/>
  </si>
  <si>
    <t>5월 12일/도어보수용 엣지 필름 구입</t>
    <phoneticPr fontId="9" type="noConversion"/>
  </si>
  <si>
    <t>도어보수용 엣지 필름 구입-15개</t>
    <phoneticPr fontId="9" type="noConversion"/>
  </si>
  <si>
    <t>5/13일/도어보수용 경첩피스 구입</t>
    <phoneticPr fontId="9" type="noConversion"/>
  </si>
  <si>
    <t xml:space="preserve"> 세금계산서 첨부</t>
    <phoneticPr fontId="9" type="noConversion"/>
  </si>
  <si>
    <t xml:space="preserve"> 공사명 : 기숙사 및 사택 긴급 보수작업(건축)-3차</t>
    <phoneticPr fontId="15" type="noConversion"/>
  </si>
  <si>
    <t xml:space="preserve"> 견적일 : 2025년  07월   17일</t>
    <phoneticPr fontId="15" type="noConversion"/>
  </si>
  <si>
    <t>2차분 (정산 완료)</t>
    <phoneticPr fontId="9" type="noConversion"/>
  </si>
  <si>
    <t>씽크대
보수</t>
    <phoneticPr fontId="9" type="noConversion"/>
  </si>
  <si>
    <t>빨레
건조대</t>
    <phoneticPr fontId="9" type="noConversion"/>
  </si>
  <si>
    <t>신발장
필름 (6m2)</t>
    <phoneticPr fontId="9" type="noConversion"/>
  </si>
  <si>
    <t>0.3
(2.7)
전회이월</t>
    <phoneticPr fontId="9" type="noConversion"/>
  </si>
  <si>
    <t>빨래건조대 1개(설비 업체 미지정으로 대응)
(영수증 첨부)</t>
    <phoneticPr fontId="9" type="noConversion"/>
  </si>
  <si>
    <t>소 계</t>
    <phoneticPr fontId="9" type="noConversion"/>
  </si>
  <si>
    <t>102-205 씽크대 
가스렌지 다이 양측판 교체
 (세금계산서 첨부)</t>
    <phoneticPr fontId="9" type="noConversion"/>
  </si>
  <si>
    <t>문보수용 
경첩피스 구매
(영수증 첨부)</t>
    <phoneticPr fontId="9" type="noConversion"/>
  </si>
  <si>
    <t>=&gt;금회 정산</t>
    <phoneticPr fontId="11" type="noConversion"/>
  </si>
  <si>
    <t>절감</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</si>
</sst>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0_-;\-* #,##0_-;_-* &quot;-&quot;_-;_-@_-"/>
    <numFmt numFmtId="176" formatCode="_(&quot;₩&quot;* #,##0_);_(&quot;₩&quot;* \(#,##0\);_(&quot;₩&quot;* &quot;-&quot;_);_(@_)"/>
    <numFmt numFmtId="177" formatCode="_(* #,##0_);_(* \(#,##0\);_(* &quot;-&quot;_);_(@_)"/>
    <numFmt numFmtId="178" formatCode="_ * #,##0_ ;_ * \-#,##0_ ;_ * &quot;-&quot;_ ;_ @_ "/>
    <numFmt numFmtId="179" formatCode="###,#00,000"/>
    <numFmt numFmtId="180" formatCode="_-* #,##0_-;&quot;₩&quot;\!\-* #,##0_-;_-* &quot;-&quot;_-;_-@_-"/>
    <numFmt numFmtId="181" formatCode="0.0%"/>
    <numFmt numFmtId="182" formatCode="#,##0.000_ "/>
    <numFmt numFmtId="183" formatCode="#,##0;\-#,##0;"/>
    <numFmt numFmtId="184" formatCode="0.000"/>
    <numFmt numFmtId="185" formatCode="[hh]\ &quot;시간&quot;\ mm\ &quot;분&quot;"/>
    <numFmt numFmtId="186" formatCode="0.00_);[Red]\(0.00\)"/>
    <numFmt numFmtId="187" formatCode="mm&quot;월&quot;\ dd&quot;일&quot;"/>
    <numFmt numFmtId="188" formatCode="0.0000"/>
    <numFmt numFmtId="189" formatCode="0_);[Red]\(0\)"/>
  </numFmts>
  <fonts count="109">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b/>
      <sz val="26"/>
      <color rgb="FF000000"/>
      <name val="LG스마트체 Regular"/>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sz val="10"/>
      <color theme="1"/>
      <name val="LG스마트체 Regular"/>
      <family val="3"/>
      <charset val="129"/>
    </font>
    <font>
      <sz val="10"/>
      <color indexed="8"/>
      <name val="LG스마트체 Regular"/>
      <family val="3"/>
      <charset val="129"/>
    </font>
    <font>
      <sz val="11"/>
      <color theme="1"/>
      <name val="LG스마트체 Regular"/>
      <family val="3"/>
      <charset val="129"/>
    </font>
    <font>
      <sz val="10"/>
      <color theme="0" tint="-0.34998626667073579"/>
      <name val="LG스마트체 Regular"/>
      <family val="3"/>
      <charset val="129"/>
    </font>
    <font>
      <b/>
      <sz val="10"/>
      <color theme="1" tint="0.34998626667073579"/>
      <name val="맑은 고딕"/>
      <family val="3"/>
      <charset val="129"/>
      <scheme val="minor"/>
    </font>
    <font>
      <b/>
      <sz val="15"/>
      <color theme="0" tint="-0.249977111117893"/>
      <name val="맑은 고딕"/>
      <family val="3"/>
      <charset val="129"/>
      <scheme val="minor"/>
    </font>
    <font>
      <sz val="14"/>
      <color theme="0" tint="-0.34998626667073579"/>
      <name val="맑은 고딕"/>
      <family val="3"/>
      <charset val="129"/>
      <scheme val="minor"/>
    </font>
    <font>
      <sz val="15"/>
      <color theme="0" tint="-0.34998626667073579"/>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b/>
      <sz val="15"/>
      <name val="맑은 고딕"/>
      <family val="3"/>
      <charset val="129"/>
      <scheme val="minor"/>
    </font>
    <font>
      <b/>
      <sz val="20"/>
      <color theme="1"/>
      <name val="맑은 고딕"/>
      <family val="3"/>
      <charset val="129"/>
      <scheme val="minor"/>
    </font>
    <font>
      <b/>
      <sz val="20"/>
      <color rgb="FFFF00FF"/>
      <name val="맑은 고딕"/>
      <family val="3"/>
      <charset val="129"/>
      <scheme val="minor"/>
    </font>
    <font>
      <sz val="14"/>
      <name val="맑은 고딕"/>
      <family val="3"/>
      <charset val="129"/>
      <scheme val="minor"/>
    </font>
    <font>
      <sz val="17"/>
      <name val="맑은 고딕"/>
      <family val="3"/>
      <charset val="129"/>
      <scheme val="minor"/>
    </font>
    <font>
      <sz val="11"/>
      <name val="맑은 고딕"/>
      <family val="3"/>
      <charset val="129"/>
      <scheme val="minor"/>
    </font>
    <font>
      <b/>
      <sz val="20"/>
      <color theme="1" tint="0.34998626667073579"/>
      <name val="맑은 고딕"/>
      <family val="3"/>
      <charset val="129"/>
      <scheme val="minor"/>
    </font>
    <font>
      <b/>
      <sz val="20"/>
      <color theme="0" tint="-0.34998626667073579"/>
      <name val="맑은 고딕"/>
      <family val="3"/>
      <charset val="129"/>
      <scheme val="minor"/>
    </font>
    <font>
      <sz val="20"/>
      <color theme="1"/>
      <name val="맑은 고딕"/>
      <family val="3"/>
      <charset val="129"/>
      <scheme val="minor"/>
    </font>
    <font>
      <b/>
      <sz val="15"/>
      <color theme="0" tint="-0.34998626667073579"/>
      <name val="맑은 고딕"/>
      <family val="3"/>
      <charset val="129"/>
      <scheme val="minor"/>
    </font>
    <font>
      <sz val="17"/>
      <color theme="0" tint="-0.34998626667073579"/>
      <name val="맑은 고딕"/>
      <family val="3"/>
      <charset val="129"/>
      <scheme val="minor"/>
    </font>
    <font>
      <sz val="11"/>
      <color theme="0" tint="-0.34998626667073579"/>
      <name val="맑은 고딕"/>
      <family val="3"/>
      <charset val="129"/>
      <scheme val="minor"/>
    </font>
    <font>
      <sz val="10"/>
      <color rgb="FF000000"/>
      <name val="Arial"/>
      <family val="2"/>
    </font>
    <font>
      <sz val="10"/>
      <color theme="1"/>
      <name val="Arial"/>
      <family val="2"/>
    </font>
    <font>
      <sz val="10"/>
      <name val="Arial"/>
      <family val="2"/>
    </font>
    <font>
      <sz val="10"/>
      <name val="Malgun Gothic"/>
      <family val="3"/>
      <charset val="129"/>
    </font>
    <font>
      <sz val="10"/>
      <color indexed="8"/>
      <name val="Malgun Gothic"/>
      <family val="3"/>
      <charset val="129"/>
    </font>
    <font>
      <sz val="10"/>
      <color indexed="8"/>
      <name val="Arial"/>
      <family val="2"/>
    </font>
    <font>
      <sz val="10"/>
      <color rgb="FF000000"/>
      <name val="Malgun Gothic"/>
      <family val="3"/>
      <charset val="129"/>
    </font>
    <font>
      <sz val="11"/>
      <name val="맑은 고딕"/>
      <family val="3"/>
      <charset val="129"/>
    </font>
    <font>
      <sz val="20"/>
      <color rgb="FFFF0000"/>
      <name val="LG스마트체 Regular"/>
      <family val="3"/>
      <charset val="129"/>
    </font>
    <font>
      <sz val="20"/>
      <color theme="1" tint="0.34998626667073579"/>
      <name val="LG스마트체 Regular"/>
      <family val="3"/>
      <charset val="129"/>
    </font>
    <font>
      <b/>
      <sz val="20"/>
      <color rgb="FFFF00FF"/>
      <name val="LG스마트체 Regular"/>
      <family val="3"/>
      <charset val="129"/>
    </font>
    <font>
      <b/>
      <sz val="22"/>
      <color rgb="FFFF00FF"/>
      <name val="맑은 고딕"/>
      <family val="3"/>
      <charset val="129"/>
      <scheme val="minor"/>
    </font>
    <font>
      <b/>
      <sz val="22"/>
      <name val="맑은 고딕"/>
      <family val="3"/>
      <charset val="129"/>
      <scheme val="minor"/>
    </font>
    <font>
      <sz val="20"/>
      <color theme="1"/>
      <name val="맑은 고딕"/>
      <family val="2"/>
      <charset val="129"/>
      <scheme val="minor"/>
    </font>
    <font>
      <b/>
      <sz val="22"/>
      <color theme="0" tint="-0.34998626667073579"/>
      <name val="맑은 고딕"/>
      <family val="3"/>
      <charset val="129"/>
      <scheme val="minor"/>
    </font>
    <font>
      <b/>
      <sz val="15"/>
      <color theme="1"/>
      <name val="맑은 고딕"/>
      <family val="3"/>
      <charset val="129"/>
      <scheme val="minor"/>
    </font>
    <font>
      <sz val="15"/>
      <color rgb="FFFF00FF"/>
      <name val="맑은 고딕"/>
      <family val="3"/>
      <charset val="129"/>
      <scheme val="minor"/>
    </font>
    <font>
      <b/>
      <sz val="15"/>
      <color rgb="FFFF0000"/>
      <name val="맑은 고딕"/>
      <family val="3"/>
      <charset val="129"/>
      <scheme val="minor"/>
    </font>
    <font>
      <b/>
      <sz val="22"/>
      <color theme="1"/>
      <name val="맑은 고딕"/>
      <family val="3"/>
      <charset val="129"/>
      <scheme val="minor"/>
    </font>
    <font>
      <sz val="22"/>
      <name val="맑은 고딕"/>
      <family val="3"/>
      <charset val="129"/>
      <scheme val="minor"/>
    </font>
    <font>
      <b/>
      <sz val="14"/>
      <color theme="1" tint="0.499984740745262"/>
      <name val="맑은 고딕"/>
      <family val="3"/>
      <charset val="129"/>
      <scheme val="minor"/>
    </font>
    <font>
      <sz val="22"/>
      <color theme="0" tint="-0.34998626667073579"/>
      <name val="맑은 고딕"/>
      <family val="3"/>
      <charset val="129"/>
      <scheme val="minor"/>
    </font>
    <font>
      <b/>
      <sz val="22"/>
      <color theme="0" tint="-0.14999847407452621"/>
      <name val="맑은 고딕"/>
      <family val="3"/>
      <charset val="129"/>
      <scheme val="minor"/>
    </font>
    <font>
      <sz val="18"/>
      <color theme="0" tint="-0.499984740745262"/>
      <name val="LG스마트체 Regular"/>
      <family val="3"/>
      <charset val="129"/>
    </font>
    <font>
      <b/>
      <sz val="20"/>
      <color theme="0" tint="-0.499984740745262"/>
      <name val="LG스마트체 Regular"/>
      <family val="3"/>
      <charset val="129"/>
    </font>
    <font>
      <sz val="15"/>
      <color theme="1"/>
      <name val="맑은 고딕"/>
      <family val="3"/>
      <charset val="129"/>
      <scheme val="minor"/>
    </font>
    <font>
      <b/>
      <sz val="17"/>
      <name val="맑은 고딕"/>
      <family val="3"/>
      <charset val="129"/>
      <scheme val="minor"/>
    </font>
    <font>
      <sz val="14"/>
      <color theme="1"/>
      <name val="맑은 고딕"/>
      <family val="3"/>
      <charset val="129"/>
      <scheme val="minor"/>
    </font>
    <font>
      <sz val="10"/>
      <name val="HY견고딕"/>
      <family val="1"/>
      <charset val="129"/>
    </font>
    <font>
      <sz val="17"/>
      <color theme="1"/>
      <name val="맑은 고딕"/>
      <family val="3"/>
      <charset val="129"/>
      <scheme val="minor"/>
    </font>
    <font>
      <b/>
      <sz val="17"/>
      <color theme="1"/>
      <name val="LG스마트체 Regular"/>
      <family val="3"/>
      <charset val="129"/>
    </font>
    <font>
      <b/>
      <sz val="16"/>
      <color rgb="FFFF00FF"/>
      <name val="LG스마트체 Regular"/>
      <family val="3"/>
      <charset val="129"/>
    </font>
    <font>
      <sz val="30"/>
      <name val="맑은 고딕"/>
      <family val="3"/>
      <charset val="129"/>
      <scheme val="minor"/>
    </font>
    <font>
      <sz val="10"/>
      <color rgb="FFFF0000"/>
      <name val="LG스마트체 Regular"/>
      <family val="3"/>
      <charset val="129"/>
    </font>
    <font>
      <sz val="26"/>
      <color rgb="FFFF0000"/>
      <name val="LG스마트체 Regular"/>
      <family val="3"/>
      <charset val="129"/>
    </font>
    <font>
      <sz val="22"/>
      <color theme="0" tint="-0.14999847407452621"/>
      <name val="맑은 고딕"/>
      <family val="3"/>
      <charset val="129"/>
      <scheme val="minor"/>
    </font>
    <font>
      <b/>
      <sz val="22"/>
      <color theme="0" tint="-0.249977111117893"/>
      <name val="맑은 고딕"/>
      <family val="3"/>
      <charset val="129"/>
      <scheme val="minor"/>
    </font>
    <font>
      <sz val="22"/>
      <color theme="1" tint="0.499984740745262"/>
      <name val="맑은 고딕"/>
      <family val="3"/>
      <charset val="129"/>
      <scheme val="minor"/>
    </font>
    <font>
      <sz val="22"/>
      <color theme="1"/>
      <name val="맑은 고딕"/>
      <family val="3"/>
      <charset val="129"/>
      <scheme val="minor"/>
    </font>
    <font>
      <sz val="22"/>
      <color indexed="8"/>
      <name val="맑은 고딕"/>
      <family val="3"/>
      <charset val="129"/>
      <scheme val="minor"/>
    </font>
    <font>
      <b/>
      <sz val="15"/>
      <color theme="0" tint="-0.499984740745262"/>
      <name val="맑은 고딕"/>
      <family val="3"/>
      <charset val="129"/>
      <scheme val="minor"/>
    </font>
    <font>
      <sz val="23"/>
      <color theme="1"/>
      <name val="맑은 고딕"/>
      <family val="3"/>
      <charset val="129"/>
      <scheme val="minor"/>
    </font>
    <font>
      <b/>
      <sz val="23"/>
      <color theme="0" tint="-0.34998626667073579"/>
      <name val="맑은 고딕"/>
      <family val="3"/>
      <charset val="129"/>
      <scheme val="minor"/>
    </font>
    <font>
      <b/>
      <sz val="28"/>
      <color rgb="FF0000FF"/>
      <name val="맑은 고딕"/>
      <family val="3"/>
      <charset val="129"/>
      <scheme val="minor"/>
    </font>
    <font>
      <b/>
      <sz val="28"/>
      <color theme="1"/>
      <name val="맑은 고딕"/>
      <family val="3"/>
      <charset val="129"/>
      <scheme val="minor"/>
    </font>
    <font>
      <b/>
      <sz val="28"/>
      <color rgb="FFFF00FF"/>
      <name val="맑은 고딕"/>
      <family val="3"/>
      <charset val="129"/>
      <scheme val="minor"/>
    </font>
    <font>
      <b/>
      <sz val="28"/>
      <name val="맑은 고딕"/>
      <family val="3"/>
      <charset val="129"/>
      <scheme val="minor"/>
    </font>
    <font>
      <b/>
      <sz val="28"/>
      <color rgb="FF7030A0"/>
      <name val="맑은 고딕"/>
      <family val="3"/>
      <charset val="129"/>
      <scheme val="minor"/>
    </font>
    <font>
      <sz val="10"/>
      <color rgb="FFFF00FF"/>
      <name val="LG스마트체 Regular"/>
      <family val="3"/>
      <charset val="129"/>
    </font>
    <font>
      <sz val="26"/>
      <color rgb="FFFF00FF"/>
      <name val="LG스마트체 Regular"/>
      <family val="3"/>
      <charset val="129"/>
    </font>
    <font>
      <b/>
      <sz val="15"/>
      <color rgb="FFFF00FF"/>
      <name val="Arial"/>
      <family val="2"/>
    </font>
    <font>
      <b/>
      <sz val="14"/>
      <color rgb="FFFF00FF"/>
      <name val="LG스마트체 Regular"/>
      <family val="3"/>
      <charset val="129"/>
    </font>
    <font>
      <b/>
      <sz val="19"/>
      <color rgb="FFFF00FF"/>
      <name val="LG스마트체 Regular"/>
      <family val="3"/>
      <charset val="129"/>
    </font>
    <font>
      <b/>
      <sz val="45"/>
      <color rgb="FF0000FF"/>
      <name val="맑은 고딕"/>
      <family val="3"/>
      <charset val="129"/>
      <scheme val="minor"/>
    </font>
  </fonts>
  <fills count="24">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lightUp">
        <fgColor theme="0" tint="-0.14996795556505021"/>
        <bgColor indexed="65"/>
      </patternFill>
    </fill>
    <fill>
      <patternFill patternType="lightUp">
        <fgColor theme="0" tint="-0.14996795556505021"/>
        <bgColor rgb="FFFFFF00"/>
      </patternFill>
    </fill>
    <fill>
      <patternFill patternType="lightUp">
        <fgColor theme="0" tint="-0.14996795556505021"/>
        <bgColor theme="0" tint="-4.9989318521683403E-2"/>
      </patternFill>
    </fill>
    <fill>
      <patternFill patternType="lightUp">
        <fgColor theme="0" tint="-0.14996795556505021"/>
        <bgColor theme="9" tint="0.79998168889431442"/>
      </patternFill>
    </fill>
    <fill>
      <patternFill patternType="solid">
        <fgColor rgb="FFFBE5D7"/>
        <bgColor indexed="64"/>
      </patternFill>
    </fill>
    <fill>
      <patternFill patternType="solid">
        <fgColor indexed="9"/>
        <bgColor indexed="64"/>
      </patternFill>
    </fill>
    <fill>
      <patternFill patternType="lightUp">
        <fgColor theme="0" tint="-0.14996795556505021"/>
        <bgColor theme="0"/>
      </patternFill>
    </fill>
    <fill>
      <patternFill patternType="lightUp">
        <fgColor theme="0" tint="-0.499984740745262"/>
        <bgColor theme="9" tint="0.79998168889431442"/>
      </patternFill>
    </fill>
    <fill>
      <patternFill patternType="lightUp">
        <fgColor theme="0" tint="-0.499984740745262"/>
        <bgColor rgb="FFFFFF00"/>
      </patternFill>
    </fill>
    <fill>
      <patternFill patternType="solid">
        <fgColor rgb="FFFF0000"/>
        <bgColor indexed="64"/>
      </patternFill>
    </fill>
    <fill>
      <patternFill patternType="solid">
        <fgColor rgb="FFFF00FF"/>
        <bgColor indexed="64"/>
      </patternFill>
    </fill>
    <fill>
      <patternFill patternType="solid">
        <fgColor theme="9" tint="0.59999389629810485"/>
        <bgColor indexed="64"/>
      </patternFill>
    </fill>
  </fills>
  <borders count="101">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medium">
        <color indexed="64"/>
      </right>
      <top style="medium">
        <color indexed="64"/>
      </top>
      <bottom style="hair">
        <color indexed="64"/>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top style="thin">
        <color indexed="64"/>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indexed="64"/>
      </top>
      <bottom/>
      <diagonal/>
    </border>
    <border>
      <left/>
      <right style="thin">
        <color theme="0" tint="-0.24994659260841701"/>
      </right>
      <top style="thin">
        <color theme="0" tint="-0.24994659260841701"/>
      </top>
      <bottom style="thin">
        <color theme="0" tint="-0.24994659260841701"/>
      </bottom>
      <diagonal/>
    </border>
    <border>
      <left style="hair">
        <color theme="0" tint="-0.24994659260841701"/>
      </left>
      <right style="hair">
        <color theme="0" tint="-0.24994659260841701"/>
      </right>
      <top/>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indexed="64"/>
      </top>
      <bottom style="thin">
        <color theme="0" tint="-0.24994659260841701"/>
      </bottom>
      <diagonal/>
    </border>
    <border>
      <left style="thin">
        <color indexed="64"/>
      </left>
      <right style="medium">
        <color indexed="64"/>
      </right>
      <top style="thin">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theme="0" tint="-0.24994659260841701"/>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0" tint="-0.24994659260841701"/>
      </right>
      <top/>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indexed="64"/>
      </left>
      <right style="medium">
        <color indexed="64"/>
      </right>
      <top/>
      <bottom style="medium">
        <color indexed="64"/>
      </bottom>
      <diagonal/>
    </border>
    <border>
      <left style="medium">
        <color indexed="64"/>
      </left>
      <right style="thin">
        <color theme="0" tint="-0.24994659260841701"/>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style="medium">
        <color indexed="64"/>
      </left>
      <right/>
      <top/>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1" tint="0.499984740745262"/>
      </left>
      <right/>
      <top style="medium">
        <color indexed="64"/>
      </top>
      <bottom/>
      <diagonal/>
    </border>
    <border>
      <left style="thin">
        <color theme="1" tint="0.499984740745262"/>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thin">
        <color indexed="64"/>
      </right>
      <top style="thin">
        <color theme="0" tint="-0.499984740745262"/>
      </top>
      <bottom style="medium">
        <color indexed="64"/>
      </bottom>
      <diagonal/>
    </border>
    <border>
      <left style="thick">
        <color rgb="FFFF0000"/>
      </left>
      <right style="thick">
        <color rgb="FFFF0000"/>
      </right>
      <top style="thick">
        <color rgb="FFFF0000"/>
      </top>
      <bottom style="thin">
        <color theme="0" tint="-0.24994659260841701"/>
      </bottom>
      <diagonal/>
    </border>
    <border>
      <left style="thick">
        <color rgb="FFFF0000"/>
      </left>
      <right style="thick">
        <color rgb="FFFF0000"/>
      </right>
      <top style="thin">
        <color theme="0" tint="-0.24994659260841701"/>
      </top>
      <bottom style="thin">
        <color theme="0" tint="-0.24994659260841701"/>
      </bottom>
      <diagonal/>
    </border>
    <border>
      <left style="thick">
        <color rgb="FFFF0000"/>
      </left>
      <right/>
      <top style="thick">
        <color rgb="FFFF0000"/>
      </top>
      <bottom style="thin">
        <color theme="0" tint="-0.24994659260841701"/>
      </bottom>
      <diagonal/>
    </border>
    <border>
      <left style="thick">
        <color rgb="FFFF0000"/>
      </left>
      <right/>
      <top style="thin">
        <color theme="0" tint="-0.24994659260841701"/>
      </top>
      <bottom style="thin">
        <color theme="0" tint="-0.24994659260841701"/>
      </bottom>
      <diagonal/>
    </border>
    <border>
      <left style="thick">
        <color rgb="FFFF0000"/>
      </left>
      <right/>
      <top/>
      <bottom style="thick">
        <color rgb="FFFF0000"/>
      </bottom>
      <diagonal/>
    </border>
    <border>
      <left style="thick">
        <color rgb="FFFF0000"/>
      </left>
      <right style="thick">
        <color rgb="FFFF0000"/>
      </right>
      <top/>
      <bottom style="thick">
        <color rgb="FFFF0000"/>
      </bottom>
      <diagonal/>
    </border>
    <border>
      <left style="thin">
        <color theme="0" tint="-0.24994659260841701"/>
      </left>
      <right style="thin">
        <color theme="0" tint="-0.24994659260841701"/>
      </right>
      <top/>
      <bottom style="medium">
        <color indexed="64"/>
      </bottom>
      <diagonal/>
    </border>
    <border>
      <left/>
      <right/>
      <top style="medium">
        <color indexed="64"/>
      </top>
      <bottom/>
      <diagonal/>
    </border>
    <border>
      <left/>
      <right/>
      <top style="thin">
        <color indexed="64"/>
      </top>
      <bottom style="medium">
        <color indexed="64"/>
      </bottom>
      <diagonal/>
    </border>
    <border>
      <left/>
      <right style="thin">
        <color indexed="64"/>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right style="thin">
        <color theme="0" tint="-0.24994659260841701"/>
      </right>
      <top style="medium">
        <color indexed="64"/>
      </top>
      <bottom/>
      <diagonal/>
    </border>
    <border>
      <left style="thin">
        <color theme="0" tint="-0.24994659260841701"/>
      </left>
      <right style="thin">
        <color theme="0" tint="-0.24994659260841701"/>
      </right>
      <top style="medium">
        <color indexed="64"/>
      </top>
      <bottom/>
      <diagonal/>
    </border>
    <border>
      <left style="thin">
        <color theme="0" tint="-0.24994659260841701"/>
      </left>
      <right style="thin">
        <color indexed="64"/>
      </right>
      <top style="medium">
        <color indexed="64"/>
      </top>
      <bottom/>
      <diagonal/>
    </border>
    <border>
      <left style="thin">
        <color theme="0" tint="-0.24994659260841701"/>
      </left>
      <right style="thin">
        <color indexed="64"/>
      </right>
      <top style="thin">
        <color indexed="64"/>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indexed="64"/>
      </bottom>
      <diagonal/>
    </border>
    <border>
      <left style="thin">
        <color theme="0" tint="-0.24994659260841701"/>
      </left>
      <right style="thin">
        <color indexed="64"/>
      </right>
      <top/>
      <bottom style="thin">
        <color indexed="64"/>
      </bottom>
      <diagonal/>
    </border>
    <border>
      <left style="thick">
        <color rgb="FFFF0000"/>
      </left>
      <right style="thick">
        <color rgb="FFFF0000"/>
      </right>
      <top style="thin">
        <color theme="0" tint="-0.24994659260841701"/>
      </top>
      <bottom style="thick">
        <color rgb="FFFF0000"/>
      </bottom>
      <diagonal/>
    </border>
    <border>
      <left style="thick">
        <color theme="0" tint="-0.499984740745262"/>
      </left>
      <right style="thick">
        <color theme="0" tint="-0.499984740745262"/>
      </right>
      <top style="thick">
        <color theme="0" tint="-0.499984740745262"/>
      </top>
      <bottom style="thick">
        <color theme="0" tint="-0.499984740745262"/>
      </bottom>
      <diagonal/>
    </border>
    <border>
      <left style="medium">
        <color indexed="64"/>
      </left>
      <right style="thin">
        <color theme="0" tint="-0.24994659260841701"/>
      </right>
      <top/>
      <bottom style="thin">
        <color theme="0" tint="-0.24994659260841701"/>
      </bottom>
      <diagonal/>
    </border>
    <border>
      <left/>
      <right style="thin">
        <color theme="0" tint="-0.24994659260841701"/>
      </right>
      <top/>
      <bottom style="thin">
        <color theme="0" tint="-0.24994659260841701"/>
      </bottom>
      <diagonal/>
    </border>
    <border>
      <left style="thick">
        <color theme="0" tint="-0.499984740745262"/>
      </left>
      <right style="thin">
        <color theme="0" tint="-0.24994659260841701"/>
      </right>
      <top style="thick">
        <color theme="0" tint="-0.499984740745262"/>
      </top>
      <bottom style="thin">
        <color theme="0" tint="-0.24994659260841701"/>
      </bottom>
      <diagonal/>
    </border>
    <border>
      <left/>
      <right style="thin">
        <color theme="0" tint="-0.24994659260841701"/>
      </right>
      <top style="thick">
        <color theme="0" tint="-0.499984740745262"/>
      </top>
      <bottom style="thin">
        <color theme="0" tint="-0.24994659260841701"/>
      </bottom>
      <diagonal/>
    </border>
    <border>
      <left style="thin">
        <color theme="0" tint="-0.24994659260841701"/>
      </left>
      <right style="thin">
        <color theme="0" tint="-0.24994659260841701"/>
      </right>
      <top style="thick">
        <color theme="0" tint="-0.499984740745262"/>
      </top>
      <bottom style="thin">
        <color theme="0" tint="-0.24994659260841701"/>
      </bottom>
      <diagonal/>
    </border>
    <border>
      <left style="thin">
        <color theme="0" tint="-0.24994659260841701"/>
      </left>
      <right style="thick">
        <color theme="0" tint="-0.499984740745262"/>
      </right>
      <top style="thick">
        <color theme="0" tint="-0.499984740745262"/>
      </top>
      <bottom style="thin">
        <color theme="0" tint="-0.24994659260841701"/>
      </bottom>
      <diagonal/>
    </border>
    <border>
      <left style="thick">
        <color theme="0" tint="-0.499984740745262"/>
      </left>
      <right style="thin">
        <color theme="0" tint="-0.24994659260841701"/>
      </right>
      <top style="thin">
        <color theme="0" tint="-0.24994659260841701"/>
      </top>
      <bottom style="thin">
        <color theme="0" tint="-0.24994659260841701"/>
      </bottom>
      <diagonal/>
    </border>
    <border>
      <left style="thin">
        <color theme="0" tint="-0.24994659260841701"/>
      </left>
      <right style="thick">
        <color theme="0" tint="-0.499984740745262"/>
      </right>
      <top style="thin">
        <color theme="0" tint="-0.24994659260841701"/>
      </top>
      <bottom style="thin">
        <color theme="0" tint="-0.24994659260841701"/>
      </bottom>
      <diagonal/>
    </border>
    <border>
      <left style="thick">
        <color theme="0" tint="-0.499984740745262"/>
      </left>
      <right style="thin">
        <color theme="0" tint="-0.24994659260841701"/>
      </right>
      <top style="thin">
        <color theme="0" tint="-0.24994659260841701"/>
      </top>
      <bottom style="thick">
        <color theme="0" tint="-0.499984740745262"/>
      </bottom>
      <diagonal/>
    </border>
    <border>
      <left/>
      <right style="thin">
        <color theme="0" tint="-0.24994659260841701"/>
      </right>
      <top style="thin">
        <color theme="0" tint="-0.24994659260841701"/>
      </top>
      <bottom style="thick">
        <color theme="0" tint="-0.499984740745262"/>
      </bottom>
      <diagonal/>
    </border>
    <border>
      <left style="thin">
        <color theme="0" tint="-0.24994659260841701"/>
      </left>
      <right style="thin">
        <color theme="0" tint="-0.24994659260841701"/>
      </right>
      <top style="thin">
        <color theme="0" tint="-0.24994659260841701"/>
      </top>
      <bottom style="thick">
        <color theme="0" tint="-0.499984740745262"/>
      </bottom>
      <diagonal/>
    </border>
    <border>
      <left style="thin">
        <color theme="0" tint="-0.24994659260841701"/>
      </left>
      <right style="thick">
        <color theme="0" tint="-0.499984740745262"/>
      </right>
      <top style="thin">
        <color theme="0" tint="-0.24994659260841701"/>
      </top>
      <bottom style="thick">
        <color theme="0" tint="-0.499984740745262"/>
      </bottom>
      <diagonal/>
    </border>
  </borders>
  <cellStyleXfs count="28">
    <xf numFmtId="0" fontId="0" fillId="0" borderId="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2" fillId="0" borderId="0"/>
    <xf numFmtId="177" fontId="8" fillId="0" borderId="0" applyFont="0" applyFill="0" applyBorder="0" applyAlignment="0" applyProtection="0">
      <alignment vertical="center"/>
    </xf>
    <xf numFmtId="178" fontId="13" fillId="0" borderId="0" applyFont="0" applyFill="0" applyBorder="0" applyAlignment="0" applyProtection="0"/>
    <xf numFmtId="0" fontId="14" fillId="0" borderId="0"/>
    <xf numFmtId="180" fontId="14" fillId="0" borderId="0" applyFont="0" applyFill="0" applyBorder="0" applyAlignment="0" applyProtection="0"/>
    <xf numFmtId="0" fontId="8" fillId="0" borderId="0">
      <alignment vertical="center"/>
    </xf>
    <xf numFmtId="9" fontId="13" fillId="0" borderId="0" applyFont="0" applyFill="0" applyBorder="0" applyAlignment="0" applyProtection="0"/>
    <xf numFmtId="0" fontId="12" fillId="0" borderId="0"/>
    <xf numFmtId="0" fontId="21" fillId="0" borderId="0"/>
    <xf numFmtId="176" fontId="21" fillId="0" borderId="0" applyFont="0" applyFill="0" applyBorder="0" applyAlignment="0" applyProtection="0"/>
    <xf numFmtId="177" fontId="21" fillId="0" borderId="0" applyFont="0" applyFill="0" applyBorder="0" applyAlignment="0" applyProtection="0">
      <alignment vertical="center"/>
    </xf>
    <xf numFmtId="0" fontId="7" fillId="0" borderId="0">
      <alignment vertical="center"/>
    </xf>
    <xf numFmtId="0" fontId="6" fillId="0" borderId="0">
      <alignment vertical="center"/>
    </xf>
    <xf numFmtId="177" fontId="6" fillId="0" borderId="0" applyFont="0" applyFill="0" applyBorder="0" applyAlignment="0" applyProtection="0">
      <alignment vertical="center"/>
    </xf>
    <xf numFmtId="0" fontId="5" fillId="0" borderId="0">
      <alignment vertical="center"/>
    </xf>
    <xf numFmtId="177" fontId="5" fillId="0" borderId="0" applyFont="0" applyFill="0" applyBorder="0" applyAlignment="0" applyProtection="0">
      <alignment vertical="center"/>
    </xf>
    <xf numFmtId="0" fontId="4" fillId="0" borderId="0">
      <alignment vertical="center"/>
    </xf>
    <xf numFmtId="177" fontId="3" fillId="0" borderId="0" applyFont="0" applyFill="0" applyBorder="0" applyAlignment="0" applyProtection="0">
      <alignment vertical="center"/>
    </xf>
    <xf numFmtId="41" fontId="10" fillId="0" borderId="0" applyFont="0" applyFill="0" applyBorder="0" applyAlignment="0" applyProtection="0">
      <alignment vertical="center"/>
    </xf>
    <xf numFmtId="0" fontId="2" fillId="0" borderId="0">
      <alignment vertical="center"/>
    </xf>
    <xf numFmtId="0" fontId="62" fillId="0" borderId="0">
      <alignment vertical="center"/>
    </xf>
    <xf numFmtId="177" fontId="62" fillId="0" borderId="0">
      <alignment vertical="center"/>
    </xf>
    <xf numFmtId="177" fontId="1" fillId="0" borderId="0" applyFont="0" applyFill="0" applyBorder="0" applyAlignment="0" applyProtection="0">
      <alignment vertical="center"/>
    </xf>
    <xf numFmtId="177" fontId="1" fillId="0" borderId="0" applyFont="0" applyFill="0" applyBorder="0" applyAlignment="0" applyProtection="0">
      <alignment vertical="center"/>
    </xf>
    <xf numFmtId="0" fontId="1" fillId="0" borderId="0">
      <alignment vertical="center"/>
    </xf>
  </cellStyleXfs>
  <cellXfs count="445">
    <xf numFmtId="0" fontId="0" fillId="0" borderId="0" xfId="0">
      <alignment vertical="center"/>
    </xf>
    <xf numFmtId="0" fontId="16" fillId="0" borderId="6" xfId="6" applyFont="1" applyBorder="1" applyAlignment="1">
      <alignment horizontal="right" vertical="center"/>
    </xf>
    <xf numFmtId="0" fontId="22" fillId="0" borderId="0" xfId="6" applyFont="1" applyAlignment="1">
      <alignment vertical="center"/>
    </xf>
    <xf numFmtId="0" fontId="23" fillId="0" borderId="0" xfId="3" applyFont="1"/>
    <xf numFmtId="0" fontId="24" fillId="0" borderId="4" xfId="6" applyFont="1" applyBorder="1" applyAlignment="1">
      <alignment horizontal="center" vertical="center"/>
    </xf>
    <xf numFmtId="0" fontId="16" fillId="0" borderId="5" xfId="6" applyFont="1" applyBorder="1" applyAlignment="1">
      <alignment horizontal="right" vertical="center"/>
    </xf>
    <xf numFmtId="0" fontId="16" fillId="4" borderId="24" xfId="6" applyFont="1" applyFill="1" applyBorder="1" applyAlignment="1">
      <alignment horizontal="center" vertical="center"/>
    </xf>
    <xf numFmtId="0" fontId="16" fillId="4" borderId="25" xfId="6" applyFont="1" applyFill="1" applyBorder="1" applyAlignment="1">
      <alignment vertical="center" shrinkToFit="1"/>
    </xf>
    <xf numFmtId="0" fontId="16" fillId="4" borderId="1" xfId="6" applyFont="1" applyFill="1" applyBorder="1" applyAlignment="1">
      <alignment horizontal="center" vertical="center"/>
    </xf>
    <xf numFmtId="0" fontId="16" fillId="4" borderId="26" xfId="6" applyFont="1" applyFill="1" applyBorder="1" applyAlignment="1">
      <alignment vertical="center" shrinkToFit="1"/>
    </xf>
    <xf numFmtId="0" fontId="25" fillId="0" borderId="0" xfId="6" applyFont="1" applyAlignment="1">
      <alignment vertical="center" shrinkToFit="1"/>
    </xf>
    <xf numFmtId="0" fontId="16" fillId="4" borderId="1" xfId="6" applyFont="1" applyFill="1" applyBorder="1" applyAlignment="1">
      <alignment horizontal="center" vertical="center" shrinkToFit="1"/>
    </xf>
    <xf numFmtId="0" fontId="16" fillId="0" borderId="1" xfId="6" applyFont="1" applyBorder="1" applyAlignment="1">
      <alignment horizontal="center" vertical="center"/>
    </xf>
    <xf numFmtId="0" fontId="16" fillId="0" borderId="26" xfId="6" applyFont="1" applyBorder="1" applyAlignment="1">
      <alignment vertical="center"/>
    </xf>
    <xf numFmtId="0" fontId="24" fillId="0" borderId="0" xfId="6" applyFont="1" applyAlignment="1">
      <alignment horizontal="center" vertical="center" shrinkToFit="1"/>
    </xf>
    <xf numFmtId="0" fontId="16" fillId="0" borderId="27" xfId="6" applyFont="1" applyBorder="1" applyAlignment="1">
      <alignment horizontal="center" vertical="center" shrinkToFit="1"/>
    </xf>
    <xf numFmtId="0" fontId="16" fillId="0" borderId="28" xfId="6" applyFont="1" applyBorder="1" applyAlignment="1">
      <alignment vertical="center" shrinkToFit="1"/>
    </xf>
    <xf numFmtId="0" fontId="25" fillId="0" borderId="6" xfId="6" applyFont="1" applyBorder="1" applyAlignment="1">
      <alignment vertical="center"/>
    </xf>
    <xf numFmtId="179" fontId="24" fillId="0" borderId="6" xfId="6" applyNumberFormat="1" applyFont="1" applyBorder="1" applyAlignment="1">
      <alignment vertical="center"/>
    </xf>
    <xf numFmtId="0" fontId="24" fillId="0" borderId="0" xfId="6" applyFont="1" applyAlignment="1">
      <alignment vertical="center" shrinkToFit="1"/>
    </xf>
    <xf numFmtId="0" fontId="16" fillId="0" borderId="7" xfId="6" applyFont="1" applyBorder="1" applyAlignment="1">
      <alignment horizontal="center" vertical="center"/>
    </xf>
    <xf numFmtId="0" fontId="16" fillId="0" borderId="8" xfId="6" applyFont="1" applyBorder="1" applyAlignment="1">
      <alignment horizontal="center" vertical="center"/>
    </xf>
    <xf numFmtId="0" fontId="16" fillId="0" borderId="9" xfId="6" applyFont="1" applyBorder="1" applyAlignment="1">
      <alignment horizontal="center" vertical="center"/>
    </xf>
    <xf numFmtId="0" fontId="26" fillId="0" borderId="10" xfId="6" applyFont="1" applyBorder="1" applyAlignment="1">
      <alignment horizontal="center" vertical="center"/>
    </xf>
    <xf numFmtId="0" fontId="16" fillId="0" borderId="11" xfId="6" applyFont="1" applyBorder="1" applyAlignment="1">
      <alignment vertical="center"/>
    </xf>
    <xf numFmtId="0" fontId="26" fillId="0" borderId="11" xfId="6" applyFont="1" applyBorder="1" applyAlignment="1">
      <alignment vertical="center"/>
    </xf>
    <xf numFmtId="1" fontId="26" fillId="0" borderId="11" xfId="6" applyNumberFormat="1" applyFont="1" applyBorder="1" applyAlignment="1">
      <alignment horizontal="center" vertical="center"/>
    </xf>
    <xf numFmtId="180" fontId="26" fillId="0" borderId="11" xfId="7" applyFont="1" applyBorder="1" applyAlignment="1">
      <alignment horizontal="right" vertical="center"/>
    </xf>
    <xf numFmtId="0" fontId="26" fillId="0" borderId="12" xfId="6" applyFont="1" applyBorder="1" applyAlignment="1">
      <alignment vertical="center"/>
    </xf>
    <xf numFmtId="0" fontId="26" fillId="0" borderId="13" xfId="6" applyFont="1" applyBorder="1" applyAlignment="1">
      <alignment horizontal="center" vertical="center"/>
    </xf>
    <xf numFmtId="0" fontId="26" fillId="0" borderId="14" xfId="6" applyFont="1" applyBorder="1" applyAlignment="1">
      <alignment horizontal="center" vertical="center"/>
    </xf>
    <xf numFmtId="0" fontId="26" fillId="0" borderId="14" xfId="3" applyFont="1" applyBorder="1" applyAlignment="1">
      <alignment horizontal="center" vertical="center"/>
    </xf>
    <xf numFmtId="1" fontId="26" fillId="0" borderId="14" xfId="6" applyNumberFormat="1" applyFont="1" applyBorder="1" applyAlignment="1">
      <alignment horizontal="center" vertical="center"/>
    </xf>
    <xf numFmtId="180" fontId="26" fillId="0" borderId="14" xfId="7" applyFont="1" applyBorder="1" applyAlignment="1">
      <alignment horizontal="right" vertical="center"/>
    </xf>
    <xf numFmtId="0" fontId="26" fillId="0" borderId="15" xfId="6" quotePrefix="1" applyFont="1" applyBorder="1" applyAlignment="1">
      <alignment vertical="center"/>
    </xf>
    <xf numFmtId="0" fontId="26" fillId="0" borderId="15" xfId="6" applyFont="1" applyBorder="1" applyAlignment="1">
      <alignment vertical="center"/>
    </xf>
    <xf numFmtId="0" fontId="16" fillId="7" borderId="14" xfId="6" applyFont="1" applyFill="1" applyBorder="1" applyAlignment="1">
      <alignment vertical="center"/>
    </xf>
    <xf numFmtId="1" fontId="16" fillId="7" borderId="14" xfId="6" applyNumberFormat="1" applyFont="1" applyFill="1" applyBorder="1" applyAlignment="1">
      <alignment horizontal="center" vertical="center"/>
    </xf>
    <xf numFmtId="180" fontId="16" fillId="7" borderId="14" xfId="7" applyFont="1" applyFill="1" applyBorder="1" applyAlignment="1">
      <alignment horizontal="right" vertical="center"/>
    </xf>
    <xf numFmtId="0" fontId="16" fillId="0" borderId="14" xfId="6" applyFont="1" applyBorder="1" applyAlignment="1">
      <alignment vertical="center"/>
    </xf>
    <xf numFmtId="0" fontId="26" fillId="0" borderId="14" xfId="6" applyFont="1" applyBorder="1" applyAlignment="1">
      <alignment vertical="center"/>
    </xf>
    <xf numFmtId="180" fontId="16" fillId="0" borderId="14" xfId="7" applyFont="1" applyFill="1" applyBorder="1" applyAlignment="1">
      <alignment horizontal="right" vertical="center"/>
    </xf>
    <xf numFmtId="178" fontId="26" fillId="0" borderId="14" xfId="5" applyFont="1" applyFill="1" applyBorder="1" applyAlignment="1">
      <alignment horizontal="right" vertical="center"/>
    </xf>
    <xf numFmtId="0" fontId="26" fillId="4" borderId="14" xfId="6" applyFont="1" applyFill="1" applyBorder="1" applyAlignment="1">
      <alignment vertical="center"/>
    </xf>
    <xf numFmtId="0" fontId="26" fillId="4" borderId="14" xfId="6" applyFont="1" applyFill="1" applyBorder="1" applyAlignment="1">
      <alignment horizontal="center" vertical="center"/>
    </xf>
    <xf numFmtId="178" fontId="26" fillId="4" borderId="14" xfId="5" applyFont="1" applyFill="1" applyBorder="1" applyAlignment="1">
      <alignment horizontal="right" vertical="center"/>
    </xf>
    <xf numFmtId="0" fontId="26" fillId="4" borderId="15" xfId="6" applyFont="1" applyFill="1" applyBorder="1" applyAlignment="1">
      <alignment vertical="center"/>
    </xf>
    <xf numFmtId="0" fontId="26" fillId="0" borderId="14" xfId="3" applyFont="1" applyBorder="1" applyAlignment="1">
      <alignment horizontal="left" vertical="center"/>
    </xf>
    <xf numFmtId="9" fontId="16" fillId="7" borderId="14" xfId="3" applyNumberFormat="1" applyFont="1" applyFill="1" applyBorder="1" applyAlignment="1">
      <alignment horizontal="right" vertical="center"/>
    </xf>
    <xf numFmtId="1" fontId="16" fillId="7" borderId="14" xfId="9" applyNumberFormat="1" applyFont="1" applyFill="1" applyBorder="1" applyAlignment="1">
      <alignment horizontal="center" vertical="center"/>
    </xf>
    <xf numFmtId="177" fontId="16" fillId="7" borderId="14" xfId="7" applyNumberFormat="1" applyFont="1" applyFill="1" applyBorder="1" applyAlignment="1">
      <alignment horizontal="right" vertical="center"/>
    </xf>
    <xf numFmtId="9" fontId="26" fillId="0" borderId="14" xfId="3" applyNumberFormat="1" applyFont="1" applyBorder="1" applyAlignment="1">
      <alignment horizontal="right" vertical="center"/>
    </xf>
    <xf numFmtId="1" fontId="26" fillId="0" borderId="14" xfId="9" applyNumberFormat="1" applyFont="1" applyFill="1" applyBorder="1" applyAlignment="1">
      <alignment horizontal="center" vertical="center"/>
    </xf>
    <xf numFmtId="177" fontId="16" fillId="0" borderId="14" xfId="7" applyNumberFormat="1" applyFont="1" applyFill="1" applyBorder="1" applyAlignment="1">
      <alignment horizontal="right" vertical="center"/>
    </xf>
    <xf numFmtId="0" fontId="26" fillId="0" borderId="14" xfId="3" applyFont="1" applyBorder="1" applyAlignment="1">
      <alignment vertical="center"/>
    </xf>
    <xf numFmtId="180" fontId="26" fillId="4" borderId="14" xfId="7" applyFont="1" applyFill="1" applyBorder="1" applyAlignment="1">
      <alignment horizontal="right" vertical="center"/>
    </xf>
    <xf numFmtId="0" fontId="16" fillId="0" borderId="16" xfId="6" applyFont="1" applyBorder="1" applyAlignment="1">
      <alignment horizontal="center" vertical="center" textRotation="255"/>
    </xf>
    <xf numFmtId="0" fontId="16" fillId="0" borderId="17" xfId="6" applyFont="1" applyBorder="1" applyAlignment="1">
      <alignment vertical="top"/>
    </xf>
    <xf numFmtId="0" fontId="26" fillId="0" borderId="18" xfId="6" applyFont="1" applyBorder="1" applyAlignment="1">
      <alignment vertical="center"/>
    </xf>
    <xf numFmtId="0" fontId="26" fillId="0" borderId="18" xfId="6" applyFont="1" applyBorder="1" applyAlignment="1">
      <alignment horizontal="right" vertical="center"/>
    </xf>
    <xf numFmtId="0" fontId="16" fillId="0" borderId="0" xfId="10" applyFont="1"/>
    <xf numFmtId="0" fontId="23" fillId="0" borderId="0" xfId="0" applyFont="1" applyAlignment="1">
      <alignment horizontal="center" vertical="center"/>
    </xf>
    <xf numFmtId="9" fontId="27" fillId="0" borderId="0" xfId="0" applyNumberFormat="1" applyFont="1" applyAlignment="1">
      <alignment horizontal="center" vertical="center"/>
    </xf>
    <xf numFmtId="181" fontId="27" fillId="2" borderId="0" xfId="2" applyNumberFormat="1" applyFont="1" applyFill="1" applyAlignment="1">
      <alignment horizontal="center" vertical="center"/>
    </xf>
    <xf numFmtId="0" fontId="27" fillId="3" borderId="21" xfId="0" applyFont="1" applyFill="1" applyBorder="1" applyAlignment="1">
      <alignment horizontal="center" vertical="center"/>
    </xf>
    <xf numFmtId="0" fontId="27" fillId="6" borderId="2" xfId="0" applyFont="1" applyFill="1" applyBorder="1" applyAlignment="1">
      <alignment horizontal="center" vertical="center"/>
    </xf>
    <xf numFmtId="178" fontId="27" fillId="3" borderId="2" xfId="5" applyFont="1" applyFill="1" applyBorder="1" applyAlignment="1">
      <alignment horizontal="center" vertical="center"/>
    </xf>
    <xf numFmtId="0" fontId="23" fillId="5" borderId="21" xfId="0" applyFont="1" applyFill="1" applyBorder="1" applyAlignment="1">
      <alignment horizontal="center" vertical="center"/>
    </xf>
    <xf numFmtId="0" fontId="23" fillId="6" borderId="2" xfId="0" applyFont="1" applyFill="1" applyBorder="1" applyAlignment="1">
      <alignment horizontal="center" vertical="center"/>
    </xf>
    <xf numFmtId="49" fontId="23" fillId="4" borderId="2" xfId="0" applyNumberFormat="1" applyFont="1" applyFill="1" applyBorder="1" applyAlignment="1">
      <alignment horizontal="center" vertical="center" wrapText="1"/>
    </xf>
    <xf numFmtId="177" fontId="23" fillId="5" borderId="2" xfId="1" applyFont="1" applyFill="1" applyBorder="1" applyAlignment="1">
      <alignment horizontal="center" vertical="center" wrapText="1"/>
    </xf>
    <xf numFmtId="177" fontId="23" fillId="0" borderId="2" xfId="1" applyFont="1" applyFill="1" applyBorder="1" applyAlignment="1">
      <alignment horizontal="center" vertical="center" wrapText="1"/>
    </xf>
    <xf numFmtId="0" fontId="28" fillId="0" borderId="22" xfId="0" applyFont="1" applyBorder="1" applyAlignment="1">
      <alignment horizontal="center" vertical="center"/>
    </xf>
    <xf numFmtId="49" fontId="23" fillId="6" borderId="2" xfId="0" applyNumberFormat="1" applyFont="1" applyFill="1" applyBorder="1" applyAlignment="1">
      <alignment horizontal="center" vertical="center"/>
    </xf>
    <xf numFmtId="0" fontId="23" fillId="5" borderId="2" xfId="0" applyFont="1" applyFill="1" applyBorder="1" applyAlignment="1">
      <alignment horizontal="center" vertical="center"/>
    </xf>
    <xf numFmtId="0" fontId="26" fillId="4" borderId="0" xfId="0" applyFont="1" applyFill="1" applyAlignment="1">
      <alignment horizontal="center" vertical="center"/>
    </xf>
    <xf numFmtId="182" fontId="23" fillId="0" borderId="2" xfId="1" applyNumberFormat="1" applyFont="1" applyFill="1" applyBorder="1" applyAlignment="1">
      <alignment horizontal="center" vertical="center"/>
    </xf>
    <xf numFmtId="49" fontId="23" fillId="4" borderId="2" xfId="0" applyNumberFormat="1" applyFont="1" applyFill="1" applyBorder="1" applyAlignment="1">
      <alignment horizontal="center" vertical="center"/>
    </xf>
    <xf numFmtId="183" fontId="23" fillId="4" borderId="2" xfId="0" applyNumberFormat="1" applyFont="1" applyFill="1" applyBorder="1" applyAlignment="1">
      <alignment horizontal="right" vertical="center" wrapText="1"/>
    </xf>
    <xf numFmtId="183" fontId="23" fillId="5" borderId="2" xfId="1" applyNumberFormat="1" applyFont="1" applyFill="1" applyBorder="1" applyAlignment="1">
      <alignment horizontal="right" vertical="center" wrapText="1"/>
    </xf>
    <xf numFmtId="183" fontId="23" fillId="4" borderId="2" xfId="1" applyNumberFormat="1" applyFont="1" applyFill="1" applyBorder="1" applyAlignment="1">
      <alignment horizontal="right" vertical="center" wrapText="1"/>
    </xf>
    <xf numFmtId="0" fontId="23" fillId="0" borderId="0" xfId="0" applyFont="1" applyAlignment="1">
      <alignment vertical="center" wrapText="1"/>
    </xf>
    <xf numFmtId="0" fontId="27" fillId="3" borderId="2" xfId="3" applyFont="1" applyFill="1" applyBorder="1" applyAlignment="1">
      <alignment horizontal="center" vertical="center" wrapText="1"/>
    </xf>
    <xf numFmtId="0" fontId="26" fillId="4" borderId="0" xfId="0" applyFont="1" applyFill="1" applyAlignment="1">
      <alignment vertical="center" wrapText="1"/>
    </xf>
    <xf numFmtId="0" fontId="23" fillId="0" borderId="0" xfId="0" applyFont="1">
      <alignment vertical="center"/>
    </xf>
    <xf numFmtId="0" fontId="27" fillId="8" borderId="23" xfId="0" applyFont="1" applyFill="1" applyBorder="1">
      <alignment vertical="center"/>
    </xf>
    <xf numFmtId="0" fontId="27" fillId="8" borderId="20" xfId="0" applyFont="1" applyFill="1" applyBorder="1">
      <alignment vertical="center"/>
    </xf>
    <xf numFmtId="0" fontId="28" fillId="0" borderId="0" xfId="0" applyFont="1">
      <alignment vertical="center"/>
    </xf>
    <xf numFmtId="0" fontId="26" fillId="9" borderId="0" xfId="0" applyFont="1" applyFill="1">
      <alignment vertical="center"/>
    </xf>
    <xf numFmtId="0" fontId="26" fillId="4" borderId="0" xfId="0" applyFont="1" applyFill="1">
      <alignment vertical="center"/>
    </xf>
    <xf numFmtId="177" fontId="16" fillId="9" borderId="0" xfId="0" applyNumberFormat="1" applyFont="1" applyFill="1">
      <alignment vertical="center"/>
    </xf>
    <xf numFmtId="0" fontId="29" fillId="0" borderId="0" xfId="0" applyFont="1">
      <alignment vertical="center"/>
    </xf>
    <xf numFmtId="177" fontId="29" fillId="0" borderId="0" xfId="0" applyNumberFormat="1" applyFont="1">
      <alignment vertical="center"/>
    </xf>
    <xf numFmtId="0" fontId="26" fillId="0" borderId="0" xfId="0" applyFont="1">
      <alignment vertical="center"/>
    </xf>
    <xf numFmtId="0" fontId="27" fillId="4" borderId="0" xfId="0" applyFont="1" applyFill="1">
      <alignment vertical="center"/>
    </xf>
    <xf numFmtId="182" fontId="23" fillId="4" borderId="2" xfId="1" applyNumberFormat="1" applyFont="1" applyFill="1" applyBorder="1" applyAlignment="1">
      <alignment horizontal="center" vertical="center"/>
    </xf>
    <xf numFmtId="49" fontId="23" fillId="6" borderId="2" xfId="0" applyNumberFormat="1" applyFont="1" applyFill="1" applyBorder="1" applyAlignment="1">
      <alignment horizontal="center" vertical="center" wrapText="1"/>
    </xf>
    <xf numFmtId="0" fontId="31" fillId="6" borderId="2" xfId="0" applyFont="1" applyFill="1" applyBorder="1" applyAlignment="1">
      <alignment horizontal="center" vertical="center"/>
    </xf>
    <xf numFmtId="0" fontId="32" fillId="6" borderId="2" xfId="0" applyFont="1" applyFill="1" applyBorder="1" applyAlignment="1">
      <alignment horizontal="center" vertical="center"/>
    </xf>
    <xf numFmtId="0" fontId="32" fillId="4" borderId="2" xfId="0" applyFont="1" applyFill="1" applyBorder="1" applyAlignment="1">
      <alignment horizontal="center" vertical="center"/>
    </xf>
    <xf numFmtId="49" fontId="32" fillId="4" borderId="2" xfId="0" applyNumberFormat="1" applyFont="1" applyFill="1" applyBorder="1" applyAlignment="1">
      <alignment horizontal="center" vertical="center"/>
    </xf>
    <xf numFmtId="186" fontId="31" fillId="4" borderId="2" xfId="1" applyNumberFormat="1" applyFont="1" applyFill="1" applyBorder="1" applyAlignment="1">
      <alignment horizontal="center" vertical="center"/>
    </xf>
    <xf numFmtId="177" fontId="32" fillId="4" borderId="2" xfId="1" applyFont="1" applyFill="1" applyBorder="1" applyAlignment="1">
      <alignment horizontal="center" vertical="center"/>
    </xf>
    <xf numFmtId="177" fontId="23" fillId="4" borderId="2" xfId="1" applyFont="1" applyFill="1" applyBorder="1" applyAlignment="1">
      <alignment horizontal="center" vertical="center" wrapText="1"/>
    </xf>
    <xf numFmtId="0" fontId="33" fillId="0" borderId="0" xfId="22" applyFont="1">
      <alignment vertical="center"/>
    </xf>
    <xf numFmtId="0" fontId="34" fillId="0" borderId="0" xfId="22" quotePrefix="1" applyFont="1" applyAlignment="1">
      <alignment vertical="center" wrapText="1"/>
    </xf>
    <xf numFmtId="0" fontId="33" fillId="0" borderId="0" xfId="22" applyFont="1" applyAlignment="1">
      <alignment horizontal="center" vertical="center"/>
    </xf>
    <xf numFmtId="0" fontId="42" fillId="10" borderId="37" xfId="22" applyFont="1" applyFill="1" applyBorder="1" applyAlignment="1">
      <alignment horizontal="center" vertical="center"/>
    </xf>
    <xf numFmtId="0" fontId="42" fillId="10" borderId="52" xfId="22" applyFont="1" applyFill="1" applyBorder="1" applyAlignment="1">
      <alignment horizontal="center" vertical="center"/>
    </xf>
    <xf numFmtId="0" fontId="42" fillId="10" borderId="53" xfId="22" applyFont="1" applyFill="1" applyBorder="1" applyAlignment="1">
      <alignment horizontal="center" vertical="center"/>
    </xf>
    <xf numFmtId="0" fontId="42" fillId="10" borderId="51" xfId="22" applyFont="1" applyFill="1" applyBorder="1" applyAlignment="1">
      <alignment horizontal="center" vertical="center"/>
    </xf>
    <xf numFmtId="0" fontId="30" fillId="0" borderId="0" xfId="22" applyFont="1" applyAlignment="1">
      <alignment horizontal="center" vertical="center"/>
    </xf>
    <xf numFmtId="0" fontId="35" fillId="0" borderId="0" xfId="22" applyFont="1" applyAlignment="1">
      <alignment horizontal="center" vertical="center"/>
    </xf>
    <xf numFmtId="0" fontId="2" fillId="0" borderId="0" xfId="22">
      <alignment vertical="center"/>
    </xf>
    <xf numFmtId="0" fontId="37" fillId="0" borderId="33" xfId="22" applyFont="1" applyBorder="1" applyAlignment="1">
      <alignment horizontal="center" vertical="center"/>
    </xf>
    <xf numFmtId="0" fontId="38" fillId="0" borderId="30" xfId="22" applyFont="1" applyBorder="1" applyAlignment="1">
      <alignment horizontal="center" vertical="center" wrapText="1"/>
    </xf>
    <xf numFmtId="0" fontId="37" fillId="0" borderId="30" xfId="22" applyFont="1" applyBorder="1" applyAlignment="1">
      <alignment horizontal="center" vertical="center" wrapText="1"/>
    </xf>
    <xf numFmtId="0" fontId="37" fillId="0" borderId="30" xfId="22" applyFont="1" applyBorder="1" applyAlignment="1">
      <alignment horizontal="center" vertical="center"/>
    </xf>
    <xf numFmtId="0" fontId="37" fillId="0" borderId="34" xfId="22" applyFont="1" applyBorder="1" applyAlignment="1">
      <alignment horizontal="center" vertical="center"/>
    </xf>
    <xf numFmtId="185" fontId="40" fillId="0" borderId="14" xfId="22" applyNumberFormat="1" applyFont="1" applyBorder="1" applyAlignment="1">
      <alignment horizontal="center" vertical="center"/>
    </xf>
    <xf numFmtId="0" fontId="38" fillId="0" borderId="14" xfId="22" applyFont="1" applyBorder="1" applyAlignment="1">
      <alignment horizontal="center" vertical="center" wrapText="1"/>
    </xf>
    <xf numFmtId="0" fontId="37" fillId="0" borderId="14" xfId="22" applyFont="1" applyBorder="1" applyAlignment="1">
      <alignment horizontal="center" vertical="center" wrapText="1"/>
    </xf>
    <xf numFmtId="0" fontId="37" fillId="0" borderId="14" xfId="22" applyFont="1" applyBorder="1" applyAlignment="1">
      <alignment horizontal="center" vertical="center"/>
    </xf>
    <xf numFmtId="0" fontId="36" fillId="4" borderId="32" xfId="22" applyFont="1" applyFill="1" applyBorder="1" applyAlignment="1">
      <alignment horizontal="center" vertical="center" wrapText="1"/>
    </xf>
    <xf numFmtId="0" fontId="36" fillId="4" borderId="32" xfId="22" applyFont="1" applyFill="1" applyBorder="1" applyAlignment="1">
      <alignment horizontal="center" vertical="center"/>
    </xf>
    <xf numFmtId="0" fontId="37" fillId="0" borderId="56" xfId="22" applyFont="1" applyBorder="1" applyAlignment="1">
      <alignment horizontal="center" vertical="center"/>
    </xf>
    <xf numFmtId="0" fontId="38" fillId="0" borderId="57" xfId="22" applyFont="1" applyBorder="1" applyAlignment="1">
      <alignment horizontal="center" vertical="center" wrapText="1"/>
    </xf>
    <xf numFmtId="0" fontId="37" fillId="0" borderId="57" xfId="22" applyFont="1" applyBorder="1" applyAlignment="1">
      <alignment horizontal="center" vertical="center" wrapText="1"/>
    </xf>
    <xf numFmtId="0" fontId="37" fillId="0" borderId="57" xfId="22" applyFont="1" applyBorder="1" applyAlignment="1">
      <alignment horizontal="center" vertical="center"/>
    </xf>
    <xf numFmtId="0" fontId="36" fillId="4" borderId="58" xfId="22" applyFont="1" applyFill="1" applyBorder="1" applyAlignment="1">
      <alignment horizontal="center" vertical="center" wrapText="1"/>
    </xf>
    <xf numFmtId="0" fontId="36" fillId="4" borderId="59" xfId="22" applyFont="1" applyFill="1" applyBorder="1" applyAlignment="1">
      <alignment horizontal="center" vertical="center"/>
    </xf>
    <xf numFmtId="0" fontId="36" fillId="4" borderId="60" xfId="22" applyFont="1" applyFill="1" applyBorder="1" applyAlignment="1">
      <alignment horizontal="center" vertical="center"/>
    </xf>
    <xf numFmtId="0" fontId="46" fillId="12" borderId="34" xfId="22" applyFont="1" applyFill="1" applyBorder="1" applyAlignment="1">
      <alignment horizontal="center" vertical="center"/>
    </xf>
    <xf numFmtId="187" fontId="46" fillId="12" borderId="14" xfId="22" applyNumberFormat="1" applyFont="1" applyFill="1" applyBorder="1" applyAlignment="1">
      <alignment horizontal="center" vertical="center"/>
    </xf>
    <xf numFmtId="20" fontId="46" fillId="12" borderId="14" xfId="22" applyNumberFormat="1" applyFont="1" applyFill="1" applyBorder="1" applyAlignment="1">
      <alignment horizontal="center" vertical="center"/>
    </xf>
    <xf numFmtId="20" fontId="47" fillId="14" borderId="14" xfId="22" applyNumberFormat="1" applyFont="1" applyFill="1" applyBorder="1" applyAlignment="1">
      <alignment horizontal="center" vertical="center"/>
    </xf>
    <xf numFmtId="185" fontId="39" fillId="12" borderId="14" xfId="22" applyNumberFormat="1" applyFont="1" applyFill="1" applyBorder="1" applyAlignment="1">
      <alignment horizontal="center" vertical="center"/>
    </xf>
    <xf numFmtId="0" fontId="39" fillId="12" borderId="14" xfId="22" applyFont="1" applyFill="1" applyBorder="1" applyAlignment="1">
      <alignment horizontal="center" vertical="center"/>
    </xf>
    <xf numFmtId="0" fontId="46" fillId="12" borderId="14" xfId="22" applyFont="1" applyFill="1" applyBorder="1" applyAlignment="1">
      <alignment horizontal="center" vertical="center"/>
    </xf>
    <xf numFmtId="0" fontId="39" fillId="12" borderId="14" xfId="22" applyFont="1" applyFill="1" applyBorder="1" applyAlignment="1">
      <alignment vertical="center" wrapText="1"/>
    </xf>
    <xf numFmtId="185" fontId="40" fillId="0" borderId="63" xfId="22" applyNumberFormat="1" applyFont="1" applyBorder="1" applyAlignment="1">
      <alignment horizontal="center" vertical="center"/>
    </xf>
    <xf numFmtId="0" fontId="43" fillId="0" borderId="42" xfId="22" applyFont="1" applyBorder="1" applyAlignment="1">
      <alignment horizontal="center" vertical="center"/>
    </xf>
    <xf numFmtId="0" fontId="46" fillId="0" borderId="34" xfId="22" applyFont="1" applyBorder="1" applyAlignment="1">
      <alignment horizontal="center" vertical="center"/>
    </xf>
    <xf numFmtId="187" fontId="46" fillId="0" borderId="14" xfId="22" applyNumberFormat="1" applyFont="1" applyBorder="1" applyAlignment="1">
      <alignment horizontal="center" vertical="center"/>
    </xf>
    <xf numFmtId="20" fontId="46" fillId="0" borderId="14" xfId="22" applyNumberFormat="1" applyFont="1" applyBorder="1" applyAlignment="1">
      <alignment horizontal="center" vertical="center"/>
    </xf>
    <xf numFmtId="20" fontId="47" fillId="10" borderId="14" xfId="22" applyNumberFormat="1" applyFont="1" applyFill="1" applyBorder="1" applyAlignment="1">
      <alignment horizontal="center" vertical="center"/>
    </xf>
    <xf numFmtId="0" fontId="39" fillId="0" borderId="14" xfId="22" applyFont="1" applyBorder="1" applyAlignment="1">
      <alignment horizontal="center" vertical="center" wrapText="1"/>
    </xf>
    <xf numFmtId="0" fontId="46" fillId="0" borderId="14" xfId="22" applyFont="1" applyBorder="1" applyAlignment="1">
      <alignment horizontal="center" vertical="center" wrapText="1"/>
    </xf>
    <xf numFmtId="0" fontId="46" fillId="0" borderId="14" xfId="22" applyFont="1" applyBorder="1" applyAlignment="1">
      <alignment horizontal="center" vertical="center"/>
    </xf>
    <xf numFmtId="0" fontId="39" fillId="0" borderId="14" xfId="22" applyFont="1" applyBorder="1" applyAlignment="1">
      <alignment vertical="center" wrapText="1"/>
    </xf>
    <xf numFmtId="0" fontId="48" fillId="0" borderId="0" xfId="22" applyFont="1">
      <alignment vertical="center"/>
    </xf>
    <xf numFmtId="0" fontId="43" fillId="0" borderId="61" xfId="22" applyFont="1" applyBorder="1" applyAlignment="1">
      <alignment horizontal="center" vertical="center"/>
    </xf>
    <xf numFmtId="0" fontId="46" fillId="0" borderId="62" xfId="22" applyFont="1" applyBorder="1" applyAlignment="1">
      <alignment horizontal="center" vertical="center"/>
    </xf>
    <xf numFmtId="187" fontId="46" fillId="0" borderId="63" xfId="22" applyNumberFormat="1" applyFont="1" applyBorder="1" applyAlignment="1">
      <alignment horizontal="center" vertical="center"/>
    </xf>
    <xf numFmtId="20" fontId="46" fillId="0" borderId="63" xfId="22" applyNumberFormat="1" applyFont="1" applyBorder="1" applyAlignment="1">
      <alignment horizontal="center" vertical="center"/>
    </xf>
    <xf numFmtId="20" fontId="47" fillId="10" borderId="63" xfId="22" applyNumberFormat="1" applyFont="1" applyFill="1" applyBorder="1" applyAlignment="1">
      <alignment horizontal="center" vertical="center"/>
    </xf>
    <xf numFmtId="0" fontId="39" fillId="0" borderId="63" xfId="22" applyFont="1" applyBorder="1" applyAlignment="1">
      <alignment horizontal="center" vertical="center"/>
    </xf>
    <xf numFmtId="0" fontId="46" fillId="0" borderId="63" xfId="22" applyFont="1" applyBorder="1" applyAlignment="1">
      <alignment horizontal="center" vertical="center"/>
    </xf>
    <xf numFmtId="0" fontId="39" fillId="0" borderId="63" xfId="22" applyFont="1" applyBorder="1" applyAlignment="1">
      <alignment vertical="center" wrapText="1"/>
    </xf>
    <xf numFmtId="187" fontId="49" fillId="0" borderId="46" xfId="22" applyNumberFormat="1" applyFont="1" applyBorder="1" applyAlignment="1">
      <alignment horizontal="center" vertical="center"/>
    </xf>
    <xf numFmtId="20" fontId="49" fillId="0" borderId="46" xfId="22" applyNumberFormat="1" applyFont="1" applyBorder="1" applyAlignment="1">
      <alignment horizontal="center" vertical="center"/>
    </xf>
    <xf numFmtId="0" fontId="51" fillId="0" borderId="0" xfId="22" applyFont="1">
      <alignment vertical="center"/>
    </xf>
    <xf numFmtId="0" fontId="44" fillId="0" borderId="0" xfId="22" applyFont="1" applyAlignment="1">
      <alignment horizontal="centerContinuous" vertical="center"/>
    </xf>
    <xf numFmtId="0" fontId="49" fillId="0" borderId="0" xfId="22" applyFont="1" applyAlignment="1">
      <alignment horizontal="centerContinuous" vertical="center"/>
    </xf>
    <xf numFmtId="0" fontId="52" fillId="0" borderId="40" xfId="22" applyFont="1" applyBorder="1" applyAlignment="1">
      <alignment horizontal="center" vertical="center"/>
    </xf>
    <xf numFmtId="187" fontId="37" fillId="0" borderId="30" xfId="22" applyNumberFormat="1" applyFont="1" applyBorder="1" applyAlignment="1">
      <alignment horizontal="center" vertical="center"/>
    </xf>
    <xf numFmtId="20" fontId="37" fillId="0" borderId="14" xfId="22" applyNumberFormat="1" applyFont="1" applyBorder="1" applyAlignment="1">
      <alignment horizontal="center" vertical="center"/>
    </xf>
    <xf numFmtId="20" fontId="37" fillId="0" borderId="30" xfId="22" applyNumberFormat="1" applyFont="1" applyBorder="1" applyAlignment="1">
      <alignment horizontal="center" vertical="center"/>
    </xf>
    <xf numFmtId="20" fontId="53" fillId="10" borderId="30" xfId="22" applyNumberFormat="1" applyFont="1" applyFill="1" applyBorder="1" applyAlignment="1">
      <alignment horizontal="center" vertical="center"/>
    </xf>
    <xf numFmtId="185" fontId="38" fillId="0" borderId="30" xfId="22" applyNumberFormat="1" applyFont="1" applyBorder="1" applyAlignment="1">
      <alignment horizontal="center" vertical="center"/>
    </xf>
    <xf numFmtId="0" fontId="38" fillId="0" borderId="30" xfId="22" applyFont="1" applyBorder="1" applyAlignment="1">
      <alignment vertical="center" wrapText="1"/>
    </xf>
    <xf numFmtId="0" fontId="54" fillId="0" borderId="0" xfId="22" applyFont="1">
      <alignment vertical="center"/>
    </xf>
    <xf numFmtId="0" fontId="52" fillId="0" borderId="42" xfId="22" applyFont="1" applyBorder="1" applyAlignment="1">
      <alignment horizontal="center" vertical="center"/>
    </xf>
    <xf numFmtId="187" fontId="37" fillId="0" borderId="14" xfId="22" applyNumberFormat="1" applyFont="1" applyBorder="1" applyAlignment="1">
      <alignment horizontal="center" vertical="center"/>
    </xf>
    <xf numFmtId="20" fontId="53" fillId="10" borderId="14" xfId="22" applyNumberFormat="1" applyFont="1" applyFill="1" applyBorder="1" applyAlignment="1">
      <alignment horizontal="center" vertical="center"/>
    </xf>
    <xf numFmtId="185" fontId="38" fillId="0" borderId="14" xfId="22" applyNumberFormat="1" applyFont="1" applyBorder="1" applyAlignment="1">
      <alignment horizontal="center" vertical="center"/>
    </xf>
    <xf numFmtId="0" fontId="38" fillId="0" borderId="14" xfId="22" applyFont="1" applyBorder="1" applyAlignment="1">
      <alignment horizontal="left" vertical="center" wrapText="1"/>
    </xf>
    <xf numFmtId="0" fontId="52" fillId="4" borderId="32" xfId="22" applyFont="1" applyFill="1" applyBorder="1" applyAlignment="1">
      <alignment horizontal="center" vertical="center" wrapText="1"/>
    </xf>
    <xf numFmtId="0" fontId="38" fillId="0" borderId="14" xfId="22" applyFont="1" applyBorder="1" applyAlignment="1">
      <alignment vertical="center" wrapText="1"/>
    </xf>
    <xf numFmtId="0" fontId="52" fillId="0" borderId="55" xfId="22" applyFont="1" applyBorder="1" applyAlignment="1">
      <alignment horizontal="center" vertical="center"/>
    </xf>
    <xf numFmtId="187" fontId="37" fillId="0" borderId="57" xfId="22" applyNumberFormat="1" applyFont="1" applyBorder="1" applyAlignment="1">
      <alignment horizontal="center" vertical="center"/>
    </xf>
    <xf numFmtId="20" fontId="37" fillId="0" borderId="57" xfId="22" applyNumberFormat="1" applyFont="1" applyBorder="1" applyAlignment="1">
      <alignment horizontal="center" vertical="center"/>
    </xf>
    <xf numFmtId="20" fontId="53" fillId="10" borderId="57" xfId="22" applyNumberFormat="1" applyFont="1" applyFill="1" applyBorder="1" applyAlignment="1">
      <alignment horizontal="center" vertical="center"/>
    </xf>
    <xf numFmtId="185" fontId="38" fillId="0" borderId="57" xfId="22" applyNumberFormat="1" applyFont="1" applyBorder="1" applyAlignment="1">
      <alignment horizontal="center" vertical="center"/>
    </xf>
    <xf numFmtId="0" fontId="38" fillId="0" borderId="57" xfId="22" applyFont="1" applyBorder="1" applyAlignment="1">
      <alignment vertical="center" wrapText="1"/>
    </xf>
    <xf numFmtId="49" fontId="55" fillId="6" borderId="2" xfId="0" applyNumberFormat="1" applyFont="1" applyFill="1" applyBorder="1" applyAlignment="1">
      <alignment horizontal="center" vertical="center" wrapText="1"/>
    </xf>
    <xf numFmtId="0" fontId="56" fillId="6" borderId="2" xfId="0" applyFont="1" applyFill="1" applyBorder="1" applyAlignment="1">
      <alignment horizontal="center" vertical="center"/>
    </xf>
    <xf numFmtId="183" fontId="23" fillId="0" borderId="2" xfId="1" applyNumberFormat="1" applyFont="1" applyFill="1" applyBorder="1" applyAlignment="1">
      <alignment horizontal="right" vertical="center" wrapText="1"/>
    </xf>
    <xf numFmtId="0" fontId="59" fillId="4" borderId="2" xfId="0" applyFont="1" applyFill="1" applyBorder="1" applyAlignment="1">
      <alignment horizontal="center" vertical="center"/>
    </xf>
    <xf numFmtId="49" fontId="59" fillId="4" borderId="2" xfId="0" applyNumberFormat="1" applyFont="1" applyFill="1" applyBorder="1" applyAlignment="1">
      <alignment horizontal="center" vertical="center"/>
    </xf>
    <xf numFmtId="177" fontId="59" fillId="4" borderId="2" xfId="1" applyFont="1" applyFill="1" applyBorder="1" applyAlignment="1">
      <alignment horizontal="center" vertical="center"/>
    </xf>
    <xf numFmtId="49" fontId="57" fillId="6" borderId="2" xfId="0" applyNumberFormat="1" applyFont="1" applyFill="1" applyBorder="1" applyAlignment="1">
      <alignment horizontal="center" vertical="center" wrapText="1"/>
    </xf>
    <xf numFmtId="0" fontId="55" fillId="6" borderId="2" xfId="0" applyFont="1" applyFill="1" applyBorder="1" applyAlignment="1">
      <alignment horizontal="center" vertical="center"/>
    </xf>
    <xf numFmtId="0" fontId="59" fillId="4" borderId="2" xfId="0" applyFont="1" applyFill="1" applyBorder="1" applyAlignment="1">
      <alignment horizontal="center" vertical="center" wrapText="1"/>
    </xf>
    <xf numFmtId="49" fontId="60" fillId="4" borderId="2" xfId="0" applyNumberFormat="1" applyFont="1" applyFill="1" applyBorder="1" applyAlignment="1">
      <alignment horizontal="center" vertical="center"/>
    </xf>
    <xf numFmtId="177" fontId="61" fillId="4" borderId="2" xfId="1" applyFont="1" applyFill="1" applyBorder="1" applyAlignment="1">
      <alignment horizontal="center" vertical="center" wrapText="1"/>
    </xf>
    <xf numFmtId="49" fontId="23" fillId="16" borderId="2" xfId="23" applyNumberFormat="1" applyFont="1" applyFill="1" applyBorder="1" applyAlignment="1">
      <alignment horizontal="center" vertical="center" wrapText="1"/>
    </xf>
    <xf numFmtId="0" fontId="27" fillId="16" borderId="2" xfId="23" applyFont="1" applyFill="1" applyBorder="1" applyAlignment="1">
      <alignment horizontal="center" vertical="center"/>
    </xf>
    <xf numFmtId="0" fontId="23" fillId="16" borderId="2" xfId="23" applyFont="1" applyFill="1" applyBorder="1" applyAlignment="1">
      <alignment horizontal="center" vertical="center"/>
    </xf>
    <xf numFmtId="49" fontId="23" fillId="0" borderId="2" xfId="23" applyNumberFormat="1" applyFont="1" applyBorder="1" applyAlignment="1">
      <alignment horizontal="center" vertical="center" wrapText="1"/>
    </xf>
    <xf numFmtId="49" fontId="23" fillId="17" borderId="2" xfId="23" applyNumberFormat="1" applyFont="1" applyFill="1" applyBorder="1" applyAlignment="1">
      <alignment horizontal="center" vertical="center"/>
    </xf>
    <xf numFmtId="183" fontId="23" fillId="17" borderId="2" xfId="24" applyNumberFormat="1" applyFont="1" applyFill="1" applyBorder="1" applyAlignment="1">
      <alignment horizontal="right" vertical="center"/>
    </xf>
    <xf numFmtId="183" fontId="23" fillId="17" borderId="2" xfId="23" applyNumberFormat="1" applyFont="1" applyFill="1" applyBorder="1" applyAlignment="1">
      <alignment horizontal="right" vertical="center" wrapText="1"/>
    </xf>
    <xf numFmtId="9" fontId="28" fillId="0" borderId="2" xfId="0" applyNumberFormat="1" applyFont="1" applyBorder="1" applyAlignment="1">
      <alignment horizontal="center" vertical="center"/>
    </xf>
    <xf numFmtId="0" fontId="45" fillId="0" borderId="46" xfId="22" applyFont="1" applyBorder="1" applyAlignment="1">
      <alignment horizontal="center" vertical="center"/>
    </xf>
    <xf numFmtId="0" fontId="45" fillId="0" borderId="46" xfId="22" applyFont="1" applyBorder="1" applyAlignment="1">
      <alignment horizontal="center" vertical="center" wrapText="1"/>
    </xf>
    <xf numFmtId="0" fontId="45" fillId="0" borderId="46" xfId="22" applyFont="1" applyBorder="1" applyAlignment="1">
      <alignment vertical="center" wrapText="1"/>
    </xf>
    <xf numFmtId="41" fontId="61" fillId="4" borderId="2" xfId="21" applyFont="1" applyFill="1" applyBorder="1" applyAlignment="1">
      <alignment horizontal="center" vertical="center" wrapText="1"/>
    </xf>
    <xf numFmtId="0" fontId="24" fillId="0" borderId="0" xfId="6" applyFont="1" applyAlignment="1">
      <alignment vertical="center"/>
    </xf>
    <xf numFmtId="0" fontId="16" fillId="0" borderId="3" xfId="6" applyFont="1" applyBorder="1" applyAlignment="1">
      <alignment vertical="center"/>
    </xf>
    <xf numFmtId="0" fontId="27" fillId="0" borderId="0" xfId="0" applyFont="1" applyAlignment="1">
      <alignment horizontal="center" vertical="center"/>
    </xf>
    <xf numFmtId="0" fontId="27" fillId="3" borderId="2" xfId="0" applyFont="1" applyFill="1" applyBorder="1" applyAlignment="1">
      <alignment horizontal="center" vertical="center"/>
    </xf>
    <xf numFmtId="0" fontId="64" fillId="0" borderId="66" xfId="22" applyFont="1" applyBorder="1" applyAlignment="1">
      <alignment horizontal="center" vertical="center" wrapText="1"/>
    </xf>
    <xf numFmtId="0" fontId="65" fillId="0" borderId="67" xfId="22" applyFont="1" applyBorder="1" applyAlignment="1">
      <alignment horizontal="center" vertical="center" wrapText="1"/>
    </xf>
    <xf numFmtId="0" fontId="65" fillId="0" borderId="68" xfId="22" applyFont="1" applyBorder="1" applyAlignment="1">
      <alignment horizontal="center" vertical="center" wrapText="1"/>
    </xf>
    <xf numFmtId="0" fontId="66" fillId="4" borderId="32" xfId="22" applyFont="1" applyFill="1" applyBorder="1" applyAlignment="1">
      <alignment horizontal="center" vertical="center" wrapText="1"/>
    </xf>
    <xf numFmtId="0" fontId="68" fillId="0" borderId="0" xfId="22" applyFont="1">
      <alignment vertical="center"/>
    </xf>
    <xf numFmtId="188" fontId="68" fillId="0" borderId="0" xfId="22" applyNumberFormat="1" applyFont="1">
      <alignment vertical="center"/>
    </xf>
    <xf numFmtId="0" fontId="70" fillId="0" borderId="39" xfId="22" applyFont="1" applyBorder="1" applyAlignment="1">
      <alignment horizontal="center" vertical="center"/>
    </xf>
    <xf numFmtId="0" fontId="38" fillId="0" borderId="41" xfId="22" applyFont="1" applyBorder="1">
      <alignment vertical="center"/>
    </xf>
    <xf numFmtId="0" fontId="38" fillId="0" borderId="43" xfId="22" applyFont="1" applyBorder="1" applyAlignment="1">
      <alignment horizontal="center" vertical="center" wrapText="1"/>
    </xf>
    <xf numFmtId="185" fontId="38" fillId="0" borderId="43" xfId="22" applyNumberFormat="1" applyFont="1" applyBorder="1" applyAlignment="1">
      <alignment horizontal="center" vertical="center"/>
    </xf>
    <xf numFmtId="0" fontId="71" fillId="0" borderId="43" xfId="22" applyFont="1" applyBorder="1" applyAlignment="1">
      <alignment horizontal="center" vertical="center" wrapText="1"/>
    </xf>
    <xf numFmtId="0" fontId="39" fillId="0" borderId="39" xfId="22" applyFont="1" applyBorder="1" applyAlignment="1">
      <alignment horizontal="center" vertical="center" wrapText="1"/>
    </xf>
    <xf numFmtId="0" fontId="72" fillId="0" borderId="48" xfId="22" applyFont="1" applyBorder="1" applyAlignment="1">
      <alignment vertical="center" wrapText="1"/>
    </xf>
    <xf numFmtId="0" fontId="66" fillId="4" borderId="58" xfId="22" applyFont="1" applyFill="1" applyBorder="1" applyAlignment="1">
      <alignment horizontal="center" vertical="center" wrapText="1"/>
    </xf>
    <xf numFmtId="185" fontId="75" fillId="10" borderId="46" xfId="22" applyNumberFormat="1" applyFont="1" applyFill="1" applyBorder="1" applyAlignment="1">
      <alignment horizontal="center" vertical="center"/>
    </xf>
    <xf numFmtId="0" fontId="76" fillId="9" borderId="30" xfId="22" applyFont="1" applyFill="1" applyBorder="1" applyAlignment="1">
      <alignment horizontal="center" vertical="center"/>
    </xf>
    <xf numFmtId="0" fontId="76" fillId="9" borderId="14" xfId="22" applyFont="1" applyFill="1" applyBorder="1" applyAlignment="1">
      <alignment horizontal="center" vertical="center"/>
    </xf>
    <xf numFmtId="0" fontId="69" fillId="9" borderId="14" xfId="22" applyFont="1" applyFill="1" applyBorder="1" applyAlignment="1">
      <alignment horizontal="center" vertical="center"/>
    </xf>
    <xf numFmtId="0" fontId="69" fillId="9" borderId="57" xfId="22" applyFont="1" applyFill="1" applyBorder="1" applyAlignment="1">
      <alignment horizontal="center" vertical="center"/>
    </xf>
    <xf numFmtId="0" fontId="74" fillId="13" borderId="14" xfId="22" applyFont="1" applyFill="1" applyBorder="1" applyAlignment="1">
      <alignment horizontal="center" vertical="center"/>
    </xf>
    <xf numFmtId="0" fontId="77" fillId="10" borderId="14" xfId="22" applyFont="1" applyFill="1" applyBorder="1" applyAlignment="1">
      <alignment horizontal="centerContinuous" vertical="center"/>
    </xf>
    <xf numFmtId="0" fontId="67" fillId="9" borderId="14" xfId="22" applyFont="1" applyFill="1" applyBorder="1" applyAlignment="1">
      <alignment horizontal="center" vertical="center"/>
    </xf>
    <xf numFmtId="0" fontId="67" fillId="9" borderId="63" xfId="22" applyFont="1" applyFill="1" applyBorder="1" applyAlignment="1">
      <alignment horizontal="center" vertical="center"/>
    </xf>
    <xf numFmtId="0" fontId="78" fillId="0" borderId="35" xfId="22" applyFont="1" applyBorder="1" applyAlignment="1">
      <alignment horizontal="center" vertical="center"/>
    </xf>
    <xf numFmtId="0" fontId="78" fillId="0" borderId="35" xfId="22" applyFont="1" applyBorder="1" applyAlignment="1">
      <alignment horizontal="center" vertical="center" wrapText="1"/>
    </xf>
    <xf numFmtId="14" fontId="78" fillId="0" borderId="35" xfId="22" quotePrefix="1" applyNumberFormat="1" applyFont="1" applyBorder="1" applyAlignment="1">
      <alignment horizontal="center" vertical="center"/>
    </xf>
    <xf numFmtId="0" fontId="78" fillId="0" borderId="35" xfId="22" quotePrefix="1" applyFont="1" applyBorder="1" applyAlignment="1">
      <alignment vertical="center" wrapText="1"/>
    </xf>
    <xf numFmtId="0" fontId="79" fillId="0" borderId="0" xfId="22" applyFont="1" applyAlignment="1">
      <alignment horizontal="center" vertical="center"/>
    </xf>
    <xf numFmtId="0" fontId="80" fillId="0" borderId="0" xfId="22" applyFont="1">
      <alignment vertical="center"/>
    </xf>
    <xf numFmtId="0" fontId="81" fillId="9" borderId="14" xfId="22" applyFont="1" applyFill="1" applyBorder="1" applyAlignment="1">
      <alignment horizontal="center" vertical="center"/>
    </xf>
    <xf numFmtId="20" fontId="39" fillId="10" borderId="14" xfId="22" applyNumberFormat="1" applyFont="1" applyFill="1" applyBorder="1" applyAlignment="1">
      <alignment horizontal="center" vertical="center"/>
    </xf>
    <xf numFmtId="0" fontId="51" fillId="11" borderId="32" xfId="22" applyFont="1" applyFill="1" applyBorder="1" applyAlignment="1">
      <alignment horizontal="center" vertical="center" wrapText="1"/>
    </xf>
    <xf numFmtId="0" fontId="50" fillId="4" borderId="32" xfId="22" applyFont="1" applyFill="1" applyBorder="1" applyAlignment="1">
      <alignment horizontal="center" vertical="center" wrapText="1"/>
    </xf>
    <xf numFmtId="0" fontId="50" fillId="4" borderId="58" xfId="22" applyFont="1" applyFill="1" applyBorder="1" applyAlignment="1">
      <alignment horizontal="center" vertical="center" wrapText="1"/>
    </xf>
    <xf numFmtId="0" fontId="50" fillId="4" borderId="59" xfId="22" applyFont="1" applyFill="1" applyBorder="1" applyAlignment="1">
      <alignment horizontal="center" vertical="center" wrapText="1"/>
    </xf>
    <xf numFmtId="0" fontId="51" fillId="11" borderId="58" xfId="22" applyFont="1" applyFill="1" applyBorder="1" applyAlignment="1">
      <alignment horizontal="center" vertical="center" wrapText="1"/>
    </xf>
    <xf numFmtId="0" fontId="39" fillId="0" borderId="32" xfId="22" applyFont="1" applyBorder="1" applyAlignment="1">
      <alignment vertical="center" wrapText="1"/>
    </xf>
    <xf numFmtId="0" fontId="81" fillId="9" borderId="63" xfId="22" applyFont="1" applyFill="1" applyBorder="1" applyAlignment="1">
      <alignment horizontal="center" vertical="center"/>
    </xf>
    <xf numFmtId="20" fontId="39" fillId="10" borderId="63" xfId="22" applyNumberFormat="1" applyFont="1" applyFill="1" applyBorder="1" applyAlignment="1">
      <alignment horizontal="center" vertical="center"/>
    </xf>
    <xf numFmtId="0" fontId="39" fillId="0" borderId="64" xfId="22" applyFont="1" applyBorder="1" applyAlignment="1">
      <alignment vertical="center" wrapText="1"/>
    </xf>
    <xf numFmtId="0" fontId="50" fillId="4" borderId="0" xfId="22" applyFont="1" applyFill="1" applyAlignment="1">
      <alignment horizontal="center" vertical="center" wrapText="1"/>
    </xf>
    <xf numFmtId="0" fontId="50" fillId="4" borderId="64" xfId="22" applyFont="1" applyFill="1" applyBorder="1" applyAlignment="1">
      <alignment horizontal="center" vertical="center" wrapText="1"/>
    </xf>
    <xf numFmtId="177" fontId="27" fillId="3" borderId="2" xfId="25" applyFont="1" applyFill="1" applyBorder="1" applyAlignment="1">
      <alignment horizontal="center" vertical="center"/>
    </xf>
    <xf numFmtId="49" fontId="57" fillId="4" borderId="2" xfId="0" applyNumberFormat="1" applyFont="1" applyFill="1" applyBorder="1" applyAlignment="1">
      <alignment horizontal="center" vertical="center" wrapText="1"/>
    </xf>
    <xf numFmtId="49" fontId="58" fillId="4" borderId="2" xfId="0" applyNumberFormat="1" applyFont="1" applyFill="1" applyBorder="1" applyAlignment="1">
      <alignment horizontal="center" vertical="center" wrapText="1"/>
    </xf>
    <xf numFmtId="177" fontId="56" fillId="4" borderId="2" xfId="1" applyFont="1" applyFill="1" applyBorder="1" applyAlignment="1">
      <alignment horizontal="center" vertical="center"/>
    </xf>
    <xf numFmtId="183" fontId="23" fillId="4" borderId="2" xfId="1" applyNumberFormat="1" applyFont="1" applyFill="1" applyBorder="1" applyAlignment="1">
      <alignment horizontal="right" vertical="center"/>
    </xf>
    <xf numFmtId="0" fontId="59" fillId="6" borderId="2" xfId="0" applyFont="1" applyFill="1" applyBorder="1" applyAlignment="1">
      <alignment horizontal="center" vertical="center"/>
    </xf>
    <xf numFmtId="186" fontId="56" fillId="4" borderId="2" xfId="26" applyNumberFormat="1" applyFont="1" applyFill="1" applyBorder="1" applyAlignment="1">
      <alignment horizontal="center" vertical="center"/>
    </xf>
    <xf numFmtId="186" fontId="56" fillId="4" borderId="2" xfId="1" applyNumberFormat="1" applyFont="1" applyFill="1" applyBorder="1" applyAlignment="1">
      <alignment horizontal="center" vertical="center"/>
    </xf>
    <xf numFmtId="184" fontId="23" fillId="4" borderId="2" xfId="1" applyNumberFormat="1" applyFont="1" applyFill="1" applyBorder="1" applyAlignment="1">
      <alignment horizontal="center" vertical="center"/>
    </xf>
    <xf numFmtId="184" fontId="23" fillId="17" borderId="2" xfId="24" applyNumberFormat="1" applyFont="1" applyFill="1" applyBorder="1" applyAlignment="1">
      <alignment horizontal="center" vertical="center"/>
    </xf>
    <xf numFmtId="49" fontId="23" fillId="0" borderId="2" xfId="0" applyNumberFormat="1" applyFont="1" applyBorder="1" applyAlignment="1">
      <alignment horizontal="center" vertical="center" wrapText="1"/>
    </xf>
    <xf numFmtId="0" fontId="32" fillId="4" borderId="2" xfId="0" applyFont="1" applyFill="1" applyBorder="1" applyAlignment="1">
      <alignment horizontal="center" vertical="center" wrapText="1"/>
    </xf>
    <xf numFmtId="0" fontId="26" fillId="0" borderId="14" xfId="27" applyFont="1" applyBorder="1" applyAlignment="1">
      <alignment horizontal="center" vertical="center"/>
    </xf>
    <xf numFmtId="0" fontId="26" fillId="4" borderId="14" xfId="27" applyFont="1" applyFill="1" applyBorder="1" applyAlignment="1">
      <alignment horizontal="center" vertical="center"/>
    </xf>
    <xf numFmtId="180" fontId="63" fillId="0" borderId="0" xfId="3" applyNumberFormat="1" applyFont="1"/>
    <xf numFmtId="0" fontId="82" fillId="10" borderId="34" xfId="22" applyFont="1" applyFill="1" applyBorder="1" applyAlignment="1">
      <alignment horizontal="centerContinuous" vertical="center"/>
    </xf>
    <xf numFmtId="0" fontId="73" fillId="10" borderId="14" xfId="22" applyFont="1" applyFill="1" applyBorder="1" applyAlignment="1">
      <alignment horizontal="centerContinuous" vertical="center"/>
    </xf>
    <xf numFmtId="187" fontId="82" fillId="10" borderId="14" xfId="22" applyNumberFormat="1" applyFont="1" applyFill="1" applyBorder="1" applyAlignment="1">
      <alignment horizontal="center" vertical="center"/>
    </xf>
    <xf numFmtId="20" fontId="82" fillId="10" borderId="14" xfId="22" applyNumberFormat="1" applyFont="1" applyFill="1" applyBorder="1" applyAlignment="1">
      <alignment horizontal="center" vertical="center"/>
    </xf>
    <xf numFmtId="20" fontId="84" fillId="10" borderId="14" xfId="22" applyNumberFormat="1" applyFont="1" applyFill="1" applyBorder="1" applyAlignment="1">
      <alignment horizontal="center" vertical="center"/>
    </xf>
    <xf numFmtId="185" fontId="80" fillId="10" borderId="57" xfId="22" applyNumberFormat="1" applyFont="1" applyFill="1" applyBorder="1" applyAlignment="1">
      <alignment horizontal="center" vertical="center"/>
    </xf>
    <xf numFmtId="0" fontId="80" fillId="10" borderId="14" xfId="22" applyFont="1" applyFill="1" applyBorder="1" applyAlignment="1">
      <alignment horizontal="center" vertical="center" wrapText="1"/>
    </xf>
    <xf numFmtId="0" fontId="82" fillId="10" borderId="14" xfId="22" applyFont="1" applyFill="1" applyBorder="1" applyAlignment="1">
      <alignment horizontal="center" vertical="center" wrapText="1"/>
    </xf>
    <xf numFmtId="0" fontId="82" fillId="10" borderId="14" xfId="22" applyFont="1" applyFill="1" applyBorder="1" applyAlignment="1">
      <alignment horizontal="center" vertical="center"/>
    </xf>
    <xf numFmtId="0" fontId="80" fillId="10" borderId="14" xfId="22" applyFont="1" applyFill="1" applyBorder="1" applyAlignment="1">
      <alignment vertical="center" wrapText="1"/>
    </xf>
    <xf numFmtId="0" fontId="44" fillId="10" borderId="32" xfId="22" applyFont="1" applyFill="1" applyBorder="1" applyAlignment="1">
      <alignment horizontal="center" vertical="center" wrapText="1"/>
    </xf>
    <xf numFmtId="0" fontId="70" fillId="10" borderId="32" xfId="22" applyFont="1" applyFill="1" applyBorder="1" applyAlignment="1">
      <alignment horizontal="center" vertical="center" wrapText="1"/>
    </xf>
    <xf numFmtId="0" fontId="86" fillId="0" borderId="79" xfId="22" applyFont="1" applyBorder="1" applyAlignment="1">
      <alignment horizontal="center" vertical="center" wrapText="1"/>
    </xf>
    <xf numFmtId="0" fontId="30" fillId="0" borderId="80" xfId="22" applyFont="1" applyBorder="1" applyAlignment="1">
      <alignment horizontal="center" vertical="center"/>
    </xf>
    <xf numFmtId="0" fontId="30" fillId="0" borderId="81" xfId="22" applyFont="1" applyBorder="1" applyAlignment="1">
      <alignment horizontal="center" vertical="center"/>
    </xf>
    <xf numFmtId="0" fontId="30" fillId="0" borderId="82" xfId="22" applyFont="1" applyBorder="1" applyAlignment="1">
      <alignment horizontal="center" vertical="center"/>
    </xf>
    <xf numFmtId="0" fontId="52" fillId="4" borderId="14" xfId="22" applyFont="1" applyFill="1" applyBorder="1" applyAlignment="1">
      <alignment horizontal="center" vertical="center" wrapText="1"/>
    </xf>
    <xf numFmtId="0" fontId="52" fillId="4" borderId="84" xfId="22" applyFont="1" applyFill="1" applyBorder="1" applyAlignment="1">
      <alignment horizontal="center" vertical="center" wrapText="1"/>
    </xf>
    <xf numFmtId="0" fontId="36" fillId="4" borderId="14" xfId="22" applyFont="1" applyFill="1" applyBorder="1" applyAlignment="1">
      <alignment horizontal="center" vertical="center" wrapText="1"/>
    </xf>
    <xf numFmtId="0" fontId="36" fillId="4" borderId="84" xfId="22" applyFont="1" applyFill="1" applyBorder="1" applyAlignment="1">
      <alignment horizontal="center" vertical="center" wrapText="1"/>
    </xf>
    <xf numFmtId="0" fontId="36" fillId="4" borderId="14" xfId="22" applyFont="1" applyFill="1" applyBorder="1" applyAlignment="1">
      <alignment horizontal="center" vertical="center"/>
    </xf>
    <xf numFmtId="0" fontId="36" fillId="4" borderId="84" xfId="22" applyFont="1" applyFill="1" applyBorder="1" applyAlignment="1">
      <alignment horizontal="center" vertical="center"/>
    </xf>
    <xf numFmtId="0" fontId="70" fillId="10" borderId="14" xfId="22" applyFont="1" applyFill="1" applyBorder="1" applyAlignment="1">
      <alignment horizontal="center" vertical="center" wrapText="1"/>
    </xf>
    <xf numFmtId="0" fontId="70" fillId="10" borderId="84" xfId="22" applyFont="1" applyFill="1" applyBorder="1" applyAlignment="1">
      <alignment horizontal="center" vertical="center" wrapText="1"/>
    </xf>
    <xf numFmtId="0" fontId="67" fillId="4" borderId="84" xfId="22" applyFont="1" applyFill="1" applyBorder="1" applyAlignment="1">
      <alignment horizontal="center" vertical="center" wrapText="1"/>
    </xf>
    <xf numFmtId="0" fontId="66" fillId="4" borderId="84" xfId="22" applyFont="1" applyFill="1" applyBorder="1" applyAlignment="1">
      <alignment horizontal="center" vertical="center" wrapText="1"/>
    </xf>
    <xf numFmtId="0" fontId="87" fillId="0" borderId="0" xfId="22" applyFont="1">
      <alignment vertical="center"/>
    </xf>
    <xf numFmtId="0" fontId="87" fillId="0" borderId="0" xfId="22" quotePrefix="1" applyFont="1">
      <alignment vertical="center"/>
    </xf>
    <xf numFmtId="0" fontId="73" fillId="0" borderId="47" xfId="22" applyFont="1" applyBorder="1" applyAlignment="1">
      <alignment horizontal="center" vertical="center" wrapText="1"/>
    </xf>
    <xf numFmtId="0" fontId="52" fillId="0" borderId="89" xfId="22" applyFont="1" applyBorder="1" applyAlignment="1">
      <alignment horizontal="center" vertical="center"/>
    </xf>
    <xf numFmtId="0" fontId="37" fillId="0" borderId="90" xfId="22" applyFont="1" applyBorder="1" applyAlignment="1">
      <alignment horizontal="center" vertical="center"/>
    </xf>
    <xf numFmtId="0" fontId="69" fillId="9" borderId="11" xfId="22" applyFont="1" applyFill="1" applyBorder="1" applyAlignment="1">
      <alignment horizontal="center" vertical="center"/>
    </xf>
    <xf numFmtId="187" fontId="37" fillId="0" borderId="11" xfId="22" applyNumberFormat="1" applyFont="1" applyBorder="1" applyAlignment="1">
      <alignment horizontal="center" vertical="center"/>
    </xf>
    <xf numFmtId="20" fontId="37" fillId="0" borderId="11" xfId="22" applyNumberFormat="1" applyFont="1" applyBorder="1" applyAlignment="1">
      <alignment horizontal="center" vertical="center"/>
    </xf>
    <xf numFmtId="20" fontId="53" fillId="10" borderId="11" xfId="22" applyNumberFormat="1" applyFont="1" applyFill="1" applyBorder="1" applyAlignment="1">
      <alignment horizontal="center" vertical="center"/>
    </xf>
    <xf numFmtId="185" fontId="38" fillId="0" borderId="11" xfId="22" applyNumberFormat="1" applyFont="1" applyBorder="1" applyAlignment="1">
      <alignment horizontal="center" vertical="center"/>
    </xf>
    <xf numFmtId="0" fontId="38" fillId="0" borderId="11" xfId="22" applyFont="1" applyBorder="1" applyAlignment="1">
      <alignment horizontal="center" vertical="center" wrapText="1"/>
    </xf>
    <xf numFmtId="0" fontId="37" fillId="0" borderId="11" xfId="22" applyFont="1" applyBorder="1" applyAlignment="1">
      <alignment horizontal="center" vertical="center" wrapText="1"/>
    </xf>
    <xf numFmtId="0" fontId="37" fillId="0" borderId="11" xfId="22" applyFont="1" applyBorder="1" applyAlignment="1">
      <alignment horizontal="center" vertical="center"/>
    </xf>
    <xf numFmtId="0" fontId="38" fillId="0" borderId="11" xfId="22" applyFont="1" applyBorder="1" applyAlignment="1">
      <alignment vertical="center" wrapText="1"/>
    </xf>
    <xf numFmtId="0" fontId="43" fillId="12" borderId="91" xfId="22" applyFont="1" applyFill="1" applyBorder="1" applyAlignment="1">
      <alignment horizontal="center" vertical="center"/>
    </xf>
    <xf numFmtId="0" fontId="46" fillId="12" borderId="92" xfId="22" applyFont="1" applyFill="1" applyBorder="1" applyAlignment="1">
      <alignment horizontal="center" vertical="center"/>
    </xf>
    <xf numFmtId="0" fontId="67" fillId="13" borderId="93" xfId="22" applyFont="1" applyFill="1" applyBorder="1" applyAlignment="1">
      <alignment horizontal="center" vertical="center"/>
    </xf>
    <xf numFmtId="187" fontId="46" fillId="12" borderId="93" xfId="22" applyNumberFormat="1" applyFont="1" applyFill="1" applyBorder="1" applyAlignment="1">
      <alignment horizontal="center" vertical="center"/>
    </xf>
    <xf numFmtId="20" fontId="46" fillId="12" borderId="93" xfId="22" applyNumberFormat="1" applyFont="1" applyFill="1" applyBorder="1" applyAlignment="1">
      <alignment horizontal="center" vertical="center"/>
    </xf>
    <xf numFmtId="20" fontId="47" fillId="14" borderId="93" xfId="22" applyNumberFormat="1" applyFont="1" applyFill="1" applyBorder="1" applyAlignment="1">
      <alignment horizontal="center" vertical="center"/>
    </xf>
    <xf numFmtId="185" fontId="39" fillId="12" borderId="93" xfId="22" applyNumberFormat="1" applyFont="1" applyFill="1" applyBorder="1" applyAlignment="1">
      <alignment horizontal="center" vertical="center"/>
    </xf>
    <xf numFmtId="0" fontId="39" fillId="12" borderId="93" xfId="22" applyFont="1" applyFill="1" applyBorder="1" applyAlignment="1">
      <alignment horizontal="center" vertical="center" wrapText="1"/>
    </xf>
    <xf numFmtId="0" fontId="46" fillId="12" borderId="93" xfId="22" applyFont="1" applyFill="1" applyBorder="1" applyAlignment="1">
      <alignment horizontal="center" vertical="center" wrapText="1"/>
    </xf>
    <xf numFmtId="0" fontId="46" fillId="12" borderId="93" xfId="22" applyFont="1" applyFill="1" applyBorder="1" applyAlignment="1">
      <alignment horizontal="center" vertical="center"/>
    </xf>
    <xf numFmtId="0" fontId="39" fillId="12" borderId="93" xfId="22" applyFont="1" applyFill="1" applyBorder="1" applyAlignment="1">
      <alignment vertical="center" wrapText="1"/>
    </xf>
    <xf numFmtId="0" fontId="43" fillId="12" borderId="95" xfId="22" applyFont="1" applyFill="1" applyBorder="1" applyAlignment="1">
      <alignment horizontal="center" vertical="center"/>
    </xf>
    <xf numFmtId="0" fontId="43" fillId="12" borderId="97" xfId="22" applyFont="1" applyFill="1" applyBorder="1" applyAlignment="1">
      <alignment horizontal="center" vertical="center"/>
    </xf>
    <xf numFmtId="0" fontId="46" fillId="12" borderId="98" xfId="22" applyFont="1" applyFill="1" applyBorder="1" applyAlignment="1">
      <alignment horizontal="center" vertical="center"/>
    </xf>
    <xf numFmtId="0" fontId="67" fillId="13" borderId="99" xfId="22" applyFont="1" applyFill="1" applyBorder="1" applyAlignment="1">
      <alignment horizontal="center" vertical="center"/>
    </xf>
    <xf numFmtId="187" fontId="46" fillId="12" borderId="99" xfId="22" applyNumberFormat="1" applyFont="1" applyFill="1" applyBorder="1" applyAlignment="1">
      <alignment horizontal="center" vertical="center"/>
    </xf>
    <xf numFmtId="20" fontId="46" fillId="12" borderId="99" xfId="22" applyNumberFormat="1" applyFont="1" applyFill="1" applyBorder="1" applyAlignment="1">
      <alignment horizontal="center" vertical="center"/>
    </xf>
    <xf numFmtId="20" fontId="47" fillId="14" borderId="99" xfId="22" applyNumberFormat="1" applyFont="1" applyFill="1" applyBorder="1" applyAlignment="1">
      <alignment horizontal="center" vertical="center"/>
    </xf>
    <xf numFmtId="185" fontId="39" fillId="12" borderId="99" xfId="22" applyNumberFormat="1" applyFont="1" applyFill="1" applyBorder="1" applyAlignment="1">
      <alignment horizontal="center" vertical="center"/>
    </xf>
    <xf numFmtId="0" fontId="39" fillId="12" borderId="99" xfId="22" applyFont="1" applyFill="1" applyBorder="1" applyAlignment="1">
      <alignment horizontal="center" vertical="center"/>
    </xf>
    <xf numFmtId="0" fontId="46" fillId="12" borderId="99" xfId="22" applyFont="1" applyFill="1" applyBorder="1" applyAlignment="1">
      <alignment horizontal="center" vertical="center"/>
    </xf>
    <xf numFmtId="0" fontId="39" fillId="12" borderId="99" xfId="22" applyFont="1" applyFill="1" applyBorder="1" applyAlignment="1">
      <alignment vertical="center" wrapText="1"/>
    </xf>
    <xf numFmtId="0" fontId="88" fillId="21" borderId="0" xfId="22" quotePrefix="1" applyFont="1" applyFill="1" applyAlignment="1">
      <alignment vertical="center" wrapText="1"/>
    </xf>
    <xf numFmtId="0" fontId="89" fillId="0" borderId="35" xfId="22" quotePrefix="1" applyFont="1" applyBorder="1">
      <alignment vertical="center"/>
    </xf>
    <xf numFmtId="0" fontId="73" fillId="12" borderId="69" xfId="22" applyFont="1" applyFill="1" applyBorder="1" applyAlignment="1">
      <alignment horizontal="center" vertical="center" wrapText="1"/>
    </xf>
    <xf numFmtId="0" fontId="73" fillId="12" borderId="87" xfId="22" applyFont="1" applyFill="1" applyBorder="1" applyAlignment="1">
      <alignment horizontal="center" vertical="center" wrapText="1"/>
    </xf>
    <xf numFmtId="0" fontId="90" fillId="10" borderId="34" xfId="22" applyFont="1" applyFill="1" applyBorder="1" applyAlignment="1">
      <alignment horizontal="centerContinuous" vertical="center"/>
    </xf>
    <xf numFmtId="187" fontId="90" fillId="10" borderId="14" xfId="22" applyNumberFormat="1" applyFont="1" applyFill="1" applyBorder="1" applyAlignment="1">
      <alignment horizontal="center" vertical="center"/>
    </xf>
    <xf numFmtId="20" fontId="90" fillId="10" borderId="14" xfId="22" applyNumberFormat="1" applyFont="1" applyFill="1" applyBorder="1" applyAlignment="1">
      <alignment horizontal="center" vertical="center"/>
    </xf>
    <xf numFmtId="185" fontId="90" fillId="10" borderId="57" xfId="22" applyNumberFormat="1" applyFont="1" applyFill="1" applyBorder="1" applyAlignment="1">
      <alignment horizontal="center" vertical="center"/>
    </xf>
    <xf numFmtId="0" fontId="90" fillId="10" borderId="14" xfId="22" applyFont="1" applyFill="1" applyBorder="1" applyAlignment="1">
      <alignment horizontal="center" vertical="center" wrapText="1"/>
    </xf>
    <xf numFmtId="0" fontId="90" fillId="10" borderId="14" xfId="22" applyFont="1" applyFill="1" applyBorder="1" applyAlignment="1">
      <alignment horizontal="center" vertical="center"/>
    </xf>
    <xf numFmtId="0" fontId="90" fillId="10" borderId="14" xfId="22" applyFont="1" applyFill="1" applyBorder="1" applyAlignment="1">
      <alignment vertical="center" wrapText="1"/>
    </xf>
    <xf numFmtId="0" fontId="77" fillId="10" borderId="32" xfId="22" applyFont="1" applyFill="1" applyBorder="1" applyAlignment="1">
      <alignment horizontal="center" vertical="center" wrapText="1"/>
    </xf>
    <xf numFmtId="0" fontId="91" fillId="10" borderId="32" xfId="22" applyFont="1" applyFill="1" applyBorder="1" applyAlignment="1">
      <alignment horizontal="center" vertical="center" wrapText="1"/>
    </xf>
    <xf numFmtId="0" fontId="92" fillId="10" borderId="43" xfId="22" applyFont="1" applyFill="1" applyBorder="1" applyAlignment="1">
      <alignment horizontal="center" vertical="center" wrapText="1"/>
    </xf>
    <xf numFmtId="0" fontId="93" fillId="0" borderId="0" xfId="22" applyFont="1">
      <alignment vertical="center"/>
    </xf>
    <xf numFmtId="0" fontId="94" fillId="0" borderId="0" xfId="0" applyFont="1">
      <alignment vertical="center"/>
    </xf>
    <xf numFmtId="185" fontId="95" fillId="10" borderId="46" xfId="22" applyNumberFormat="1" applyFont="1" applyFill="1" applyBorder="1" applyAlignment="1">
      <alignment horizontal="center" vertical="center"/>
    </xf>
    <xf numFmtId="0" fontId="69" fillId="4" borderId="32" xfId="22" applyFont="1" applyFill="1" applyBorder="1" applyAlignment="1">
      <alignment horizontal="center" vertical="center" wrapText="1"/>
    </xf>
    <xf numFmtId="0" fontId="69" fillId="4" borderId="60" xfId="22" applyFont="1" applyFill="1" applyBorder="1" applyAlignment="1">
      <alignment horizontal="center" vertical="center" wrapText="1"/>
    </xf>
    <xf numFmtId="0" fontId="69" fillId="4" borderId="14" xfId="22" applyFont="1" applyFill="1" applyBorder="1" applyAlignment="1">
      <alignment horizontal="center" vertical="center" wrapText="1"/>
    </xf>
    <xf numFmtId="0" fontId="69" fillId="4" borderId="84" xfId="22" applyFont="1" applyFill="1" applyBorder="1" applyAlignment="1">
      <alignment horizontal="center" vertical="center" wrapText="1"/>
    </xf>
    <xf numFmtId="0" fontId="52" fillId="4" borderId="64" xfId="22" applyFont="1" applyFill="1" applyBorder="1" applyAlignment="1">
      <alignment horizontal="center" vertical="center" wrapText="1"/>
    </xf>
    <xf numFmtId="0" fontId="52" fillId="4" borderId="85" xfId="22" applyFont="1" applyFill="1" applyBorder="1" applyAlignment="1">
      <alignment horizontal="center" vertical="center" wrapText="1"/>
    </xf>
    <xf numFmtId="0" fontId="52" fillId="4" borderId="86" xfId="22" applyFont="1" applyFill="1" applyBorder="1" applyAlignment="1">
      <alignment horizontal="center" vertical="center" wrapText="1"/>
    </xf>
    <xf numFmtId="0" fontId="69" fillId="0" borderId="47" xfId="22" applyFont="1" applyBorder="1" applyAlignment="1">
      <alignment horizontal="center" vertical="center" wrapText="1"/>
    </xf>
    <xf numFmtId="0" fontId="69" fillId="0" borderId="77" xfId="22" applyFont="1" applyBorder="1" applyAlignment="1">
      <alignment horizontal="center" vertical="center" wrapText="1"/>
    </xf>
    <xf numFmtId="0" fontId="69" fillId="9" borderId="46" xfId="22" applyFont="1" applyFill="1" applyBorder="1" applyAlignment="1">
      <alignment horizontal="center" vertical="center"/>
    </xf>
    <xf numFmtId="0" fontId="69" fillId="4" borderId="59" xfId="22" applyFont="1" applyFill="1" applyBorder="1" applyAlignment="1">
      <alignment horizontal="center" vertical="center" wrapText="1"/>
    </xf>
    <xf numFmtId="0" fontId="69" fillId="4" borderId="88" xfId="22" applyFont="1" applyFill="1" applyBorder="1" applyAlignment="1">
      <alignment horizontal="center" vertical="center" wrapText="1"/>
    </xf>
    <xf numFmtId="0" fontId="76" fillId="11" borderId="31" xfId="22" applyFont="1" applyFill="1" applyBorder="1" applyAlignment="1">
      <alignment horizontal="center" vertical="center" wrapText="1"/>
    </xf>
    <xf numFmtId="0" fontId="69" fillId="4" borderId="31" xfId="22" applyFont="1" applyFill="1" applyBorder="1" applyAlignment="1">
      <alignment horizontal="center" vertical="center" wrapText="1"/>
    </xf>
    <xf numFmtId="0" fontId="69" fillId="4" borderId="30" xfId="22" applyFont="1" applyFill="1" applyBorder="1" applyAlignment="1">
      <alignment horizontal="center" vertical="center" wrapText="1"/>
    </xf>
    <xf numFmtId="0" fontId="69" fillId="4" borderId="83" xfId="22" applyFont="1" applyFill="1" applyBorder="1" applyAlignment="1">
      <alignment horizontal="center" vertical="center" wrapText="1"/>
    </xf>
    <xf numFmtId="0" fontId="76" fillId="11" borderId="32" xfId="22" applyFont="1" applyFill="1" applyBorder="1" applyAlignment="1">
      <alignment horizontal="center" vertical="center" wrapText="1"/>
    </xf>
    <xf numFmtId="0" fontId="76" fillId="11" borderId="32" xfId="22" applyFont="1" applyFill="1" applyBorder="1" applyAlignment="1">
      <alignment horizontal="center" vertical="center"/>
    </xf>
    <xf numFmtId="0" fontId="69" fillId="4" borderId="32" xfId="22" applyFont="1" applyFill="1" applyBorder="1" applyAlignment="1">
      <alignment horizontal="center" vertical="center"/>
    </xf>
    <xf numFmtId="0" fontId="69" fillId="4" borderId="14" xfId="22" applyFont="1" applyFill="1" applyBorder="1" applyAlignment="1">
      <alignment horizontal="center" vertical="center"/>
    </xf>
    <xf numFmtId="0" fontId="69" fillId="4" borderId="84" xfId="22" applyFont="1" applyFill="1" applyBorder="1" applyAlignment="1">
      <alignment horizontal="center" vertical="center"/>
    </xf>
    <xf numFmtId="0" fontId="69" fillId="11" borderId="32" xfId="22" applyFont="1" applyFill="1" applyBorder="1" applyAlignment="1">
      <alignment horizontal="center" vertical="center" wrapText="1"/>
    </xf>
    <xf numFmtId="0" fontId="69" fillId="11" borderId="58" xfId="22" applyFont="1" applyFill="1" applyBorder="1" applyAlignment="1">
      <alignment horizontal="center" vertical="center" wrapText="1"/>
    </xf>
    <xf numFmtId="0" fontId="69" fillId="11" borderId="60" xfId="22" applyFont="1" applyFill="1" applyBorder="1" applyAlignment="1">
      <alignment horizontal="center" vertical="center" wrapText="1"/>
    </xf>
    <xf numFmtId="0" fontId="69" fillId="15" borderId="94" xfId="22" applyFont="1" applyFill="1" applyBorder="1" applyAlignment="1">
      <alignment horizontal="center" vertical="center" wrapText="1"/>
    </xf>
    <xf numFmtId="0" fontId="69" fillId="15" borderId="96" xfId="22" applyFont="1" applyFill="1" applyBorder="1" applyAlignment="1">
      <alignment horizontal="center" vertical="center" wrapText="1"/>
    </xf>
    <xf numFmtId="0" fontId="69" fillId="15" borderId="96" xfId="22" applyFont="1" applyFill="1" applyBorder="1" applyAlignment="1">
      <alignment horizontal="center" vertical="center"/>
    </xf>
    <xf numFmtId="0" fontId="69" fillId="4" borderId="59" xfId="22" applyFont="1" applyFill="1" applyBorder="1" applyAlignment="1">
      <alignment horizontal="center" vertical="center"/>
    </xf>
    <xf numFmtId="0" fontId="69" fillId="15" borderId="100" xfId="22" applyFont="1" applyFill="1" applyBorder="1" applyAlignment="1">
      <alignment horizontal="center" vertical="center"/>
    </xf>
    <xf numFmtId="0" fontId="38" fillId="10" borderId="43" xfId="22" applyFont="1" applyFill="1" applyBorder="1" applyAlignment="1">
      <alignment horizontal="center" vertical="center" wrapText="1"/>
    </xf>
    <xf numFmtId="0" fontId="37" fillId="0" borderId="43" xfId="22" applyFont="1" applyBorder="1" applyAlignment="1">
      <alignment horizontal="center" vertical="center" wrapText="1"/>
    </xf>
    <xf numFmtId="0" fontId="37" fillId="0" borderId="39" xfId="22" applyFont="1" applyBorder="1" applyAlignment="1">
      <alignment horizontal="center" vertical="center" wrapText="1"/>
    </xf>
    <xf numFmtId="0" fontId="50" fillId="0" borderId="48" xfId="22" applyFont="1" applyBorder="1" applyAlignment="1">
      <alignment vertical="center" wrapText="1"/>
    </xf>
    <xf numFmtId="0" fontId="96" fillId="19" borderId="71" xfId="22" applyFont="1" applyFill="1" applyBorder="1" applyAlignment="1">
      <alignment horizontal="center" vertical="center" wrapText="1"/>
    </xf>
    <xf numFmtId="0" fontId="96" fillId="19" borderId="72" xfId="22" applyFont="1" applyFill="1" applyBorder="1" applyAlignment="1">
      <alignment horizontal="center" vertical="center" wrapText="1"/>
    </xf>
    <xf numFmtId="0" fontId="96" fillId="19" borderId="73" xfId="22" applyFont="1" applyFill="1" applyBorder="1" applyAlignment="1">
      <alignment horizontal="center" vertical="center" wrapText="1"/>
    </xf>
    <xf numFmtId="0" fontId="97" fillId="18" borderId="69" xfId="22" applyFont="1" applyFill="1" applyBorder="1" applyAlignment="1">
      <alignment horizontal="center" vertical="center" wrapText="1"/>
    </xf>
    <xf numFmtId="0" fontId="97" fillId="18" borderId="70" xfId="22" applyFont="1" applyFill="1" applyBorder="1" applyAlignment="1">
      <alignment horizontal="center" vertical="center" wrapText="1"/>
    </xf>
    <xf numFmtId="0" fontId="97" fillId="18" borderId="74" xfId="22" applyFont="1" applyFill="1" applyBorder="1" applyAlignment="1">
      <alignment horizontal="center" vertical="center" wrapText="1"/>
    </xf>
    <xf numFmtId="186" fontId="28" fillId="0" borderId="0" xfId="0" applyNumberFormat="1" applyFont="1">
      <alignment vertical="center"/>
    </xf>
    <xf numFmtId="177" fontId="26" fillId="0" borderId="19" xfId="1" applyFont="1" applyFill="1" applyBorder="1" applyAlignment="1">
      <alignment vertical="center"/>
    </xf>
    <xf numFmtId="0" fontId="98" fillId="9" borderId="14" xfId="22" applyFont="1" applyFill="1" applyBorder="1" applyAlignment="1">
      <alignment horizontal="center" vertical="center"/>
    </xf>
    <xf numFmtId="0" fontId="100" fillId="9" borderId="46" xfId="22" applyFont="1" applyFill="1" applyBorder="1" applyAlignment="1">
      <alignment horizontal="center" vertical="center"/>
    </xf>
    <xf numFmtId="0" fontId="100" fillId="10" borderId="42" xfId="22" applyFont="1" applyFill="1" applyBorder="1" applyAlignment="1">
      <alignment horizontal="centerContinuous" vertical="center"/>
    </xf>
    <xf numFmtId="0" fontId="99" fillId="10" borderId="42" xfId="22" applyFont="1" applyFill="1" applyBorder="1" applyAlignment="1">
      <alignment horizontal="centerContinuous" vertical="center"/>
    </xf>
    <xf numFmtId="0" fontId="101" fillId="0" borderId="49" xfId="22" applyFont="1" applyBorder="1" applyAlignment="1">
      <alignment horizontal="centerContinuous" vertical="center"/>
    </xf>
    <xf numFmtId="0" fontId="53" fillId="11" borderId="64" xfId="22" applyFont="1" applyFill="1" applyBorder="1" applyAlignment="1">
      <alignment horizontal="center" vertical="center" wrapText="1"/>
    </xf>
    <xf numFmtId="0" fontId="69" fillId="11" borderId="46" xfId="22" applyFont="1" applyFill="1" applyBorder="1" applyAlignment="1">
      <alignment horizontal="center" vertical="center"/>
    </xf>
    <xf numFmtId="0" fontId="102" fillId="19" borderId="72" xfId="22" applyFont="1" applyFill="1" applyBorder="1" applyAlignment="1">
      <alignment horizontal="center" vertical="center" wrapText="1"/>
    </xf>
    <xf numFmtId="49" fontId="102" fillId="20" borderId="72" xfId="22" applyNumberFormat="1" applyFont="1" applyFill="1" applyBorder="1" applyAlignment="1">
      <alignment horizontal="center" vertical="center" wrapText="1"/>
    </xf>
    <xf numFmtId="0" fontId="102" fillId="9" borderId="32" xfId="22" applyFont="1" applyFill="1" applyBorder="1" applyAlignment="1">
      <alignment horizontal="center" vertical="center" wrapText="1"/>
    </xf>
    <xf numFmtId="0" fontId="100" fillId="9" borderId="75" xfId="22" applyFont="1" applyFill="1" applyBorder="1" applyAlignment="1">
      <alignment horizontal="center" vertical="center"/>
    </xf>
    <xf numFmtId="2" fontId="100" fillId="4" borderId="75" xfId="22" applyNumberFormat="1" applyFont="1" applyFill="1" applyBorder="1" applyAlignment="1">
      <alignment horizontal="center" vertical="center"/>
    </xf>
    <xf numFmtId="0" fontId="100" fillId="4" borderId="46" xfId="22" applyFont="1" applyFill="1" applyBorder="1" applyAlignment="1">
      <alignment horizontal="center" vertical="center"/>
    </xf>
    <xf numFmtId="0" fontId="103" fillId="22" borderId="0" xfId="22" quotePrefix="1" applyFont="1" applyFill="1" applyAlignment="1">
      <alignment vertical="center" wrapText="1"/>
    </xf>
    <xf numFmtId="0" fontId="104" fillId="0" borderId="35" xfId="22" quotePrefix="1" applyFont="1" applyBorder="1">
      <alignment vertical="center"/>
    </xf>
    <xf numFmtId="189" fontId="105" fillId="9" borderId="2" xfId="1" applyNumberFormat="1" applyFont="1" applyFill="1" applyBorder="1" applyAlignment="1">
      <alignment horizontal="center" vertical="center"/>
    </xf>
    <xf numFmtId="186" fontId="105" fillId="9" borderId="2" xfId="1" applyNumberFormat="1" applyFont="1" applyFill="1" applyBorder="1" applyAlignment="1">
      <alignment horizontal="center" vertical="center"/>
    </xf>
    <xf numFmtId="177" fontId="106" fillId="9" borderId="0" xfId="0" applyNumberFormat="1" applyFont="1" applyFill="1">
      <alignment vertical="center"/>
    </xf>
    <xf numFmtId="180" fontId="107" fillId="7" borderId="0" xfId="3" applyNumberFormat="1" applyFont="1" applyFill="1" applyAlignment="1">
      <alignment vertical="center"/>
    </xf>
    <xf numFmtId="0" fontId="22" fillId="0" borderId="0" xfId="6" applyFont="1" applyAlignment="1">
      <alignment horizontal="center" vertical="center"/>
    </xf>
    <xf numFmtId="0" fontId="16" fillId="0" borderId="3" xfId="6" applyFont="1" applyBorder="1" applyAlignment="1">
      <alignment vertical="center"/>
    </xf>
    <xf numFmtId="0" fontId="16" fillId="0" borderId="4" xfId="6" applyFont="1" applyBorder="1" applyAlignment="1">
      <alignment vertical="center"/>
    </xf>
    <xf numFmtId="0" fontId="16" fillId="0" borderId="5" xfId="6" applyFont="1" applyBorder="1" applyAlignment="1">
      <alignment vertical="center"/>
    </xf>
    <xf numFmtId="0" fontId="25" fillId="0" borderId="0" xfId="6" applyFont="1" applyAlignment="1">
      <alignment vertical="center"/>
    </xf>
    <xf numFmtId="0" fontId="24" fillId="0" borderId="0" xfId="6" applyFont="1" applyAlignment="1">
      <alignment vertical="center"/>
    </xf>
    <xf numFmtId="0" fontId="23" fillId="0" borderId="29" xfId="0" applyFont="1" applyBorder="1" applyAlignment="1">
      <alignment horizontal="center" vertical="center"/>
    </xf>
    <xf numFmtId="0" fontId="23" fillId="0" borderId="22" xfId="0" applyFont="1" applyBorder="1" applyAlignment="1">
      <alignment horizontal="center" vertical="center"/>
    </xf>
    <xf numFmtId="0" fontId="27" fillId="0" borderId="0" xfId="0" applyFont="1" applyAlignment="1">
      <alignment horizontal="center" vertical="center"/>
    </xf>
    <xf numFmtId="0" fontId="27" fillId="3" borderId="20" xfId="3" applyFont="1" applyFill="1" applyBorder="1" applyAlignment="1">
      <alignment horizontal="center" vertical="center" wrapText="1"/>
    </xf>
    <xf numFmtId="0" fontId="27" fillId="3" borderId="20" xfId="3" applyFont="1" applyFill="1" applyBorder="1" applyAlignment="1">
      <alignment horizontal="center" vertical="center"/>
    </xf>
    <xf numFmtId="0" fontId="27" fillId="3" borderId="2" xfId="3" applyFont="1" applyFill="1" applyBorder="1" applyAlignment="1">
      <alignment horizontal="center" vertical="center"/>
    </xf>
    <xf numFmtId="177" fontId="27" fillId="3" borderId="20" xfId="25" applyFont="1" applyFill="1" applyBorder="1" applyAlignment="1">
      <alignment horizontal="center" vertical="center"/>
    </xf>
    <xf numFmtId="178" fontId="27" fillId="3" borderId="20" xfId="5" applyFont="1" applyFill="1" applyBorder="1" applyAlignment="1">
      <alignment horizontal="center" vertical="center"/>
    </xf>
    <xf numFmtId="0" fontId="27" fillId="3" borderId="20" xfId="0" applyFont="1" applyFill="1" applyBorder="1" applyAlignment="1">
      <alignment horizontal="center" vertical="center"/>
    </xf>
    <xf numFmtId="0" fontId="27" fillId="3" borderId="2" xfId="0" applyFont="1" applyFill="1" applyBorder="1" applyAlignment="1">
      <alignment horizontal="center" vertical="center"/>
    </xf>
    <xf numFmtId="0" fontId="27" fillId="0" borderId="20" xfId="0" applyFont="1" applyBorder="1" applyAlignment="1">
      <alignment horizontal="center" vertical="center"/>
    </xf>
    <xf numFmtId="0" fontId="27" fillId="8" borderId="2" xfId="0" applyFont="1" applyFill="1" applyBorder="1" applyAlignment="1">
      <alignment horizontal="center" vertical="center"/>
    </xf>
    <xf numFmtId="0" fontId="100" fillId="0" borderId="44" xfId="22" applyFont="1" applyBorder="1" applyAlignment="1">
      <alignment horizontal="center" vertical="center" wrapText="1"/>
    </xf>
    <xf numFmtId="0" fontId="100" fillId="0" borderId="45" xfId="22" applyFont="1" applyBorder="1" applyAlignment="1">
      <alignment horizontal="center" vertical="center" wrapText="1"/>
    </xf>
    <xf numFmtId="0" fontId="85" fillId="10" borderId="65" xfId="22" applyFont="1" applyFill="1" applyBorder="1" applyAlignment="1">
      <alignment horizontal="center" vertical="center"/>
    </xf>
    <xf numFmtId="0" fontId="85" fillId="10" borderId="76" xfId="22" applyFont="1" applyFill="1" applyBorder="1" applyAlignment="1">
      <alignment horizontal="center" vertical="center"/>
    </xf>
    <xf numFmtId="0" fontId="85" fillId="10" borderId="78" xfId="22" applyFont="1" applyFill="1" applyBorder="1" applyAlignment="1">
      <alignment horizontal="center" vertical="center"/>
    </xf>
    <xf numFmtId="0" fontId="73" fillId="0" borderId="44" xfId="22" applyFont="1" applyBorder="1" applyAlignment="1">
      <alignment horizontal="center" vertical="center" wrapText="1"/>
    </xf>
    <xf numFmtId="0" fontId="73" fillId="0" borderId="45" xfId="22" applyFont="1" applyBorder="1" applyAlignment="1">
      <alignment horizontal="center" vertical="center" wrapText="1"/>
    </xf>
    <xf numFmtId="0" fontId="41" fillId="10" borderId="37" xfId="22" applyFont="1" applyFill="1" applyBorder="1" applyAlignment="1">
      <alignment horizontal="center" vertical="center"/>
    </xf>
    <xf numFmtId="0" fontId="41" fillId="10" borderId="51" xfId="22" applyFont="1" applyFill="1" applyBorder="1" applyAlignment="1">
      <alignment horizontal="center" vertical="center"/>
    </xf>
    <xf numFmtId="0" fontId="41" fillId="10" borderId="37" xfId="22" applyFont="1" applyFill="1" applyBorder="1" applyAlignment="1">
      <alignment horizontal="center" vertical="center" wrapText="1"/>
    </xf>
    <xf numFmtId="0" fontId="41" fillId="10" borderId="51" xfId="22" applyFont="1" applyFill="1" applyBorder="1" applyAlignment="1">
      <alignment horizontal="center" vertical="center" wrapText="1"/>
    </xf>
    <xf numFmtId="0" fontId="41" fillId="10" borderId="38" xfId="22" applyFont="1" applyFill="1" applyBorder="1" applyAlignment="1">
      <alignment horizontal="center" vertical="center" wrapText="1"/>
    </xf>
    <xf numFmtId="0" fontId="41" fillId="10" borderId="54" xfId="22" applyFont="1" applyFill="1" applyBorder="1" applyAlignment="1">
      <alignment horizontal="center" vertical="center" wrapText="1"/>
    </xf>
    <xf numFmtId="0" fontId="41" fillId="10" borderId="36" xfId="22" applyFont="1" applyFill="1" applyBorder="1" applyAlignment="1">
      <alignment horizontal="center" vertical="center"/>
    </xf>
    <xf numFmtId="0" fontId="41" fillId="10" borderId="50" xfId="22" applyFont="1" applyFill="1" applyBorder="1" applyAlignment="1">
      <alignment horizontal="center" vertical="center"/>
    </xf>
    <xf numFmtId="0" fontId="42" fillId="10" borderId="37" xfId="22" applyFont="1" applyFill="1" applyBorder="1" applyAlignment="1">
      <alignment horizontal="center" vertical="center" wrapText="1"/>
    </xf>
    <xf numFmtId="0" fontId="42" fillId="10" borderId="51" xfId="22" applyFont="1" applyFill="1" applyBorder="1" applyAlignment="1">
      <alignment horizontal="center" vertical="center"/>
    </xf>
    <xf numFmtId="0" fontId="42" fillId="10" borderId="37" xfId="22" applyFont="1" applyFill="1" applyBorder="1" applyAlignment="1">
      <alignment horizontal="center" vertical="center"/>
    </xf>
    <xf numFmtId="0" fontId="108" fillId="23" borderId="75" xfId="22" applyFont="1" applyFill="1" applyBorder="1" applyAlignment="1">
      <alignment horizontal="center" vertical="center"/>
    </xf>
  </cellXfs>
  <cellStyles count="28">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2 3" xfId="25" xr:uid="{A0E396E7-5B8D-4EC2-88B0-28904EDC08F0}"/>
    <cellStyle name="쉼표 [0] 2 4 2" xfId="20" xr:uid="{82F7DE00-7E0F-4135-9D8B-23A5F95E9E50}"/>
    <cellStyle name="쉼표 [0] 2 4 2 2" xfId="26" xr:uid="{B8232248-A1AE-4BB1-8792-160BBB967084}"/>
    <cellStyle name="쉼표 [0] 3" xfId="16" xr:uid="{8F7BE219-40E1-4BBB-A9BD-02188B74B2A3}"/>
    <cellStyle name="쉼표 [0] 4" xfId="21" xr:uid="{BDD5CECE-202B-4017-8E56-8FAE5E389DED}"/>
    <cellStyle name="쉼표 [0]_내역서(표준단가)_1" xfId="24" xr:uid="{0052A6AF-01AC-4EDE-8BA1-EE42DD058783}"/>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2 2" xfId="27" xr:uid="{328D93E7-4E9D-4E41-B397-E75ED9AF4008}"/>
    <cellStyle name="표준 3" xfId="14" xr:uid="{00000000-0005-0000-0000-00000D000000}"/>
    <cellStyle name="표준 4" xfId="15" xr:uid="{08D43F33-5EF4-4FAF-B422-8A71947BBD29}"/>
    <cellStyle name="표준 5" xfId="17" xr:uid="{B39ACF8E-5B1E-4331-957C-34579729CB23}"/>
    <cellStyle name="표준 6" xfId="19" xr:uid="{9CF584B9-D7C1-4C34-BB5A-7191C1F61E39}"/>
    <cellStyle name="표준 6 2" xfId="22" xr:uid="{5518A5A9-AEA9-4BF7-A9FC-54C251CB787A}"/>
    <cellStyle name="표준_내역서(표준단가)" xfId="23" xr:uid="{778B0250-22B9-4FAD-8470-F464103C4027}"/>
    <cellStyle name="표준_봉강빌딩신축공사" xfId="6" xr:uid="{00000000-0005-0000-0000-00000E000000}"/>
  </cellStyles>
  <dxfs count="0"/>
  <tableStyles count="0" defaultTableStyle="TableStyleMedium2" defaultPivotStyle="PivotStyleLight16"/>
  <colors>
    <mruColors>
      <color rgb="FFFF00FF"/>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6.jpg"/><Relationship Id="rId2" Type="http://schemas.openxmlformats.org/officeDocument/2006/relationships/image" Target="../media/image5.jpeg"/><Relationship Id="rId1" Type="http://schemas.openxmlformats.org/officeDocument/2006/relationships/image" Target="../media/image4.jpg"/><Relationship Id="rId4"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CD65BC4F-7174-4F12-BDBA-BA32E4F0D8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3" name="Picture 1" descr="세원도장">
          <a:extLst>
            <a:ext uri="{FF2B5EF4-FFF2-40B4-BE49-F238E27FC236}">
              <a16:creationId xmlns:a16="http://schemas.microsoft.com/office/drawing/2014/main" id="{620EFB75-189D-46B3-B333-D4F07EF8122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51BFC076-7528-4839-AE81-B6BFBA3E3F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5" name="Picture 1" descr="세원도장">
          <a:extLst>
            <a:ext uri="{FF2B5EF4-FFF2-40B4-BE49-F238E27FC236}">
              <a16:creationId xmlns:a16="http://schemas.microsoft.com/office/drawing/2014/main" id="{93EF490C-79AD-4E9C-9DF6-1391F8AE43D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9C8553C5-6CCA-48F7-AF22-E5AF55C4D72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98C3363E-A2D2-4B03-96C9-8EDF97B86F6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8E42BDEA-A1E3-4F2F-A18F-CAB45821AE3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AEC03949-5F47-465B-B57F-B18EC6D0EC1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32C447D7-3B4F-46A5-992D-28A33AA5C2D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1" name="Picture 1" descr="세원도장">
          <a:extLst>
            <a:ext uri="{FF2B5EF4-FFF2-40B4-BE49-F238E27FC236}">
              <a16:creationId xmlns:a16="http://schemas.microsoft.com/office/drawing/2014/main" id="{327F69CD-C437-4E24-A340-984D2AA1DC5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2EFB97DC-A2BF-427A-89D9-6D287021FC5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3" name="Picture 1" descr="세원도장">
          <a:extLst>
            <a:ext uri="{FF2B5EF4-FFF2-40B4-BE49-F238E27FC236}">
              <a16:creationId xmlns:a16="http://schemas.microsoft.com/office/drawing/2014/main" id="{B3D04654-324F-4AE6-B26F-C8AD286815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4" name="Picture 1" descr="세원도장">
          <a:extLst>
            <a:ext uri="{FF2B5EF4-FFF2-40B4-BE49-F238E27FC236}">
              <a16:creationId xmlns:a16="http://schemas.microsoft.com/office/drawing/2014/main" id="{CF5C4603-A23F-46B1-9913-0458B16A7B5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5" name="Picture 1" descr="세원도장">
          <a:extLst>
            <a:ext uri="{FF2B5EF4-FFF2-40B4-BE49-F238E27FC236}">
              <a16:creationId xmlns:a16="http://schemas.microsoft.com/office/drawing/2014/main" id="{32653C5B-B077-4460-8B87-3277AA1FD33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6" name="Picture 1" descr="세원도장">
          <a:extLst>
            <a:ext uri="{FF2B5EF4-FFF2-40B4-BE49-F238E27FC236}">
              <a16:creationId xmlns:a16="http://schemas.microsoft.com/office/drawing/2014/main" id="{58F41B5C-3A18-4A7A-8BC1-50924D4A474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7" name="Picture 1" descr="세원도장">
          <a:extLst>
            <a:ext uri="{FF2B5EF4-FFF2-40B4-BE49-F238E27FC236}">
              <a16:creationId xmlns:a16="http://schemas.microsoft.com/office/drawing/2014/main" id="{133EB9BA-1B8E-48BB-AED2-FC4C13F5AFF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8F5FA13F-2F28-465C-BDF1-72C38845EF5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F67F748F-0807-4B7E-B013-BC7DDE020BD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0" name="Picture 1" descr="세원도장">
          <a:extLst>
            <a:ext uri="{FF2B5EF4-FFF2-40B4-BE49-F238E27FC236}">
              <a16:creationId xmlns:a16="http://schemas.microsoft.com/office/drawing/2014/main" id="{CE95B637-85C6-48E5-A74F-1C83B649991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1" name="Picture 1" descr="세원도장">
          <a:extLst>
            <a:ext uri="{FF2B5EF4-FFF2-40B4-BE49-F238E27FC236}">
              <a16:creationId xmlns:a16="http://schemas.microsoft.com/office/drawing/2014/main" id="{4C5141EC-219F-474A-AE82-263806F9E49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2" name="Picture 1" descr="세원도장">
          <a:extLst>
            <a:ext uri="{FF2B5EF4-FFF2-40B4-BE49-F238E27FC236}">
              <a16:creationId xmlns:a16="http://schemas.microsoft.com/office/drawing/2014/main" id="{FA1F39CC-6F31-4602-9B1D-32C2827F3C2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3" name="Picture 1" descr="세원도장">
          <a:extLst>
            <a:ext uri="{FF2B5EF4-FFF2-40B4-BE49-F238E27FC236}">
              <a16:creationId xmlns:a16="http://schemas.microsoft.com/office/drawing/2014/main" id="{0E7791F0-39F7-4955-8374-0D2A785CE55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4" name="Picture 1" descr="세원도장">
          <a:extLst>
            <a:ext uri="{FF2B5EF4-FFF2-40B4-BE49-F238E27FC236}">
              <a16:creationId xmlns:a16="http://schemas.microsoft.com/office/drawing/2014/main" id="{5550B42B-9815-4AE4-B26B-2368FDAC5B0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5" name="Picture 1" descr="세원도장">
          <a:extLst>
            <a:ext uri="{FF2B5EF4-FFF2-40B4-BE49-F238E27FC236}">
              <a16:creationId xmlns:a16="http://schemas.microsoft.com/office/drawing/2014/main" id="{361AA554-32B0-46C3-BD40-4CF5E0DB1FB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6" name="Picture 1" descr="세원도장">
          <a:extLst>
            <a:ext uri="{FF2B5EF4-FFF2-40B4-BE49-F238E27FC236}">
              <a16:creationId xmlns:a16="http://schemas.microsoft.com/office/drawing/2014/main" id="{79E3EB47-D96A-4964-85FB-C4F4D7C65D2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7" name="Picture 1" descr="세원도장">
          <a:extLst>
            <a:ext uri="{FF2B5EF4-FFF2-40B4-BE49-F238E27FC236}">
              <a16:creationId xmlns:a16="http://schemas.microsoft.com/office/drawing/2014/main" id="{72130DCA-E4F3-4382-B749-AEA4CBFD3FE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8" name="Picture 1" descr="세원도장">
          <a:extLst>
            <a:ext uri="{FF2B5EF4-FFF2-40B4-BE49-F238E27FC236}">
              <a16:creationId xmlns:a16="http://schemas.microsoft.com/office/drawing/2014/main" id="{44D0AE86-7190-42FF-95F5-5FF660530CB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9" name="Picture 1" descr="세원도장">
          <a:extLst>
            <a:ext uri="{FF2B5EF4-FFF2-40B4-BE49-F238E27FC236}">
              <a16:creationId xmlns:a16="http://schemas.microsoft.com/office/drawing/2014/main" id="{902C9D71-E6FB-489F-8215-555ACE9A1DB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0" name="Picture 1" descr="세원도장">
          <a:extLst>
            <a:ext uri="{FF2B5EF4-FFF2-40B4-BE49-F238E27FC236}">
              <a16:creationId xmlns:a16="http://schemas.microsoft.com/office/drawing/2014/main" id="{E9ABB500-39A6-400B-A060-DB991627F88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1" name="Picture 1" descr="세원도장">
          <a:extLst>
            <a:ext uri="{FF2B5EF4-FFF2-40B4-BE49-F238E27FC236}">
              <a16:creationId xmlns:a16="http://schemas.microsoft.com/office/drawing/2014/main" id="{CBDA6906-75CB-4AF4-997D-6933370EBEB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2" name="Picture 1" descr="세원도장">
          <a:extLst>
            <a:ext uri="{FF2B5EF4-FFF2-40B4-BE49-F238E27FC236}">
              <a16:creationId xmlns:a16="http://schemas.microsoft.com/office/drawing/2014/main" id="{5C8224D5-ACE7-4DB8-89CF-6C8AB2356D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3" name="Picture 1" descr="세원도장">
          <a:extLst>
            <a:ext uri="{FF2B5EF4-FFF2-40B4-BE49-F238E27FC236}">
              <a16:creationId xmlns:a16="http://schemas.microsoft.com/office/drawing/2014/main" id="{AF5C288F-ED79-4DE7-A4F9-C8DA059978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4" name="Picture 1" descr="세원도장">
          <a:extLst>
            <a:ext uri="{FF2B5EF4-FFF2-40B4-BE49-F238E27FC236}">
              <a16:creationId xmlns:a16="http://schemas.microsoft.com/office/drawing/2014/main" id="{031FC4D8-52F0-4A70-8F5D-467DBB02209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5" name="Picture 1" descr="세원도장">
          <a:extLst>
            <a:ext uri="{FF2B5EF4-FFF2-40B4-BE49-F238E27FC236}">
              <a16:creationId xmlns:a16="http://schemas.microsoft.com/office/drawing/2014/main" id="{9AF22594-8BC7-44AB-BE83-961B18391BE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EC60928C-CE7A-430B-B5B6-B610843951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7" name="Picture 1" descr="세원도장">
          <a:extLst>
            <a:ext uri="{FF2B5EF4-FFF2-40B4-BE49-F238E27FC236}">
              <a16:creationId xmlns:a16="http://schemas.microsoft.com/office/drawing/2014/main" id="{61FAF88F-8F40-47F9-8A0E-69648B5C14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C9BA604B-7D0A-4439-A80A-DD75931023A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9" name="Picture 1" descr="세원도장">
          <a:extLst>
            <a:ext uri="{FF2B5EF4-FFF2-40B4-BE49-F238E27FC236}">
              <a16:creationId xmlns:a16="http://schemas.microsoft.com/office/drawing/2014/main" id="{454DE7E6-DF21-4E77-BA49-9B423A44B9C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1D66BA31-62DA-4389-8B49-CAD6718558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9DAC171B-0272-4215-8008-21218889A0E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410CC250-6DE4-4ED0-935A-EEF87D0901D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5EE31494-1802-41AA-A6BD-7EBFF66266C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4057111E-9964-4885-931C-5C7B78F7793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5" name="Picture 1" descr="세원도장">
          <a:extLst>
            <a:ext uri="{FF2B5EF4-FFF2-40B4-BE49-F238E27FC236}">
              <a16:creationId xmlns:a16="http://schemas.microsoft.com/office/drawing/2014/main" id="{3000E5C6-A44E-4228-ABFB-4BB3ADBB9B7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2C1A31B3-8F09-4B9D-A4AE-1D4E4FB7BAF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7" name="Picture 1" descr="세원도장">
          <a:extLst>
            <a:ext uri="{FF2B5EF4-FFF2-40B4-BE49-F238E27FC236}">
              <a16:creationId xmlns:a16="http://schemas.microsoft.com/office/drawing/2014/main" id="{A1471933-3280-43ED-AF91-749FE44797E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8" name="Picture 1" descr="세원도장">
          <a:extLst>
            <a:ext uri="{FF2B5EF4-FFF2-40B4-BE49-F238E27FC236}">
              <a16:creationId xmlns:a16="http://schemas.microsoft.com/office/drawing/2014/main" id="{57421D83-489E-434C-B2CC-7850B70946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9" name="Picture 1" descr="세원도장">
          <a:extLst>
            <a:ext uri="{FF2B5EF4-FFF2-40B4-BE49-F238E27FC236}">
              <a16:creationId xmlns:a16="http://schemas.microsoft.com/office/drawing/2014/main" id="{A07D52C1-3752-42D8-9693-217A3004019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0" name="Picture 1" descr="세원도장">
          <a:extLst>
            <a:ext uri="{FF2B5EF4-FFF2-40B4-BE49-F238E27FC236}">
              <a16:creationId xmlns:a16="http://schemas.microsoft.com/office/drawing/2014/main" id="{14993479-F0FE-469D-8ADB-D08D13D6025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1" name="Picture 1" descr="세원도장">
          <a:extLst>
            <a:ext uri="{FF2B5EF4-FFF2-40B4-BE49-F238E27FC236}">
              <a16:creationId xmlns:a16="http://schemas.microsoft.com/office/drawing/2014/main" id="{4C1F707A-A05D-48A3-A97F-C4ED04691C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FA0F34EC-D35C-4AE3-8F2D-058523D0555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3E2EC66E-5043-4C1C-A9C0-33C33993219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4" name="Picture 1" descr="세원도장">
          <a:extLst>
            <a:ext uri="{FF2B5EF4-FFF2-40B4-BE49-F238E27FC236}">
              <a16:creationId xmlns:a16="http://schemas.microsoft.com/office/drawing/2014/main" id="{AD1CA1CA-60A8-496D-AA43-117963B4316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5" name="Picture 1" descr="세원도장">
          <a:extLst>
            <a:ext uri="{FF2B5EF4-FFF2-40B4-BE49-F238E27FC236}">
              <a16:creationId xmlns:a16="http://schemas.microsoft.com/office/drawing/2014/main" id="{57C97FE6-EF0A-45F0-BDD1-45D3C243D94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6" name="Picture 1" descr="세원도장">
          <a:extLst>
            <a:ext uri="{FF2B5EF4-FFF2-40B4-BE49-F238E27FC236}">
              <a16:creationId xmlns:a16="http://schemas.microsoft.com/office/drawing/2014/main" id="{1FABCB4C-5BD7-4809-BF93-96F036E6DF2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7" name="Picture 1" descr="세원도장">
          <a:extLst>
            <a:ext uri="{FF2B5EF4-FFF2-40B4-BE49-F238E27FC236}">
              <a16:creationId xmlns:a16="http://schemas.microsoft.com/office/drawing/2014/main" id="{950CD11F-321E-411D-A603-4B984F79E7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8" name="Picture 1" descr="세원도장">
          <a:extLst>
            <a:ext uri="{FF2B5EF4-FFF2-40B4-BE49-F238E27FC236}">
              <a16:creationId xmlns:a16="http://schemas.microsoft.com/office/drawing/2014/main" id="{9E789DA5-68AC-47D4-8E20-763BFE92D2B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9" name="Picture 1" descr="세원도장">
          <a:extLst>
            <a:ext uri="{FF2B5EF4-FFF2-40B4-BE49-F238E27FC236}">
              <a16:creationId xmlns:a16="http://schemas.microsoft.com/office/drawing/2014/main" id="{B012F44E-7E39-4A50-A8D6-5A88DC74F0E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0" name="Picture 1" descr="세원도장">
          <a:extLst>
            <a:ext uri="{FF2B5EF4-FFF2-40B4-BE49-F238E27FC236}">
              <a16:creationId xmlns:a16="http://schemas.microsoft.com/office/drawing/2014/main" id="{482E939E-4C71-4714-8920-66FF594DCB9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1" name="Picture 1" descr="세원도장">
          <a:extLst>
            <a:ext uri="{FF2B5EF4-FFF2-40B4-BE49-F238E27FC236}">
              <a16:creationId xmlns:a16="http://schemas.microsoft.com/office/drawing/2014/main" id="{9FB3329D-CCD4-436C-8B09-B10B153677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2" name="Picture 1" descr="세원도장">
          <a:extLst>
            <a:ext uri="{FF2B5EF4-FFF2-40B4-BE49-F238E27FC236}">
              <a16:creationId xmlns:a16="http://schemas.microsoft.com/office/drawing/2014/main" id="{26288DEC-5713-4D9B-BFE6-344473A51AD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3" name="Picture 1" descr="세원도장">
          <a:extLst>
            <a:ext uri="{FF2B5EF4-FFF2-40B4-BE49-F238E27FC236}">
              <a16:creationId xmlns:a16="http://schemas.microsoft.com/office/drawing/2014/main" id="{29E22DD0-8972-4720-8F21-1FE062633CB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4" name="Picture 1" descr="세원도장">
          <a:extLst>
            <a:ext uri="{FF2B5EF4-FFF2-40B4-BE49-F238E27FC236}">
              <a16:creationId xmlns:a16="http://schemas.microsoft.com/office/drawing/2014/main" id="{A2484BA7-9849-407E-A595-CBFC886EB6D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5" name="Picture 1" descr="세원도장">
          <a:extLst>
            <a:ext uri="{FF2B5EF4-FFF2-40B4-BE49-F238E27FC236}">
              <a16:creationId xmlns:a16="http://schemas.microsoft.com/office/drawing/2014/main" id="{74A1EE7C-8A69-40A8-82EF-3E8FEB36264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6" name="Picture 1" descr="세원도장">
          <a:extLst>
            <a:ext uri="{FF2B5EF4-FFF2-40B4-BE49-F238E27FC236}">
              <a16:creationId xmlns:a16="http://schemas.microsoft.com/office/drawing/2014/main" id="{0EF8B080-5EBC-4D5E-B23C-A70CF66A9E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7" name="Picture 1" descr="세원도장">
          <a:extLst>
            <a:ext uri="{FF2B5EF4-FFF2-40B4-BE49-F238E27FC236}">
              <a16:creationId xmlns:a16="http://schemas.microsoft.com/office/drawing/2014/main" id="{8C15EBBD-BF79-4623-8FD2-9409FB74704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8" name="Picture 1" descr="세원도장">
          <a:extLst>
            <a:ext uri="{FF2B5EF4-FFF2-40B4-BE49-F238E27FC236}">
              <a16:creationId xmlns:a16="http://schemas.microsoft.com/office/drawing/2014/main" id="{9FFAA5C9-D6B8-4EC1-9E5B-BEB1D16B09B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9" name="Picture 1" descr="세원도장">
          <a:extLst>
            <a:ext uri="{FF2B5EF4-FFF2-40B4-BE49-F238E27FC236}">
              <a16:creationId xmlns:a16="http://schemas.microsoft.com/office/drawing/2014/main" id="{454609C0-C002-4C39-8D60-DF8A184DAB0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2F34D7DB-55A2-4924-A683-ECF802276F9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1" name="Picture 1" descr="세원도장">
          <a:extLst>
            <a:ext uri="{FF2B5EF4-FFF2-40B4-BE49-F238E27FC236}">
              <a16:creationId xmlns:a16="http://schemas.microsoft.com/office/drawing/2014/main" id="{B5111709-39DD-406F-97D8-7273EE114B8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B49722F1-D63D-4B86-8AEB-B057C45706A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3" name="Picture 1" descr="세원도장">
          <a:extLst>
            <a:ext uri="{FF2B5EF4-FFF2-40B4-BE49-F238E27FC236}">
              <a16:creationId xmlns:a16="http://schemas.microsoft.com/office/drawing/2014/main" id="{FE5C85CA-B640-41CD-B17F-D24B0FA7861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4" name="Picture 1" descr="세원도장">
          <a:extLst>
            <a:ext uri="{FF2B5EF4-FFF2-40B4-BE49-F238E27FC236}">
              <a16:creationId xmlns:a16="http://schemas.microsoft.com/office/drawing/2014/main" id="{4A22170C-EA73-4AA9-BF7C-9004A27B5C9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5" name="Picture 1" descr="세원도장">
          <a:extLst>
            <a:ext uri="{FF2B5EF4-FFF2-40B4-BE49-F238E27FC236}">
              <a16:creationId xmlns:a16="http://schemas.microsoft.com/office/drawing/2014/main" id="{06530AF7-75AA-4757-8676-275171FB146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6" name="Picture 1" descr="세원도장">
          <a:extLst>
            <a:ext uri="{FF2B5EF4-FFF2-40B4-BE49-F238E27FC236}">
              <a16:creationId xmlns:a16="http://schemas.microsoft.com/office/drawing/2014/main" id="{29E3D2EE-0021-4EC4-9B17-CF8EA7760E3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7" name="Picture 1" descr="세원도장">
          <a:extLst>
            <a:ext uri="{FF2B5EF4-FFF2-40B4-BE49-F238E27FC236}">
              <a16:creationId xmlns:a16="http://schemas.microsoft.com/office/drawing/2014/main" id="{803DD086-B85C-46E4-85EC-917E35BF556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C0C472A7-BD6E-4110-B513-317730D43CA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720EA8ED-D49E-4869-BE62-869DD74EE66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0" name="Picture 1" descr="세원도장">
          <a:extLst>
            <a:ext uri="{FF2B5EF4-FFF2-40B4-BE49-F238E27FC236}">
              <a16:creationId xmlns:a16="http://schemas.microsoft.com/office/drawing/2014/main" id="{6F88B3E0-622F-449B-91FE-9E6AE61013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1" name="Picture 1" descr="세원도장">
          <a:extLst>
            <a:ext uri="{FF2B5EF4-FFF2-40B4-BE49-F238E27FC236}">
              <a16:creationId xmlns:a16="http://schemas.microsoft.com/office/drawing/2014/main" id="{6378E39B-799E-4CA9-8DA5-D02C4CD6EA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2" name="Picture 1" descr="세원도장">
          <a:extLst>
            <a:ext uri="{FF2B5EF4-FFF2-40B4-BE49-F238E27FC236}">
              <a16:creationId xmlns:a16="http://schemas.microsoft.com/office/drawing/2014/main" id="{3F83EDC3-4114-450D-9257-9A377EEAC98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3" name="Picture 1" descr="세원도장">
          <a:extLst>
            <a:ext uri="{FF2B5EF4-FFF2-40B4-BE49-F238E27FC236}">
              <a16:creationId xmlns:a16="http://schemas.microsoft.com/office/drawing/2014/main" id="{41B6ECAD-EAA8-4BF4-813A-DFF772D1185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4" name="Picture 1" descr="세원도장">
          <a:extLst>
            <a:ext uri="{FF2B5EF4-FFF2-40B4-BE49-F238E27FC236}">
              <a16:creationId xmlns:a16="http://schemas.microsoft.com/office/drawing/2014/main" id="{4E00F9BF-D2FB-403C-8DDE-0E32ACB3BE5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5" name="Picture 1" descr="세원도장">
          <a:extLst>
            <a:ext uri="{FF2B5EF4-FFF2-40B4-BE49-F238E27FC236}">
              <a16:creationId xmlns:a16="http://schemas.microsoft.com/office/drawing/2014/main" id="{674855B8-1548-4B7F-9C07-5F8CA913411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6" name="Picture 1" descr="세원도장">
          <a:extLst>
            <a:ext uri="{FF2B5EF4-FFF2-40B4-BE49-F238E27FC236}">
              <a16:creationId xmlns:a16="http://schemas.microsoft.com/office/drawing/2014/main" id="{B5890187-1EAC-46C6-BF8A-81FB967539A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7" name="Picture 1" descr="세원도장">
          <a:extLst>
            <a:ext uri="{FF2B5EF4-FFF2-40B4-BE49-F238E27FC236}">
              <a16:creationId xmlns:a16="http://schemas.microsoft.com/office/drawing/2014/main" id="{B774127F-EDE0-4E6C-A601-77BDDA5FF04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8" name="Picture 1" descr="세원도장">
          <a:extLst>
            <a:ext uri="{FF2B5EF4-FFF2-40B4-BE49-F238E27FC236}">
              <a16:creationId xmlns:a16="http://schemas.microsoft.com/office/drawing/2014/main" id="{97C9DDC1-E6DB-4AD7-9876-F0FCBF6ADB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9" name="Picture 1" descr="세원도장">
          <a:extLst>
            <a:ext uri="{FF2B5EF4-FFF2-40B4-BE49-F238E27FC236}">
              <a16:creationId xmlns:a16="http://schemas.microsoft.com/office/drawing/2014/main" id="{1D39F937-8592-4144-B339-3582139637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0" name="Picture 1" descr="세원도장">
          <a:extLst>
            <a:ext uri="{FF2B5EF4-FFF2-40B4-BE49-F238E27FC236}">
              <a16:creationId xmlns:a16="http://schemas.microsoft.com/office/drawing/2014/main" id="{C4D462D2-6F20-4C00-809E-924ACCAC43B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1" name="Picture 1" descr="세원도장">
          <a:extLst>
            <a:ext uri="{FF2B5EF4-FFF2-40B4-BE49-F238E27FC236}">
              <a16:creationId xmlns:a16="http://schemas.microsoft.com/office/drawing/2014/main" id="{A0361023-3E12-4E02-8FFE-02930FD83ED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2" name="Picture 1" descr="세원도장">
          <a:extLst>
            <a:ext uri="{FF2B5EF4-FFF2-40B4-BE49-F238E27FC236}">
              <a16:creationId xmlns:a16="http://schemas.microsoft.com/office/drawing/2014/main" id="{7C8EF5AD-3DD7-4CC0-A0B7-348DEC3FBCA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3" name="Picture 1" descr="세원도장">
          <a:extLst>
            <a:ext uri="{FF2B5EF4-FFF2-40B4-BE49-F238E27FC236}">
              <a16:creationId xmlns:a16="http://schemas.microsoft.com/office/drawing/2014/main" id="{D172309A-AF8D-4B1B-9A13-F303DFA3151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4" name="Picture 1" descr="세원도장">
          <a:extLst>
            <a:ext uri="{FF2B5EF4-FFF2-40B4-BE49-F238E27FC236}">
              <a16:creationId xmlns:a16="http://schemas.microsoft.com/office/drawing/2014/main" id="{D8767F39-77CE-4FBC-B33C-D6AEF5C150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5" name="Picture 1" descr="세원도장">
          <a:extLst>
            <a:ext uri="{FF2B5EF4-FFF2-40B4-BE49-F238E27FC236}">
              <a16:creationId xmlns:a16="http://schemas.microsoft.com/office/drawing/2014/main" id="{8A56E285-0A93-414B-A62A-72AF53D7D8C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190501</xdr:rowOff>
    </xdr:to>
    <xdr:pic>
      <xdr:nvPicPr>
        <xdr:cNvPr id="96" name="Picture 2">
          <a:extLst>
            <a:ext uri="{FF2B5EF4-FFF2-40B4-BE49-F238E27FC236}">
              <a16:creationId xmlns:a16="http://schemas.microsoft.com/office/drawing/2014/main" id="{356D911A-1D2A-46A5-BA3D-55241952BE71}"/>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582025" y="1503589"/>
          <a:ext cx="683264" cy="65858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9CF9D000-1270-4B9A-9332-ECB6973E989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98" name="Picture 1" descr="세원도장">
          <a:extLst>
            <a:ext uri="{FF2B5EF4-FFF2-40B4-BE49-F238E27FC236}">
              <a16:creationId xmlns:a16="http://schemas.microsoft.com/office/drawing/2014/main" id="{0C05E2E5-D4FA-4C2E-932D-DC6270EA3F5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230DC387-F3C3-4C88-B9BA-277D4465321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100" name="Picture 1" descr="세원도장">
          <a:extLst>
            <a:ext uri="{FF2B5EF4-FFF2-40B4-BE49-F238E27FC236}">
              <a16:creationId xmlns:a16="http://schemas.microsoft.com/office/drawing/2014/main" id="{1085FE03-0885-45C3-BF2C-5FE6EFD7A7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B4900B3A-A822-47E3-9DE7-1708CCA637C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C822E424-C9AF-4435-BCBD-798089FBB2D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F9C52948-0F7B-4D25-8514-7CAEAB257C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8765CCD7-89F4-443B-A505-423D0CD9B58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DCF220D6-E2C6-4B9D-8711-EBB4F13075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6" name="Picture 1" descr="세원도장">
          <a:extLst>
            <a:ext uri="{FF2B5EF4-FFF2-40B4-BE49-F238E27FC236}">
              <a16:creationId xmlns:a16="http://schemas.microsoft.com/office/drawing/2014/main" id="{8C724D69-BFA5-4813-9A86-8DEECA8879C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D555770B-A07A-43E1-ADA7-A79B08AD5E5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8" name="Picture 1" descr="세원도장">
          <a:extLst>
            <a:ext uri="{FF2B5EF4-FFF2-40B4-BE49-F238E27FC236}">
              <a16:creationId xmlns:a16="http://schemas.microsoft.com/office/drawing/2014/main" id="{C8B1B46F-3CBF-4C44-9DCB-5F4D0C8EA84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47CAA389-2A0D-47FE-A523-22B3ADC73B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36DE89CA-DAF7-4D52-BF73-DF363804374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2682726D-64F6-409C-8331-96CB2C1610F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F68211E3-65AC-4117-BC2E-7F845EFEB9C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143241</xdr:colOff>
      <xdr:row>3</xdr:row>
      <xdr:rowOff>189335</xdr:rowOff>
    </xdr:from>
    <xdr:to>
      <xdr:col>8</xdr:col>
      <xdr:colOff>565371</xdr:colOff>
      <xdr:row>23</xdr:row>
      <xdr:rowOff>154081</xdr:rowOff>
    </xdr:to>
    <xdr:pic>
      <xdr:nvPicPr>
        <xdr:cNvPr id="2" name="그림 1">
          <a:extLst>
            <a:ext uri="{FF2B5EF4-FFF2-40B4-BE49-F238E27FC236}">
              <a16:creationId xmlns:a16="http://schemas.microsoft.com/office/drawing/2014/main" id="{C5C50903-8722-4308-B300-F8B4CE5457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3241" y="817985"/>
          <a:ext cx="5908530" cy="4155746"/>
        </a:xfrm>
        <a:prstGeom prst="rect">
          <a:avLst/>
        </a:prstGeom>
      </xdr:spPr>
    </xdr:pic>
    <xdr:clientData/>
  </xdr:twoCellAnchor>
  <xdr:twoCellAnchor editAs="oneCell">
    <xdr:from>
      <xdr:col>9</xdr:col>
      <xdr:colOff>569818</xdr:colOff>
      <xdr:row>1</xdr:row>
      <xdr:rowOff>193300</xdr:rowOff>
    </xdr:from>
    <xdr:to>
      <xdr:col>16</xdr:col>
      <xdr:colOff>182095</xdr:colOff>
      <xdr:row>27</xdr:row>
      <xdr:rowOff>200537</xdr:rowOff>
    </xdr:to>
    <xdr:pic>
      <xdr:nvPicPr>
        <xdr:cNvPr id="3" name="그림 2">
          <a:extLst>
            <a:ext uri="{FF2B5EF4-FFF2-40B4-BE49-F238E27FC236}">
              <a16:creationId xmlns:a16="http://schemas.microsoft.com/office/drawing/2014/main" id="{2BEA511E-6674-4A3F-9DEB-F76653A4C52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42018" y="402850"/>
          <a:ext cx="4412877" cy="5455537"/>
        </a:xfrm>
        <a:prstGeom prst="rect">
          <a:avLst/>
        </a:prstGeom>
      </xdr:spPr>
    </xdr:pic>
    <xdr:clientData/>
  </xdr:twoCellAnchor>
  <xdr:twoCellAnchor editAs="oneCell">
    <xdr:from>
      <xdr:col>9</xdr:col>
      <xdr:colOff>268727</xdr:colOff>
      <xdr:row>29</xdr:row>
      <xdr:rowOff>15275</xdr:rowOff>
    </xdr:from>
    <xdr:to>
      <xdr:col>16</xdr:col>
      <xdr:colOff>364191</xdr:colOff>
      <xdr:row>64</xdr:row>
      <xdr:rowOff>32109</xdr:rowOff>
    </xdr:to>
    <xdr:pic>
      <xdr:nvPicPr>
        <xdr:cNvPr id="4" name="그림 3">
          <a:extLst>
            <a:ext uri="{FF2B5EF4-FFF2-40B4-BE49-F238E27FC236}">
              <a16:creationId xmlns:a16="http://schemas.microsoft.com/office/drawing/2014/main" id="{3F568C32-6915-4F81-ABC4-83C5DABAD90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445970" y="6108474"/>
          <a:ext cx="4899986" cy="7370694"/>
        </a:xfrm>
        <a:prstGeom prst="rect">
          <a:avLst/>
        </a:prstGeom>
      </xdr:spPr>
    </xdr:pic>
    <xdr:clientData/>
  </xdr:twoCellAnchor>
  <xdr:twoCellAnchor editAs="oneCell">
    <xdr:from>
      <xdr:col>0</xdr:col>
      <xdr:colOff>0</xdr:colOff>
      <xdr:row>25</xdr:row>
      <xdr:rowOff>192201</xdr:rowOff>
    </xdr:from>
    <xdr:to>
      <xdr:col>8</xdr:col>
      <xdr:colOff>376211</xdr:colOff>
      <xdr:row>46</xdr:row>
      <xdr:rowOff>28013</xdr:rowOff>
    </xdr:to>
    <xdr:pic>
      <xdr:nvPicPr>
        <xdr:cNvPr id="5" name="그림 4">
          <a:extLst>
            <a:ext uri="{FF2B5EF4-FFF2-40B4-BE49-F238E27FC236}">
              <a16:creationId xmlns:a16="http://schemas.microsoft.com/office/drawing/2014/main" id="{779AA0C5-3ECA-43B5-8FDC-6AE5FB6EE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5444958"/>
          <a:ext cx="5867093" cy="424812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90120-7B24-4D88-9175-0296412852CF}">
  <sheetPr>
    <pageSetUpPr fitToPage="1"/>
  </sheetPr>
  <dimension ref="A2:I34"/>
  <sheetViews>
    <sheetView showGridLines="0" topLeftCell="A5" zoomScale="70" zoomScaleNormal="70" workbookViewId="0"/>
  </sheetViews>
  <sheetFormatPr defaultColWidth="9" defaultRowHeight="12.75"/>
  <cols>
    <col min="1" max="1" width="9.875" style="3" customWidth="1"/>
    <col min="2" max="2" width="24.25" style="3" customWidth="1"/>
    <col min="3" max="3" width="27" style="3" customWidth="1"/>
    <col min="4" max="5" width="9" style="3"/>
    <col min="6" max="6" width="23.5" style="3" customWidth="1"/>
    <col min="7" max="7" width="44.75" style="3" customWidth="1"/>
    <col min="8" max="8" width="11.25" style="3" customWidth="1"/>
    <col min="9" max="16384" width="9" style="3"/>
  </cols>
  <sheetData>
    <row r="2" spans="1:9" ht="33">
      <c r="A2" s="408" t="s">
        <v>1</v>
      </c>
      <c r="B2" s="408"/>
      <c r="C2" s="408"/>
      <c r="D2" s="408"/>
      <c r="E2" s="408"/>
      <c r="F2" s="408"/>
      <c r="G2" s="408"/>
      <c r="H2" s="2"/>
    </row>
    <row r="3" spans="1:9" ht="14.25">
      <c r="A3" s="208"/>
      <c r="B3" s="208"/>
      <c r="C3" s="208"/>
      <c r="D3" s="208"/>
      <c r="E3" s="208"/>
      <c r="F3" s="208"/>
      <c r="G3" s="208"/>
      <c r="H3" s="208"/>
    </row>
    <row r="4" spans="1:9" ht="14.25">
      <c r="A4" s="208"/>
      <c r="B4" s="208"/>
      <c r="C4" s="208"/>
      <c r="D4" s="208"/>
      <c r="E4" s="208"/>
      <c r="H4" s="208"/>
    </row>
    <row r="5" spans="1:9" ht="27" customHeight="1">
      <c r="A5" s="209" t="s">
        <v>41</v>
      </c>
      <c r="B5" s="4"/>
      <c r="C5" s="5"/>
      <c r="D5" s="208"/>
      <c r="E5" s="208"/>
      <c r="F5" s="6" t="s">
        <v>31</v>
      </c>
      <c r="G5" s="7" t="s">
        <v>45</v>
      </c>
      <c r="H5" s="208"/>
    </row>
    <row r="6" spans="1:9" ht="27" customHeight="1">
      <c r="A6" s="208"/>
      <c r="B6" s="208"/>
      <c r="C6" s="208"/>
      <c r="D6" s="208"/>
      <c r="E6" s="208"/>
      <c r="F6" s="8" t="s">
        <v>34</v>
      </c>
      <c r="G6" s="9" t="s">
        <v>46</v>
      </c>
      <c r="H6" s="208"/>
    </row>
    <row r="7" spans="1:9" ht="27" customHeight="1">
      <c r="A7" s="409" t="s">
        <v>241</v>
      </c>
      <c r="B7" s="410"/>
      <c r="C7" s="411"/>
      <c r="D7" s="208"/>
      <c r="E7" s="10"/>
      <c r="F7" s="11" t="s">
        <v>35</v>
      </c>
      <c r="G7" s="9" t="s">
        <v>47</v>
      </c>
      <c r="H7" s="208"/>
    </row>
    <row r="8" spans="1:9" ht="27" customHeight="1">
      <c r="A8" s="208"/>
      <c r="B8" s="208"/>
      <c r="C8" s="208"/>
      <c r="D8" s="208"/>
      <c r="E8" s="208"/>
      <c r="F8" s="8" t="s">
        <v>36</v>
      </c>
      <c r="G8" s="9" t="s">
        <v>48</v>
      </c>
      <c r="H8" s="208"/>
    </row>
    <row r="9" spans="1:9" ht="27" customHeight="1">
      <c r="A9" s="409" t="s">
        <v>242</v>
      </c>
      <c r="B9" s="410"/>
      <c r="C9" s="411"/>
      <c r="D9" s="208"/>
      <c r="E9" s="208"/>
      <c r="F9" s="8" t="s">
        <v>37</v>
      </c>
      <c r="G9" s="9" t="s">
        <v>49</v>
      </c>
      <c r="H9" s="208"/>
    </row>
    <row r="10" spans="1:9" ht="27" customHeight="1">
      <c r="A10" s="208"/>
      <c r="B10" s="208"/>
      <c r="C10" s="208"/>
      <c r="D10" s="208"/>
      <c r="E10" s="208"/>
      <c r="F10" s="12" t="s">
        <v>32</v>
      </c>
      <c r="G10" s="13" t="s">
        <v>50</v>
      </c>
      <c r="H10" s="208"/>
      <c r="I10" s="208"/>
    </row>
    <row r="11" spans="1:9" ht="27" customHeight="1">
      <c r="A11" s="412"/>
      <c r="B11" s="413"/>
      <c r="C11" s="413"/>
      <c r="D11" s="208"/>
      <c r="E11" s="14"/>
      <c r="F11" s="15" t="s">
        <v>33</v>
      </c>
      <c r="G11" s="16" t="s">
        <v>51</v>
      </c>
      <c r="H11" s="14"/>
    </row>
    <row r="12" spans="1:9" ht="18.75" thickBot="1">
      <c r="A12" s="17" t="s">
        <v>2</v>
      </c>
      <c r="B12" s="17" t="str">
        <f>NUMBERSTRING(F31,1)</f>
        <v>사백오십오만육천</v>
      </c>
      <c r="C12" s="18"/>
      <c r="D12" s="1" t="s">
        <v>3</v>
      </c>
      <c r="E12" s="1" t="s">
        <v>4</v>
      </c>
      <c r="F12" s="1" t="s">
        <v>4</v>
      </c>
      <c r="G12" s="1"/>
      <c r="H12" s="19"/>
    </row>
    <row r="13" spans="1:9" ht="15.75" thickTop="1" thickBot="1">
      <c r="A13" s="208"/>
      <c r="B13" s="208"/>
      <c r="C13" s="208"/>
      <c r="D13" s="208"/>
      <c r="E13" s="208"/>
      <c r="F13" s="208"/>
      <c r="G13" s="208"/>
      <c r="H13" s="19"/>
    </row>
    <row r="14" spans="1:9" ht="33" customHeight="1" thickBot="1">
      <c r="A14" s="20" t="s">
        <v>5</v>
      </c>
      <c r="B14" s="21" t="s">
        <v>6</v>
      </c>
      <c r="C14" s="21" t="s">
        <v>7</v>
      </c>
      <c r="D14" s="21" t="s">
        <v>8</v>
      </c>
      <c r="E14" s="21" t="s">
        <v>9</v>
      </c>
      <c r="F14" s="21" t="s">
        <v>10</v>
      </c>
      <c r="G14" s="22" t="s">
        <v>11</v>
      </c>
      <c r="H14" s="19"/>
    </row>
    <row r="15" spans="1:9" ht="33" customHeight="1" thickTop="1">
      <c r="A15" s="23"/>
      <c r="B15" s="24" t="s">
        <v>12</v>
      </c>
      <c r="C15" s="25"/>
      <c r="D15" s="26"/>
      <c r="E15" s="26"/>
      <c r="F15" s="27"/>
      <c r="G15" s="28"/>
    </row>
    <row r="16" spans="1:9" ht="33" customHeight="1">
      <c r="A16" s="29"/>
      <c r="B16" s="30" t="s">
        <v>13</v>
      </c>
      <c r="C16" s="31"/>
      <c r="D16" s="32"/>
      <c r="E16" s="32"/>
      <c r="F16" s="33">
        <f>'내역서(표준단가)'!O20</f>
        <v>1816602.9750000001</v>
      </c>
      <c r="G16" s="34"/>
    </row>
    <row r="17" spans="1:7" ht="33" customHeight="1">
      <c r="A17" s="29"/>
      <c r="B17" s="30" t="s">
        <v>14</v>
      </c>
      <c r="C17" s="31"/>
      <c r="D17" s="32"/>
      <c r="E17" s="32"/>
      <c r="F17" s="33">
        <f>'내역서(표준단가)'!Q20</f>
        <v>2197596.42</v>
      </c>
      <c r="G17" s="35"/>
    </row>
    <row r="18" spans="1:7" ht="33" customHeight="1">
      <c r="A18" s="29"/>
      <c r="B18" s="30" t="s">
        <v>15</v>
      </c>
      <c r="C18" s="31"/>
      <c r="D18" s="32"/>
      <c r="E18" s="32"/>
      <c r="F18" s="33">
        <f>'내역서(표준단가)'!S20+'내역서(표준단가)'!U20</f>
        <v>0</v>
      </c>
      <c r="G18" s="35"/>
    </row>
    <row r="19" spans="1:7" ht="33" customHeight="1">
      <c r="A19" s="29"/>
      <c r="B19" s="36" t="s">
        <v>16</v>
      </c>
      <c r="C19" s="36"/>
      <c r="D19" s="37"/>
      <c r="E19" s="37"/>
      <c r="F19" s="38">
        <f>F16+F17+F18</f>
        <v>4014199.395</v>
      </c>
      <c r="G19" s="35"/>
    </row>
    <row r="20" spans="1:7" ht="33" customHeight="1">
      <c r="A20" s="29"/>
      <c r="B20" s="39" t="s">
        <v>17</v>
      </c>
      <c r="C20" s="40"/>
      <c r="D20" s="32"/>
      <c r="E20" s="32"/>
      <c r="F20" s="41"/>
      <c r="G20" s="35"/>
    </row>
    <row r="21" spans="1:7" ht="33" customHeight="1">
      <c r="A21" s="29"/>
      <c r="B21" s="266" t="s">
        <v>18</v>
      </c>
      <c r="C21" s="40" t="s">
        <v>19</v>
      </c>
      <c r="D21" s="30">
        <v>1</v>
      </c>
      <c r="E21" s="30" t="s">
        <v>20</v>
      </c>
      <c r="F21" s="42">
        <f>F17*4.5%</f>
        <v>98891.838899999988</v>
      </c>
      <c r="G21" s="35" t="s">
        <v>21</v>
      </c>
    </row>
    <row r="22" spans="1:7" ht="33" customHeight="1">
      <c r="A22" s="29"/>
      <c r="B22" s="267" t="s">
        <v>22</v>
      </c>
      <c r="C22" s="43" t="s">
        <v>42</v>
      </c>
      <c r="D22" s="44">
        <v>1</v>
      </c>
      <c r="E22" s="44" t="s">
        <v>20</v>
      </c>
      <c r="F22" s="45">
        <f>F17*3.545%</f>
        <v>77904.793088999999</v>
      </c>
      <c r="G22" s="46" t="s">
        <v>21</v>
      </c>
    </row>
    <row r="23" spans="1:7" ht="33" customHeight="1">
      <c r="A23" s="29"/>
      <c r="B23" s="266" t="s">
        <v>23</v>
      </c>
      <c r="C23" s="40" t="s">
        <v>43</v>
      </c>
      <c r="D23" s="30">
        <v>1</v>
      </c>
      <c r="E23" s="30" t="s">
        <v>20</v>
      </c>
      <c r="F23" s="42">
        <f>F22*12.95%</f>
        <v>10088.670705025501</v>
      </c>
      <c r="G23" s="35" t="s">
        <v>21</v>
      </c>
    </row>
    <row r="24" spans="1:7" ht="33" customHeight="1">
      <c r="A24" s="29"/>
      <c r="B24" s="266" t="s">
        <v>24</v>
      </c>
      <c r="C24" s="40" t="s">
        <v>39</v>
      </c>
      <c r="D24" s="30">
        <v>1</v>
      </c>
      <c r="E24" s="30" t="s">
        <v>20</v>
      </c>
      <c r="F24" s="42">
        <f>F17*1.01%</f>
        <v>22195.723841999999</v>
      </c>
      <c r="G24" s="35" t="s">
        <v>21</v>
      </c>
    </row>
    <row r="25" spans="1:7" ht="33" customHeight="1">
      <c r="A25" s="29"/>
      <c r="B25" s="266" t="s">
        <v>25</v>
      </c>
      <c r="C25" s="40" t="s">
        <v>44</v>
      </c>
      <c r="D25" s="30">
        <v>1</v>
      </c>
      <c r="E25" s="30" t="s">
        <v>20</v>
      </c>
      <c r="F25" s="42">
        <f>F17*3.56%</f>
        <v>78234.432551999998</v>
      </c>
      <c r="G25" s="35" t="s">
        <v>21</v>
      </c>
    </row>
    <row r="26" spans="1:7" ht="33" customHeight="1">
      <c r="A26" s="29"/>
      <c r="B26" s="266" t="s">
        <v>26</v>
      </c>
      <c r="C26" s="47" t="s">
        <v>72</v>
      </c>
      <c r="D26" s="30">
        <v>1</v>
      </c>
      <c r="E26" s="30" t="s">
        <v>20</v>
      </c>
      <c r="F26" s="42">
        <f>(F16+F17)*3.11%</f>
        <v>124841.6011845</v>
      </c>
      <c r="G26" s="35" t="s">
        <v>21</v>
      </c>
    </row>
    <row r="27" spans="1:7" ht="33" customHeight="1">
      <c r="A27" s="29"/>
      <c r="B27" s="266" t="s">
        <v>29</v>
      </c>
      <c r="C27" s="47" t="s">
        <v>30</v>
      </c>
      <c r="D27" s="30">
        <v>1</v>
      </c>
      <c r="E27" s="30" t="s">
        <v>20</v>
      </c>
      <c r="F27" s="42">
        <f>SUM(F17+F21+F22+F23+F24+F25+F26)*5%</f>
        <v>130487.67401362628</v>
      </c>
      <c r="G27" s="35"/>
    </row>
    <row r="28" spans="1:7" ht="33" customHeight="1">
      <c r="A28" s="29"/>
      <c r="B28" s="36" t="s">
        <v>16</v>
      </c>
      <c r="C28" s="48"/>
      <c r="D28" s="49"/>
      <c r="E28" s="37"/>
      <c r="F28" s="50">
        <f>F21+F22+F23+F24+F25+F26+F27</f>
        <v>542644.73428615183</v>
      </c>
      <c r="G28" s="35"/>
    </row>
    <row r="29" spans="1:7" ht="33" customHeight="1">
      <c r="A29" s="29"/>
      <c r="B29" s="40"/>
      <c r="C29" s="51"/>
      <c r="D29" s="52"/>
      <c r="E29" s="32"/>
      <c r="F29" s="53"/>
      <c r="G29" s="35"/>
    </row>
    <row r="30" spans="1:7" ht="33" customHeight="1">
      <c r="A30" s="29"/>
      <c r="B30" s="54"/>
      <c r="C30" s="51"/>
      <c r="D30" s="52"/>
      <c r="E30" s="32"/>
      <c r="F30" s="55">
        <f>F19+F28+F29</f>
        <v>4556844.1292861514</v>
      </c>
      <c r="G30" s="35"/>
    </row>
    <row r="31" spans="1:7" ht="33" customHeight="1">
      <c r="A31" s="29"/>
      <c r="B31" s="36" t="s">
        <v>27</v>
      </c>
      <c r="C31" s="36"/>
      <c r="D31" s="37"/>
      <c r="E31" s="37"/>
      <c r="F31" s="407">
        <f>ROUNDDOWN(F30,-3)</f>
        <v>4556000</v>
      </c>
      <c r="G31" s="35"/>
    </row>
    <row r="32" spans="1:7" ht="33" customHeight="1" thickBot="1">
      <c r="A32" s="56"/>
      <c r="B32" s="57" t="s">
        <v>28</v>
      </c>
      <c r="C32" s="58"/>
      <c r="D32" s="58"/>
      <c r="E32" s="58"/>
      <c r="F32" s="59"/>
      <c r="G32" s="388"/>
    </row>
    <row r="33" spans="2:7" ht="33.75" customHeight="1">
      <c r="B33" s="60"/>
      <c r="G33" s="268"/>
    </row>
    <row r="34" spans="2:7" ht="15.75">
      <c r="B34" s="60"/>
    </row>
  </sheetData>
  <mergeCells count="4">
    <mergeCell ref="A2:G2"/>
    <mergeCell ref="A7:C7"/>
    <mergeCell ref="A9:C9"/>
    <mergeCell ref="A11:C11"/>
  </mergeCells>
  <phoneticPr fontId="9"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9541C-747E-4607-A8F2-52E14B6B9D93}">
  <sheetPr>
    <pageSetUpPr fitToPage="1"/>
  </sheetPr>
  <dimension ref="A1:Y20"/>
  <sheetViews>
    <sheetView showGridLines="0" zoomScale="80" zoomScaleNormal="80" workbookViewId="0">
      <pane ySplit="4" topLeftCell="A5" activePane="bottomLeft" state="frozen"/>
      <selection pane="bottomLeft" activeCell="K16" sqref="K16"/>
    </sheetView>
  </sheetViews>
  <sheetFormatPr defaultColWidth="9" defaultRowHeight="38.1" customHeight="1"/>
  <cols>
    <col min="1" max="1" width="22.625" style="94" bestFit="1" customWidth="1"/>
    <col min="2" max="5" width="4.625" style="94" hidden="1" customWidth="1"/>
    <col min="6" max="6" width="9" style="84" hidden="1" customWidth="1"/>
    <col min="7" max="9" width="12.625" style="84" hidden="1" customWidth="1"/>
    <col min="10" max="10" width="26" style="81" customWidth="1"/>
    <col min="11" max="11" width="30.625" style="81" customWidth="1"/>
    <col min="12" max="12" width="8.75" style="84" customWidth="1"/>
    <col min="13" max="13" width="8.25" style="84" customWidth="1"/>
    <col min="14" max="14" width="10.625" style="84" bestFit="1" customWidth="1"/>
    <col min="15" max="15" width="17.25" style="84" bestFit="1" customWidth="1"/>
    <col min="16" max="16" width="12" style="84" bestFit="1" customWidth="1"/>
    <col min="17" max="17" width="17.25" style="84" bestFit="1" customWidth="1"/>
    <col min="18" max="18" width="9" style="84" hidden="1" customWidth="1"/>
    <col min="19" max="19" width="8.75" style="84" hidden="1" customWidth="1"/>
    <col min="20" max="20" width="10.5" style="84" hidden="1" customWidth="1"/>
    <col min="21" max="21" width="8.75" style="84" hidden="1" customWidth="1"/>
    <col min="22" max="22" width="15.625" style="84" bestFit="1" customWidth="1"/>
    <col min="23" max="23" width="10.625" style="61" hidden="1" customWidth="1"/>
    <col min="24" max="24" width="8.5" style="84" bestFit="1" customWidth="1"/>
    <col min="25" max="16384" width="9" style="84"/>
  </cols>
  <sheetData>
    <row r="1" spans="1:25" ht="19.899999999999999" customHeight="1">
      <c r="A1" s="416"/>
      <c r="B1" s="416"/>
      <c r="C1" s="416"/>
      <c r="D1" s="416"/>
      <c r="E1" s="416"/>
      <c r="F1" s="416"/>
      <c r="G1" s="416"/>
      <c r="H1" s="416"/>
      <c r="I1" s="416"/>
      <c r="N1" s="61"/>
      <c r="O1" s="210" t="s">
        <v>52</v>
      </c>
      <c r="Q1" s="210" t="s">
        <v>52</v>
      </c>
      <c r="S1" s="210" t="s">
        <v>52</v>
      </c>
      <c r="U1" s="210" t="s">
        <v>52</v>
      </c>
    </row>
    <row r="2" spans="1:25" ht="19.899999999999999" customHeight="1" thickBot="1">
      <c r="A2" s="416"/>
      <c r="B2" s="416"/>
      <c r="C2" s="416"/>
      <c r="D2" s="416"/>
      <c r="E2" s="416"/>
      <c r="F2" s="416"/>
      <c r="G2" s="416"/>
      <c r="H2" s="416"/>
      <c r="I2" s="416"/>
      <c r="N2" s="62"/>
      <c r="O2" s="63">
        <v>0.83499999999999996</v>
      </c>
      <c r="Q2" s="63">
        <v>0.83499999999999996</v>
      </c>
      <c r="S2" s="63">
        <v>0.83499999999999996</v>
      </c>
      <c r="U2" s="63">
        <v>0.83499999999999996</v>
      </c>
    </row>
    <row r="3" spans="1:25" ht="19.899999999999999" customHeight="1">
      <c r="A3" s="85"/>
      <c r="B3" s="86"/>
      <c r="C3" s="86"/>
      <c r="D3" s="86"/>
      <c r="E3" s="86"/>
      <c r="F3" s="86" t="s">
        <v>53</v>
      </c>
      <c r="G3" s="86"/>
      <c r="H3" s="86"/>
      <c r="I3" s="86"/>
      <c r="J3" s="417" t="s">
        <v>54</v>
      </c>
      <c r="K3" s="417"/>
      <c r="L3" s="418" t="s">
        <v>40</v>
      </c>
      <c r="M3" s="418" t="s">
        <v>0</v>
      </c>
      <c r="N3" s="420" t="s">
        <v>55</v>
      </c>
      <c r="O3" s="420"/>
      <c r="P3" s="420" t="s">
        <v>56</v>
      </c>
      <c r="Q3" s="420"/>
      <c r="R3" s="421" t="s">
        <v>57</v>
      </c>
      <c r="S3" s="421"/>
      <c r="T3" s="421" t="s">
        <v>58</v>
      </c>
      <c r="U3" s="421"/>
      <c r="V3" s="422" t="s">
        <v>59</v>
      </c>
      <c r="W3" s="424" t="s">
        <v>60</v>
      </c>
      <c r="X3" s="414" t="s">
        <v>38</v>
      </c>
    </row>
    <row r="4" spans="1:25" ht="19.899999999999999" customHeight="1">
      <c r="A4" s="64" t="s">
        <v>61</v>
      </c>
      <c r="B4" s="211"/>
      <c r="C4" s="211"/>
      <c r="D4" s="211"/>
      <c r="E4" s="211"/>
      <c r="F4" s="65" t="s">
        <v>62</v>
      </c>
      <c r="G4" s="65" t="s">
        <v>63</v>
      </c>
      <c r="H4" s="65" t="s">
        <v>64</v>
      </c>
      <c r="I4" s="65" t="s">
        <v>65</v>
      </c>
      <c r="J4" s="82" t="s">
        <v>66</v>
      </c>
      <c r="K4" s="82" t="s">
        <v>67</v>
      </c>
      <c r="L4" s="419"/>
      <c r="M4" s="419"/>
      <c r="N4" s="254" t="s">
        <v>68</v>
      </c>
      <c r="O4" s="66" t="s">
        <v>69</v>
      </c>
      <c r="P4" s="254" t="s">
        <v>70</v>
      </c>
      <c r="Q4" s="66" t="s">
        <v>69</v>
      </c>
      <c r="R4" s="66" t="s">
        <v>71</v>
      </c>
      <c r="S4" s="66" t="s">
        <v>69</v>
      </c>
      <c r="T4" s="66" t="s">
        <v>71</v>
      </c>
      <c r="U4" s="66" t="s">
        <v>69</v>
      </c>
      <c r="V4" s="423"/>
      <c r="W4" s="425"/>
      <c r="X4" s="415"/>
    </row>
    <row r="5" spans="1:25" s="87" customFormat="1" ht="38.1" customHeight="1">
      <c r="A5" s="67" t="str">
        <f t="shared" ref="A5:A19" si="0">F5&amp;G5&amp;H5&amp;I5</f>
        <v>L003</v>
      </c>
      <c r="B5" s="74"/>
      <c r="C5" s="74"/>
      <c r="D5" s="74"/>
      <c r="E5" s="74"/>
      <c r="F5" s="185"/>
      <c r="G5" s="186"/>
      <c r="H5" s="186"/>
      <c r="I5" s="185" t="s">
        <v>149</v>
      </c>
      <c r="J5" s="255" t="s">
        <v>219</v>
      </c>
      <c r="K5" s="256" t="s">
        <v>220</v>
      </c>
      <c r="L5" s="257" t="s">
        <v>150</v>
      </c>
      <c r="M5" s="404">
        <v>12</v>
      </c>
      <c r="N5" s="258"/>
      <c r="O5" s="79">
        <f t="shared" ref="O5:O8" si="1">SUM(N5:N5)*M5*$O$2</f>
        <v>0</v>
      </c>
      <c r="P5" s="78">
        <v>219321</v>
      </c>
      <c r="Q5" s="79">
        <f t="shared" ref="Q5:Q19" si="2">(P5*M5)*$Q$2</f>
        <v>2197596.42</v>
      </c>
      <c r="R5" s="187"/>
      <c r="S5" s="70">
        <f t="shared" ref="S5:S19" si="3">R5*M5*$S$2</f>
        <v>0</v>
      </c>
      <c r="T5" s="71"/>
      <c r="U5" s="70">
        <f t="shared" ref="U5:U19" si="4">T5*M5*$U$2</f>
        <v>0</v>
      </c>
      <c r="V5" s="71">
        <f t="shared" ref="V5:V19" si="5">SUM(O5+Q5)+S5+U5</f>
        <v>2197596.42</v>
      </c>
      <c r="W5" s="76"/>
      <c r="X5" s="72"/>
    </row>
    <row r="6" spans="1:25" s="87" customFormat="1" ht="38.1" customHeight="1">
      <c r="A6" s="67" t="str">
        <f t="shared" si="0"/>
        <v>M020450310340103</v>
      </c>
      <c r="B6" s="74"/>
      <c r="C6" s="74"/>
      <c r="D6" s="74"/>
      <c r="E6" s="74"/>
      <c r="F6" s="185"/>
      <c r="G6" s="186"/>
      <c r="H6" s="259" t="s">
        <v>221</v>
      </c>
      <c r="I6" s="185"/>
      <c r="J6" s="188" t="s">
        <v>222</v>
      </c>
      <c r="K6" s="188" t="s">
        <v>223</v>
      </c>
      <c r="L6" s="189" t="s">
        <v>151</v>
      </c>
      <c r="M6" s="405">
        <v>16.09</v>
      </c>
      <c r="N6" s="190">
        <v>36500</v>
      </c>
      <c r="O6" s="79">
        <f t="shared" ref="O6" si="6">SUM(N6:N6)*M6*$O$2</f>
        <v>490382.97499999998</v>
      </c>
      <c r="P6" s="78"/>
      <c r="Q6" s="70">
        <f t="shared" si="2"/>
        <v>0</v>
      </c>
      <c r="R6" s="71"/>
      <c r="S6" s="70">
        <f t="shared" si="3"/>
        <v>0</v>
      </c>
      <c r="T6" s="71"/>
      <c r="U6" s="70">
        <f t="shared" si="4"/>
        <v>0</v>
      </c>
      <c r="V6" s="71">
        <f t="shared" si="5"/>
        <v>490382.97499999998</v>
      </c>
      <c r="W6" s="76"/>
      <c r="X6" s="72"/>
    </row>
    <row r="7" spans="1:25" s="87" customFormat="1" ht="38.1" customHeight="1">
      <c r="A7" s="67" t="str">
        <f t="shared" si="0"/>
        <v>M020251411670101</v>
      </c>
      <c r="B7" s="74"/>
      <c r="C7" s="74"/>
      <c r="D7" s="74"/>
      <c r="E7" s="74"/>
      <c r="F7" s="191"/>
      <c r="G7" s="192"/>
      <c r="H7" s="259" t="s">
        <v>152</v>
      </c>
      <c r="I7" s="185"/>
      <c r="J7" s="188" t="s">
        <v>153</v>
      </c>
      <c r="K7" s="193" t="s">
        <v>224</v>
      </c>
      <c r="L7" s="188" t="s">
        <v>154</v>
      </c>
      <c r="M7" s="260">
        <v>32</v>
      </c>
      <c r="N7" s="190">
        <v>5000</v>
      </c>
      <c r="O7" s="79">
        <f t="shared" si="1"/>
        <v>133600</v>
      </c>
      <c r="P7" s="78"/>
      <c r="Q7" s="70">
        <f t="shared" si="2"/>
        <v>0</v>
      </c>
      <c r="R7" s="71"/>
      <c r="S7" s="70">
        <f t="shared" si="3"/>
        <v>0</v>
      </c>
      <c r="T7" s="71"/>
      <c r="U7" s="70">
        <f t="shared" si="4"/>
        <v>0</v>
      </c>
      <c r="V7" s="71">
        <f t="shared" si="5"/>
        <v>133600</v>
      </c>
      <c r="W7" s="76"/>
      <c r="X7" s="72"/>
      <c r="Y7" s="387"/>
    </row>
    <row r="8" spans="1:25" s="87" customFormat="1" ht="38.1" customHeight="1">
      <c r="A8" s="67" t="str">
        <f t="shared" si="0"/>
        <v>M020533113070101</v>
      </c>
      <c r="B8" s="74"/>
      <c r="C8" s="74"/>
      <c r="D8" s="74"/>
      <c r="E8" s="74"/>
      <c r="F8" s="185"/>
      <c r="G8" s="186"/>
      <c r="H8" s="259" t="s">
        <v>155</v>
      </c>
      <c r="I8" s="185"/>
      <c r="J8" s="189" t="s">
        <v>156</v>
      </c>
      <c r="K8" s="189" t="s">
        <v>157</v>
      </c>
      <c r="L8" s="194" t="s">
        <v>158</v>
      </c>
      <c r="M8" s="261">
        <v>24</v>
      </c>
      <c r="N8" s="195">
        <v>3400</v>
      </c>
      <c r="O8" s="79">
        <f t="shared" si="1"/>
        <v>68136</v>
      </c>
      <c r="P8" s="78"/>
      <c r="Q8" s="70">
        <f t="shared" si="2"/>
        <v>0</v>
      </c>
      <c r="R8" s="71"/>
      <c r="S8" s="70">
        <f t="shared" si="3"/>
        <v>0</v>
      </c>
      <c r="T8" s="71"/>
      <c r="U8" s="70">
        <f t="shared" si="4"/>
        <v>0</v>
      </c>
      <c r="V8" s="71">
        <f t="shared" si="5"/>
        <v>68136</v>
      </c>
      <c r="W8" s="76"/>
      <c r="X8" s="72"/>
    </row>
    <row r="9" spans="1:25" s="87" customFormat="1" ht="38.1" customHeight="1">
      <c r="A9" s="67" t="str">
        <f t="shared" si="0"/>
        <v>M020852810150101</v>
      </c>
      <c r="B9" s="74"/>
      <c r="C9" s="74"/>
      <c r="D9" s="74"/>
      <c r="E9" s="74"/>
      <c r="F9" s="73"/>
      <c r="G9" s="68"/>
      <c r="H9" s="68" t="s">
        <v>159</v>
      </c>
      <c r="I9" s="73"/>
      <c r="J9" s="69" t="s">
        <v>160</v>
      </c>
      <c r="K9" s="69" t="s">
        <v>161</v>
      </c>
      <c r="L9" s="77" t="s">
        <v>151</v>
      </c>
      <c r="M9" s="261">
        <v>5</v>
      </c>
      <c r="N9" s="80">
        <v>55000</v>
      </c>
      <c r="O9" s="79">
        <f t="shared" ref="O9" si="7">SUM(N9:N9)*M9*$O$2</f>
        <v>229625</v>
      </c>
      <c r="P9" s="78"/>
      <c r="Q9" s="70">
        <f t="shared" si="2"/>
        <v>0</v>
      </c>
      <c r="R9" s="71"/>
      <c r="S9" s="70">
        <f t="shared" si="3"/>
        <v>0</v>
      </c>
      <c r="T9" s="71"/>
      <c r="U9" s="70">
        <f t="shared" si="4"/>
        <v>0</v>
      </c>
      <c r="V9" s="71">
        <f t="shared" si="5"/>
        <v>229625</v>
      </c>
      <c r="W9" s="95"/>
      <c r="X9" s="72"/>
    </row>
    <row r="10" spans="1:25" s="87" customFormat="1" ht="38.1" customHeight="1">
      <c r="A10" s="67" t="str">
        <f t="shared" si="0"/>
        <v>M020750510120102</v>
      </c>
      <c r="B10" s="74"/>
      <c r="C10" s="74"/>
      <c r="D10" s="74"/>
      <c r="E10" s="74"/>
      <c r="F10" s="196"/>
      <c r="G10" s="197"/>
      <c r="H10" s="198" t="s">
        <v>162</v>
      </c>
      <c r="I10" s="197"/>
      <c r="J10" s="199" t="s">
        <v>225</v>
      </c>
      <c r="K10" s="199" t="s">
        <v>226</v>
      </c>
      <c r="L10" s="200" t="s">
        <v>163</v>
      </c>
      <c r="M10" s="262">
        <v>5</v>
      </c>
      <c r="N10" s="201">
        <v>6400</v>
      </c>
      <c r="O10" s="79">
        <f t="shared" ref="O10:O11" si="8">SUM(N10:N10)*M10*$O$2</f>
        <v>26720</v>
      </c>
      <c r="P10" s="202"/>
      <c r="Q10" s="79">
        <f t="shared" si="2"/>
        <v>0</v>
      </c>
      <c r="R10" s="187"/>
      <c r="S10" s="79">
        <f t="shared" si="3"/>
        <v>0</v>
      </c>
      <c r="T10" s="187"/>
      <c r="U10" s="79">
        <f t="shared" si="4"/>
        <v>0</v>
      </c>
      <c r="V10" s="103">
        <f t="shared" si="5"/>
        <v>26720</v>
      </c>
      <c r="W10" s="203"/>
      <c r="X10" s="72"/>
    </row>
    <row r="11" spans="1:25" s="87" customFormat="1" ht="38.1" customHeight="1">
      <c r="A11" s="67" t="str">
        <f t="shared" si="0"/>
        <v>M020750510130104</v>
      </c>
      <c r="B11" s="74"/>
      <c r="C11" s="74"/>
      <c r="D11" s="74"/>
      <c r="E11" s="74"/>
      <c r="F11" s="196"/>
      <c r="G11" s="198"/>
      <c r="H11" s="198" t="s">
        <v>164</v>
      </c>
      <c r="I11" s="198"/>
      <c r="J11" s="199" t="s">
        <v>165</v>
      </c>
      <c r="K11" s="199" t="s">
        <v>166</v>
      </c>
      <c r="L11" s="200" t="s">
        <v>163</v>
      </c>
      <c r="M11" s="263">
        <v>5</v>
      </c>
      <c r="N11" s="201">
        <v>12000</v>
      </c>
      <c r="O11" s="79">
        <f t="shared" si="8"/>
        <v>50100</v>
      </c>
      <c r="P11" s="202"/>
      <c r="Q11" s="79">
        <f t="shared" si="2"/>
        <v>0</v>
      </c>
      <c r="R11" s="187"/>
      <c r="S11" s="79">
        <f t="shared" si="3"/>
        <v>0</v>
      </c>
      <c r="T11" s="187"/>
      <c r="U11" s="79">
        <f t="shared" si="4"/>
        <v>0</v>
      </c>
      <c r="V11" s="103">
        <f t="shared" si="5"/>
        <v>50100</v>
      </c>
      <c r="W11" s="203"/>
      <c r="X11" s="72"/>
    </row>
    <row r="12" spans="1:25" s="87" customFormat="1" ht="38.1" customHeight="1">
      <c r="A12" s="67" t="str">
        <f t="shared" si="0"/>
        <v>M020690710060101</v>
      </c>
      <c r="B12" s="74"/>
      <c r="C12" s="74"/>
      <c r="D12" s="74"/>
      <c r="E12" s="74"/>
      <c r="F12" s="96"/>
      <c r="G12" s="97"/>
      <c r="H12" s="259" t="s">
        <v>168</v>
      </c>
      <c r="I12" s="96"/>
      <c r="J12" s="189" t="s">
        <v>167</v>
      </c>
      <c r="K12" s="189" t="s">
        <v>169</v>
      </c>
      <c r="L12" s="189" t="s">
        <v>163</v>
      </c>
      <c r="M12" s="101">
        <v>3</v>
      </c>
      <c r="N12" s="207">
        <v>9200</v>
      </c>
      <c r="O12" s="79">
        <f t="shared" ref="O12:O19" si="9">SUM(N12:N12)*M12*$O$2</f>
        <v>23046</v>
      </c>
      <c r="P12" s="78"/>
      <c r="Q12" s="70">
        <f t="shared" si="2"/>
        <v>0</v>
      </c>
      <c r="R12" s="71"/>
      <c r="S12" s="70">
        <f t="shared" si="3"/>
        <v>0</v>
      </c>
      <c r="T12" s="71"/>
      <c r="U12" s="70">
        <f t="shared" si="4"/>
        <v>0</v>
      </c>
      <c r="V12" s="71">
        <f t="shared" si="5"/>
        <v>23046</v>
      </c>
      <c r="W12" s="76"/>
      <c r="X12" s="72"/>
    </row>
    <row r="13" spans="1:25" s="87" customFormat="1" ht="38.1" customHeight="1">
      <c r="A13" s="67" t="str">
        <f t="shared" si="0"/>
        <v>M020850811250101</v>
      </c>
      <c r="B13" s="74"/>
      <c r="C13" s="74"/>
      <c r="D13" s="74"/>
      <c r="E13" s="74"/>
      <c r="F13" s="73"/>
      <c r="G13" s="68"/>
      <c r="H13" s="68" t="s">
        <v>227</v>
      </c>
      <c r="I13" s="73"/>
      <c r="J13" s="264" t="s">
        <v>228</v>
      </c>
      <c r="K13" s="264" t="s">
        <v>229</v>
      </c>
      <c r="L13" s="77" t="s">
        <v>230</v>
      </c>
      <c r="M13" s="262">
        <v>12</v>
      </c>
      <c r="N13" s="80">
        <v>45000</v>
      </c>
      <c r="O13" s="79">
        <f t="shared" si="9"/>
        <v>450900</v>
      </c>
      <c r="P13" s="78"/>
      <c r="Q13" s="79">
        <f t="shared" si="2"/>
        <v>0</v>
      </c>
      <c r="R13" s="187"/>
      <c r="S13" s="79">
        <f t="shared" si="3"/>
        <v>0</v>
      </c>
      <c r="T13" s="187"/>
      <c r="U13" s="79">
        <f t="shared" si="4"/>
        <v>0</v>
      </c>
      <c r="V13" s="71">
        <f t="shared" si="5"/>
        <v>450900</v>
      </c>
      <c r="W13" s="76"/>
      <c r="X13" s="72"/>
    </row>
    <row r="14" spans="1:25" s="87" customFormat="1" ht="38.1" customHeight="1">
      <c r="A14" s="67">
        <v>999999</v>
      </c>
      <c r="B14" s="74"/>
      <c r="C14" s="74"/>
      <c r="D14" s="74"/>
      <c r="E14" s="74"/>
      <c r="F14" s="96"/>
      <c r="G14" s="97"/>
      <c r="H14" s="98"/>
      <c r="I14" s="96"/>
      <c r="J14" s="265" t="s">
        <v>231</v>
      </c>
      <c r="K14" s="99" t="s">
        <v>232</v>
      </c>
      <c r="L14" s="100" t="s">
        <v>233</v>
      </c>
      <c r="M14" s="101">
        <v>1</v>
      </c>
      <c r="N14" s="102">
        <v>23637</v>
      </c>
      <c r="O14" s="79">
        <f>M14*N14</f>
        <v>23637</v>
      </c>
      <c r="P14" s="78"/>
      <c r="Q14" s="70">
        <f t="shared" si="2"/>
        <v>0</v>
      </c>
      <c r="R14" s="71"/>
      <c r="S14" s="70">
        <f t="shared" si="3"/>
        <v>0</v>
      </c>
      <c r="T14" s="71"/>
      <c r="U14" s="70">
        <f t="shared" si="4"/>
        <v>0</v>
      </c>
      <c r="V14" s="71">
        <f t="shared" si="5"/>
        <v>23637</v>
      </c>
      <c r="W14" s="76"/>
      <c r="X14" s="72"/>
    </row>
    <row r="15" spans="1:25" s="87" customFormat="1" ht="38.1" customHeight="1">
      <c r="A15" s="67">
        <v>999999</v>
      </c>
      <c r="B15" s="74"/>
      <c r="C15" s="74"/>
      <c r="D15" s="74"/>
      <c r="E15" s="74"/>
      <c r="F15" s="96"/>
      <c r="G15" s="97"/>
      <c r="H15" s="98"/>
      <c r="I15" s="96"/>
      <c r="J15" s="265" t="s">
        <v>234</v>
      </c>
      <c r="K15" s="99" t="s">
        <v>235</v>
      </c>
      <c r="L15" s="100" t="s">
        <v>236</v>
      </c>
      <c r="M15" s="101">
        <v>1</v>
      </c>
      <c r="N15" s="102">
        <v>300000</v>
      </c>
      <c r="O15" s="79">
        <f>M15*N15</f>
        <v>300000</v>
      </c>
      <c r="P15" s="78"/>
      <c r="Q15" s="70">
        <f t="shared" si="2"/>
        <v>0</v>
      </c>
      <c r="R15" s="71"/>
      <c r="S15" s="70">
        <f t="shared" si="3"/>
        <v>0</v>
      </c>
      <c r="T15" s="71"/>
      <c r="U15" s="70">
        <f t="shared" si="4"/>
        <v>0</v>
      </c>
      <c r="V15" s="71">
        <f t="shared" si="5"/>
        <v>300000</v>
      </c>
      <c r="W15" s="76"/>
      <c r="X15" s="72"/>
    </row>
    <row r="16" spans="1:25" s="87" customFormat="1" ht="38.1" customHeight="1">
      <c r="A16" s="67">
        <v>999999</v>
      </c>
      <c r="B16" s="74"/>
      <c r="C16" s="74"/>
      <c r="D16" s="74"/>
      <c r="E16" s="74"/>
      <c r="F16" s="96"/>
      <c r="G16" s="97"/>
      <c r="H16" s="98"/>
      <c r="I16" s="96"/>
      <c r="J16" s="265" t="s">
        <v>237</v>
      </c>
      <c r="K16" s="99" t="s">
        <v>238</v>
      </c>
      <c r="L16" s="100" t="s">
        <v>236</v>
      </c>
      <c r="M16" s="101">
        <v>1</v>
      </c>
      <c r="N16" s="102">
        <v>13637</v>
      </c>
      <c r="O16" s="79">
        <f>M16*N16</f>
        <v>13637</v>
      </c>
      <c r="P16" s="78"/>
      <c r="Q16" s="70">
        <f t="shared" si="2"/>
        <v>0</v>
      </c>
      <c r="R16" s="71"/>
      <c r="S16" s="70">
        <f t="shared" si="3"/>
        <v>0</v>
      </c>
      <c r="T16" s="71"/>
      <c r="U16" s="70">
        <f t="shared" si="4"/>
        <v>0</v>
      </c>
      <c r="V16" s="71">
        <f t="shared" si="5"/>
        <v>13637</v>
      </c>
      <c r="W16" s="76"/>
      <c r="X16" s="72"/>
    </row>
    <row r="17" spans="1:24" s="87" customFormat="1" ht="38.1" customHeight="1">
      <c r="A17" s="67">
        <v>999999</v>
      </c>
      <c r="B17" s="74"/>
      <c r="C17" s="74"/>
      <c r="D17" s="74"/>
      <c r="E17" s="74"/>
      <c r="F17" s="96"/>
      <c r="G17" s="97"/>
      <c r="H17" s="98"/>
      <c r="I17" s="96"/>
      <c r="J17" s="265" t="s">
        <v>239</v>
      </c>
      <c r="K17" s="99" t="s">
        <v>240</v>
      </c>
      <c r="L17" s="100" t="s">
        <v>236</v>
      </c>
      <c r="M17" s="101">
        <v>1</v>
      </c>
      <c r="N17" s="102">
        <v>6819</v>
      </c>
      <c r="O17" s="79">
        <f>M17*N17</f>
        <v>6819</v>
      </c>
      <c r="P17" s="78"/>
      <c r="Q17" s="70">
        <f t="shared" si="2"/>
        <v>0</v>
      </c>
      <c r="R17" s="71"/>
      <c r="S17" s="70">
        <f t="shared" si="3"/>
        <v>0</v>
      </c>
      <c r="T17" s="71"/>
      <c r="U17" s="70">
        <f t="shared" si="4"/>
        <v>0</v>
      </c>
      <c r="V17" s="71">
        <f t="shared" si="5"/>
        <v>6819</v>
      </c>
      <c r="W17" s="76"/>
      <c r="X17" s="72"/>
    </row>
    <row r="18" spans="1:24" s="87" customFormat="1" ht="38.1" customHeight="1">
      <c r="A18" s="67" t="str">
        <f t="shared" si="0"/>
        <v/>
      </c>
      <c r="B18" s="74"/>
      <c r="C18" s="74"/>
      <c r="D18" s="74"/>
      <c r="E18" s="74"/>
      <c r="F18" s="96"/>
      <c r="G18" s="97"/>
      <c r="H18" s="98"/>
      <c r="I18" s="96"/>
      <c r="J18" s="99"/>
      <c r="K18" s="99"/>
      <c r="L18" s="100"/>
      <c r="M18" s="101"/>
      <c r="N18" s="102"/>
      <c r="O18" s="79">
        <f t="shared" si="9"/>
        <v>0</v>
      </c>
      <c r="P18" s="78"/>
      <c r="Q18" s="70">
        <f t="shared" si="2"/>
        <v>0</v>
      </c>
      <c r="R18" s="71"/>
      <c r="S18" s="70">
        <f t="shared" si="3"/>
        <v>0</v>
      </c>
      <c r="T18" s="71"/>
      <c r="U18" s="70">
        <f t="shared" si="4"/>
        <v>0</v>
      </c>
      <c r="V18" s="71">
        <f t="shared" si="5"/>
        <v>0</v>
      </c>
      <c r="W18" s="76"/>
      <c r="X18" s="72"/>
    </row>
    <row r="19" spans="1:24" s="87" customFormat="1" ht="38.1" customHeight="1">
      <c r="A19" s="67" t="str">
        <f t="shared" si="0"/>
        <v/>
      </c>
      <c r="B19" s="74"/>
      <c r="C19" s="74"/>
      <c r="D19" s="74"/>
      <c r="E19" s="74"/>
      <c r="F19" s="96"/>
      <c r="G19" s="97"/>
      <c r="H19" s="98"/>
      <c r="I19" s="96"/>
      <c r="J19" s="99"/>
      <c r="K19" s="99"/>
      <c r="L19" s="100"/>
      <c r="M19" s="101"/>
      <c r="N19" s="102"/>
      <c r="O19" s="79">
        <f t="shared" si="9"/>
        <v>0</v>
      </c>
      <c r="P19" s="78"/>
      <c r="Q19" s="70">
        <f t="shared" si="2"/>
        <v>0</v>
      </c>
      <c r="R19" s="71"/>
      <c r="S19" s="70">
        <f t="shared" si="3"/>
        <v>0</v>
      </c>
      <c r="T19" s="71"/>
      <c r="U19" s="70">
        <f t="shared" si="4"/>
        <v>0</v>
      </c>
      <c r="V19" s="71">
        <f t="shared" si="5"/>
        <v>0</v>
      </c>
      <c r="W19" s="76"/>
      <c r="X19" s="72"/>
    </row>
    <row r="20" spans="1:24" s="93" customFormat="1" ht="38.1" customHeight="1">
      <c r="A20" s="88"/>
      <c r="B20" s="89"/>
      <c r="C20" s="89"/>
      <c r="D20" s="89"/>
      <c r="E20" s="89"/>
      <c r="F20" s="89"/>
      <c r="G20" s="89"/>
      <c r="H20" s="89"/>
      <c r="I20" s="89"/>
      <c r="J20" s="83"/>
      <c r="K20" s="83"/>
      <c r="L20" s="89"/>
      <c r="M20" s="89"/>
      <c r="N20" s="89"/>
      <c r="O20" s="406">
        <f>SUM(O5:O19)</f>
        <v>1816602.9750000001</v>
      </c>
      <c r="P20" s="91"/>
      <c r="Q20" s="406">
        <f>SUM(Q5:Q19)</f>
        <v>2197596.42</v>
      </c>
      <c r="R20" s="91"/>
      <c r="S20" s="90">
        <f>SUM(S5:S19)</f>
        <v>0</v>
      </c>
      <c r="T20" s="91"/>
      <c r="U20" s="90">
        <f>SUM(U5:U19)</f>
        <v>0</v>
      </c>
      <c r="V20" s="92">
        <f>SUM(V5:V19)</f>
        <v>4014199.395</v>
      </c>
      <c r="W20" s="75"/>
      <c r="X20" s="89"/>
    </row>
  </sheetData>
  <mergeCells count="12">
    <mergeCell ref="X3:X4"/>
    <mergeCell ref="A1:I1"/>
    <mergeCell ref="A2:I2"/>
    <mergeCell ref="J3:K3"/>
    <mergeCell ref="L3:L4"/>
    <mergeCell ref="M3:M4"/>
    <mergeCell ref="N3:O3"/>
    <mergeCell ref="P3:Q3"/>
    <mergeCell ref="R3:S3"/>
    <mergeCell ref="T3:U3"/>
    <mergeCell ref="V3:V4"/>
    <mergeCell ref="W3:W4"/>
  </mergeCells>
  <phoneticPr fontId="9"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F8C-B206-47D6-821A-8A49FD6A6D5B}">
  <sheetPr>
    <pageSetUpPr fitToPage="1"/>
  </sheetPr>
  <dimension ref="B1:AE49"/>
  <sheetViews>
    <sheetView showZeros="0" tabSelected="1" zoomScale="40" zoomScaleNormal="40" workbookViewId="0">
      <pane ySplit="5" topLeftCell="A38" activePane="bottomLeft" state="frozen"/>
      <selection pane="bottomLeft" activeCell="P47" sqref="P47"/>
    </sheetView>
  </sheetViews>
  <sheetFormatPr defaultRowHeight="16.5"/>
  <cols>
    <col min="1" max="1" width="1.625" customWidth="1"/>
    <col min="2" max="2" width="12" style="113" customWidth="1"/>
    <col min="3" max="3" width="11.375" style="113" bestFit="1" customWidth="1"/>
    <col min="4" max="4" width="15.25" style="113" customWidth="1"/>
    <col min="5" max="5" width="12.75" style="113" customWidth="1"/>
    <col min="6" max="6" width="11.125" style="113" bestFit="1" customWidth="1"/>
    <col min="7" max="7" width="12.75" style="113" customWidth="1"/>
    <col min="8" max="8" width="11.125" style="113" bestFit="1" customWidth="1"/>
    <col min="9" max="9" width="22.375" style="113" bestFit="1" customWidth="1"/>
    <col min="10" max="10" width="25.75" style="113" bestFit="1" customWidth="1"/>
    <col min="11" max="11" width="9.75" style="113" bestFit="1" customWidth="1"/>
    <col min="12" max="12" width="8" style="113" bestFit="1" customWidth="1"/>
    <col min="13" max="13" width="11.75" style="113" bestFit="1" customWidth="1"/>
    <col min="14" max="14" width="73.25" style="113" bestFit="1" customWidth="1"/>
    <col min="15" max="15" width="20.625" style="113" bestFit="1" customWidth="1"/>
    <col min="16" max="16" width="18" style="113" bestFit="1" customWidth="1"/>
    <col min="17" max="17" width="11.75" style="113" bestFit="1" customWidth="1"/>
    <col min="18" max="18" width="19.875" style="113" bestFit="1" customWidth="1"/>
    <col min="19" max="19" width="17.375" style="113" customWidth="1"/>
    <col min="20" max="20" width="13.375" style="113" bestFit="1" customWidth="1"/>
    <col min="21" max="21" width="13.375" style="113" customWidth="1"/>
    <col min="22" max="22" width="22.625" style="113" bestFit="1" customWidth="1"/>
    <col min="23" max="24" width="22.625" style="113" customWidth="1"/>
    <col min="25" max="25" width="14.5" style="113" customWidth="1"/>
    <col min="26" max="26" width="24.5" customWidth="1"/>
    <col min="27" max="27" width="1.625" customWidth="1"/>
    <col min="30" max="30" width="16.375" bestFit="1" customWidth="1"/>
  </cols>
  <sheetData>
    <row r="1" spans="2:26" s="104" customFormat="1" ht="9.9499999999999993" customHeight="1"/>
    <row r="2" spans="2:26" s="104" customFormat="1" ht="47.25" thickBot="1">
      <c r="B2" s="239" t="s">
        <v>101</v>
      </c>
      <c r="C2" s="235" t="s">
        <v>102</v>
      </c>
      <c r="D2" s="236" t="s">
        <v>103</v>
      </c>
      <c r="E2" s="237" t="s">
        <v>104</v>
      </c>
      <c r="F2" s="237" t="s">
        <v>105</v>
      </c>
      <c r="G2" s="237" t="s">
        <v>106</v>
      </c>
      <c r="H2" s="237" t="s">
        <v>107</v>
      </c>
      <c r="I2" s="237"/>
      <c r="J2" s="237"/>
      <c r="K2" s="235" t="s">
        <v>73</v>
      </c>
      <c r="L2" s="235">
        <v>201</v>
      </c>
      <c r="M2" s="236" t="s">
        <v>74</v>
      </c>
      <c r="N2" s="238" t="s">
        <v>75</v>
      </c>
      <c r="O2" s="331"/>
      <c r="P2" s="332" t="s">
        <v>180</v>
      </c>
      <c r="Q2" s="105"/>
      <c r="R2" s="402"/>
      <c r="S2" s="403" t="s">
        <v>252</v>
      </c>
      <c r="T2" s="105"/>
      <c r="U2" s="105"/>
      <c r="V2" s="105"/>
      <c r="W2" s="105"/>
      <c r="X2" s="105"/>
      <c r="Y2" s="105"/>
      <c r="Z2" s="106"/>
    </row>
    <row r="3" spans="2:26" s="104" customFormat="1" ht="39" customHeight="1">
      <c r="B3" s="439" t="s">
        <v>108</v>
      </c>
      <c r="C3" s="433" t="s">
        <v>109</v>
      </c>
      <c r="D3" s="441" t="s">
        <v>116</v>
      </c>
      <c r="E3" s="443" t="s">
        <v>76</v>
      </c>
      <c r="F3" s="443"/>
      <c r="G3" s="443" t="s">
        <v>77</v>
      </c>
      <c r="H3" s="443"/>
      <c r="I3" s="107" t="s">
        <v>130</v>
      </c>
      <c r="J3" s="107" t="s">
        <v>131</v>
      </c>
      <c r="K3" s="433" t="s">
        <v>78</v>
      </c>
      <c r="L3" s="433" t="s">
        <v>79</v>
      </c>
      <c r="M3" s="433" t="s">
        <v>80</v>
      </c>
      <c r="N3" s="433" t="s">
        <v>81</v>
      </c>
      <c r="O3" s="435" t="s">
        <v>120</v>
      </c>
      <c r="P3" s="428" t="s">
        <v>117</v>
      </c>
      <c r="Q3" s="429"/>
      <c r="R3" s="429"/>
      <c r="S3" s="429"/>
      <c r="T3" s="429"/>
      <c r="U3" s="429"/>
      <c r="V3" s="429"/>
      <c r="W3" s="429"/>
      <c r="X3" s="429"/>
      <c r="Y3" s="430"/>
      <c r="Z3" s="437" t="s">
        <v>115</v>
      </c>
    </row>
    <row r="4" spans="2:26" s="104" customFormat="1" ht="77.25" thickBot="1">
      <c r="B4" s="440"/>
      <c r="C4" s="434"/>
      <c r="D4" s="442"/>
      <c r="E4" s="108" t="s">
        <v>110</v>
      </c>
      <c r="F4" s="109" t="s">
        <v>111</v>
      </c>
      <c r="G4" s="108" t="s">
        <v>110</v>
      </c>
      <c r="H4" s="109" t="s">
        <v>111</v>
      </c>
      <c r="I4" s="110" t="s">
        <v>112</v>
      </c>
      <c r="J4" s="110" t="s">
        <v>113</v>
      </c>
      <c r="K4" s="434"/>
      <c r="L4" s="434"/>
      <c r="M4" s="434"/>
      <c r="N4" s="434"/>
      <c r="O4" s="436"/>
      <c r="P4" s="212" t="s">
        <v>132</v>
      </c>
      <c r="Q4" s="213" t="s">
        <v>133</v>
      </c>
      <c r="R4" s="213" t="s">
        <v>134</v>
      </c>
      <c r="S4" s="213" t="s">
        <v>172</v>
      </c>
      <c r="T4" s="213" t="s">
        <v>173</v>
      </c>
      <c r="U4" s="213" t="s">
        <v>170</v>
      </c>
      <c r="V4" s="214" t="s">
        <v>171</v>
      </c>
      <c r="W4" s="281" t="s">
        <v>246</v>
      </c>
      <c r="X4" s="214" t="s">
        <v>245</v>
      </c>
      <c r="Y4" s="214" t="s">
        <v>244</v>
      </c>
      <c r="Z4" s="438"/>
    </row>
    <row r="5" spans="2:26" s="113" customFormat="1" ht="41.25">
      <c r="B5" s="393" t="s">
        <v>148</v>
      </c>
      <c r="C5" s="162"/>
      <c r="D5" s="163"/>
      <c r="E5" s="112"/>
      <c r="F5" s="112"/>
      <c r="G5" s="112"/>
      <c r="H5" s="112"/>
      <c r="I5" s="112"/>
      <c r="J5" s="112"/>
      <c r="K5" s="111"/>
      <c r="L5" s="111"/>
      <c r="M5" s="111"/>
      <c r="N5" s="111"/>
      <c r="O5" s="111"/>
      <c r="P5" s="111"/>
      <c r="Q5" s="111"/>
      <c r="R5" s="111"/>
      <c r="S5" s="111"/>
      <c r="T5" s="111"/>
      <c r="U5" s="111"/>
      <c r="V5" s="282"/>
      <c r="W5" s="283"/>
      <c r="X5" s="283"/>
      <c r="Y5" s="284"/>
      <c r="Z5" s="218"/>
    </row>
    <row r="6" spans="2:26" s="171" customFormat="1" ht="96">
      <c r="B6" s="164">
        <v>1</v>
      </c>
      <c r="C6" s="114" t="s">
        <v>114</v>
      </c>
      <c r="D6" s="227">
        <v>2</v>
      </c>
      <c r="E6" s="165">
        <v>45679</v>
      </c>
      <c r="F6" s="166">
        <v>0.375</v>
      </c>
      <c r="G6" s="165">
        <v>45679</v>
      </c>
      <c r="H6" s="167">
        <v>0.69444444444444453</v>
      </c>
      <c r="I6" s="168">
        <f t="shared" ref="I6:I24" si="0">H6-F6</f>
        <v>0.31944444444444453</v>
      </c>
      <c r="J6" s="169">
        <f t="shared" ref="J6:J17" si="1">I6*D6</f>
        <v>0.63888888888888906</v>
      </c>
      <c r="K6" s="115" t="s">
        <v>83</v>
      </c>
      <c r="L6" s="116" t="s">
        <v>84</v>
      </c>
      <c r="M6" s="117" t="s">
        <v>85</v>
      </c>
      <c r="N6" s="170" t="s">
        <v>86</v>
      </c>
      <c r="O6" s="360">
        <v>2</v>
      </c>
      <c r="P6" s="361"/>
      <c r="Q6" s="361">
        <v>4</v>
      </c>
      <c r="R6" s="361"/>
      <c r="S6" s="361"/>
      <c r="T6" s="361"/>
      <c r="U6" s="361"/>
      <c r="V6" s="362"/>
      <c r="W6" s="362"/>
      <c r="X6" s="362"/>
      <c r="Y6" s="363"/>
      <c r="Z6" s="219"/>
    </row>
    <row r="7" spans="2:26" s="171" customFormat="1" ht="96">
      <c r="B7" s="172">
        <v>2</v>
      </c>
      <c r="C7" s="118" t="s">
        <v>114</v>
      </c>
      <c r="D7" s="228">
        <v>2</v>
      </c>
      <c r="E7" s="173">
        <v>45680</v>
      </c>
      <c r="F7" s="166">
        <v>0.375</v>
      </c>
      <c r="G7" s="173">
        <v>45680</v>
      </c>
      <c r="H7" s="166">
        <v>0.6875</v>
      </c>
      <c r="I7" s="174">
        <f t="shared" si="0"/>
        <v>0.3125</v>
      </c>
      <c r="J7" s="175">
        <f t="shared" si="1"/>
        <v>0.625</v>
      </c>
      <c r="K7" s="120" t="s">
        <v>87</v>
      </c>
      <c r="L7" s="121" t="s">
        <v>88</v>
      </c>
      <c r="M7" s="122" t="s">
        <v>85</v>
      </c>
      <c r="N7" s="176" t="s">
        <v>119</v>
      </c>
      <c r="O7" s="364">
        <v>2</v>
      </c>
      <c r="P7" s="348" t="s">
        <v>82</v>
      </c>
      <c r="Q7" s="348">
        <v>2</v>
      </c>
      <c r="R7" s="348">
        <v>3</v>
      </c>
      <c r="S7" s="348"/>
      <c r="T7" s="348"/>
      <c r="U7" s="348"/>
      <c r="V7" s="350"/>
      <c r="W7" s="350"/>
      <c r="X7" s="350"/>
      <c r="Y7" s="351"/>
      <c r="Z7" s="220" t="s">
        <v>118</v>
      </c>
    </row>
    <row r="8" spans="2:26" s="171" customFormat="1" ht="96">
      <c r="B8" s="172">
        <v>3</v>
      </c>
      <c r="C8" s="118" t="s">
        <v>114</v>
      </c>
      <c r="D8" s="228">
        <v>2</v>
      </c>
      <c r="E8" s="173">
        <v>45681</v>
      </c>
      <c r="F8" s="166">
        <v>0.375</v>
      </c>
      <c r="G8" s="173">
        <v>45681</v>
      </c>
      <c r="H8" s="166">
        <v>0.69444444444444442</v>
      </c>
      <c r="I8" s="174">
        <f t="shared" si="0"/>
        <v>0.31944444444444442</v>
      </c>
      <c r="J8" s="175">
        <f t="shared" si="1"/>
        <v>0.63888888888888884</v>
      </c>
      <c r="K8" s="120" t="s">
        <v>125</v>
      </c>
      <c r="L8" s="121" t="s">
        <v>89</v>
      </c>
      <c r="M8" s="122" t="s">
        <v>85</v>
      </c>
      <c r="N8" s="176" t="s">
        <v>122</v>
      </c>
      <c r="O8" s="365">
        <v>2</v>
      </c>
      <c r="P8" s="366"/>
      <c r="Q8" s="366"/>
      <c r="R8" s="366" t="s">
        <v>82</v>
      </c>
      <c r="S8" s="366"/>
      <c r="T8" s="366"/>
      <c r="U8" s="366"/>
      <c r="V8" s="367"/>
      <c r="W8" s="367"/>
      <c r="X8" s="367"/>
      <c r="Y8" s="368"/>
      <c r="Z8" s="221" t="s">
        <v>82</v>
      </c>
    </row>
    <row r="9" spans="2:26" s="171" customFormat="1" ht="72">
      <c r="B9" s="172">
        <v>4</v>
      </c>
      <c r="C9" s="118" t="s">
        <v>114</v>
      </c>
      <c r="D9" s="228">
        <v>2</v>
      </c>
      <c r="E9" s="173">
        <v>45691</v>
      </c>
      <c r="F9" s="166">
        <v>0.375</v>
      </c>
      <c r="G9" s="173">
        <v>45691</v>
      </c>
      <c r="H9" s="166">
        <v>0.6875</v>
      </c>
      <c r="I9" s="174">
        <f t="shared" si="0"/>
        <v>0.3125</v>
      </c>
      <c r="J9" s="175">
        <f t="shared" si="1"/>
        <v>0.625</v>
      </c>
      <c r="K9" s="120" t="s">
        <v>126</v>
      </c>
      <c r="L9" s="121" t="s">
        <v>90</v>
      </c>
      <c r="M9" s="122" t="s">
        <v>85</v>
      </c>
      <c r="N9" s="178" t="s">
        <v>91</v>
      </c>
      <c r="O9" s="365">
        <v>2</v>
      </c>
      <c r="P9" s="366"/>
      <c r="Q9" s="366"/>
      <c r="R9" s="366"/>
      <c r="S9" s="366"/>
      <c r="T9" s="366"/>
      <c r="U9" s="366"/>
      <c r="V9" s="367"/>
      <c r="W9" s="367"/>
      <c r="X9" s="367"/>
      <c r="Y9" s="368"/>
      <c r="Z9" s="221" t="s">
        <v>82</v>
      </c>
    </row>
    <row r="10" spans="2:26" s="171" customFormat="1" ht="96">
      <c r="B10" s="172">
        <v>5</v>
      </c>
      <c r="C10" s="118" t="s">
        <v>114</v>
      </c>
      <c r="D10" s="229">
        <v>2</v>
      </c>
      <c r="E10" s="173">
        <v>45692</v>
      </c>
      <c r="F10" s="166">
        <v>0.375</v>
      </c>
      <c r="G10" s="173">
        <v>45692</v>
      </c>
      <c r="H10" s="166">
        <v>0.6875</v>
      </c>
      <c r="I10" s="174">
        <f t="shared" si="0"/>
        <v>0.3125</v>
      </c>
      <c r="J10" s="175">
        <f t="shared" si="1"/>
        <v>0.625</v>
      </c>
      <c r="K10" s="120" t="s">
        <v>127</v>
      </c>
      <c r="L10" s="121" t="s">
        <v>123</v>
      </c>
      <c r="M10" s="122" t="s">
        <v>85</v>
      </c>
      <c r="N10" s="178" t="s">
        <v>92</v>
      </c>
      <c r="O10" s="369">
        <v>1.5</v>
      </c>
      <c r="P10" s="348">
        <v>7</v>
      </c>
      <c r="Q10" s="348"/>
      <c r="R10" s="348"/>
      <c r="S10" s="348">
        <v>1</v>
      </c>
      <c r="T10" s="348"/>
      <c r="U10" s="348"/>
      <c r="V10" s="350">
        <v>1</v>
      </c>
      <c r="W10" s="350"/>
      <c r="X10" s="350"/>
      <c r="Y10" s="351"/>
      <c r="Z10" s="220" t="s">
        <v>82</v>
      </c>
    </row>
    <row r="11" spans="2:26" s="171" customFormat="1" ht="72">
      <c r="B11" s="172">
        <v>6</v>
      </c>
      <c r="C11" s="118" t="s">
        <v>114</v>
      </c>
      <c r="D11" s="229">
        <v>2</v>
      </c>
      <c r="E11" s="173">
        <v>45694</v>
      </c>
      <c r="F11" s="166">
        <v>0.375</v>
      </c>
      <c r="G11" s="173">
        <v>45694</v>
      </c>
      <c r="H11" s="166">
        <v>0.6875</v>
      </c>
      <c r="I11" s="174">
        <f t="shared" si="0"/>
        <v>0.3125</v>
      </c>
      <c r="J11" s="175">
        <f t="shared" si="1"/>
        <v>0.625</v>
      </c>
      <c r="K11" s="120">
        <v>8</v>
      </c>
      <c r="L11" s="121" t="s">
        <v>93</v>
      </c>
      <c r="M11" s="122" t="s">
        <v>85</v>
      </c>
      <c r="N11" s="178" t="s">
        <v>94</v>
      </c>
      <c r="O11" s="369">
        <v>1.5</v>
      </c>
      <c r="P11" s="348">
        <v>7</v>
      </c>
      <c r="Q11" s="348">
        <v>7</v>
      </c>
      <c r="R11" s="348"/>
      <c r="S11" s="348"/>
      <c r="T11" s="348"/>
      <c r="U11" s="348"/>
      <c r="V11" s="350"/>
      <c r="W11" s="350"/>
      <c r="X11" s="350"/>
      <c r="Y11" s="351"/>
      <c r="Z11" s="220" t="s">
        <v>82</v>
      </c>
    </row>
    <row r="12" spans="2:26" s="171" customFormat="1" ht="72.75" thickBot="1">
      <c r="B12" s="179">
        <v>7</v>
      </c>
      <c r="C12" s="125" t="s">
        <v>114</v>
      </c>
      <c r="D12" s="230">
        <v>2</v>
      </c>
      <c r="E12" s="180">
        <v>45695</v>
      </c>
      <c r="F12" s="181">
        <v>0.375</v>
      </c>
      <c r="G12" s="180">
        <v>45695</v>
      </c>
      <c r="H12" s="181">
        <v>0.6875</v>
      </c>
      <c r="I12" s="182">
        <f t="shared" si="0"/>
        <v>0.3125</v>
      </c>
      <c r="J12" s="183">
        <f t="shared" si="1"/>
        <v>0.625</v>
      </c>
      <c r="K12" s="126" t="s">
        <v>128</v>
      </c>
      <c r="L12" s="127" t="s">
        <v>95</v>
      </c>
      <c r="M12" s="128" t="s">
        <v>85</v>
      </c>
      <c r="N12" s="184" t="s">
        <v>96</v>
      </c>
      <c r="O12" s="370">
        <v>1.5</v>
      </c>
      <c r="P12" s="348">
        <v>7</v>
      </c>
      <c r="Q12" s="348" t="s">
        <v>82</v>
      </c>
      <c r="R12" s="348"/>
      <c r="S12" s="348"/>
      <c r="T12" s="348"/>
      <c r="U12" s="348"/>
      <c r="V12" s="350"/>
      <c r="W12" s="350"/>
      <c r="X12" s="350"/>
      <c r="Y12" s="351"/>
      <c r="Z12" s="220" t="s">
        <v>175</v>
      </c>
    </row>
    <row r="13" spans="2:26" s="113" customFormat="1" ht="72.75" thickTop="1">
      <c r="B13" s="309">
        <v>8</v>
      </c>
      <c r="C13" s="310" t="s">
        <v>114</v>
      </c>
      <c r="D13" s="311">
        <v>2</v>
      </c>
      <c r="E13" s="312">
        <v>45698</v>
      </c>
      <c r="F13" s="313">
        <v>0.54166666666666663</v>
      </c>
      <c r="G13" s="312">
        <v>45698</v>
      </c>
      <c r="H13" s="313">
        <v>0.6875</v>
      </c>
      <c r="I13" s="314">
        <f t="shared" si="0"/>
        <v>0.14583333333333337</v>
      </c>
      <c r="J13" s="315">
        <f t="shared" si="1"/>
        <v>0.29166666666666674</v>
      </c>
      <c r="K13" s="316" t="s">
        <v>129</v>
      </c>
      <c r="L13" s="317" t="s">
        <v>124</v>
      </c>
      <c r="M13" s="318" t="s">
        <v>85</v>
      </c>
      <c r="N13" s="319" t="s">
        <v>97</v>
      </c>
      <c r="O13" s="372">
        <v>1.5</v>
      </c>
      <c r="P13" s="358">
        <v>7</v>
      </c>
      <c r="Q13" s="348" t="s">
        <v>82</v>
      </c>
      <c r="R13" s="123"/>
      <c r="S13" s="123"/>
      <c r="T13" s="123"/>
      <c r="U13" s="123"/>
      <c r="V13" s="287"/>
      <c r="W13" s="287"/>
      <c r="X13" s="287"/>
      <c r="Y13" s="288"/>
      <c r="Z13" s="220" t="s">
        <v>82</v>
      </c>
    </row>
    <row r="14" spans="2:26" s="113" customFormat="1" ht="96.75" thickBot="1">
      <c r="B14" s="320">
        <v>9</v>
      </c>
      <c r="C14" s="132" t="s">
        <v>114</v>
      </c>
      <c r="D14" s="231">
        <v>2</v>
      </c>
      <c r="E14" s="133">
        <v>45699</v>
      </c>
      <c r="F14" s="134">
        <v>0.375</v>
      </c>
      <c r="G14" s="133">
        <v>45699</v>
      </c>
      <c r="H14" s="134">
        <v>0.67361111111111116</v>
      </c>
      <c r="I14" s="135">
        <f t="shared" si="0"/>
        <v>0.29861111111111116</v>
      </c>
      <c r="J14" s="136">
        <f t="shared" si="1"/>
        <v>0.59722222222222232</v>
      </c>
      <c r="K14" s="137">
        <v>2</v>
      </c>
      <c r="L14" s="138">
        <v>203</v>
      </c>
      <c r="M14" s="138" t="s">
        <v>85</v>
      </c>
      <c r="N14" s="139" t="s">
        <v>98</v>
      </c>
      <c r="O14" s="373">
        <v>2</v>
      </c>
      <c r="P14" s="358">
        <v>3</v>
      </c>
      <c r="Q14" s="348"/>
      <c r="R14" s="129"/>
      <c r="S14" s="123"/>
      <c r="T14" s="123"/>
      <c r="U14" s="123"/>
      <c r="V14" s="287"/>
      <c r="W14" s="287"/>
      <c r="X14" s="287"/>
      <c r="Y14" s="288"/>
      <c r="Z14" s="220"/>
    </row>
    <row r="15" spans="2:26" s="113" customFormat="1" ht="102.75" thickTop="1" thickBot="1">
      <c r="B15" s="320">
        <v>10</v>
      </c>
      <c r="C15" s="132" t="s">
        <v>114</v>
      </c>
      <c r="D15" s="231">
        <v>2</v>
      </c>
      <c r="E15" s="133">
        <v>45701</v>
      </c>
      <c r="F15" s="134">
        <v>0.375</v>
      </c>
      <c r="G15" s="133">
        <v>45701</v>
      </c>
      <c r="H15" s="134">
        <v>0.6875</v>
      </c>
      <c r="I15" s="135">
        <f t="shared" si="0"/>
        <v>0.3125</v>
      </c>
      <c r="J15" s="136">
        <f t="shared" si="1"/>
        <v>0.625</v>
      </c>
      <c r="K15" s="137">
        <v>102</v>
      </c>
      <c r="L15" s="138">
        <v>205</v>
      </c>
      <c r="M15" s="138" t="s">
        <v>85</v>
      </c>
      <c r="N15" s="139" t="s">
        <v>99</v>
      </c>
      <c r="O15" s="374">
        <v>2</v>
      </c>
      <c r="P15" s="375">
        <v>3</v>
      </c>
      <c r="Q15" s="366">
        <v>1</v>
      </c>
      <c r="R15" s="359" t="s">
        <v>247</v>
      </c>
      <c r="S15" s="130"/>
      <c r="T15" s="124"/>
      <c r="U15" s="124"/>
      <c r="V15" s="289"/>
      <c r="W15" s="289"/>
      <c r="X15" s="289"/>
      <c r="Y15" s="290"/>
      <c r="Z15" s="220"/>
    </row>
    <row r="16" spans="2:26" s="113" customFormat="1" ht="73.5" thickTop="1" thickBot="1">
      <c r="B16" s="321">
        <v>11</v>
      </c>
      <c r="C16" s="322" t="s">
        <v>114</v>
      </c>
      <c r="D16" s="323">
        <v>2</v>
      </c>
      <c r="E16" s="324">
        <v>45702</v>
      </c>
      <c r="F16" s="325">
        <v>0.375</v>
      </c>
      <c r="G16" s="324">
        <v>45702</v>
      </c>
      <c r="H16" s="325">
        <v>0.5</v>
      </c>
      <c r="I16" s="326">
        <f t="shared" si="0"/>
        <v>0.125</v>
      </c>
      <c r="J16" s="327">
        <f t="shared" si="1"/>
        <v>0.25</v>
      </c>
      <c r="K16" s="328">
        <v>5</v>
      </c>
      <c r="L16" s="329">
        <v>301</v>
      </c>
      <c r="M16" s="329" t="s">
        <v>85</v>
      </c>
      <c r="N16" s="330" t="s">
        <v>121</v>
      </c>
      <c r="O16" s="376">
        <v>2</v>
      </c>
      <c r="P16" s="375"/>
      <c r="Q16" s="366"/>
      <c r="R16" s="131"/>
      <c r="S16" s="124"/>
      <c r="T16" s="124"/>
      <c r="U16" s="124"/>
      <c r="V16" s="289"/>
      <c r="W16" s="289"/>
      <c r="X16" s="289"/>
      <c r="Y16" s="290"/>
      <c r="Z16" s="220"/>
    </row>
    <row r="17" spans="2:31" s="171" customFormat="1" ht="72" customHeight="1" thickTop="1">
      <c r="B17" s="298">
        <v>12</v>
      </c>
      <c r="C17" s="299" t="s">
        <v>114</v>
      </c>
      <c r="D17" s="300">
        <v>1</v>
      </c>
      <c r="E17" s="301">
        <v>45707</v>
      </c>
      <c r="F17" s="302">
        <v>0.54166666666666663</v>
      </c>
      <c r="G17" s="301">
        <v>45692</v>
      </c>
      <c r="H17" s="302">
        <v>0.64583333333333337</v>
      </c>
      <c r="I17" s="303">
        <f t="shared" si="0"/>
        <v>0.10416666666666674</v>
      </c>
      <c r="J17" s="304">
        <f t="shared" si="1"/>
        <v>0.10416666666666674</v>
      </c>
      <c r="K17" s="305">
        <v>5</v>
      </c>
      <c r="L17" s="306">
        <v>501</v>
      </c>
      <c r="M17" s="307" t="s">
        <v>85</v>
      </c>
      <c r="N17" s="308" t="s">
        <v>100</v>
      </c>
      <c r="O17" s="371"/>
      <c r="P17" s="348">
        <v>7</v>
      </c>
      <c r="Q17" s="348"/>
      <c r="R17" s="177"/>
      <c r="S17" s="177"/>
      <c r="T17" s="177"/>
      <c r="U17" s="177"/>
      <c r="V17" s="285"/>
      <c r="W17" s="285"/>
      <c r="X17" s="285"/>
      <c r="Y17" s="286"/>
      <c r="Z17" s="220"/>
    </row>
    <row r="18" spans="2:31" s="113" customFormat="1" ht="41.25">
      <c r="B18" s="392" t="s">
        <v>243</v>
      </c>
      <c r="C18" s="269"/>
      <c r="D18" s="270"/>
      <c r="E18" s="271"/>
      <c r="F18" s="272"/>
      <c r="G18" s="271"/>
      <c r="H18" s="272"/>
      <c r="I18" s="273"/>
      <c r="J18" s="274"/>
      <c r="K18" s="275"/>
      <c r="L18" s="276"/>
      <c r="M18" s="277"/>
      <c r="N18" s="278"/>
      <c r="O18" s="279"/>
      <c r="P18" s="280"/>
      <c r="Q18" s="280"/>
      <c r="R18" s="280"/>
      <c r="S18" s="280"/>
      <c r="T18" s="280"/>
      <c r="U18" s="280"/>
      <c r="V18" s="291"/>
      <c r="W18" s="291"/>
      <c r="X18" s="291"/>
      <c r="Y18" s="292"/>
      <c r="Z18" s="377"/>
    </row>
    <row r="19" spans="2:31" s="150" customFormat="1" ht="72" customHeight="1">
      <c r="B19" s="141">
        <v>13</v>
      </c>
      <c r="C19" s="142" t="s">
        <v>135</v>
      </c>
      <c r="D19" s="233">
        <v>2</v>
      </c>
      <c r="E19" s="143">
        <v>45741</v>
      </c>
      <c r="F19" s="144">
        <v>0.375</v>
      </c>
      <c r="G19" s="143">
        <v>45741</v>
      </c>
      <c r="H19" s="144">
        <v>0.67708333333333337</v>
      </c>
      <c r="I19" s="145">
        <f t="shared" si="0"/>
        <v>0.30208333333333337</v>
      </c>
      <c r="J19" s="119">
        <f t="shared" ref="J19:J24" si="2">I19*D19</f>
        <v>0.60416666666666674</v>
      </c>
      <c r="K19" s="146">
        <v>7</v>
      </c>
      <c r="L19" s="147">
        <v>506</v>
      </c>
      <c r="M19" s="148" t="s">
        <v>139</v>
      </c>
      <c r="N19" s="178" t="s">
        <v>142</v>
      </c>
      <c r="O19" s="369">
        <f t="shared" ref="O19:O24" si="3">D19</f>
        <v>2</v>
      </c>
      <c r="P19" s="348"/>
      <c r="Q19" s="348">
        <v>4</v>
      </c>
      <c r="R19" s="348"/>
      <c r="S19" s="215"/>
      <c r="T19" s="348">
        <v>2.5</v>
      </c>
      <c r="U19" s="348">
        <v>2.5</v>
      </c>
      <c r="V19" s="350"/>
      <c r="W19" s="350"/>
      <c r="X19" s="350"/>
      <c r="Y19" s="293"/>
      <c r="Z19" s="220" t="s">
        <v>179</v>
      </c>
    </row>
    <row r="20" spans="2:31" s="150" customFormat="1" ht="120.75" thickBot="1">
      <c r="B20" s="141">
        <v>14</v>
      </c>
      <c r="C20" s="142" t="s">
        <v>135</v>
      </c>
      <c r="D20" s="233">
        <v>2</v>
      </c>
      <c r="E20" s="143">
        <v>45744</v>
      </c>
      <c r="F20" s="144">
        <v>0.375</v>
      </c>
      <c r="G20" s="143">
        <v>45744</v>
      </c>
      <c r="H20" s="144">
        <v>0.68055555555555558</v>
      </c>
      <c r="I20" s="145">
        <f t="shared" si="0"/>
        <v>0.30555555555555558</v>
      </c>
      <c r="J20" s="119">
        <f t="shared" si="2"/>
        <v>0.61111111111111116</v>
      </c>
      <c r="K20" s="146" t="s">
        <v>136</v>
      </c>
      <c r="L20" s="147" t="s">
        <v>138</v>
      </c>
      <c r="M20" s="148" t="s">
        <v>139</v>
      </c>
      <c r="N20" s="178" t="s">
        <v>143</v>
      </c>
      <c r="O20" s="369">
        <f t="shared" si="3"/>
        <v>2</v>
      </c>
      <c r="P20" s="348"/>
      <c r="Q20" s="348"/>
      <c r="R20" s="348"/>
      <c r="S20" s="225"/>
      <c r="T20" s="348"/>
      <c r="U20" s="348"/>
      <c r="V20" s="350"/>
      <c r="W20" s="350"/>
      <c r="X20" s="350"/>
      <c r="Y20" s="293"/>
      <c r="Z20" s="220"/>
    </row>
    <row r="21" spans="2:31" s="150" customFormat="1" ht="102" thickTop="1">
      <c r="B21" s="141">
        <v>15</v>
      </c>
      <c r="C21" s="142" t="s">
        <v>135</v>
      </c>
      <c r="D21" s="233">
        <v>2</v>
      </c>
      <c r="E21" s="143">
        <v>45747</v>
      </c>
      <c r="F21" s="144">
        <v>0.375</v>
      </c>
      <c r="G21" s="143">
        <v>45747</v>
      </c>
      <c r="H21" s="144">
        <v>0.6875</v>
      </c>
      <c r="I21" s="145">
        <f t="shared" si="0"/>
        <v>0.3125</v>
      </c>
      <c r="J21" s="119">
        <f t="shared" si="2"/>
        <v>0.625</v>
      </c>
      <c r="K21" s="146" t="s">
        <v>137</v>
      </c>
      <c r="L21" s="147" t="s">
        <v>140</v>
      </c>
      <c r="M21" s="148" t="s">
        <v>139</v>
      </c>
      <c r="N21" s="178" t="s">
        <v>144</v>
      </c>
      <c r="O21" s="369">
        <f t="shared" si="3"/>
        <v>2</v>
      </c>
      <c r="P21" s="348"/>
      <c r="Q21" s="348"/>
      <c r="R21" s="348"/>
      <c r="S21" s="333" t="s">
        <v>176</v>
      </c>
      <c r="T21" s="358"/>
      <c r="U21" s="348"/>
      <c r="V21" s="350"/>
      <c r="W21" s="350"/>
      <c r="X21" s="350"/>
      <c r="Y21" s="293"/>
      <c r="Z21" s="220"/>
    </row>
    <row r="22" spans="2:31" s="150" customFormat="1" ht="102" thickBot="1">
      <c r="B22" s="141">
        <v>16</v>
      </c>
      <c r="C22" s="142" t="s">
        <v>135</v>
      </c>
      <c r="D22" s="233">
        <v>2</v>
      </c>
      <c r="E22" s="143">
        <v>45749</v>
      </c>
      <c r="F22" s="144">
        <v>0.375</v>
      </c>
      <c r="G22" s="143">
        <v>45749</v>
      </c>
      <c r="H22" s="144">
        <v>0.6875</v>
      </c>
      <c r="I22" s="145">
        <f t="shared" si="0"/>
        <v>0.3125</v>
      </c>
      <c r="J22" s="119">
        <f t="shared" si="2"/>
        <v>0.625</v>
      </c>
      <c r="K22" s="146" t="s">
        <v>137</v>
      </c>
      <c r="L22" s="147" t="s">
        <v>141</v>
      </c>
      <c r="M22" s="148" t="s">
        <v>139</v>
      </c>
      <c r="N22" s="178" t="s">
        <v>145</v>
      </c>
      <c r="O22" s="369">
        <f t="shared" si="3"/>
        <v>2</v>
      </c>
      <c r="P22" s="348"/>
      <c r="Q22" s="348"/>
      <c r="R22" s="348"/>
      <c r="S22" s="334" t="s">
        <v>177</v>
      </c>
      <c r="T22" s="358"/>
      <c r="U22" s="348"/>
      <c r="V22" s="350">
        <v>2</v>
      </c>
      <c r="W22" s="350"/>
      <c r="X22" s="350"/>
      <c r="Y22" s="294"/>
      <c r="Z22" s="220" t="s">
        <v>178</v>
      </c>
    </row>
    <row r="23" spans="2:31" s="150" customFormat="1" ht="72" customHeight="1" thickTop="1">
      <c r="B23" s="141">
        <v>17</v>
      </c>
      <c r="C23" s="142" t="s">
        <v>135</v>
      </c>
      <c r="D23" s="233">
        <v>2</v>
      </c>
      <c r="E23" s="143">
        <v>45750</v>
      </c>
      <c r="F23" s="144">
        <v>0.375</v>
      </c>
      <c r="G23" s="143">
        <v>45750</v>
      </c>
      <c r="H23" s="144">
        <v>0.6875</v>
      </c>
      <c r="I23" s="145">
        <f t="shared" si="0"/>
        <v>0.3125</v>
      </c>
      <c r="J23" s="119">
        <f t="shared" si="2"/>
        <v>0.625</v>
      </c>
      <c r="K23" s="146">
        <v>8</v>
      </c>
      <c r="L23" s="147">
        <v>502</v>
      </c>
      <c r="M23" s="148" t="s">
        <v>139</v>
      </c>
      <c r="N23" s="178" t="s">
        <v>146</v>
      </c>
      <c r="O23" s="369">
        <f t="shared" si="3"/>
        <v>2</v>
      </c>
      <c r="P23" s="348"/>
      <c r="Q23" s="348">
        <v>2</v>
      </c>
      <c r="R23" s="348"/>
      <c r="S23" s="349"/>
      <c r="T23" s="348"/>
      <c r="U23" s="348"/>
      <c r="V23" s="350"/>
      <c r="W23" s="350"/>
      <c r="X23" s="350"/>
      <c r="Y23" s="351"/>
      <c r="Z23" s="220"/>
    </row>
    <row r="24" spans="2:31" s="150" customFormat="1" ht="96">
      <c r="B24" s="141">
        <v>18</v>
      </c>
      <c r="C24" s="142" t="s">
        <v>135</v>
      </c>
      <c r="D24" s="233">
        <v>2</v>
      </c>
      <c r="E24" s="143">
        <v>45755</v>
      </c>
      <c r="F24" s="144">
        <v>0.375</v>
      </c>
      <c r="G24" s="143">
        <v>45755</v>
      </c>
      <c r="H24" s="144">
        <v>0.6875</v>
      </c>
      <c r="I24" s="145">
        <f t="shared" si="0"/>
        <v>0.3125</v>
      </c>
      <c r="J24" s="119">
        <f t="shared" si="2"/>
        <v>0.625</v>
      </c>
      <c r="K24" s="146">
        <v>2</v>
      </c>
      <c r="L24" s="147">
        <v>108</v>
      </c>
      <c r="M24" s="148" t="s">
        <v>139</v>
      </c>
      <c r="N24" s="178" t="s">
        <v>147</v>
      </c>
      <c r="O24" s="369">
        <f t="shared" si="3"/>
        <v>2</v>
      </c>
      <c r="P24" s="348"/>
      <c r="Q24" s="348">
        <v>6</v>
      </c>
      <c r="R24" s="348">
        <v>9</v>
      </c>
      <c r="S24" s="244"/>
      <c r="T24" s="177"/>
      <c r="U24" s="177"/>
      <c r="V24" s="285"/>
      <c r="W24" s="285"/>
      <c r="X24" s="285"/>
      <c r="Y24" s="286"/>
      <c r="Z24" s="222"/>
      <c r="AD24" s="296"/>
      <c r="AE24" s="295"/>
    </row>
    <row r="25" spans="2:31" s="150" customFormat="1" ht="72" customHeight="1">
      <c r="B25" s="151"/>
      <c r="C25" s="152"/>
      <c r="D25" s="234"/>
      <c r="E25" s="153"/>
      <c r="F25" s="154"/>
      <c r="G25" s="153"/>
      <c r="H25" s="154"/>
      <c r="I25" s="155"/>
      <c r="J25" s="140"/>
      <c r="K25" s="156"/>
      <c r="L25" s="157"/>
      <c r="M25" s="157"/>
      <c r="N25" s="158"/>
      <c r="O25" s="394"/>
      <c r="P25" s="352"/>
      <c r="Q25" s="352"/>
      <c r="R25" s="352"/>
      <c r="S25" s="352"/>
      <c r="T25" s="352"/>
      <c r="U25" s="352"/>
      <c r="V25" s="353"/>
      <c r="W25" s="353"/>
      <c r="X25" s="353"/>
      <c r="Y25" s="354"/>
      <c r="Z25" s="223"/>
      <c r="AD25" s="295"/>
    </row>
    <row r="26" spans="2:31" s="161" customFormat="1" ht="68.25" thickBot="1">
      <c r="B26" s="431" t="s">
        <v>249</v>
      </c>
      <c r="C26" s="432"/>
      <c r="D26" s="357">
        <f>SUM(D13:D16,D19:D24)</f>
        <v>20</v>
      </c>
      <c r="E26" s="159"/>
      <c r="F26" s="160"/>
      <c r="G26" s="159"/>
      <c r="H26" s="160"/>
      <c r="I26" s="226">
        <f>SUM(I13:I25)</f>
        <v>2.84375</v>
      </c>
      <c r="J26" s="226">
        <f>SUM(J13:J25)</f>
        <v>5.5833333333333339</v>
      </c>
      <c r="K26" s="204"/>
      <c r="L26" s="205"/>
      <c r="M26" s="204"/>
      <c r="N26" s="206"/>
      <c r="O26" s="395">
        <f>SUM(O13:O25)</f>
        <v>19.5</v>
      </c>
      <c r="P26" s="297">
        <f>SUM(P19:P25)</f>
        <v>0</v>
      </c>
      <c r="Q26" s="355">
        <f>SUM(Q19:Q25)</f>
        <v>12</v>
      </c>
      <c r="R26" s="355">
        <v>9.3000000000000007</v>
      </c>
      <c r="S26" s="355" t="s">
        <v>174</v>
      </c>
      <c r="T26" s="355">
        <f t="shared" ref="T26:V26" si="4">SUM(T19:T25)</f>
        <v>2.5</v>
      </c>
      <c r="U26" s="355">
        <f t="shared" si="4"/>
        <v>2.5</v>
      </c>
      <c r="V26" s="355">
        <f t="shared" si="4"/>
        <v>2</v>
      </c>
      <c r="W26" s="356"/>
      <c r="X26" s="356"/>
      <c r="Y26" s="356"/>
      <c r="Z26" s="224"/>
    </row>
    <row r="27" spans="2:31" ht="24">
      <c r="I27" s="240"/>
      <c r="Z27" s="113"/>
      <c r="AA27" s="113"/>
      <c r="AB27" s="113"/>
      <c r="AC27" s="113"/>
    </row>
    <row r="28" spans="2:31" s="346" customFormat="1" ht="41.25">
      <c r="B28" s="391" t="s">
        <v>181</v>
      </c>
      <c r="C28" s="335"/>
      <c r="D28" s="232"/>
      <c r="E28" s="336"/>
      <c r="F28" s="337"/>
      <c r="G28" s="336"/>
      <c r="H28" s="337"/>
      <c r="I28" s="337"/>
      <c r="J28" s="338"/>
      <c r="K28" s="339"/>
      <c r="L28" s="339"/>
      <c r="M28" s="340"/>
      <c r="N28" s="341"/>
      <c r="O28" s="342"/>
      <c r="P28" s="343"/>
      <c r="Q28" s="343"/>
      <c r="R28" s="343"/>
      <c r="S28" s="343"/>
      <c r="T28" s="343"/>
      <c r="U28" s="343"/>
      <c r="V28" s="343"/>
      <c r="W28" s="343"/>
      <c r="X28" s="343"/>
      <c r="Y28" s="343"/>
      <c r="Z28" s="344"/>
      <c r="AA28" s="345"/>
    </row>
    <row r="29" spans="2:31" ht="96">
      <c r="B29" s="141">
        <v>19</v>
      </c>
      <c r="C29" s="142" t="s">
        <v>135</v>
      </c>
      <c r="D29" s="241">
        <v>2</v>
      </c>
      <c r="E29" s="143">
        <v>45756</v>
      </c>
      <c r="F29" s="144">
        <v>0.375</v>
      </c>
      <c r="G29" s="143">
        <v>45756</v>
      </c>
      <c r="H29" s="144">
        <v>0.6875</v>
      </c>
      <c r="I29" s="242">
        <f t="shared" ref="I29:I44" si="5">H29-F29</f>
        <v>0.3125</v>
      </c>
      <c r="J29" s="119">
        <f t="shared" ref="J29:J44" si="6">I29*D29</f>
        <v>0.625</v>
      </c>
      <c r="K29" s="147" t="s">
        <v>182</v>
      </c>
      <c r="L29" s="147" t="s">
        <v>183</v>
      </c>
      <c r="M29" s="148" t="s">
        <v>139</v>
      </c>
      <c r="N29" s="149" t="s">
        <v>184</v>
      </c>
      <c r="O29" s="243">
        <f t="shared" ref="O29" si="7">D29</f>
        <v>2</v>
      </c>
      <c r="P29" s="244">
        <v>3</v>
      </c>
      <c r="Q29" s="244">
        <v>3</v>
      </c>
      <c r="R29" s="244">
        <v>3</v>
      </c>
      <c r="S29" s="244"/>
      <c r="T29" s="244">
        <v>5</v>
      </c>
      <c r="U29" s="244">
        <v>5</v>
      </c>
      <c r="V29" s="244"/>
      <c r="W29" s="244"/>
      <c r="X29" s="244"/>
      <c r="Y29" s="244"/>
      <c r="Z29" s="378" t="s">
        <v>185</v>
      </c>
      <c r="AA29" s="171"/>
    </row>
    <row r="30" spans="2:31" ht="144">
      <c r="B30" s="141">
        <v>20</v>
      </c>
      <c r="C30" s="142" t="s">
        <v>135</v>
      </c>
      <c r="D30" s="389">
        <v>2</v>
      </c>
      <c r="E30" s="143">
        <v>45757</v>
      </c>
      <c r="F30" s="144">
        <v>0.375</v>
      </c>
      <c r="G30" s="143">
        <v>45757</v>
      </c>
      <c r="H30" s="144">
        <v>0.6875</v>
      </c>
      <c r="I30" s="242">
        <f t="shared" si="5"/>
        <v>0.3125</v>
      </c>
      <c r="J30" s="119">
        <f t="shared" si="6"/>
        <v>0.625</v>
      </c>
      <c r="K30" s="147" t="s">
        <v>186</v>
      </c>
      <c r="L30" s="147" t="s">
        <v>187</v>
      </c>
      <c r="M30" s="148" t="s">
        <v>139</v>
      </c>
      <c r="N30" s="149" t="s">
        <v>188</v>
      </c>
      <c r="O30" s="398">
        <v>1.5</v>
      </c>
      <c r="P30" s="244">
        <v>7</v>
      </c>
      <c r="Q30" s="244">
        <v>2</v>
      </c>
      <c r="R30" s="244"/>
      <c r="S30" s="244"/>
      <c r="T30" s="244"/>
      <c r="U30" s="244"/>
      <c r="V30" s="244"/>
      <c r="W30" s="244"/>
      <c r="X30" s="244">
        <v>1</v>
      </c>
      <c r="Y30" s="244"/>
      <c r="Z30" s="378" t="s">
        <v>248</v>
      </c>
      <c r="AA30" s="171"/>
    </row>
    <row r="31" spans="2:31" ht="168" customHeight="1">
      <c r="B31" s="141">
        <v>21</v>
      </c>
      <c r="C31" s="142" t="s">
        <v>135</v>
      </c>
      <c r="D31" s="389">
        <v>1</v>
      </c>
      <c r="E31" s="143">
        <v>45765</v>
      </c>
      <c r="F31" s="144">
        <v>0.4375</v>
      </c>
      <c r="G31" s="143">
        <v>45765</v>
      </c>
      <c r="H31" s="144">
        <v>0.47916666666666669</v>
      </c>
      <c r="I31" s="242">
        <f t="shared" si="5"/>
        <v>4.1666666666666685E-2</v>
      </c>
      <c r="J31" s="119">
        <f t="shared" si="6"/>
        <v>4.1666666666666685E-2</v>
      </c>
      <c r="K31" s="146">
        <v>5</v>
      </c>
      <c r="L31" s="147">
        <v>104</v>
      </c>
      <c r="M31" s="148" t="s">
        <v>139</v>
      </c>
      <c r="N31" s="149" t="s">
        <v>189</v>
      </c>
      <c r="O31" s="398">
        <v>0.5</v>
      </c>
      <c r="P31" s="244"/>
      <c r="Q31" s="244"/>
      <c r="R31" s="244"/>
      <c r="S31" s="244" t="s">
        <v>82</v>
      </c>
      <c r="T31" s="244"/>
      <c r="U31" s="244"/>
      <c r="V31" s="244"/>
      <c r="W31" s="244"/>
      <c r="X31" s="244"/>
      <c r="Y31" s="244"/>
      <c r="Z31" s="378"/>
      <c r="AA31" s="171"/>
    </row>
    <row r="32" spans="2:31" ht="96">
      <c r="B32" s="141">
        <v>22</v>
      </c>
      <c r="C32" s="142" t="s">
        <v>135</v>
      </c>
      <c r="D32" s="241">
        <v>2</v>
      </c>
      <c r="E32" s="143">
        <v>45775</v>
      </c>
      <c r="F32" s="144">
        <v>0.375</v>
      </c>
      <c r="G32" s="143">
        <v>45775</v>
      </c>
      <c r="H32" s="144">
        <v>0.69444444444444442</v>
      </c>
      <c r="I32" s="242">
        <f t="shared" si="5"/>
        <v>0.31944444444444442</v>
      </c>
      <c r="J32" s="119">
        <f t="shared" si="6"/>
        <v>0.63888888888888884</v>
      </c>
      <c r="K32" s="146">
        <v>8</v>
      </c>
      <c r="L32" s="147">
        <v>401</v>
      </c>
      <c r="M32" s="148" t="s">
        <v>139</v>
      </c>
      <c r="N32" s="149" t="s">
        <v>190</v>
      </c>
      <c r="O32" s="243">
        <v>2</v>
      </c>
      <c r="P32" s="244">
        <v>3</v>
      </c>
      <c r="Q32" s="244">
        <v>4</v>
      </c>
      <c r="R32" s="244"/>
      <c r="S32" s="244" t="s">
        <v>82</v>
      </c>
      <c r="T32" s="244"/>
      <c r="U32" s="244"/>
      <c r="V32" s="244" t="s">
        <v>82</v>
      </c>
      <c r="W32" s="244"/>
      <c r="X32" s="244"/>
      <c r="Y32" s="244"/>
      <c r="Z32" s="378" t="s">
        <v>82</v>
      </c>
      <c r="AA32" s="171"/>
    </row>
    <row r="33" spans="2:29" ht="144.75" thickBot="1">
      <c r="B33" s="141">
        <v>23</v>
      </c>
      <c r="C33" s="142" t="s">
        <v>135</v>
      </c>
      <c r="D33" s="241">
        <v>2</v>
      </c>
      <c r="E33" s="143">
        <v>45776</v>
      </c>
      <c r="F33" s="144">
        <v>0.375</v>
      </c>
      <c r="G33" s="143">
        <v>45776</v>
      </c>
      <c r="H33" s="144">
        <v>0.6875</v>
      </c>
      <c r="I33" s="242">
        <f t="shared" si="5"/>
        <v>0.3125</v>
      </c>
      <c r="J33" s="119">
        <f t="shared" si="6"/>
        <v>0.625</v>
      </c>
      <c r="K33" s="147" t="s">
        <v>191</v>
      </c>
      <c r="L33" s="147" t="s">
        <v>192</v>
      </c>
      <c r="M33" s="148" t="s">
        <v>139</v>
      </c>
      <c r="N33" s="149" t="s">
        <v>193</v>
      </c>
      <c r="O33" s="243">
        <v>2</v>
      </c>
      <c r="P33" s="245">
        <v>3</v>
      </c>
      <c r="Q33" s="244">
        <v>3</v>
      </c>
      <c r="R33" s="244">
        <v>6</v>
      </c>
      <c r="S33" s="244"/>
      <c r="T33" s="244"/>
      <c r="U33" s="244"/>
      <c r="V33" s="244"/>
      <c r="W33" s="244"/>
      <c r="X33" s="244"/>
      <c r="Y33" s="244"/>
      <c r="Z33" s="378"/>
      <c r="AA33" s="171"/>
    </row>
    <row r="34" spans="2:29" ht="144.75" thickTop="1">
      <c r="B34" s="141">
        <v>24</v>
      </c>
      <c r="C34" s="142" t="s">
        <v>135</v>
      </c>
      <c r="D34" s="241">
        <v>2</v>
      </c>
      <c r="E34" s="143">
        <v>45777</v>
      </c>
      <c r="F34" s="144">
        <v>0.375</v>
      </c>
      <c r="G34" s="143">
        <v>45777</v>
      </c>
      <c r="H34" s="144">
        <v>0.6875</v>
      </c>
      <c r="I34" s="242">
        <f t="shared" si="5"/>
        <v>0.3125</v>
      </c>
      <c r="J34" s="119">
        <f t="shared" si="6"/>
        <v>0.625</v>
      </c>
      <c r="K34" s="146" t="s">
        <v>194</v>
      </c>
      <c r="L34" s="146" t="s">
        <v>195</v>
      </c>
      <c r="M34" s="148" t="s">
        <v>139</v>
      </c>
      <c r="N34" s="149" t="s">
        <v>196</v>
      </c>
      <c r="O34" s="243">
        <v>2</v>
      </c>
      <c r="P34" s="384" t="s">
        <v>197</v>
      </c>
      <c r="Q34" s="246"/>
      <c r="R34" s="244"/>
      <c r="S34" s="244"/>
      <c r="T34" s="244"/>
      <c r="U34" s="244"/>
      <c r="V34" s="244">
        <v>1</v>
      </c>
      <c r="W34" s="244"/>
      <c r="X34" s="244"/>
      <c r="Y34" s="244">
        <v>1</v>
      </c>
      <c r="Z34" s="378" t="s">
        <v>250</v>
      </c>
      <c r="AA34" s="171"/>
    </row>
    <row r="35" spans="2:29" ht="81.75" thickBot="1">
      <c r="B35" s="141">
        <v>25</v>
      </c>
      <c r="C35" s="142" t="s">
        <v>135</v>
      </c>
      <c r="D35" s="241">
        <v>2</v>
      </c>
      <c r="E35" s="143">
        <v>45784</v>
      </c>
      <c r="F35" s="144">
        <v>0.375</v>
      </c>
      <c r="G35" s="143">
        <v>45784</v>
      </c>
      <c r="H35" s="144">
        <v>0.6875</v>
      </c>
      <c r="I35" s="242">
        <f t="shared" si="5"/>
        <v>0.3125</v>
      </c>
      <c r="J35" s="119">
        <f t="shared" si="6"/>
        <v>0.625</v>
      </c>
      <c r="K35" s="147" t="s">
        <v>198</v>
      </c>
      <c r="L35" s="147" t="s">
        <v>199</v>
      </c>
      <c r="M35" s="148" t="s">
        <v>139</v>
      </c>
      <c r="N35" s="149" t="s">
        <v>200</v>
      </c>
      <c r="O35" s="247">
        <v>2</v>
      </c>
      <c r="P35" s="385"/>
      <c r="Q35" s="246"/>
      <c r="R35" s="244"/>
      <c r="S35" s="244">
        <v>5</v>
      </c>
      <c r="T35" s="244"/>
      <c r="U35" s="244"/>
      <c r="V35" s="244">
        <v>2</v>
      </c>
      <c r="W35" s="244"/>
      <c r="X35" s="244"/>
      <c r="Y35" s="244"/>
      <c r="Z35" s="378"/>
      <c r="AA35" s="171"/>
    </row>
    <row r="36" spans="2:29" ht="120.75" thickTop="1">
      <c r="B36" s="141">
        <v>26</v>
      </c>
      <c r="C36" s="142" t="s">
        <v>135</v>
      </c>
      <c r="D36" s="241">
        <v>2</v>
      </c>
      <c r="E36" s="143">
        <v>45789</v>
      </c>
      <c r="F36" s="144">
        <v>0.375</v>
      </c>
      <c r="G36" s="143">
        <v>45789</v>
      </c>
      <c r="H36" s="144">
        <v>0.6875</v>
      </c>
      <c r="I36" s="242">
        <f t="shared" si="5"/>
        <v>0.3125</v>
      </c>
      <c r="J36" s="119">
        <f t="shared" si="6"/>
        <v>0.625</v>
      </c>
      <c r="K36" s="146">
        <v>2</v>
      </c>
      <c r="L36" s="147">
        <v>404</v>
      </c>
      <c r="M36" s="148" t="s">
        <v>139</v>
      </c>
      <c r="N36" s="248" t="s">
        <v>201</v>
      </c>
      <c r="O36" s="381">
        <v>2</v>
      </c>
      <c r="P36" s="385">
        <v>5</v>
      </c>
      <c r="Q36" s="246">
        <v>3</v>
      </c>
      <c r="R36" s="244"/>
      <c r="S36" s="244"/>
      <c r="T36" s="244"/>
      <c r="U36" s="244"/>
      <c r="V36" s="244"/>
      <c r="W36" s="244"/>
      <c r="X36" s="244"/>
      <c r="Y36" s="244"/>
      <c r="Z36" s="378" t="s">
        <v>202</v>
      </c>
      <c r="AA36" s="113"/>
    </row>
    <row r="37" spans="2:29" ht="72">
      <c r="B37" s="141">
        <v>27</v>
      </c>
      <c r="C37" s="142" t="s">
        <v>135</v>
      </c>
      <c r="D37" s="241">
        <v>2</v>
      </c>
      <c r="E37" s="143">
        <v>45790</v>
      </c>
      <c r="F37" s="144">
        <v>0.375</v>
      </c>
      <c r="G37" s="143">
        <v>45790</v>
      </c>
      <c r="H37" s="144">
        <v>0.6875</v>
      </c>
      <c r="I37" s="242">
        <f t="shared" si="5"/>
        <v>0.3125</v>
      </c>
      <c r="J37" s="119">
        <f t="shared" si="6"/>
        <v>0.625</v>
      </c>
      <c r="K37" s="146">
        <v>2</v>
      </c>
      <c r="L37" s="147">
        <v>301</v>
      </c>
      <c r="M37" s="148" t="s">
        <v>139</v>
      </c>
      <c r="N37" s="248" t="s">
        <v>203</v>
      </c>
      <c r="O37" s="382">
        <v>2</v>
      </c>
      <c r="P37" s="385"/>
      <c r="Q37" s="246">
        <v>2</v>
      </c>
      <c r="R37" s="244"/>
      <c r="S37" s="244"/>
      <c r="T37" s="244"/>
      <c r="U37" s="244"/>
      <c r="V37" s="244"/>
      <c r="W37" s="244"/>
      <c r="X37" s="244"/>
      <c r="Y37" s="244"/>
      <c r="Z37" s="378" t="s">
        <v>251</v>
      </c>
      <c r="AA37" s="113"/>
    </row>
    <row r="38" spans="2:29" ht="168" customHeight="1">
      <c r="B38" s="141">
        <v>28</v>
      </c>
      <c r="C38" s="142" t="s">
        <v>135</v>
      </c>
      <c r="D38" s="233">
        <v>2</v>
      </c>
      <c r="E38" s="143">
        <v>45792</v>
      </c>
      <c r="F38" s="144">
        <v>0.5625</v>
      </c>
      <c r="G38" s="143">
        <v>45792</v>
      </c>
      <c r="H38" s="144">
        <v>0.625</v>
      </c>
      <c r="I38" s="242">
        <f t="shared" si="5"/>
        <v>6.25E-2</v>
      </c>
      <c r="J38" s="119">
        <f t="shared" si="6"/>
        <v>0.125</v>
      </c>
      <c r="K38" s="146">
        <v>9</v>
      </c>
      <c r="L38" s="147">
        <v>306</v>
      </c>
      <c r="M38" s="148" t="s">
        <v>139</v>
      </c>
      <c r="N38" s="248" t="s">
        <v>204</v>
      </c>
      <c r="O38" s="397" t="s">
        <v>205</v>
      </c>
      <c r="P38" s="385">
        <v>7</v>
      </c>
      <c r="Q38" s="246"/>
      <c r="R38" s="244"/>
      <c r="S38" s="244"/>
      <c r="T38" s="244"/>
      <c r="U38" s="244"/>
      <c r="V38" s="244"/>
      <c r="W38" s="244"/>
      <c r="X38" s="244"/>
      <c r="Y38" s="244"/>
      <c r="Z38" s="378"/>
      <c r="AA38" s="113"/>
    </row>
    <row r="39" spans="2:29" ht="168" customHeight="1">
      <c r="B39" s="141">
        <v>29</v>
      </c>
      <c r="C39" s="142" t="s">
        <v>135</v>
      </c>
      <c r="D39" s="241">
        <v>2</v>
      </c>
      <c r="E39" s="143">
        <v>45796</v>
      </c>
      <c r="F39" s="144">
        <v>0.375</v>
      </c>
      <c r="G39" s="143">
        <v>45796</v>
      </c>
      <c r="H39" s="144">
        <v>0.6875</v>
      </c>
      <c r="I39" s="242">
        <f t="shared" si="5"/>
        <v>0.3125</v>
      </c>
      <c r="J39" s="119">
        <f t="shared" si="6"/>
        <v>0.625</v>
      </c>
      <c r="K39" s="146">
        <v>8</v>
      </c>
      <c r="L39" s="147">
        <v>209</v>
      </c>
      <c r="M39" s="148" t="s">
        <v>139</v>
      </c>
      <c r="N39" s="248" t="s">
        <v>206</v>
      </c>
      <c r="O39" s="382">
        <v>2</v>
      </c>
      <c r="P39" s="385">
        <v>4</v>
      </c>
      <c r="Q39" s="246">
        <v>4</v>
      </c>
      <c r="R39" s="244"/>
      <c r="S39" s="244"/>
      <c r="T39" s="244"/>
      <c r="U39" s="244"/>
      <c r="V39" s="244"/>
      <c r="W39" s="244"/>
      <c r="X39" s="244"/>
      <c r="Y39" s="244"/>
      <c r="Z39" s="378"/>
      <c r="AA39" s="113"/>
    </row>
    <row r="40" spans="2:29" ht="142.5" customHeight="1">
      <c r="B40" s="141">
        <v>30</v>
      </c>
      <c r="C40" s="142" t="s">
        <v>135</v>
      </c>
      <c r="D40" s="389">
        <v>2</v>
      </c>
      <c r="E40" s="143">
        <v>45797</v>
      </c>
      <c r="F40" s="144">
        <v>0.375</v>
      </c>
      <c r="G40" s="143">
        <v>45797</v>
      </c>
      <c r="H40" s="144">
        <v>0.68055555555555558</v>
      </c>
      <c r="I40" s="242">
        <f t="shared" si="5"/>
        <v>0.30555555555555558</v>
      </c>
      <c r="J40" s="119">
        <f t="shared" si="6"/>
        <v>0.61111111111111116</v>
      </c>
      <c r="K40" s="147" t="s">
        <v>207</v>
      </c>
      <c r="L40" s="147" t="s">
        <v>208</v>
      </c>
      <c r="M40" s="148" t="s">
        <v>139</v>
      </c>
      <c r="N40" s="248" t="s">
        <v>209</v>
      </c>
      <c r="O40" s="396">
        <v>1.5</v>
      </c>
      <c r="P40" s="385">
        <v>9</v>
      </c>
      <c r="Q40" s="246">
        <v>4</v>
      </c>
      <c r="R40" s="244"/>
      <c r="S40" s="244"/>
      <c r="T40" s="244"/>
      <c r="U40" s="244"/>
      <c r="V40" s="244"/>
      <c r="W40" s="244"/>
      <c r="X40" s="244"/>
      <c r="Y40" s="244"/>
      <c r="Z40" s="378"/>
      <c r="AA40" s="171"/>
    </row>
    <row r="41" spans="2:29" ht="120">
      <c r="B41" s="141">
        <v>31</v>
      </c>
      <c r="C41" s="142" t="s">
        <v>135</v>
      </c>
      <c r="D41" s="241">
        <v>2</v>
      </c>
      <c r="E41" s="143">
        <v>45806</v>
      </c>
      <c r="F41" s="144">
        <v>0.375</v>
      </c>
      <c r="G41" s="143">
        <v>45806</v>
      </c>
      <c r="H41" s="144">
        <v>0.69444444444444442</v>
      </c>
      <c r="I41" s="242">
        <f t="shared" si="5"/>
        <v>0.31944444444444442</v>
      </c>
      <c r="J41" s="119">
        <f t="shared" si="6"/>
        <v>0.63888888888888884</v>
      </c>
      <c r="K41" s="147" t="s">
        <v>210</v>
      </c>
      <c r="L41" s="147" t="s">
        <v>211</v>
      </c>
      <c r="M41" s="148" t="s">
        <v>139</v>
      </c>
      <c r="N41" s="248" t="s">
        <v>212</v>
      </c>
      <c r="O41" s="382">
        <v>2</v>
      </c>
      <c r="P41" s="385">
        <v>3</v>
      </c>
      <c r="Q41" s="246">
        <v>3</v>
      </c>
      <c r="R41" s="244">
        <v>3</v>
      </c>
      <c r="S41" s="244"/>
      <c r="T41" s="244"/>
      <c r="U41" s="244"/>
      <c r="V41" s="244"/>
      <c r="W41" s="244"/>
      <c r="X41" s="244"/>
      <c r="Y41" s="244"/>
      <c r="Z41" s="378"/>
      <c r="AA41" s="113"/>
    </row>
    <row r="42" spans="2:29" ht="120">
      <c r="B42" s="141">
        <v>32</v>
      </c>
      <c r="C42" s="142" t="s">
        <v>135</v>
      </c>
      <c r="D42" s="241">
        <v>2</v>
      </c>
      <c r="E42" s="143">
        <v>45807</v>
      </c>
      <c r="F42" s="144">
        <v>0.375</v>
      </c>
      <c r="G42" s="143">
        <v>45807</v>
      </c>
      <c r="H42" s="144">
        <v>0.67361111111111116</v>
      </c>
      <c r="I42" s="242">
        <f t="shared" si="5"/>
        <v>0.29861111111111116</v>
      </c>
      <c r="J42" s="119">
        <f t="shared" si="6"/>
        <v>0.59722222222222232</v>
      </c>
      <c r="K42" s="146">
        <v>2</v>
      </c>
      <c r="L42" s="147">
        <v>201</v>
      </c>
      <c r="M42" s="148" t="s">
        <v>139</v>
      </c>
      <c r="N42" s="248" t="s">
        <v>213</v>
      </c>
      <c r="O42" s="382">
        <v>2</v>
      </c>
      <c r="P42" s="385">
        <v>2</v>
      </c>
      <c r="Q42" s="246">
        <v>1</v>
      </c>
      <c r="R42" s="244"/>
      <c r="S42" s="244"/>
      <c r="T42" s="244"/>
      <c r="U42" s="244"/>
      <c r="V42" s="244"/>
      <c r="W42" s="244">
        <v>1</v>
      </c>
      <c r="X42" s="244"/>
      <c r="Y42" s="244"/>
      <c r="Z42" s="378"/>
      <c r="AA42" s="150"/>
    </row>
    <row r="43" spans="2:29" ht="120">
      <c r="B43" s="141">
        <v>33</v>
      </c>
      <c r="C43" s="142" t="s">
        <v>135</v>
      </c>
      <c r="D43" s="389">
        <v>2</v>
      </c>
      <c r="E43" s="143">
        <v>45824</v>
      </c>
      <c r="F43" s="144">
        <v>0.375</v>
      </c>
      <c r="G43" s="143">
        <v>45824</v>
      </c>
      <c r="H43" s="144">
        <v>0.6875</v>
      </c>
      <c r="I43" s="242">
        <f t="shared" si="5"/>
        <v>0.3125</v>
      </c>
      <c r="J43" s="119">
        <f t="shared" si="6"/>
        <v>0.625</v>
      </c>
      <c r="K43" s="147" t="s">
        <v>214</v>
      </c>
      <c r="L43" s="147" t="s">
        <v>215</v>
      </c>
      <c r="M43" s="148" t="s">
        <v>139</v>
      </c>
      <c r="N43" s="248" t="s">
        <v>216</v>
      </c>
      <c r="O43" s="396">
        <v>1.5</v>
      </c>
      <c r="P43" s="385">
        <v>5</v>
      </c>
      <c r="Q43" s="246">
        <v>2</v>
      </c>
      <c r="R43" s="244">
        <v>12</v>
      </c>
      <c r="S43" s="244"/>
      <c r="T43" s="244"/>
      <c r="U43" s="244"/>
      <c r="V43" s="244"/>
      <c r="W43" s="244"/>
      <c r="X43" s="244"/>
      <c r="Y43" s="244"/>
      <c r="Z43" s="378"/>
      <c r="AA43" s="150"/>
    </row>
    <row r="44" spans="2:29" ht="168">
      <c r="B44" s="141">
        <v>34</v>
      </c>
      <c r="C44" s="142" t="s">
        <v>135</v>
      </c>
      <c r="D44" s="241">
        <v>2</v>
      </c>
      <c r="E44" s="143">
        <v>45825</v>
      </c>
      <c r="F44" s="144">
        <v>0.375</v>
      </c>
      <c r="G44" s="143">
        <v>45825</v>
      </c>
      <c r="H44" s="144">
        <v>0.6875</v>
      </c>
      <c r="I44" s="242">
        <f t="shared" si="5"/>
        <v>0.3125</v>
      </c>
      <c r="J44" s="119">
        <f t="shared" si="6"/>
        <v>0.625</v>
      </c>
      <c r="K44" s="146">
        <v>2</v>
      </c>
      <c r="L44" s="147" t="s">
        <v>217</v>
      </c>
      <c r="M44" s="148" t="s">
        <v>139</v>
      </c>
      <c r="N44" s="248" t="s">
        <v>218</v>
      </c>
      <c r="O44" s="382">
        <v>2</v>
      </c>
      <c r="P44" s="385">
        <v>3</v>
      </c>
      <c r="Q44" s="246">
        <v>1</v>
      </c>
      <c r="R44" s="244"/>
      <c r="S44" s="244"/>
      <c r="T44" s="244"/>
      <c r="U44" s="244"/>
      <c r="V44" s="244"/>
      <c r="W44" s="244">
        <v>1</v>
      </c>
      <c r="X44" s="244"/>
      <c r="Y44" s="244"/>
      <c r="Z44" s="378"/>
      <c r="AA44" s="150"/>
    </row>
    <row r="45" spans="2:29" ht="50.1" customHeight="1" thickBot="1">
      <c r="B45" s="151" t="s">
        <v>82</v>
      </c>
      <c r="C45" s="152"/>
      <c r="D45" s="249"/>
      <c r="E45" s="153"/>
      <c r="F45" s="154"/>
      <c r="G45" s="153"/>
      <c r="H45" s="154"/>
      <c r="I45" s="250"/>
      <c r="J45" s="140"/>
      <c r="K45" s="156"/>
      <c r="L45" s="157"/>
      <c r="M45" s="157"/>
      <c r="N45" s="251"/>
      <c r="O45" s="383"/>
      <c r="P45" s="386"/>
      <c r="Q45" s="252"/>
      <c r="R45" s="253"/>
      <c r="S45" s="253"/>
      <c r="T45" s="253"/>
      <c r="U45" s="253"/>
      <c r="V45" s="253"/>
      <c r="W45" s="253"/>
      <c r="X45" s="253"/>
      <c r="Y45" s="253"/>
      <c r="Z45" s="379"/>
      <c r="AA45" s="150"/>
    </row>
    <row r="46" spans="2:29" ht="69.95" customHeight="1" thickTop="1" thickBot="1">
      <c r="B46" s="426" t="s">
        <v>249</v>
      </c>
      <c r="C46" s="427"/>
      <c r="D46" s="390">
        <f>SUM(D29:D45)</f>
        <v>31</v>
      </c>
      <c r="E46" s="159"/>
      <c r="F46" s="160"/>
      <c r="G46" s="159"/>
      <c r="H46" s="160"/>
      <c r="I46" s="347">
        <f>SUM(I29:I45)</f>
        <v>4.4722222222222232</v>
      </c>
      <c r="J46" s="347">
        <f>SUM(J29:J45)</f>
        <v>8.9027777777777786</v>
      </c>
      <c r="K46" s="204"/>
      <c r="L46" s="205"/>
      <c r="M46" s="204"/>
      <c r="N46" s="206"/>
      <c r="O46" s="399">
        <f>SUM(O29:O35)</f>
        <v>12</v>
      </c>
      <c r="P46" s="400">
        <f>SUM(P29:P33)+0.09</f>
        <v>16.09</v>
      </c>
      <c r="Q46" s="401">
        <f t="shared" ref="Q46:V46" si="8">SUM(Q29:Q45)</f>
        <v>32</v>
      </c>
      <c r="R46" s="401">
        <f t="shared" si="8"/>
        <v>24</v>
      </c>
      <c r="S46" s="401">
        <f t="shared" si="8"/>
        <v>5</v>
      </c>
      <c r="T46" s="401">
        <f t="shared" si="8"/>
        <v>5</v>
      </c>
      <c r="U46" s="401">
        <f t="shared" si="8"/>
        <v>5</v>
      </c>
      <c r="V46" s="401">
        <f t="shared" si="8"/>
        <v>3</v>
      </c>
      <c r="W46" s="401">
        <f t="shared" ref="W46" si="9">SUM(W29:W45)</f>
        <v>2</v>
      </c>
      <c r="X46" s="401">
        <f>SUM(X29:X45)</f>
        <v>1</v>
      </c>
      <c r="Y46" s="401">
        <f>SUM(Y29:Y45)</f>
        <v>1</v>
      </c>
      <c r="Z46" s="380"/>
      <c r="AA46" s="150"/>
    </row>
    <row r="47" spans="2:29" ht="60.75" customHeight="1" thickBot="1">
      <c r="O47" s="444">
        <f>SUM(O29:O45)-SUM(D29:D45)</f>
        <v>-4</v>
      </c>
      <c r="P47" s="444" t="s">
        <v>253</v>
      </c>
      <c r="Z47" s="113"/>
      <c r="AA47" s="150"/>
      <c r="AB47" s="113"/>
      <c r="AC47" s="113"/>
    </row>
    <row r="48" spans="2:29" ht="31.5">
      <c r="R48" s="216"/>
      <c r="S48" s="217"/>
      <c r="AA48" s="150"/>
    </row>
    <row r="49" spans="27:27" ht="31.5">
      <c r="AA49" s="161"/>
    </row>
  </sheetData>
  <mergeCells count="14">
    <mergeCell ref="Z3:Z4"/>
    <mergeCell ref="B3:B4"/>
    <mergeCell ref="C3:C4"/>
    <mergeCell ref="D3:D4"/>
    <mergeCell ref="E3:F3"/>
    <mergeCell ref="G3:H3"/>
    <mergeCell ref="K3:K4"/>
    <mergeCell ref="B46:C46"/>
    <mergeCell ref="P3:Y3"/>
    <mergeCell ref="B26:C26"/>
    <mergeCell ref="L3:L4"/>
    <mergeCell ref="M3:M4"/>
    <mergeCell ref="N3:N4"/>
    <mergeCell ref="O3:O4"/>
  </mergeCells>
  <phoneticPr fontId="9" type="noConversion"/>
  <pageMargins left="0.7" right="0.7" top="0.75" bottom="0.75" header="0.3" footer="0.3"/>
  <pageSetup paperSize="9" scale="36"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8879B-E896-4C8B-A97E-0DC3DF119245}">
  <dimension ref="A1"/>
  <sheetViews>
    <sheetView zoomScale="68" zoomScaleNormal="68" workbookViewId="0">
      <selection activeCell="T59" sqref="T59"/>
    </sheetView>
  </sheetViews>
  <sheetFormatPr defaultRowHeight="16.5"/>
  <sheetData/>
  <phoneticPr fontId="9"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갑지</vt:lpstr>
      <vt:lpstr>내역서(표준단가)</vt:lpstr>
      <vt:lpstr>관리소 접수 입력-3차</vt:lpstr>
      <vt:lpstr>시중가 근거서류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2025-10-17T03:33:10Z</dcterms:modified>
</cp:coreProperties>
</file>
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현재_통합_문서"/>
  <xr:revisionPtr revIDLastSave="0" documentId="13_ncr:1_{C58CE74D-E300-4750-9D7B-8AB5249EA334}" xr6:coauthVersionLast="47" xr6:coauthVersionMax="47" xr10:uidLastSave="{00000000-0000-0000-0000-000000000000}"/>
  <bookViews>
    <workbookView xWindow="390" yWindow="390" windowWidth="14610" windowHeight="15585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 l="1"/>
  <c r="D2" i="1"/>
  <c r="C2" i="1"/>
  <c r="B2" i="1"/>
  <c r="A5" i="4"/>
  <c r="A2" i="1" s="1"/>
  <c r="Q6" i="4" l="1"/>
  <c r="O6" i="4"/>
  <c r="M6" i="4"/>
  <c r="K6" i="4"/>
  <c r="R6" i="4" l="1"/>
  <c r="K5" i="4"/>
  <c r="Q5" i="4" l="1"/>
  <c r="O5" i="4"/>
  <c r="R5" i="4" l="1"/>
  <c r="Q7" i="4"/>
  <c r="M7" i="4"/>
  <c r="O7" i="4" l="1"/>
  <c r="R7" i="4" l="1"/>
  <c r="F18" i="5" l="1"/>
  <c r="K7" i="4" l="1"/>
  <c r="F17" i="5" l="1"/>
  <c r="F16" i="5"/>
  <c r="F26" i="5" l="1"/>
  <c r="F22" i="5"/>
  <c r="F23" i="5" s="1"/>
  <c r="F21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<sst xmlns="http://schemas.openxmlformats.org/spreadsheetml/2006/main" count="130" uniqueCount="109">
  <si>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</si>
  <si>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</si>
  <si>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</si>
  <si>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</si>
  <si>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</si>
  <si>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</si>
  <si>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</si>
  <si>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</si>
  <si>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</si>
  <si>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</si>
  <si>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</si>
  <si>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</si>
  <si>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</si>
  <si>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</si>
  <si>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</si>
  <si>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</si>
  <si>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</si>
  <si>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</si>
  <si>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</si>
  <si>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</si>
  <si>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</si>
  <si>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</si>
  <si>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</si>
  <si>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</si>
  <si>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</si>
  <si>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</si>
  <si>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</si>
  <si>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</si>
  <si>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</si>
  <si>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</si>
  <si>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</si>
  <si>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</si>
  <si>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</si>
  <si>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</si>
  <si>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</si>
  <si>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</si>
  <si>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</si>
  <si>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</si>
  <si>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</si>
  <si>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</si>
  <si>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</si>
  <si>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</si>
  <si>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</si>
  <si>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</si>
  <si>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</si>
  <si>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</si>
  <si>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</si>
  <si>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</si>
  <si>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</si>
  <si>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</si>
  <si>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</si>
  <si>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</si>
  <si>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</si>
  <si>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</si>
  <si>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</si>
  <si>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</si>
  <si>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</si>
  <si>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</si>
  <si>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</si>
  <si>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</si>
  <si>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</si>
  <si>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</si>
  <si>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</si>
  <si>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</si>
  <si>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</si>
  <si>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</si>
  <si>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</si>
  <si>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</si>
  <si>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</si>
  <si>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</si>
  <si>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</si>
  <si>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</si>
  <si>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</si>
  <si>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</si>
  <si>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</si>
  <si>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</si>
  <si>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</si>
  <si>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</si>
  <si>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</si>
  <si>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</si>
  <si>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</si>
  <si>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</si>
  <si>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</si>
  <si>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</si>
  <si>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</si>
  <si>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</si>
  <si>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</si>
  <si>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</si>
  <si>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</si>
  <si>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</si>
  <si>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</si>
  <si>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</si>
  <si>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</si>
  <si>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</si>
  <si>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</si>
  <si>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</si>
  <si>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</si>
  <si>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</si>
  <si>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</si>
  <si>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</si>
  <si>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</si>
  <si>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</si>
  <si>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</si>
  <si>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</si>
  <si>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</si>
  <si>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</si>
  <si>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</si>
  <si>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2-403 씽크대 상하부장 문짝교체</t>
    <phoneticPr fontId="12" type="noConversion"/>
  </si>
  <si>
    <t xml:space="preserve"> 견적일 : 2026년  08월  06일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</si>
</sst>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0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177" fontId="20" fillId="10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DF2124-FA58-48BE-84C9-DF36E58C7D5E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F31" sqref="F3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2" t="s">
        <v>6</v>
      </c>
      <c r="B2" s="122"/>
      <c r="C2" s="122"/>
      <c r="D2" s="122"/>
      <c r="E2" s="122"/>
      <c r="F2" s="122"/>
      <c r="G2" s="122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5" t="s">
        <v>107</v>
      </c>
      <c r="B7" s="126"/>
      <c r="C7" s="127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5" t="s">
        <v>108</v>
      </c>
      <c r="B9" s="126"/>
      <c r="C9" s="127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3"/>
      <c r="B11" s="124"/>
      <c r="C11" s="124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일백일십오만이천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1074490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5" t="s">
        <v>23</v>
      </c>
      <c r="C21" s="116" t="s">
        <v>105</v>
      </c>
      <c r="D21" s="117">
        <v>1</v>
      </c>
      <c r="E21" s="117" t="s">
        <v>24</v>
      </c>
      <c r="F21" s="118">
        <f>F17*4.75%</f>
        <v>10663.275</v>
      </c>
      <c r="G21" s="35" t="s">
        <v>25</v>
      </c>
    </row>
    <row r="22" spans="1:7" ht="33" customHeight="1" x14ac:dyDescent="0.2">
      <c r="A22" s="29"/>
      <c r="B22" s="119" t="s">
        <v>26</v>
      </c>
      <c r="C22" s="116" t="s">
        <v>106</v>
      </c>
      <c r="D22" s="120">
        <v>1</v>
      </c>
      <c r="E22" s="120" t="s">
        <v>24</v>
      </c>
      <c r="F22" s="121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104</v>
      </c>
      <c r="D26" s="30">
        <v>1</v>
      </c>
      <c r="E26" s="30" t="s">
        <v>24</v>
      </c>
      <c r="F26" s="43">
        <f>(F16+F17)*3.11%</f>
        <v>33416.638999999996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14397.232065362501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77851.873372612507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1152341.8733726125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1152000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5" zoomScaleNormal="85" workbookViewId="0">
      <pane ySplit="4" topLeftCell="A5" activePane="bottomLeft" state="frozen"/>
      <selection pane="bottomLeft" activeCell="F7" sqref="F7"/>
    </sheetView>
  </sheetViews>
  <sheetFormatPr defaultColWidth="9" defaultRowHeight="38.1" customHeight="1" x14ac:dyDescent="0.3"/>
  <cols>
    <col min="1" max="1" width="8.875" style="110" customWidth="1"/>
    <col min="2" max="2" width="20.625" style="62" hidden="1" customWidth="1"/>
    <col min="3" max="3" width="15.125" style="62" hidden="1" customWidth="1"/>
    <col min="4" max="4" width="14.625" style="62" hidden="1" customWidth="1"/>
    <col min="5" max="5" width="13.875" style="62" hidden="1" customWidth="1"/>
    <col min="6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hidden="1" customWidth="1"/>
    <col min="15" max="15" width="8.25" style="62" hidden="1" customWidth="1"/>
    <col min="16" max="16" width="6.375" style="62" hidden="1" customWidth="1"/>
    <col min="17" max="17" width="8.25" style="62" hidden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8"/>
      <c r="B1" s="128"/>
      <c r="C1" s="128"/>
      <c r="D1" s="128"/>
      <c r="E1" s="128"/>
      <c r="J1" s="63"/>
      <c r="K1" s="103" t="s">
        <v>80</v>
      </c>
      <c r="M1" s="103" t="s">
        <v>80</v>
      </c>
      <c r="O1" s="103" t="s">
        <v>80</v>
      </c>
      <c r="Q1" s="103" t="s">
        <v>80</v>
      </c>
    </row>
    <row r="2" spans="1:20" ht="19.899999999999999" customHeight="1" thickBot="1" x14ac:dyDescent="0.35">
      <c r="A2" s="128"/>
      <c r="B2" s="128"/>
      <c r="C2" s="128"/>
      <c r="D2" s="128"/>
      <c r="E2" s="128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81</v>
      </c>
      <c r="C3" s="105"/>
      <c r="D3" s="105"/>
      <c r="E3" s="105"/>
      <c r="F3" s="139" t="s">
        <v>82</v>
      </c>
      <c r="G3" s="139"/>
      <c r="H3" s="137" t="s">
        <v>50</v>
      </c>
      <c r="I3" s="137" t="s">
        <v>5</v>
      </c>
      <c r="J3" s="133" t="s">
        <v>83</v>
      </c>
      <c r="K3" s="133"/>
      <c r="L3" s="133" t="s">
        <v>84</v>
      </c>
      <c r="M3" s="133"/>
      <c r="N3" s="134" t="s">
        <v>85</v>
      </c>
      <c r="O3" s="134"/>
      <c r="P3" s="134" t="s">
        <v>86</v>
      </c>
      <c r="Q3" s="134"/>
      <c r="R3" s="135" t="s">
        <v>87</v>
      </c>
      <c r="S3" s="131" t="s">
        <v>88</v>
      </c>
      <c r="T3" s="129" t="s">
        <v>44</v>
      </c>
    </row>
    <row r="4" spans="1:20" ht="19.899999999999999" customHeight="1" x14ac:dyDescent="0.3">
      <c r="A4" s="66" t="s">
        <v>89</v>
      </c>
      <c r="B4" s="67" t="s">
        <v>90</v>
      </c>
      <c r="C4" s="67" t="s">
        <v>91</v>
      </c>
      <c r="D4" s="67" t="s">
        <v>92</v>
      </c>
      <c r="E4" s="67" t="s">
        <v>93</v>
      </c>
      <c r="F4" s="101" t="s">
        <v>94</v>
      </c>
      <c r="G4" s="101" t="s">
        <v>95</v>
      </c>
      <c r="H4" s="138"/>
      <c r="I4" s="138"/>
      <c r="J4" s="68" t="s">
        <v>96</v>
      </c>
      <c r="K4" s="69" t="s">
        <v>97</v>
      </c>
      <c r="L4" s="68" t="s">
        <v>98</v>
      </c>
      <c r="M4" s="69" t="s">
        <v>97</v>
      </c>
      <c r="N4" s="69" t="s">
        <v>99</v>
      </c>
      <c r="O4" s="69" t="s">
        <v>97</v>
      </c>
      <c r="P4" s="69" t="s">
        <v>99</v>
      </c>
      <c r="Q4" s="69" t="s">
        <v>97</v>
      </c>
      <c r="R4" s="136"/>
      <c r="S4" s="132"/>
      <c r="T4" s="130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100</v>
      </c>
      <c r="F5" s="88" t="s">
        <v>101</v>
      </c>
      <c r="G5" s="89" t="s">
        <v>102</v>
      </c>
      <c r="H5" s="72" t="s">
        <v>103</v>
      </c>
      <c r="I5" s="99">
        <v>1</v>
      </c>
      <c r="J5" s="96"/>
      <c r="K5" s="97">
        <f>I5*J5</f>
        <v>0</v>
      </c>
      <c r="L5" s="114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85"/>
      <c r="E6" s="71"/>
      <c r="F6" s="88" t="s">
        <v>73</v>
      </c>
      <c r="G6" s="89" t="s">
        <v>74</v>
      </c>
      <c r="H6" s="72" t="s">
        <v>75</v>
      </c>
      <c r="I6" s="99">
        <v>1</v>
      </c>
      <c r="J6" s="96">
        <v>850000</v>
      </c>
      <c r="K6" s="97">
        <f>I6*J6</f>
        <v>850000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850000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2">
        <f>SUM(K5:K6)</f>
        <v>850000</v>
      </c>
      <c r="M7" s="112">
        <f>SUM(M5:M6)</f>
        <v>224490</v>
      </c>
      <c r="O7" s="109">
        <f>SUM(O5:O6)</f>
        <v>0</v>
      </c>
      <c r="Q7" s="109">
        <f>SUM(Q5:Q6)</f>
        <v>0</v>
      </c>
      <c r="R7" s="113">
        <f>SUM(R5:R6)</f>
        <v>1074490</v>
      </c>
      <c r="S7" s="77"/>
    </row>
    <row r="11" spans="1:20" ht="38.1" customHeight="1" x14ac:dyDescent="0.3">
      <c r="M11" s="11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1" zoomScale="115" zoomScaleNormal="115" zoomScaleSheetLayoutView="85" workbookViewId="0">
      <selection activeCell="P22" sqref="P22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76</v>
      </c>
      <c r="C2" s="63" t="s">
        <v>77</v>
      </c>
      <c r="D2" s="63" t="s">
        <v>78</v>
      </c>
      <c r="E2" s="63" t="s">
        <v>79</v>
      </c>
      <c r="F2" s="81">
        <v>1</v>
      </c>
      <c r="G2" s="84">
        <v>850000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2026-01-20T04:07:01Z</dcterms:created>
  <dcterms:modified xsi:type="dcterms:W3CDTF">2026-08-13T03:38:31Z</dcterms:modified>
</cp:coreProperties>
</file>
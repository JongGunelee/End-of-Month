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9\06 작업폴더\04 사택 103-206 수장공사\01 자료\"/>
    </mc:Choice>
  </mc:AlternateContent>
  <xr:revisionPtr revIDLastSave="0" documentId="13_ncr:1_{A6674862-130B-4E72-9115-AB77982C37E2}" xr6:coauthVersionLast="47" xr6:coauthVersionMax="47" xr10:uidLastSave="{00000000-0000-0000-0000-000000000000}"/>
  <bookViews>
    <workbookView xWindow="1950" yWindow="675" windowWidth="14490" windowHeight="15525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D13" i="9"/>
  <c r="J22" i="12" l="1"/>
  <c r="J24" i="12"/>
  <c r="J23" i="12"/>
  <c r="J26" i="12"/>
  <c r="J25" i="12"/>
  <c r="J27" i="12" s="1"/>
  <c r="F2" i="10"/>
  <c r="E2" i="10"/>
  <c r="D2" i="10"/>
  <c r="C2" i="10"/>
  <c r="B2" i="10"/>
  <c r="J28" i="12" l="1"/>
  <c r="J20" i="12"/>
  <c r="U5" i="4"/>
  <c r="S5" i="4"/>
  <c r="Q5" i="4"/>
  <c r="O5" i="4"/>
  <c r="A5" i="4"/>
  <c r="A2" i="10" s="1"/>
  <c r="J30" i="12" l="1"/>
  <c r="V5" i="4"/>
  <c r="M32" i="12" l="1"/>
  <c r="B15" i="12" s="1"/>
  <c r="H26" i="9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V8" i="4"/>
  <c r="V11" i="4"/>
  <c r="V10" i="4"/>
  <c r="U13" i="4" l="1"/>
  <c r="O13" i="4"/>
  <c r="S13" i="4"/>
  <c r="V1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<sst xmlns="http://schemas.openxmlformats.org/spreadsheetml/2006/main" count="216" uniqueCount="167">
  <si>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</si>
  <si>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</si>
  <si>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</si>
  <si>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</si>
  <si>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</si>
  <si>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</si>
  <si>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</si>
  <si>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</si>
  <si>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</si>
  <si>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</si>
  <si>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</si>
  <si>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</si>
  <si>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</si>
  <si>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</si>
  <si>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</si>
  <si>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</si>
  <si>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</si>
  <si>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</si>
  <si>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</si>
  <si>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</si>
  <si>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</si>
  <si>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</si>
  <si>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</si>
  <si>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</si>
  <si>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</si>
  <si>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</si>
  <si>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</si>
  <si>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</si>
  <si>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</si>
  <si>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</si>
  <si>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</si>
  <si>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</si>
  <si>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</si>
  <si>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</si>
  <si>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</si>
  <si>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</si>
  <si>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</si>
  <si>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</si>
  <si>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</si>
  <si>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</si>
  <si>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</si>
  <si>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</si>
  <si>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</si>
  <si>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</si>
  <si>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</si>
  <si>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</si>
  <si>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</si>
  <si>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</si>
  <si>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</si>
  <si>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</si>
  <si>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</si>
  <si>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</si>
  <si>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</si>
  <si>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</si>
  <si>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</si>
  <si>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</si>
  <si>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</si>
  <si>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</si>
  <si>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</si>
  <si>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</si>
  <si>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</si>
  <si>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</si>
  <si>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</si>
  <si>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</si>
  <si>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</si>
  <si>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</si>
  <si>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</si>
  <si>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</si>
  <si>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</si>
  <si>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</si>
  <si>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</si>
  <si>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</si>
  <si>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</si>
  <si>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</si>
  <si>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</si>
  <si>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</si>
  <si>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</si>
  <si>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</si>
  <si>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</si>
  <si>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</si>
  <si>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</si>
  <si>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</si>
  <si>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</si>
  <si>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</si>
  <si>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</si>
  <si>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</si>
  <si>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</si>
  <si>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</si>
  <si>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</si>
  <si>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</si>
  <si>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</si>
  <si>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</si>
  <si>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</si>
  <si>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</si>
  <si>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</si>
  <si>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</si>
  <si>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</si>
  <si>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6" type="noConversion"/>
  </si>
  <si>
    <t xml:space="preserve">일당 시공량-61㎡ 적산정보 500p 참조,시공총량61.8/일당61=0.0.8196, </t>
    <phoneticPr fontId="6" type="noConversion"/>
  </si>
  <si>
    <t>사택 103-206 수장공사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</si>
  <si>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소요량186/16.51=11.2659R/L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</si>
  <si>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</si>
  <si>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</si>
  <si>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</si>
  <si>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</si>
  <si>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</si>
  <si>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</si>
  <si>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</si>
  <si>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</si>
  <si>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</si>
  <si>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</si>
  <si>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</si>
  <si>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</si>
  <si>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</si>
  <si>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</si>
  <si>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</si>
  <si>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</si>
  <si>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</si>
  <si>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</si>
  <si>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</si>
  <si>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</si>
  <si>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</si>
  <si>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</si>
  <si>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</si>
  <si>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</si>
  <si>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</si>
  <si>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</si>
  <si>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</si>
  <si>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</si>
  <si>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</si>
  <si>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</si>
  <si>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</si>
  <si>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</si>
  <si>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</si>
  <si>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</si>
  <si>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</si>
  <si>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</si>
  <si>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</si>
  <si>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</si>
  <si>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</si>
  <si>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</si>
  <si>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</si>
  <si>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</si>
  <si>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</si>
  <si>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</si>
  <si>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</si>
  <si>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</si>
  <si>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</si>
  <si>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</si>
  <si>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</si>
  <si>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</si>
  <si>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</si>
  <si>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</si>
  <si>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</si>
  <si>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</si>
  <si>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</si>
  <si>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</si>
  <si>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</si>
  <si>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</si>
  <si>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</si>
  <si>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</si>
  <si>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</si>
  <si>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</si>
  <si>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</si>
  <si>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</si>
  <si>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103-206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</si>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</sst>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81" fontId="23" fillId="0" borderId="10" xfId="13" quotePrefix="1" applyNumberFormat="1" applyFont="1" applyBorder="1" applyAlignment="1">
      <alignment horizontal="center" vertical="center"/>
    </xf>
    <xf numFmtId="176" fontId="22" fillId="0" borderId="10" xfId="11" applyFont="1" applyBorder="1" applyAlignment="1">
      <alignment vertical="center"/>
    </xf>
    <xf numFmtId="183" fontId="22" fillId="0" borderId="10" xfId="11" applyNumberFormat="1" applyFont="1" applyBorder="1" applyAlignment="1">
      <alignment horizontal="center" vertical="center"/>
    </xf>
    <xf numFmtId="176" fontId="22" fillId="0" borderId="10" xfId="11" applyFont="1" applyBorder="1" applyAlignment="1">
      <alignment horizontal="center" vertical="center"/>
    </xf>
    <xf numFmtId="184" fontId="22" fillId="0" borderId="10" xfId="11" applyNumberFormat="1" applyFont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right" vertical="center" wrapText="1"/>
    </xf>
    <xf numFmtId="184" fontId="22" fillId="9" borderId="10" xfId="11" applyNumberFormat="1" applyFont="1" applyFill="1" applyBorder="1" applyAlignment="1">
      <alignment horizontal="center" vertical="center"/>
    </xf>
    <xf numFmtId="183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4" fontId="23" fillId="10" borderId="10" xfId="11" applyNumberFormat="1" applyFont="1" applyFill="1" applyBorder="1" applyAlignment="1">
      <alignment horizontal="center" vertical="center"/>
    </xf>
    <xf numFmtId="181" fontId="23" fillId="10" borderId="10" xfId="11" applyNumberFormat="1" applyFont="1" applyFill="1" applyBorder="1" applyAlignment="1">
      <alignment horizontal="right" vertical="center" wrapText="1"/>
    </xf>
    <xf numFmtId="181" fontId="23" fillId="10" borderId="10" xfId="11" applyNumberFormat="1" applyFont="1" applyFill="1" applyBorder="1" applyAlignment="1">
      <alignment horizontal="center" vertical="center" wrapText="1"/>
    </xf>
    <xf numFmtId="183" fontId="22" fillId="4" borderId="10" xfId="11" applyNumberFormat="1" applyFont="1" applyFill="1" applyBorder="1" applyAlignment="1">
      <alignment horizontal="center" vertical="center"/>
    </xf>
    <xf numFmtId="176" fontId="22" fillId="4" borderId="10" xfId="11" applyFont="1" applyFill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center" vertical="center" wrapText="1"/>
    </xf>
    <xf numFmtId="183" fontId="23" fillId="10" borderId="10" xfId="11" applyNumberFormat="1" applyFont="1" applyFill="1" applyBorder="1" applyAlignment="1">
      <alignment horizontal="center" vertical="center"/>
    </xf>
    <xf numFmtId="176" fontId="23" fillId="10" borderId="10" xfId="11" applyFont="1" applyFill="1" applyBorder="1" applyAlignment="1">
      <alignment horizontal="center" vertical="center"/>
    </xf>
    <xf numFmtId="181" fontId="17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81" fontId="22" fillId="10" borderId="10" xfId="11" applyNumberFormat="1" applyFont="1" applyFill="1" applyBorder="1" applyAlignment="1">
      <alignment horizontal="right" vertical="center" wrapText="1"/>
    </xf>
    <xf numFmtId="181" fontId="22" fillId="10" borderId="10" xfId="11" applyNumberFormat="1" applyFont="1" applyFill="1" applyBorder="1" applyAlignment="1">
      <alignment vertical="center" wrapText="1"/>
    </xf>
    <xf numFmtId="181" fontId="23" fillId="10" borderId="10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1" fillId="10" borderId="10" xfId="11" applyNumberFormat="1" applyFont="1" applyFill="1" applyBorder="1" applyAlignment="1">
      <alignment horizontal="center" vertical="center"/>
    </xf>
    <xf numFmtId="0" fontId="21" fillId="10" borderId="15" xfId="1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21" fillId="0" borderId="14" xfId="11" applyNumberFormat="1" applyFont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7" borderId="10" xfId="11" applyNumberFormat="1" applyFont="1" applyFill="1" applyBorder="1" applyAlignment="1">
      <alignment horizontal="center" vertical="center"/>
    </xf>
    <xf numFmtId="183" fontId="22" fillId="7" borderId="10" xfId="11" applyNumberFormat="1" applyFont="1" applyFill="1" applyBorder="1" applyAlignment="1">
      <alignment horizontal="center" vertical="center"/>
    </xf>
    <xf numFmtId="176" fontId="22" fillId="7" borderId="10" xfId="11" applyFont="1" applyFill="1" applyBorder="1" applyAlignment="1">
      <alignment horizontal="center" vertical="center"/>
    </xf>
    <xf numFmtId="184" fontId="23" fillId="7" borderId="10" xfId="11" applyNumberFormat="1" applyFont="1" applyFill="1" applyBorder="1" applyAlignment="1">
      <alignment horizontal="center" vertical="center"/>
    </xf>
    <xf numFmtId="181" fontId="23" fillId="7" borderId="10" xfId="11" applyNumberFormat="1" applyFont="1" applyFill="1" applyBorder="1" applyAlignment="1">
      <alignment horizontal="right" vertical="center" wrapText="1"/>
    </xf>
    <xf numFmtId="187" fontId="22" fillId="4" borderId="10" xfId="11" applyNumberFormat="1" applyFont="1" applyFill="1" applyBorder="1" applyAlignment="1">
      <alignment horizontal="center" vertical="center" wrapText="1"/>
    </xf>
    <xf numFmtId="49" fontId="17" fillId="11" borderId="17" xfId="0" applyNumberFormat="1" applyFont="1" applyFill="1" applyBorder="1" applyAlignment="1">
      <alignment horizontal="center" vertical="center" wrapText="1"/>
    </xf>
    <xf numFmtId="188" fontId="17" fillId="6" borderId="17" xfId="1" applyNumberFormat="1" applyFont="1" applyFill="1" applyBorder="1" applyAlignment="1">
      <alignment horizontal="center" vertical="center"/>
    </xf>
    <xf numFmtId="188" fontId="17" fillId="0" borderId="17" xfId="1" applyNumberFormat="1" applyFont="1" applyBorder="1" applyAlignment="1">
      <alignment horizontal="center" vertical="center"/>
    </xf>
    <xf numFmtId="189" fontId="17" fillId="0" borderId="17" xfId="1" applyNumberFormat="1" applyFont="1" applyBorder="1" applyAlignment="1">
      <alignment horizontal="center" vertical="center"/>
    </xf>
    <xf numFmtId="188" fontId="18" fillId="0" borderId="0" xfId="1" applyNumberFormat="1" applyFont="1" applyAlignment="1">
      <alignment horizontal="center" vertical="center"/>
    </xf>
    <xf numFmtId="186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5" fontId="17" fillId="4" borderId="1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center" vertical="center" wrapText="1"/>
    </xf>
    <xf numFmtId="187" fontId="23" fillId="10" borderId="10" xfId="11" applyNumberFormat="1" applyFont="1" applyFill="1" applyBorder="1" applyAlignment="1">
      <alignment horizontal="center" vertical="center" wrapText="1"/>
    </xf>
    <xf numFmtId="0" fontId="17" fillId="4" borderId="10" xfId="11" applyNumberFormat="1" applyFont="1" applyFill="1" applyBorder="1" applyAlignment="1">
      <alignment vertical="center"/>
    </xf>
    <xf numFmtId="181" fontId="22" fillId="0" borderId="10" xfId="11" applyNumberFormat="1" applyFont="1" applyFill="1" applyBorder="1" applyAlignment="1">
      <alignment horizontal="right" vertical="center" wrapText="1"/>
    </xf>
    <xf numFmtId="184" fontId="22" fillId="4" borderId="10" xfId="11" applyNumberFormat="1" applyFont="1" applyFill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0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190" fontId="22" fillId="4" borderId="1" xfId="1" applyNumberFormat="1" applyFont="1" applyFill="1" applyBorder="1" applyAlignment="1">
      <alignment horizontal="right" vertical="center" wrapText="1"/>
    </xf>
    <xf numFmtId="176" fontId="17" fillId="4" borderId="1" xfId="1" applyFont="1" applyFill="1" applyBorder="1" applyAlignment="1">
      <alignment vertical="center"/>
    </xf>
    <xf numFmtId="183" fontId="22" fillId="6" borderId="10" xfId="11" applyNumberFormat="1" applyFont="1" applyFill="1" applyBorder="1" applyAlignment="1">
      <alignment horizontal="center" vertical="center"/>
    </xf>
    <xf numFmtId="176" fontId="22" fillId="6" borderId="10" xfId="11" applyFont="1" applyFill="1" applyBorder="1" applyAlignment="1">
      <alignment horizontal="center" vertical="center"/>
    </xf>
    <xf numFmtId="184" fontId="22" fillId="6" borderId="10" xfId="11" applyNumberFormat="1" applyFont="1" applyFill="1" applyBorder="1" applyAlignment="1">
      <alignment horizontal="center" vertical="center"/>
    </xf>
    <xf numFmtId="181" fontId="22" fillId="6" borderId="10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9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5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0" fontId="35" fillId="0" borderId="7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5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1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4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9" xfId="17" applyFont="1" applyFill="1" applyBorder="1" applyAlignment="1">
      <alignment vertical="center"/>
    </xf>
    <xf numFmtId="0" fontId="27" fillId="0" borderId="9" xfId="17" applyFont="1" applyFill="1" applyBorder="1" applyAlignment="1">
      <alignment vertical="center"/>
    </xf>
    <xf numFmtId="0" fontId="27" fillId="0" borderId="23" xfId="17" applyFont="1" applyFill="1" applyBorder="1" applyAlignment="1">
      <alignment horizontal="right" vertical="center"/>
    </xf>
    <xf numFmtId="0" fontId="27" fillId="0" borderId="24" xfId="17" applyFont="1" applyFill="1" applyBorder="1" applyAlignment="1">
      <alignment horizontal="center" vertical="center"/>
    </xf>
    <xf numFmtId="0" fontId="27" fillId="0" borderId="42" xfId="20" applyFont="1" applyFill="1" applyBorder="1" applyAlignment="1">
      <alignment horizontal="center" vertical="center"/>
    </xf>
    <xf numFmtId="0" fontId="27" fillId="0" borderId="44" xfId="20" applyFont="1" applyFill="1" applyBorder="1" applyAlignment="1">
      <alignment horizontal="center" vertical="center"/>
    </xf>
    <xf numFmtId="0" fontId="27" fillId="0" borderId="11" xfId="20" applyFont="1" applyFill="1" applyBorder="1" applyAlignment="1">
      <alignment horizontal="center" vertical="center"/>
    </xf>
    <xf numFmtId="0" fontId="31" fillId="0" borderId="52" xfId="20" applyFont="1" applyFill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12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3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3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Fill="1" applyBorder="1" applyAlignment="1">
      <alignment horizontal="left" vertical="center" wrapText="1" indent="1"/>
    </xf>
    <xf numFmtId="0" fontId="31" fillId="0" borderId="53" xfId="20" applyFont="1" applyFill="1" applyBorder="1" applyAlignment="1">
      <alignment horizontal="left" vertical="center" wrapText="1" indent="1"/>
    </xf>
    <xf numFmtId="0" fontId="31" fillId="0" borderId="54" xfId="20" applyFont="1" applyFill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Fill="1" applyBorder="1" applyAlignment="1">
      <alignment horizontal="center" vertical="center" wrapText="1"/>
    </xf>
    <xf numFmtId="0" fontId="27" fillId="0" borderId="47" xfId="20" applyFont="1" applyFill="1" applyBorder="1" applyAlignment="1">
      <alignment horizontal="center" vertical="center" wrapText="1"/>
    </xf>
    <xf numFmtId="0" fontId="27" fillId="0" borderId="48" xfId="20" applyFont="1" applyFill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12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3" xfId="21" applyFont="1" applyBorder="1" applyAlignment="1">
      <alignment horizontal="center" vertical="center"/>
    </xf>
    <xf numFmtId="176" fontId="27" fillId="0" borderId="12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Fill="1" applyBorder="1" applyAlignment="1">
      <alignment horizontal="center" vertical="center" wrapText="1"/>
    </xf>
    <xf numFmtId="0" fontId="27" fillId="0" borderId="24" xfId="20" applyFont="1" applyFill="1" applyBorder="1" applyAlignment="1">
      <alignment horizontal="center" vertical="center" wrapText="1"/>
    </xf>
    <xf numFmtId="0" fontId="27" fillId="0" borderId="43" xfId="20" applyFont="1" applyFill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2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9" borderId="23" xfId="17" applyFont="1" applyFill="1" applyBorder="1" applyAlignment="1">
      <alignment horizontal="center" vertical="center"/>
    </xf>
    <xf numFmtId="0" fontId="27" fillId="9" borderId="24" xfId="17" applyFont="1" applyFill="1" applyBorder="1" applyAlignment="1">
      <alignment horizontal="center" vertical="center"/>
    </xf>
    <xf numFmtId="0" fontId="27" fillId="9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3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2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81" fontId="17" fillId="0" borderId="11" xfId="11" applyNumberFormat="1" applyFont="1" applyBorder="1" applyAlignment="1">
      <alignment horizontal="center" vertical="center" wrapText="1"/>
    </xf>
    <xf numFmtId="181" fontId="17" fillId="0" borderId="15" xfId="11" applyNumberFormat="1" applyFont="1" applyBorder="1" applyAlignment="1">
      <alignment horizontal="center" vertical="center" wrapText="1"/>
    </xf>
    <xf numFmtId="0" fontId="17" fillId="9" borderId="15" xfId="11" applyNumberFormat="1" applyFont="1" applyFill="1" applyBorder="1" applyAlignment="1">
      <alignment vertical="center"/>
    </xf>
    <xf numFmtId="0" fontId="17" fillId="9" borderId="14" xfId="11" applyNumberFormat="1" applyFont="1" applyFill="1" applyBorder="1" applyAlignment="1">
      <alignment vertical="center"/>
    </xf>
    <xf numFmtId="181" fontId="17" fillId="0" borderId="14" xfId="11" applyNumberFormat="1" applyFont="1" applyBorder="1" applyAlignment="1">
      <alignment horizontal="center" vertical="center" wrapText="1"/>
    </xf>
    <xf numFmtId="0" fontId="17" fillId="0" borderId="10" xfId="11" applyNumberFormat="1" applyFont="1" applyBorder="1" applyAlignment="1">
      <alignment vertical="center"/>
    </xf>
    <xf numFmtId="0" fontId="17" fillId="0" borderId="11" xfId="11" applyNumberFormat="1" applyFont="1" applyBorder="1" applyAlignment="1">
      <alignment vertical="center"/>
    </xf>
    <xf numFmtId="0" fontId="17" fillId="0" borderId="15" xfId="11" applyNumberFormat="1" applyFont="1" applyBorder="1" applyAlignment="1">
      <alignment vertical="center"/>
    </xf>
    <xf numFmtId="182" fontId="21" fillId="10" borderId="12" xfId="11" applyNumberFormat="1" applyFont="1" applyFill="1" applyBorder="1" applyAlignment="1">
      <alignment vertical="center"/>
    </xf>
    <xf numFmtId="182" fontId="23" fillId="10" borderId="13" xfId="11" applyNumberFormat="1" applyFont="1" applyFill="1" applyBorder="1" applyAlignment="1">
      <alignment vertical="center"/>
    </xf>
    <xf numFmtId="0" fontId="19" fillId="0" borderId="9" xfId="13" applyFont="1" applyBorder="1" applyAlignment="1">
      <alignment horizontal="center" vertical="center"/>
    </xf>
    <xf numFmtId="0" fontId="21" fillId="0" borderId="10" xfId="13" quotePrefix="1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0" xfId="13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85FC996-E1D7-443E-BF96-6A8BAF932CE1}"/>
    <cellStyle name="쉼표 [0] 2 84" xfId="24" xr:uid="{396B8812-B415-441D-92CC-B18DFA79946B}"/>
    <cellStyle name="쉼표 [0] 3" xfId="14" xr:uid="{8F7BE219-40E1-4BBB-A9BD-02188B74B2A3}"/>
    <cellStyle name="쉼표 [0] 4" xfId="21" xr:uid="{35ADE072-2EB2-4003-ABCA-C99059A39E1D}"/>
    <cellStyle name="쉼표 [0] 5" xfId="23" xr:uid="{056FBA16-3563-4D94-87BF-913439323B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BD4211CA-FF37-43A4-A863-7A3E9E98727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1498C494-B8E7-42EE-9E89-4D8445D05306}"/>
    <cellStyle name="표준_P456 공장 및 복지동 전면 유리창 청소건 라상혁님_1129(최종)" xfId="20" xr:uid="{F9172D03-EA8D-43C2-A016-F3AE1E4C80DB}"/>
    <cellStyle name="표준_S&amp;D_MAIN VALVE_최빈_2" xfId="17" xr:uid="{912394AF-2C7F-47F7-AD29-0A3E4C813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BFC461A-82C0-4815-990B-41033DBD76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FA05-AAED-48DE-A3A0-1C1435AB4E08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254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257" t="s">
        <v>101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9"/>
    </row>
    <row r="4" spans="1:15" ht="16.5" customHeight="1" x14ac:dyDescent="0.3">
      <c r="A4" s="107" t="s">
        <v>102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166</v>
      </c>
      <c r="C5" s="168"/>
      <c r="D5" s="168"/>
      <c r="E5" s="168"/>
      <c r="F5" s="168"/>
      <c r="G5" s="169"/>
      <c r="H5" s="169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260" t="s">
        <v>103</v>
      </c>
      <c r="B7" s="261"/>
      <c r="C7" s="262"/>
      <c r="D7" s="170">
        <v>2025</v>
      </c>
      <c r="E7" s="120" t="s">
        <v>104</v>
      </c>
      <c r="F7" s="171">
        <v>7</v>
      </c>
      <c r="G7" s="120" t="s">
        <v>105</v>
      </c>
      <c r="H7" s="171">
        <v>9</v>
      </c>
      <c r="I7" s="120" t="s">
        <v>106</v>
      </c>
      <c r="J7" s="121"/>
      <c r="K7" s="263" t="s">
        <v>107</v>
      </c>
      <c r="L7" s="122" t="s">
        <v>108</v>
      </c>
      <c r="M7" s="122" t="s">
        <v>109</v>
      </c>
      <c r="N7" s="122" t="s">
        <v>110</v>
      </c>
      <c r="O7" s="123" t="s">
        <v>111</v>
      </c>
    </row>
    <row r="8" spans="1:15" ht="23.25" customHeight="1" x14ac:dyDescent="0.3">
      <c r="A8" s="266" t="s">
        <v>112</v>
      </c>
      <c r="B8" s="267"/>
      <c r="C8" s="268"/>
      <c r="D8" s="269" t="s">
        <v>113</v>
      </c>
      <c r="E8" s="270"/>
      <c r="F8" s="270"/>
      <c r="G8" s="271"/>
      <c r="H8" s="272" t="s">
        <v>114</v>
      </c>
      <c r="I8" s="270"/>
      <c r="J8" s="273"/>
      <c r="K8" s="264"/>
      <c r="L8" s="124" t="s">
        <v>115</v>
      </c>
      <c r="M8" s="124" t="s">
        <v>116</v>
      </c>
      <c r="N8" s="124" t="s">
        <v>117</v>
      </c>
      <c r="O8" s="125" t="s">
        <v>118</v>
      </c>
    </row>
    <row r="9" spans="1:15" ht="23.25" customHeight="1" x14ac:dyDescent="0.3">
      <c r="A9" s="266" t="s">
        <v>119</v>
      </c>
      <c r="B9" s="267"/>
      <c r="C9" s="268"/>
      <c r="D9" s="274" t="s">
        <v>120</v>
      </c>
      <c r="E9" s="275"/>
      <c r="F9" s="275"/>
      <c r="G9" s="275"/>
      <c r="H9" s="275"/>
      <c r="I9" s="275"/>
      <c r="J9" s="276"/>
      <c r="K9" s="264"/>
      <c r="L9" s="124" t="s">
        <v>121</v>
      </c>
      <c r="M9" s="277" t="s">
        <v>122</v>
      </c>
      <c r="N9" s="267"/>
      <c r="O9" s="268"/>
    </row>
    <row r="10" spans="1:15" ht="23.25" customHeight="1" thickBot="1" x14ac:dyDescent="0.35">
      <c r="A10" s="278" t="s">
        <v>123</v>
      </c>
      <c r="B10" s="279"/>
      <c r="C10" s="280"/>
      <c r="D10" s="281" t="s">
        <v>124</v>
      </c>
      <c r="E10" s="282"/>
      <c r="F10" s="282"/>
      <c r="G10" s="282"/>
      <c r="H10" s="282"/>
      <c r="I10" s="282"/>
      <c r="J10" s="283"/>
      <c r="K10" s="265"/>
      <c r="L10" s="126" t="s">
        <v>125</v>
      </c>
      <c r="M10" s="126" t="s">
        <v>126</v>
      </c>
      <c r="N10" s="126" t="s">
        <v>127</v>
      </c>
      <c r="O10" s="127" t="s">
        <v>128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253" t="s">
        <v>165</v>
      </c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135" t="s">
        <v>129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36" t="str">
        <f>"견 적 금 액 : 一金"&amp;NUMBERSTRING(M32,1) &amp; "원정""(\"&amp; TEXT(M32,"#,###")&amp;"원) [VAT 별도]"</f>
        <v>견 적 금 액 : 一金사백칠십만팔천오백원정"(\4,708,500원) [VAT 별도]</v>
      </c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7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8"/>
      <c r="L16" s="238"/>
      <c r="M16" s="238"/>
      <c r="N16" s="238"/>
      <c r="O16" s="239"/>
    </row>
    <row r="17" spans="1:17" ht="27.75" customHeight="1" thickBot="1" x14ac:dyDescent="0.35">
      <c r="A17" s="136" t="s">
        <v>130</v>
      </c>
      <c r="B17" s="246" t="s">
        <v>131</v>
      </c>
      <c r="C17" s="247"/>
      <c r="D17" s="247"/>
      <c r="E17" s="247"/>
      <c r="F17" s="247"/>
      <c r="G17" s="248"/>
      <c r="H17" s="137" t="s">
        <v>132</v>
      </c>
      <c r="I17" s="138" t="s">
        <v>133</v>
      </c>
      <c r="J17" s="249" t="s">
        <v>134</v>
      </c>
      <c r="K17" s="250"/>
      <c r="L17" s="250"/>
      <c r="M17" s="251"/>
      <c r="N17" s="246" t="s">
        <v>135</v>
      </c>
      <c r="O17" s="252"/>
    </row>
    <row r="18" spans="1:17" ht="28.5" customHeight="1" x14ac:dyDescent="0.3">
      <c r="A18" s="139">
        <v>1</v>
      </c>
      <c r="B18" s="240" t="s">
        <v>42</v>
      </c>
      <c r="C18" s="241"/>
      <c r="D18" s="241"/>
      <c r="E18" s="241"/>
      <c r="F18" s="241"/>
      <c r="G18" s="242"/>
      <c r="H18" s="172">
        <v>1</v>
      </c>
      <c r="I18" s="173" t="s">
        <v>1</v>
      </c>
      <c r="J18" s="243">
        <f>IFERROR(LOOKUP(2, 1/(TRIM('내역서(표준단가)'!O4:O100)&lt;&gt;""), '내역서(표준단가)'!O4:O100), "-")</f>
        <v>883837.89749999996</v>
      </c>
      <c r="K18" s="243"/>
      <c r="L18" s="243"/>
      <c r="M18" s="243"/>
      <c r="N18" s="244"/>
      <c r="O18" s="245"/>
    </row>
    <row r="19" spans="1:17" ht="28.5" customHeight="1" x14ac:dyDescent="0.3">
      <c r="A19" s="140">
        <v>2</v>
      </c>
      <c r="B19" s="220" t="s">
        <v>43</v>
      </c>
      <c r="C19" s="221"/>
      <c r="D19" s="221"/>
      <c r="E19" s="221"/>
      <c r="F19" s="221"/>
      <c r="G19" s="222"/>
      <c r="H19" s="174">
        <v>1</v>
      </c>
      <c r="I19" s="174" t="s">
        <v>1</v>
      </c>
      <c r="J19" s="223">
        <f>IFERROR(LOOKUP(2, 1/(TRIM('내역서(표준단가)'!Q4:Q100)&lt;&gt;""), '내역서(표준단가)'!Q4:Q100), "-")</f>
        <v>2842839.0554520003</v>
      </c>
      <c r="K19" s="224"/>
      <c r="L19" s="224"/>
      <c r="M19" s="225"/>
      <c r="N19" s="226"/>
      <c r="O19" s="227"/>
    </row>
    <row r="20" spans="1:17" ht="28.5" customHeight="1" x14ac:dyDescent="0.3">
      <c r="A20" s="140">
        <v>3</v>
      </c>
      <c r="B20" s="228" t="s">
        <v>136</v>
      </c>
      <c r="C20" s="229"/>
      <c r="D20" s="229"/>
      <c r="E20" s="229"/>
      <c r="F20" s="229"/>
      <c r="G20" s="230"/>
      <c r="H20" s="141">
        <v>1</v>
      </c>
      <c r="I20" s="141" t="s">
        <v>1</v>
      </c>
      <c r="J20" s="231">
        <f>IFERROR(SUM(J21:M29),"-")</f>
        <v>487574.63454686967</v>
      </c>
      <c r="K20" s="232"/>
      <c r="L20" s="232"/>
      <c r="M20" s="233"/>
      <c r="N20" s="234"/>
      <c r="O20" s="235"/>
      <c r="P20" s="142"/>
    </row>
    <row r="21" spans="1:17" ht="28.5" customHeight="1" x14ac:dyDescent="0.3">
      <c r="A21" s="139"/>
      <c r="B21" s="143"/>
      <c r="C21" s="212" t="s">
        <v>137</v>
      </c>
      <c r="D21" s="213"/>
      <c r="E21" s="213"/>
      <c r="F21" s="213"/>
      <c r="G21" s="214"/>
      <c r="H21" s="175">
        <v>1</v>
      </c>
      <c r="I21" s="175" t="s">
        <v>1</v>
      </c>
      <c r="J21" s="21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6"/>
      <c r="L21" s="216"/>
      <c r="M21" s="217"/>
      <c r="N21" s="218" t="s">
        <v>138</v>
      </c>
      <c r="O21" s="219"/>
    </row>
    <row r="22" spans="1:17" ht="28.5" customHeight="1" x14ac:dyDescent="0.3">
      <c r="A22" s="139"/>
      <c r="B22" s="143"/>
      <c r="C22" s="206" t="s">
        <v>139</v>
      </c>
      <c r="D22" s="207"/>
      <c r="E22" s="207"/>
      <c r="F22" s="207"/>
      <c r="G22" s="208"/>
      <c r="H22" s="144">
        <v>3.11</v>
      </c>
      <c r="I22" s="144" t="s">
        <v>140</v>
      </c>
      <c r="J22" s="209">
        <f>IFERROR((J18+J19)*H22%,"-")</f>
        <v>115899.65323680721</v>
      </c>
      <c r="K22" s="210"/>
      <c r="L22" s="210"/>
      <c r="M22" s="211"/>
      <c r="N22" s="202" t="s">
        <v>141</v>
      </c>
      <c r="O22" s="203"/>
    </row>
    <row r="23" spans="1:17" ht="28.5" customHeight="1" x14ac:dyDescent="0.3">
      <c r="A23" s="139"/>
      <c r="B23" s="143"/>
      <c r="C23" s="206" t="s">
        <v>142</v>
      </c>
      <c r="D23" s="207"/>
      <c r="E23" s="207"/>
      <c r="F23" s="207"/>
      <c r="G23" s="208"/>
      <c r="H23" s="144">
        <v>3.56</v>
      </c>
      <c r="I23" s="144" t="s">
        <v>143</v>
      </c>
      <c r="J23" s="209">
        <f>IFERROR(J19*H23%,"-")</f>
        <v>101205.07037409121</v>
      </c>
      <c r="K23" s="210"/>
      <c r="L23" s="210"/>
      <c r="M23" s="211"/>
      <c r="N23" s="202" t="s">
        <v>144</v>
      </c>
      <c r="O23" s="203"/>
    </row>
    <row r="24" spans="1:17" ht="28.5" customHeight="1" x14ac:dyDescent="0.3">
      <c r="A24" s="139"/>
      <c r="B24" s="143"/>
      <c r="C24" s="206" t="s">
        <v>145</v>
      </c>
      <c r="D24" s="207"/>
      <c r="E24" s="207"/>
      <c r="F24" s="207"/>
      <c r="G24" s="208"/>
      <c r="H24" s="144">
        <v>1.01</v>
      </c>
      <c r="I24" s="144" t="s">
        <v>143</v>
      </c>
      <c r="J24" s="209">
        <f>IFERROR(J19*H24%,"-")</f>
        <v>28712.674460065202</v>
      </c>
      <c r="K24" s="210"/>
      <c r="L24" s="210"/>
      <c r="M24" s="211"/>
      <c r="N24" s="202" t="s">
        <v>146</v>
      </c>
      <c r="O24" s="203"/>
    </row>
    <row r="25" spans="1:17" ht="28.5" customHeight="1" x14ac:dyDescent="0.3">
      <c r="A25" s="139"/>
      <c r="B25" s="143"/>
      <c r="C25" s="206" t="s">
        <v>147</v>
      </c>
      <c r="D25" s="207"/>
      <c r="E25" s="207"/>
      <c r="F25" s="207"/>
      <c r="G25" s="208"/>
      <c r="H25" s="145">
        <v>3.5449999999999999</v>
      </c>
      <c r="I25" s="144" t="s">
        <v>143</v>
      </c>
      <c r="J25" s="209">
        <f>IFERROR(J19*H25%,"-")</f>
        <v>100778.64451577341</v>
      </c>
      <c r="K25" s="210"/>
      <c r="L25" s="210"/>
      <c r="M25" s="211"/>
      <c r="N25" s="202" t="s">
        <v>148</v>
      </c>
      <c r="O25" s="203"/>
      <c r="Q25" s="142"/>
    </row>
    <row r="26" spans="1:17" ht="28.5" customHeight="1" x14ac:dyDescent="0.3">
      <c r="A26" s="139"/>
      <c r="B26" s="143"/>
      <c r="C26" s="206" t="s">
        <v>149</v>
      </c>
      <c r="D26" s="207"/>
      <c r="E26" s="207"/>
      <c r="F26" s="207"/>
      <c r="G26" s="208"/>
      <c r="H26" s="144">
        <v>4.5</v>
      </c>
      <c r="I26" s="144" t="s">
        <v>143</v>
      </c>
      <c r="J26" s="209">
        <f>IFERROR(J19*H26%,"-")</f>
        <v>127927.75749534002</v>
      </c>
      <c r="K26" s="210"/>
      <c r="L26" s="210"/>
      <c r="M26" s="211"/>
      <c r="N26" s="202" t="s">
        <v>150</v>
      </c>
      <c r="O26" s="203"/>
      <c r="Q26" s="146"/>
    </row>
    <row r="27" spans="1:17" ht="28.5" customHeight="1" x14ac:dyDescent="0.3">
      <c r="A27" s="139"/>
      <c r="B27" s="143"/>
      <c r="C27" s="196" t="s">
        <v>151</v>
      </c>
      <c r="D27" s="197"/>
      <c r="E27" s="197"/>
      <c r="F27" s="197"/>
      <c r="G27" s="198"/>
      <c r="H27" s="147">
        <v>12.95</v>
      </c>
      <c r="I27" s="148" t="s">
        <v>143</v>
      </c>
      <c r="J27" s="199">
        <f>IFERROR($H$27*J25%,"-")</f>
        <v>13050.834464792655</v>
      </c>
      <c r="K27" s="200"/>
      <c r="L27" s="200"/>
      <c r="M27" s="201"/>
      <c r="N27" s="202" t="s">
        <v>152</v>
      </c>
      <c r="O27" s="203"/>
    </row>
    <row r="28" spans="1:17" ht="28.5" customHeight="1" x14ac:dyDescent="0.3">
      <c r="A28" s="139"/>
      <c r="B28" s="143"/>
      <c r="C28" s="196" t="s">
        <v>153</v>
      </c>
      <c r="D28" s="197"/>
      <c r="E28" s="197"/>
      <c r="F28" s="197"/>
      <c r="G28" s="198"/>
      <c r="H28" s="147">
        <v>8.1000000000000003E-2</v>
      </c>
      <c r="I28" s="148" t="s">
        <v>143</v>
      </c>
      <c r="J28" s="199" t="str">
        <f>IFERROR(IF(SUM(J21:J27,J18:J19)&gt;=10000000,SUM(J21:J27,J18:J19)*H28%,"-"),"-")</f>
        <v>-</v>
      </c>
      <c r="K28" s="200"/>
      <c r="L28" s="200"/>
      <c r="M28" s="201"/>
      <c r="N28" s="204" t="s">
        <v>154</v>
      </c>
      <c r="O28" s="205"/>
    </row>
    <row r="29" spans="1:17" ht="28.5" customHeight="1" x14ac:dyDescent="0.3">
      <c r="A29" s="149"/>
      <c r="B29" s="150"/>
      <c r="C29" s="176" t="s">
        <v>155</v>
      </c>
      <c r="D29" s="177"/>
      <c r="E29" s="177"/>
      <c r="F29" s="177"/>
      <c r="G29" s="178"/>
      <c r="H29" s="151">
        <v>1</v>
      </c>
      <c r="I29" s="152" t="s">
        <v>156</v>
      </c>
      <c r="J29" s="179">
        <f>34*0</f>
        <v>0</v>
      </c>
      <c r="K29" s="180"/>
      <c r="L29" s="180"/>
      <c r="M29" s="181"/>
      <c r="N29" s="182" t="s">
        <v>157</v>
      </c>
      <c r="O29" s="183"/>
    </row>
    <row r="30" spans="1:17" ht="28.5" customHeight="1" x14ac:dyDescent="0.3">
      <c r="A30" s="149">
        <v>4</v>
      </c>
      <c r="B30" s="150"/>
      <c r="C30" s="176" t="s">
        <v>158</v>
      </c>
      <c r="D30" s="177"/>
      <c r="E30" s="177"/>
      <c r="F30" s="177"/>
      <c r="G30" s="178"/>
      <c r="H30" s="152">
        <v>5</v>
      </c>
      <c r="I30" s="153" t="s">
        <v>159</v>
      </c>
      <c r="J30" s="189">
        <f>IFERROR(IF(ISNUMBER(H30), SUM(J18:M20) * (H30 / 100), "-"), "-")</f>
        <v>210712.57937494351</v>
      </c>
      <c r="K30" s="190"/>
      <c r="L30" s="190"/>
      <c r="M30" s="191"/>
      <c r="N30" s="192" t="s">
        <v>160</v>
      </c>
      <c r="O30" s="193"/>
    </row>
    <row r="31" spans="1:17" ht="28.5" customHeight="1" thickBot="1" x14ac:dyDescent="0.35">
      <c r="A31" s="149">
        <v>5</v>
      </c>
      <c r="B31" s="150"/>
      <c r="C31" s="176" t="s">
        <v>161</v>
      </c>
      <c r="D31" s="177"/>
      <c r="E31" s="177"/>
      <c r="F31" s="177"/>
      <c r="G31" s="178"/>
      <c r="H31" s="152">
        <v>7.5</v>
      </c>
      <c r="I31" s="153" t="s">
        <v>143</v>
      </c>
      <c r="J31" s="179">
        <f>IFERROR(SUM(J18:M20, J30) * (H31 / 100), "-")+-48336</f>
        <v>283536.31251553603</v>
      </c>
      <c r="K31" s="180"/>
      <c r="L31" s="180"/>
      <c r="M31" s="181"/>
      <c r="N31" s="194" t="s">
        <v>162</v>
      </c>
      <c r="O31" s="195"/>
      <c r="Q31" s="154"/>
    </row>
    <row r="32" spans="1:17" ht="28.5" customHeight="1" thickBot="1" x14ac:dyDescent="0.35">
      <c r="A32" s="184" t="s">
        <v>163</v>
      </c>
      <c r="B32" s="185"/>
      <c r="C32" s="185"/>
      <c r="D32" s="185"/>
      <c r="E32" s="185"/>
      <c r="F32" s="185"/>
      <c r="G32" s="185"/>
      <c r="H32" s="185"/>
      <c r="I32" s="186"/>
      <c r="J32" s="155"/>
      <c r="K32" s="156"/>
      <c r="L32" s="156"/>
      <c r="M32" s="157">
        <f>IFERROR(ROUNDDOWN(SUM(J18:M20)+J30+J31,0),"-")</f>
        <v>4708500</v>
      </c>
      <c r="N32" s="187"/>
      <c r="O32" s="188"/>
      <c r="P32" s="158"/>
    </row>
    <row r="33" spans="1:15" x14ac:dyDescent="0.3">
      <c r="A33" s="159" t="s">
        <v>164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O19" sqref="O19"/>
    </sheetView>
  </sheetViews>
  <sheetFormatPr defaultColWidth="9" defaultRowHeight="38.1" customHeight="1" x14ac:dyDescent="0.3"/>
  <cols>
    <col min="1" max="1" width="22.625" style="93" bestFit="1" customWidth="1"/>
    <col min="2" max="5" width="4.625" style="93" hidden="1" customWidth="1"/>
    <col min="6" max="6" width="9" style="81" hidden="1" customWidth="1"/>
    <col min="7" max="9" width="12.625" style="81" hidden="1" customWidth="1"/>
    <col min="10" max="11" width="30.625" style="76" customWidth="1"/>
    <col min="12" max="12" width="11.375" style="81" bestFit="1" customWidth="1"/>
    <col min="13" max="13" width="8.25" style="81" customWidth="1"/>
    <col min="14" max="14" width="10.625" style="81" bestFit="1" customWidth="1"/>
    <col min="15" max="15" width="13.25" style="81" bestFit="1" customWidth="1"/>
    <col min="16" max="16" width="12" style="81" bestFit="1" customWidth="1"/>
    <col min="17" max="17" width="15.625" style="81" bestFit="1" customWidth="1"/>
    <col min="18" max="18" width="9" style="81" customWidth="1"/>
    <col min="19" max="19" width="8.75" style="81" bestFit="1" customWidth="1"/>
    <col min="20" max="20" width="10.5" style="81" customWidth="1"/>
    <col min="21" max="21" width="8.75" style="81" bestFit="1" customWidth="1"/>
    <col min="22" max="22" width="15.625" style="81" bestFit="1" customWidth="1"/>
    <col min="23" max="23" width="10.625" style="1" bestFit="1" customWidth="1"/>
    <col min="24" max="24" width="8.5" style="81" bestFit="1" customWidth="1"/>
    <col min="25" max="16384" width="9" style="81"/>
  </cols>
  <sheetData>
    <row r="1" spans="1:24" ht="19.899999999999999" customHeight="1" x14ac:dyDescent="0.3">
      <c r="A1" s="284"/>
      <c r="B1" s="284"/>
      <c r="C1" s="284"/>
      <c r="D1" s="284"/>
      <c r="E1" s="284"/>
      <c r="F1" s="284"/>
      <c r="G1" s="284"/>
      <c r="H1" s="284"/>
      <c r="I1" s="284"/>
      <c r="N1" s="1"/>
      <c r="O1" s="79" t="s">
        <v>39</v>
      </c>
      <c r="Q1" s="79" t="s">
        <v>39</v>
      </c>
      <c r="S1" s="79" t="s">
        <v>39</v>
      </c>
      <c r="U1" s="79" t="s">
        <v>39</v>
      </c>
    </row>
    <row r="2" spans="1:24" ht="19.899999999999999" customHeight="1" thickBot="1" x14ac:dyDescent="0.35">
      <c r="A2" s="284"/>
      <c r="B2" s="284"/>
      <c r="C2" s="284"/>
      <c r="D2" s="284"/>
      <c r="E2" s="284"/>
      <c r="F2" s="284"/>
      <c r="G2" s="284"/>
      <c r="H2" s="284"/>
      <c r="I2" s="284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82"/>
      <c r="B3" s="83"/>
      <c r="C3" s="83"/>
      <c r="D3" s="83"/>
      <c r="E3" s="83"/>
      <c r="F3" s="83" t="s">
        <v>40</v>
      </c>
      <c r="G3" s="83"/>
      <c r="H3" s="83"/>
      <c r="I3" s="83"/>
      <c r="J3" s="295" t="s">
        <v>41</v>
      </c>
      <c r="K3" s="295"/>
      <c r="L3" s="293" t="s">
        <v>3</v>
      </c>
      <c r="M3" s="293" t="s">
        <v>0</v>
      </c>
      <c r="N3" s="289" t="s">
        <v>42</v>
      </c>
      <c r="O3" s="289"/>
      <c r="P3" s="289" t="s">
        <v>43</v>
      </c>
      <c r="Q3" s="289"/>
      <c r="R3" s="290" t="s">
        <v>44</v>
      </c>
      <c r="S3" s="290"/>
      <c r="T3" s="290" t="s">
        <v>45</v>
      </c>
      <c r="U3" s="290"/>
      <c r="V3" s="291" t="s">
        <v>46</v>
      </c>
      <c r="W3" s="287" t="s">
        <v>47</v>
      </c>
      <c r="X3" s="285" t="s">
        <v>2</v>
      </c>
    </row>
    <row r="4" spans="1:24" ht="19.899999999999999" customHeight="1" x14ac:dyDescent="0.3">
      <c r="A4" s="4" t="s">
        <v>48</v>
      </c>
      <c r="B4" s="80"/>
      <c r="C4" s="80"/>
      <c r="D4" s="80"/>
      <c r="E4" s="80"/>
      <c r="F4" s="5" t="s">
        <v>49</v>
      </c>
      <c r="G4" s="5" t="s">
        <v>50</v>
      </c>
      <c r="H4" s="5" t="s">
        <v>51</v>
      </c>
      <c r="I4" s="5" t="s">
        <v>52</v>
      </c>
      <c r="J4" s="77" t="s">
        <v>53</v>
      </c>
      <c r="K4" s="77" t="s">
        <v>54</v>
      </c>
      <c r="L4" s="294"/>
      <c r="M4" s="294"/>
      <c r="N4" s="6" t="s">
        <v>55</v>
      </c>
      <c r="O4" s="7" t="s">
        <v>56</v>
      </c>
      <c r="P4" s="6" t="s">
        <v>57</v>
      </c>
      <c r="Q4" s="7" t="s">
        <v>56</v>
      </c>
      <c r="R4" s="7" t="s">
        <v>58</v>
      </c>
      <c r="S4" s="7" t="s">
        <v>56</v>
      </c>
      <c r="T4" s="7" t="s">
        <v>58</v>
      </c>
      <c r="U4" s="7" t="s">
        <v>56</v>
      </c>
      <c r="V4" s="292"/>
      <c r="W4" s="288"/>
      <c r="X4" s="286"/>
    </row>
    <row r="5" spans="1:24" s="84" customFormat="1" ht="38.1" customHeight="1" x14ac:dyDescent="0.3">
      <c r="A5" s="8" t="str">
        <f t="shared" ref="A5" si="0">F5&amp;G5&amp;H5&amp;I5</f>
        <v>M020853710050101</v>
      </c>
      <c r="B5" s="41"/>
      <c r="C5" s="41"/>
      <c r="D5" s="41"/>
      <c r="E5" s="41"/>
      <c r="F5" s="38"/>
      <c r="G5" s="9"/>
      <c r="H5" s="9" t="s">
        <v>80</v>
      </c>
      <c r="I5" s="38"/>
      <c r="J5" s="75" t="s">
        <v>81</v>
      </c>
      <c r="K5" s="75" t="s">
        <v>100</v>
      </c>
      <c r="L5" s="57" t="s">
        <v>96</v>
      </c>
      <c r="M5" s="74">
        <v>11.265000000000001</v>
      </c>
      <c r="N5" s="94">
        <v>20900</v>
      </c>
      <c r="O5" s="70">
        <f t="shared" ref="O5" si="1">SUM(N5:N5)*M5*$O$2</f>
        <v>196591.14749999999</v>
      </c>
      <c r="P5" s="69"/>
      <c r="Q5" s="70">
        <f t="shared" ref="Q5" si="2">(P5*M5)*$Q$2</f>
        <v>0</v>
      </c>
      <c r="R5" s="71"/>
      <c r="S5" s="70">
        <f t="shared" ref="S5" si="3">R5*M5*$S$2</f>
        <v>0</v>
      </c>
      <c r="T5" s="71"/>
      <c r="U5" s="70">
        <f t="shared" ref="U5" si="4">T5*M5*$U$2</f>
        <v>0</v>
      </c>
      <c r="V5" s="12">
        <f t="shared" ref="V5" si="5">SUM(O5+Q5)+S5+U5</f>
        <v>196591.14749999999</v>
      </c>
      <c r="W5" s="56"/>
      <c r="X5" s="13"/>
    </row>
    <row r="6" spans="1:24" s="84" customFormat="1" ht="38.1" customHeight="1" x14ac:dyDescent="0.3">
      <c r="A6" s="8" t="str">
        <f t="shared" ref="A6" si="6">F6&amp;G6&amp;H6&amp;I6</f>
        <v>E00000803071260301</v>
      </c>
      <c r="B6" s="41"/>
      <c r="C6" s="41"/>
      <c r="D6" s="41"/>
      <c r="E6" s="41"/>
      <c r="F6" s="38"/>
      <c r="G6" s="9" t="s">
        <v>59</v>
      </c>
      <c r="H6" s="9"/>
      <c r="I6" s="38"/>
      <c r="J6" s="75" t="s">
        <v>61</v>
      </c>
      <c r="K6" s="75" t="s">
        <v>97</v>
      </c>
      <c r="L6" s="10" t="s">
        <v>60</v>
      </c>
      <c r="M6" s="74">
        <v>4.0430000000000001</v>
      </c>
      <c r="N6" s="72"/>
      <c r="O6" s="70">
        <f t="shared" ref="O6" si="7">SUM(N6:N6)*M6*$O$2</f>
        <v>0</v>
      </c>
      <c r="P6" s="69">
        <v>487076</v>
      </c>
      <c r="Q6" s="70">
        <f t="shared" ref="Q6" si="8">(P6*M6)*$Q$2</f>
        <v>1644322.30378</v>
      </c>
      <c r="R6" s="71"/>
      <c r="S6" s="70">
        <f t="shared" ref="S6" si="9">R6*M6*$S$2</f>
        <v>0</v>
      </c>
      <c r="T6" s="71"/>
      <c r="U6" s="70">
        <f t="shared" ref="U6" si="10">T6*M6*$U$2</f>
        <v>0</v>
      </c>
      <c r="V6" s="12">
        <f t="shared" ref="V6" si="11">SUM(O6+Q6)+S6+U6</f>
        <v>1644322.30378</v>
      </c>
      <c r="W6" s="56"/>
      <c r="X6" s="13"/>
    </row>
    <row r="7" spans="1:24" s="84" customFormat="1" ht="38.1" customHeight="1" x14ac:dyDescent="0.3">
      <c r="A7" s="8" t="str">
        <f t="shared" ref="A7" si="12">F7&amp;G7&amp;H7&amp;I7</f>
        <v>M020809012520101</v>
      </c>
      <c r="B7" s="41"/>
      <c r="C7" s="41"/>
      <c r="D7" s="41"/>
      <c r="E7" s="41"/>
      <c r="F7" s="38"/>
      <c r="G7" s="9"/>
      <c r="H7" s="9" t="s">
        <v>83</v>
      </c>
      <c r="I7" s="38"/>
      <c r="J7" s="75" t="s">
        <v>84</v>
      </c>
      <c r="K7" s="75" t="s">
        <v>85</v>
      </c>
      <c r="L7" s="57" t="s">
        <v>82</v>
      </c>
      <c r="M7" s="74">
        <v>61.8</v>
      </c>
      <c r="N7" s="73">
        <v>13000</v>
      </c>
      <c r="O7" s="70">
        <f t="shared" ref="O7:O11" si="13">SUM(N7:N7)*M7*$O$2</f>
        <v>670839</v>
      </c>
      <c r="P7" s="69"/>
      <c r="Q7" s="70">
        <f t="shared" ref="Q7:Q12" si="14">(P7*M7)*$Q$2</f>
        <v>0</v>
      </c>
      <c r="R7" s="71"/>
      <c r="S7" s="70">
        <f t="shared" ref="S7:S12" si="15">R7*M7*$S$2</f>
        <v>0</v>
      </c>
      <c r="T7" s="71"/>
      <c r="U7" s="70">
        <f t="shared" ref="U7:U12" si="16">T7*M7*$U$2</f>
        <v>0</v>
      </c>
      <c r="V7" s="12">
        <f t="shared" ref="V7:V12" si="17">SUM(O7+Q7)+S7+U7</f>
        <v>670839</v>
      </c>
      <c r="W7" s="56"/>
      <c r="X7" s="13"/>
    </row>
    <row r="8" spans="1:24" s="84" customFormat="1" ht="38.1" customHeight="1" x14ac:dyDescent="0.3">
      <c r="A8" s="8" t="str">
        <f t="shared" ref="A8:A12" si="18">F8&amp;G8&amp;H8&amp;I8</f>
        <v>E00000803071260401</v>
      </c>
      <c r="B8" s="41"/>
      <c r="C8" s="41"/>
      <c r="D8" s="41"/>
      <c r="E8" s="41"/>
      <c r="F8" s="38"/>
      <c r="G8" s="9" t="s">
        <v>62</v>
      </c>
      <c r="H8" s="9"/>
      <c r="I8" s="38"/>
      <c r="J8" s="75" t="s">
        <v>63</v>
      </c>
      <c r="K8" s="75" t="s">
        <v>98</v>
      </c>
      <c r="L8" s="10" t="s">
        <v>60</v>
      </c>
      <c r="M8" s="74">
        <v>1.0132000000000001</v>
      </c>
      <c r="N8" s="72"/>
      <c r="O8" s="70">
        <f t="shared" si="13"/>
        <v>0</v>
      </c>
      <c r="P8" s="69">
        <v>487076</v>
      </c>
      <c r="Q8" s="70">
        <f t="shared" si="14"/>
        <v>412077.01167200005</v>
      </c>
      <c r="R8" s="71"/>
      <c r="S8" s="70">
        <f t="shared" si="15"/>
        <v>0</v>
      </c>
      <c r="T8" s="71"/>
      <c r="U8" s="70">
        <f t="shared" si="16"/>
        <v>0</v>
      </c>
      <c r="V8" s="12">
        <f t="shared" si="17"/>
        <v>412077.01167200005</v>
      </c>
      <c r="W8" s="56"/>
      <c r="X8" s="13"/>
    </row>
    <row r="9" spans="1:24" s="84" customFormat="1" ht="38.1" customHeight="1" x14ac:dyDescent="0.3">
      <c r="A9" s="8" t="str">
        <f t="shared" si="18"/>
        <v>M020412614110102</v>
      </c>
      <c r="B9" s="41"/>
      <c r="C9" s="41"/>
      <c r="D9" s="41"/>
      <c r="E9" s="41"/>
      <c r="F9" s="38"/>
      <c r="G9" s="9"/>
      <c r="H9" s="95" t="s">
        <v>77</v>
      </c>
      <c r="I9" s="38"/>
      <c r="J9" s="96" t="s">
        <v>76</v>
      </c>
      <c r="K9" s="96" t="s">
        <v>74</v>
      </c>
      <c r="L9" s="67" t="s">
        <v>73</v>
      </c>
      <c r="M9" s="74">
        <v>0.3</v>
      </c>
      <c r="N9" s="97">
        <v>65500</v>
      </c>
      <c r="O9" s="70">
        <f t="shared" si="13"/>
        <v>16407.75</v>
      </c>
      <c r="P9" s="69"/>
      <c r="Q9" s="70"/>
      <c r="R9" s="71"/>
      <c r="S9" s="70"/>
      <c r="T9" s="71"/>
      <c r="U9" s="70"/>
      <c r="V9" s="12">
        <f t="shared" si="17"/>
        <v>16407.75</v>
      </c>
      <c r="W9" s="56"/>
      <c r="X9" s="13"/>
    </row>
    <row r="10" spans="1:24" s="84" customFormat="1" ht="38.1" customHeight="1" x14ac:dyDescent="0.3">
      <c r="A10" s="8" t="str">
        <f t="shared" si="18"/>
        <v>E00000803061120402</v>
      </c>
      <c r="B10" s="41"/>
      <c r="C10" s="41"/>
      <c r="D10" s="41"/>
      <c r="E10" s="41"/>
      <c r="F10" s="38"/>
      <c r="G10" s="9" t="s">
        <v>64</v>
      </c>
      <c r="H10" s="9"/>
      <c r="I10" s="38"/>
      <c r="J10" s="75" t="s">
        <v>65</v>
      </c>
      <c r="K10" s="75" t="s">
        <v>66</v>
      </c>
      <c r="L10" s="57" t="s">
        <v>71</v>
      </c>
      <c r="M10" s="74">
        <v>28</v>
      </c>
      <c r="N10" s="58"/>
      <c r="O10" s="11">
        <f t="shared" si="13"/>
        <v>0</v>
      </c>
      <c r="P10" s="66">
        <v>10432</v>
      </c>
      <c r="Q10" s="11">
        <f t="shared" si="14"/>
        <v>243900.16</v>
      </c>
      <c r="R10" s="12"/>
      <c r="S10" s="11">
        <f t="shared" si="15"/>
        <v>0</v>
      </c>
      <c r="T10" s="12"/>
      <c r="U10" s="11">
        <f t="shared" si="16"/>
        <v>0</v>
      </c>
      <c r="V10" s="12">
        <f t="shared" si="17"/>
        <v>243900.16</v>
      </c>
      <c r="W10" s="56"/>
      <c r="X10" s="13"/>
    </row>
    <row r="11" spans="1:24" s="84" customFormat="1" ht="38.1" customHeight="1" x14ac:dyDescent="0.3">
      <c r="A11" s="8" t="str">
        <f t="shared" si="18"/>
        <v>E00000803061300201</v>
      </c>
      <c r="B11" s="41"/>
      <c r="C11" s="41"/>
      <c r="D11" s="41"/>
      <c r="E11" s="41"/>
      <c r="F11" s="38"/>
      <c r="G11" s="9" t="s">
        <v>68</v>
      </c>
      <c r="H11" s="9"/>
      <c r="I11" s="38"/>
      <c r="J11" s="75" t="s">
        <v>69</v>
      </c>
      <c r="K11" s="75" t="s">
        <v>70</v>
      </c>
      <c r="L11" s="57" t="s">
        <v>67</v>
      </c>
      <c r="M11" s="74">
        <v>28</v>
      </c>
      <c r="N11" s="58"/>
      <c r="O11" s="11">
        <f t="shared" si="13"/>
        <v>0</v>
      </c>
      <c r="P11" s="66">
        <v>6179</v>
      </c>
      <c r="Q11" s="11">
        <f t="shared" si="14"/>
        <v>144465.01999999999</v>
      </c>
      <c r="R11" s="12"/>
      <c r="S11" s="11">
        <f t="shared" si="15"/>
        <v>0</v>
      </c>
      <c r="T11" s="12"/>
      <c r="U11" s="11">
        <f t="shared" si="16"/>
        <v>0</v>
      </c>
      <c r="V11" s="12">
        <f t="shared" si="17"/>
        <v>144465.01999999999</v>
      </c>
      <c r="W11" s="56"/>
      <c r="X11" s="13"/>
    </row>
    <row r="12" spans="1:24" s="84" customFormat="1" ht="38.1" customHeight="1" x14ac:dyDescent="0.3">
      <c r="A12" s="8" t="str">
        <f t="shared" si="18"/>
        <v>E00000801011510701</v>
      </c>
      <c r="B12" s="41"/>
      <c r="C12" s="41"/>
      <c r="D12" s="41"/>
      <c r="E12" s="41"/>
      <c r="F12" s="38"/>
      <c r="G12" s="9" t="s">
        <v>95</v>
      </c>
      <c r="H12" s="9"/>
      <c r="I12" s="38"/>
      <c r="J12" s="85" t="s">
        <v>86</v>
      </c>
      <c r="K12" s="85" t="s">
        <v>87</v>
      </c>
      <c r="L12" s="57" t="s">
        <v>88</v>
      </c>
      <c r="M12" s="74">
        <v>96</v>
      </c>
      <c r="N12" s="86"/>
      <c r="O12" s="11">
        <f t="shared" ref="O12" si="19">SUM(N12:N12)*M12*$O$2</f>
        <v>0</v>
      </c>
      <c r="P12" s="98">
        <v>4966</v>
      </c>
      <c r="Q12" s="11">
        <f t="shared" si="14"/>
        <v>398074.56</v>
      </c>
      <c r="R12" s="12"/>
      <c r="S12" s="11">
        <f t="shared" si="15"/>
        <v>0</v>
      </c>
      <c r="T12" s="12"/>
      <c r="U12" s="11">
        <f t="shared" si="16"/>
        <v>0</v>
      </c>
      <c r="V12" s="12">
        <f t="shared" si="17"/>
        <v>398074.56</v>
      </c>
      <c r="W12" s="56"/>
      <c r="X12" s="13"/>
    </row>
    <row r="13" spans="1:24" s="92" customFormat="1" ht="38.1" customHeight="1" x14ac:dyDescent="0.3">
      <c r="A13" s="87"/>
      <c r="B13" s="88"/>
      <c r="C13" s="88"/>
      <c r="D13" s="88"/>
      <c r="E13" s="88"/>
      <c r="F13" s="88"/>
      <c r="G13" s="88"/>
      <c r="H13" s="88"/>
      <c r="I13" s="88"/>
      <c r="J13" s="78"/>
      <c r="K13" s="78"/>
      <c r="L13" s="88"/>
      <c r="M13" s="88"/>
      <c r="N13" s="88"/>
      <c r="O13" s="89">
        <f>SUM(O5:O12)</f>
        <v>883837.89749999996</v>
      </c>
      <c r="P13" s="90"/>
      <c r="Q13" s="89">
        <f>SUM(Q5:Q12)</f>
        <v>2842839.0554520003</v>
      </c>
      <c r="R13" s="90"/>
      <c r="S13" s="89">
        <f>SUM(S5:S12)</f>
        <v>0</v>
      </c>
      <c r="T13" s="90"/>
      <c r="U13" s="89">
        <f>SUM(U5:U12)</f>
        <v>0</v>
      </c>
      <c r="V13" s="91">
        <f>SUM(V5:V12)</f>
        <v>3726676.9529519998</v>
      </c>
      <c r="W13" s="44"/>
      <c r="X13" s="8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8"/>
  <sheetViews>
    <sheetView zoomScaleNormal="100" workbookViewId="0">
      <selection activeCell="N39" sqref="N39"/>
    </sheetView>
  </sheetViews>
  <sheetFormatPr defaultColWidth="9" defaultRowHeight="14.25" x14ac:dyDescent="0.3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5" ht="27" customHeight="1" x14ac:dyDescent="0.3">
      <c r="A1" s="306" t="s">
        <v>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</row>
    <row r="2" spans="1:15" ht="15" customHeight="1" x14ac:dyDescent="0.3">
      <c r="A2" s="307" t="s">
        <v>5</v>
      </c>
      <c r="B2" s="308" t="s">
        <v>6</v>
      </c>
      <c r="C2" s="309" t="s">
        <v>3</v>
      </c>
      <c r="D2" s="309" t="s">
        <v>7</v>
      </c>
      <c r="E2" s="311" t="s">
        <v>8</v>
      </c>
      <c r="F2" s="308"/>
      <c r="G2" s="308" t="s">
        <v>9</v>
      </c>
      <c r="H2" s="308"/>
      <c r="I2" s="312" t="s">
        <v>10</v>
      </c>
      <c r="J2" s="313"/>
      <c r="K2" s="312" t="s">
        <v>11</v>
      </c>
      <c r="L2" s="313"/>
      <c r="M2" s="311" t="s">
        <v>12</v>
      </c>
      <c r="N2" s="308"/>
      <c r="O2" s="314" t="s">
        <v>13</v>
      </c>
    </row>
    <row r="3" spans="1:15" ht="15" customHeight="1" x14ac:dyDescent="0.3">
      <c r="A3" s="307"/>
      <c r="B3" s="308"/>
      <c r="C3" s="310"/>
      <c r="D3" s="310"/>
      <c r="E3" s="65" t="s">
        <v>14</v>
      </c>
      <c r="F3" s="65" t="s">
        <v>15</v>
      </c>
      <c r="G3" s="15" t="s">
        <v>14</v>
      </c>
      <c r="H3" s="65" t="s">
        <v>16</v>
      </c>
      <c r="I3" s="65"/>
      <c r="J3" s="65"/>
      <c r="K3" s="15" t="s">
        <v>14</v>
      </c>
      <c r="L3" s="65" t="s">
        <v>16</v>
      </c>
      <c r="M3" s="15" t="s">
        <v>14</v>
      </c>
      <c r="N3" s="65" t="s">
        <v>16</v>
      </c>
      <c r="O3" s="315"/>
    </row>
    <row r="4" spans="1:15" ht="15" customHeight="1" x14ac:dyDescent="0.3">
      <c r="A4" s="304" t="s">
        <v>99</v>
      </c>
      <c r="B4" s="30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302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1" si="0">D5*E5</f>
        <v>89845</v>
      </c>
      <c r="G5" s="20">
        <v>8839.9</v>
      </c>
      <c r="H5" s="20">
        <f t="shared" ref="H5:H11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296" t="s">
        <v>78</v>
      </c>
    </row>
    <row r="6" spans="1:15" ht="15" customHeight="1" x14ac:dyDescent="0.3">
      <c r="A6" s="303"/>
      <c r="B6" s="99" t="s">
        <v>20</v>
      </c>
      <c r="C6" s="100" t="s">
        <v>19</v>
      </c>
      <c r="D6" s="101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297"/>
    </row>
    <row r="7" spans="1:15" ht="15" customHeight="1" x14ac:dyDescent="0.3">
      <c r="A7" s="303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ref="N7:N11" si="2">F7+H7+J7+L7</f>
        <v>376082.2</v>
      </c>
      <c r="O7" s="297"/>
    </row>
    <row r="8" spans="1:15" ht="15" customHeight="1" x14ac:dyDescent="0.3">
      <c r="A8" s="303"/>
      <c r="B8" s="99" t="s">
        <v>22</v>
      </c>
      <c r="C8" s="100" t="s">
        <v>19</v>
      </c>
      <c r="D8" s="101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297"/>
    </row>
    <row r="9" spans="1:15" ht="15" customHeight="1" x14ac:dyDescent="0.3">
      <c r="A9" s="303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297"/>
    </row>
    <row r="10" spans="1:15" ht="15" customHeight="1" x14ac:dyDescent="0.3">
      <c r="A10" s="303"/>
      <c r="B10" s="99" t="s">
        <v>24</v>
      </c>
      <c r="C10" s="100" t="s">
        <v>19</v>
      </c>
      <c r="D10" s="101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297"/>
    </row>
    <row r="11" spans="1:15" ht="15" customHeight="1" x14ac:dyDescent="0.3">
      <c r="A11" s="303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297"/>
    </row>
    <row r="12" spans="1:15" ht="15" customHeight="1" x14ac:dyDescent="0.3">
      <c r="A12" s="303"/>
      <c r="B12" s="99" t="s">
        <v>26</v>
      </c>
      <c r="C12" s="100" t="s">
        <v>19</v>
      </c>
      <c r="D12" s="101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297"/>
    </row>
    <row r="13" spans="1:15" ht="15" customHeight="1" x14ac:dyDescent="0.3">
      <c r="A13" s="45" t="s">
        <v>27</v>
      </c>
      <c r="B13" s="46"/>
      <c r="C13" s="47"/>
      <c r="D13" s="48">
        <f>SUM(D5:D12)</f>
        <v>186</v>
      </c>
      <c r="E13" s="49"/>
      <c r="F13" s="49">
        <f>SUM(F5:F12)</f>
        <v>196602</v>
      </c>
      <c r="G13" s="49"/>
      <c r="H13" s="49">
        <f>SUM(H5:H12)</f>
        <v>1644221.4</v>
      </c>
      <c r="I13" s="49"/>
      <c r="J13" s="49">
        <f>SUM(J5:J12)</f>
        <v>0</v>
      </c>
      <c r="K13" s="49"/>
      <c r="L13" s="49">
        <f>SUM(L5:L12)</f>
        <v>0</v>
      </c>
      <c r="M13" s="49"/>
      <c r="N13" s="49">
        <f>SUM(N5:N12)</f>
        <v>1840823.4</v>
      </c>
      <c r="O13" s="49"/>
    </row>
    <row r="14" spans="1:15" ht="15" customHeight="1" x14ac:dyDescent="0.3">
      <c r="A14" s="298" t="s">
        <v>79</v>
      </c>
      <c r="B14" s="17" t="s">
        <v>28</v>
      </c>
      <c r="C14" s="18" t="s">
        <v>19</v>
      </c>
      <c r="D14" s="21">
        <v>33.200000000000003</v>
      </c>
      <c r="E14" s="20">
        <v>10855</v>
      </c>
      <c r="F14" s="59">
        <f>D14*E14</f>
        <v>360386.00000000006</v>
      </c>
      <c r="G14" s="20">
        <v>6668.1</v>
      </c>
      <c r="H14" s="59">
        <f>D14*G14</f>
        <v>221380.92000000004</v>
      </c>
      <c r="I14" s="59"/>
      <c r="J14" s="59"/>
      <c r="K14" s="20"/>
      <c r="L14" s="59"/>
      <c r="M14" s="20"/>
      <c r="N14" s="59">
        <f t="shared" ref="N14:N17" si="3">F14+H14+J14+L14</f>
        <v>581766.92000000016</v>
      </c>
      <c r="O14" s="297"/>
    </row>
    <row r="15" spans="1:15" ht="15" customHeight="1" x14ac:dyDescent="0.3">
      <c r="A15" s="298"/>
      <c r="B15" s="17" t="s">
        <v>29</v>
      </c>
      <c r="C15" s="18" t="s">
        <v>19</v>
      </c>
      <c r="D15" s="60">
        <v>11.7</v>
      </c>
      <c r="E15" s="20">
        <v>10855</v>
      </c>
      <c r="F15" s="59">
        <f>D15*E15</f>
        <v>127003.49999999999</v>
      </c>
      <c r="G15" s="20">
        <v>6668.1</v>
      </c>
      <c r="H15" s="59">
        <f>D15*G15</f>
        <v>78016.77</v>
      </c>
      <c r="I15" s="59"/>
      <c r="J15" s="59"/>
      <c r="K15" s="20"/>
      <c r="L15" s="59"/>
      <c r="M15" s="20"/>
      <c r="N15" s="59">
        <f t="shared" si="3"/>
        <v>205020.27</v>
      </c>
      <c r="O15" s="297"/>
    </row>
    <row r="16" spans="1:15" ht="15" customHeight="1" x14ac:dyDescent="0.3">
      <c r="A16" s="298"/>
      <c r="B16" s="17" t="s">
        <v>30</v>
      </c>
      <c r="C16" s="18" t="s">
        <v>19</v>
      </c>
      <c r="D16" s="60">
        <v>8.5</v>
      </c>
      <c r="E16" s="20">
        <v>10855</v>
      </c>
      <c r="F16" s="59">
        <f>D16*E16</f>
        <v>92267.5</v>
      </c>
      <c r="G16" s="20">
        <v>6668.1</v>
      </c>
      <c r="H16" s="59">
        <f>D16*G16</f>
        <v>56678.850000000006</v>
      </c>
      <c r="I16" s="59"/>
      <c r="J16" s="59"/>
      <c r="K16" s="20"/>
      <c r="L16" s="59"/>
      <c r="M16" s="20"/>
      <c r="N16" s="59">
        <f t="shared" si="3"/>
        <v>148946.35</v>
      </c>
      <c r="O16" s="297"/>
    </row>
    <row r="17" spans="1:15" ht="15" customHeight="1" x14ac:dyDescent="0.3">
      <c r="A17" s="299"/>
      <c r="B17" s="17" t="s">
        <v>31</v>
      </c>
      <c r="C17" s="18" t="s">
        <v>19</v>
      </c>
      <c r="D17" s="60">
        <v>8.4</v>
      </c>
      <c r="E17" s="20">
        <v>10855</v>
      </c>
      <c r="F17" s="59">
        <f>D17*E17</f>
        <v>91182</v>
      </c>
      <c r="G17" s="20">
        <v>6668.1</v>
      </c>
      <c r="H17" s="59">
        <f>D17*G17</f>
        <v>56012.040000000008</v>
      </c>
      <c r="I17" s="59"/>
      <c r="J17" s="59"/>
      <c r="K17" s="20"/>
      <c r="L17" s="59"/>
      <c r="M17" s="20"/>
      <c r="N17" s="59">
        <f t="shared" si="3"/>
        <v>147194.04</v>
      </c>
      <c r="O17" s="300"/>
    </row>
    <row r="18" spans="1:15" ht="15" customHeight="1" x14ac:dyDescent="0.3">
      <c r="A18" s="39" t="s">
        <v>27</v>
      </c>
      <c r="B18" s="22"/>
      <c r="C18" s="26"/>
      <c r="D18" s="61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 x14ac:dyDescent="0.3">
      <c r="A19" s="42" t="s">
        <v>32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 x14ac:dyDescent="0.3">
      <c r="A20" s="62" t="s">
        <v>75</v>
      </c>
      <c r="B20" s="68" t="s">
        <v>74</v>
      </c>
      <c r="C20" s="68" t="s">
        <v>73</v>
      </c>
      <c r="D20" s="50">
        <v>0.3</v>
      </c>
      <c r="E20" s="20">
        <v>54693</v>
      </c>
      <c r="F20" s="59">
        <f>D20*E20</f>
        <v>16407.899999999998</v>
      </c>
      <c r="G20" s="20"/>
      <c r="H20" s="20"/>
      <c r="I20" s="20"/>
      <c r="J20" s="20"/>
      <c r="K20" s="20"/>
      <c r="L20" s="20"/>
      <c r="M20" s="20"/>
      <c r="N20" s="63">
        <f t="shared" ref="N20:N24" si="4">F20+H20+J20+L20</f>
        <v>16407.899999999998</v>
      </c>
      <c r="O20" s="20"/>
    </row>
    <row r="21" spans="1:15" ht="15" customHeight="1" x14ac:dyDescent="0.3">
      <c r="A21" s="301" t="s">
        <v>33</v>
      </c>
      <c r="B21" s="27" t="s">
        <v>34</v>
      </c>
      <c r="C21" s="28" t="s">
        <v>19</v>
      </c>
      <c r="D21" s="29">
        <v>17</v>
      </c>
      <c r="E21" s="63"/>
      <c r="F21" s="63">
        <f>D21*E21</f>
        <v>0</v>
      </c>
      <c r="G21" s="63">
        <v>8711</v>
      </c>
      <c r="H21" s="63">
        <f t="shared" ref="H21:H24" si="5">D21*G21</f>
        <v>148087</v>
      </c>
      <c r="I21" s="63"/>
      <c r="J21" s="63"/>
      <c r="K21" s="63"/>
      <c r="L21" s="63"/>
      <c r="M21" s="63"/>
      <c r="N21" s="63">
        <f t="shared" si="4"/>
        <v>148087</v>
      </c>
      <c r="O21" s="20"/>
    </row>
    <row r="22" spans="1:15" ht="15" customHeight="1" x14ac:dyDescent="0.3">
      <c r="A22" s="301"/>
      <c r="B22" s="27" t="s">
        <v>35</v>
      </c>
      <c r="C22" s="28" t="s">
        <v>19</v>
      </c>
      <c r="D22" s="29">
        <v>17</v>
      </c>
      <c r="E22" s="63"/>
      <c r="F22" s="63">
        <f t="shared" ref="F22" si="6">D22*E22</f>
        <v>0</v>
      </c>
      <c r="G22" s="63">
        <v>5159</v>
      </c>
      <c r="H22" s="63">
        <f t="shared" si="5"/>
        <v>87703</v>
      </c>
      <c r="I22" s="63"/>
      <c r="J22" s="63"/>
      <c r="K22" s="63"/>
      <c r="L22" s="63"/>
      <c r="M22" s="63"/>
      <c r="N22" s="63">
        <f t="shared" si="4"/>
        <v>87703</v>
      </c>
      <c r="O22" s="20"/>
    </row>
    <row r="23" spans="1:15" ht="15" customHeight="1" x14ac:dyDescent="0.3">
      <c r="A23" s="301" t="s">
        <v>36</v>
      </c>
      <c r="B23" s="27" t="s">
        <v>34</v>
      </c>
      <c r="C23" s="28" t="s">
        <v>19</v>
      </c>
      <c r="D23" s="29">
        <v>11</v>
      </c>
      <c r="E23" s="63"/>
      <c r="F23" s="63">
        <f>D23*E23</f>
        <v>0</v>
      </c>
      <c r="G23" s="63">
        <v>8711</v>
      </c>
      <c r="H23" s="63">
        <f t="shared" si="5"/>
        <v>95821</v>
      </c>
      <c r="I23" s="63"/>
      <c r="J23" s="63"/>
      <c r="K23" s="63"/>
      <c r="L23" s="63"/>
      <c r="M23" s="63"/>
      <c r="N23" s="63">
        <f t="shared" si="4"/>
        <v>95821</v>
      </c>
      <c r="O23" s="20"/>
    </row>
    <row r="24" spans="1:15" ht="15" customHeight="1" x14ac:dyDescent="0.3">
      <c r="A24" s="301"/>
      <c r="B24" s="27" t="s">
        <v>35</v>
      </c>
      <c r="C24" s="28" t="s">
        <v>19</v>
      </c>
      <c r="D24" s="29">
        <v>11</v>
      </c>
      <c r="E24" s="63"/>
      <c r="F24" s="63">
        <f t="shared" ref="F24" si="7">D24*E24</f>
        <v>0</v>
      </c>
      <c r="G24" s="63">
        <v>5159</v>
      </c>
      <c r="H24" s="63">
        <f t="shared" si="5"/>
        <v>56749</v>
      </c>
      <c r="I24" s="63"/>
      <c r="J24" s="63"/>
      <c r="K24" s="63"/>
      <c r="L24" s="63"/>
      <c r="M24" s="63"/>
      <c r="N24" s="63">
        <f t="shared" si="4"/>
        <v>56749</v>
      </c>
      <c r="O24" s="20"/>
    </row>
    <row r="25" spans="1:15" ht="15" customHeight="1" x14ac:dyDescent="0.3">
      <c r="A25" s="39" t="s">
        <v>27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 x14ac:dyDescent="0.3">
      <c r="A26" s="43" t="s">
        <v>37</v>
      </c>
      <c r="B26" s="17" t="s">
        <v>89</v>
      </c>
      <c r="C26" s="18" t="s">
        <v>19</v>
      </c>
      <c r="D26" s="64">
        <v>96</v>
      </c>
      <c r="E26" s="59"/>
      <c r="F26" s="59"/>
      <c r="G26" s="20">
        <v>4147</v>
      </c>
      <c r="H26" s="59">
        <f>D26*G26</f>
        <v>398112</v>
      </c>
      <c r="I26" s="59"/>
      <c r="J26" s="59"/>
      <c r="K26" s="59"/>
      <c r="L26" s="59"/>
      <c r="M26" s="59"/>
      <c r="N26" s="59">
        <f>F26+H26+J26+L26</f>
        <v>398112</v>
      </c>
      <c r="O26" s="32" t="s">
        <v>38</v>
      </c>
    </row>
    <row r="27" spans="1:15" ht="15" customHeight="1" x14ac:dyDescent="0.3">
      <c r="A27" s="40" t="s">
        <v>27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 x14ac:dyDescent="0.3">
      <c r="A28" s="39" t="s">
        <v>72</v>
      </c>
      <c r="B28" s="22"/>
      <c r="C28" s="23"/>
      <c r="D28" s="33"/>
      <c r="E28" s="35"/>
      <c r="F28" s="36">
        <f>F13+F18+F25+F27</f>
        <v>883848.9</v>
      </c>
      <c r="G28" s="36"/>
      <c r="H28" s="36">
        <f>H13+H18+H25+H27</f>
        <v>2842781.98</v>
      </c>
      <c r="I28" s="35"/>
      <c r="J28" s="36">
        <f>J13+J18+J25+J27</f>
        <v>0</v>
      </c>
      <c r="K28" s="35"/>
      <c r="L28" s="36">
        <f>L13+L18+L25+L27</f>
        <v>0</v>
      </c>
      <c r="M28" s="35"/>
      <c r="N28" s="36">
        <f>N13+N18+N25+N27</f>
        <v>3726630.88</v>
      </c>
      <c r="O28" s="35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H30" sqref="H30"/>
    </sheetView>
  </sheetViews>
  <sheetFormatPr defaultColWidth="9" defaultRowHeight="14.25" x14ac:dyDescent="0.3"/>
  <cols>
    <col min="1" max="1" width="25.125" style="55" customWidth="1"/>
    <col min="2" max="2" width="16.25" style="55" customWidth="1"/>
    <col min="3" max="3" width="22.375" style="55" customWidth="1"/>
    <col min="4" max="4" width="24.125" style="55" customWidth="1"/>
    <col min="5" max="5" width="13" style="55" customWidth="1"/>
    <col min="6" max="6" width="9" style="55" customWidth="1"/>
    <col min="7" max="16384" width="9" style="14"/>
  </cols>
  <sheetData>
    <row r="1" spans="1:6" ht="18" customHeight="1" x14ac:dyDescent="0.3">
      <c r="A1" s="51" t="s">
        <v>90</v>
      </c>
      <c r="B1" s="51" t="s">
        <v>91</v>
      </c>
      <c r="C1" s="51" t="s">
        <v>92</v>
      </c>
      <c r="D1" s="51" t="s">
        <v>93</v>
      </c>
      <c r="E1" s="51" t="s">
        <v>94</v>
      </c>
      <c r="F1" s="51" t="s">
        <v>0</v>
      </c>
    </row>
    <row r="2" spans="1:6" x14ac:dyDescent="0.3">
      <c r="A2" s="52" t="str">
        <f>'내역서(표준단가)'!A5</f>
        <v>M020853710050101</v>
      </c>
      <c r="B2" s="53">
        <f>'내역서(표준단가)'!F5</f>
        <v>0</v>
      </c>
      <c r="C2" s="53">
        <f>'내역서(표준단가)'!G5</f>
        <v>0</v>
      </c>
      <c r="D2" s="53" t="str">
        <f>'내역서(표준단가)'!H5</f>
        <v>M020853710050101</v>
      </c>
      <c r="E2" s="53">
        <f>'내역서(표준단가)'!I5</f>
        <v>0</v>
      </c>
      <c r="F2" s="54">
        <f>'내역서(표준단가)'!M5</f>
        <v>11.265000000000001</v>
      </c>
    </row>
    <row r="3" spans="1:6" x14ac:dyDescent="0.3">
      <c r="A3" s="52" t="str">
        <f>'내역서(표준단가)'!A6</f>
        <v>E00000803071260301</v>
      </c>
      <c r="B3" s="53">
        <f>'내역서(표준단가)'!F6</f>
        <v>0</v>
      </c>
      <c r="C3" s="53" t="str">
        <f>'내역서(표준단가)'!G6</f>
        <v>E00000803071260301</v>
      </c>
      <c r="D3" s="53">
        <f>'내역서(표준단가)'!H6</f>
        <v>0</v>
      </c>
      <c r="E3" s="53">
        <f>'내역서(표준단가)'!I6</f>
        <v>0</v>
      </c>
      <c r="F3" s="54">
        <f>'내역서(표준단가)'!M6</f>
        <v>4.0430000000000001</v>
      </c>
    </row>
    <row r="4" spans="1:6" x14ac:dyDescent="0.3">
      <c r="A4" s="52" t="str">
        <f>'내역서(표준단가)'!A7</f>
        <v>M020809012520101</v>
      </c>
      <c r="B4" s="53">
        <f>'내역서(표준단가)'!F7</f>
        <v>0</v>
      </c>
      <c r="C4" s="53">
        <f>'내역서(표준단가)'!G7</f>
        <v>0</v>
      </c>
      <c r="D4" s="53" t="str">
        <f>'내역서(표준단가)'!H7</f>
        <v>M020809012520101</v>
      </c>
      <c r="E4" s="53">
        <f>'내역서(표준단가)'!I7</f>
        <v>0</v>
      </c>
      <c r="F4" s="54">
        <f>'내역서(표준단가)'!M7</f>
        <v>61.8</v>
      </c>
    </row>
    <row r="5" spans="1:6" x14ac:dyDescent="0.3">
      <c r="A5" s="52" t="str">
        <f>'내역서(표준단가)'!A8</f>
        <v>E00000803071260401</v>
      </c>
      <c r="B5" s="53">
        <f>'내역서(표준단가)'!F8</f>
        <v>0</v>
      </c>
      <c r="C5" s="53" t="str">
        <f>'내역서(표준단가)'!G8</f>
        <v>E00000803071260401</v>
      </c>
      <c r="D5" s="53">
        <f>'내역서(표준단가)'!H8</f>
        <v>0</v>
      </c>
      <c r="E5" s="53">
        <f>'내역서(표준단가)'!I8</f>
        <v>0</v>
      </c>
      <c r="F5" s="54">
        <f>'내역서(표준단가)'!M8</f>
        <v>1.0132000000000001</v>
      </c>
    </row>
    <row r="6" spans="1:6" x14ac:dyDescent="0.3">
      <c r="A6" s="52" t="str">
        <f>'내역서(표준단가)'!A9</f>
        <v>M020412614110102</v>
      </c>
      <c r="B6" s="53">
        <f>'내역서(표준단가)'!F9</f>
        <v>0</v>
      </c>
      <c r="C6" s="53">
        <f>'내역서(표준단가)'!G9</f>
        <v>0</v>
      </c>
      <c r="D6" s="53" t="str">
        <f>'내역서(표준단가)'!H9</f>
        <v>M020412614110102</v>
      </c>
      <c r="E6" s="53">
        <f>'내역서(표준단가)'!I9</f>
        <v>0</v>
      </c>
      <c r="F6" s="54">
        <f>'내역서(표준단가)'!M9</f>
        <v>0.3</v>
      </c>
    </row>
    <row r="7" spans="1:6" x14ac:dyDescent="0.3">
      <c r="A7" s="52" t="str">
        <f>'내역서(표준단가)'!A10</f>
        <v>E00000803061120402</v>
      </c>
      <c r="B7" s="53">
        <f>'내역서(표준단가)'!F10</f>
        <v>0</v>
      </c>
      <c r="C7" s="53" t="str">
        <f>'내역서(표준단가)'!G10</f>
        <v>E00000803061120402</v>
      </c>
      <c r="D7" s="53">
        <f>'내역서(표준단가)'!H10</f>
        <v>0</v>
      </c>
      <c r="E7" s="53">
        <f>'내역서(표준단가)'!I10</f>
        <v>0</v>
      </c>
      <c r="F7" s="54">
        <f>'내역서(표준단가)'!M10</f>
        <v>28</v>
      </c>
    </row>
    <row r="8" spans="1:6" x14ac:dyDescent="0.3">
      <c r="A8" s="52" t="str">
        <f>'내역서(표준단가)'!A11</f>
        <v>E00000803061300201</v>
      </c>
      <c r="B8" s="53">
        <f>'내역서(표준단가)'!F11</f>
        <v>0</v>
      </c>
      <c r="C8" s="53" t="str">
        <f>'내역서(표준단가)'!G11</f>
        <v>E00000803061300201</v>
      </c>
      <c r="D8" s="53">
        <f>'내역서(표준단가)'!H11</f>
        <v>0</v>
      </c>
      <c r="E8" s="53">
        <f>'내역서(표준단가)'!I11</f>
        <v>0</v>
      </c>
      <c r="F8" s="54">
        <f>'내역서(표준단가)'!M11</f>
        <v>28</v>
      </c>
    </row>
    <row r="9" spans="1:6" x14ac:dyDescent="0.3">
      <c r="A9" s="52" t="str">
        <f>'내역서(표준단가)'!A12</f>
        <v>E00000801011510701</v>
      </c>
      <c r="B9" s="53">
        <f>'내역서(표준단가)'!F12</f>
        <v>0</v>
      </c>
      <c r="C9" s="53" t="str">
        <f>'내역서(표준단가)'!G12</f>
        <v>E00000801011510701</v>
      </c>
      <c r="D9" s="53">
        <f>'내역서(표준단가)'!H12</f>
        <v>0</v>
      </c>
      <c r="E9" s="53">
        <f>'내역서(표준단가)'!I12</f>
        <v>0</v>
      </c>
      <c r="F9" s="54">
        <f>'내역서(표준단가)'!M12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2025-07-09T03:31:12Z</dcterms:modified>
</cp:coreProperties>
</file>
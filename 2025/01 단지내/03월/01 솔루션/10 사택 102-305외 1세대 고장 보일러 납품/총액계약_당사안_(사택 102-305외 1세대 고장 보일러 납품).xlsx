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212\03 당사안\"/>
    </mc:Choice>
  </mc:AlternateContent>
  <xr:revisionPtr revIDLastSave="0" documentId="13_ncr:1_{68C60976-3D4F-472D-AF26-E5B4DC7B66CD}" xr6:coauthVersionLast="47" xr6:coauthVersionMax="47" xr10:uidLastSave="{00000000-0000-0000-0000-000000000000}"/>
  <bookViews>
    <workbookView xWindow="2730" yWindow="720" windowWidth="14490" windowHeight="15480" xr2:uid="{00000000-000D-0000-FFFF-FFFF00000000}"/>
  </bookViews>
  <sheets>
    <sheet name="갑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I31" i="1"/>
  <c r="H31" i="1"/>
  <c r="M30" i="1"/>
  <c r="M29" i="1"/>
  <c r="M28" i="1"/>
  <c r="M27" i="1"/>
  <c r="M26" i="1"/>
  <c r="M25" i="1"/>
  <c r="M24" i="1"/>
  <c r="M23" i="1"/>
  <c r="M22" i="1"/>
  <c r="M21" i="1"/>
  <c r="M20" i="1"/>
  <c r="M19" i="1"/>
  <c r="M31" i="1" l="1"/>
  <c r="F17" i="1" s="1"/>
  <c r="M17" i="1" l="1"/>
</calcChain>
</file>

<file path=xl/sharedStrings.xml><?xml version="1.0" encoding="utf-8"?>
<sst xmlns="http://schemas.openxmlformats.org/spreadsheetml/2006/main" count="56" uniqueCount="41">
  <si>
    <t>등 록 번 호</t>
  </si>
  <si>
    <t>규     격</t>
  </si>
  <si>
    <t>가스보일러</t>
  </si>
  <si>
    <t>전 화 번 호</t>
  </si>
  <si>
    <t>성   명</t>
  </si>
  <si>
    <t>품     명</t>
  </si>
  <si>
    <t>온도조절기</t>
  </si>
  <si>
    <t>합 계 금 액</t>
  </si>
  <si>
    <t>귀뚜라미산업</t>
  </si>
  <si>
    <t>단    가</t>
  </si>
  <si>
    <t>비   고</t>
  </si>
  <si>
    <t>기 타 사 항</t>
  </si>
  <si>
    <t xml:space="preserve">  김 태 용</t>
  </si>
  <si>
    <t>가스누설경보기</t>
  </si>
  <si>
    <t>공 급 가 액</t>
  </si>
  <si>
    <t>세    액</t>
  </si>
  <si>
    <t>종   목</t>
  </si>
  <si>
    <t>보일러,버너,배관자재,에어컨</t>
  </si>
  <si>
    <t>314-19-99933</t>
  </si>
  <si>
    <t>수 량</t>
  </si>
  <si>
    <t>번 호</t>
  </si>
  <si>
    <t>합 계</t>
  </si>
  <si>
    <t xml:space="preserve">  </t>
  </si>
  <si>
    <t>도소매</t>
  </si>
  <si>
    <t xml:space="preserve"> 대전광역시 유성구 계룡로 16번길 48, 1층(구암동)</t>
  </si>
  <si>
    <t>NCTR-7700</t>
  </si>
  <si>
    <t>KGD-500B</t>
  </si>
  <si>
    <t>상      호</t>
  </si>
  <si>
    <t>주      소</t>
  </si>
  <si>
    <t>업      태</t>
  </si>
  <si>
    <r>
      <t>아래와 같이 견적합니다. (</t>
    </r>
    <r>
      <rPr>
        <b/>
        <sz val="15"/>
        <color rgb="FF0000FF"/>
        <rFont val="굴림체"/>
        <family val="3"/>
        <charset val="129"/>
      </rPr>
      <t>VAT별도</t>
    </r>
    <r>
      <rPr>
        <b/>
        <sz val="15"/>
        <color rgb="FF000000"/>
        <rFont val="굴림체"/>
        <family val="3"/>
        <charset val="129"/>
      </rPr>
      <t>)</t>
    </r>
  </si>
  <si>
    <t xml:space="preserve"> 견        적        서</t>
  </si>
  <si>
    <t>103동 406호</t>
  </si>
  <si>
    <t>거꾸로ECO콘덴싱L20-27H</t>
  </si>
  <si>
    <t xml:space="preserve"> 에스앤아이코퍼레이션시스템 귀하</t>
  </si>
  <si>
    <t xml:space="preserve"> 2025  년   2  월    10  일</t>
  </si>
  <si>
    <t>823-9444       FAX 823-9511</t>
  </si>
  <si>
    <t xml:space="preserve">  ※ 설치비포함</t>
  </si>
  <si>
    <t>1/9</t>
  </si>
  <si>
    <t>1/21</t>
  </si>
  <si>
    <t>102동 305호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</si>
</sst>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4" x14ac:knownFonts="1">
    <font>
      <sz val="11"/>
      <color rgb="FF000000"/>
      <name val="맑은 고딕"/>
    </font>
    <font>
      <sz val="11"/>
      <color rgb="FF000000"/>
      <name val="굴림체"/>
      <family val="3"/>
      <charset val="129"/>
    </font>
    <font>
      <sz val="15"/>
      <color rgb="FF000000"/>
      <name val="굴림체"/>
      <family val="3"/>
      <charset val="129"/>
    </font>
    <font>
      <b/>
      <sz val="15"/>
      <color rgb="FF000000"/>
      <name val="굴림체"/>
      <family val="3"/>
      <charset val="129"/>
    </font>
    <font>
      <b/>
      <sz val="15"/>
      <color rgb="FF000000"/>
      <name val="맑은 고딕"/>
      <family val="3"/>
      <charset val="129"/>
    </font>
    <font>
      <sz val="20"/>
      <color rgb="FF000000"/>
      <name val="굴림체"/>
      <family val="3"/>
      <charset val="129"/>
    </font>
    <font>
      <b/>
      <u/>
      <sz val="15"/>
      <color rgb="FF00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b/>
      <sz val="11"/>
      <color rgb="FF000000"/>
      <name val="굴림체"/>
      <family val="3"/>
      <charset val="129"/>
    </font>
    <font>
      <b/>
      <sz val="15"/>
      <color rgb="FF0000FF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5"/>
      <color theme="0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1" fontId="11" fillId="0" borderId="0">
      <alignment vertical="center"/>
    </xf>
    <xf numFmtId="0" fontId="3" fillId="0" borderId="13" xfId="0" applyFont="1" applyBorder="1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2" applyFont="1" applyBorder="1" applyAlignme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2" applyFont="1" applyBorder="1" applyAlignment="1">
      <alignment vertical="center"/>
    </xf>
    <xf numFmtId="0" fontId="3" fillId="0" borderId="3" xfId="2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2" applyFont="1" applyBorder="1" applyAlignment="1">
      <alignment horizontal="center" vertical="center"/>
    </xf>
    <xf numFmtId="0" fontId="1" fillId="0" borderId="0" xfId="2" applyFont="1" applyBorder="1" applyAlignment="1">
      <alignment horizontal="center" vertical="center"/>
    </xf>
    <xf numFmtId="0" fontId="2" fillId="0" borderId="0" xfId="2" applyFont="1" applyBorder="1" applyAlignment="1">
      <alignment horizontal="center" vertical="center"/>
    </xf>
    <xf numFmtId="49" fontId="2" fillId="0" borderId="12" xfId="2" applyNumberFormat="1" applyFont="1" applyBorder="1" applyAlignment="1">
      <alignment horizontal="center" vertical="center"/>
    </xf>
    <xf numFmtId="0" fontId="4" fillId="0" borderId="0" xfId="2" applyFont="1" applyBorder="1" applyAlignment="1">
      <alignment horizontal="center" vertical="center"/>
    </xf>
    <xf numFmtId="0" fontId="1" fillId="0" borderId="0" xfId="2" applyFont="1" applyBorder="1" applyAlignment="1">
      <alignment vertical="center"/>
    </xf>
    <xf numFmtId="0" fontId="1" fillId="0" borderId="0" xfId="2" applyFont="1" applyBorder="1" applyAlignment="1">
      <alignment horizontal="center" vertical="center"/>
    </xf>
    <xf numFmtId="0" fontId="3" fillId="0" borderId="3" xfId="2" applyFont="1" applyBorder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41" fontId="13" fillId="0" borderId="11" xfId="0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41" fontId="3" fillId="0" borderId="11" xfId="1" applyFont="1" applyBorder="1" applyAlignment="1">
      <alignment horizontal="right" vertical="center" wrapText="1"/>
    </xf>
    <xf numFmtId="41" fontId="3" fillId="0" borderId="9" xfId="1" applyFont="1" applyBorder="1" applyAlignment="1">
      <alignment horizontal="right" vertical="center" wrapText="1"/>
    </xf>
    <xf numFmtId="41" fontId="3" fillId="0" borderId="10" xfId="1" applyFont="1" applyBorder="1" applyAlignment="1">
      <alignment horizontal="right" vertical="center" wrapText="1"/>
    </xf>
    <xf numFmtId="0" fontId="3" fillId="0" borderId="13" xfId="2" applyFont="1" applyBorder="1" applyAlignment="1">
      <alignment horizontal="center" vertical="center"/>
    </xf>
    <xf numFmtId="0" fontId="3" fillId="0" borderId="14" xfId="2" applyFont="1" applyBorder="1" applyAlignment="1">
      <alignment horizontal="center" vertical="center"/>
    </xf>
    <xf numFmtId="0" fontId="3" fillId="0" borderId="15" xfId="2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1" fontId="3" fillId="0" borderId="8" xfId="1" applyFont="1" applyBorder="1" applyAlignment="1">
      <alignment horizontal="right" vertical="center" wrapText="1"/>
    </xf>
    <xf numFmtId="41" fontId="3" fillId="0" borderId="4" xfId="1" applyFont="1" applyBorder="1" applyAlignment="1">
      <alignment horizontal="right" vertical="center" wrapText="1"/>
    </xf>
    <xf numFmtId="41" fontId="3" fillId="0" borderId="5" xfId="1" applyFont="1" applyBorder="1" applyAlignment="1">
      <alignment horizontal="right" vertical="center" wrapText="1"/>
    </xf>
    <xf numFmtId="41" fontId="3" fillId="0" borderId="8" xfId="0" applyNumberFormat="1" applyFont="1" applyBorder="1" applyAlignment="1">
      <alignment horizontal="right" vertical="center" wrapText="1"/>
    </xf>
    <xf numFmtId="41" fontId="3" fillId="0" borderId="4" xfId="0" applyNumberFormat="1" applyFont="1" applyBorder="1" applyAlignment="1">
      <alignment horizontal="right" vertical="center" wrapText="1"/>
    </xf>
    <xf numFmtId="41" fontId="3" fillId="0" borderId="5" xfId="0" applyNumberFormat="1" applyFont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left" vertical="center" shrinkToFit="1"/>
    </xf>
    <xf numFmtId="0" fontId="2" fillId="0" borderId="4" xfId="0" applyFont="1" applyBorder="1" applyAlignment="1">
      <alignment horizontal="left" vertical="center" shrinkToFit="1"/>
    </xf>
    <xf numFmtId="41" fontId="3" fillId="0" borderId="4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1" fillId="0" borderId="0" xfId="2" applyFont="1" applyBorder="1" applyAlignment="1">
      <alignment vertical="center"/>
    </xf>
    <xf numFmtId="0" fontId="5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533400</xdr:colOff>
      <xdr:row>10</xdr:row>
      <xdr:rowOff>228600</xdr:rowOff>
    </xdr:from>
    <xdr:to>
      <xdr:col>19</xdr:col>
      <xdr:colOff>1150620</xdr:colOff>
      <xdr:row>12</xdr:row>
      <xdr:rowOff>22860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9669517" y="937172"/>
          <a:ext cx="609600" cy="571500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32"/>
  <sheetViews>
    <sheetView tabSelected="1" topLeftCell="A13" zoomScaleNormal="100" zoomScaleSheetLayoutView="100" workbookViewId="0">
      <selection activeCell="I22" sqref="I22:L22"/>
    </sheetView>
  </sheetViews>
  <sheetFormatPr defaultColWidth="8.75" defaultRowHeight="24" x14ac:dyDescent="0.3"/>
  <cols>
    <col min="1" max="1" width="9.75" style="9" customWidth="1"/>
    <col min="2" max="2" width="10.125" style="2" customWidth="1"/>
    <col min="3" max="3" width="6.875" style="14" customWidth="1"/>
    <col min="4" max="4" width="5" style="14" customWidth="1"/>
    <col min="5" max="5" width="6.5" style="2" customWidth="1"/>
    <col min="6" max="6" width="16.125" style="2" customWidth="1"/>
    <col min="7" max="7" width="17.125" style="2" customWidth="1"/>
    <col min="8" max="8" width="9.5" style="2" customWidth="1"/>
    <col min="9" max="9" width="2.75" style="2" customWidth="1"/>
    <col min="10" max="10" width="3.75" style="2" customWidth="1"/>
    <col min="11" max="12" width="5.125" style="2" customWidth="1"/>
    <col min="13" max="13" width="5.25" style="2" customWidth="1"/>
    <col min="14" max="14" width="4.875" style="2" customWidth="1"/>
    <col min="15" max="15" width="3.25" style="2" customWidth="1"/>
    <col min="16" max="16" width="3.125" style="2" customWidth="1"/>
    <col min="17" max="17" width="4.5" style="2" customWidth="1"/>
    <col min="18" max="18" width="5.5" style="2" customWidth="1"/>
    <col min="19" max="19" width="5.25" style="2" customWidth="1"/>
    <col min="20" max="20" width="16.875" style="2" customWidth="1"/>
    <col min="21" max="21" width="10.25" style="10" customWidth="1"/>
    <col min="22" max="16384" width="8.75" style="2"/>
  </cols>
  <sheetData>
    <row r="1" spans="1:21" s="14" customFormat="1" hidden="1" x14ac:dyDescent="0.3">
      <c r="A1" s="13"/>
      <c r="U1" s="15"/>
    </row>
    <row r="2" spans="1:21" s="14" customFormat="1" hidden="1" x14ac:dyDescent="0.3">
      <c r="A2" s="13"/>
      <c r="U2" s="15"/>
    </row>
    <row r="3" spans="1:21" s="14" customFormat="1" hidden="1" x14ac:dyDescent="0.3">
      <c r="A3" s="13"/>
      <c r="U3" s="15"/>
    </row>
    <row r="4" spans="1:21" s="14" customFormat="1" hidden="1" x14ac:dyDescent="0.3">
      <c r="A4" s="13"/>
      <c r="U4" s="15"/>
    </row>
    <row r="5" spans="1:21" s="14" customFormat="1" hidden="1" x14ac:dyDescent="0.3">
      <c r="A5" s="13"/>
      <c r="U5" s="15"/>
    </row>
    <row r="6" spans="1:21" s="14" customFormat="1" hidden="1" x14ac:dyDescent="0.3">
      <c r="A6" s="13"/>
      <c r="U6" s="15"/>
    </row>
    <row r="7" spans="1:21" s="14" customFormat="1" hidden="1" x14ac:dyDescent="0.3">
      <c r="A7" s="13"/>
      <c r="U7" s="15"/>
    </row>
    <row r="8" spans="1:21" s="14" customFormat="1" hidden="1" x14ac:dyDescent="0.3">
      <c r="A8" s="13"/>
      <c r="U8" s="15"/>
    </row>
    <row r="9" spans="1:21" s="1" customFormat="1" ht="42.6" customHeight="1" x14ac:dyDescent="0.3">
      <c r="A9" s="57" t="s">
        <v>31</v>
      </c>
      <c r="B9" s="57"/>
      <c r="C9" s="57"/>
      <c r="D9" s="57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10"/>
    </row>
    <row r="10" spans="1:21" s="1" customFormat="1" ht="13.15" customHeight="1" x14ac:dyDescent="0.3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10"/>
    </row>
    <row r="11" spans="1:21" s="1" customFormat="1" ht="30" customHeight="1" x14ac:dyDescent="0.3">
      <c r="A11" s="55" t="s">
        <v>34</v>
      </c>
      <c r="B11" s="55"/>
      <c r="C11" s="55"/>
      <c r="D11" s="55"/>
      <c r="E11" s="55"/>
      <c r="F11" s="55"/>
      <c r="G11" s="55"/>
      <c r="H11" s="44" t="s">
        <v>0</v>
      </c>
      <c r="I11" s="53"/>
      <c r="J11" s="44"/>
      <c r="K11" s="44" t="s">
        <v>18</v>
      </c>
      <c r="L11" s="44"/>
      <c r="M11" s="44"/>
      <c r="N11" s="44"/>
      <c r="O11" s="44"/>
      <c r="P11" s="44"/>
      <c r="Q11" s="44"/>
      <c r="R11" s="44"/>
      <c r="S11" s="44"/>
      <c r="T11" s="44"/>
      <c r="U11" s="10"/>
    </row>
    <row r="12" spans="1:21" s="1" customFormat="1" ht="30" customHeight="1" x14ac:dyDescent="0.3">
      <c r="A12" s="55"/>
      <c r="B12" s="55"/>
      <c r="C12" s="55"/>
      <c r="D12" s="55"/>
      <c r="E12" s="55"/>
      <c r="F12" s="55"/>
      <c r="G12" s="55"/>
      <c r="H12" s="44" t="s">
        <v>27</v>
      </c>
      <c r="I12" s="45"/>
      <c r="J12" s="44"/>
      <c r="K12" s="44" t="s">
        <v>8</v>
      </c>
      <c r="L12" s="44"/>
      <c r="M12" s="44"/>
      <c r="N12" s="44"/>
      <c r="O12" s="44"/>
      <c r="P12" s="44" t="s">
        <v>4</v>
      </c>
      <c r="Q12" s="44"/>
      <c r="R12" s="44"/>
      <c r="S12" s="56" t="s">
        <v>12</v>
      </c>
      <c r="T12" s="56"/>
      <c r="U12" s="10"/>
    </row>
    <row r="13" spans="1:21" s="1" customFormat="1" ht="30" customHeight="1" x14ac:dyDescent="0.3">
      <c r="A13" s="43" t="s">
        <v>35</v>
      </c>
      <c r="B13" s="43"/>
      <c r="C13" s="43"/>
      <c r="D13" s="43"/>
      <c r="E13" s="43"/>
      <c r="F13" s="43"/>
      <c r="G13" s="43"/>
      <c r="H13" s="44" t="s">
        <v>28</v>
      </c>
      <c r="I13" s="53"/>
      <c r="J13" s="44"/>
      <c r="K13" s="44" t="s">
        <v>24</v>
      </c>
      <c r="L13" s="44"/>
      <c r="M13" s="44"/>
      <c r="N13" s="44"/>
      <c r="O13" s="44"/>
      <c r="P13" s="44"/>
      <c r="Q13" s="44"/>
      <c r="R13" s="44"/>
      <c r="S13" s="44"/>
      <c r="T13" s="44"/>
      <c r="U13" s="10"/>
    </row>
    <row r="14" spans="1:21" s="1" customFormat="1" ht="30" customHeight="1" x14ac:dyDescent="0.3">
      <c r="A14" s="54"/>
      <c r="B14" s="54"/>
      <c r="C14" s="54"/>
      <c r="D14" s="54"/>
      <c r="E14" s="54"/>
      <c r="F14" s="54"/>
      <c r="G14" s="54"/>
      <c r="H14" s="44" t="s">
        <v>29</v>
      </c>
      <c r="I14" s="45"/>
      <c r="J14" s="44"/>
      <c r="K14" s="44" t="s">
        <v>23</v>
      </c>
      <c r="L14" s="44"/>
      <c r="M14" s="44" t="s">
        <v>16</v>
      </c>
      <c r="N14" s="44"/>
      <c r="O14" s="44"/>
      <c r="P14" s="44" t="s">
        <v>17</v>
      </c>
      <c r="Q14" s="44"/>
      <c r="R14" s="44"/>
      <c r="S14" s="44"/>
      <c r="T14" s="44"/>
      <c r="U14" s="10"/>
    </row>
    <row r="15" spans="1:21" s="1" customFormat="1" ht="30" customHeight="1" x14ac:dyDescent="0.3">
      <c r="A15" s="43" t="s">
        <v>30</v>
      </c>
      <c r="B15" s="43"/>
      <c r="C15" s="43"/>
      <c r="D15" s="43"/>
      <c r="E15" s="43"/>
      <c r="F15" s="43"/>
      <c r="G15" s="43"/>
      <c r="H15" s="44" t="s">
        <v>3</v>
      </c>
      <c r="I15" s="45"/>
      <c r="J15" s="44"/>
      <c r="K15" s="44" t="s">
        <v>36</v>
      </c>
      <c r="L15" s="44"/>
      <c r="M15" s="44"/>
      <c r="N15" s="44"/>
      <c r="O15" s="44"/>
      <c r="P15" s="44"/>
      <c r="Q15" s="44"/>
      <c r="R15" s="44"/>
      <c r="S15" s="44"/>
      <c r="T15" s="44"/>
      <c r="U15" s="10"/>
    </row>
    <row r="16" spans="1:21" s="1" customFormat="1" ht="13.9" customHeight="1" x14ac:dyDescent="0.3">
      <c r="A16" s="46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7"/>
      <c r="S16" s="47"/>
      <c r="T16" s="47"/>
      <c r="U16" s="10"/>
    </row>
    <row r="17" spans="1:21" s="3" customFormat="1" ht="30" customHeight="1" x14ac:dyDescent="0.3">
      <c r="A17" s="45" t="s">
        <v>7</v>
      </c>
      <c r="B17" s="45"/>
      <c r="C17" s="45"/>
      <c r="D17" s="45"/>
      <c r="E17" s="45"/>
      <c r="F17" s="48" t="str">
        <f>"일금 "&amp;NUMBERSTRING((M31+Q31),1)&amp;"원정"</f>
        <v>일금 이백만원정</v>
      </c>
      <c r="G17" s="49"/>
      <c r="H17" s="49"/>
      <c r="I17" s="49"/>
      <c r="J17" s="49"/>
      <c r="K17" s="49"/>
      <c r="L17" s="49"/>
      <c r="M17" s="50">
        <f>M31+Q31</f>
        <v>2000000</v>
      </c>
      <c r="N17" s="51"/>
      <c r="O17" s="51"/>
      <c r="P17" s="51"/>
      <c r="Q17" s="51"/>
      <c r="R17" s="51"/>
      <c r="S17" s="51"/>
      <c r="T17" s="52"/>
      <c r="U17" s="11"/>
    </row>
    <row r="18" spans="1:21" s="3" customFormat="1" ht="30" customHeight="1" x14ac:dyDescent="0.3">
      <c r="A18" s="8" t="s">
        <v>20</v>
      </c>
      <c r="B18" s="41" t="s">
        <v>5</v>
      </c>
      <c r="C18" s="41"/>
      <c r="D18" s="41"/>
      <c r="E18" s="42"/>
      <c r="F18" s="29" t="s">
        <v>1</v>
      </c>
      <c r="G18" s="30"/>
      <c r="H18" s="4" t="s">
        <v>19</v>
      </c>
      <c r="I18" s="29" t="s">
        <v>9</v>
      </c>
      <c r="J18" s="37"/>
      <c r="K18" s="37"/>
      <c r="L18" s="30"/>
      <c r="M18" s="29" t="s">
        <v>14</v>
      </c>
      <c r="N18" s="37"/>
      <c r="O18" s="37"/>
      <c r="P18" s="30"/>
      <c r="Q18" s="29" t="s">
        <v>15</v>
      </c>
      <c r="R18" s="37"/>
      <c r="S18" s="30"/>
      <c r="T18" s="4" t="s">
        <v>10</v>
      </c>
      <c r="U18" s="11"/>
    </row>
    <row r="19" spans="1:21" s="3" customFormat="1" ht="30" customHeight="1" x14ac:dyDescent="0.3">
      <c r="A19" s="8">
        <v>1</v>
      </c>
      <c r="B19" s="38" t="s">
        <v>2</v>
      </c>
      <c r="C19" s="38"/>
      <c r="D19" s="38"/>
      <c r="E19" s="39"/>
      <c r="F19" s="40" t="s">
        <v>33</v>
      </c>
      <c r="G19" s="39"/>
      <c r="H19" s="4">
        <v>1</v>
      </c>
      <c r="I19" s="31">
        <v>950000</v>
      </c>
      <c r="J19" s="32"/>
      <c r="K19" s="32"/>
      <c r="L19" s="33"/>
      <c r="M19" s="34">
        <f>H19*I19</f>
        <v>950000</v>
      </c>
      <c r="N19" s="35"/>
      <c r="O19" s="35"/>
      <c r="P19" s="36"/>
      <c r="Q19" s="31"/>
      <c r="R19" s="32"/>
      <c r="S19" s="33"/>
      <c r="T19" s="4" t="s">
        <v>40</v>
      </c>
      <c r="U19" s="12" t="s">
        <v>38</v>
      </c>
    </row>
    <row r="20" spans="1:21" s="3" customFormat="1" ht="30" customHeight="1" x14ac:dyDescent="0.3">
      <c r="A20" s="8">
        <v>2</v>
      </c>
      <c r="B20" s="38" t="s">
        <v>13</v>
      </c>
      <c r="C20" s="38"/>
      <c r="D20" s="38"/>
      <c r="E20" s="39"/>
      <c r="F20" s="40" t="s">
        <v>26</v>
      </c>
      <c r="G20" s="39"/>
      <c r="H20" s="4">
        <v>1</v>
      </c>
      <c r="I20" s="31">
        <v>0</v>
      </c>
      <c r="J20" s="32"/>
      <c r="K20" s="32"/>
      <c r="L20" s="33"/>
      <c r="M20" s="34">
        <f t="shared" ref="M20:M21" si="0">H20*I20</f>
        <v>0</v>
      </c>
      <c r="N20" s="35"/>
      <c r="O20" s="35"/>
      <c r="P20" s="36"/>
      <c r="Q20" s="31"/>
      <c r="R20" s="32"/>
      <c r="S20" s="33"/>
      <c r="T20" s="4"/>
      <c r="U20" s="12"/>
    </row>
    <row r="21" spans="1:21" s="3" customFormat="1" ht="30" customHeight="1" x14ac:dyDescent="0.3">
      <c r="A21" s="8">
        <v>3</v>
      </c>
      <c r="B21" s="38" t="s">
        <v>6</v>
      </c>
      <c r="C21" s="38"/>
      <c r="D21" s="38"/>
      <c r="E21" s="39"/>
      <c r="F21" s="40" t="s">
        <v>25</v>
      </c>
      <c r="G21" s="39"/>
      <c r="H21" s="4">
        <v>1</v>
      </c>
      <c r="I21" s="31">
        <v>50000</v>
      </c>
      <c r="J21" s="32"/>
      <c r="K21" s="32"/>
      <c r="L21" s="33"/>
      <c r="M21" s="34">
        <f t="shared" si="0"/>
        <v>50000</v>
      </c>
      <c r="N21" s="35"/>
      <c r="O21" s="35"/>
      <c r="P21" s="36"/>
      <c r="Q21" s="31"/>
      <c r="R21" s="32"/>
      <c r="S21" s="33"/>
      <c r="T21" s="4"/>
      <c r="U21" s="12"/>
    </row>
    <row r="22" spans="1:21" s="3" customFormat="1" ht="30" customHeight="1" x14ac:dyDescent="0.3">
      <c r="A22" s="8">
        <v>4</v>
      </c>
      <c r="B22" s="38" t="s">
        <v>2</v>
      </c>
      <c r="C22" s="38"/>
      <c r="D22" s="38"/>
      <c r="E22" s="39"/>
      <c r="F22" s="40" t="s">
        <v>33</v>
      </c>
      <c r="G22" s="39"/>
      <c r="H22" s="4">
        <v>1</v>
      </c>
      <c r="I22" s="31">
        <v>950000</v>
      </c>
      <c r="J22" s="32"/>
      <c r="K22" s="32"/>
      <c r="L22" s="33"/>
      <c r="M22" s="34">
        <f>H22*I22</f>
        <v>950000</v>
      </c>
      <c r="N22" s="35"/>
      <c r="O22" s="35"/>
      <c r="P22" s="36"/>
      <c r="Q22" s="31"/>
      <c r="R22" s="32"/>
      <c r="S22" s="33"/>
      <c r="T22" s="4" t="s">
        <v>32</v>
      </c>
      <c r="U22" s="12" t="s">
        <v>39</v>
      </c>
    </row>
    <row r="23" spans="1:21" s="3" customFormat="1" ht="30" customHeight="1" x14ac:dyDescent="0.3">
      <c r="A23" s="8">
        <v>5</v>
      </c>
      <c r="B23" s="38" t="s">
        <v>13</v>
      </c>
      <c r="C23" s="38"/>
      <c r="D23" s="38"/>
      <c r="E23" s="39"/>
      <c r="F23" s="40" t="s">
        <v>26</v>
      </c>
      <c r="G23" s="39"/>
      <c r="H23" s="4">
        <v>1</v>
      </c>
      <c r="I23" s="31">
        <v>0</v>
      </c>
      <c r="J23" s="32"/>
      <c r="K23" s="32"/>
      <c r="L23" s="33"/>
      <c r="M23" s="34">
        <f t="shared" ref="M23:M24" si="1">H23*I23</f>
        <v>0</v>
      </c>
      <c r="N23" s="35"/>
      <c r="O23" s="35"/>
      <c r="P23" s="36"/>
      <c r="Q23" s="31"/>
      <c r="R23" s="32"/>
      <c r="S23" s="33"/>
      <c r="T23" s="4"/>
      <c r="U23" s="12"/>
    </row>
    <row r="24" spans="1:21" s="3" customFormat="1" ht="30" customHeight="1" x14ac:dyDescent="0.3">
      <c r="A24" s="8">
        <v>6</v>
      </c>
      <c r="B24" s="38" t="s">
        <v>6</v>
      </c>
      <c r="C24" s="38"/>
      <c r="D24" s="38"/>
      <c r="E24" s="39"/>
      <c r="F24" s="40" t="s">
        <v>25</v>
      </c>
      <c r="G24" s="39"/>
      <c r="H24" s="4">
        <v>1</v>
      </c>
      <c r="I24" s="31">
        <v>50000</v>
      </c>
      <c r="J24" s="32"/>
      <c r="K24" s="32"/>
      <c r="L24" s="33"/>
      <c r="M24" s="34">
        <f t="shared" si="1"/>
        <v>50000</v>
      </c>
      <c r="N24" s="35"/>
      <c r="O24" s="35"/>
      <c r="P24" s="36"/>
      <c r="Q24" s="31"/>
      <c r="R24" s="32"/>
      <c r="S24" s="33"/>
      <c r="T24" s="4" t="s">
        <v>22</v>
      </c>
      <c r="U24" s="12"/>
    </row>
    <row r="25" spans="1:21" s="3" customFormat="1" ht="30" hidden="1" customHeight="1" x14ac:dyDescent="0.3">
      <c r="A25" s="8"/>
      <c r="B25" s="37"/>
      <c r="C25" s="37"/>
      <c r="D25" s="37"/>
      <c r="E25" s="30"/>
      <c r="F25" s="29"/>
      <c r="G25" s="30"/>
      <c r="H25" s="4"/>
      <c r="I25" s="31"/>
      <c r="J25" s="32"/>
      <c r="K25" s="32"/>
      <c r="L25" s="33"/>
      <c r="M25" s="34">
        <f t="shared" ref="M25:M30" si="2">H25*I25</f>
        <v>0</v>
      </c>
      <c r="N25" s="35"/>
      <c r="O25" s="35"/>
      <c r="P25" s="36"/>
      <c r="Q25" s="31"/>
      <c r="R25" s="32"/>
      <c r="S25" s="33"/>
      <c r="T25" s="4" t="s">
        <v>22</v>
      </c>
      <c r="U25" s="12"/>
    </row>
    <row r="26" spans="1:21" s="3" customFormat="1" ht="30" hidden="1" customHeight="1" x14ac:dyDescent="0.3">
      <c r="A26" s="8"/>
      <c r="B26" s="37"/>
      <c r="C26" s="37"/>
      <c r="D26" s="37"/>
      <c r="E26" s="30"/>
      <c r="F26" s="29"/>
      <c r="G26" s="30"/>
      <c r="H26" s="4"/>
      <c r="I26" s="31"/>
      <c r="J26" s="32"/>
      <c r="K26" s="32"/>
      <c r="L26" s="33"/>
      <c r="M26" s="34">
        <f t="shared" si="2"/>
        <v>0</v>
      </c>
      <c r="N26" s="35"/>
      <c r="O26" s="35"/>
      <c r="P26" s="36"/>
      <c r="Q26" s="31"/>
      <c r="R26" s="32"/>
      <c r="S26" s="33"/>
      <c r="T26" s="4" t="s">
        <v>22</v>
      </c>
      <c r="U26" s="12"/>
    </row>
    <row r="27" spans="1:21" s="3" customFormat="1" ht="30" hidden="1" customHeight="1" x14ac:dyDescent="0.3">
      <c r="A27" s="8"/>
      <c r="B27" s="37"/>
      <c r="C27" s="37"/>
      <c r="D27" s="37"/>
      <c r="E27" s="30"/>
      <c r="F27" s="29"/>
      <c r="G27" s="30"/>
      <c r="H27" s="4"/>
      <c r="I27" s="31"/>
      <c r="J27" s="32"/>
      <c r="K27" s="32"/>
      <c r="L27" s="33"/>
      <c r="M27" s="34">
        <f t="shared" si="2"/>
        <v>0</v>
      </c>
      <c r="N27" s="35"/>
      <c r="O27" s="35"/>
      <c r="P27" s="36"/>
      <c r="Q27" s="31"/>
      <c r="R27" s="32"/>
      <c r="S27" s="33"/>
      <c r="T27" s="4" t="s">
        <v>22</v>
      </c>
      <c r="U27" s="12"/>
    </row>
    <row r="28" spans="1:21" s="3" customFormat="1" ht="30" hidden="1" customHeight="1" x14ac:dyDescent="0.3">
      <c r="A28" s="8"/>
      <c r="B28" s="37"/>
      <c r="C28" s="37"/>
      <c r="D28" s="37"/>
      <c r="E28" s="30"/>
      <c r="F28" s="29"/>
      <c r="G28" s="30"/>
      <c r="H28" s="4"/>
      <c r="I28" s="31"/>
      <c r="J28" s="32"/>
      <c r="K28" s="32"/>
      <c r="L28" s="33"/>
      <c r="M28" s="34">
        <f t="shared" si="2"/>
        <v>0</v>
      </c>
      <c r="N28" s="35"/>
      <c r="O28" s="35"/>
      <c r="P28" s="36"/>
      <c r="Q28" s="31"/>
      <c r="R28" s="32"/>
      <c r="S28" s="33"/>
      <c r="T28" s="4" t="s">
        <v>22</v>
      </c>
      <c r="U28" s="12"/>
    </row>
    <row r="29" spans="1:21" s="3" customFormat="1" ht="30" hidden="1" customHeight="1" x14ac:dyDescent="0.3">
      <c r="A29" s="8"/>
      <c r="B29" s="37"/>
      <c r="C29" s="37"/>
      <c r="D29" s="37"/>
      <c r="E29" s="30"/>
      <c r="F29" s="29"/>
      <c r="G29" s="30"/>
      <c r="H29" s="4"/>
      <c r="I29" s="31"/>
      <c r="J29" s="32"/>
      <c r="K29" s="32"/>
      <c r="L29" s="33"/>
      <c r="M29" s="34">
        <f t="shared" si="2"/>
        <v>0</v>
      </c>
      <c r="N29" s="35"/>
      <c r="O29" s="35"/>
      <c r="P29" s="36"/>
      <c r="Q29" s="31" t="s">
        <v>22</v>
      </c>
      <c r="R29" s="32"/>
      <c r="S29" s="33"/>
      <c r="T29" s="4" t="s">
        <v>22</v>
      </c>
      <c r="U29" s="12"/>
    </row>
    <row r="30" spans="1:21" s="3" customFormat="1" ht="30" hidden="1" customHeight="1" x14ac:dyDescent="0.3">
      <c r="A30" s="8"/>
      <c r="B30" s="27"/>
      <c r="C30" s="27"/>
      <c r="D30" s="27"/>
      <c r="E30" s="28"/>
      <c r="F30" s="29"/>
      <c r="G30" s="30"/>
      <c r="H30" s="4"/>
      <c r="I30" s="31"/>
      <c r="J30" s="32"/>
      <c r="K30" s="32"/>
      <c r="L30" s="33"/>
      <c r="M30" s="34">
        <f t="shared" si="2"/>
        <v>0</v>
      </c>
      <c r="N30" s="35"/>
      <c r="O30" s="35"/>
      <c r="P30" s="36"/>
      <c r="Q30" s="31"/>
      <c r="R30" s="32"/>
      <c r="S30" s="33"/>
      <c r="T30" s="4" t="s">
        <v>22</v>
      </c>
      <c r="U30" s="12"/>
    </row>
    <row r="31" spans="1:21" s="3" customFormat="1" ht="30" customHeight="1" x14ac:dyDescent="0.3">
      <c r="A31" s="8" t="s">
        <v>21</v>
      </c>
      <c r="B31" s="17"/>
      <c r="C31" s="17"/>
      <c r="D31" s="17"/>
      <c r="E31" s="18"/>
      <c r="F31" s="19">
        <f>M31</f>
        <v>2000000</v>
      </c>
      <c r="G31" s="20"/>
      <c r="H31" s="5">
        <f>SUM(H19:H30)</f>
        <v>6</v>
      </c>
      <c r="I31" s="21">
        <f>SUM(I19:L24)</f>
        <v>2000000</v>
      </c>
      <c r="J31" s="22"/>
      <c r="K31" s="22"/>
      <c r="L31" s="23"/>
      <c r="M31" s="21">
        <f>SUM(M19:M30)</f>
        <v>2000000</v>
      </c>
      <c r="N31" s="22"/>
      <c r="O31" s="22"/>
      <c r="P31" s="23"/>
      <c r="Q31" s="21"/>
      <c r="R31" s="22"/>
      <c r="S31" s="23"/>
      <c r="T31" s="5" t="s">
        <v>22</v>
      </c>
      <c r="U31" s="12"/>
    </row>
    <row r="32" spans="1:21" s="6" customFormat="1" ht="45" customHeight="1" x14ac:dyDescent="0.3">
      <c r="A32" s="7"/>
      <c r="B32" s="24" t="s">
        <v>11</v>
      </c>
      <c r="C32" s="25"/>
      <c r="D32" s="25"/>
      <c r="E32" s="26"/>
      <c r="F32" s="2" t="s">
        <v>37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0"/>
    </row>
  </sheetData>
  <mergeCells count="97">
    <mergeCell ref="A9:T9"/>
    <mergeCell ref="A10:T10"/>
    <mergeCell ref="A11:G11"/>
    <mergeCell ref="H11:J11"/>
    <mergeCell ref="K11:T11"/>
    <mergeCell ref="A12:G12"/>
    <mergeCell ref="H12:J12"/>
    <mergeCell ref="K12:O12"/>
    <mergeCell ref="P12:R12"/>
    <mergeCell ref="S12:T12"/>
    <mergeCell ref="A13:G13"/>
    <mergeCell ref="H13:J13"/>
    <mergeCell ref="K13:T13"/>
    <mergeCell ref="A14:G14"/>
    <mergeCell ref="H14:J14"/>
    <mergeCell ref="K14:L14"/>
    <mergeCell ref="M14:O14"/>
    <mergeCell ref="P14:T14"/>
    <mergeCell ref="A15:G15"/>
    <mergeCell ref="H15:J15"/>
    <mergeCell ref="K15:T15"/>
    <mergeCell ref="A16:T16"/>
    <mergeCell ref="A17:E17"/>
    <mergeCell ref="F17:L17"/>
    <mergeCell ref="M17:T17"/>
    <mergeCell ref="B18:E18"/>
    <mergeCell ref="F18:G18"/>
    <mergeCell ref="I18:L18"/>
    <mergeCell ref="M18:P18"/>
    <mergeCell ref="Q18:S18"/>
    <mergeCell ref="B19:E19"/>
    <mergeCell ref="F19:G19"/>
    <mergeCell ref="I19:L19"/>
    <mergeCell ref="M19:P19"/>
    <mergeCell ref="Q19:S19"/>
    <mergeCell ref="B20:E20"/>
    <mergeCell ref="F20:G20"/>
    <mergeCell ref="I20:L20"/>
    <mergeCell ref="M20:P20"/>
    <mergeCell ref="Q20:S20"/>
    <mergeCell ref="B21:E21"/>
    <mergeCell ref="F21:G21"/>
    <mergeCell ref="I21:L21"/>
    <mergeCell ref="M21:P21"/>
    <mergeCell ref="Q21:S21"/>
    <mergeCell ref="B22:E22"/>
    <mergeCell ref="F22:G22"/>
    <mergeCell ref="I22:L22"/>
    <mergeCell ref="M22:P22"/>
    <mergeCell ref="Q22:S22"/>
    <mergeCell ref="B23:E23"/>
    <mergeCell ref="F23:G23"/>
    <mergeCell ref="I23:L23"/>
    <mergeCell ref="M23:P23"/>
    <mergeCell ref="Q23:S23"/>
    <mergeCell ref="B24:E24"/>
    <mergeCell ref="F24:G24"/>
    <mergeCell ref="I24:L24"/>
    <mergeCell ref="M24:P24"/>
    <mergeCell ref="Q24:S24"/>
    <mergeCell ref="B25:E25"/>
    <mergeCell ref="F25:G25"/>
    <mergeCell ref="I25:L25"/>
    <mergeCell ref="M25:P25"/>
    <mergeCell ref="Q25:S25"/>
    <mergeCell ref="B26:E26"/>
    <mergeCell ref="F26:G26"/>
    <mergeCell ref="I26:L26"/>
    <mergeCell ref="M26:P26"/>
    <mergeCell ref="Q26:S26"/>
    <mergeCell ref="B27:E27"/>
    <mergeCell ref="F27:G27"/>
    <mergeCell ref="I27:L27"/>
    <mergeCell ref="M27:P27"/>
    <mergeCell ref="Q27:S27"/>
    <mergeCell ref="B28:E28"/>
    <mergeCell ref="F28:G28"/>
    <mergeCell ref="I28:L28"/>
    <mergeCell ref="M28:P28"/>
    <mergeCell ref="Q28:S28"/>
    <mergeCell ref="B29:E29"/>
    <mergeCell ref="F29:G29"/>
    <mergeCell ref="I29:L29"/>
    <mergeCell ref="M29:P29"/>
    <mergeCell ref="Q29:S29"/>
    <mergeCell ref="B30:E30"/>
    <mergeCell ref="F30:G30"/>
    <mergeCell ref="I30:L30"/>
    <mergeCell ref="M30:P30"/>
    <mergeCell ref="Q30:S30"/>
    <mergeCell ref="F32:T32"/>
    <mergeCell ref="B31:E31"/>
    <mergeCell ref="F31:G31"/>
    <mergeCell ref="I31:L31"/>
    <mergeCell ref="M31:P31"/>
    <mergeCell ref="Q31:S31"/>
    <mergeCell ref="B32:E32"/>
  </mergeCells>
  <phoneticPr fontId="12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276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갑지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b0023</dc:creator>
  <cp:lastModifiedBy>종근 이</cp:lastModifiedBy>
  <cp:revision>67</cp:revision>
  <cp:lastPrinted>2025-02-10T06:05:05Z</cp:lastPrinted>
  <dcterms:created xsi:type="dcterms:W3CDTF">2020-02-03T04:33:40Z</dcterms:created>
  <dcterms:modified xsi:type="dcterms:W3CDTF">2025-02-12T03:09:23Z</dcterms:modified>
  <cp:version>1300.0100.01</cp:version>
</cp:coreProperties>
</file>
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28\06 작업폴더\01 기숙사 A동 303-2 세대내 친환경 도장 작업(샘플)\"/>
    </mc:Choice>
  </mc:AlternateContent>
  <xr:revisionPtr revIDLastSave="0" documentId="13_ncr:1_{1C0C7ACC-1A8F-4DAC-95B7-2BEBA827D02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  <sheet name="참고자료" sheetId="12" r:id="rId4"/>
    <sheet name="도면" sheetId="10" r:id="rId5"/>
    <sheet name="내부 도장, 산출근거" sheetId="1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A6" i="4" l="1"/>
  <c r="A3" i="1" s="1"/>
  <c r="O6" i="4"/>
  <c r="Q6" i="4"/>
  <c r="S6" i="4"/>
  <c r="U6" i="4"/>
  <c r="A7" i="4"/>
  <c r="A4" i="1" s="1"/>
  <c r="O7" i="4"/>
  <c r="Q7" i="4"/>
  <c r="S7" i="4"/>
  <c r="U7" i="4"/>
  <c r="F2" i="1"/>
  <c r="E2" i="1"/>
  <c r="D2" i="1"/>
  <c r="C2" i="1"/>
  <c r="B2" i="1"/>
  <c r="V7" i="4" l="1"/>
  <c r="V6" i="4"/>
  <c r="A5" i="4" l="1"/>
  <c r="A2" i="1" s="1"/>
  <c r="O5" i="4"/>
  <c r="Q5" i="4"/>
  <c r="S5" i="4"/>
  <c r="U5" i="4"/>
  <c r="V5" i="4" l="1"/>
  <c r="V8" i="4" l="1"/>
  <c r="Q8" i="4" l="1"/>
  <c r="F17" i="5" s="1"/>
  <c r="U8" i="4" l="1"/>
  <c r="O8" i="4"/>
  <c r="S8" i="4"/>
  <c r="F16" i="5" l="1"/>
  <c r="F26" i="5" s="1"/>
  <c r="F18" i="5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<sst xmlns="http://schemas.openxmlformats.org/spreadsheetml/2006/main" count="128" uniqueCount="106">
  <si>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</si>
  <si>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</si>
  <si>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</si>
  <si>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</si>
  <si>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</si>
  <si>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</si>
  <si>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</si>
  <si>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</si>
  <si>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</si>
  <si>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</si>
  <si>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</si>
  <si>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</si>
  <si>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</si>
  <si>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</si>
  <si>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</si>
  <si>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</si>
  <si>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</si>
  <si>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</si>
  <si>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</si>
  <si>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</si>
  <si>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</si>
  <si>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</si>
  <si>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</si>
  <si>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</si>
  <si>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</si>
  <si>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</si>
  <si>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</si>
  <si>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</si>
  <si>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</si>
  <si>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</si>
  <si>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</si>
  <si>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</si>
  <si>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</si>
  <si>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</si>
  <si>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</si>
  <si>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</si>
  <si>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</si>
  <si>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</si>
  <si>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</si>
  <si>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</si>
  <si>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</si>
  <si>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</si>
  <si>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</si>
  <si>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</si>
  <si>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</si>
  <si>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</si>
  <si>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</si>
  <si>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</si>
  <si>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</si>
  <si>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</si>
  <si>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</si>
  <si>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</si>
  <si>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</si>
  <si>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</si>
  <si>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</si>
  <si>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</si>
  <si>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</si>
  <si>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</si>
  <si>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</si>
  <si>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규      격</t>
  </si>
  <si>
    <t>수 량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</si>
  <si>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</si>
  <si>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</si>
  <si>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</si>
  <si>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</si>
  <si>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</si>
  <si>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</si>
  <si>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</si>
  <si>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</si>
  <si>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</si>
  <si>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</si>
  <si>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</si>
  <si>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</si>
  <si>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</si>
  <si>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</si>
  <si>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</si>
  <si>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</si>
  <si>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</si>
  <si>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</si>
  <si>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</si>
  <si>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노무비할증</t>
    <phoneticPr fontId="5" type="noConversion"/>
  </si>
  <si>
    <t>(㎡ 당)</t>
    <phoneticPr fontId="5" type="noConversion"/>
  </si>
  <si>
    <t> (재료비+노무비)*3.11%</t>
    <phoneticPr fontId="13" type="noConversion"/>
  </si>
  <si>
    <t>E00000803061300101</t>
  </si>
  <si>
    <t>M020414115290101</t>
    <phoneticPr fontId="5" type="noConversion"/>
  </si>
  <si>
    <t>ℓ</t>
    <phoneticPr fontId="5" type="noConversion"/>
  </si>
  <si>
    <t>산출근거</t>
    <phoneticPr fontId="13" type="noConversion"/>
  </si>
  <si>
    <t>품  명</t>
    <phoneticPr fontId="13" type="noConversion"/>
  </si>
  <si>
    <r>
      <t>벽면(</t>
    </r>
    <r>
      <rPr>
        <sz val="10"/>
        <rFont val="궁서체"/>
        <family val="1"/>
        <charset val="129"/>
      </rPr>
      <t>㎡</t>
    </r>
    <r>
      <rPr>
        <sz val="10"/>
        <rFont val="굴림"/>
        <family val="3"/>
        <charset val="129"/>
      </rPr>
      <t>)</t>
    </r>
    <phoneticPr fontId="13" type="noConversion"/>
  </si>
  <si>
    <r>
      <t>천정(</t>
    </r>
    <r>
      <rPr>
        <sz val="10"/>
        <rFont val="궁서체"/>
        <family val="1"/>
        <charset val="129"/>
      </rPr>
      <t>㎡</t>
    </r>
    <r>
      <rPr>
        <sz val="10"/>
        <rFont val="굴림"/>
        <family val="3"/>
        <charset val="129"/>
      </rPr>
      <t>)</t>
    </r>
    <phoneticPr fontId="13" type="noConversion"/>
  </si>
  <si>
    <t>1.내부 도장</t>
    <phoneticPr fontId="13" type="noConversion"/>
  </si>
  <si>
    <t>벽면 면적(15.557*h:2.35m)=36.559㎡, 공제면적(도어 및 창호)=7.84,  36.56-7.84=28.69</t>
    <phoneticPr fontId="13" type="noConversion"/>
  </si>
  <si>
    <t>천정 면적4.3*3.514=15.11, 공제면적(화장실1.9*2.2)=4.18, 15.11-4.18=10.93</t>
    <phoneticPr fontId="13" type="noConversion"/>
  </si>
  <si>
    <t>신축기숙사 A,B동 수장공사(실내 친환경 수성 페인트)</t>
    <phoneticPr fontId="13" type="noConversion"/>
  </si>
  <si>
    <t>도배 내부용, 친환경페인트</t>
    <phoneticPr fontId="5" type="noConversion"/>
  </si>
  <si>
    <t>3.벽면, 천정 석고보드 박리 현장 발생시- 석고보드 보수후 도배위 도장작업 요구됨.</t>
    <phoneticPr fontId="5" type="noConversion"/>
  </si>
  <si>
    <t>*도배 위 친환경 도장시, 검토 사항 입니다.</t>
    <phoneticPr fontId="5" type="noConversion"/>
  </si>
  <si>
    <t>1.석고보드와 기존 도배지와의 박리현상 발생 여지 있슴</t>
    <phoneticPr fontId="5" type="noConversion"/>
  </si>
  <si>
    <t>29㎡*2회칠=58</t>
    <phoneticPr fontId="5" type="noConversion"/>
  </si>
  <si>
    <t>2.오염의 정도, 도배 대비 심함-약 스크러치 발생시, 표시의 정도 심할 수 있슴.</t>
    <phoneticPr fontId="5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</si>
  <si>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전체 도색량 2회칠84.4/6.6=12.78ℓ</t>
    </r>
    <phoneticPr fontId="5" type="noConversion"/>
  </si>
  <si>
    <t>실내 벽면 2회칠, 수성페인트 롤러칠</t>
    <phoneticPr fontId="5" type="noConversion"/>
  </si>
  <si>
    <t>실내 천정면 2회칠, 수성페인트 롤러칠</t>
    <phoneticPr fontId="5" type="noConversion"/>
  </si>
  <si>
    <r>
      <t xml:space="preserve"> 천정 11㎡*</t>
    </r>
    <r>
      <rPr>
        <sz val="10"/>
        <color rgb="FFFF0000"/>
        <rFont val="돋움"/>
        <family val="3"/>
        <charset val="129"/>
      </rPr>
      <t>천정할증20%</t>
    </r>
    <r>
      <rPr>
        <sz val="10"/>
        <color theme="1"/>
        <rFont val="돋움"/>
        <family val="3"/>
        <charset val="129"/>
      </rPr>
      <t>=13.2, 13.2*2회칠=26.4</t>
    </r>
    <phoneticPr fontId="5" type="noConversion"/>
  </si>
  <si>
    <t xml:space="preserve"> 공사명 : 기숙사 A동 303-2호 내부 도장작업</t>
    <phoneticPr fontId="11" type="noConversion"/>
  </si>
  <si>
    <t xml:space="preserve"> 견적일 : 2025 년  10월  24일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</si>
</sst>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,##0.000_ "/>
    <numFmt numFmtId="187" formatCode="0.000_ "/>
    <numFmt numFmtId="188" formatCode="#,##0;\-#,##0;"/>
    <numFmt numFmtId="189" formatCode="0.000"/>
    <numFmt numFmtId="190" formatCode="0.00_);[Red]\(0.00\)"/>
    <numFmt numFmtId="191" formatCode="#,###;\-#,###;###"/>
    <numFmt numFmtId="192" formatCode="#,##0.####;\-#,##0.####;###"/>
  </numFmts>
  <fonts count="3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6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0"/>
      <name val="궁서체"/>
      <family val="1"/>
      <charset val="129"/>
    </font>
    <font>
      <sz val="9"/>
      <name val="돋움체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7" fillId="0" borderId="0"/>
  </cellStyleXfs>
  <cellXfs count="15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87" fontId="19" fillId="0" borderId="1" xfId="1" applyNumberFormat="1" applyFont="1" applyBorder="1" applyAlignment="1">
      <alignment horizontal="center" vertical="center"/>
    </xf>
    <xf numFmtId="186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3" fontId="19" fillId="5" borderId="3" xfId="0" applyNumberFormat="1" applyFont="1" applyFill="1" applyBorder="1" applyAlignment="1">
      <alignment vertical="center" wrapText="1"/>
    </xf>
    <xf numFmtId="188" fontId="19" fillId="5" borderId="3" xfId="0" applyNumberFormat="1" applyFont="1" applyFill="1" applyBorder="1" applyAlignment="1">
      <alignment horizontal="right" vertical="center" wrapText="1"/>
    </xf>
    <xf numFmtId="188" fontId="19" fillId="6" borderId="3" xfId="1" applyNumberFormat="1" applyFont="1" applyFill="1" applyBorder="1" applyAlignment="1">
      <alignment horizontal="right" vertical="center" wrapText="1"/>
    </xf>
    <xf numFmtId="188" fontId="19" fillId="0" borderId="3" xfId="1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189" fontId="19" fillId="5" borderId="3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0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0" fontId="25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177" fontId="26" fillId="5" borderId="3" xfId="1" applyFont="1" applyFill="1" applyBorder="1" applyAlignment="1">
      <alignment horizontal="center" vertical="center" wrapText="1"/>
    </xf>
    <xf numFmtId="177" fontId="19" fillId="7" borderId="3" xfId="1" applyFont="1" applyFill="1" applyBorder="1" applyAlignment="1">
      <alignment horizontal="center" vertical="center" wrapText="1"/>
    </xf>
    <xf numFmtId="177" fontId="31" fillId="0" borderId="31" xfId="13" applyFont="1" applyBorder="1" applyAlignment="1">
      <alignment horizontal="center" vertical="center"/>
    </xf>
    <xf numFmtId="177" fontId="32" fillId="0" borderId="31" xfId="13" applyFont="1" applyBorder="1" applyAlignment="1">
      <alignment vertical="center"/>
    </xf>
    <xf numFmtId="185" fontId="33" fillId="0" borderId="31" xfId="13" applyNumberFormat="1" applyFont="1" applyBorder="1" applyAlignment="1">
      <alignment horizontal="center" vertical="center"/>
    </xf>
    <xf numFmtId="185" fontId="33" fillId="0" borderId="31" xfId="13" applyNumberFormat="1" applyFont="1" applyBorder="1" applyAlignment="1">
      <alignment vertical="center"/>
    </xf>
    <xf numFmtId="190" fontId="33" fillId="0" borderId="31" xfId="13" applyNumberFormat="1" applyFont="1" applyBorder="1" applyAlignment="1">
      <alignment horizontal="center" vertical="center"/>
    </xf>
    <xf numFmtId="185" fontId="33" fillId="5" borderId="31" xfId="13" applyNumberFormat="1" applyFont="1" applyFill="1" applyBorder="1" applyAlignment="1">
      <alignment vertical="center"/>
    </xf>
    <xf numFmtId="190" fontId="33" fillId="5" borderId="31" xfId="13" applyNumberFormat="1" applyFont="1" applyFill="1" applyBorder="1" applyAlignment="1">
      <alignment horizontal="center" vertical="center"/>
    </xf>
    <xf numFmtId="184" fontId="31" fillId="0" borderId="33" xfId="13" applyNumberFormat="1" applyFont="1" applyBorder="1" applyAlignment="1">
      <alignment vertical="center"/>
    </xf>
    <xf numFmtId="184" fontId="31" fillId="0" borderId="34" xfId="13" applyNumberFormat="1" applyFont="1" applyBorder="1" applyAlignment="1">
      <alignment vertical="center"/>
    </xf>
    <xf numFmtId="191" fontId="35" fillId="0" borderId="0" xfId="19" applyNumberFormat="1" applyFont="1" applyAlignment="1">
      <alignment vertical="center"/>
    </xf>
    <xf numFmtId="192" fontId="35" fillId="0" borderId="0" xfId="19" applyNumberFormat="1" applyFont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 wrapText="1"/>
    </xf>
    <xf numFmtId="188" fontId="19" fillId="5" borderId="3" xfId="1" applyNumberFormat="1" applyFont="1" applyFill="1" applyBorder="1" applyAlignment="1">
      <alignment horizontal="right" vertical="center"/>
    </xf>
    <xf numFmtId="186" fontId="19" fillId="5" borderId="3" xfId="1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31" fillId="0" borderId="32" xfId="13" applyNumberFormat="1" applyFont="1" applyBorder="1" applyAlignment="1">
      <alignment vertical="center"/>
    </xf>
    <xf numFmtId="0" fontId="31" fillId="0" borderId="35" xfId="13" applyNumberFormat="1" applyFont="1" applyBorder="1" applyAlignment="1">
      <alignment vertical="center"/>
    </xf>
    <xf numFmtId="0" fontId="29" fillId="0" borderId="30" xfId="0" applyFont="1" applyBorder="1" applyAlignment="1">
      <alignment horizontal="center" vertical="center"/>
    </xf>
    <xf numFmtId="0" fontId="30" fillId="0" borderId="31" xfId="0" quotePrefix="1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5" xfId="0" quotePrefix="1" applyFont="1" applyBorder="1" applyAlignment="1">
      <alignment horizontal="center" vertical="center"/>
    </xf>
    <xf numFmtId="0" fontId="30" fillId="0" borderId="32" xfId="0" quotePrefix="1" applyFont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81" xfId="19" xr:uid="{D42D6AC2-0CD6-4D79-A095-CB5FA603F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4" sqref="J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7" t="s">
        <v>6</v>
      </c>
      <c r="B2" s="127"/>
      <c r="C2" s="127"/>
      <c r="D2" s="127"/>
      <c r="E2" s="127"/>
      <c r="F2" s="127"/>
      <c r="G2" s="127"/>
      <c r="H2" s="2"/>
    </row>
    <row r="3" spans="1:9" ht="14.25">
      <c r="A3" s="86"/>
      <c r="B3" s="86"/>
      <c r="C3" s="86"/>
      <c r="D3" s="86"/>
      <c r="E3" s="86"/>
      <c r="F3" s="86"/>
      <c r="G3" s="86"/>
      <c r="H3" s="86"/>
    </row>
    <row r="4" spans="1:9" ht="14.25">
      <c r="A4" s="86"/>
      <c r="B4" s="86"/>
      <c r="C4" s="86"/>
      <c r="D4" s="86"/>
      <c r="E4" s="86"/>
      <c r="H4" s="86"/>
    </row>
    <row r="5" spans="1:9" ht="27" customHeight="1">
      <c r="A5" s="87" t="s">
        <v>48</v>
      </c>
      <c r="B5" s="4"/>
      <c r="C5" s="5"/>
      <c r="D5" s="86"/>
      <c r="E5" s="86"/>
      <c r="F5" s="6" t="s">
        <v>38</v>
      </c>
      <c r="G5" s="7" t="s">
        <v>52</v>
      </c>
      <c r="H5" s="86"/>
    </row>
    <row r="6" spans="1:9" ht="27" customHeight="1">
      <c r="A6" s="86"/>
      <c r="B6" s="86"/>
      <c r="C6" s="86"/>
      <c r="D6" s="86"/>
      <c r="E6" s="86"/>
      <c r="F6" s="8" t="s">
        <v>41</v>
      </c>
      <c r="G6" s="9" t="s">
        <v>53</v>
      </c>
      <c r="H6" s="86"/>
    </row>
    <row r="7" spans="1:9" ht="27" customHeight="1">
      <c r="A7" s="130" t="s">
        <v>104</v>
      </c>
      <c r="B7" s="131"/>
      <c r="C7" s="132"/>
      <c r="D7" s="86"/>
      <c r="E7" s="10"/>
      <c r="F7" s="11" t="s">
        <v>42</v>
      </c>
      <c r="G7" s="9" t="s">
        <v>54</v>
      </c>
      <c r="H7" s="86"/>
    </row>
    <row r="8" spans="1:9" ht="27" customHeight="1">
      <c r="A8" s="86"/>
      <c r="B8" s="86"/>
      <c r="C8" s="86"/>
      <c r="D8" s="86"/>
      <c r="E8" s="86"/>
      <c r="F8" s="8" t="s">
        <v>43</v>
      </c>
      <c r="G8" s="9" t="s">
        <v>55</v>
      </c>
      <c r="H8" s="86"/>
    </row>
    <row r="9" spans="1:9" ht="27" customHeight="1">
      <c r="A9" s="130" t="s">
        <v>105</v>
      </c>
      <c r="B9" s="131"/>
      <c r="C9" s="132"/>
      <c r="D9" s="86"/>
      <c r="E9" s="86"/>
      <c r="F9" s="8" t="s">
        <v>44</v>
      </c>
      <c r="G9" s="9" t="s">
        <v>56</v>
      </c>
      <c r="H9" s="86"/>
    </row>
    <row r="10" spans="1:9" ht="27" customHeight="1">
      <c r="A10" s="86"/>
      <c r="B10" s="86"/>
      <c r="C10" s="86"/>
      <c r="D10" s="86"/>
      <c r="E10" s="86"/>
      <c r="F10" s="12" t="s">
        <v>39</v>
      </c>
      <c r="G10" s="13" t="s">
        <v>57</v>
      </c>
      <c r="H10" s="86"/>
      <c r="I10" s="86"/>
    </row>
    <row r="11" spans="1:9" ht="27" customHeight="1">
      <c r="A11" s="128"/>
      <c r="B11" s="129"/>
      <c r="C11" s="129"/>
      <c r="D11" s="86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사십오만구천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167167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235383.15999999997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402550.16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10592.242199999999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8344.3330219999989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1080.591126349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2377.3699159999996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8379.6404959999982</v>
      </c>
      <c r="G25" s="35" t="s">
        <v>28</v>
      </c>
    </row>
    <row r="26" spans="1:7" ht="33" customHeight="1">
      <c r="A26" s="29"/>
      <c r="B26" s="42" t="s">
        <v>32</v>
      </c>
      <c r="C26" s="49" t="s">
        <v>82</v>
      </c>
      <c r="D26" s="30">
        <v>1</v>
      </c>
      <c r="E26" s="30" t="s">
        <v>25</v>
      </c>
      <c r="F26" s="43">
        <f>(F16+F17)*3.11%</f>
        <v>12519.309975999999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13933.83233681745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57227.319073166451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459777.47907316644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459000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A13" sqref="A13:XFD14"/>
    </sheetView>
  </sheetViews>
  <sheetFormatPr defaultColWidth="9" defaultRowHeight="38.1" customHeight="1"/>
  <cols>
    <col min="1" max="1" width="22.625" style="105" bestFit="1" customWidth="1"/>
    <col min="2" max="5" width="4.625" style="105" hidden="1" customWidth="1"/>
    <col min="6" max="6" width="9" style="98" hidden="1" customWidth="1"/>
    <col min="7" max="9" width="12.625" style="98" hidden="1" customWidth="1"/>
    <col min="10" max="11" width="30.625" style="94" customWidth="1"/>
    <col min="12" max="12" width="6.75" style="98" bestFit="1" customWidth="1"/>
    <col min="13" max="13" width="8.25" style="98" customWidth="1"/>
    <col min="14" max="14" width="10.625" style="98" bestFit="1" customWidth="1"/>
    <col min="15" max="15" width="13" style="98" customWidth="1"/>
    <col min="16" max="16" width="12" style="98" bestFit="1" customWidth="1"/>
    <col min="17" max="17" width="13.25" style="98" bestFit="1" customWidth="1"/>
    <col min="18" max="18" width="9" style="98" customWidth="1"/>
    <col min="19" max="19" width="8.75" style="98" bestFit="1" customWidth="1"/>
    <col min="20" max="20" width="10.5" style="98" customWidth="1"/>
    <col min="21" max="21" width="8.75" style="98" bestFit="1" customWidth="1"/>
    <col min="22" max="22" width="15.625" style="98" bestFit="1" customWidth="1"/>
    <col min="23" max="23" width="13.375" style="66" bestFit="1" customWidth="1"/>
    <col min="24" max="24" width="8.5" style="98" bestFit="1" customWidth="1"/>
    <col min="25" max="25" width="16.375" style="98" customWidth="1"/>
    <col min="26" max="16384" width="9" style="98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96" t="s">
        <v>61</v>
      </c>
      <c r="Q1" s="96" t="s">
        <v>61</v>
      </c>
      <c r="S1" s="96" t="s">
        <v>61</v>
      </c>
      <c r="U1" s="96" t="s">
        <v>61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99"/>
      <c r="B3" s="100"/>
      <c r="C3" s="100"/>
      <c r="D3" s="100"/>
      <c r="E3" s="100"/>
      <c r="F3" s="100" t="s">
        <v>62</v>
      </c>
      <c r="G3" s="100"/>
      <c r="H3" s="100"/>
      <c r="I3" s="100"/>
      <c r="J3" s="145" t="s">
        <v>63</v>
      </c>
      <c r="K3" s="145"/>
      <c r="L3" s="143" t="s">
        <v>47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80</v>
      </c>
      <c r="X3" s="135" t="s">
        <v>45</v>
      </c>
    </row>
    <row r="4" spans="1:24" ht="19.899999999999999" customHeight="1">
      <c r="A4" s="69" t="s">
        <v>69</v>
      </c>
      <c r="B4" s="97"/>
      <c r="C4" s="97"/>
      <c r="D4" s="97"/>
      <c r="E4" s="97"/>
      <c r="F4" s="70" t="s">
        <v>70</v>
      </c>
      <c r="G4" s="70" t="s">
        <v>71</v>
      </c>
      <c r="H4" s="70" t="s">
        <v>72</v>
      </c>
      <c r="I4" s="70" t="s">
        <v>73</v>
      </c>
      <c r="J4" s="95" t="s">
        <v>74</v>
      </c>
      <c r="K4" s="95" t="s">
        <v>75</v>
      </c>
      <c r="L4" s="144"/>
      <c r="M4" s="144"/>
      <c r="N4" s="71" t="s">
        <v>76</v>
      </c>
      <c r="O4" s="72" t="s">
        <v>77</v>
      </c>
      <c r="P4" s="71" t="s">
        <v>78</v>
      </c>
      <c r="Q4" s="72" t="s">
        <v>77</v>
      </c>
      <c r="R4" s="72" t="s">
        <v>79</v>
      </c>
      <c r="S4" s="72" t="s">
        <v>77</v>
      </c>
      <c r="T4" s="72" t="s">
        <v>79</v>
      </c>
      <c r="U4" s="72" t="s">
        <v>77</v>
      </c>
      <c r="V4" s="142"/>
      <c r="W4" s="138"/>
      <c r="X4" s="136"/>
    </row>
    <row r="5" spans="1:24" s="101" customFormat="1" ht="58.5" customHeight="1">
      <c r="A5" s="73" t="str">
        <f t="shared" ref="A5:A7" si="0">F5&amp;G5&amp;H5&amp;I5</f>
        <v>M020414115290101</v>
      </c>
      <c r="B5" s="83"/>
      <c r="C5" s="83"/>
      <c r="D5" s="83"/>
      <c r="E5" s="83"/>
      <c r="F5" s="79"/>
      <c r="G5" s="74"/>
      <c r="H5" s="106" t="s">
        <v>84</v>
      </c>
      <c r="I5" s="79"/>
      <c r="J5" s="107" t="s">
        <v>94</v>
      </c>
      <c r="K5" s="122" t="s">
        <v>100</v>
      </c>
      <c r="L5" s="107" t="s">
        <v>85</v>
      </c>
      <c r="M5" s="93">
        <v>13</v>
      </c>
      <c r="N5" s="108">
        <v>15400</v>
      </c>
      <c r="O5" s="90">
        <f t="shared" ref="O5" si="1">SUM(N5:N5)*M5*$O$2</f>
        <v>167167</v>
      </c>
      <c r="P5" s="89"/>
      <c r="Q5" s="90">
        <f t="shared" ref="Q5" si="2">(P5*M5)*$Q$2</f>
        <v>0</v>
      </c>
      <c r="R5" s="91"/>
      <c r="S5" s="90">
        <f t="shared" ref="S5" si="3">R5*M5*$S$2</f>
        <v>0</v>
      </c>
      <c r="T5" s="91"/>
      <c r="U5" s="90">
        <f t="shared" ref="U5" si="4">T5*M5*$U$2</f>
        <v>0</v>
      </c>
      <c r="V5" s="109">
        <f t="shared" ref="V5" si="5">SUM(O5+Q5)+S5+U5</f>
        <v>167167</v>
      </c>
      <c r="W5" s="85"/>
      <c r="X5" s="77"/>
    </row>
    <row r="6" spans="1:24" s="101" customFormat="1" ht="38.1" customHeight="1">
      <c r="A6" s="73" t="str">
        <f t="shared" si="0"/>
        <v>E00000803061300101</v>
      </c>
      <c r="B6" s="83"/>
      <c r="C6" s="83"/>
      <c r="D6" s="83"/>
      <c r="E6" s="83"/>
      <c r="F6" s="79"/>
      <c r="G6" s="121" t="s">
        <v>83</v>
      </c>
      <c r="H6" s="74"/>
      <c r="I6" s="79"/>
      <c r="J6" s="124" t="s">
        <v>101</v>
      </c>
      <c r="K6" s="123" t="s">
        <v>98</v>
      </c>
      <c r="L6" s="92" t="s">
        <v>81</v>
      </c>
      <c r="M6" s="93">
        <v>58</v>
      </c>
      <c r="N6" s="125"/>
      <c r="O6" s="75">
        <f t="shared" ref="O6" si="6">SUM(N6:N6)*M6*$O$2</f>
        <v>0</v>
      </c>
      <c r="P6" s="88">
        <v>3340</v>
      </c>
      <c r="Q6" s="75">
        <f t="shared" ref="Q6" si="7">(P6*M6)*$Q$2</f>
        <v>161756.19999999998</v>
      </c>
      <c r="R6" s="76"/>
      <c r="S6" s="75">
        <f t="shared" ref="S6" si="8">R6*M6*$S$2</f>
        <v>0</v>
      </c>
      <c r="T6" s="76"/>
      <c r="U6" s="75">
        <f t="shared" ref="U6" si="9">T6*M6*$U$2</f>
        <v>0</v>
      </c>
      <c r="V6" s="109">
        <f t="shared" ref="V6" si="10">SUM(O6+Q6)+S6+U6</f>
        <v>161756.19999999998</v>
      </c>
      <c r="W6" s="126"/>
      <c r="X6" s="77"/>
    </row>
    <row r="7" spans="1:24" s="101" customFormat="1" ht="38.1" customHeight="1">
      <c r="A7" s="73" t="str">
        <f t="shared" si="0"/>
        <v>E00000803061300101</v>
      </c>
      <c r="B7" s="83"/>
      <c r="C7" s="83"/>
      <c r="D7" s="83"/>
      <c r="E7" s="83"/>
      <c r="F7" s="79"/>
      <c r="G7" s="121" t="s">
        <v>83</v>
      </c>
      <c r="H7" s="74"/>
      <c r="I7" s="79"/>
      <c r="J7" s="124" t="s">
        <v>102</v>
      </c>
      <c r="K7" s="124" t="s">
        <v>103</v>
      </c>
      <c r="L7" s="92" t="s">
        <v>81</v>
      </c>
      <c r="M7" s="93">
        <v>26.4</v>
      </c>
      <c r="N7" s="125"/>
      <c r="O7" s="75">
        <f t="shared" ref="O7" si="11">SUM(N7:N7)*M7*$O$2</f>
        <v>0</v>
      </c>
      <c r="P7" s="88">
        <v>3340</v>
      </c>
      <c r="Q7" s="75">
        <f t="shared" ref="Q7" si="12">(P7*M7)*$Q$2</f>
        <v>73626.959999999992</v>
      </c>
      <c r="R7" s="76"/>
      <c r="S7" s="75">
        <f t="shared" ref="S7" si="13">R7*M7*$S$2</f>
        <v>0</v>
      </c>
      <c r="T7" s="76"/>
      <c r="U7" s="75">
        <f t="shared" ref="U7" si="14">T7*M7*$U$2</f>
        <v>0</v>
      </c>
      <c r="V7" s="109">
        <f t="shared" ref="V7" si="15">SUM(O7+Q7)+S7+U7</f>
        <v>73626.959999999992</v>
      </c>
      <c r="W7" s="126"/>
      <c r="X7" s="77"/>
    </row>
    <row r="8" spans="1:24" ht="38.1" customHeight="1">
      <c r="A8" s="102"/>
      <c r="B8" s="98"/>
      <c r="C8" s="98"/>
      <c r="D8" s="98"/>
      <c r="E8" s="98"/>
      <c r="O8" s="103">
        <f>SUM(O5:O7)</f>
        <v>167167</v>
      </c>
      <c r="P8" s="104"/>
      <c r="Q8" s="103">
        <f>SUM(Q5:Q7)</f>
        <v>235383.15999999997</v>
      </c>
      <c r="R8" s="104"/>
      <c r="S8" s="103">
        <f>SUM(S5:S7)</f>
        <v>0</v>
      </c>
      <c r="T8" s="104"/>
      <c r="U8" s="103">
        <f>SUM(U5:U7)</f>
        <v>0</v>
      </c>
      <c r="V8" s="103">
        <f>SUM(V5:V7)</f>
        <v>402550.15999999992</v>
      </c>
    </row>
    <row r="9" spans="1:24" ht="38.1" customHeight="1">
      <c r="J9" s="133" t="s">
        <v>96</v>
      </c>
      <c r="K9" s="133"/>
    </row>
    <row r="10" spans="1:24" ht="38.1" customHeight="1">
      <c r="J10" s="133" t="s">
        <v>97</v>
      </c>
      <c r="K10" s="133"/>
    </row>
    <row r="11" spans="1:24" ht="38.1" customHeight="1">
      <c r="J11" s="133" t="s">
        <v>99</v>
      </c>
      <c r="K11" s="133"/>
    </row>
    <row r="12" spans="1:24" ht="38.1" customHeight="1">
      <c r="J12" s="133" t="s">
        <v>95</v>
      </c>
      <c r="K12" s="133"/>
    </row>
  </sheetData>
  <mergeCells count="16"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9:K9"/>
    <mergeCell ref="J10:K10"/>
    <mergeCell ref="J11:K11"/>
    <mergeCell ref="J12:K12"/>
    <mergeCell ref="A1:I1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F26" sqref="F26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M020414115290101</v>
      </c>
      <c r="B2" s="82">
        <f>'내역서(표준단가)'!F5</f>
        <v>0</v>
      </c>
      <c r="C2" s="82">
        <f>'내역서(표준단가)'!G5</f>
        <v>0</v>
      </c>
      <c r="D2" s="82" t="str">
        <f>'내역서(표준단가)'!H5</f>
        <v>M020414115290101</v>
      </c>
      <c r="E2" s="82">
        <f>'내역서(표준단가)'!I5</f>
        <v>0</v>
      </c>
      <c r="F2" s="84">
        <f>'내역서(표준단가)'!M5</f>
        <v>13</v>
      </c>
    </row>
    <row r="3" spans="1:6">
      <c r="A3" s="81" t="str">
        <f>'내역서(표준단가)'!A6</f>
        <v>E00000803061300101</v>
      </c>
      <c r="B3" s="82">
        <f>'내역서(표준단가)'!F6</f>
        <v>0</v>
      </c>
      <c r="C3" s="82" t="str">
        <f>'내역서(표준단가)'!G6</f>
        <v>E00000803061300101</v>
      </c>
      <c r="D3" s="82">
        <f>'내역서(표준단가)'!H6</f>
        <v>0</v>
      </c>
      <c r="E3" s="82">
        <f>'내역서(표준단가)'!I6</f>
        <v>0</v>
      </c>
      <c r="F3" s="84">
        <f>'내역서(표준단가)'!M6</f>
        <v>58</v>
      </c>
    </row>
    <row r="4" spans="1:6">
      <c r="A4" s="81" t="str">
        <f>'내역서(표준단가)'!A7</f>
        <v>E00000803061300101</v>
      </c>
      <c r="B4" s="82">
        <f>'내역서(표준단가)'!F7</f>
        <v>0</v>
      </c>
      <c r="C4" s="82" t="str">
        <f>'내역서(표준단가)'!G7</f>
        <v>E00000803061300101</v>
      </c>
      <c r="D4" s="82">
        <f>'내역서(표준단가)'!H7</f>
        <v>0</v>
      </c>
      <c r="E4" s="82">
        <f>'내역서(표준단가)'!I7</f>
        <v>0</v>
      </c>
      <c r="F4" s="84">
        <f>'내역서(표준단가)'!M7</f>
        <v>26.4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sheetPr>
    <tabColor rgb="FFFFC000"/>
  </sheetPr>
  <dimension ref="A1"/>
  <sheetViews>
    <sheetView zoomScale="81" zoomScaleNormal="81" workbookViewId="0">
      <selection activeCell="T37" sqref="T37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K41" sqref="K41"/>
    </sheetView>
  </sheetViews>
  <sheetFormatPr defaultRowHeight="14.2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5936-023A-4515-A788-CA28245FAA4D}">
  <dimension ref="A1:D6"/>
  <sheetViews>
    <sheetView workbookViewId="0">
      <selection activeCell="C31" sqref="C31"/>
    </sheetView>
  </sheetViews>
  <sheetFormatPr defaultRowHeight="16.5"/>
  <cols>
    <col min="1" max="1" width="14.375" style="119" customWidth="1"/>
    <col min="2" max="2" width="15.25" style="119" customWidth="1"/>
    <col min="3" max="3" width="80.375" style="120" customWidth="1"/>
    <col min="4" max="4" width="7.875" style="119" customWidth="1"/>
  </cols>
  <sheetData>
    <row r="1" spans="1:4" ht="20.25">
      <c r="A1" s="148" t="s">
        <v>86</v>
      </c>
      <c r="B1" s="148"/>
      <c r="C1" s="148"/>
      <c r="D1" s="148"/>
    </row>
    <row r="2" spans="1:4">
      <c r="A2" s="149" t="s">
        <v>87</v>
      </c>
      <c r="B2" s="149" t="s">
        <v>59</v>
      </c>
      <c r="C2" s="150" t="s">
        <v>86</v>
      </c>
      <c r="D2" s="152" t="s">
        <v>60</v>
      </c>
    </row>
    <row r="3" spans="1:4">
      <c r="A3" s="149"/>
      <c r="B3" s="149"/>
      <c r="C3" s="151"/>
      <c r="D3" s="151"/>
    </row>
    <row r="4" spans="1:4">
      <c r="A4" s="117" t="s">
        <v>93</v>
      </c>
      <c r="B4" s="118"/>
      <c r="C4" s="110"/>
      <c r="D4" s="111"/>
    </row>
    <row r="5" spans="1:4">
      <c r="A5" s="146" t="s">
        <v>90</v>
      </c>
      <c r="B5" s="112" t="s">
        <v>88</v>
      </c>
      <c r="C5" s="113" t="s">
        <v>91</v>
      </c>
      <c r="D5" s="114">
        <v>29</v>
      </c>
    </row>
    <row r="6" spans="1:4">
      <c r="A6" s="147"/>
      <c r="B6" s="112" t="s">
        <v>89</v>
      </c>
      <c r="C6" s="115" t="s">
        <v>92</v>
      </c>
      <c r="D6" s="116">
        <v>11</v>
      </c>
    </row>
  </sheetData>
  <mergeCells count="6">
    <mergeCell ref="A5:A6"/>
    <mergeCell ref="A1:D1"/>
    <mergeCell ref="A2:A3"/>
    <mergeCell ref="B2:B3"/>
    <mergeCell ref="C2:C3"/>
    <mergeCell ref="D2:D3"/>
  </mergeCells>
  <phoneticPr fontId="5" type="noConversion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Upload</vt:lpstr>
      <vt:lpstr>참고자료</vt:lpstr>
      <vt:lpstr>도면</vt:lpstr>
      <vt:lpstr>내부 도장, 산출근거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2025-04-06T22:38:35Z</cp:lastPrinted>
  <dcterms:created xsi:type="dcterms:W3CDTF">2020-09-15T23:52:51Z</dcterms:created>
  <dcterms:modified xsi:type="dcterms:W3CDTF">2025-10-28T02:35:37Z</dcterms:modified>
</cp:coreProperties>
</file>
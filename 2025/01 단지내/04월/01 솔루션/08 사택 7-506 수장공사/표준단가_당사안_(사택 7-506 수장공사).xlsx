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사택 2-404 수장공사 외 견적서 입니다._250306\사택 7-506 수장공사\"/>
    </mc:Choice>
  </mc:AlternateContent>
  <xr:revisionPtr revIDLastSave="0" documentId="13_ncr:1_{6B660C8A-E4C7-4F0F-B3F1-BB38E3B37A7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18" i="9"/>
  <c r="N23" i="9"/>
  <c r="H20" i="9"/>
  <c r="H30" i="9"/>
  <c r="L30" i="9"/>
  <c r="F12" i="9"/>
  <c r="F30" i="9"/>
  <c r="L12" i="9"/>
  <c r="L20" i="9"/>
  <c r="F20" i="9"/>
  <c r="F33" i="9" l="1"/>
  <c r="L33" i="9"/>
  <c r="J15" i="4"/>
  <c r="J14" i="4"/>
  <c r="U12" i="4"/>
  <c r="S12" i="4"/>
  <c r="Q12" i="4"/>
  <c r="O12" i="4"/>
  <c r="A12" i="4"/>
  <c r="A9" i="1" s="1"/>
  <c r="A16" i="4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V13" i="4"/>
  <c r="D20" i="9"/>
  <c r="D12" i="9"/>
  <c r="H11" i="9"/>
  <c r="N11" i="9" l="1"/>
  <c r="N12" i="9" s="1"/>
  <c r="H12" i="9"/>
  <c r="H33" i="9" s="1"/>
  <c r="N30" i="9"/>
  <c r="N20" i="9"/>
  <c r="N33" i="9" l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F18" i="5" l="1"/>
  <c r="O1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<sst xmlns="http://schemas.openxmlformats.org/spreadsheetml/2006/main" count="259" uniqueCount="192">
  <si>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</si>
  <si>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</si>
  <si>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</si>
  <si>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</si>
  <si>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</si>
  <si>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</si>
  <si>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</si>
  <si>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</si>
  <si>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</si>
  <si>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</si>
  <si>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</si>
  <si>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</si>
  <si>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</si>
  <si>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</si>
  <si>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</si>
  <si>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</si>
  <si>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</si>
  <si>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</si>
  <si>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</si>
  <si>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</si>
  <si>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</si>
  <si>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</si>
  <si>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</si>
  <si>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</si>
  <si>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</si>
  <si>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</si>
  <si>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</si>
  <si>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</si>
  <si>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</si>
  <si>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</si>
  <si>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</si>
  <si>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</si>
  <si>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</si>
  <si>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</si>
  <si>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</si>
  <si>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</si>
  <si>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</si>
  <si>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</si>
  <si>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</si>
  <si>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</si>
  <si>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</si>
  <si>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</si>
  <si>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</si>
  <si>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</si>
  <si>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</si>
  <si>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</si>
  <si>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</si>
  <si>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</si>
  <si>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</si>
  <si>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</si>
  <si>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</si>
  <si>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</si>
  <si>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</si>
  <si>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</si>
  <si>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</si>
  <si>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</si>
  <si>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</si>
  <si>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</si>
  <si>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</si>
  <si>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</si>
  <si>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</si>
  <si>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</si>
  <si>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</si>
  <si>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</si>
  <si>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</si>
  <si>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</si>
  <si>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</si>
  <si>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</si>
  <si>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</si>
  <si>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</si>
  <si>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</si>
  <si>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</si>
  <si>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</si>
  <si>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</si>
  <si>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</si>
  <si>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</si>
  <si>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</si>
  <si>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</si>
  <si>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</si>
  <si>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</si>
  <si>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</si>
  <si>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</si>
  <si>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</si>
  <si>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</si>
  <si>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</si>
  <si>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</si>
  <si>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</si>
  <si>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</si>
  <si>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</si>
  <si>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</si>
  <si>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</si>
  <si>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</si>
  <si>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</si>
  <si>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</si>
  <si>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</si>
  <si>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</si>
  <si>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</si>
  <si>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</si>
  <si>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</si>
  <si>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</si>
  <si>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</si>
  <si>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</si>
  <si>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</si>
  <si>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</si>
  <si>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</si>
  <si>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</si>
  <si>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</si>
  <si>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</si>
  <si>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</si>
  <si>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</si>
  <si>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</si>
  <si>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</si>
  <si>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</si>
  <si>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</si>
  <si>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</si>
  <si>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</si>
  <si>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</si>
  <si>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</si>
  <si>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</si>
  <si>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</si>
  <si>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</si>
  <si>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</si>
  <si>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</si>
  <si>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</si>
  <si>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</si>
  <si>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</si>
  <si>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</si>
  <si>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</si>
  <si>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</si>
  <si>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</si>
  <si>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</si>
  <si>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</si>
  <si>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</si>
  <si>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</si>
  <si>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</si>
  <si>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</si>
  <si>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</si>
  <si>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</si>
  <si>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</si>
  <si>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</si>
  <si>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</si>
  <si>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</si>
  <si>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</si>
  <si>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</si>
  <si>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</si>
  <si>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</si>
  <si>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</si>
  <si>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</si>
  <si>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</si>
  <si>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</si>
  <si>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</si>
  <si>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</si>
  <si>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</si>
  <si>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</si>
  <si>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</si>
  <si>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</si>
  <si>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</si>
  <si>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</si>
  <si>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</si>
  <si>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</si>
  <si>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</si>
  <si>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</si>
  <si>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</si>
  <si>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</si>
  <si>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</si>
  <si>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</si>
  <si>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</si>
  <si>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</si>
  <si>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</si>
  <si>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</si>
  <si>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</si>
  <si>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</si>
  <si>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</si>
  <si>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</si>
  <si>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</si>
  <si>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</si>
  <si>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</si>
  <si>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</si>
  <si>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</si>
  <si>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</si>
  <si>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</si>
  <si>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</si>
  <si>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</si>
  <si>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</si>
  <si>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</si>
  <si>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</si>
  <si>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</si>
  <si>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</si>
  <si>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7-506 수장공사</t>
    <phoneticPr fontId="11" type="noConversion"/>
  </si>
  <si>
    <t xml:space="preserve"> 견적일 : 2025년  03월  06일</t>
    <phoneticPr fontId="11" type="noConversion"/>
  </si>
  <si>
    <t>공사명 : 사택 7-506 수장공사</t>
    <phoneticPr fontId="13" type="noConversion"/>
  </si>
  <si>
    <t xml:space="preserve">도색(앞,뒤베란다걸레받이(앞,뒤베란다창고(2개소)전체도색포함),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</si>
</sst>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185" fontId="19" fillId="0" borderId="36" xfId="13" applyNumberFormat="1" applyFont="1" applyBorder="1" applyAlignment="1">
      <alignment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5" fontId="34" fillId="5" borderId="36" xfId="13" applyNumberFormat="1" applyFont="1" applyFill="1" applyBorder="1" applyAlignment="1">
      <alignment horizontal="center" vertical="center" wrapText="1"/>
    </xf>
    <xf numFmtId="185" fontId="34" fillId="5" borderId="39" xfId="13" applyNumberFormat="1" applyFont="1" applyFill="1" applyBorder="1" applyAlignment="1">
      <alignment horizontal="center" vertical="center" wrapText="1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9" zoomScale="85" zoomScaleNormal="85" workbookViewId="0">
      <selection activeCell="J21" sqref="J2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4" t="s">
        <v>188</v>
      </c>
      <c r="B7" s="175"/>
      <c r="C7" s="176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4" t="s">
        <v>189</v>
      </c>
      <c r="B9" s="175"/>
      <c r="C9" s="176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2"/>
      <c r="B11" s="173"/>
      <c r="C11" s="173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삼백육만일천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'내역서(표준단가)'!O17</f>
        <v>672659.3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'내역서(표준단가)'!Q17</f>
        <v>1944112.9649999996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'내역서(표준단가)'!S17+'내역서(표준단가)'!U17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2616772.2649999997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87485.083424999975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68918.804609249986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8924.9851968978728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19635.540946499994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69210.421553999986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76671.427364499992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113747.96140480736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444594.22450095514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3061366.4895009547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3061000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Normal="100" workbookViewId="0">
      <selection activeCell="J38" sqref="J38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83"/>
      <c r="O1" s="81" t="s">
        <v>168</v>
      </c>
      <c r="Q1" s="81" t="s">
        <v>168</v>
      </c>
      <c r="S1" s="81" t="s">
        <v>168</v>
      </c>
      <c r="U1" s="81" t="s">
        <v>168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169</v>
      </c>
      <c r="G3" s="87"/>
      <c r="H3" s="87"/>
      <c r="I3" s="87"/>
      <c r="J3" s="186" t="s">
        <v>170</v>
      </c>
      <c r="K3" s="186"/>
      <c r="L3" s="186" t="s">
        <v>52</v>
      </c>
      <c r="M3" s="186" t="s">
        <v>5</v>
      </c>
      <c r="N3" s="182" t="s">
        <v>171</v>
      </c>
      <c r="O3" s="182"/>
      <c r="P3" s="182" t="s">
        <v>172</v>
      </c>
      <c r="Q3" s="182"/>
      <c r="R3" s="183" t="s">
        <v>173</v>
      </c>
      <c r="S3" s="183"/>
      <c r="T3" s="183" t="s">
        <v>174</v>
      </c>
      <c r="U3" s="183"/>
      <c r="V3" s="184" t="s">
        <v>175</v>
      </c>
      <c r="W3" s="180" t="s">
        <v>176</v>
      </c>
      <c r="X3" s="178" t="s">
        <v>46</v>
      </c>
    </row>
    <row r="4" spans="1:24" ht="19.899999999999999" customHeight="1" x14ac:dyDescent="0.3">
      <c r="A4" s="88" t="s">
        <v>177</v>
      </c>
      <c r="B4" s="89"/>
      <c r="C4" s="89"/>
      <c r="D4" s="89"/>
      <c r="E4" s="89"/>
      <c r="F4" s="90" t="s">
        <v>178</v>
      </c>
      <c r="G4" s="90" t="s">
        <v>179</v>
      </c>
      <c r="H4" s="90" t="s">
        <v>180</v>
      </c>
      <c r="I4" s="90" t="s">
        <v>181</v>
      </c>
      <c r="J4" s="91" t="s">
        <v>182</v>
      </c>
      <c r="K4" s="91" t="s">
        <v>183</v>
      </c>
      <c r="L4" s="187"/>
      <c r="M4" s="187"/>
      <c r="N4" s="92" t="s">
        <v>184</v>
      </c>
      <c r="O4" s="93" t="s">
        <v>185</v>
      </c>
      <c r="P4" s="92" t="s">
        <v>186</v>
      </c>
      <c r="Q4" s="93" t="s">
        <v>185</v>
      </c>
      <c r="R4" s="93" t="s">
        <v>187</v>
      </c>
      <c r="S4" s="93" t="s">
        <v>185</v>
      </c>
      <c r="T4" s="93" t="s">
        <v>187</v>
      </c>
      <c r="U4" s="93" t="s">
        <v>185</v>
      </c>
      <c r="V4" s="185"/>
      <c r="W4" s="181"/>
      <c r="X4" s="179"/>
    </row>
    <row r="5" spans="1:24" s="104" customFormat="1" ht="19.899999999999999" customHeight="1" x14ac:dyDescent="0.3">
      <c r="A5" s="94" t="str">
        <f t="shared" ref="A5:A16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3" si="1">SUM(N5:N5)*M5*$O$2</f>
        <v>0</v>
      </c>
      <c r="P5" s="149">
        <v>6691</v>
      </c>
      <c r="Q5" s="100">
        <f t="shared" ref="Q5:Q13" si="2">(P5*M5)*$Q$2</f>
        <v>586633.42499999993</v>
      </c>
      <c r="R5" s="101"/>
      <c r="S5" s="100">
        <f t="shared" ref="S5:S13" si="3">R5*M5*$S$2</f>
        <v>0</v>
      </c>
      <c r="T5" s="101"/>
      <c r="U5" s="100">
        <f t="shared" ref="U5:U13" si="4">T5*M5*$U$2</f>
        <v>0</v>
      </c>
      <c r="V5" s="101">
        <f t="shared" ref="V5:V13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ref="A12" si="6">F12&amp;G12&amp;H12&amp;I12</f>
        <v>M012003400500101</v>
      </c>
      <c r="B12" s="95"/>
      <c r="C12" s="95"/>
      <c r="D12" s="95"/>
      <c r="E12" s="95"/>
      <c r="F12" s="97"/>
      <c r="G12" s="96"/>
      <c r="H12" s="150" t="s">
        <v>155</v>
      </c>
      <c r="I12" s="97"/>
      <c r="J12" s="107" t="s">
        <v>156</v>
      </c>
      <c r="K12" s="107" t="s">
        <v>157</v>
      </c>
      <c r="L12" s="98" t="s">
        <v>131</v>
      </c>
      <c r="M12" s="148">
        <v>34</v>
      </c>
      <c r="N12" s="151">
        <v>15000</v>
      </c>
      <c r="O12" s="100">
        <f t="shared" ref="O12" si="7">SUM(N12:N12)*M12*$O$2</f>
        <v>425850</v>
      </c>
      <c r="P12" s="106"/>
      <c r="Q12" s="100">
        <f t="shared" ref="Q12" si="8">(P12*M12)*$Q$2</f>
        <v>0</v>
      </c>
      <c r="R12" s="101"/>
      <c r="S12" s="100">
        <f t="shared" ref="S12" si="9">R12*M12*$S$2</f>
        <v>0</v>
      </c>
      <c r="T12" s="101"/>
      <c r="U12" s="100">
        <f t="shared" ref="U12" si="10">T12*M12*$U$2</f>
        <v>0</v>
      </c>
      <c r="V12" s="101">
        <f t="shared" ref="V12" si="11">SUM(O12+Q12)+S12+U12</f>
        <v>425850</v>
      </c>
      <c r="W12" s="102"/>
      <c r="X12" s="103"/>
    </row>
    <row r="13" spans="1:24" s="104" customFormat="1" ht="19.899999999999999" customHeight="1" x14ac:dyDescent="0.3">
      <c r="A13" s="94" t="str">
        <f t="shared" si="0"/>
        <v>M010602702400101</v>
      </c>
      <c r="B13" s="95"/>
      <c r="C13" s="95"/>
      <c r="D13" s="95"/>
      <c r="E13" s="95"/>
      <c r="F13" s="97"/>
      <c r="G13" s="96"/>
      <c r="H13" s="150" t="s">
        <v>149</v>
      </c>
      <c r="I13" s="97"/>
      <c r="J13" s="107" t="s">
        <v>150</v>
      </c>
      <c r="K13" s="107" t="s">
        <v>151</v>
      </c>
      <c r="L13" s="107" t="s">
        <v>152</v>
      </c>
      <c r="M13" s="148">
        <v>4</v>
      </c>
      <c r="N13" s="151">
        <v>15000</v>
      </c>
      <c r="O13" s="100">
        <f t="shared" si="1"/>
        <v>50100</v>
      </c>
      <c r="P13" s="106"/>
      <c r="Q13" s="100">
        <f t="shared" si="2"/>
        <v>0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50100</v>
      </c>
      <c r="W13" s="102"/>
      <c r="X13" s="103"/>
    </row>
    <row r="14" spans="1:24" s="104" customFormat="1" ht="19.899999999999999" customHeight="1" x14ac:dyDescent="0.3">
      <c r="A14" s="94"/>
      <c r="B14" s="95"/>
      <c r="C14" s="95"/>
      <c r="D14" s="95"/>
      <c r="E14" s="95"/>
      <c r="F14" s="97"/>
      <c r="G14" s="96"/>
      <c r="H14" s="96"/>
      <c r="I14" s="97"/>
      <c r="J14" s="98" t="str">
        <f>"시중가_"&amp;K14&amp;")"</f>
        <v>시중가_합지벽지(LG하우시스 휘앙세))</v>
      </c>
      <c r="K14" s="98" t="s">
        <v>153</v>
      </c>
      <c r="L14" s="98" t="s">
        <v>131</v>
      </c>
      <c r="M14" s="152">
        <v>166</v>
      </c>
      <c r="N14" s="99">
        <v>1300</v>
      </c>
      <c r="O14" s="100">
        <f t="shared" ref="O14:O16" si="12">SUM(N14:N14)*M14*$O$2</f>
        <v>180193</v>
      </c>
      <c r="P14" s="106"/>
      <c r="Q14" s="100">
        <f t="shared" ref="Q14:Q16" si="13">(P14*M14)*$Q$2</f>
        <v>0</v>
      </c>
      <c r="R14" s="101"/>
      <c r="S14" s="100">
        <f t="shared" ref="S14:S16" si="14">R14*M14*$S$2</f>
        <v>0</v>
      </c>
      <c r="T14" s="101"/>
      <c r="U14" s="100">
        <f t="shared" ref="U14:U16" si="15">T14*M14*$U$2</f>
        <v>0</v>
      </c>
      <c r="V14" s="101">
        <f t="shared" ref="V14:V16" si="16">SUM(O14+Q14)+S14+U14</f>
        <v>180193</v>
      </c>
      <c r="W14" s="102"/>
      <c r="X14" s="103"/>
    </row>
    <row r="15" spans="1:24" s="104" customFormat="1" ht="19.899999999999999" customHeight="1" x14ac:dyDescent="0.3">
      <c r="A15" s="94"/>
      <c r="B15" s="95"/>
      <c r="C15" s="95"/>
      <c r="D15" s="95"/>
      <c r="E15" s="95"/>
      <c r="F15" s="97"/>
      <c r="G15" s="96"/>
      <c r="H15" s="96"/>
      <c r="I15" s="97"/>
      <c r="J15" s="98" t="str">
        <f>"시중가_"&amp;K15&amp;""</f>
        <v>시중가_청소, 실내건축 일위대가 적용</v>
      </c>
      <c r="K15" s="98" t="s">
        <v>154</v>
      </c>
      <c r="L15" s="98" t="s">
        <v>131</v>
      </c>
      <c r="M15" s="152">
        <v>40</v>
      </c>
      <c r="N15" s="99"/>
      <c r="O15" s="100">
        <f t="shared" si="12"/>
        <v>0</v>
      </c>
      <c r="P15" s="106">
        <v>7853</v>
      </c>
      <c r="Q15" s="100">
        <f t="shared" si="13"/>
        <v>262290.2</v>
      </c>
      <c r="R15" s="101"/>
      <c r="S15" s="100">
        <f t="shared" si="14"/>
        <v>0</v>
      </c>
      <c r="T15" s="101"/>
      <c r="U15" s="100">
        <f t="shared" si="15"/>
        <v>0</v>
      </c>
      <c r="V15" s="101">
        <f t="shared" si="16"/>
        <v>262290.2</v>
      </c>
      <c r="W15" s="102"/>
      <c r="X15" s="103"/>
    </row>
    <row r="16" spans="1:24" s="104" customFormat="1" ht="19.899999999999999" customHeight="1" x14ac:dyDescent="0.3">
      <c r="A16" s="94" t="str">
        <f t="shared" si="0"/>
        <v/>
      </c>
      <c r="B16" s="95"/>
      <c r="C16" s="95"/>
      <c r="D16" s="95"/>
      <c r="E16" s="95"/>
      <c r="F16" s="97"/>
      <c r="G16" s="96"/>
      <c r="H16" s="96"/>
      <c r="I16" s="97"/>
      <c r="J16" s="153"/>
      <c r="K16" s="153"/>
      <c r="L16" s="154"/>
      <c r="M16" s="152"/>
      <c r="N16" s="99"/>
      <c r="O16" s="100">
        <f t="shared" si="12"/>
        <v>0</v>
      </c>
      <c r="P16" s="106"/>
      <c r="Q16" s="100">
        <f t="shared" si="13"/>
        <v>0</v>
      </c>
      <c r="R16" s="101"/>
      <c r="S16" s="100">
        <f t="shared" si="14"/>
        <v>0</v>
      </c>
      <c r="T16" s="101"/>
      <c r="U16" s="100">
        <f t="shared" si="15"/>
        <v>0</v>
      </c>
      <c r="V16" s="101">
        <f t="shared" si="16"/>
        <v>0</v>
      </c>
      <c r="W16" s="108"/>
      <c r="X16" s="103"/>
    </row>
    <row r="17" spans="1:23" s="110" customFormat="1" ht="19.899999999999999" customHeight="1" x14ac:dyDescent="0.3">
      <c r="A17" s="109"/>
      <c r="B17" s="109"/>
      <c r="C17" s="109"/>
      <c r="D17" s="109"/>
      <c r="E17" s="109"/>
      <c r="O17" s="111">
        <f>SUM(O5:O16)</f>
        <v>672659.3</v>
      </c>
      <c r="P17" s="112"/>
      <c r="Q17" s="111">
        <f>SUM(Q5:Q16)</f>
        <v>1944112.9649999996</v>
      </c>
      <c r="R17" s="112"/>
      <c r="S17" s="111">
        <f>SUM(S5:S16)</f>
        <v>0</v>
      </c>
      <c r="T17" s="112"/>
      <c r="U17" s="111">
        <f>SUM(U5:U16)</f>
        <v>0</v>
      </c>
      <c r="V17" s="113">
        <f>SUM(V5:V16)</f>
        <v>2616772.2649999997</v>
      </c>
      <c r="W17" s="114"/>
    </row>
    <row r="21" spans="1:23" x14ac:dyDescent="0.3">
      <c r="Q2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B28" sqref="B28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201" t="s">
        <v>76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2.95" customHeight="1" x14ac:dyDescent="0.3">
      <c r="A2" s="203" t="s">
        <v>77</v>
      </c>
      <c r="B2" s="204" t="s">
        <v>78</v>
      </c>
      <c r="C2" s="205" t="s">
        <v>52</v>
      </c>
      <c r="D2" s="205" t="s">
        <v>79</v>
      </c>
      <c r="E2" s="207" t="s">
        <v>80</v>
      </c>
      <c r="F2" s="204"/>
      <c r="G2" s="204" t="s">
        <v>81</v>
      </c>
      <c r="H2" s="204"/>
      <c r="I2" s="208" t="s">
        <v>82</v>
      </c>
      <c r="J2" s="209"/>
      <c r="K2" s="208" t="s">
        <v>83</v>
      </c>
      <c r="L2" s="209"/>
      <c r="M2" s="207" t="s">
        <v>84</v>
      </c>
      <c r="N2" s="204"/>
      <c r="O2" s="210" t="s">
        <v>85</v>
      </c>
    </row>
    <row r="3" spans="1:16" ht="12.95" customHeight="1" x14ac:dyDescent="0.3">
      <c r="A3" s="203"/>
      <c r="B3" s="204"/>
      <c r="C3" s="206"/>
      <c r="D3" s="20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11"/>
    </row>
    <row r="4" spans="1:16" ht="12.95" customHeight="1" x14ac:dyDescent="0.3">
      <c r="A4" s="199" t="s">
        <v>190</v>
      </c>
      <c r="B4" s="20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6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193" t="s">
        <v>162</v>
      </c>
    </row>
    <row r="6" spans="1:16" ht="12.95" customHeight="1" x14ac:dyDescent="0.3">
      <c r="A6" s="197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194"/>
    </row>
    <row r="7" spans="1:16" ht="12.95" customHeight="1" x14ac:dyDescent="0.3">
      <c r="A7" s="197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194"/>
    </row>
    <row r="8" spans="1:16" ht="12.95" customHeight="1" x14ac:dyDescent="0.3">
      <c r="A8" s="197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194"/>
    </row>
    <row r="9" spans="1:16" ht="12.95" customHeight="1" x14ac:dyDescent="0.3">
      <c r="A9" s="197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194"/>
    </row>
    <row r="10" spans="1:16" ht="12.95" customHeight="1" x14ac:dyDescent="0.3">
      <c r="A10" s="197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194"/>
    </row>
    <row r="11" spans="1:16" ht="12.95" customHeight="1" x14ac:dyDescent="0.3">
      <c r="A11" s="198"/>
      <c r="B11" s="121" t="s">
        <v>167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195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189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193" t="s">
        <v>163</v>
      </c>
    </row>
    <row r="14" spans="1:16" ht="12.95" customHeight="1" x14ac:dyDescent="0.3">
      <c r="A14" s="190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194"/>
    </row>
    <row r="15" spans="1:16" ht="12.95" customHeight="1" x14ac:dyDescent="0.3">
      <c r="A15" s="190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194"/>
    </row>
    <row r="16" spans="1:16" ht="12.95" customHeight="1" x14ac:dyDescent="0.3">
      <c r="A16" s="190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194"/>
    </row>
    <row r="17" spans="1:15" ht="12.95" customHeight="1" x14ac:dyDescent="0.3">
      <c r="A17" s="190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194"/>
    </row>
    <row r="18" spans="1:15" ht="12.95" customHeight="1" x14ac:dyDescent="0.3">
      <c r="A18" s="190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194"/>
    </row>
    <row r="19" spans="1:15" ht="12.95" customHeight="1" x14ac:dyDescent="0.3">
      <c r="A19" s="190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194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188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70"/>
    </row>
    <row r="23" spans="1:15" ht="12.95" customHeight="1" x14ac:dyDescent="0.3">
      <c r="A23" s="188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" si="5">D23*E23</f>
        <v>7700</v>
      </c>
      <c r="G23" s="124">
        <v>5132</v>
      </c>
      <c r="H23" s="124">
        <f t="shared" ref="H23:H24" si="6">D23*G23</f>
        <v>102640</v>
      </c>
      <c r="I23" s="124"/>
      <c r="J23" s="124"/>
      <c r="K23" s="124"/>
      <c r="L23" s="125"/>
      <c r="M23" s="124"/>
      <c r="N23" s="125">
        <f t="shared" ref="N23:N24" si="7">F23+H23+J23+L23</f>
        <v>110340</v>
      </c>
      <c r="O23" s="191" t="s">
        <v>191</v>
      </c>
    </row>
    <row r="24" spans="1:15" ht="12.95" customHeight="1" x14ac:dyDescent="0.3">
      <c r="A24" s="188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192"/>
    </row>
    <row r="25" spans="1:15" ht="12.95" customHeight="1" x14ac:dyDescent="0.3">
      <c r="A25" s="188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93"/>
    </row>
    <row r="26" spans="1:15" ht="12.95" customHeight="1" x14ac:dyDescent="0.3">
      <c r="A26" s="188" t="s">
        <v>112</v>
      </c>
      <c r="B26" s="166" t="s">
        <v>113</v>
      </c>
      <c r="C26" s="167" t="s">
        <v>91</v>
      </c>
      <c r="D26" s="168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94"/>
    </row>
    <row r="27" spans="1:15" ht="12.95" customHeight="1" x14ac:dyDescent="0.3">
      <c r="A27" s="188"/>
      <c r="B27" s="166" t="s">
        <v>114</v>
      </c>
      <c r="C27" s="167" t="s">
        <v>91</v>
      </c>
      <c r="D27" s="168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94"/>
    </row>
    <row r="28" spans="1:15" ht="12.95" customHeight="1" x14ac:dyDescent="0.3">
      <c r="A28" s="188" t="s">
        <v>115</v>
      </c>
      <c r="B28" s="166" t="s">
        <v>113</v>
      </c>
      <c r="C28" s="167" t="s">
        <v>91</v>
      </c>
      <c r="D28" s="168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94"/>
    </row>
    <row r="29" spans="1:15" ht="12.95" customHeight="1" x14ac:dyDescent="0.3">
      <c r="A29" s="188"/>
      <c r="B29" s="166" t="s">
        <v>116</v>
      </c>
      <c r="C29" s="167" t="s">
        <v>91</v>
      </c>
      <c r="D29" s="168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95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16520</v>
      </c>
      <c r="G30" s="130"/>
      <c r="H30" s="130">
        <f>SUM(H21:H29)</f>
        <v>275760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292280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161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8">SUM(J31:J31)</f>
        <v>0</v>
      </c>
      <c r="K32" s="130"/>
      <c r="L32" s="130">
        <f t="shared" si="8"/>
        <v>0</v>
      </c>
      <c r="M32" s="130"/>
      <c r="N32" s="130">
        <f t="shared" si="8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672746</v>
      </c>
      <c r="G33" s="146"/>
      <c r="H33" s="146">
        <f>H12+H20+H30+H32</f>
        <v>1944099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2616845</v>
      </c>
      <c r="O33" s="146"/>
    </row>
  </sheetData>
  <mergeCells count="2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A24:A25"/>
    <mergeCell ref="A26:A27"/>
    <mergeCell ref="A28:A29"/>
    <mergeCell ref="A13:A19"/>
    <mergeCell ref="O23:O24"/>
    <mergeCell ref="O25:O29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166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D15" sqref="D1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158</v>
      </c>
      <c r="C2" s="83" t="s">
        <v>165</v>
      </c>
      <c r="D2" s="83" t="s">
        <v>164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158</v>
      </c>
      <c r="C3" s="83" t="s">
        <v>160</v>
      </c>
      <c r="D3" s="83" t="s">
        <v>159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24" sqref="D24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M012003400500101</v>
      </c>
      <c r="B9" s="165">
        <f>'내역서(표준단가)'!F12</f>
        <v>0</v>
      </c>
      <c r="C9" s="165">
        <f>'내역서(표준단가)'!G12</f>
        <v>0</v>
      </c>
      <c r="D9" s="165" t="str">
        <f>'내역서(표준단가)'!H12</f>
        <v>M012003400500101</v>
      </c>
      <c r="E9" s="165">
        <f>'내역서(표준단가)'!I12</f>
        <v>0</v>
      </c>
      <c r="F9" s="165">
        <f>'내역서(표준단가)'!M12</f>
        <v>34</v>
      </c>
    </row>
    <row r="10" spans="1:6" x14ac:dyDescent="0.3">
      <c r="A10" s="164" t="str">
        <f>'내역서(표준단가)'!A13</f>
        <v>M010602702400101</v>
      </c>
      <c r="B10" s="165">
        <f>'내역서(표준단가)'!F13</f>
        <v>0</v>
      </c>
      <c r="C10" s="165">
        <f>'내역서(표준단가)'!G13</f>
        <v>0</v>
      </c>
      <c r="D10" s="165" t="str">
        <f>'내역서(표준단가)'!H13</f>
        <v>M010602702400101</v>
      </c>
      <c r="E10" s="165">
        <f>'내역서(표준단가)'!I13</f>
        <v>0</v>
      </c>
      <c r="F10" s="165">
        <f>'내역서(표준단가)'!M13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2025-03-09T23:45:11Z</dcterms:modified>
</cp:coreProperties>
</file>
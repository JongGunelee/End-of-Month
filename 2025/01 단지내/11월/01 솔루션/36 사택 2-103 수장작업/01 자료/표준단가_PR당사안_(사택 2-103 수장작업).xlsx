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1\06 작업폴더\01 사택 2-103 수장공사\01 자료\"/>
    </mc:Choice>
  </mc:AlternateContent>
  <xr:revisionPtr revIDLastSave="0" documentId="13_ncr:1_{40C8EB96-701F-43D2-BA40-A6DDD64C2B1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1" i="9"/>
  <c r="J28" i="11" l="1"/>
  <c r="J20" i="11" s="1"/>
  <c r="F2" i="1"/>
  <c r="E2" i="1"/>
  <c r="D2" i="1"/>
  <c r="C2" i="1"/>
  <c r="B2" i="1"/>
  <c r="J30" i="11" l="1"/>
  <c r="L32" i="9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J33" i="9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<sst xmlns="http://schemas.openxmlformats.org/spreadsheetml/2006/main" count="288" uniqueCount="213">
  <si>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</si>
  <si>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</si>
  <si>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</si>
  <si>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</si>
  <si>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</si>
  <si>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</si>
  <si>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</si>
  <si>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</si>
  <si>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</si>
  <si>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</si>
  <si>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</si>
  <si>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</si>
  <si>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</si>
  <si>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</si>
  <si>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</si>
  <si>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</si>
  <si>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</si>
  <si>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</si>
  <si>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</si>
  <si>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</si>
  <si>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</si>
  <si>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</si>
  <si>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</si>
  <si>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</si>
  <si>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</si>
  <si>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</si>
  <si>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</si>
  <si>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</si>
  <si>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</si>
  <si>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</si>
  <si>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</si>
  <si>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</si>
  <si>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</si>
  <si>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</si>
  <si>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</si>
  <si>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</si>
  <si>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</si>
  <si>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</si>
  <si>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</si>
  <si>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</si>
  <si>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</si>
  <si>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</si>
  <si>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</si>
  <si>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</si>
  <si>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</si>
  <si>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</si>
  <si>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</si>
  <si>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</si>
  <si>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</si>
  <si>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</si>
  <si>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</si>
  <si>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접착제(부분접착)</t>
    <phoneticPr fontId="8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</si>
  <si>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</si>
  <si>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</si>
  <si>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</si>
  <si>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</si>
  <si>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</si>
  <si>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</si>
  <si>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</si>
  <si>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</si>
  <si>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</si>
  <si>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</si>
  <si>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</si>
  <si>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</si>
  <si>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</si>
  <si>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</si>
  <si>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</si>
  <si>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</si>
  <si>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</si>
  <si>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</si>
  <si>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</si>
  <si>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</si>
  <si>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</si>
  <si>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</si>
  <si>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</si>
  <si>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</si>
  <si>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</si>
  <si>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</si>
  <si>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</si>
  <si>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</si>
  <si>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</si>
  <si>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</si>
  <si>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</si>
  <si>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</si>
  <si>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</si>
  <si>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</si>
  <si>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</si>
  <si>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</si>
  <si>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</si>
  <si>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</si>
  <si>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</si>
  <si>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</si>
  <si>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</si>
  <si>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</si>
  <si>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</si>
  <si>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</si>
  <si>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</si>
  <si>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</si>
  <si>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</si>
  <si>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</si>
  <si>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</si>
  <si>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</si>
  <si>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</si>
  <si>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</si>
  <si>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</si>
  <si>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</si>
  <si>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</si>
  <si>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</si>
  <si>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</si>
  <si>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</si>
  <si>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</si>
  <si>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</si>
  <si>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</si>
  <si>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</si>
  <si>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</si>
  <si>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</si>
  <si>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</si>
  <si>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</si>
  <si>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</si>
  <si>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</si>
  <si>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</si>
  <si>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</si>
  <si>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</si>
  <si>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</si>
  <si>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</si>
  <si>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</si>
  <si>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</si>
  <si>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</si>
  <si>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</si>
  <si>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</si>
  <si>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</si>
  <si>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</si>
  <si>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</si>
  <si>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</si>
  <si>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</si>
  <si>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</si>
  <si>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</si>
  <si>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</si>
  <si>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</si>
  <si>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</si>
  <si>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</si>
  <si>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</si>
  <si>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</si>
  <si>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</si>
  <si>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</si>
  <si>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2-103 수장공사</t>
    <phoneticPr fontId="12" type="noConversion"/>
  </si>
  <si>
    <t>앞,뒤베란다 걸레받이 및 벽면 부분도색 (뒤베란다 벽면 곰팡이제거 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</si>
  <si>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</si>
  <si>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</si>
  <si>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</si>
  <si>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</si>
  <si>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</si>
  <si>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</si>
  <si>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</si>
  <si>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</si>
  <si>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</si>
  <si>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</si>
  <si>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</si>
  <si>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</si>
  <si>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</si>
  <si>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</si>
  <si>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</si>
  <si>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</si>
  <si>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</si>
  <si>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</si>
  <si>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</si>
  <si>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</si>
  <si>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</si>
  <si>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</si>
  <si>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</si>
  <si>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</si>
  <si>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</si>
  <si>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</si>
  <si>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</si>
  <si>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</si>
  <si>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</si>
  <si>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</si>
  <si>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</si>
  <si>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</si>
  <si>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</si>
  <si>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</si>
  <si>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</si>
  <si>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</si>
  <si>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</si>
  <si>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</si>
  <si>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</si>
  <si>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</si>
  <si>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</si>
  <si>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</si>
  <si>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</si>
  <si>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</si>
  <si>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</si>
  <si>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</si>
  <si>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</si>
  <si>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</si>
  <si>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</si>
  <si>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</si>
  <si>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</si>
  <si>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</si>
  <si>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</si>
  <si>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</si>
  <si>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</si>
  <si>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</si>
  <si>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</si>
  <si>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</si>
  <si>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</si>
  <si>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</si>
  <si>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</si>
  <si>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</si>
  <si>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</si>
  <si>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</si>
  <si>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2-103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</si>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</sst>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Fill="1" applyBorder="1" applyAlignment="1">
      <alignment vertical="center"/>
    </xf>
    <xf numFmtId="0" fontId="33" fillId="0" borderId="18" xfId="17" applyFont="1" applyFill="1" applyBorder="1" applyAlignment="1">
      <alignment vertical="center"/>
    </xf>
    <xf numFmtId="0" fontId="33" fillId="0" borderId="32" xfId="17" applyFont="1" applyFill="1" applyBorder="1" applyAlignment="1">
      <alignment horizontal="right" vertical="center"/>
    </xf>
    <xf numFmtId="0" fontId="33" fillId="0" borderId="33" xfId="17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54" xfId="20" applyFont="1" applyFill="1" applyBorder="1" applyAlignment="1">
      <alignment horizontal="center" vertical="center"/>
    </xf>
    <xf numFmtId="0" fontId="33" fillId="0" borderId="20" xfId="20" applyFont="1" applyFill="1" applyBorder="1" applyAlignment="1">
      <alignment horizontal="center" vertical="center"/>
    </xf>
    <xf numFmtId="0" fontId="37" fillId="0" borderId="62" xfId="20" applyFont="1" applyFill="1" applyBorder="1" applyAlignment="1">
      <alignment horizontal="center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0" fontId="37" fillId="0" borderId="62" xfId="20" applyFont="1" applyFill="1" applyBorder="1" applyAlignment="1">
      <alignment horizontal="left" vertical="center" wrapText="1" indent="1"/>
    </xf>
    <xf numFmtId="0" fontId="37" fillId="0" borderId="63" xfId="20" applyFont="1" applyFill="1" applyBorder="1" applyAlignment="1">
      <alignment horizontal="left" vertical="center" wrapText="1" indent="1"/>
    </xf>
    <xf numFmtId="0" fontId="37" fillId="0" borderId="64" xfId="20" applyFont="1" applyFill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3" fillId="0" borderId="56" xfId="20" applyFont="1" applyFill="1" applyBorder="1" applyAlignment="1">
      <alignment horizontal="center" vertical="center" wrapText="1"/>
    </xf>
    <xf numFmtId="0" fontId="33" fillId="0" borderId="57" xfId="20" applyFont="1" applyFill="1" applyBorder="1" applyAlignment="1">
      <alignment horizontal="center" vertical="center" wrapText="1"/>
    </xf>
    <xf numFmtId="0" fontId="33" fillId="0" borderId="58" xfId="20" applyFont="1" applyFill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Fill="1" applyBorder="1" applyAlignment="1">
      <alignment horizontal="center" vertical="center" wrapText="1"/>
    </xf>
    <xf numFmtId="0" fontId="33" fillId="0" borderId="33" xfId="20" applyFont="1" applyFill="1" applyBorder="1" applyAlignment="1">
      <alignment horizontal="center" vertical="center" wrapText="1"/>
    </xf>
    <xf numFmtId="0" fontId="33" fillId="0" borderId="53" xfId="20" applyFont="1" applyFill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184" fontId="31" fillId="0" borderId="20" xfId="11" applyNumberFormat="1" applyFont="1" applyBorder="1" applyAlignment="1">
      <alignment horizontal="center" vertical="center" wrapText="1"/>
    </xf>
    <xf numFmtId="184" fontId="31" fillId="0" borderId="24" xfId="11" applyNumberFormat="1" applyFont="1" applyBorder="1" applyAlignment="1">
      <alignment horizontal="center" vertical="center" wrapText="1"/>
    </xf>
    <xf numFmtId="184" fontId="31" fillId="0" borderId="23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8F50AC6-6881-415F-B33D-59826FC46B74}"/>
    <cellStyle name="쉼표 [0] 2 84" xfId="24" xr:uid="{CCD816DB-D69F-4D4A-B481-AC45341C981C}"/>
    <cellStyle name="쉼표 [0] 3" xfId="14" xr:uid="{8F7BE219-40E1-4BBB-A9BD-02188B74B2A3}"/>
    <cellStyle name="쉼표 [0] 4" xfId="21" xr:uid="{98B51C0C-F097-435E-BAC3-850910FC85F3}"/>
    <cellStyle name="쉼표 [0] 5" xfId="23" xr:uid="{7914F75C-BE4B-4D4C-96BB-3D63AC5D7B9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6442DCC-0350-4ACB-B78B-BC21C7800B4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C41DFEF-7058-458A-9997-9154CCBCD5E8}"/>
    <cellStyle name="표준_P456 공장 및 복지동 전면 유리창 청소건 라상혁님_1129(최종)" xfId="20" xr:uid="{391254A1-B94F-4625-9728-E9256873E2F0}"/>
    <cellStyle name="표준_S&amp;D_MAIN VALVE_최빈_2" xfId="17" xr:uid="{5B1F927B-B53B-4897-83B0-E30926284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ED793A-C5B1-468F-89AF-169B6BF38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042C-BCBA-40A8-8900-72A69571A47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7" t="s">
        <v>147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 x14ac:dyDescent="0.3">
      <c r="A4" s="107" t="s">
        <v>148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212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60" t="s">
        <v>149</v>
      </c>
      <c r="B7" s="261"/>
      <c r="C7" s="262"/>
      <c r="D7" s="170">
        <v>2025</v>
      </c>
      <c r="E7" s="120" t="s">
        <v>150</v>
      </c>
      <c r="F7" s="171">
        <v>10</v>
      </c>
      <c r="G7" s="120" t="s">
        <v>151</v>
      </c>
      <c r="H7" s="171">
        <v>21</v>
      </c>
      <c r="I7" s="120" t="s">
        <v>152</v>
      </c>
      <c r="J7" s="121"/>
      <c r="K7" s="263" t="s">
        <v>153</v>
      </c>
      <c r="L7" s="122" t="s">
        <v>154</v>
      </c>
      <c r="M7" s="122" t="s">
        <v>155</v>
      </c>
      <c r="N7" s="122" t="s">
        <v>156</v>
      </c>
      <c r="O7" s="123" t="s">
        <v>157</v>
      </c>
    </row>
    <row r="8" spans="1:15" ht="23.25" customHeight="1" x14ac:dyDescent="0.3">
      <c r="A8" s="266" t="s">
        <v>158</v>
      </c>
      <c r="B8" s="267"/>
      <c r="C8" s="268"/>
      <c r="D8" s="269" t="s">
        <v>159</v>
      </c>
      <c r="E8" s="270"/>
      <c r="F8" s="270"/>
      <c r="G8" s="271"/>
      <c r="H8" s="272" t="s">
        <v>160</v>
      </c>
      <c r="I8" s="270"/>
      <c r="J8" s="273"/>
      <c r="K8" s="264"/>
      <c r="L8" s="124" t="s">
        <v>161</v>
      </c>
      <c r="M8" s="124" t="s">
        <v>162</v>
      </c>
      <c r="N8" s="124" t="s">
        <v>163</v>
      </c>
      <c r="O8" s="125" t="s">
        <v>164</v>
      </c>
    </row>
    <row r="9" spans="1:15" ht="23.25" customHeight="1" x14ac:dyDescent="0.3">
      <c r="A9" s="266" t="s">
        <v>165</v>
      </c>
      <c r="B9" s="267"/>
      <c r="C9" s="268"/>
      <c r="D9" s="274" t="s">
        <v>166</v>
      </c>
      <c r="E9" s="275"/>
      <c r="F9" s="275"/>
      <c r="G9" s="275"/>
      <c r="H9" s="275"/>
      <c r="I9" s="275"/>
      <c r="J9" s="276"/>
      <c r="K9" s="264"/>
      <c r="L9" s="124" t="s">
        <v>167</v>
      </c>
      <c r="M9" s="277" t="s">
        <v>168</v>
      </c>
      <c r="N9" s="267"/>
      <c r="O9" s="268"/>
    </row>
    <row r="10" spans="1:15" ht="23.25" customHeight="1" thickBot="1" x14ac:dyDescent="0.35">
      <c r="A10" s="278" t="s">
        <v>169</v>
      </c>
      <c r="B10" s="279"/>
      <c r="C10" s="280"/>
      <c r="D10" s="281" t="s">
        <v>170</v>
      </c>
      <c r="E10" s="282"/>
      <c r="F10" s="282"/>
      <c r="G10" s="282"/>
      <c r="H10" s="282"/>
      <c r="I10" s="282"/>
      <c r="J10" s="283"/>
      <c r="K10" s="265"/>
      <c r="L10" s="126" t="s">
        <v>171</v>
      </c>
      <c r="M10" s="126" t="s">
        <v>172</v>
      </c>
      <c r="N10" s="126" t="s">
        <v>173</v>
      </c>
      <c r="O10" s="127" t="s">
        <v>174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3" t="s">
        <v>211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175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6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 x14ac:dyDescent="0.35">
      <c r="A17" s="136" t="s">
        <v>176</v>
      </c>
      <c r="B17" s="246" t="s">
        <v>177</v>
      </c>
      <c r="C17" s="247"/>
      <c r="D17" s="247"/>
      <c r="E17" s="247"/>
      <c r="F17" s="247"/>
      <c r="G17" s="248"/>
      <c r="H17" s="137" t="s">
        <v>178</v>
      </c>
      <c r="I17" s="138" t="s">
        <v>179</v>
      </c>
      <c r="J17" s="249" t="s">
        <v>180</v>
      </c>
      <c r="K17" s="250"/>
      <c r="L17" s="250"/>
      <c r="M17" s="251"/>
      <c r="N17" s="246" t="s">
        <v>181</v>
      </c>
      <c r="O17" s="252"/>
    </row>
    <row r="18" spans="1:17" ht="28.5" customHeight="1" x14ac:dyDescent="0.3">
      <c r="A18" s="139">
        <v>1</v>
      </c>
      <c r="B18" s="240" t="s">
        <v>128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1/(TRIM('내역서(표준단가)'!O4:O100)&lt;&gt;""), '내역서(표준단가)'!O4:O100), "-")</f>
        <v>678089.30499999993</v>
      </c>
      <c r="K18" s="243"/>
      <c r="L18" s="243"/>
      <c r="M18" s="243"/>
      <c r="N18" s="244"/>
      <c r="O18" s="245"/>
    </row>
    <row r="19" spans="1:17" ht="28.5" customHeight="1" x14ac:dyDescent="0.3">
      <c r="A19" s="140">
        <v>2</v>
      </c>
      <c r="B19" s="220" t="s">
        <v>129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2073076.2099999993</v>
      </c>
      <c r="K19" s="224"/>
      <c r="L19" s="224"/>
      <c r="M19" s="225"/>
      <c r="N19" s="226"/>
      <c r="O19" s="227"/>
    </row>
    <row r="20" spans="1:17" ht="28.5" customHeight="1" x14ac:dyDescent="0.3">
      <c r="A20" s="140">
        <v>3</v>
      </c>
      <c r="B20" s="228" t="s">
        <v>182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356596.83784596267</v>
      </c>
      <c r="K20" s="232"/>
      <c r="L20" s="232"/>
      <c r="M20" s="233"/>
      <c r="N20" s="234"/>
      <c r="O20" s="235"/>
      <c r="P20" s="142"/>
    </row>
    <row r="21" spans="1:17" ht="28.5" customHeight="1" x14ac:dyDescent="0.3">
      <c r="A21" s="139"/>
      <c r="B21" s="143"/>
      <c r="C21" s="212" t="s">
        <v>183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184</v>
      </c>
      <c r="O21" s="219"/>
    </row>
    <row r="22" spans="1:17" ht="28.5" customHeight="1" x14ac:dyDescent="0.3">
      <c r="A22" s="139"/>
      <c r="B22" s="143"/>
      <c r="C22" s="206" t="s">
        <v>185</v>
      </c>
      <c r="D22" s="207"/>
      <c r="E22" s="207"/>
      <c r="F22" s="207"/>
      <c r="G22" s="208"/>
      <c r="H22" s="144">
        <v>3.11</v>
      </c>
      <c r="I22" s="144" t="s">
        <v>186</v>
      </c>
      <c r="J22" s="209">
        <f>IFERROR((J18+J19)*H22%,"-")</f>
        <v>85561.247516499978</v>
      </c>
      <c r="K22" s="210"/>
      <c r="L22" s="210"/>
      <c r="M22" s="211"/>
      <c r="N22" s="202" t="s">
        <v>187</v>
      </c>
      <c r="O22" s="203"/>
    </row>
    <row r="23" spans="1:17" ht="28.5" customHeight="1" x14ac:dyDescent="0.3">
      <c r="A23" s="139"/>
      <c r="B23" s="143"/>
      <c r="C23" s="206" t="s">
        <v>188</v>
      </c>
      <c r="D23" s="207"/>
      <c r="E23" s="207"/>
      <c r="F23" s="207"/>
      <c r="G23" s="208"/>
      <c r="H23" s="144">
        <v>3.56</v>
      </c>
      <c r="I23" s="144" t="s">
        <v>189</v>
      </c>
      <c r="J23" s="209">
        <f>IFERROR(J19*H23%,"-")</f>
        <v>73801.513075999974</v>
      </c>
      <c r="K23" s="210"/>
      <c r="L23" s="210"/>
      <c r="M23" s="211"/>
      <c r="N23" s="202" t="s">
        <v>190</v>
      </c>
      <c r="O23" s="203"/>
    </row>
    <row r="24" spans="1:17" ht="28.5" customHeight="1" x14ac:dyDescent="0.3">
      <c r="A24" s="139"/>
      <c r="B24" s="143"/>
      <c r="C24" s="206" t="s">
        <v>191</v>
      </c>
      <c r="D24" s="207"/>
      <c r="E24" s="207"/>
      <c r="F24" s="207"/>
      <c r="G24" s="208"/>
      <c r="H24" s="144">
        <v>1.01</v>
      </c>
      <c r="I24" s="144" t="s">
        <v>189</v>
      </c>
      <c r="J24" s="209">
        <f>IFERROR(J19*H24%,"-")</f>
        <v>20938.069720999993</v>
      </c>
      <c r="K24" s="210"/>
      <c r="L24" s="210"/>
      <c r="M24" s="211"/>
      <c r="N24" s="202" t="s">
        <v>192</v>
      </c>
      <c r="O24" s="203"/>
    </row>
    <row r="25" spans="1:17" ht="28.5" customHeight="1" x14ac:dyDescent="0.3">
      <c r="A25" s="139"/>
      <c r="B25" s="143"/>
      <c r="C25" s="206" t="s">
        <v>193</v>
      </c>
      <c r="D25" s="207"/>
      <c r="E25" s="207"/>
      <c r="F25" s="207"/>
      <c r="G25" s="208"/>
      <c r="H25" s="145">
        <v>3.5449999999999999</v>
      </c>
      <c r="I25" s="144" t="s">
        <v>189</v>
      </c>
      <c r="J25" s="209">
        <f>IFERROR(J19*H25%,"-")</f>
        <v>73490.551644499981</v>
      </c>
      <c r="K25" s="210"/>
      <c r="L25" s="210"/>
      <c r="M25" s="211"/>
      <c r="N25" s="202" t="s">
        <v>194</v>
      </c>
      <c r="O25" s="203"/>
      <c r="Q25" s="142"/>
    </row>
    <row r="26" spans="1:17" ht="28.5" customHeight="1" x14ac:dyDescent="0.3">
      <c r="A26" s="139"/>
      <c r="B26" s="143"/>
      <c r="C26" s="206" t="s">
        <v>195</v>
      </c>
      <c r="D26" s="207"/>
      <c r="E26" s="207"/>
      <c r="F26" s="207"/>
      <c r="G26" s="208"/>
      <c r="H26" s="144">
        <v>4.5</v>
      </c>
      <c r="I26" s="144" t="s">
        <v>189</v>
      </c>
      <c r="J26" s="209">
        <f>IFERROR(J19*H26%,"-")</f>
        <v>93288.429449999967</v>
      </c>
      <c r="K26" s="210"/>
      <c r="L26" s="210"/>
      <c r="M26" s="211"/>
      <c r="N26" s="202" t="s">
        <v>196</v>
      </c>
      <c r="O26" s="203"/>
      <c r="Q26" s="146"/>
    </row>
    <row r="27" spans="1:17" ht="28.5" customHeight="1" x14ac:dyDescent="0.3">
      <c r="A27" s="139"/>
      <c r="B27" s="143"/>
      <c r="C27" s="196" t="s">
        <v>197</v>
      </c>
      <c r="D27" s="197"/>
      <c r="E27" s="197"/>
      <c r="F27" s="197"/>
      <c r="G27" s="198"/>
      <c r="H27" s="147">
        <v>12.95</v>
      </c>
      <c r="I27" s="148" t="s">
        <v>189</v>
      </c>
      <c r="J27" s="199">
        <f>IFERROR($H$27*J25%,"-")</f>
        <v>9517.0264379627461</v>
      </c>
      <c r="K27" s="200"/>
      <c r="L27" s="200"/>
      <c r="M27" s="201"/>
      <c r="N27" s="202" t="s">
        <v>198</v>
      </c>
      <c r="O27" s="203"/>
    </row>
    <row r="28" spans="1:17" ht="28.5" customHeight="1" x14ac:dyDescent="0.3">
      <c r="A28" s="139"/>
      <c r="B28" s="143"/>
      <c r="C28" s="196" t="s">
        <v>199</v>
      </c>
      <c r="D28" s="197"/>
      <c r="E28" s="197"/>
      <c r="F28" s="197"/>
      <c r="G28" s="198"/>
      <c r="H28" s="147">
        <v>8.1000000000000003E-2</v>
      </c>
      <c r="I28" s="148" t="s">
        <v>189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200</v>
      </c>
      <c r="O28" s="205"/>
    </row>
    <row r="29" spans="1:17" ht="28.5" customHeight="1" x14ac:dyDescent="0.3">
      <c r="A29" s="149"/>
      <c r="B29" s="150"/>
      <c r="C29" s="176" t="s">
        <v>201</v>
      </c>
      <c r="D29" s="177"/>
      <c r="E29" s="177"/>
      <c r="F29" s="177"/>
      <c r="G29" s="178"/>
      <c r="H29" s="151">
        <v>1</v>
      </c>
      <c r="I29" s="152" t="s">
        <v>202</v>
      </c>
      <c r="J29" s="179">
        <f>34*0</f>
        <v>0</v>
      </c>
      <c r="K29" s="180"/>
      <c r="L29" s="180"/>
      <c r="M29" s="181"/>
      <c r="N29" s="182" t="s">
        <v>203</v>
      </c>
      <c r="O29" s="183"/>
    </row>
    <row r="30" spans="1:17" ht="28.5" customHeight="1" x14ac:dyDescent="0.3">
      <c r="A30" s="149">
        <v>4</v>
      </c>
      <c r="B30" s="150"/>
      <c r="C30" s="176" t="s">
        <v>204</v>
      </c>
      <c r="D30" s="177"/>
      <c r="E30" s="177"/>
      <c r="F30" s="177"/>
      <c r="G30" s="178"/>
      <c r="H30" s="152">
        <v>5</v>
      </c>
      <c r="I30" s="153" t="s">
        <v>205</v>
      </c>
      <c r="J30" s="189">
        <f>IFERROR(IF(ISNUMBER(H30), SUM(J18:M20) * (H30 / 100), "-"), "-")</f>
        <v>155388.11764229808</v>
      </c>
      <c r="K30" s="190"/>
      <c r="L30" s="190"/>
      <c r="M30" s="191"/>
      <c r="N30" s="192" t="s">
        <v>206</v>
      </c>
      <c r="O30" s="193"/>
    </row>
    <row r="31" spans="1:17" ht="28.5" customHeight="1" thickBot="1" x14ac:dyDescent="0.35">
      <c r="A31" s="149">
        <v>5</v>
      </c>
      <c r="B31" s="150"/>
      <c r="C31" s="176" t="s">
        <v>207</v>
      </c>
      <c r="D31" s="177"/>
      <c r="E31" s="177"/>
      <c r="F31" s="177"/>
      <c r="G31" s="178"/>
      <c r="H31" s="152">
        <v>7.5</v>
      </c>
      <c r="I31" s="153" t="s">
        <v>189</v>
      </c>
      <c r="J31" s="179">
        <f>IFERROR(SUM(J18:M20, J30) * (H31 / 100), "-")+-42086</f>
        <v>202650.28528661944</v>
      </c>
      <c r="K31" s="180"/>
      <c r="L31" s="180"/>
      <c r="M31" s="181"/>
      <c r="N31" s="194" t="s">
        <v>208</v>
      </c>
      <c r="O31" s="195"/>
      <c r="Q31" s="154"/>
    </row>
    <row r="32" spans="1:17" ht="28.5" customHeight="1" thickBot="1" x14ac:dyDescent="0.35">
      <c r="A32" s="184" t="s">
        <v>209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3465800</v>
      </c>
      <c r="N32" s="187"/>
      <c r="O32" s="188"/>
      <c r="P32" s="158"/>
    </row>
    <row r="33" spans="1:15" x14ac:dyDescent="0.3">
      <c r="A33" s="159" t="s">
        <v>210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16"/>
      <c r="O1" s="14" t="s">
        <v>125</v>
      </c>
      <c r="Q1" s="14" t="s">
        <v>125</v>
      </c>
      <c r="S1" s="14" t="s">
        <v>125</v>
      </c>
      <c r="U1" s="14" t="s">
        <v>125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126</v>
      </c>
      <c r="G3" s="20"/>
      <c r="H3" s="20"/>
      <c r="I3" s="20"/>
      <c r="J3" s="293" t="s">
        <v>127</v>
      </c>
      <c r="K3" s="293"/>
      <c r="L3" s="293" t="s">
        <v>12</v>
      </c>
      <c r="M3" s="293" t="s">
        <v>5</v>
      </c>
      <c r="N3" s="289" t="s">
        <v>128</v>
      </c>
      <c r="O3" s="289"/>
      <c r="P3" s="289" t="s">
        <v>129</v>
      </c>
      <c r="Q3" s="289"/>
      <c r="R3" s="290" t="s">
        <v>130</v>
      </c>
      <c r="S3" s="290"/>
      <c r="T3" s="290" t="s">
        <v>131</v>
      </c>
      <c r="U3" s="290"/>
      <c r="V3" s="291" t="s">
        <v>132</v>
      </c>
      <c r="W3" s="287" t="s">
        <v>133</v>
      </c>
      <c r="X3" s="285" t="s">
        <v>7</v>
      </c>
    </row>
    <row r="4" spans="1:24" ht="19.899999999999999" customHeight="1" x14ac:dyDescent="0.3">
      <c r="A4" s="21" t="s">
        <v>134</v>
      </c>
      <c r="B4" s="22"/>
      <c r="C4" s="22"/>
      <c r="D4" s="22"/>
      <c r="E4" s="22"/>
      <c r="F4" s="23" t="s">
        <v>135</v>
      </c>
      <c r="G4" s="23" t="s">
        <v>136</v>
      </c>
      <c r="H4" s="23" t="s">
        <v>137</v>
      </c>
      <c r="I4" s="23" t="s">
        <v>138</v>
      </c>
      <c r="J4" s="24" t="s">
        <v>139</v>
      </c>
      <c r="K4" s="24" t="s">
        <v>140</v>
      </c>
      <c r="L4" s="294"/>
      <c r="M4" s="294"/>
      <c r="N4" s="25" t="s">
        <v>141</v>
      </c>
      <c r="O4" s="26" t="s">
        <v>142</v>
      </c>
      <c r="P4" s="25" t="s">
        <v>143</v>
      </c>
      <c r="Q4" s="26" t="s">
        <v>142</v>
      </c>
      <c r="R4" s="26" t="s">
        <v>144</v>
      </c>
      <c r="S4" s="26" t="s">
        <v>142</v>
      </c>
      <c r="T4" s="26" t="s">
        <v>144</v>
      </c>
      <c r="U4" s="26" t="s">
        <v>142</v>
      </c>
      <c r="V4" s="292"/>
      <c r="W4" s="288"/>
      <c r="X4" s="286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77</v>
      </c>
      <c r="G5" s="29"/>
      <c r="H5" s="29"/>
      <c r="I5" s="30"/>
      <c r="J5" s="31" t="s">
        <v>78</v>
      </c>
      <c r="K5" s="31" t="s">
        <v>79</v>
      </c>
      <c r="L5" s="31" t="s">
        <v>80</v>
      </c>
      <c r="M5" s="81">
        <v>105</v>
      </c>
      <c r="N5" s="32"/>
      <c r="O5" s="33">
        <f t="shared" ref="O5:O17" si="1">SUM(N5:N5)*M5*$O$2</f>
        <v>0</v>
      </c>
      <c r="P5" s="82">
        <v>6691</v>
      </c>
      <c r="Q5" s="33">
        <f t="shared" ref="Q5:Q17" si="2">(P5*M5)*$Q$2</f>
        <v>586633.42499999993</v>
      </c>
      <c r="R5" s="34"/>
      <c r="S5" s="33">
        <f t="shared" ref="S5:S17" si="3">R5*M5*$S$2</f>
        <v>0</v>
      </c>
      <c r="T5" s="34"/>
      <c r="U5" s="33">
        <f t="shared" ref="U5:U17" si="4">T5*M5*$U$2</f>
        <v>0</v>
      </c>
      <c r="V5" s="34">
        <f t="shared" ref="V5:V17" si="5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81</v>
      </c>
      <c r="G6" s="29"/>
      <c r="H6" s="29"/>
      <c r="I6" s="30"/>
      <c r="J6" s="31" t="s">
        <v>82</v>
      </c>
      <c r="K6" s="31" t="s">
        <v>79</v>
      </c>
      <c r="L6" s="31" t="s">
        <v>80</v>
      </c>
      <c r="M6" s="81">
        <v>61</v>
      </c>
      <c r="N6" s="32"/>
      <c r="O6" s="33">
        <f t="shared" si="1"/>
        <v>0</v>
      </c>
      <c r="P6" s="82">
        <v>8698</v>
      </c>
      <c r="Q6" s="33">
        <f t="shared" si="2"/>
        <v>443032.63</v>
      </c>
      <c r="R6" s="34"/>
      <c r="S6" s="33">
        <f t="shared" si="3"/>
        <v>0</v>
      </c>
      <c r="T6" s="34"/>
      <c r="U6" s="33">
        <f t="shared" si="4"/>
        <v>0</v>
      </c>
      <c r="V6" s="34">
        <f t="shared" si="5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83</v>
      </c>
      <c r="G7" s="29"/>
      <c r="H7" s="29"/>
      <c r="I7" s="30"/>
      <c r="J7" s="31" t="s">
        <v>84</v>
      </c>
      <c r="K7" s="31" t="s">
        <v>85</v>
      </c>
      <c r="L7" s="31" t="s">
        <v>80</v>
      </c>
      <c r="M7" s="81">
        <v>83</v>
      </c>
      <c r="N7" s="32"/>
      <c r="O7" s="33">
        <f t="shared" si="1"/>
        <v>0</v>
      </c>
      <c r="P7" s="82">
        <v>1618</v>
      </c>
      <c r="Q7" s="33">
        <f t="shared" si="2"/>
        <v>112135.48999999999</v>
      </c>
      <c r="R7" s="34"/>
      <c r="S7" s="33">
        <f t="shared" si="3"/>
        <v>0</v>
      </c>
      <c r="T7" s="34"/>
      <c r="U7" s="33">
        <f t="shared" si="4"/>
        <v>0</v>
      </c>
      <c r="V7" s="34">
        <f t="shared" si="5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86</v>
      </c>
      <c r="G8" s="29"/>
      <c r="H8" s="29"/>
      <c r="I8" s="30"/>
      <c r="J8" s="31" t="s">
        <v>87</v>
      </c>
      <c r="K8" s="31" t="s">
        <v>88</v>
      </c>
      <c r="L8" s="31" t="s">
        <v>80</v>
      </c>
      <c r="M8" s="81">
        <v>34</v>
      </c>
      <c r="N8" s="32"/>
      <c r="O8" s="33">
        <f t="shared" si="1"/>
        <v>0</v>
      </c>
      <c r="P8" s="82">
        <v>4855</v>
      </c>
      <c r="Q8" s="33">
        <f t="shared" si="2"/>
        <v>137833.44999999998</v>
      </c>
      <c r="R8" s="34"/>
      <c r="S8" s="33">
        <f t="shared" si="3"/>
        <v>0</v>
      </c>
      <c r="T8" s="34"/>
      <c r="U8" s="33">
        <f t="shared" si="4"/>
        <v>0</v>
      </c>
      <c r="V8" s="34">
        <f t="shared" si="5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89</v>
      </c>
      <c r="G9" s="29"/>
      <c r="H9" s="29"/>
      <c r="I9" s="30"/>
      <c r="J9" s="31" t="s">
        <v>90</v>
      </c>
      <c r="K9" s="31" t="s">
        <v>91</v>
      </c>
      <c r="L9" s="31" t="s">
        <v>80</v>
      </c>
      <c r="M9" s="81">
        <v>34</v>
      </c>
      <c r="N9" s="38"/>
      <c r="O9" s="33">
        <f t="shared" si="1"/>
        <v>0</v>
      </c>
      <c r="P9" s="82">
        <v>4453</v>
      </c>
      <c r="Q9" s="33">
        <f t="shared" si="2"/>
        <v>126420.67</v>
      </c>
      <c r="R9" s="34"/>
      <c r="S9" s="33">
        <f t="shared" si="3"/>
        <v>0</v>
      </c>
      <c r="T9" s="34"/>
      <c r="U9" s="33">
        <f t="shared" si="4"/>
        <v>0</v>
      </c>
      <c r="V9" s="34">
        <f t="shared" si="5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92</v>
      </c>
      <c r="G10" s="29"/>
      <c r="H10" s="29"/>
      <c r="I10" s="30"/>
      <c r="J10" s="31" t="s">
        <v>93</v>
      </c>
      <c r="K10" s="31" t="s">
        <v>94</v>
      </c>
      <c r="L10" s="31" t="s">
        <v>80</v>
      </c>
      <c r="M10" s="81">
        <v>20</v>
      </c>
      <c r="N10" s="82">
        <v>528</v>
      </c>
      <c r="O10" s="33">
        <f t="shared" si="1"/>
        <v>8817.6</v>
      </c>
      <c r="P10" s="82">
        <v>10367</v>
      </c>
      <c r="Q10" s="33">
        <f t="shared" si="2"/>
        <v>173128.9</v>
      </c>
      <c r="R10" s="34"/>
      <c r="S10" s="33">
        <f t="shared" si="3"/>
        <v>0</v>
      </c>
      <c r="T10" s="34"/>
      <c r="U10" s="33">
        <f t="shared" si="4"/>
        <v>0</v>
      </c>
      <c r="V10" s="34">
        <f t="shared" si="5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95</v>
      </c>
      <c r="G11" s="29"/>
      <c r="H11" s="29"/>
      <c r="I11" s="30"/>
      <c r="J11" s="31" t="s">
        <v>96</v>
      </c>
      <c r="K11" s="31" t="s">
        <v>97</v>
      </c>
      <c r="L11" s="31" t="s">
        <v>80</v>
      </c>
      <c r="M11" s="81">
        <v>20</v>
      </c>
      <c r="N11" s="82">
        <v>461</v>
      </c>
      <c r="O11" s="33">
        <f t="shared" si="1"/>
        <v>7698.7</v>
      </c>
      <c r="P11" s="82">
        <v>6146</v>
      </c>
      <c r="Q11" s="33">
        <f t="shared" si="2"/>
        <v>102638.2</v>
      </c>
      <c r="R11" s="34"/>
      <c r="S11" s="33">
        <f t="shared" si="3"/>
        <v>0</v>
      </c>
      <c r="T11" s="34"/>
      <c r="U11" s="33">
        <f t="shared" si="4"/>
        <v>0</v>
      </c>
      <c r="V11" s="34">
        <f t="shared" si="5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98</v>
      </c>
      <c r="G12" s="29"/>
      <c r="H12" s="29"/>
      <c r="I12" s="30"/>
      <c r="J12" s="31" t="s">
        <v>99</v>
      </c>
      <c r="K12" s="31" t="s">
        <v>100</v>
      </c>
      <c r="L12" s="31" t="s">
        <v>80</v>
      </c>
      <c r="M12" s="81">
        <v>9</v>
      </c>
      <c r="N12" s="38"/>
      <c r="O12" s="33">
        <f t="shared" si="1"/>
        <v>0</v>
      </c>
      <c r="P12" s="82">
        <v>10426</v>
      </c>
      <c r="Q12" s="33">
        <f t="shared" si="2"/>
        <v>78351.39</v>
      </c>
      <c r="R12" s="34"/>
      <c r="S12" s="33">
        <f t="shared" si="3"/>
        <v>0</v>
      </c>
      <c r="T12" s="34"/>
      <c r="U12" s="33">
        <f t="shared" si="4"/>
        <v>0</v>
      </c>
      <c r="V12" s="34">
        <f t="shared" si="5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101</v>
      </c>
      <c r="G13" s="29"/>
      <c r="H13" s="29"/>
      <c r="I13" s="30"/>
      <c r="J13" s="31" t="s">
        <v>102</v>
      </c>
      <c r="K13" s="31" t="s">
        <v>103</v>
      </c>
      <c r="L13" s="31" t="s">
        <v>80</v>
      </c>
      <c r="M13" s="81">
        <v>9</v>
      </c>
      <c r="N13" s="82">
        <v>611</v>
      </c>
      <c r="O13" s="33">
        <f t="shared" si="1"/>
        <v>4591.665</v>
      </c>
      <c r="P13" s="82">
        <v>3735</v>
      </c>
      <c r="Q13" s="33">
        <f t="shared" si="2"/>
        <v>28068.524999999998</v>
      </c>
      <c r="R13" s="34"/>
      <c r="S13" s="33">
        <f t="shared" si="3"/>
        <v>0</v>
      </c>
      <c r="T13" s="34"/>
      <c r="U13" s="33">
        <f t="shared" si="4"/>
        <v>0</v>
      </c>
      <c r="V13" s="34">
        <f t="shared" si="5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98</v>
      </c>
      <c r="G14" s="29"/>
      <c r="H14" s="29"/>
      <c r="I14" s="30"/>
      <c r="J14" s="31" t="s">
        <v>99</v>
      </c>
      <c r="K14" s="31" t="s">
        <v>100</v>
      </c>
      <c r="L14" s="31" t="s">
        <v>80</v>
      </c>
      <c r="M14" s="81">
        <v>2</v>
      </c>
      <c r="N14" s="38"/>
      <c r="O14" s="33">
        <f t="shared" si="1"/>
        <v>0</v>
      </c>
      <c r="P14" s="82">
        <v>10426</v>
      </c>
      <c r="Q14" s="33">
        <f t="shared" si="2"/>
        <v>17411.419999999998</v>
      </c>
      <c r="R14" s="34"/>
      <c r="S14" s="33">
        <f t="shared" si="3"/>
        <v>0</v>
      </c>
      <c r="T14" s="34"/>
      <c r="U14" s="33">
        <f t="shared" si="4"/>
        <v>0</v>
      </c>
      <c r="V14" s="34">
        <f t="shared" si="5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104</v>
      </c>
      <c r="G15" s="29"/>
      <c r="H15" s="29"/>
      <c r="I15" s="30"/>
      <c r="J15" s="31" t="s">
        <v>105</v>
      </c>
      <c r="K15" s="31" t="s">
        <v>103</v>
      </c>
      <c r="L15" s="31" t="s">
        <v>80</v>
      </c>
      <c r="M15" s="81">
        <v>2</v>
      </c>
      <c r="N15" s="82">
        <v>502</v>
      </c>
      <c r="O15" s="33">
        <f t="shared" si="1"/>
        <v>838.33999999999992</v>
      </c>
      <c r="P15" s="82">
        <v>3073</v>
      </c>
      <c r="Q15" s="33">
        <f t="shared" si="2"/>
        <v>5131.91</v>
      </c>
      <c r="R15" s="34"/>
      <c r="S15" s="33">
        <f t="shared" si="3"/>
        <v>0</v>
      </c>
      <c r="T15" s="34"/>
      <c r="U15" s="33">
        <f t="shared" si="4"/>
        <v>0</v>
      </c>
      <c r="V15" s="34">
        <f t="shared" si="5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112</v>
      </c>
      <c r="I16" s="30"/>
      <c r="J16" s="40" t="s">
        <v>113</v>
      </c>
      <c r="K16" s="40" t="s">
        <v>114</v>
      </c>
      <c r="L16" s="31" t="s">
        <v>80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106</v>
      </c>
      <c r="I17" s="30"/>
      <c r="J17" s="40" t="s">
        <v>107</v>
      </c>
      <c r="K17" s="40" t="s">
        <v>108</v>
      </c>
      <c r="L17" s="40" t="s">
        <v>109</v>
      </c>
      <c r="M17" s="81">
        <v>4</v>
      </c>
      <c r="N17" s="84">
        <v>15000</v>
      </c>
      <c r="O17" s="33">
        <f t="shared" si="1"/>
        <v>50100</v>
      </c>
      <c r="P17" s="39"/>
      <c r="Q17" s="33">
        <f t="shared" si="2"/>
        <v>0</v>
      </c>
      <c r="R17" s="34"/>
      <c r="S17" s="33">
        <f t="shared" si="3"/>
        <v>0</v>
      </c>
      <c r="T17" s="34"/>
      <c r="U17" s="33">
        <f t="shared" si="4"/>
        <v>0</v>
      </c>
      <c r="V17" s="34">
        <f t="shared" si="5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110</v>
      </c>
      <c r="L18" s="31" t="s">
        <v>80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111</v>
      </c>
      <c r="L19" s="31" t="s">
        <v>80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tabColor rgb="FF0000FF"/>
    <pageSetUpPr fitToPage="1"/>
  </sheetPr>
  <dimension ref="A1:P33"/>
  <sheetViews>
    <sheetView zoomScaleNormal="100" workbookViewId="0">
      <selection activeCell="P39" sqref="P39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6" ht="12.95" customHeight="1" x14ac:dyDescent="0.3">
      <c r="A2" s="299" t="s">
        <v>26</v>
      </c>
      <c r="B2" s="300" t="s">
        <v>27</v>
      </c>
      <c r="C2" s="301" t="s">
        <v>12</v>
      </c>
      <c r="D2" s="301" t="s">
        <v>28</v>
      </c>
      <c r="E2" s="303" t="s">
        <v>29</v>
      </c>
      <c r="F2" s="300"/>
      <c r="G2" s="300" t="s">
        <v>30</v>
      </c>
      <c r="H2" s="300"/>
      <c r="I2" s="304" t="s">
        <v>31</v>
      </c>
      <c r="J2" s="305"/>
      <c r="K2" s="304" t="s">
        <v>32</v>
      </c>
      <c r="L2" s="305"/>
      <c r="M2" s="303" t="s">
        <v>33</v>
      </c>
      <c r="N2" s="300"/>
      <c r="O2" s="306" t="s">
        <v>34</v>
      </c>
    </row>
    <row r="3" spans="1:16" ht="12.95" customHeight="1" x14ac:dyDescent="0.3">
      <c r="A3" s="299"/>
      <c r="B3" s="300"/>
      <c r="C3" s="302"/>
      <c r="D3" s="302"/>
      <c r="E3" s="51" t="s">
        <v>35</v>
      </c>
      <c r="F3" s="51" t="s">
        <v>36</v>
      </c>
      <c r="G3" s="52" t="s">
        <v>35</v>
      </c>
      <c r="H3" s="51" t="s">
        <v>37</v>
      </c>
      <c r="I3" s="51"/>
      <c r="J3" s="51"/>
      <c r="K3" s="52" t="s">
        <v>35</v>
      </c>
      <c r="L3" s="51" t="s">
        <v>37</v>
      </c>
      <c r="M3" s="52" t="s">
        <v>35</v>
      </c>
      <c r="N3" s="51" t="s">
        <v>37</v>
      </c>
      <c r="O3" s="307"/>
    </row>
    <row r="4" spans="1:16" ht="12.95" customHeight="1" x14ac:dyDescent="0.3">
      <c r="A4" s="295" t="s">
        <v>145</v>
      </c>
      <c r="B4" s="296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11" t="s">
        <v>38</v>
      </c>
      <c r="B5" s="54" t="s">
        <v>39</v>
      </c>
      <c r="C5" s="55" t="s">
        <v>40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308" t="s">
        <v>119</v>
      </c>
    </row>
    <row r="6" spans="1:16" ht="12.95" customHeight="1" x14ac:dyDescent="0.3">
      <c r="A6" s="312"/>
      <c r="B6" s="54" t="s">
        <v>41</v>
      </c>
      <c r="C6" s="55" t="s">
        <v>40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309"/>
    </row>
    <row r="7" spans="1:16" ht="12.95" customHeight="1" x14ac:dyDescent="0.3">
      <c r="A7" s="312"/>
      <c r="B7" s="54" t="s">
        <v>42</v>
      </c>
      <c r="C7" s="55" t="s">
        <v>40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309"/>
    </row>
    <row r="8" spans="1:16" ht="12.95" customHeight="1" x14ac:dyDescent="0.3">
      <c r="A8" s="312"/>
      <c r="B8" s="54" t="s">
        <v>43</v>
      </c>
      <c r="C8" s="55" t="s">
        <v>40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309"/>
    </row>
    <row r="9" spans="1:16" ht="12.95" customHeight="1" x14ac:dyDescent="0.3">
      <c r="A9" s="312"/>
      <c r="B9" s="54" t="s">
        <v>44</v>
      </c>
      <c r="C9" s="55" t="s">
        <v>40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309"/>
    </row>
    <row r="10" spans="1:16" ht="12.95" customHeight="1" x14ac:dyDescent="0.3">
      <c r="A10" s="312"/>
      <c r="B10" s="54" t="s">
        <v>45</v>
      </c>
      <c r="C10" s="55" t="s">
        <v>40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309"/>
    </row>
    <row r="11" spans="1:16" ht="12.95" customHeight="1" x14ac:dyDescent="0.3">
      <c r="A11" s="313"/>
      <c r="B11" s="54" t="s">
        <v>124</v>
      </c>
      <c r="C11" s="55" t="s">
        <v>40</v>
      </c>
      <c r="D11" s="59">
        <f>SUM(D5:D10)*50%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310"/>
    </row>
    <row r="12" spans="1:16" ht="12.95" customHeight="1" x14ac:dyDescent="0.3">
      <c r="A12" s="90" t="s">
        <v>46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18" t="s">
        <v>47</v>
      </c>
      <c r="B13" s="54" t="s">
        <v>48</v>
      </c>
      <c r="C13" s="55" t="s">
        <v>40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308" t="s">
        <v>120</v>
      </c>
    </row>
    <row r="14" spans="1:16" ht="12.95" customHeight="1" x14ac:dyDescent="0.3">
      <c r="A14" s="319"/>
      <c r="B14" s="54" t="s">
        <v>49</v>
      </c>
      <c r="C14" s="55" t="s">
        <v>40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309"/>
    </row>
    <row r="15" spans="1:16" ht="12.95" customHeight="1" x14ac:dyDescent="0.3">
      <c r="A15" s="319"/>
      <c r="B15" s="54" t="s">
        <v>50</v>
      </c>
      <c r="C15" s="55" t="s">
        <v>40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309"/>
    </row>
    <row r="16" spans="1:16" ht="12.95" customHeight="1" x14ac:dyDescent="0.3">
      <c r="A16" s="319"/>
      <c r="B16" s="54" t="s">
        <v>51</v>
      </c>
      <c r="C16" s="55" t="s">
        <v>52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309"/>
    </row>
    <row r="17" spans="1:15" ht="12.95" customHeight="1" x14ac:dyDescent="0.3">
      <c r="A17" s="319"/>
      <c r="B17" s="54" t="s">
        <v>53</v>
      </c>
      <c r="C17" s="55" t="s">
        <v>40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309"/>
    </row>
    <row r="18" spans="1:15" ht="12.95" customHeight="1" x14ac:dyDescent="0.3">
      <c r="A18" s="319"/>
      <c r="B18" s="54" t="s">
        <v>54</v>
      </c>
      <c r="C18" s="55" t="s">
        <v>40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309"/>
    </row>
    <row r="19" spans="1:15" ht="12.95" customHeight="1" x14ac:dyDescent="0.3">
      <c r="A19" s="319"/>
      <c r="B19" s="54" t="s">
        <v>55</v>
      </c>
      <c r="C19" s="55" t="s">
        <v>40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309"/>
    </row>
    <row r="20" spans="1:15" ht="12.95" customHeight="1" x14ac:dyDescent="0.3">
      <c r="A20" s="90" t="s">
        <v>46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56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314" t="s">
        <v>57</v>
      </c>
      <c r="B22" s="99" t="s">
        <v>58</v>
      </c>
      <c r="C22" s="100" t="s">
        <v>40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315" t="s">
        <v>146</v>
      </c>
    </row>
    <row r="23" spans="1:15" ht="12.95" customHeight="1" x14ac:dyDescent="0.3">
      <c r="A23" s="314"/>
      <c r="B23" s="67" t="s">
        <v>59</v>
      </c>
      <c r="C23" s="68" t="s">
        <v>40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316"/>
    </row>
    <row r="24" spans="1:15" ht="12.95" customHeight="1" x14ac:dyDescent="0.3">
      <c r="A24" s="314" t="s">
        <v>60</v>
      </c>
      <c r="B24" s="67" t="s">
        <v>58</v>
      </c>
      <c r="C24" s="68" t="s">
        <v>40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316"/>
    </row>
    <row r="25" spans="1:15" ht="12.95" customHeight="1" x14ac:dyDescent="0.3">
      <c r="A25" s="314"/>
      <c r="B25" s="99" t="s">
        <v>59</v>
      </c>
      <c r="C25" s="100" t="s">
        <v>40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316"/>
    </row>
    <row r="26" spans="1:15" ht="12.95" customHeight="1" x14ac:dyDescent="0.3">
      <c r="A26" s="314" t="s">
        <v>61</v>
      </c>
      <c r="B26" s="67" t="s">
        <v>62</v>
      </c>
      <c r="C26" s="68" t="s">
        <v>40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316"/>
    </row>
    <row r="27" spans="1:15" ht="12.95" customHeight="1" x14ac:dyDescent="0.3">
      <c r="A27" s="314"/>
      <c r="B27" s="67" t="s">
        <v>63</v>
      </c>
      <c r="C27" s="68" t="s">
        <v>40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316"/>
    </row>
    <row r="28" spans="1:15" ht="12.95" customHeight="1" x14ac:dyDescent="0.3">
      <c r="A28" s="314" t="s">
        <v>64</v>
      </c>
      <c r="B28" s="67" t="s">
        <v>62</v>
      </c>
      <c r="C28" s="68" t="s">
        <v>40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316"/>
    </row>
    <row r="29" spans="1:15" ht="12.95" customHeight="1" x14ac:dyDescent="0.3">
      <c r="A29" s="314"/>
      <c r="B29" s="67" t="s">
        <v>65</v>
      </c>
      <c r="C29" s="68" t="s">
        <v>40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317"/>
    </row>
    <row r="30" spans="1:15" ht="12.95" customHeight="1" x14ac:dyDescent="0.3">
      <c r="A30" s="90" t="s">
        <v>46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66</v>
      </c>
      <c r="B31" s="54" t="s">
        <v>67</v>
      </c>
      <c r="C31" s="55" t="s">
        <v>40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118</v>
      </c>
    </row>
    <row r="32" spans="1:15" ht="12.95" customHeight="1" x14ac:dyDescent="0.3">
      <c r="A32" s="91" t="s">
        <v>46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 t="shared" ref="J32:N32" si="10">SUM(J31:J31)</f>
        <v>0</v>
      </c>
      <c r="K32" s="63"/>
      <c r="L32" s="63">
        <f t="shared" si="10"/>
        <v>0</v>
      </c>
      <c r="M32" s="63"/>
      <c r="N32" s="63">
        <f t="shared" si="10"/>
        <v>262280</v>
      </c>
      <c r="O32" s="75"/>
    </row>
    <row r="33" spans="1:15" ht="12.95" customHeight="1" x14ac:dyDescent="0.3">
      <c r="A33" s="92" t="s">
        <v>68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0" t="s">
        <v>69</v>
      </c>
      <c r="B2" s="320"/>
      <c r="G2" s="2"/>
      <c r="L2" s="2"/>
      <c r="N2" s="2"/>
      <c r="O2" s="3"/>
      <c r="P2" s="3"/>
    </row>
    <row r="3" spans="1:16" s="1" customFormat="1" x14ac:dyDescent="0.3">
      <c r="A3" s="4" t="s">
        <v>70</v>
      </c>
      <c r="B3" s="5" t="s">
        <v>71</v>
      </c>
      <c r="C3" s="5" t="s">
        <v>72</v>
      </c>
      <c r="D3" s="5" t="s">
        <v>73</v>
      </c>
      <c r="E3" s="6" t="s">
        <v>74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75</v>
      </c>
      <c r="C4" s="8" t="s">
        <v>76</v>
      </c>
      <c r="D4" s="9">
        <v>1300</v>
      </c>
      <c r="E4" s="10" t="s">
        <v>123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115</v>
      </c>
      <c r="C2" s="16" t="s">
        <v>122</v>
      </c>
      <c r="D2" s="16" t="s">
        <v>121</v>
      </c>
      <c r="E2" s="16" t="s">
        <v>80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115</v>
      </c>
      <c r="C3" s="16" t="s">
        <v>117</v>
      </c>
      <c r="D3" s="16" t="s">
        <v>116</v>
      </c>
      <c r="E3" s="16" t="s">
        <v>80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29" sqref="F29:F30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str">
        <f>'내역서(표준단가)'!A5</f>
        <v>D02641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2025-10-21T01:29:49Z</dcterms:modified>
</cp:coreProperties>
</file>
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732E1ABB-19BA-44CE-8FFA-5AB03BDB2A74}" xr6:coauthVersionLast="47" xr6:coauthVersionMax="47" xr10:uidLastSave="{00000000-0000-0000-0000-000000000000}"/>
  <bookViews>
    <workbookView xWindow="-60" yWindow="-60" windowWidth="28920" windowHeight="15600" xr2:uid="{00000000-000D-0000-FFFF-FFFF00000000}"/>
  </bookViews>
  <sheets>
    <sheet name="PR당사안" sheetId="8" r:id="rId1"/>
    <sheet name="내역서(표준단가)" sheetId="4" r:id="rId2"/>
    <sheet name="시중가 근거서류" sheetId="6" r:id="rId3"/>
    <sheet name="Upload(시중가)" sheetId="7"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3">#REF!</definedName>
    <definedName name="_xlnm.Print_Area" localSheetId="2">#REF!</definedName>
    <definedName name="_xlnm.Print_Area">#REF!</definedName>
    <definedName name="_xlnm.Print_Titles" localSheetId="3">#REF!,#REF!</definedName>
    <definedName name="_xlnm.Print_Titles" localSheetId="2">#REF!,#REF!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8" l="1"/>
  <c r="J21" i="8"/>
  <c r="J19" i="8"/>
  <c r="J18" i="8"/>
  <c r="J29" i="8"/>
  <c r="Q6" i="4"/>
  <c r="O6" i="4"/>
  <c r="M6" i="4"/>
  <c r="K6" i="4"/>
  <c r="Q5" i="4"/>
  <c r="O5" i="4"/>
  <c r="M5" i="4"/>
  <c r="K5" i="4"/>
  <c r="R5" i="4" s="1"/>
  <c r="A5" i="4"/>
  <c r="J22" i="8" l="1"/>
  <c r="J28" i="8" s="1"/>
  <c r="J20" i="8" s="1"/>
  <c r="J24" i="8"/>
  <c r="J23" i="8"/>
  <c r="J26" i="8"/>
  <c r="J25" i="8"/>
  <c r="J27" i="8" s="1"/>
  <c r="R6" i="4"/>
  <c r="F3" i="1"/>
  <c r="E3" i="1"/>
  <c r="D3" i="1"/>
  <c r="C3" i="1"/>
  <c r="B3" i="1"/>
  <c r="J30" i="8" l="1"/>
  <c r="A3" i="1"/>
  <c r="M32" i="8" l="1"/>
  <c r="B15" i="8" s="1"/>
  <c r="F2" i="1"/>
  <c r="E2" i="1"/>
  <c r="D2" i="1"/>
  <c r="C2" i="1"/>
  <c r="B2" i="1"/>
  <c r="A2" i="1"/>
  <c r="Q7" i="4" l="1"/>
  <c r="M7" i="4"/>
  <c r="O7" i="4" l="1"/>
  <c r="R7" i="4" l="1"/>
  <c r="K7" i="4" l="1"/>
</calcChain>
</file>

<file path=xl/sharedStrings.xml><?xml version="1.0" encoding="utf-8"?>
<sst xmlns="http://schemas.openxmlformats.org/spreadsheetml/2006/main" count="143" uniqueCount="120">
  <si>
    <t>구분</t>
  </si>
  <si>
    <t>표준단가</t>
  </si>
  <si>
    <t>표준품셈</t>
  </si>
  <si>
    <t>물가정보</t>
  </si>
  <si>
    <t>노임단가</t>
  </si>
  <si>
    <t>수량</t>
  </si>
  <si>
    <t>식</t>
    <phoneticPr fontId="18" type="noConversion"/>
  </si>
  <si>
    <t>할증기준</t>
    <phoneticPr fontId="12" type="noConversion"/>
  </si>
  <si>
    <t>인</t>
    <phoneticPr fontId="12" type="noConversion"/>
  </si>
  <si>
    <t>L003</t>
  </si>
  <si>
    <t>▼낙찰율</t>
    <phoneticPr fontId="14" type="noConversion"/>
  </si>
  <si>
    <t>▶ 표준 Code(표준단가/품셈/물정/노임) 순서별 입력(Upload 자동반영)</t>
    <phoneticPr fontId="12" type="noConversion"/>
  </si>
  <si>
    <t>주요내역</t>
    <phoneticPr fontId="12" type="noConversion"/>
  </si>
  <si>
    <t>단위</t>
  </si>
  <si>
    <t>재료비</t>
    <phoneticPr fontId="14" type="noConversion"/>
  </si>
  <si>
    <t>노무비</t>
    <phoneticPr fontId="14" type="noConversion"/>
  </si>
  <si>
    <t>기계경비</t>
  </si>
  <si>
    <t>기타경비(부자재비)</t>
  </si>
  <si>
    <t>합계</t>
    <phoneticPr fontId="14" type="noConversion"/>
  </si>
  <si>
    <t>노무비 할증</t>
    <phoneticPr fontId="12" type="noConversion"/>
  </si>
  <si>
    <t>합계</t>
    <phoneticPr fontId="12" type="noConversion"/>
  </si>
  <si>
    <t>표준단가 D</t>
    <phoneticPr fontId="12" type="noConversion"/>
  </si>
  <si>
    <t>표준품셈 E</t>
    <phoneticPr fontId="12" type="noConversion"/>
  </si>
  <si>
    <t>물가정보 M</t>
    <phoneticPr fontId="12" type="noConversion"/>
  </si>
  <si>
    <t>노임단가 L</t>
    <phoneticPr fontId="12" type="noConversion"/>
  </si>
  <si>
    <t>품목</t>
    <phoneticPr fontId="12" type="noConversion"/>
  </si>
  <si>
    <t>규격</t>
    <phoneticPr fontId="12" type="noConversion"/>
  </si>
  <si>
    <t>품셈/표단</t>
    <phoneticPr fontId="12" type="noConversion"/>
  </si>
  <si>
    <t>금액</t>
  </si>
  <si>
    <t>단가</t>
    <phoneticPr fontId="14" type="noConversion"/>
  </si>
  <si>
    <t>단가</t>
  </si>
  <si>
    <t xml:space="preserve">청소 및 현장관리 </t>
    <phoneticPr fontId="12" type="noConversion"/>
  </si>
  <si>
    <t>특별인부 0.5*2일 작업</t>
    <phoneticPr fontId="12" type="noConversion"/>
  </si>
  <si>
    <t>어린이집 1층 유아 세면대 보수</t>
    <phoneticPr fontId="12" type="noConversion"/>
  </si>
  <si>
    <t>전문업체 견적 및 세금계산서 제출예정</t>
    <phoneticPr fontId="12" type="noConversion"/>
  </si>
  <si>
    <t>set</t>
    <phoneticPr fontId="12"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</si>
  <si>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</si>
  <si>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</si>
  <si>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</si>
  <si>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</si>
  <si>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</si>
  <si>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</si>
  <si>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</si>
  <si>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</si>
  <si>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</si>
  <si>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</si>
  <si>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</si>
  <si>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</si>
  <si>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</si>
  <si>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</si>
  <si>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</si>
  <si>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</si>
  <si>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 건축</t>
    <phoneticPr fontId="12" type="noConversion"/>
  </si>
  <si>
    <t>전문업체 세금계산서 제출 예정</t>
    <phoneticPr fontId="12" type="noConversion"/>
  </si>
  <si>
    <t>見  積  書</t>
    <phoneticPr fontId="18" type="noConversion"/>
  </si>
  <si>
    <t>수 신: LG에너지솔루션</t>
    <phoneticPr fontId="18" type="noConversion"/>
  </si>
  <si>
    <r>
      <t>견  적  일  자</t>
    </r>
    <r>
      <rPr>
        <sz val="12"/>
        <rFont val="Arial"/>
        <family val="2"/>
      </rPr>
      <t/>
    </r>
    <phoneticPr fontId="18" type="noConversion"/>
  </si>
  <si>
    <t>년</t>
    <phoneticPr fontId="18" type="noConversion"/>
  </si>
  <si>
    <t>월</t>
    <phoneticPr fontId="18" type="noConversion"/>
  </si>
  <si>
    <t>일</t>
    <phoneticPr fontId="18" type="noConversion"/>
  </si>
  <si>
    <t>공
급
자</t>
    <phoneticPr fontId="18" type="noConversion"/>
  </si>
  <si>
    <t>등록번호</t>
    <phoneticPr fontId="18" type="noConversion"/>
  </si>
  <si>
    <t>707-86-02-404</t>
    <phoneticPr fontId="18" type="noConversion"/>
  </si>
  <si>
    <t>전      화</t>
    <phoneticPr fontId="18" type="noConversion"/>
  </si>
  <si>
    <t>02-6924-5539</t>
    <phoneticPr fontId="18" type="noConversion"/>
  </si>
  <si>
    <r>
      <t>견  적  담  당</t>
    </r>
    <r>
      <rPr>
        <sz val="12"/>
        <rFont val="Arial"/>
        <family val="2"/>
      </rPr>
      <t/>
    </r>
    <phoneticPr fontId="18" type="noConversion"/>
  </si>
  <si>
    <t>이종근</t>
    <phoneticPr fontId="18" type="noConversion"/>
  </si>
  <si>
    <t>파트너</t>
    <phoneticPr fontId="12" type="noConversion"/>
  </si>
  <si>
    <t>상      호</t>
    <phoneticPr fontId="18" type="noConversion"/>
  </si>
  <si>
    <t>㈜에스앤아이코퍼레이션</t>
    <phoneticPr fontId="18" type="noConversion"/>
  </si>
  <si>
    <t>대      표</t>
    <phoneticPr fontId="18" type="noConversion"/>
  </si>
  <si>
    <t>서 현</t>
    <phoneticPr fontId="18" type="noConversion"/>
  </si>
  <si>
    <r>
      <t>견적유효기간</t>
    </r>
    <r>
      <rPr>
        <sz val="12"/>
        <rFont val="Arial"/>
        <family val="2"/>
      </rPr>
      <t/>
    </r>
    <phoneticPr fontId="18" type="noConversion"/>
  </si>
  <si>
    <t>견적 제출 후 30일 까지</t>
    <phoneticPr fontId="14" type="noConversion"/>
  </si>
  <si>
    <t>주      소</t>
    <phoneticPr fontId="18" type="noConversion"/>
  </si>
  <si>
    <t>서울특별시 강서구 마곡중앙로150</t>
    <phoneticPr fontId="18" type="noConversion"/>
  </si>
  <si>
    <t>납        기</t>
    <phoneticPr fontId="18" type="noConversion"/>
  </si>
  <si>
    <t>발주 후 개별 협의</t>
    <phoneticPr fontId="18" type="noConversion"/>
  </si>
  <si>
    <t>업      태</t>
    <phoneticPr fontId="18" type="noConversion"/>
  </si>
  <si>
    <t>부동산, 서비스</t>
    <phoneticPr fontId="18" type="noConversion"/>
  </si>
  <si>
    <t>종      목</t>
    <phoneticPr fontId="18" type="noConversion"/>
  </si>
  <si>
    <t>임대 및 관리</t>
    <phoneticPr fontId="18" type="noConversion"/>
  </si>
  <si>
    <t>견적을 제출 합니다</t>
    <phoneticPr fontId="18"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</si>
  <si>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</si>
  <si>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</si>
  <si>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</si>
  <si>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</si>
  <si>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</si>
  <si>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</si>
  <si>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8" type="noConversion"/>
  </si>
  <si>
    <t>기계 및 기타경비</t>
    <phoneticPr fontId="18" type="noConversion"/>
  </si>
  <si>
    <t>중장비 사용 등</t>
    <phoneticPr fontId="14" type="noConversion"/>
  </si>
  <si>
    <t>안전관리비</t>
    <phoneticPr fontId="18" type="noConversion"/>
  </si>
  <si>
    <t>%</t>
    <phoneticPr fontId="18" type="noConversion"/>
  </si>
  <si>
    <t>(재료비+노무비)*3.11%</t>
    <phoneticPr fontId="12" type="noConversion"/>
  </si>
  <si>
    <t>산재 보험료</t>
  </si>
  <si>
    <t>%</t>
  </si>
  <si>
    <t>노무비*3.56%</t>
    <phoneticPr fontId="12" type="noConversion"/>
  </si>
  <si>
    <t>고용보험료</t>
  </si>
  <si>
    <t>노무비*1.01%</t>
  </si>
  <si>
    <t>국민건강 보험료</t>
  </si>
  <si>
    <t>노무비*3.595%</t>
    <phoneticPr fontId="14" type="noConversion"/>
  </si>
  <si>
    <t>국민연금 보험료</t>
  </si>
  <si>
    <t>노무비*4.75%</t>
    <phoneticPr fontId="12" type="noConversion"/>
  </si>
  <si>
    <t>노인장기요양 보험료</t>
    <phoneticPr fontId="18" type="noConversion"/>
  </si>
  <si>
    <t>건강보험료*13.14%</t>
    <phoneticPr fontId="14" type="noConversion"/>
  </si>
  <si>
    <t>하도급대금지급보증증권</t>
    <phoneticPr fontId="18" type="noConversion"/>
  </si>
  <si>
    <t>1천만원 이상 공사시 적용</t>
    <phoneticPr fontId="14" type="noConversion"/>
  </si>
  <si>
    <t>폐기물처리 부담금</t>
    <phoneticPr fontId="18" type="noConversion"/>
  </si>
  <si>
    <t>식</t>
    <phoneticPr fontId="12" type="noConversion"/>
  </si>
  <si>
    <t>폐기물발생 시 적용 (kg당 34원)</t>
    <phoneticPr fontId="14" type="noConversion"/>
  </si>
  <si>
    <t>일반관리비</t>
    <phoneticPr fontId="14" type="noConversion"/>
  </si>
  <si>
    <t>%</t>
    <phoneticPr fontId="14" type="noConversion"/>
  </si>
  <si>
    <t>(재료비 + 노무비 + 경비)*5%</t>
    <phoneticPr fontId="14" type="noConversion"/>
  </si>
  <si>
    <t>이      윤</t>
    <phoneticPr fontId="18" type="noConversion"/>
  </si>
  <si>
    <t>(재료비+노무비+경비+일반관리비)*7.5%</t>
    <phoneticPr fontId="14" type="noConversion"/>
  </si>
  <si>
    <t>공사금액</t>
    <phoneticPr fontId="18" type="noConversion"/>
  </si>
  <si>
    <t>*유첨 : 견적서 내역서 1부      ─ 끝 ─</t>
    <phoneticPr fontId="18" type="noConversion"/>
  </si>
  <si>
    <t>사택 어린이집 1층 유아 세면대 보완</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</si>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</sst>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0_ "/>
    <numFmt numFmtId="183" formatCode="#,##0;\-#,##0;"/>
    <numFmt numFmtId="184" formatCode="0.000"/>
    <numFmt numFmtId="185" formatCode="_-* #,##0.0_-;\-* #,##0.0_-;_-* &quot;-&quot;_-;_-@_-"/>
    <numFmt numFmtId="186" formatCode="#,##0_ "/>
    <numFmt numFmtId="187"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rgb="FFFF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6">
    <xf numFmtId="0" fontId="0" fillId="0" borderId="0">
      <alignment vertical="center"/>
    </xf>
    <xf numFmtId="176" fontId="13" fillId="0" borderId="0" applyFont="0" applyFill="0" applyBorder="0" applyAlignment="0" applyProtection="0">
      <alignment vertical="center"/>
    </xf>
    <xf numFmtId="9" fontId="13" fillId="0" borderId="0" applyFont="0" applyFill="0" applyBorder="0" applyAlignment="0" applyProtection="0">
      <alignment vertical="center"/>
    </xf>
    <xf numFmtId="0" fontId="15" fillId="0" borderId="0"/>
    <xf numFmtId="176" fontId="11" fillId="0" borderId="0" applyFont="0" applyFill="0" applyBorder="0" applyAlignment="0" applyProtection="0">
      <alignment vertical="center"/>
    </xf>
    <xf numFmtId="179" fontId="16" fillId="0" borderId="0" applyFont="0" applyFill="0" applyBorder="0" applyAlignment="0" applyProtection="0"/>
    <xf numFmtId="0" fontId="11" fillId="0" borderId="0">
      <alignment vertical="center"/>
    </xf>
    <xf numFmtId="9" fontId="16" fillId="0" borderId="0" applyFont="0" applyFill="0" applyBorder="0" applyAlignment="0" applyProtection="0"/>
    <xf numFmtId="0" fontId="15" fillId="0" borderId="0"/>
    <xf numFmtId="0" fontId="19" fillId="0" borderId="0"/>
    <xf numFmtId="178" fontId="19" fillId="0" borderId="0" applyFont="0" applyFill="0" applyBorder="0" applyAlignment="0" applyProtection="0"/>
    <xf numFmtId="176" fontId="19" fillId="0" borderId="0" applyFont="0" applyFill="0" applyBorder="0" applyAlignment="0" applyProtection="0">
      <alignment vertical="center"/>
    </xf>
    <xf numFmtId="0" fontId="10" fillId="0" borderId="0">
      <alignment vertical="center"/>
    </xf>
    <xf numFmtId="0" fontId="9" fillId="0" borderId="0">
      <alignment vertical="center"/>
    </xf>
    <xf numFmtId="176" fontId="9"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7"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176" fontId="4" fillId="0" borderId="0" applyFont="0" applyFill="0" applyBorder="0" applyAlignment="0" applyProtection="0">
      <alignment vertical="center"/>
    </xf>
    <xf numFmtId="0" fontId="3" fillId="0" borderId="0">
      <alignment vertical="center"/>
    </xf>
    <xf numFmtId="0" fontId="2"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176" fontId="13" fillId="0" borderId="0" applyFont="0" applyFill="0" applyBorder="0" applyAlignment="0" applyProtection="0">
      <alignment vertical="center"/>
    </xf>
    <xf numFmtId="176" fontId="19" fillId="0" borderId="0" applyFont="0" applyFill="0" applyBorder="0" applyAlignment="0" applyProtection="0">
      <alignment vertical="center"/>
    </xf>
    <xf numFmtId="179" fontId="16" fillId="0" borderId="0" applyFont="0" applyFill="0" applyBorder="0" applyAlignment="0" applyProtection="0"/>
    <xf numFmtId="176" fontId="1" fillId="0" borderId="0" applyFont="0" applyFill="0" applyBorder="0" applyAlignment="0" applyProtection="0">
      <alignment vertical="center"/>
    </xf>
  </cellStyleXfs>
  <cellXfs count="247">
    <xf numFmtId="0" fontId="0" fillId="0" borderId="0" xfId="0">
      <alignment vertical="center"/>
    </xf>
    <xf numFmtId="180" fontId="21" fillId="0" borderId="0" xfId="1" applyNumberFormat="1" applyFont="1" applyAlignment="1">
      <alignment horizontal="center" vertical="center"/>
    </xf>
    <xf numFmtId="0" fontId="20" fillId="0" borderId="0" xfId="0" applyFont="1" applyAlignment="1">
      <alignment horizontal="center" vertical="center"/>
    </xf>
    <xf numFmtId="9" fontId="23" fillId="0" borderId="0" xfId="0" applyNumberFormat="1" applyFont="1" applyAlignment="1">
      <alignment horizontal="center" vertical="center"/>
    </xf>
    <xf numFmtId="181" fontId="23" fillId="3" borderId="0" xfId="2" applyNumberFormat="1" applyFont="1" applyFill="1" applyAlignment="1">
      <alignment horizontal="center" vertical="center"/>
    </xf>
    <xf numFmtId="0" fontId="23" fillId="4" borderId="7" xfId="0" applyFont="1" applyFill="1" applyBorder="1" applyAlignment="1">
      <alignment horizontal="center" vertical="center"/>
    </xf>
    <xf numFmtId="0" fontId="23" fillId="7" borderId="2" xfId="0" applyFont="1" applyFill="1" applyBorder="1" applyAlignment="1">
      <alignment horizontal="center" vertical="center"/>
    </xf>
    <xf numFmtId="176" fontId="23" fillId="4" borderId="2" xfId="4" applyFont="1" applyFill="1" applyBorder="1" applyAlignment="1">
      <alignment horizontal="center" vertical="center"/>
    </xf>
    <xf numFmtId="179" fontId="23" fillId="4" borderId="2" xfId="5" applyFont="1" applyFill="1" applyBorder="1" applyAlignment="1">
      <alignment horizontal="center" vertical="center"/>
    </xf>
    <xf numFmtId="0" fontId="20" fillId="6" borderId="7" xfId="0" applyFont="1" applyFill="1" applyBorder="1" applyAlignment="1">
      <alignment horizontal="center" vertical="center"/>
    </xf>
    <xf numFmtId="49" fontId="20" fillId="7" borderId="2" xfId="0" applyNumberFormat="1" applyFont="1" applyFill="1" applyBorder="1" applyAlignment="1">
      <alignment horizontal="center" vertical="center" wrapText="1"/>
    </xf>
    <xf numFmtId="176" fontId="20" fillId="0" borderId="2" xfId="1" applyFont="1" applyFill="1" applyBorder="1" applyAlignment="1">
      <alignment horizontal="center" vertical="center" wrapText="1"/>
    </xf>
    <xf numFmtId="0" fontId="22" fillId="0" borderId="0" xfId="0" applyFont="1" applyAlignment="1">
      <alignment horizontal="center" vertical="center"/>
    </xf>
    <xf numFmtId="49" fontId="20" fillId="2" borderId="1" xfId="0" applyNumberFormat="1" applyFont="1" applyFill="1" applyBorder="1" applyAlignment="1">
      <alignment horizontal="center" vertical="center" wrapText="1"/>
    </xf>
    <xf numFmtId="180" fontId="20" fillId="7" borderId="1" xfId="1" applyNumberFormat="1" applyFont="1" applyFill="1" applyBorder="1" applyAlignment="1">
      <alignment horizontal="center" vertical="center"/>
    </xf>
    <xf numFmtId="180" fontId="20" fillId="0" borderId="1" xfId="1" applyNumberFormat="1" applyFont="1" applyBorder="1" applyAlignment="1">
      <alignment horizontal="center" vertical="center"/>
    </xf>
    <xf numFmtId="182" fontId="20" fillId="0" borderId="1" xfId="1" applyNumberFormat="1" applyFont="1" applyBorder="1" applyAlignment="1">
      <alignment horizontal="center" vertical="center"/>
    </xf>
    <xf numFmtId="0" fontId="20" fillId="7" borderId="2" xfId="0" applyFont="1" applyFill="1" applyBorder="1" applyAlignment="1">
      <alignment horizontal="center" vertical="center"/>
    </xf>
    <xf numFmtId="0" fontId="21" fillId="0" borderId="0" xfId="0" applyFont="1">
      <alignment vertical="center"/>
    </xf>
    <xf numFmtId="183" fontId="20" fillId="6" borderId="2" xfId="1" applyNumberFormat="1" applyFont="1" applyFill="1" applyBorder="1" applyAlignment="1">
      <alignment horizontal="right" vertical="center" wrapText="1"/>
    </xf>
    <xf numFmtId="183" fontId="20" fillId="0" borderId="2" xfId="1" applyNumberFormat="1" applyFont="1" applyFill="1" applyBorder="1" applyAlignment="1">
      <alignment horizontal="right" vertical="center" wrapText="1"/>
    </xf>
    <xf numFmtId="183" fontId="20" fillId="5" borderId="2" xfId="0" applyNumberFormat="1" applyFont="1" applyFill="1" applyBorder="1" applyAlignment="1">
      <alignment horizontal="right" vertical="center" wrapText="1"/>
    </xf>
    <xf numFmtId="184" fontId="20" fillId="0" borderId="2" xfId="1" applyNumberFormat="1" applyFont="1" applyFill="1" applyBorder="1" applyAlignment="1">
      <alignment horizontal="center" vertical="center"/>
    </xf>
    <xf numFmtId="0" fontId="20" fillId="0" borderId="0" xfId="0" applyFont="1" applyAlignment="1">
      <alignment vertical="center" wrapText="1"/>
    </xf>
    <xf numFmtId="0" fontId="23" fillId="4" borderId="2" xfId="3" applyFont="1" applyFill="1" applyBorder="1" applyAlignment="1">
      <alignment horizontal="center" vertical="center" wrapText="1"/>
    </xf>
    <xf numFmtId="49" fontId="20" fillId="0" borderId="2" xfId="0" applyNumberFormat="1" applyFont="1" applyBorder="1" applyAlignment="1">
      <alignment horizontal="center" vertical="center" wrapText="1"/>
    </xf>
    <xf numFmtId="0" fontId="22" fillId="0" borderId="0" xfId="0" applyFont="1" applyAlignment="1">
      <alignment vertical="center" wrapText="1"/>
    </xf>
    <xf numFmtId="0" fontId="23" fillId="0" borderId="0" xfId="0" applyFont="1" applyAlignment="1">
      <alignment horizontal="center" vertical="center"/>
    </xf>
    <xf numFmtId="0" fontId="20" fillId="0" borderId="0" xfId="0" applyFont="1">
      <alignment vertical="center"/>
    </xf>
    <xf numFmtId="0" fontId="23" fillId="8" borderId="9" xfId="0" applyFont="1" applyFill="1" applyBorder="1">
      <alignment vertical="center"/>
    </xf>
    <xf numFmtId="0" fontId="23" fillId="8" borderId="6" xfId="0" applyFont="1" applyFill="1" applyBorder="1">
      <alignment vertical="center"/>
    </xf>
    <xf numFmtId="0" fontId="24" fillId="0" borderId="0" xfId="0" applyFont="1">
      <alignment vertical="center"/>
    </xf>
    <xf numFmtId="0" fontId="22" fillId="9" borderId="0" xfId="0" applyFont="1" applyFill="1">
      <alignment vertical="center"/>
    </xf>
    <xf numFmtId="0" fontId="22" fillId="0" borderId="0" xfId="0" applyFont="1">
      <alignment vertical="center"/>
    </xf>
    <xf numFmtId="176" fontId="17" fillId="9" borderId="0" xfId="0" applyNumberFormat="1" applyFont="1" applyFill="1">
      <alignment vertical="center"/>
    </xf>
    <xf numFmtId="0" fontId="17" fillId="0" borderId="0" xfId="0" applyFont="1">
      <alignment vertical="center"/>
    </xf>
    <xf numFmtId="176" fontId="17" fillId="0" borderId="0" xfId="0" applyNumberFormat="1" applyFont="1">
      <alignment vertical="center"/>
    </xf>
    <xf numFmtId="0" fontId="23" fillId="5" borderId="0" xfId="0" applyFont="1" applyFill="1">
      <alignment vertical="center"/>
    </xf>
    <xf numFmtId="176" fontId="20" fillId="0" borderId="0" xfId="0" applyNumberFormat="1" applyFont="1">
      <alignment vertical="center"/>
    </xf>
    <xf numFmtId="0" fontId="20" fillId="7" borderId="3" xfId="0" applyFont="1" applyFill="1" applyBorder="1" applyAlignment="1">
      <alignment horizontal="center" vertical="center"/>
    </xf>
    <xf numFmtId="49" fontId="24" fillId="7" borderId="2" xfId="0" applyNumberFormat="1" applyFont="1" applyFill="1" applyBorder="1" applyAlignment="1">
      <alignment horizontal="center" vertical="center" wrapText="1"/>
    </xf>
    <xf numFmtId="49" fontId="20" fillId="0" borderId="5" xfId="0" applyNumberFormat="1" applyFont="1" applyBorder="1" applyAlignment="1">
      <alignment horizontal="center" vertical="center" wrapText="1"/>
    </xf>
    <xf numFmtId="49" fontId="20" fillId="5" borderId="2" xfId="0" applyNumberFormat="1" applyFont="1" applyFill="1" applyBorder="1" applyAlignment="1">
      <alignment horizontal="center" vertical="center" wrapText="1"/>
    </xf>
    <xf numFmtId="183" fontId="20" fillId="0" borderId="2" xfId="0" applyNumberFormat="1" applyFont="1" applyBorder="1" applyAlignment="1">
      <alignment horizontal="right" vertical="center"/>
    </xf>
    <xf numFmtId="185" fontId="20" fillId="5" borderId="2" xfId="1" applyNumberFormat="1" applyFont="1" applyFill="1" applyBorder="1" applyAlignment="1">
      <alignment horizontal="center" vertical="center"/>
    </xf>
    <xf numFmtId="0" fontId="24" fillId="0" borderId="8" xfId="0" applyFont="1" applyBorder="1" applyAlignment="1">
      <alignment horizontal="center" vertical="center"/>
    </xf>
    <xf numFmtId="49" fontId="25" fillId="0" borderId="2" xfId="0" applyNumberFormat="1" applyFont="1" applyBorder="1" applyAlignment="1">
      <alignment horizontal="center" vertical="center" wrapText="1"/>
    </xf>
    <xf numFmtId="0" fontId="21" fillId="0" borderId="0" xfId="27" applyFont="1">
      <alignment vertical="center"/>
    </xf>
    <xf numFmtId="0" fontId="26" fillId="0" borderId="0" xfId="27" applyFont="1">
      <alignment vertical="center"/>
    </xf>
    <xf numFmtId="0" fontId="21" fillId="0" borderId="0" xfId="27" applyFont="1" applyAlignment="1">
      <alignment horizontal="center" vertical="center"/>
    </xf>
    <xf numFmtId="49" fontId="20" fillId="2" borderId="13" xfId="0" applyNumberFormat="1" applyFont="1" applyFill="1" applyBorder="1" applyAlignment="1">
      <alignment horizontal="center" vertical="center" wrapText="1"/>
    </xf>
    <xf numFmtId="49" fontId="20" fillId="2" borderId="14" xfId="0" applyNumberFormat="1" applyFont="1" applyFill="1" applyBorder="1" applyAlignment="1">
      <alignment horizontal="center" vertical="center" wrapText="1"/>
    </xf>
    <xf numFmtId="182" fontId="20" fillId="0" borderId="0" xfId="0" applyNumberFormat="1" applyFont="1">
      <alignment vertical="center"/>
    </xf>
    <xf numFmtId="186" fontId="20" fillId="0" borderId="0" xfId="0" applyNumberFormat="1" applyFont="1">
      <alignment vertical="center"/>
    </xf>
    <xf numFmtId="0" fontId="28" fillId="0" borderId="0" xfId="29" applyFont="1">
      <alignment vertical="center"/>
    </xf>
    <xf numFmtId="0" fontId="27" fillId="0" borderId="18" xfId="28" applyFont="1" applyBorder="1" applyAlignment="1">
      <alignment horizontal="center" vertical="center"/>
    </xf>
    <xf numFmtId="0" fontId="27" fillId="0" borderId="0" xfId="28" applyFont="1" applyAlignment="1">
      <alignment horizontal="center" vertical="center"/>
    </xf>
    <xf numFmtId="0" fontId="27" fillId="0" borderId="19" xfId="28" applyFont="1" applyBorder="1" applyAlignment="1">
      <alignment horizontal="center" vertical="center"/>
    </xf>
    <xf numFmtId="0" fontId="30" fillId="0" borderId="18" xfId="28" applyFont="1" applyBorder="1" applyAlignment="1">
      <alignment horizontal="left" vertical="center"/>
    </xf>
    <xf numFmtId="0" fontId="31" fillId="0" borderId="0" xfId="28" applyFont="1" applyAlignment="1">
      <alignment vertical="center"/>
    </xf>
    <xf numFmtId="0" fontId="31" fillId="0" borderId="0" xfId="28" applyFont="1" applyAlignment="1">
      <alignment horizontal="left" vertical="center" textRotation="1"/>
    </xf>
    <xf numFmtId="0" fontId="32" fillId="0" borderId="0" xfId="28" applyFont="1" applyAlignment="1">
      <alignment horizontal="centerContinuous" vertical="center"/>
    </xf>
    <xf numFmtId="0" fontId="32" fillId="0" borderId="19" xfId="28" applyFont="1" applyBorder="1" applyAlignment="1">
      <alignment vertical="center"/>
    </xf>
    <xf numFmtId="0" fontId="33" fillId="0" borderId="18" xfId="28" applyFont="1" applyBorder="1" applyAlignment="1">
      <alignment horizontal="left" vertical="center" indent="2"/>
    </xf>
    <xf numFmtId="0" fontId="28" fillId="0" borderId="20" xfId="28" applyFont="1" applyBorder="1" applyAlignment="1">
      <alignment vertical="center"/>
    </xf>
    <xf numFmtId="0" fontId="28" fillId="0" borderId="0" xfId="28" applyFont="1" applyAlignment="1">
      <alignment vertical="center"/>
    </xf>
    <xf numFmtId="0" fontId="32" fillId="0" borderId="19" xfId="28" applyFont="1" applyBorder="1" applyAlignment="1">
      <alignment horizontal="right" vertical="center"/>
    </xf>
    <xf numFmtId="0" fontId="33" fillId="0" borderId="18" xfId="28" applyFont="1" applyBorder="1" applyAlignment="1">
      <alignment vertical="center"/>
    </xf>
    <xf numFmtId="0" fontId="33" fillId="0" borderId="0" xfId="28" applyFont="1" applyAlignment="1">
      <alignment vertical="center"/>
    </xf>
    <xf numFmtId="0" fontId="32" fillId="0" borderId="0" xfId="28" applyFont="1" applyAlignment="1">
      <alignment horizontal="right" vertical="center"/>
    </xf>
    <xf numFmtId="0" fontId="33" fillId="0" borderId="19" xfId="28" applyFont="1" applyBorder="1" applyAlignment="1">
      <alignment vertical="center"/>
    </xf>
    <xf numFmtId="0" fontId="28" fillId="0" borderId="22" xfId="28" applyFont="1" applyBorder="1" applyAlignment="1">
      <alignment horizontal="center" vertical="center"/>
    </xf>
    <xf numFmtId="0" fontId="28" fillId="0" borderId="23" xfId="28" applyFont="1" applyBorder="1" applyAlignment="1">
      <alignment horizontal="center" vertical="center"/>
    </xf>
    <xf numFmtId="0" fontId="28" fillId="0" borderId="6" xfId="28" applyFont="1" applyBorder="1" applyAlignment="1">
      <alignment horizontal="center" vertical="center"/>
    </xf>
    <xf numFmtId="0" fontId="28" fillId="0" borderId="25" xfId="28" applyFont="1" applyBorder="1" applyAlignment="1">
      <alignment horizontal="center" vertical="center"/>
    </xf>
    <xf numFmtId="0" fontId="28" fillId="0" borderId="2" xfId="28" applyFont="1" applyBorder="1" applyAlignment="1">
      <alignment horizontal="center" vertical="center"/>
    </xf>
    <xf numFmtId="0" fontId="36" fillId="0" borderId="8" xfId="28" applyFont="1" applyBorder="1" applyAlignment="1">
      <alignment horizontal="center" vertical="center"/>
    </xf>
    <xf numFmtId="0" fontId="28" fillId="0" borderId="33" xfId="28" applyFont="1" applyBorder="1" applyAlignment="1">
      <alignment horizontal="center" vertical="center"/>
    </xf>
    <xf numFmtId="0" fontId="28" fillId="0" borderId="34" xfId="28" applyFont="1" applyBorder="1" applyAlignment="1">
      <alignment horizontal="center" vertical="center"/>
    </xf>
    <xf numFmtId="0" fontId="28" fillId="0" borderId="18" xfId="28" applyFont="1" applyBorder="1" applyAlignment="1">
      <alignment horizontal="center" vertical="center"/>
    </xf>
    <xf numFmtId="0" fontId="28" fillId="0" borderId="0" xfId="28" applyFont="1" applyAlignment="1">
      <alignment horizontal="center" vertical="center"/>
    </xf>
    <xf numFmtId="0" fontId="28" fillId="0" borderId="0" xfId="28" applyFont="1" applyAlignment="1">
      <alignment horizontal="left" vertical="center" indent="1"/>
    </xf>
    <xf numFmtId="0" fontId="32" fillId="0" borderId="0" xfId="28" applyFont="1" applyAlignment="1">
      <alignment vertical="center"/>
    </xf>
    <xf numFmtId="0" fontId="28" fillId="0" borderId="18" xfId="28" applyFont="1" applyBorder="1" applyAlignment="1">
      <alignment vertical="center"/>
    </xf>
    <xf numFmtId="0" fontId="28" fillId="0" borderId="19" xfId="28" applyFont="1" applyBorder="1" applyAlignment="1">
      <alignment vertical="center"/>
    </xf>
    <xf numFmtId="0" fontId="33" fillId="0" borderId="18" xfId="28" applyFont="1" applyBorder="1" applyAlignment="1">
      <alignment horizontal="left" vertical="center" indent="1"/>
    </xf>
    <xf numFmtId="0" fontId="38" fillId="0" borderId="0" xfId="28" applyFont="1" applyAlignment="1">
      <alignment vertical="center"/>
    </xf>
    <xf numFmtId="0" fontId="38" fillId="12" borderId="35" xfId="28" applyFont="1" applyFill="1" applyBorder="1" applyAlignment="1">
      <alignment horizontal="center" vertical="center"/>
    </xf>
    <xf numFmtId="0" fontId="38" fillId="12" borderId="36" xfId="28" applyFont="1" applyFill="1" applyBorder="1" applyAlignment="1">
      <alignment horizontal="center" vertical="center"/>
    </xf>
    <xf numFmtId="3" fontId="38" fillId="12" borderId="36" xfId="28" applyNumberFormat="1" applyFont="1" applyFill="1" applyBorder="1" applyAlignment="1">
      <alignment horizontal="center" vertical="center"/>
    </xf>
    <xf numFmtId="0" fontId="28" fillId="0" borderId="40" xfId="28" applyFont="1" applyBorder="1" applyAlignment="1">
      <alignment horizontal="center" vertical="center"/>
    </xf>
    <xf numFmtId="0" fontId="28" fillId="0" borderId="44" xfId="28" applyFont="1" applyBorder="1" applyAlignment="1">
      <alignment horizontal="center" vertical="center"/>
    </xf>
    <xf numFmtId="0" fontId="28" fillId="0" borderId="50" xfId="31" applyFont="1" applyBorder="1" applyAlignment="1">
      <alignment horizontal="center" vertical="center"/>
    </xf>
    <xf numFmtId="176" fontId="28" fillId="0" borderId="0" xfId="29" applyNumberFormat="1" applyFont="1">
      <alignment vertical="center"/>
    </xf>
    <xf numFmtId="0" fontId="28" fillId="0" borderId="54" xfId="31" applyFont="1" applyBorder="1" applyAlignment="1">
      <alignment horizontal="left" vertical="center" wrapText="1" indent="1"/>
    </xf>
    <xf numFmtId="0" fontId="32" fillId="0" borderId="59" xfId="31" applyFont="1" applyBorder="1" applyAlignment="1">
      <alignment horizontal="center" vertical="center"/>
    </xf>
    <xf numFmtId="184" fontId="32" fillId="0" borderId="59" xfId="31" applyNumberFormat="1" applyFont="1" applyBorder="1" applyAlignment="1">
      <alignment horizontal="center" vertical="center"/>
    </xf>
    <xf numFmtId="177" fontId="28" fillId="0" borderId="0" xfId="29" applyNumberFormat="1" applyFont="1">
      <alignment vertical="center"/>
    </xf>
    <xf numFmtId="2" fontId="32" fillId="0" borderId="61" xfId="31" applyNumberFormat="1" applyFont="1" applyBorder="1" applyAlignment="1">
      <alignment horizontal="center" vertical="center"/>
    </xf>
    <xf numFmtId="0" fontId="32" fillId="0" borderId="64" xfId="31" applyFont="1" applyBorder="1" applyAlignment="1">
      <alignment horizontal="center" vertical="center"/>
    </xf>
    <xf numFmtId="0" fontId="28" fillId="0" borderId="66" xfId="28" applyFont="1" applyBorder="1" applyAlignment="1">
      <alignment horizontal="center" vertical="center"/>
    </xf>
    <xf numFmtId="0" fontId="28" fillId="0" borderId="67" xfId="31" applyFont="1" applyBorder="1" applyAlignment="1">
      <alignment horizontal="left" vertical="center" wrapText="1" indent="1"/>
    </xf>
    <xf numFmtId="1" fontId="32" fillId="0" borderId="68" xfId="31" applyNumberFormat="1" applyFont="1" applyBorder="1" applyAlignment="1">
      <alignment horizontal="center" vertical="center"/>
    </xf>
    <xf numFmtId="0" fontId="32" fillId="0" borderId="68" xfId="31" applyFont="1" applyBorder="1" applyAlignment="1">
      <alignment horizontal="center" vertical="center"/>
    </xf>
    <xf numFmtId="0" fontId="32" fillId="0" borderId="72" xfId="31" applyFont="1" applyBorder="1" applyAlignment="1">
      <alignment horizontal="center" vertical="center"/>
    </xf>
    <xf numFmtId="176" fontId="28" fillId="0" borderId="0" xfId="32" applyFont="1">
      <alignment vertical="center"/>
    </xf>
    <xf numFmtId="176" fontId="42" fillId="13" borderId="37" xfId="28" applyNumberFormat="1" applyFont="1" applyFill="1" applyBorder="1" applyAlignment="1">
      <alignment horizontal="right" vertical="center"/>
    </xf>
    <xf numFmtId="0" fontId="42" fillId="13" borderId="37" xfId="28" applyFont="1" applyFill="1" applyBorder="1" applyAlignment="1">
      <alignment horizontal="right" vertical="center"/>
    </xf>
    <xf numFmtId="176" fontId="42" fillId="13" borderId="74" xfId="32" applyFont="1" applyFill="1" applyBorder="1" applyAlignment="1">
      <alignment horizontal="right" vertical="center"/>
    </xf>
    <xf numFmtId="179" fontId="28" fillId="0" borderId="0" xfId="34" applyFont="1" applyAlignment="1">
      <alignment vertical="center"/>
    </xf>
    <xf numFmtId="49" fontId="32" fillId="0" borderId="18" xfId="28" applyNumberFormat="1" applyFont="1" applyBorder="1" applyAlignment="1">
      <alignment horizontal="left" vertical="center" indent="1"/>
    </xf>
    <xf numFmtId="49" fontId="28" fillId="0" borderId="0" xfId="28" applyNumberFormat="1" applyFont="1" applyAlignment="1">
      <alignment vertical="center"/>
    </xf>
    <xf numFmtId="49" fontId="28" fillId="0" borderId="19" xfId="28" applyNumberFormat="1" applyFont="1" applyBorder="1" applyAlignment="1">
      <alignment vertical="center"/>
    </xf>
    <xf numFmtId="49" fontId="28" fillId="0" borderId="18" xfId="28" applyNumberFormat="1" applyFont="1" applyBorder="1" applyAlignment="1">
      <alignment vertical="center"/>
    </xf>
    <xf numFmtId="0" fontId="33" fillId="0" borderId="0" xfId="31" applyFont="1" applyAlignment="1">
      <alignment horizontal="left" vertical="center"/>
    </xf>
    <xf numFmtId="0" fontId="33" fillId="0" borderId="19" xfId="31" applyFont="1" applyBorder="1" applyAlignment="1">
      <alignment horizontal="left" vertical="center"/>
    </xf>
    <xf numFmtId="49" fontId="28" fillId="0" borderId="76" xfId="28" applyNumberFormat="1" applyFont="1" applyBorder="1" applyAlignment="1">
      <alignment vertical="center"/>
    </xf>
    <xf numFmtId="49" fontId="28" fillId="0" borderId="77" xfId="28" applyNumberFormat="1" applyFont="1" applyBorder="1" applyAlignment="1">
      <alignment vertical="center"/>
    </xf>
    <xf numFmtId="49" fontId="28" fillId="0" borderId="78" xfId="28" applyNumberFormat="1" applyFont="1" applyBorder="1" applyAlignment="1">
      <alignment vertical="center"/>
    </xf>
    <xf numFmtId="0" fontId="33" fillId="0" borderId="20" xfId="28" applyFont="1" applyFill="1" applyBorder="1" applyAlignment="1">
      <alignment vertical="center"/>
    </xf>
    <xf numFmtId="0" fontId="28" fillId="0" borderId="20" xfId="28" applyFont="1" applyFill="1" applyBorder="1" applyAlignment="1">
      <alignment vertical="center"/>
    </xf>
    <xf numFmtId="0" fontId="28" fillId="0" borderId="21" xfId="28" applyFont="1" applyFill="1" applyBorder="1" applyAlignment="1">
      <alignment horizontal="right" vertical="center"/>
    </xf>
    <xf numFmtId="0" fontId="28" fillId="0" borderId="22" xfId="28" applyFont="1" applyFill="1" applyBorder="1" applyAlignment="1">
      <alignment horizontal="center" vertical="center"/>
    </xf>
    <xf numFmtId="0" fontId="28" fillId="0" borderId="41" xfId="31" applyFont="1" applyFill="1" applyBorder="1" applyAlignment="1">
      <alignment horizontal="center" vertical="center"/>
    </xf>
    <xf numFmtId="0" fontId="28" fillId="0" borderId="43" xfId="31" applyFont="1" applyFill="1" applyBorder="1" applyAlignment="1">
      <alignment horizontal="center" vertical="center"/>
    </xf>
    <xf numFmtId="0" fontId="28" fillId="0" borderId="48" xfId="31" applyFont="1" applyFill="1" applyBorder="1" applyAlignment="1">
      <alignment horizontal="center" vertical="center"/>
    </xf>
    <xf numFmtId="0" fontId="32" fillId="0" borderId="55" xfId="31" applyFont="1" applyFill="1" applyBorder="1" applyAlignment="1">
      <alignment horizontal="center" vertical="center"/>
    </xf>
    <xf numFmtId="0" fontId="32" fillId="0" borderId="68" xfId="31" applyFont="1" applyBorder="1" applyAlignment="1">
      <alignment horizontal="left" vertical="center" wrapText="1" indent="1"/>
    </xf>
    <xf numFmtId="0" fontId="32" fillId="0" borderId="69" xfId="31" applyFont="1" applyBorder="1" applyAlignment="1">
      <alignment horizontal="left" vertical="center" wrapText="1" indent="1"/>
    </xf>
    <xf numFmtId="0" fontId="32" fillId="0" borderId="70" xfId="31" applyFont="1" applyBorder="1" applyAlignment="1">
      <alignment horizontal="left" vertical="center" wrapText="1" indent="1"/>
    </xf>
    <xf numFmtId="176" fontId="28" fillId="0" borderId="68" xfId="32" applyFont="1" applyFill="1" applyBorder="1" applyAlignment="1">
      <alignment horizontal="right" vertical="center"/>
    </xf>
    <xf numFmtId="176" fontId="28" fillId="0" borderId="69" xfId="32" applyFont="1" applyFill="1" applyBorder="1" applyAlignment="1">
      <alignment horizontal="right" vertical="center"/>
    </xf>
    <xf numFmtId="176" fontId="28" fillId="0" borderId="70" xfId="32" applyFont="1" applyFill="1" applyBorder="1" applyAlignment="1">
      <alignment horizontal="right" vertical="center"/>
    </xf>
    <xf numFmtId="176" fontId="28" fillId="0" borderId="68" xfId="33" applyFont="1" applyFill="1" applyBorder="1" applyAlignment="1">
      <alignment horizontal="left" vertical="center"/>
    </xf>
    <xf numFmtId="176" fontId="28" fillId="0" borderId="71" xfId="33" applyFont="1" applyFill="1" applyBorder="1" applyAlignment="1">
      <alignment horizontal="left" vertical="center"/>
    </xf>
    <xf numFmtId="0" fontId="42" fillId="13" borderId="73" xfId="28" applyFont="1" applyFill="1" applyBorder="1" applyAlignment="1">
      <alignment horizontal="center" vertical="center"/>
    </xf>
    <xf numFmtId="0" fontId="42" fillId="13" borderId="37" xfId="28" applyFont="1" applyFill="1" applyBorder="1" applyAlignment="1">
      <alignment horizontal="center" vertical="center"/>
    </xf>
    <xf numFmtId="0" fontId="42" fillId="13" borderId="74" xfId="28" applyFont="1" applyFill="1" applyBorder="1" applyAlignment="1">
      <alignment horizontal="center" vertical="center"/>
    </xf>
    <xf numFmtId="9" fontId="42" fillId="13" borderId="75" xfId="2" applyFont="1" applyFill="1" applyBorder="1" applyAlignment="1">
      <alignment horizontal="center" vertical="center"/>
    </xf>
    <xf numFmtId="9" fontId="42" fillId="13" borderId="39" xfId="2" applyFont="1" applyFill="1" applyBorder="1" applyAlignment="1">
      <alignment horizontal="center" vertical="center"/>
    </xf>
    <xf numFmtId="176" fontId="28" fillId="0" borderId="50" xfId="32" applyFont="1" applyFill="1" applyBorder="1" applyAlignment="1">
      <alignment horizontal="right" vertical="center"/>
    </xf>
    <xf numFmtId="176" fontId="28" fillId="0" borderId="51" xfId="32" applyFont="1" applyFill="1" applyBorder="1" applyAlignment="1">
      <alignment horizontal="right" vertical="center"/>
    </xf>
    <xf numFmtId="176" fontId="28" fillId="0" borderId="52" xfId="32" applyFont="1" applyFill="1" applyBorder="1" applyAlignment="1">
      <alignment horizontal="right" vertical="center"/>
    </xf>
    <xf numFmtId="176" fontId="28" fillId="0" borderId="50" xfId="33" applyFont="1" applyFill="1" applyBorder="1" applyAlignment="1">
      <alignment horizontal="left" vertical="center"/>
    </xf>
    <xf numFmtId="176" fontId="28" fillId="0" borderId="53" xfId="33" applyFont="1" applyFill="1" applyBorder="1" applyAlignment="1">
      <alignment horizontal="left" vertical="center"/>
    </xf>
    <xf numFmtId="176" fontId="41" fillId="0" borderId="68" xfId="33" applyFont="1" applyBorder="1" applyAlignment="1">
      <alignment horizontal="left" vertical="center"/>
    </xf>
    <xf numFmtId="176" fontId="41" fillId="0" borderId="71" xfId="33" applyFont="1" applyBorder="1" applyAlignment="1">
      <alignment horizontal="left" vertical="center"/>
    </xf>
    <xf numFmtId="0" fontId="32" fillId="0" borderId="61" xfId="31" applyFont="1" applyBorder="1" applyAlignment="1">
      <alignment horizontal="left" vertical="center" wrapText="1" indent="1"/>
    </xf>
    <xf numFmtId="0" fontId="32" fillId="0" borderId="62" xfId="31" applyFont="1" applyBorder="1" applyAlignment="1">
      <alignment horizontal="left" vertical="center" wrapText="1" indent="1"/>
    </xf>
    <xf numFmtId="0" fontId="32" fillId="0" borderId="63" xfId="31" applyFont="1" applyBorder="1" applyAlignment="1">
      <alignment horizontal="left" vertical="center" wrapText="1" indent="1"/>
    </xf>
    <xf numFmtId="176" fontId="28" fillId="0" borderId="61" xfId="32" applyFont="1" applyFill="1" applyBorder="1" applyAlignment="1">
      <alignment horizontal="right" vertical="center"/>
    </xf>
    <xf numFmtId="176" fontId="28" fillId="0" borderId="62" xfId="32" applyFont="1" applyFill="1" applyBorder="1" applyAlignment="1">
      <alignment horizontal="right" vertical="center"/>
    </xf>
    <xf numFmtId="176" fontId="28" fillId="0" borderId="63" xfId="32" applyFont="1" applyFill="1" applyBorder="1" applyAlignment="1">
      <alignment horizontal="right" vertical="center"/>
    </xf>
    <xf numFmtId="176" fontId="28" fillId="0" borderId="59" xfId="33" applyFont="1" applyFill="1" applyBorder="1" applyAlignment="1">
      <alignment horizontal="left" vertical="center"/>
    </xf>
    <xf numFmtId="176" fontId="28" fillId="0" borderId="27" xfId="33" applyFont="1" applyFill="1" applyBorder="1" applyAlignment="1">
      <alignment horizontal="left" vertical="center"/>
    </xf>
    <xf numFmtId="176" fontId="28" fillId="0" borderId="61" xfId="33" applyFont="1" applyFill="1" applyBorder="1" applyAlignment="1">
      <alignment horizontal="left" vertical="center"/>
    </xf>
    <xf numFmtId="176" fontId="28" fillId="0" borderId="65" xfId="33" applyFont="1" applyFill="1" applyBorder="1" applyAlignment="1">
      <alignment horizontal="left" vertical="center"/>
    </xf>
    <xf numFmtId="0" fontId="32" fillId="0" borderId="59" xfId="31" applyFont="1" applyBorder="1" applyAlignment="1">
      <alignment horizontal="left" vertical="center" wrapText="1" indent="1"/>
    </xf>
    <xf numFmtId="0" fontId="32" fillId="0" borderId="4" xfId="31" applyFont="1" applyBorder="1" applyAlignment="1">
      <alignment horizontal="left" vertical="center" wrapText="1" indent="1"/>
    </xf>
    <xf numFmtId="0" fontId="32" fillId="0" borderId="60" xfId="31" applyFont="1" applyBorder="1" applyAlignment="1">
      <alignment horizontal="left" vertical="center" wrapText="1" indent="1"/>
    </xf>
    <xf numFmtId="176" fontId="28" fillId="0" borderId="59" xfId="32" applyFont="1" applyFill="1" applyBorder="1" applyAlignment="1">
      <alignment horizontal="right" vertical="center"/>
    </xf>
    <xf numFmtId="176" fontId="28" fillId="0" borderId="4" xfId="32" applyFont="1" applyFill="1" applyBorder="1" applyAlignment="1">
      <alignment horizontal="right" vertical="center"/>
    </xf>
    <xf numFmtId="176" fontId="28" fillId="0" borderId="60" xfId="32" applyFont="1" applyFill="1" applyBorder="1" applyAlignment="1">
      <alignment horizontal="right" vertical="center"/>
    </xf>
    <xf numFmtId="0" fontId="32" fillId="0" borderId="55" xfId="31" applyFont="1" applyFill="1" applyBorder="1" applyAlignment="1">
      <alignment horizontal="left" vertical="center" wrapText="1" indent="1"/>
    </xf>
    <xf numFmtId="0" fontId="32" fillId="0" borderId="56" xfId="31" applyFont="1" applyFill="1" applyBorder="1" applyAlignment="1">
      <alignment horizontal="left" vertical="center" wrapText="1" indent="1"/>
    </xf>
    <xf numFmtId="0" fontId="32" fillId="0" borderId="57" xfId="31" applyFont="1" applyFill="1" applyBorder="1" applyAlignment="1">
      <alignment horizontal="left" vertical="center" wrapText="1" indent="1"/>
    </xf>
    <xf numFmtId="176" fontId="28" fillId="0" borderId="55" xfId="32" applyFont="1" applyFill="1" applyBorder="1" applyAlignment="1">
      <alignment horizontal="right" vertical="center"/>
    </xf>
    <xf numFmtId="176" fontId="28" fillId="0" borderId="56" xfId="32" applyFont="1" applyFill="1" applyBorder="1" applyAlignment="1">
      <alignment horizontal="right" vertical="center"/>
    </xf>
    <xf numFmtId="176" fontId="28" fillId="0" borderId="57" xfId="32" applyFont="1" applyFill="1" applyBorder="1" applyAlignment="1">
      <alignment horizontal="right" vertical="center"/>
    </xf>
    <xf numFmtId="176" fontId="28" fillId="0" borderId="55" xfId="33" applyFont="1" applyBorder="1" applyAlignment="1">
      <alignment horizontal="left" vertical="center"/>
    </xf>
    <xf numFmtId="176" fontId="28" fillId="0" borderId="58" xfId="33" applyFont="1" applyBorder="1" applyAlignment="1">
      <alignment horizontal="left" vertical="center"/>
    </xf>
    <xf numFmtId="0" fontId="28" fillId="0" borderId="45" xfId="31" applyFont="1" applyFill="1" applyBorder="1" applyAlignment="1">
      <alignment horizontal="center" vertical="center" wrapText="1"/>
    </xf>
    <xf numFmtId="0" fontId="28" fillId="0" borderId="46" xfId="31" applyFont="1" applyFill="1" applyBorder="1" applyAlignment="1">
      <alignment horizontal="center" vertical="center" wrapText="1"/>
    </xf>
    <xf numFmtId="0" fontId="28" fillId="0" borderId="47" xfId="31" applyFont="1" applyFill="1" applyBorder="1" applyAlignment="1">
      <alignment horizontal="center" vertical="center" wrapText="1"/>
    </xf>
    <xf numFmtId="176" fontId="28" fillId="0" borderId="45" xfId="32" applyFont="1" applyFill="1" applyBorder="1" applyAlignment="1">
      <alignment horizontal="right" vertical="center"/>
    </xf>
    <xf numFmtId="176" fontId="28" fillId="0" borderId="46" xfId="32" applyFont="1" applyFill="1" applyBorder="1" applyAlignment="1">
      <alignment horizontal="right" vertical="center"/>
    </xf>
    <xf numFmtId="176" fontId="28" fillId="0" borderId="47" xfId="32" applyFont="1" applyFill="1" applyBorder="1" applyAlignment="1">
      <alignment horizontal="right" vertical="center"/>
    </xf>
    <xf numFmtId="176" fontId="28" fillId="0" borderId="45" xfId="33" applyFont="1" applyBorder="1" applyAlignment="1">
      <alignment horizontal="left" vertical="center"/>
    </xf>
    <xf numFmtId="176" fontId="28" fillId="0" borderId="49" xfId="33" applyFont="1" applyBorder="1" applyAlignment="1">
      <alignment horizontal="left" vertical="center"/>
    </xf>
    <xf numFmtId="0" fontId="28" fillId="0" borderId="45" xfId="31" applyFont="1" applyBorder="1" applyAlignment="1">
      <alignment horizontal="center" vertical="center" wrapText="1"/>
    </xf>
    <xf numFmtId="0" fontId="28" fillId="0" borderId="46" xfId="31" applyFont="1" applyBorder="1" applyAlignment="1">
      <alignment horizontal="center" vertical="center" wrapText="1"/>
    </xf>
    <xf numFmtId="0" fontId="28" fillId="0" borderId="47" xfId="31" applyFont="1" applyBorder="1" applyAlignment="1">
      <alignment horizontal="center" vertical="center" wrapText="1"/>
    </xf>
    <xf numFmtId="176" fontId="28" fillId="0" borderId="50" xfId="32" applyFont="1" applyBorder="1" applyAlignment="1">
      <alignment horizontal="center" vertical="center"/>
    </xf>
    <xf numFmtId="176" fontId="28" fillId="0" borderId="51" xfId="32" applyFont="1" applyBorder="1" applyAlignment="1">
      <alignment horizontal="center" vertical="center"/>
    </xf>
    <xf numFmtId="176" fontId="28" fillId="0" borderId="52" xfId="32" applyFont="1" applyBorder="1" applyAlignment="1">
      <alignment horizontal="center" vertical="center"/>
    </xf>
    <xf numFmtId="176" fontId="28" fillId="0" borderId="50" xfId="33" applyFont="1" applyBorder="1" applyAlignment="1">
      <alignment horizontal="left" vertical="center"/>
    </xf>
    <xf numFmtId="176" fontId="28" fillId="0" borderId="53" xfId="33" applyFont="1" applyBorder="1" applyAlignment="1">
      <alignment horizontal="left" vertical="center"/>
    </xf>
    <xf numFmtId="0" fontId="39" fillId="11" borderId="0" xfId="30" applyFont="1" applyFill="1" applyAlignment="1">
      <alignment horizontal="left" vertical="center"/>
    </xf>
    <xf numFmtId="0" fontId="39" fillId="11" borderId="19" xfId="30" applyFont="1" applyFill="1" applyBorder="1" applyAlignment="1">
      <alignment horizontal="left" vertical="center"/>
    </xf>
    <xf numFmtId="0" fontId="28" fillId="0" borderId="0" xfId="28" applyFont="1" applyAlignment="1">
      <alignment horizontal="right" vertical="center"/>
    </xf>
    <xf numFmtId="0" fontId="28" fillId="0" borderId="19" xfId="28" applyFont="1" applyBorder="1" applyAlignment="1">
      <alignment horizontal="right" vertical="center"/>
    </xf>
    <xf numFmtId="0" fontId="28" fillId="0" borderId="41" xfId="31" applyFont="1" applyFill="1" applyBorder="1" applyAlignment="1">
      <alignment horizontal="center" vertical="center" wrapText="1"/>
    </xf>
    <xf numFmtId="0" fontId="28" fillId="0" borderId="22" xfId="31" applyFont="1" applyFill="1" applyBorder="1" applyAlignment="1">
      <alignment horizontal="center" vertical="center" wrapText="1"/>
    </xf>
    <xf numFmtId="0" fontId="28" fillId="0" borderId="42" xfId="31" applyFont="1" applyFill="1" applyBorder="1" applyAlignment="1">
      <alignment horizontal="center" vertical="center" wrapText="1"/>
    </xf>
    <xf numFmtId="176" fontId="28" fillId="0" borderId="43" xfId="32" applyFont="1" applyFill="1" applyBorder="1" applyAlignment="1">
      <alignment horizontal="right" vertical="center"/>
    </xf>
    <xf numFmtId="176" fontId="28" fillId="0" borderId="41" xfId="31" applyNumberFormat="1" applyFont="1" applyBorder="1" applyAlignment="1">
      <alignment horizontal="left" vertical="center"/>
    </xf>
    <xf numFmtId="176" fontId="28" fillId="0" borderId="23" xfId="31" applyNumberFormat="1" applyFont="1" applyBorder="1" applyAlignment="1">
      <alignment horizontal="left" vertical="center"/>
    </xf>
    <xf numFmtId="0" fontId="38" fillId="12" borderId="36" xfId="28" applyFont="1" applyFill="1" applyBorder="1" applyAlignment="1">
      <alignment horizontal="center" vertical="center"/>
    </xf>
    <xf numFmtId="0" fontId="38" fillId="12" borderId="37" xfId="28" applyFont="1" applyFill="1" applyBorder="1" applyAlignment="1">
      <alignment horizontal="center" vertical="center"/>
    </xf>
    <xf numFmtId="0" fontId="38" fillId="12" borderId="38" xfId="28" applyFont="1" applyFill="1" applyBorder="1" applyAlignment="1">
      <alignment horizontal="center" vertical="center"/>
    </xf>
    <xf numFmtId="3" fontId="38" fillId="12" borderId="36" xfId="28" applyNumberFormat="1" applyFont="1" applyFill="1" applyBorder="1" applyAlignment="1">
      <alignment horizontal="center" vertical="center"/>
    </xf>
    <xf numFmtId="3" fontId="38" fillId="12" borderId="37" xfId="28" applyNumberFormat="1" applyFont="1" applyFill="1" applyBorder="1" applyAlignment="1">
      <alignment horizontal="center" vertical="center"/>
    </xf>
    <xf numFmtId="3" fontId="38" fillId="12" borderId="38" xfId="28" applyNumberFormat="1" applyFont="1" applyFill="1" applyBorder="1" applyAlignment="1">
      <alignment horizontal="center" vertical="center"/>
    </xf>
    <xf numFmtId="0" fontId="38" fillId="12" borderId="39" xfId="28" applyFont="1" applyFill="1" applyBorder="1" applyAlignment="1">
      <alignment horizontal="center" vertical="center"/>
    </xf>
    <xf numFmtId="187" fontId="37" fillId="11" borderId="0" xfId="28" applyNumberFormat="1" applyFont="1" applyFill="1" applyAlignment="1">
      <alignment horizontal="left" vertical="center"/>
    </xf>
    <xf numFmtId="0" fontId="27" fillId="0" borderId="15" xfId="28" applyFont="1" applyBorder="1" applyAlignment="1">
      <alignment horizontal="center" vertical="center"/>
    </xf>
    <xf numFmtId="0" fontId="27" fillId="0" borderId="16" xfId="28" applyFont="1" applyBorder="1" applyAlignment="1">
      <alignment horizontal="center" vertical="center"/>
    </xf>
    <xf numFmtId="0" fontId="27" fillId="0" borderId="17" xfId="28" applyFont="1" applyBorder="1" applyAlignment="1">
      <alignment horizontal="center" vertical="center"/>
    </xf>
    <xf numFmtId="0" fontId="29" fillId="0" borderId="18" xfId="28" applyFont="1" applyBorder="1" applyAlignment="1" applyProtection="1">
      <alignment horizontal="center" vertical="center"/>
      <protection locked="0"/>
    </xf>
    <xf numFmtId="0" fontId="29" fillId="0" borderId="0" xfId="28" applyFont="1" applyAlignment="1" applyProtection="1">
      <alignment horizontal="center" vertical="center"/>
      <protection locked="0"/>
    </xf>
    <xf numFmtId="0" fontId="29" fillId="0" borderId="19" xfId="28" applyFont="1" applyBorder="1" applyAlignment="1" applyProtection="1">
      <alignment horizontal="center" vertical="center"/>
      <protection locked="0"/>
    </xf>
    <xf numFmtId="0" fontId="28" fillId="10" borderId="21" xfId="28" applyFont="1" applyFill="1" applyBorder="1" applyAlignment="1">
      <alignment horizontal="center" vertical="center"/>
    </xf>
    <xf numFmtId="0" fontId="28" fillId="10" borderId="22" xfId="28" applyFont="1" applyFill="1" applyBorder="1" applyAlignment="1">
      <alignment horizontal="center" vertical="center"/>
    </xf>
    <xf numFmtId="0" fontId="28" fillId="10" borderId="23" xfId="28" applyFont="1" applyFill="1" applyBorder="1" applyAlignment="1">
      <alignment horizontal="center" vertical="center"/>
    </xf>
    <xf numFmtId="0" fontId="28" fillId="0" borderId="24" xfId="28" applyFont="1" applyBorder="1" applyAlignment="1">
      <alignment horizontal="center" vertical="center" wrapText="1"/>
    </xf>
    <xf numFmtId="0" fontId="28" fillId="0" borderId="28" xfId="28" applyFont="1" applyBorder="1" applyAlignment="1">
      <alignment horizontal="center" vertical="center"/>
    </xf>
    <xf numFmtId="0" fontId="28" fillId="0" borderId="32" xfId="28" applyFont="1" applyBorder="1" applyAlignment="1">
      <alignment horizontal="center" vertical="center"/>
    </xf>
    <xf numFmtId="0" fontId="28" fillId="0" borderId="26" xfId="28" applyFont="1" applyBorder="1" applyAlignment="1">
      <alignment horizontal="center" vertical="center"/>
    </xf>
    <xf numFmtId="0" fontId="28" fillId="0" borderId="4" xfId="28" applyFont="1" applyBorder="1" applyAlignment="1">
      <alignment horizontal="center" vertical="center"/>
    </xf>
    <xf numFmtId="0" fontId="28" fillId="0" borderId="27" xfId="28" applyFont="1" applyBorder="1" applyAlignment="1">
      <alignment horizontal="center" vertical="center"/>
    </xf>
    <xf numFmtId="0" fontId="35" fillId="0" borderId="26" xfId="28" applyFont="1" applyBorder="1" applyAlignment="1">
      <alignment horizontal="center" vertical="center"/>
    </xf>
    <xf numFmtId="0" fontId="33" fillId="0" borderId="4" xfId="28" applyFont="1" applyBorder="1" applyAlignment="1">
      <alignment horizontal="center" vertical="center"/>
    </xf>
    <xf numFmtId="0" fontId="33" fillId="0" borderId="5" xfId="28" applyFont="1" applyBorder="1" applyAlignment="1">
      <alignment horizontal="center" vertical="center"/>
    </xf>
    <xf numFmtId="0" fontId="35" fillId="0" borderId="3" xfId="28" applyFont="1" applyBorder="1" applyAlignment="1">
      <alignment horizontal="center" vertical="center"/>
    </xf>
    <xf numFmtId="0" fontId="33" fillId="0" borderId="27" xfId="28" applyFont="1" applyBorder="1" applyAlignment="1">
      <alignment horizontal="center" vertical="center"/>
    </xf>
    <xf numFmtId="0" fontId="28" fillId="0" borderId="26" xfId="28" applyFont="1" applyBorder="1" applyAlignment="1">
      <alignment horizontal="left" vertical="center" indent="1"/>
    </xf>
    <xf numFmtId="0" fontId="28" fillId="0" borderId="4" xfId="28" applyFont="1" applyBorder="1" applyAlignment="1">
      <alignment horizontal="left" vertical="center" indent="1"/>
    </xf>
    <xf numFmtId="0" fontId="28" fillId="0" borderId="27" xfId="28" applyFont="1" applyBorder="1" applyAlignment="1">
      <alignment horizontal="left" vertical="center" indent="1"/>
    </xf>
    <xf numFmtId="0" fontId="28" fillId="0" borderId="3" xfId="28" applyFont="1" applyBorder="1" applyAlignment="1">
      <alignment horizontal="center" vertical="center"/>
    </xf>
    <xf numFmtId="0" fontId="28" fillId="0" borderId="29" xfId="28" applyFont="1" applyBorder="1" applyAlignment="1">
      <alignment horizontal="center" vertical="center"/>
    </xf>
    <xf numFmtId="0" fontId="28" fillId="0" borderId="30" xfId="28" applyFont="1" applyBorder="1" applyAlignment="1">
      <alignment horizontal="center" vertical="center"/>
    </xf>
    <xf numFmtId="0" fontId="28" fillId="0" borderId="31" xfId="28" applyFont="1" applyBorder="1" applyAlignment="1">
      <alignment horizontal="center" vertical="center"/>
    </xf>
    <xf numFmtId="0" fontId="28" fillId="0" borderId="29" xfId="28" applyFont="1" applyBorder="1" applyAlignment="1">
      <alignment horizontal="left" vertical="center" indent="1"/>
    </xf>
    <xf numFmtId="0" fontId="28" fillId="0" borderId="30" xfId="28" applyFont="1" applyBorder="1" applyAlignment="1">
      <alignment horizontal="left" vertical="center" indent="1"/>
    </xf>
    <xf numFmtId="0" fontId="28" fillId="0" borderId="31" xfId="28" applyFont="1" applyBorder="1" applyAlignment="1">
      <alignment horizontal="left" vertical="center" indent="1"/>
    </xf>
    <xf numFmtId="0" fontId="23" fillId="0" borderId="0" xfId="0" applyFont="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3" fillId="0" borderId="10" xfId="0" applyFont="1" applyBorder="1" applyAlignment="1">
      <alignment horizontal="center" vertical="center"/>
    </xf>
    <xf numFmtId="0" fontId="23" fillId="8" borderId="3" xfId="0" applyFont="1" applyFill="1" applyBorder="1" applyAlignment="1">
      <alignment horizontal="center" vertical="center"/>
    </xf>
    <xf numFmtId="176" fontId="23" fillId="4" borderId="6" xfId="4" applyFont="1" applyFill="1" applyBorder="1" applyAlignment="1">
      <alignment horizontal="center" vertical="center"/>
    </xf>
    <xf numFmtId="179" fontId="23" fillId="4" borderId="6" xfId="5" applyFont="1" applyFill="1" applyBorder="1" applyAlignment="1">
      <alignment horizontal="center" vertical="center"/>
    </xf>
    <xf numFmtId="0" fontId="23" fillId="4" borderId="6" xfId="0" applyFont="1" applyFill="1" applyBorder="1" applyAlignment="1">
      <alignment horizontal="center" vertical="center"/>
    </xf>
    <xf numFmtId="0" fontId="23" fillId="4" borderId="2" xfId="0" applyFont="1" applyFill="1" applyBorder="1" applyAlignment="1">
      <alignment horizontal="center" vertical="center"/>
    </xf>
    <xf numFmtId="0" fontId="23" fillId="4" borderId="6" xfId="3" applyFont="1" applyFill="1" applyBorder="1" applyAlignment="1">
      <alignment horizontal="center" vertical="center"/>
    </xf>
    <xf numFmtId="0" fontId="23" fillId="4" borderId="2" xfId="3" applyFont="1" applyFill="1" applyBorder="1" applyAlignment="1">
      <alignment horizontal="center" vertical="center"/>
    </xf>
    <xf numFmtId="0" fontId="23" fillId="4" borderId="6" xfId="3" applyFont="1" applyFill="1" applyBorder="1" applyAlignment="1">
      <alignment horizontal="center" vertical="center" wrapText="1"/>
    </xf>
  </cellXfs>
  <cellStyles count="3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3" xr:uid="{0D6124C9-0ADB-43F9-8F3E-33C7121F111C}"/>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5" xr:uid="{322645BB-B702-46C6-AF15-BC531315B565}"/>
    <cellStyle name="쉼표 [0] 3" xfId="14" xr:uid="{8F7BE219-40E1-4BBB-A9BD-02188B74B2A3}"/>
    <cellStyle name="쉼표 [0] 4" xfId="32" xr:uid="{AFE61384-0FF5-4DE3-8646-107BD92794CA}"/>
    <cellStyle name="쉼표 [0] 5" xfId="34" xr:uid="{27386820-1832-4077-B311-B3A4D08DF71D}"/>
    <cellStyle name="통화 [0] 2 2" xfId="10" xr:uid="{00000000-0005-0000-0000-000007000000}"/>
    <cellStyle name="표준" xfId="0" builtinId="0"/>
    <cellStyle name="표준 10 10 2" xfId="3" xr:uid="{00000000-0005-0000-0000-000009000000}"/>
    <cellStyle name="표준 10 2" xfId="29" xr:uid="{D2A9C606-D60A-427E-BF93-1B4C4FD3ED6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5 2 2" xfId="27" xr:uid="{1CBF662F-7D83-4142-A0B8-4F1F0EAD979D}"/>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30" xr:uid="{94C3A716-65F2-42BD-A013-F03DB9A83B67}"/>
    <cellStyle name="표준_P456 공장 및 복지동 전면 유리창 청소건 라상혁님_1129(최종)" xfId="31" xr:uid="{A2E5B4EE-8D1D-4690-AD08-254F0F9C1343}"/>
    <cellStyle name="표준_S&amp;D_MAIN VALVE_최빈_2" xfId="28" xr:uid="{EEFF77B6-C3B7-4E60-BE8D-C64875E82D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E3B6F2C-D3D3-486E-908D-C5E3A31356F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4</xdr:col>
      <xdr:colOff>51289</xdr:colOff>
      <xdr:row>35</xdr:row>
      <xdr:rowOff>163286</xdr:rowOff>
    </xdr:to>
    <xdr:sp macro="" textlink="">
      <xdr:nvSpPr>
        <xdr:cNvPr id="2" name="직사각형 1">
          <a:extLst>
            <a:ext uri="{FF2B5EF4-FFF2-40B4-BE49-F238E27FC236}">
              <a16:creationId xmlns:a16="http://schemas.microsoft.com/office/drawing/2014/main" id="{476121E1-469C-4983-8E1B-CD6418EC0CB8}"/>
            </a:ext>
          </a:extLst>
        </xdr:cNvPr>
        <xdr:cNvSpPr/>
      </xdr:nvSpPr>
      <xdr:spPr>
        <a:xfrm>
          <a:off x="1" y="650422"/>
          <a:ext cx="4232763" cy="55136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90C3-4242-45CD-A7F3-645AC8E427AD}">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x14ac:dyDescent="0.3">
      <c r="A1" s="205"/>
      <c r="B1" s="206"/>
      <c r="C1" s="206"/>
      <c r="D1" s="206"/>
      <c r="E1" s="206"/>
      <c r="F1" s="206"/>
      <c r="G1" s="206"/>
      <c r="H1" s="206"/>
      <c r="I1" s="206"/>
      <c r="J1" s="206"/>
      <c r="K1" s="206"/>
      <c r="L1" s="206"/>
      <c r="M1" s="206"/>
      <c r="N1" s="206"/>
      <c r="O1" s="207"/>
    </row>
    <row r="2" spans="1:15" ht="9.75" customHeight="1" x14ac:dyDescent="0.3">
      <c r="A2" s="55"/>
      <c r="B2" s="56"/>
      <c r="C2" s="56"/>
      <c r="D2" s="56"/>
      <c r="E2" s="56"/>
      <c r="F2" s="56"/>
      <c r="G2" s="56"/>
      <c r="H2" s="56"/>
      <c r="I2" s="56"/>
      <c r="J2" s="56"/>
      <c r="K2" s="56"/>
      <c r="L2" s="56"/>
      <c r="M2" s="56"/>
      <c r="N2" s="56"/>
      <c r="O2" s="57"/>
    </row>
    <row r="3" spans="1:15" ht="45" x14ac:dyDescent="0.3">
      <c r="A3" s="208" t="s">
        <v>54</v>
      </c>
      <c r="B3" s="209"/>
      <c r="C3" s="209"/>
      <c r="D3" s="209"/>
      <c r="E3" s="209"/>
      <c r="F3" s="209"/>
      <c r="G3" s="209"/>
      <c r="H3" s="209"/>
      <c r="I3" s="209"/>
      <c r="J3" s="209"/>
      <c r="K3" s="209"/>
      <c r="L3" s="209"/>
      <c r="M3" s="209"/>
      <c r="N3" s="209"/>
      <c r="O3" s="210"/>
    </row>
    <row r="4" spans="1:15" ht="16.5" customHeight="1" x14ac:dyDescent="0.3">
      <c r="A4" s="58" t="s">
        <v>55</v>
      </c>
      <c r="B4" s="59"/>
      <c r="C4" s="59"/>
      <c r="D4" s="59"/>
      <c r="E4" s="59"/>
      <c r="F4" s="59"/>
      <c r="G4" s="59"/>
      <c r="H4" s="59"/>
      <c r="I4" s="60"/>
      <c r="J4" s="60"/>
      <c r="K4" s="61"/>
      <c r="L4" s="61"/>
      <c r="M4" s="61"/>
      <c r="N4" s="61"/>
      <c r="O4" s="62"/>
    </row>
    <row r="5" spans="1:15" ht="21" customHeight="1" x14ac:dyDescent="0.3">
      <c r="A5" s="63"/>
      <c r="B5" s="119" t="s">
        <v>119</v>
      </c>
      <c r="C5" s="119"/>
      <c r="D5" s="119"/>
      <c r="E5" s="119"/>
      <c r="F5" s="119"/>
      <c r="G5" s="120"/>
      <c r="H5" s="120"/>
      <c r="I5" s="64"/>
      <c r="J5" s="64"/>
      <c r="K5" s="64"/>
      <c r="L5" s="64"/>
      <c r="M5" s="65"/>
      <c r="N5" s="65"/>
      <c r="O5" s="66"/>
    </row>
    <row r="6" spans="1:15" ht="12" customHeight="1" thickBot="1" x14ac:dyDescent="0.35">
      <c r="A6" s="67"/>
      <c r="B6" s="68"/>
      <c r="C6" s="68"/>
      <c r="D6" s="68"/>
      <c r="E6" s="68"/>
      <c r="F6" s="68"/>
      <c r="G6" s="68"/>
      <c r="H6" s="68"/>
      <c r="I6" s="68"/>
      <c r="J6" s="68"/>
      <c r="K6" s="69"/>
      <c r="L6" s="69"/>
      <c r="M6" s="69"/>
      <c r="N6" s="69"/>
      <c r="O6" s="70"/>
    </row>
    <row r="7" spans="1:15" ht="23.25" customHeight="1" x14ac:dyDescent="0.3">
      <c r="A7" s="211" t="s">
        <v>56</v>
      </c>
      <c r="B7" s="212"/>
      <c r="C7" s="213"/>
      <c r="D7" s="121">
        <v>2026</v>
      </c>
      <c r="E7" s="71" t="s">
        <v>57</v>
      </c>
      <c r="F7" s="122">
        <v>3</v>
      </c>
      <c r="G7" s="71" t="s">
        <v>58</v>
      </c>
      <c r="H7" s="122">
        <v>3</v>
      </c>
      <c r="I7" s="71" t="s">
        <v>59</v>
      </c>
      <c r="J7" s="72"/>
      <c r="K7" s="214" t="s">
        <v>60</v>
      </c>
      <c r="L7" s="73" t="s">
        <v>61</v>
      </c>
      <c r="M7" s="73" t="s">
        <v>62</v>
      </c>
      <c r="N7" s="73" t="s">
        <v>63</v>
      </c>
      <c r="O7" s="74" t="s">
        <v>64</v>
      </c>
    </row>
    <row r="8" spans="1:15" ht="23.25" customHeight="1" x14ac:dyDescent="0.3">
      <c r="A8" s="217" t="s">
        <v>65</v>
      </c>
      <c r="B8" s="218"/>
      <c r="C8" s="219"/>
      <c r="D8" s="220" t="s">
        <v>66</v>
      </c>
      <c r="E8" s="221"/>
      <c r="F8" s="221"/>
      <c r="G8" s="222"/>
      <c r="H8" s="223" t="s">
        <v>67</v>
      </c>
      <c r="I8" s="221"/>
      <c r="J8" s="224"/>
      <c r="K8" s="215"/>
      <c r="L8" s="75" t="s">
        <v>68</v>
      </c>
      <c r="M8" s="75" t="s">
        <v>69</v>
      </c>
      <c r="N8" s="75" t="s">
        <v>70</v>
      </c>
      <c r="O8" s="76" t="s">
        <v>71</v>
      </c>
    </row>
    <row r="9" spans="1:15" ht="23.25" customHeight="1" x14ac:dyDescent="0.3">
      <c r="A9" s="217" t="s">
        <v>72</v>
      </c>
      <c r="B9" s="218"/>
      <c r="C9" s="219"/>
      <c r="D9" s="225" t="s">
        <v>73</v>
      </c>
      <c r="E9" s="226"/>
      <c r="F9" s="226"/>
      <c r="G9" s="226"/>
      <c r="H9" s="226"/>
      <c r="I9" s="226"/>
      <c r="J9" s="227"/>
      <c r="K9" s="215"/>
      <c r="L9" s="75" t="s">
        <v>74</v>
      </c>
      <c r="M9" s="228" t="s">
        <v>75</v>
      </c>
      <c r="N9" s="218"/>
      <c r="O9" s="219"/>
    </row>
    <row r="10" spans="1:15" ht="23.25" customHeight="1" thickBot="1" x14ac:dyDescent="0.35">
      <c r="A10" s="229" t="s">
        <v>76</v>
      </c>
      <c r="B10" s="230"/>
      <c r="C10" s="231"/>
      <c r="D10" s="232" t="s">
        <v>77</v>
      </c>
      <c r="E10" s="233"/>
      <c r="F10" s="233"/>
      <c r="G10" s="233"/>
      <c r="H10" s="233"/>
      <c r="I10" s="233"/>
      <c r="J10" s="234"/>
      <c r="K10" s="216"/>
      <c r="L10" s="77" t="s">
        <v>78</v>
      </c>
      <c r="M10" s="77" t="s">
        <v>79</v>
      </c>
      <c r="N10" s="77" t="s">
        <v>80</v>
      </c>
      <c r="O10" s="78" t="s">
        <v>81</v>
      </c>
    </row>
    <row r="11" spans="1:15" ht="21.75" customHeight="1" x14ac:dyDescent="0.3">
      <c r="A11" s="79"/>
      <c r="B11" s="80"/>
      <c r="C11" s="80"/>
      <c r="D11" s="81"/>
      <c r="E11" s="81"/>
      <c r="F11" s="81"/>
      <c r="G11" s="81"/>
      <c r="H11" s="81"/>
      <c r="I11" s="81"/>
      <c r="J11" s="81"/>
      <c r="K11" s="82"/>
      <c r="L11" s="82"/>
      <c r="M11" s="82"/>
      <c r="N11" s="82"/>
      <c r="O11" s="62"/>
    </row>
    <row r="12" spans="1:15" ht="21.75" customHeight="1" x14ac:dyDescent="0.3">
      <c r="A12" s="83"/>
      <c r="B12" s="65"/>
      <c r="C12" s="65"/>
      <c r="D12" s="65"/>
      <c r="E12" s="65"/>
      <c r="F12" s="65"/>
      <c r="G12" s="65"/>
      <c r="H12" s="65"/>
      <c r="I12" s="82"/>
      <c r="J12" s="82"/>
      <c r="K12" s="82"/>
      <c r="L12" s="82"/>
      <c r="M12" s="82"/>
      <c r="N12" s="82"/>
      <c r="O12" s="84"/>
    </row>
    <row r="13" spans="1:15" ht="24" customHeight="1" x14ac:dyDescent="0.3">
      <c r="A13" s="85"/>
      <c r="B13" s="204" t="s">
        <v>118</v>
      </c>
      <c r="C13" s="204"/>
      <c r="D13" s="204"/>
      <c r="E13" s="204"/>
      <c r="F13" s="204"/>
      <c r="G13" s="204"/>
      <c r="H13" s="204"/>
      <c r="I13" s="204"/>
      <c r="J13" s="204"/>
      <c r="K13" s="204"/>
      <c r="L13" s="204"/>
      <c r="M13" s="204"/>
      <c r="N13" s="86" t="s">
        <v>82</v>
      </c>
      <c r="O13" s="84"/>
    </row>
    <row r="14" spans="1:15" ht="9" customHeight="1" x14ac:dyDescent="0.3">
      <c r="A14" s="85"/>
      <c r="B14" s="65"/>
      <c r="C14" s="65"/>
      <c r="D14" s="65"/>
      <c r="E14" s="65"/>
      <c r="F14" s="65"/>
      <c r="G14" s="65"/>
      <c r="H14" s="65"/>
      <c r="I14" s="82"/>
      <c r="J14" s="82"/>
      <c r="K14" s="82"/>
      <c r="L14" s="82"/>
      <c r="M14" s="82"/>
      <c r="N14" s="82"/>
      <c r="O14" s="84"/>
    </row>
    <row r="15" spans="1:15" ht="25.5" customHeight="1" x14ac:dyDescent="0.3">
      <c r="A15" s="85"/>
      <c r="B15" s="187" t="str">
        <f>"견 적 금 액 : 一金"&amp;NUMBERSTRING(M32,1) &amp; "원정""(\"&amp; TEXT(M32,"#,###")&amp;"원) [VAT 별도]"</f>
        <v>견 적 금 액 : 一金칠십만일천구백칠십오원정"(\701,975원) [VAT 별도]</v>
      </c>
      <c r="C15" s="187"/>
      <c r="D15" s="187"/>
      <c r="E15" s="187"/>
      <c r="F15" s="187"/>
      <c r="G15" s="187"/>
      <c r="H15" s="187"/>
      <c r="I15" s="187"/>
      <c r="J15" s="187"/>
      <c r="K15" s="187"/>
      <c r="L15" s="187"/>
      <c r="M15" s="187"/>
      <c r="N15" s="187"/>
      <c r="O15" s="188"/>
    </row>
    <row r="16" spans="1:15" ht="15" thickBot="1" x14ac:dyDescent="0.35">
      <c r="A16" s="83"/>
      <c r="B16" s="82"/>
      <c r="C16" s="82"/>
      <c r="D16" s="82"/>
      <c r="E16" s="82"/>
      <c r="F16" s="82"/>
      <c r="G16" s="82"/>
      <c r="H16" s="82"/>
      <c r="I16" s="65"/>
      <c r="J16" s="65"/>
      <c r="K16" s="189"/>
      <c r="L16" s="189"/>
      <c r="M16" s="189"/>
      <c r="N16" s="189"/>
      <c r="O16" s="190"/>
    </row>
    <row r="17" spans="1:17" ht="27.75" customHeight="1" thickBot="1" x14ac:dyDescent="0.35">
      <c r="A17" s="87" t="s">
        <v>83</v>
      </c>
      <c r="B17" s="197" t="s">
        <v>84</v>
      </c>
      <c r="C17" s="198"/>
      <c r="D17" s="198"/>
      <c r="E17" s="198"/>
      <c r="F17" s="198"/>
      <c r="G17" s="199"/>
      <c r="H17" s="88" t="s">
        <v>85</v>
      </c>
      <c r="I17" s="89" t="s">
        <v>86</v>
      </c>
      <c r="J17" s="200" t="s">
        <v>87</v>
      </c>
      <c r="K17" s="201"/>
      <c r="L17" s="201"/>
      <c r="M17" s="202"/>
      <c r="N17" s="197" t="s">
        <v>88</v>
      </c>
      <c r="O17" s="203"/>
    </row>
    <row r="18" spans="1:17" ht="28.5" customHeight="1" x14ac:dyDescent="0.3">
      <c r="A18" s="90">
        <v>1</v>
      </c>
      <c r="B18" s="191" t="s">
        <v>14</v>
      </c>
      <c r="C18" s="192"/>
      <c r="D18" s="192"/>
      <c r="E18" s="192"/>
      <c r="F18" s="192"/>
      <c r="G18" s="193"/>
      <c r="H18" s="123">
        <v>1</v>
      </c>
      <c r="I18" s="124" t="s">
        <v>6</v>
      </c>
      <c r="J18" s="194">
        <f>IFERROR(LOOKUP(2, 1/(TRIM('내역서(표준단가)'!K4:K100)&lt;&gt;""), '내역서(표준단가)'!K4:K100), "-")</f>
        <v>500000</v>
      </c>
      <c r="K18" s="194"/>
      <c r="L18" s="194"/>
      <c r="M18" s="194"/>
      <c r="N18" s="195"/>
      <c r="O18" s="196"/>
    </row>
    <row r="19" spans="1:17" ht="28.5" customHeight="1" x14ac:dyDescent="0.3">
      <c r="A19" s="91">
        <v>2</v>
      </c>
      <c r="B19" s="171" t="s">
        <v>15</v>
      </c>
      <c r="C19" s="172"/>
      <c r="D19" s="172"/>
      <c r="E19" s="172"/>
      <c r="F19" s="172"/>
      <c r="G19" s="173"/>
      <c r="H19" s="125">
        <v>1</v>
      </c>
      <c r="I19" s="125" t="s">
        <v>6</v>
      </c>
      <c r="J19" s="174">
        <f>IFERROR(LOOKUP(2, 1/(TRIM('내역서(표준단가)'!M4:M100)&lt;&gt;""), '내역서(표준단가)'!M4:M100), "-")</f>
        <v>112245</v>
      </c>
      <c r="K19" s="175"/>
      <c r="L19" s="175"/>
      <c r="M19" s="176"/>
      <c r="N19" s="177"/>
      <c r="O19" s="178"/>
    </row>
    <row r="20" spans="1:17" ht="28.5" customHeight="1" x14ac:dyDescent="0.3">
      <c r="A20" s="91">
        <v>3</v>
      </c>
      <c r="B20" s="179" t="s">
        <v>89</v>
      </c>
      <c r="C20" s="180"/>
      <c r="D20" s="180"/>
      <c r="E20" s="180"/>
      <c r="F20" s="180"/>
      <c r="G20" s="181"/>
      <c r="H20" s="92">
        <v>1</v>
      </c>
      <c r="I20" s="92" t="s">
        <v>6</v>
      </c>
      <c r="J20" s="182">
        <f>IFERROR(SUM(J21:M29),"-")</f>
        <v>34067.487548349993</v>
      </c>
      <c r="K20" s="183"/>
      <c r="L20" s="183"/>
      <c r="M20" s="184"/>
      <c r="N20" s="185"/>
      <c r="O20" s="186"/>
      <c r="P20" s="93"/>
    </row>
    <row r="21" spans="1:17" ht="28.5" customHeight="1" x14ac:dyDescent="0.3">
      <c r="A21" s="90"/>
      <c r="B21" s="94"/>
      <c r="C21" s="163" t="s">
        <v>90</v>
      </c>
      <c r="D21" s="164"/>
      <c r="E21" s="164"/>
      <c r="F21" s="164"/>
      <c r="G21" s="165"/>
      <c r="H21" s="126">
        <v>1</v>
      </c>
      <c r="I21" s="126" t="s">
        <v>6</v>
      </c>
      <c r="J21" s="166">
        <f>IFERROR(LOOKUP(2, 1/(TRIM('내역서(표준단가)'!O4:O100)&lt;&gt;""), '내역서(표준단가)'!O4:O100) + LOOKUP(2, 1/(TRIM('내역서(표준단가)'!Q4:Q100)&lt;&gt;""), '내역서(표준단가)'!Q4:Q100), "-")</f>
        <v>0</v>
      </c>
      <c r="K21" s="167"/>
      <c r="L21" s="167"/>
      <c r="M21" s="168"/>
      <c r="N21" s="169" t="s">
        <v>91</v>
      </c>
      <c r="O21" s="170"/>
    </row>
    <row r="22" spans="1:17" ht="28.5" customHeight="1" x14ac:dyDescent="0.3">
      <c r="A22" s="90"/>
      <c r="B22" s="94"/>
      <c r="C22" s="157" t="s">
        <v>92</v>
      </c>
      <c r="D22" s="158"/>
      <c r="E22" s="158"/>
      <c r="F22" s="158"/>
      <c r="G22" s="159"/>
      <c r="H22" s="95">
        <v>3.11</v>
      </c>
      <c r="I22" s="95" t="s">
        <v>93</v>
      </c>
      <c r="J22" s="160">
        <f>IFERROR((J18+J19)*H22%,"-")</f>
        <v>19040.819499999998</v>
      </c>
      <c r="K22" s="161"/>
      <c r="L22" s="161"/>
      <c r="M22" s="162"/>
      <c r="N22" s="153" t="s">
        <v>94</v>
      </c>
      <c r="O22" s="154"/>
    </row>
    <row r="23" spans="1:17" ht="28.5" customHeight="1" x14ac:dyDescent="0.3">
      <c r="A23" s="90"/>
      <c r="B23" s="94"/>
      <c r="C23" s="157" t="s">
        <v>95</v>
      </c>
      <c r="D23" s="158"/>
      <c r="E23" s="158"/>
      <c r="F23" s="158"/>
      <c r="G23" s="159"/>
      <c r="H23" s="95">
        <v>3.56</v>
      </c>
      <c r="I23" s="95" t="s">
        <v>96</v>
      </c>
      <c r="J23" s="160">
        <f>IFERROR(J19*H23%,"-")</f>
        <v>3995.922</v>
      </c>
      <c r="K23" s="161"/>
      <c r="L23" s="161"/>
      <c r="M23" s="162"/>
      <c r="N23" s="153" t="s">
        <v>97</v>
      </c>
      <c r="O23" s="154"/>
    </row>
    <row r="24" spans="1:17" ht="28.5" customHeight="1" x14ac:dyDescent="0.3">
      <c r="A24" s="90"/>
      <c r="B24" s="94"/>
      <c r="C24" s="157" t="s">
        <v>98</v>
      </c>
      <c r="D24" s="158"/>
      <c r="E24" s="158"/>
      <c r="F24" s="158"/>
      <c r="G24" s="159"/>
      <c r="H24" s="95">
        <v>1.01</v>
      </c>
      <c r="I24" s="95" t="s">
        <v>96</v>
      </c>
      <c r="J24" s="160">
        <f>IFERROR(J19*H24%,"-")</f>
        <v>1133.6744999999999</v>
      </c>
      <c r="K24" s="161"/>
      <c r="L24" s="161"/>
      <c r="M24" s="162"/>
      <c r="N24" s="153" t="s">
        <v>99</v>
      </c>
      <c r="O24" s="154"/>
    </row>
    <row r="25" spans="1:17" ht="28.5" customHeight="1" x14ac:dyDescent="0.3">
      <c r="A25" s="90"/>
      <c r="B25" s="94"/>
      <c r="C25" s="157" t="s">
        <v>100</v>
      </c>
      <c r="D25" s="158"/>
      <c r="E25" s="158"/>
      <c r="F25" s="158"/>
      <c r="G25" s="159"/>
      <c r="H25" s="96">
        <v>3.5950000000000002</v>
      </c>
      <c r="I25" s="95" t="s">
        <v>96</v>
      </c>
      <c r="J25" s="160">
        <f>IFERROR(J19*H25%,"-")</f>
        <v>4035.2077500000005</v>
      </c>
      <c r="K25" s="161"/>
      <c r="L25" s="161"/>
      <c r="M25" s="162"/>
      <c r="N25" s="153" t="s">
        <v>101</v>
      </c>
      <c r="O25" s="154"/>
      <c r="Q25" s="93"/>
    </row>
    <row r="26" spans="1:17" ht="28.5" customHeight="1" x14ac:dyDescent="0.3">
      <c r="A26" s="90"/>
      <c r="B26" s="94"/>
      <c r="C26" s="157" t="s">
        <v>102</v>
      </c>
      <c r="D26" s="158"/>
      <c r="E26" s="158"/>
      <c r="F26" s="158"/>
      <c r="G26" s="159"/>
      <c r="H26" s="95">
        <v>4.75</v>
      </c>
      <c r="I26" s="95" t="s">
        <v>96</v>
      </c>
      <c r="J26" s="160">
        <f>IFERROR(J19*H26%,"-")</f>
        <v>5331.6374999999998</v>
      </c>
      <c r="K26" s="161"/>
      <c r="L26" s="161"/>
      <c r="M26" s="162"/>
      <c r="N26" s="153" t="s">
        <v>103</v>
      </c>
      <c r="O26" s="154"/>
      <c r="Q26" s="97"/>
    </row>
    <row r="27" spans="1:17" ht="28.5" customHeight="1" x14ac:dyDescent="0.3">
      <c r="A27" s="90"/>
      <c r="B27" s="94"/>
      <c r="C27" s="147" t="s">
        <v>104</v>
      </c>
      <c r="D27" s="148"/>
      <c r="E27" s="148"/>
      <c r="F27" s="148"/>
      <c r="G27" s="149"/>
      <c r="H27" s="98">
        <v>13.14</v>
      </c>
      <c r="I27" s="99" t="s">
        <v>96</v>
      </c>
      <c r="J27" s="150">
        <f>IFERROR($H$27*J25%,"-")</f>
        <v>530.22629835000009</v>
      </c>
      <c r="K27" s="151"/>
      <c r="L27" s="151"/>
      <c r="M27" s="152"/>
      <c r="N27" s="153" t="s">
        <v>105</v>
      </c>
      <c r="O27" s="154"/>
    </row>
    <row r="28" spans="1:17" ht="28.5" customHeight="1" x14ac:dyDescent="0.3">
      <c r="A28" s="90"/>
      <c r="B28" s="94"/>
      <c r="C28" s="147" t="s">
        <v>106</v>
      </c>
      <c r="D28" s="148"/>
      <c r="E28" s="148"/>
      <c r="F28" s="148"/>
      <c r="G28" s="149"/>
      <c r="H28" s="98">
        <v>8.1000000000000003E-2</v>
      </c>
      <c r="I28" s="99" t="s">
        <v>96</v>
      </c>
      <c r="J28" s="150" t="str">
        <f>IFERROR(IF(SUM(J21:J27,J18:J19)&gt;=10000000,SUM(J21:J27,J18:J19)*H28%,"-"),"-")</f>
        <v>-</v>
      </c>
      <c r="K28" s="151"/>
      <c r="L28" s="151"/>
      <c r="M28" s="152"/>
      <c r="N28" s="155" t="s">
        <v>107</v>
      </c>
      <c r="O28" s="156"/>
    </row>
    <row r="29" spans="1:17" ht="28.5" customHeight="1" x14ac:dyDescent="0.3">
      <c r="A29" s="100"/>
      <c r="B29" s="101"/>
      <c r="C29" s="127" t="s">
        <v>108</v>
      </c>
      <c r="D29" s="128"/>
      <c r="E29" s="128"/>
      <c r="F29" s="128"/>
      <c r="G29" s="129"/>
      <c r="H29" s="102">
        <v>1</v>
      </c>
      <c r="I29" s="103" t="s">
        <v>109</v>
      </c>
      <c r="J29" s="130">
        <f>34*0</f>
        <v>0</v>
      </c>
      <c r="K29" s="131"/>
      <c r="L29" s="131"/>
      <c r="M29" s="132"/>
      <c r="N29" s="133" t="s">
        <v>110</v>
      </c>
      <c r="O29" s="134"/>
    </row>
    <row r="30" spans="1:17" ht="28.5" customHeight="1" x14ac:dyDescent="0.3">
      <c r="A30" s="100">
        <v>4</v>
      </c>
      <c r="B30" s="101"/>
      <c r="C30" s="127" t="s">
        <v>111</v>
      </c>
      <c r="D30" s="128"/>
      <c r="E30" s="128"/>
      <c r="F30" s="128"/>
      <c r="G30" s="129"/>
      <c r="H30" s="103">
        <v>5</v>
      </c>
      <c r="I30" s="104" t="s">
        <v>112</v>
      </c>
      <c r="J30" s="140">
        <f>IFERROR(IF(ISNUMBER(H30), SUM(J18:M20) * (H30 / 100), "-"), "-")</f>
        <v>32315.624377417502</v>
      </c>
      <c r="K30" s="141"/>
      <c r="L30" s="141"/>
      <c r="M30" s="142"/>
      <c r="N30" s="143" t="s">
        <v>113</v>
      </c>
      <c r="O30" s="144"/>
    </row>
    <row r="31" spans="1:17" ht="28.5" customHeight="1" thickBot="1" x14ac:dyDescent="0.35">
      <c r="A31" s="100">
        <v>5</v>
      </c>
      <c r="B31" s="101"/>
      <c r="C31" s="127" t="s">
        <v>114</v>
      </c>
      <c r="D31" s="128"/>
      <c r="E31" s="128"/>
      <c r="F31" s="128"/>
      <c r="G31" s="129"/>
      <c r="H31" s="103">
        <v>7.5</v>
      </c>
      <c r="I31" s="104" t="s">
        <v>96</v>
      </c>
      <c r="J31" s="130">
        <f>IFERROR(SUM(J18:M20, J30) * (H31 / 100), "-")+-27550</f>
        <v>23347.108394432558</v>
      </c>
      <c r="K31" s="131"/>
      <c r="L31" s="131"/>
      <c r="M31" s="132"/>
      <c r="N31" s="145" t="s">
        <v>115</v>
      </c>
      <c r="O31" s="146"/>
      <c r="Q31" s="105"/>
    </row>
    <row r="32" spans="1:17" ht="28.5" customHeight="1" thickBot="1" x14ac:dyDescent="0.35">
      <c r="A32" s="135" t="s">
        <v>116</v>
      </c>
      <c r="B32" s="136"/>
      <c r="C32" s="136"/>
      <c r="D32" s="136"/>
      <c r="E32" s="136"/>
      <c r="F32" s="136"/>
      <c r="G32" s="136"/>
      <c r="H32" s="136"/>
      <c r="I32" s="137"/>
      <c r="J32" s="106"/>
      <c r="K32" s="107"/>
      <c r="L32" s="107"/>
      <c r="M32" s="108">
        <f>IFERROR(ROUNDDOWN(SUM(J18:M20)+J30+J31,0),"-")</f>
        <v>701975</v>
      </c>
      <c r="N32" s="138"/>
      <c r="O32" s="139"/>
      <c r="P32" s="109"/>
    </row>
    <row r="33" spans="1:15" x14ac:dyDescent="0.3">
      <c r="A33" s="110" t="s">
        <v>117</v>
      </c>
      <c r="B33" s="111"/>
      <c r="C33" s="111"/>
      <c r="D33" s="111"/>
      <c r="E33" s="111"/>
      <c r="F33" s="111"/>
      <c r="G33" s="111"/>
      <c r="H33" s="111"/>
      <c r="I33" s="111"/>
      <c r="J33" s="111"/>
      <c r="K33" s="111"/>
      <c r="L33" s="111"/>
      <c r="M33" s="111"/>
      <c r="N33" s="111"/>
      <c r="O33" s="112"/>
    </row>
    <row r="34" spans="1:15" x14ac:dyDescent="0.3">
      <c r="A34" s="113"/>
      <c r="B34" s="111"/>
      <c r="C34" s="111"/>
      <c r="D34" s="111"/>
      <c r="E34" s="111"/>
      <c r="F34" s="111"/>
      <c r="G34" s="111"/>
      <c r="H34" s="111"/>
      <c r="I34" s="111"/>
      <c r="J34" s="111"/>
      <c r="K34" s="111"/>
      <c r="L34" s="111"/>
      <c r="M34" s="111"/>
      <c r="N34" s="111"/>
      <c r="O34" s="112"/>
    </row>
    <row r="35" spans="1:15" x14ac:dyDescent="0.3">
      <c r="A35" s="113"/>
      <c r="B35" s="111"/>
      <c r="C35" s="111"/>
      <c r="D35" s="111"/>
      <c r="E35" s="111"/>
      <c r="F35" s="111"/>
      <c r="G35" s="111"/>
      <c r="H35" s="111"/>
      <c r="I35" s="111"/>
      <c r="J35" s="111"/>
      <c r="K35" s="111"/>
      <c r="L35" s="111"/>
      <c r="M35" s="111"/>
      <c r="N35" s="111"/>
      <c r="O35" s="112"/>
    </row>
    <row r="36" spans="1:15" x14ac:dyDescent="0.3">
      <c r="A36" s="113"/>
      <c r="B36" s="111"/>
      <c r="C36" s="111"/>
      <c r="D36" s="111"/>
      <c r="E36" s="111"/>
      <c r="F36" s="111"/>
      <c r="G36" s="111"/>
      <c r="H36" s="111"/>
      <c r="I36" s="111"/>
      <c r="J36" s="111"/>
      <c r="K36" s="111"/>
      <c r="L36" s="111"/>
      <c r="M36" s="111"/>
      <c r="N36" s="111"/>
      <c r="O36" s="112"/>
    </row>
    <row r="37" spans="1:15" ht="15.75" x14ac:dyDescent="0.3">
      <c r="A37" s="113"/>
      <c r="B37" s="114"/>
      <c r="C37" s="114"/>
      <c r="D37" s="114"/>
      <c r="E37" s="114"/>
      <c r="F37" s="114"/>
      <c r="G37" s="114"/>
      <c r="H37" s="114"/>
      <c r="I37" s="114"/>
      <c r="J37" s="114"/>
      <c r="K37" s="114"/>
      <c r="L37" s="114"/>
      <c r="M37" s="114"/>
      <c r="N37" s="114"/>
      <c r="O37" s="115"/>
    </row>
    <row r="38" spans="1:15" ht="15.75" x14ac:dyDescent="0.3">
      <c r="A38" s="113"/>
      <c r="B38" s="114"/>
      <c r="C38" s="114"/>
      <c r="D38" s="114"/>
      <c r="E38" s="114"/>
      <c r="F38" s="114"/>
      <c r="G38" s="114"/>
      <c r="H38" s="114"/>
      <c r="I38" s="114"/>
      <c r="J38" s="114"/>
      <c r="K38" s="114"/>
      <c r="L38" s="114"/>
      <c r="M38" s="114"/>
      <c r="N38" s="114"/>
      <c r="O38" s="115"/>
    </row>
    <row r="39" spans="1:15" ht="15.75" x14ac:dyDescent="0.3">
      <c r="A39" s="113"/>
      <c r="B39" s="114"/>
      <c r="C39" s="114"/>
      <c r="D39" s="114"/>
      <c r="E39" s="114"/>
      <c r="F39" s="114"/>
      <c r="G39" s="114"/>
      <c r="H39" s="114"/>
      <c r="I39" s="114"/>
      <c r="J39" s="114"/>
      <c r="K39" s="114"/>
      <c r="L39" s="114"/>
      <c r="M39" s="114"/>
      <c r="N39" s="114"/>
      <c r="O39" s="115"/>
    </row>
    <row r="40" spans="1:15" ht="15" thickBot="1" x14ac:dyDescent="0.35">
      <c r="A40" s="116"/>
      <c r="B40" s="117"/>
      <c r="C40" s="117"/>
      <c r="D40" s="117"/>
      <c r="E40" s="117"/>
      <c r="F40" s="117"/>
      <c r="G40" s="117"/>
      <c r="H40" s="117"/>
      <c r="I40" s="117"/>
      <c r="J40" s="117"/>
      <c r="K40" s="117"/>
      <c r="L40" s="117"/>
      <c r="M40" s="117"/>
      <c r="N40" s="117"/>
      <c r="O40" s="118"/>
    </row>
    <row r="42" spans="1:15" x14ac:dyDescent="0.3">
      <c r="M42" s="105"/>
    </row>
    <row r="43" spans="1:15" x14ac:dyDescent="0.3">
      <c r="M43" s="10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2"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5" zoomScaleNormal="85" workbookViewId="0">
      <pane ySplit="4" topLeftCell="A5" activePane="bottomLeft" state="frozen"/>
      <selection pane="bottomLeft" activeCell="N15" sqref="N15"/>
    </sheetView>
  </sheetViews>
  <sheetFormatPr defaultColWidth="9" defaultRowHeight="38.1" customHeight="1" x14ac:dyDescent="0.3"/>
  <cols>
    <col min="1" max="1" width="21.25" style="37" bestFit="1" customWidth="1"/>
    <col min="2" max="5" width="17.75" style="28" hidden="1" customWidth="1"/>
    <col min="6" max="7" width="30.625" style="23" customWidth="1"/>
    <col min="8" max="8" width="11.375" style="28" bestFit="1" customWidth="1"/>
    <col min="9" max="9" width="7" style="28" bestFit="1" customWidth="1"/>
    <col min="10" max="10" width="10.875" style="28" bestFit="1" customWidth="1"/>
    <col min="11" max="11" width="13.5" style="28" bestFit="1" customWidth="1"/>
    <col min="12" max="12" width="9.25" style="28" bestFit="1" customWidth="1"/>
    <col min="13" max="13" width="13.5" style="28" bestFit="1" customWidth="1"/>
    <col min="14" max="14" width="6.125" style="28" customWidth="1"/>
    <col min="15" max="15" width="8.25" style="28" bestFit="1" customWidth="1"/>
    <col min="16" max="16" width="6.125" style="28" customWidth="1"/>
    <col min="17" max="17" width="8.25" style="28" bestFit="1" customWidth="1"/>
    <col min="18" max="18" width="16" style="28" bestFit="1" customWidth="1"/>
    <col min="19" max="19" width="10.75" style="2" bestFit="1" customWidth="1"/>
    <col min="20" max="20" width="9.125" style="28" bestFit="1" customWidth="1"/>
    <col min="21" max="16384" width="9" style="28"/>
  </cols>
  <sheetData>
    <row r="1" spans="1:20" ht="19.899999999999999" customHeight="1" x14ac:dyDescent="0.3">
      <c r="A1" s="235"/>
      <c r="B1" s="235"/>
      <c r="C1" s="235"/>
      <c r="D1" s="235"/>
      <c r="E1" s="235"/>
      <c r="J1" s="2"/>
      <c r="K1" s="27" t="s">
        <v>10</v>
      </c>
      <c r="M1" s="27" t="s">
        <v>10</v>
      </c>
      <c r="O1" s="27" t="s">
        <v>10</v>
      </c>
      <c r="Q1" s="27" t="s">
        <v>10</v>
      </c>
    </row>
    <row r="2" spans="1:20" ht="19.899999999999999" customHeight="1" thickBot="1" x14ac:dyDescent="0.35">
      <c r="A2" s="235"/>
      <c r="B2" s="235"/>
      <c r="C2" s="235"/>
      <c r="D2" s="235"/>
      <c r="E2" s="235"/>
      <c r="J2" s="3"/>
      <c r="K2" s="4">
        <v>0.83499999999999996</v>
      </c>
      <c r="M2" s="4">
        <v>0.83499999999999996</v>
      </c>
      <c r="O2" s="4">
        <v>0.83499999999999996</v>
      </c>
      <c r="Q2" s="4">
        <v>0.83499999999999996</v>
      </c>
    </row>
    <row r="3" spans="1:20" ht="19.899999999999999" customHeight="1" x14ac:dyDescent="0.3">
      <c r="A3" s="29"/>
      <c r="B3" s="29" t="s">
        <v>11</v>
      </c>
      <c r="C3" s="30"/>
      <c r="D3" s="30"/>
      <c r="E3" s="30"/>
      <c r="F3" s="246" t="s">
        <v>12</v>
      </c>
      <c r="G3" s="246"/>
      <c r="H3" s="244" t="s">
        <v>13</v>
      </c>
      <c r="I3" s="244" t="s">
        <v>5</v>
      </c>
      <c r="J3" s="240" t="s">
        <v>14</v>
      </c>
      <c r="K3" s="240"/>
      <c r="L3" s="240" t="s">
        <v>15</v>
      </c>
      <c r="M3" s="240"/>
      <c r="N3" s="241" t="s">
        <v>16</v>
      </c>
      <c r="O3" s="241"/>
      <c r="P3" s="241" t="s">
        <v>17</v>
      </c>
      <c r="Q3" s="241"/>
      <c r="R3" s="242" t="s">
        <v>18</v>
      </c>
      <c r="S3" s="238" t="s">
        <v>19</v>
      </c>
      <c r="T3" s="236" t="s">
        <v>7</v>
      </c>
    </row>
    <row r="4" spans="1:20" ht="19.899999999999999" customHeight="1" x14ac:dyDescent="0.3">
      <c r="A4" s="5" t="s">
        <v>20</v>
      </c>
      <c r="B4" s="6" t="s">
        <v>21</v>
      </c>
      <c r="C4" s="6" t="s">
        <v>22</v>
      </c>
      <c r="D4" s="6" t="s">
        <v>23</v>
      </c>
      <c r="E4" s="6" t="s">
        <v>24</v>
      </c>
      <c r="F4" s="24" t="s">
        <v>25</v>
      </c>
      <c r="G4" s="24" t="s">
        <v>26</v>
      </c>
      <c r="H4" s="245"/>
      <c r="I4" s="245"/>
      <c r="J4" s="7" t="s">
        <v>27</v>
      </c>
      <c r="K4" s="8" t="s">
        <v>28</v>
      </c>
      <c r="L4" s="7" t="s">
        <v>29</v>
      </c>
      <c r="M4" s="8" t="s">
        <v>28</v>
      </c>
      <c r="N4" s="8" t="s">
        <v>30</v>
      </c>
      <c r="O4" s="8" t="s">
        <v>28</v>
      </c>
      <c r="P4" s="8" t="s">
        <v>30</v>
      </c>
      <c r="Q4" s="8" t="s">
        <v>28</v>
      </c>
      <c r="R4" s="243"/>
      <c r="S4" s="239"/>
      <c r="T4" s="237"/>
    </row>
    <row r="5" spans="1:20" s="31" customFormat="1" ht="38.1" customHeight="1" x14ac:dyDescent="0.3">
      <c r="A5" s="9" t="str">
        <f t="shared" ref="A5" si="0">B5&amp;C5&amp;D5&amp;E5</f>
        <v>L003</v>
      </c>
      <c r="B5" s="10"/>
      <c r="C5" s="17"/>
      <c r="D5" s="39"/>
      <c r="E5" s="40" t="s">
        <v>9</v>
      </c>
      <c r="F5" s="41" t="s">
        <v>31</v>
      </c>
      <c r="G5" s="25" t="s">
        <v>32</v>
      </c>
      <c r="H5" s="42" t="s">
        <v>8</v>
      </c>
      <c r="I5" s="22">
        <v>0.5</v>
      </c>
      <c r="J5" s="43"/>
      <c r="K5" s="19">
        <f>I5*J5</f>
        <v>0</v>
      </c>
      <c r="L5" s="21">
        <v>224490</v>
      </c>
      <c r="M5" s="19">
        <f>I5*L5</f>
        <v>112245</v>
      </c>
      <c r="N5" s="20"/>
      <c r="O5" s="19">
        <f t="shared" ref="O5:O6" si="1">N5*I5*$O$2</f>
        <v>0</v>
      </c>
      <c r="P5" s="20"/>
      <c r="Q5" s="19">
        <f t="shared" ref="Q5:Q6" si="2">P5*I5*$Q$2</f>
        <v>0</v>
      </c>
      <c r="R5" s="11">
        <f t="shared" ref="R5:R6" si="3">SUM(K5+M5)+O5+Q5</f>
        <v>112245</v>
      </c>
      <c r="S5" s="44"/>
      <c r="T5" s="45"/>
    </row>
    <row r="6" spans="1:20" s="31" customFormat="1" ht="38.1" customHeight="1" x14ac:dyDescent="0.3">
      <c r="A6" s="9">
        <v>999999</v>
      </c>
      <c r="B6" s="10"/>
      <c r="C6" s="17"/>
      <c r="D6" s="39"/>
      <c r="E6" s="10"/>
      <c r="F6" s="41" t="s">
        <v>33</v>
      </c>
      <c r="G6" s="46" t="s">
        <v>34</v>
      </c>
      <c r="H6" s="42" t="s">
        <v>35</v>
      </c>
      <c r="I6" s="22">
        <v>1</v>
      </c>
      <c r="J6" s="43">
        <v>500000</v>
      </c>
      <c r="K6" s="19">
        <f>I6*J6</f>
        <v>500000</v>
      </c>
      <c r="L6" s="21"/>
      <c r="M6" s="19">
        <f t="shared" ref="M6" si="4">(L6*I6)*$M$2</f>
        <v>0</v>
      </c>
      <c r="N6" s="20"/>
      <c r="O6" s="19">
        <f t="shared" si="1"/>
        <v>0</v>
      </c>
      <c r="P6" s="20"/>
      <c r="Q6" s="19">
        <f t="shared" si="2"/>
        <v>0</v>
      </c>
      <c r="R6" s="11">
        <f t="shared" si="3"/>
        <v>500000</v>
      </c>
      <c r="S6" s="44"/>
      <c r="T6" s="45"/>
    </row>
    <row r="7" spans="1:20" s="33" customFormat="1" ht="38.1" customHeight="1" x14ac:dyDescent="0.3">
      <c r="A7" s="32"/>
      <c r="F7" s="26"/>
      <c r="G7" s="26"/>
      <c r="K7" s="34">
        <f>SUM(K5:K6)</f>
        <v>500000</v>
      </c>
      <c r="L7" s="35"/>
      <c r="M7" s="34">
        <f>SUM(M5:M6)</f>
        <v>112245</v>
      </c>
      <c r="N7" s="35"/>
      <c r="O7" s="34">
        <f>SUM(O5:O6)</f>
        <v>0</v>
      </c>
      <c r="P7" s="35"/>
      <c r="Q7" s="34">
        <f>SUM(Q5:Q6)</f>
        <v>0</v>
      </c>
      <c r="R7" s="36">
        <f>SUM(R5:R6)</f>
        <v>612245</v>
      </c>
      <c r="S7" s="12"/>
    </row>
    <row r="11" spans="1:20" ht="38.1" customHeight="1" x14ac:dyDescent="0.3">
      <c r="M11" s="38"/>
    </row>
  </sheetData>
  <mergeCells count="12">
    <mergeCell ref="A1:E1"/>
    <mergeCell ref="T3:T4"/>
    <mergeCell ref="A2:E2"/>
    <mergeCell ref="S3:S4"/>
    <mergeCell ref="L3:M3"/>
    <mergeCell ref="N3:O3"/>
    <mergeCell ref="P3:Q3"/>
    <mergeCell ref="R3:R4"/>
    <mergeCell ref="H3:H4"/>
    <mergeCell ref="I3:I4"/>
    <mergeCell ref="J3:K3"/>
    <mergeCell ref="F3:G3"/>
  </mergeCells>
  <phoneticPr fontId="12"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317C-2F0C-48C0-9713-DEC224E244E6}">
  <sheetPr>
    <pageSetUpPr fitToPage="1"/>
  </sheetPr>
  <dimension ref="G1:P1"/>
  <sheetViews>
    <sheetView topLeftCell="A4" zoomScale="130" zoomScaleNormal="130" zoomScaleSheetLayoutView="85" workbookViewId="0">
      <selection activeCell="F24" sqref="F24"/>
    </sheetView>
  </sheetViews>
  <sheetFormatPr defaultColWidth="9" defaultRowHeight="14.25" x14ac:dyDescent="0.3"/>
  <cols>
    <col min="1" max="1" width="11.5" style="47" bestFit="1" customWidth="1"/>
    <col min="2" max="2" width="17.875" style="47" customWidth="1"/>
    <col min="3" max="3" width="14.625" style="47" customWidth="1"/>
    <col min="4" max="4" width="10.875" style="47" customWidth="1"/>
    <col min="5" max="5" width="12" style="47" customWidth="1"/>
    <col min="6" max="6" width="10.625" style="47" customWidth="1"/>
    <col min="7" max="7" width="13.625" style="48" customWidth="1"/>
    <col min="8" max="8" width="9.625" style="47" customWidth="1"/>
    <col min="9" max="9" width="13.625" style="47" customWidth="1"/>
    <col min="10" max="10" width="12.75" style="47" customWidth="1"/>
    <col min="11" max="11" width="9.25" style="47" customWidth="1"/>
    <col min="12" max="12" width="13.625" style="48" customWidth="1"/>
    <col min="13" max="13" width="9.625" style="47" customWidth="1"/>
    <col min="14" max="14" width="13.625" style="48" customWidth="1"/>
    <col min="15" max="15" width="19.75" style="49" bestFit="1" customWidth="1"/>
    <col min="16" max="16" width="12.25" style="49" bestFit="1" customWidth="1"/>
    <col min="17" max="16384" width="9" style="47"/>
  </cols>
  <sheetData/>
  <phoneticPr fontId="12"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D48F0-FEF4-4C9B-88D7-5A6688EE31EF}">
  <sheetPr>
    <pageSetUpPr fitToPage="1"/>
  </sheetPr>
  <dimension ref="A1:R2"/>
  <sheetViews>
    <sheetView workbookViewId="0">
      <selection activeCell="D38" sqref="D38"/>
    </sheetView>
  </sheetViews>
  <sheetFormatPr defaultColWidth="9" defaultRowHeight="14.25" x14ac:dyDescent="0.3"/>
  <cols>
    <col min="1" max="1" width="11.125" style="18" customWidth="1"/>
    <col min="2" max="2" width="13.375" style="18" customWidth="1"/>
    <col min="3" max="3" width="38.75" style="18" customWidth="1"/>
    <col min="4" max="4" width="28.75" style="18" customWidth="1"/>
    <col min="5" max="5" width="5" style="18" customWidth="1"/>
    <col min="6" max="6" width="6.25" style="18" customWidth="1"/>
    <col min="7" max="7" width="10" style="18" customWidth="1"/>
    <col min="8" max="8" width="11.875" style="18" customWidth="1"/>
    <col min="9" max="9" width="10" style="18" customWidth="1"/>
    <col min="10" max="10" width="11.875" style="18" customWidth="1"/>
    <col min="11" max="11" width="10" style="18" customWidth="1"/>
    <col min="12" max="12" width="11.875" style="18" customWidth="1"/>
    <col min="13" max="13" width="10" style="18" customWidth="1"/>
    <col min="14" max="14" width="11.875" style="18" customWidth="1"/>
    <col min="15" max="15" width="9.125" style="18" customWidth="1"/>
    <col min="16" max="16" width="11.5" style="18" customWidth="1"/>
    <col min="17" max="17" width="11.75" style="18" customWidth="1"/>
    <col min="18" max="18" width="17.875" style="18" customWidth="1"/>
    <col min="19" max="16384" width="9" style="18"/>
  </cols>
  <sheetData>
    <row r="1" spans="1:18" ht="18" customHeight="1" x14ac:dyDescent="0.3">
      <c r="A1" s="13" t="s">
        <v>36</v>
      </c>
      <c r="B1" s="50" t="s">
        <v>37</v>
      </c>
      <c r="C1" s="51" t="s">
        <v>38</v>
      </c>
      <c r="D1" s="51" t="s">
        <v>39</v>
      </c>
      <c r="E1" s="51" t="s">
        <v>13</v>
      </c>
      <c r="F1" s="51" t="s">
        <v>5</v>
      </c>
      <c r="G1" s="50" t="s">
        <v>40</v>
      </c>
      <c r="H1" s="50" t="s">
        <v>41</v>
      </c>
      <c r="I1" s="50" t="s">
        <v>42</v>
      </c>
      <c r="J1" s="50" t="s">
        <v>43</v>
      </c>
      <c r="K1" s="50" t="s">
        <v>44</v>
      </c>
      <c r="L1" s="50" t="s">
        <v>45</v>
      </c>
      <c r="M1" s="50" t="s">
        <v>46</v>
      </c>
      <c r="N1" s="50" t="s">
        <v>47</v>
      </c>
      <c r="O1" s="50" t="s">
        <v>48</v>
      </c>
      <c r="P1" s="50" t="s">
        <v>49</v>
      </c>
      <c r="Q1" s="50" t="s">
        <v>50</v>
      </c>
      <c r="R1" s="50" t="s">
        <v>51</v>
      </c>
    </row>
    <row r="2" spans="1:18" x14ac:dyDescent="0.3">
      <c r="A2" s="2">
        <v>999999</v>
      </c>
      <c r="B2" s="2" t="s">
        <v>52</v>
      </c>
      <c r="C2" s="2" t="s">
        <v>33</v>
      </c>
      <c r="D2" s="2" t="s">
        <v>53</v>
      </c>
      <c r="E2" s="2" t="s">
        <v>35</v>
      </c>
      <c r="F2" s="52">
        <v>1</v>
      </c>
      <c r="G2" s="53">
        <v>500000</v>
      </c>
      <c r="H2" s="28"/>
      <c r="I2" s="28"/>
      <c r="J2" s="28"/>
      <c r="K2" s="28"/>
      <c r="L2" s="28"/>
      <c r="M2" s="28"/>
      <c r="N2" s="28"/>
      <c r="O2" s="28"/>
      <c r="P2" s="28"/>
      <c r="Q2" s="28"/>
      <c r="R2" s="28"/>
    </row>
  </sheetData>
  <phoneticPr fontId="12"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3"/>
  <sheetViews>
    <sheetView showGridLines="0" zoomScaleNormal="100" workbookViewId="0">
      <selection activeCell="D40" sqref="D4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18"/>
  </cols>
  <sheetData>
    <row r="1" spans="1:6" ht="18" customHeight="1" x14ac:dyDescent="0.3">
      <c r="A1" s="13" t="s">
        <v>0</v>
      </c>
      <c r="B1" s="13" t="s">
        <v>1</v>
      </c>
      <c r="C1" s="13" t="s">
        <v>2</v>
      </c>
      <c r="D1" s="13" t="s">
        <v>3</v>
      </c>
      <c r="E1" s="13" t="s">
        <v>4</v>
      </c>
      <c r="F1" s="13" t="s">
        <v>5</v>
      </c>
    </row>
    <row r="2" spans="1:6" x14ac:dyDescent="0.3">
      <c r="A2" s="14" t="str">
        <f>'내역서(표준단가)'!A5</f>
        <v>L003</v>
      </c>
      <c r="B2" s="15">
        <f>'내역서(표준단가)'!B5</f>
        <v>0</v>
      </c>
      <c r="C2" s="15">
        <f>'내역서(표준단가)'!C5</f>
        <v>0</v>
      </c>
      <c r="D2" s="15">
        <f>'내역서(표준단가)'!D5</f>
        <v>0</v>
      </c>
      <c r="E2" s="15" t="str">
        <f>'내역서(표준단가)'!E5</f>
        <v>L003</v>
      </c>
      <c r="F2" s="16">
        <f>'내역서(표준단가)'!I5</f>
        <v>0.5</v>
      </c>
    </row>
    <row r="3" spans="1:6" x14ac:dyDescent="0.3">
      <c r="A3" s="14">
        <f>'내역서(표준단가)'!A6</f>
        <v>999999</v>
      </c>
      <c r="B3" s="15">
        <f>'내역서(표준단가)'!B6</f>
        <v>0</v>
      </c>
      <c r="C3" s="15">
        <f>'내역서(표준단가)'!C6</f>
        <v>0</v>
      </c>
      <c r="D3" s="15">
        <f>'내역서(표준단가)'!D6</f>
        <v>0</v>
      </c>
      <c r="E3" s="15">
        <f>'내역서(표준단가)'!E6</f>
        <v>0</v>
      </c>
      <c r="F3" s="16">
        <f>'내역서(표준단가)'!I6</f>
        <v>1</v>
      </c>
    </row>
  </sheetData>
  <phoneticPr fontId="12"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2026-01-20T04:06:55Z</dcterms:created>
  <dcterms:modified xsi:type="dcterms:W3CDTF">2026-03-03T06:49:13Z</dcterms:modified>
</cp:coreProperties>
</file>
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8\03 당사안\"/>
    </mc:Choice>
  </mc:AlternateContent>
  <xr:revisionPtr revIDLastSave="0" documentId="13_ncr:1_{FDC7BEA1-857F-4A18-89E5-762047B2B0DF}" xr6:coauthVersionLast="47" xr6:coauthVersionMax="47" xr10:uidLastSave="{00000000-0000-0000-0000-000000000000}"/>
  <bookViews>
    <workbookView xWindow="1170" yWindow="0" windowWidth="14490" windowHeight="16245" tabRatio="868" activeTab="1" xr2:uid="{00000000-000D-0000-FFFF-FFFF00000000}"/>
  </bookViews>
  <sheets>
    <sheet name="갑지" sheetId="5" r:id="rId1"/>
    <sheet name="내역서(표준단가)" sheetId="27" r:id="rId2"/>
    <sheet name="공사수립계획서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27" l="1"/>
  <c r="J3" i="27"/>
  <c r="Q24" i="27" l="1"/>
  <c r="O24" i="27"/>
  <c r="Q23" i="27"/>
  <c r="O23" i="27"/>
  <c r="Q22" i="27"/>
  <c r="O22" i="27"/>
  <c r="Q21" i="27"/>
  <c r="O21" i="27"/>
  <c r="Q20" i="27"/>
  <c r="O20" i="27"/>
  <c r="Q19" i="27"/>
  <c r="O19" i="27"/>
  <c r="Q18" i="27"/>
  <c r="O18" i="27"/>
  <c r="Q17" i="27"/>
  <c r="O17" i="27"/>
  <c r="Q16" i="27"/>
  <c r="O16" i="27"/>
  <c r="Q14" i="27"/>
  <c r="O14" i="27"/>
  <c r="Q13" i="27"/>
  <c r="O13" i="27"/>
  <c r="Q12" i="27"/>
  <c r="O12" i="27"/>
  <c r="Q11" i="27"/>
  <c r="O11" i="27"/>
  <c r="Q10" i="27"/>
  <c r="O10" i="27"/>
  <c r="Q9" i="27"/>
  <c r="O9" i="27"/>
  <c r="Q8" i="27"/>
  <c r="O8" i="27"/>
  <c r="Q7" i="27"/>
  <c r="O7" i="27"/>
  <c r="V12" i="27" l="1"/>
  <c r="V13" i="27"/>
  <c r="V18" i="27"/>
  <c r="V10" i="27"/>
  <c r="V16" i="27"/>
  <c r="V14" i="27"/>
  <c r="V23" i="27"/>
  <c r="V9" i="27"/>
  <c r="V8" i="27"/>
  <c r="V11" i="27"/>
  <c r="V24" i="27"/>
  <c r="V22" i="27"/>
  <c r="V19" i="27"/>
  <c r="Q25" i="27"/>
  <c r="F17" i="5" s="1"/>
  <c r="O25" i="27"/>
  <c r="F16" i="5" s="1"/>
  <c r="V20" i="27"/>
  <c r="V17" i="27"/>
  <c r="V21" i="27"/>
  <c r="V7" i="27"/>
  <c r="V25" i="27" l="1"/>
  <c r="F21" i="5"/>
  <c r="F25" i="5"/>
  <c r="F22" i="5"/>
  <c r="F24" i="5"/>
  <c r="F26" i="5" s="1"/>
  <c r="F23" i="5"/>
  <c r="F27" i="5" l="1"/>
  <c r="E4" i="23"/>
  <c r="C5" i="23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D49F8E53-7AC0-40B7-8D66-77D7EB74260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<sst xmlns="http://schemas.openxmlformats.org/spreadsheetml/2006/main" count="177" uniqueCount="113">
  <si>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</si>
  <si>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</si>
  <si>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</si>
  <si>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</si>
  <si>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</si>
  <si>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</si>
  <si>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</si>
  <si>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</si>
  <si>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</si>
  <si>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</si>
  <si>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</si>
  <si>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</si>
  <si>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</si>
  <si>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</si>
  <si>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</si>
  <si>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</si>
  <si>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</si>
  <si>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</si>
  <si>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</si>
  <si>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식</t>
    <phoneticPr fontId="23" type="noConversion"/>
  </si>
  <si>
    <t>모든공사에 적용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</si>
  <si>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</si>
  <si>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</si>
  <si>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</si>
  <si>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일반관리비/이윤</t>
    <phoneticPr fontId="23" type="noConversion"/>
  </si>
  <si>
    <t>기준</t>
    <phoneticPr fontId="6" type="noConversion"/>
  </si>
  <si>
    <t>비고</t>
    <phoneticPr fontId="6" type="noConversion"/>
  </si>
  <si>
    <t>공사수립계획서</t>
    <phoneticPr fontId="23" type="noConversion"/>
  </si>
  <si>
    <t>업 체 명</t>
    <phoneticPr fontId="23" type="noConversion"/>
  </si>
  <si>
    <t>대양이엔씨</t>
    <phoneticPr fontId="8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</si>
  <si>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</si>
  <si>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</si>
  <si>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</si>
  <si>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</si>
  <si>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</si>
  <si>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</si>
  <si>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</si>
  <si>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</si>
  <si>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</si>
  <si>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</si>
  <si>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</si>
  <si>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</si>
  <si>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</si>
  <si>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</si>
  <si>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</si>
  <si>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</si>
  <si>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</si>
  <si>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8" type="noConversion"/>
  </si>
  <si>
    <t>대전광역시 대덕구 아리랑로 125번길 11</t>
    <phoneticPr fontId="8" type="noConversion"/>
  </si>
  <si>
    <t>전화 : 042-628-8301 /FAX : 042-628-8304</t>
    <phoneticPr fontId="8" type="noConversion"/>
  </si>
  <si>
    <t>(주)에스앤아이코퍼레이션</t>
    <phoneticPr fontId="8" type="noConversion"/>
  </si>
  <si>
    <t>▼할증율</t>
    <phoneticPr fontId="8" type="noConversion"/>
  </si>
  <si>
    <t>기본</t>
    <phoneticPr fontId="6" type="noConversion"/>
  </si>
  <si>
    <t>M</t>
    <phoneticPr fontId="6" type="noConversion"/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</si>
  <si>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</si>
  <si>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</si>
  <si>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</si>
  <si>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</si>
  <si>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</si>
  <si>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</si>
  <si>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</si>
  <si>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</si>
  <si>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</si>
  <si>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</si>
  <si>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</si>
  <si>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</si>
  <si>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</si>
  <si>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</si>
  <si>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</si>
  <si>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</si>
  <si>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</si>
  <si>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.</t>
  </si>
  <si>
    <t>기계경비</t>
    <phoneticPr fontId="6" type="noConversion"/>
  </si>
  <si>
    <t>E999999</t>
    <phoneticPr fontId="6" type="noConversion"/>
  </si>
  <si>
    <t>안전관리비</t>
    <phoneticPr fontId="23" type="noConversion"/>
  </si>
  <si>
    <t> (재료비+노무비)*3.11%</t>
    <phoneticPr fontId="6" type="noConversion"/>
  </si>
  <si>
    <t>산재보험료</t>
    <phoneticPr fontId="23" type="noConversion"/>
  </si>
  <si>
    <t> 노무비*3.56%</t>
    <phoneticPr fontId="6" type="noConversion"/>
  </si>
  <si>
    <t>고용보험료</t>
    <phoneticPr fontId="23" type="noConversion"/>
  </si>
  <si>
    <t> 노무비*1.01%</t>
    <phoneticPr fontId="6" type="noConversion"/>
  </si>
  <si>
    <t>국민건강 보험료</t>
    <phoneticPr fontId="23" type="noConversion"/>
  </si>
  <si>
    <t> 노무비*3.545%</t>
    <phoneticPr fontId="6" type="noConversion"/>
  </si>
  <si>
    <t>국민연금 보험료</t>
    <phoneticPr fontId="23" type="noConversion"/>
  </si>
  <si>
    <t> 노무비*4.5%</t>
    <phoneticPr fontId="8" type="noConversion"/>
  </si>
  <si>
    <t>노인장기요양 보험료</t>
    <phoneticPr fontId="23" type="noConversion"/>
  </si>
  <si>
    <t> 국민건강보험료*12.95%</t>
    <phoneticPr fontId="6" type="noConversion"/>
  </si>
  <si>
    <t> (노무비+간접공사비)*5%</t>
  </si>
  <si>
    <t>성명 : 김형래</t>
    <phoneticPr fontId="23" type="noConversion"/>
  </si>
  <si>
    <t>2025년 08월  일</t>
    <phoneticPr fontId="6" type="noConversion"/>
  </si>
  <si>
    <t>.</t>
    <phoneticPr fontId="6" type="noConversion"/>
  </si>
  <si>
    <t>엔진오일</t>
    <phoneticPr fontId="6" type="noConversion"/>
  </si>
  <si>
    <t>오일휠터</t>
    <phoneticPr fontId="6" type="noConversion"/>
  </si>
  <si>
    <t>연료휠터</t>
    <phoneticPr fontId="6" type="noConversion"/>
  </si>
  <si>
    <t>에어크리너</t>
    <phoneticPr fontId="6" type="noConversion"/>
  </si>
  <si>
    <t>부동액</t>
    <phoneticPr fontId="6" type="noConversion"/>
  </si>
  <si>
    <t>부동액첨가제</t>
    <phoneticPr fontId="6" type="noConversion"/>
  </si>
  <si>
    <t>휀밸트</t>
    <phoneticPr fontId="6" type="noConversion"/>
  </si>
  <si>
    <t>히터호스</t>
    <phoneticPr fontId="6" type="noConversion"/>
  </si>
  <si>
    <t>15W40</t>
    <phoneticPr fontId="6" type="noConversion"/>
  </si>
  <si>
    <t>5020</t>
    <phoneticPr fontId="6" type="noConversion"/>
  </si>
  <si>
    <t>9053</t>
    <phoneticPr fontId="6" type="noConversion"/>
  </si>
  <si>
    <t>사계절</t>
    <phoneticPr fontId="6" type="noConversion"/>
  </si>
  <si>
    <t>DCA4</t>
    <phoneticPr fontId="6" type="noConversion"/>
  </si>
  <si>
    <t>A59</t>
    <phoneticPr fontId="6" type="noConversion"/>
  </si>
  <si>
    <t>15mm</t>
    <phoneticPr fontId="6" type="noConversion"/>
  </si>
  <si>
    <t>L</t>
    <phoneticPr fontId="6" type="noConversion"/>
  </si>
  <si>
    <t>EA</t>
    <phoneticPr fontId="6" type="noConversion"/>
  </si>
  <si>
    <t>발전기 보수</t>
    <phoneticPr fontId="6" type="noConversion"/>
  </si>
  <si>
    <t>■ 인원투입계획 : 총 5명(주말 :  명)</t>
    <phoneticPr fontId="23" type="noConversion"/>
  </si>
  <si>
    <t>기숙사 및 사택 비상 발전기 소모품 교체</t>
    <phoneticPr fontId="6" type="noConversion"/>
  </si>
  <si>
    <t>시운전 및 출장 공임</t>
    <phoneticPr fontId="6" type="noConversion"/>
  </si>
  <si>
    <t>115KW / D1146T ( 기숙사 3동 전기실)</t>
    <phoneticPr fontId="6" type="noConversion"/>
  </si>
  <si>
    <t>300KW / P126TI-II ( 사택 102동 전기실)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</si>
</sst>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</numFmts>
  <fonts count="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3" fillId="0" borderId="0"/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3" borderId="0" xfId="5" applyFont="1" applyFill="1" applyAlignment="1">
      <alignment vertical="center"/>
    </xf>
    <xf numFmtId="0" fontId="19" fillId="3" borderId="0" xfId="5" applyFont="1" applyFill="1" applyAlignment="1">
      <alignment horizontal="center" vertical="top" shrinkToFit="1"/>
    </xf>
    <xf numFmtId="0" fontId="16" fillId="3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3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4" borderId="12" xfId="5" applyFont="1" applyFill="1" applyBorder="1" applyAlignment="1">
      <alignment vertical="center"/>
    </xf>
    <xf numFmtId="1" fontId="17" fillId="4" borderId="12" xfId="5" applyNumberFormat="1" applyFont="1" applyFill="1" applyBorder="1" applyAlignment="1">
      <alignment horizontal="center" vertical="center"/>
    </xf>
    <xf numFmtId="180" fontId="17" fillId="4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4" borderId="12" xfId="2" applyNumberFormat="1" applyFont="1" applyFill="1" applyBorder="1" applyAlignment="1">
      <alignment horizontal="right" vertical="center"/>
    </xf>
    <xf numFmtId="1" fontId="17" fillId="4" borderId="12" xfId="8" applyNumberFormat="1" applyFont="1" applyFill="1" applyBorder="1" applyAlignment="1">
      <alignment horizontal="center" vertical="center"/>
    </xf>
    <xf numFmtId="177" fontId="17" fillId="4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2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181" fontId="34" fillId="0" borderId="0" xfId="17" applyNumberFormat="1" applyFont="1" applyAlignment="1">
      <alignment horizontal="center" vertical="center" shrinkToFit="1"/>
    </xf>
    <xf numFmtId="0" fontId="34" fillId="0" borderId="0" xfId="17" applyFont="1" applyAlignment="1">
      <alignment vertical="center" shrinkToFit="1"/>
    </xf>
    <xf numFmtId="0" fontId="38" fillId="0" borderId="0" xfId="17" applyFont="1" applyAlignment="1">
      <alignment vertical="center" shrinkToFit="1"/>
    </xf>
    <xf numFmtId="0" fontId="39" fillId="0" borderId="21" xfId="17" applyFont="1" applyBorder="1" applyAlignment="1">
      <alignment horizontal="center" vertical="center" shrinkToFit="1"/>
    </xf>
    <xf numFmtId="0" fontId="39" fillId="0" borderId="22" xfId="17" applyFont="1" applyBorder="1" applyAlignment="1">
      <alignment horizontal="center" vertical="center" shrinkToFit="1"/>
    </xf>
    <xf numFmtId="182" fontId="39" fillId="0" borderId="22" xfId="17" applyNumberFormat="1" applyFont="1" applyBorder="1" applyAlignment="1">
      <alignment horizontal="center" vertical="center" shrinkToFit="1"/>
    </xf>
    <xf numFmtId="181" fontId="40" fillId="0" borderId="0" xfId="17" applyNumberFormat="1" applyFont="1" applyAlignment="1">
      <alignment horizontal="center" vertical="center" shrinkToFit="1"/>
    </xf>
    <xf numFmtId="0" fontId="39" fillId="0" borderId="25" xfId="17" applyFont="1" applyBorder="1" applyAlignment="1">
      <alignment horizontal="center" vertical="center" shrinkToFit="1"/>
    </xf>
    <xf numFmtId="0" fontId="40" fillId="0" borderId="0" xfId="17" applyFont="1" applyAlignment="1">
      <alignment horizontal="center" vertical="center" shrinkToFit="1"/>
    </xf>
    <xf numFmtId="0" fontId="39" fillId="0" borderId="19" xfId="17" applyFont="1" applyBorder="1" applyAlignment="1">
      <alignment vertical="center" shrinkToFit="1"/>
    </xf>
    <xf numFmtId="0" fontId="34" fillId="0" borderId="0" xfId="17" applyFont="1" applyAlignment="1">
      <alignment horizontal="left" vertical="center" shrinkToFit="1"/>
    </xf>
    <xf numFmtId="182" fontId="3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180" fontId="27" fillId="4" borderId="0" xfId="2" applyNumberFormat="1" applyFont="1" applyFill="1" applyAlignment="1">
      <alignment horizontal="center" vertical="center"/>
    </xf>
    <xf numFmtId="177" fontId="43" fillId="2" borderId="18" xfId="1" applyFont="1" applyFill="1" applyBorder="1" applyAlignment="1">
      <alignment horizontal="center" vertical="center"/>
    </xf>
    <xf numFmtId="49" fontId="43" fillId="2" borderId="18" xfId="0" applyNumberFormat="1" applyFont="1" applyFill="1" applyBorder="1">
      <alignment vertical="center"/>
    </xf>
    <xf numFmtId="0" fontId="43" fillId="2" borderId="18" xfId="0" applyFont="1" applyFill="1" applyBorder="1" applyAlignment="1">
      <alignment horizontal="center" vertical="center"/>
    </xf>
    <xf numFmtId="177" fontId="43" fillId="2" borderId="18" xfId="1" applyFont="1" applyFill="1" applyBorder="1" applyAlignment="1">
      <alignment vertical="center"/>
    </xf>
    <xf numFmtId="0" fontId="45" fillId="0" borderId="0" xfId="0" applyFont="1">
      <alignment vertical="center"/>
    </xf>
    <xf numFmtId="49" fontId="32" fillId="0" borderId="0" xfId="0" applyNumberFormat="1" applyFont="1">
      <alignment vertical="center"/>
    </xf>
    <xf numFmtId="49" fontId="32" fillId="0" borderId="0" xfId="0" applyNumberFormat="1" applyFont="1" applyAlignment="1">
      <alignment horizontal="center" vertical="center"/>
    </xf>
    <xf numFmtId="177" fontId="32" fillId="0" borderId="0" xfId="1" applyFont="1" applyFill="1">
      <alignment vertical="center"/>
    </xf>
    <xf numFmtId="0" fontId="32" fillId="0" borderId="0" xfId="0" applyFont="1">
      <alignment vertical="center"/>
    </xf>
    <xf numFmtId="9" fontId="32" fillId="0" borderId="0" xfId="0" applyNumberFormat="1" applyFont="1">
      <alignment vertical="center"/>
    </xf>
    <xf numFmtId="0" fontId="46" fillId="0" borderId="0" xfId="0" applyFont="1" applyAlignment="1">
      <alignment horizontal="center" vertical="center"/>
    </xf>
    <xf numFmtId="49" fontId="47" fillId="0" borderId="0" xfId="0" applyNumberFormat="1" applyFont="1">
      <alignment vertical="center"/>
    </xf>
    <xf numFmtId="49" fontId="47" fillId="0" borderId="0" xfId="0" applyNumberFormat="1" applyFont="1" applyAlignment="1">
      <alignment horizontal="center" vertical="center"/>
    </xf>
    <xf numFmtId="177" fontId="47" fillId="0" borderId="0" xfId="1" applyFont="1">
      <alignment vertical="center"/>
    </xf>
    <xf numFmtId="0" fontId="48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49" fontId="48" fillId="2" borderId="18" xfId="2" applyNumberFormat="1" applyFont="1" applyFill="1" applyBorder="1" applyAlignment="1">
      <alignment vertical="center"/>
    </xf>
    <xf numFmtId="0" fontId="54" fillId="2" borderId="18" xfId="0" applyFont="1" applyFill="1" applyBorder="1" applyAlignment="1">
      <alignment horizontal="center" vertical="center"/>
    </xf>
    <xf numFmtId="0" fontId="32" fillId="2" borderId="0" xfId="0" applyFont="1" applyFill="1">
      <alignment vertical="center"/>
    </xf>
    <xf numFmtId="49" fontId="32" fillId="2" borderId="0" xfId="0" applyNumberFormat="1" applyFont="1" applyFill="1">
      <alignment vertical="center"/>
    </xf>
    <xf numFmtId="49" fontId="32" fillId="2" borderId="0" xfId="0" applyNumberFormat="1" applyFont="1" applyFill="1" applyAlignment="1">
      <alignment horizontal="center" vertical="center"/>
    </xf>
    <xf numFmtId="177" fontId="32" fillId="2" borderId="0" xfId="1" applyFont="1" applyFill="1">
      <alignment vertical="center"/>
    </xf>
    <xf numFmtId="9" fontId="32" fillId="2" borderId="0" xfId="0" applyNumberFormat="1" applyFont="1" applyFill="1">
      <alignment vertical="center"/>
    </xf>
    <xf numFmtId="9" fontId="43" fillId="2" borderId="18" xfId="0" applyNumberFormat="1" applyFont="1" applyFill="1" applyBorder="1">
      <alignment vertical="center"/>
    </xf>
    <xf numFmtId="0" fontId="43" fillId="2" borderId="18" xfId="0" applyFont="1" applyFill="1" applyBorder="1">
      <alignment vertical="center"/>
    </xf>
    <xf numFmtId="177" fontId="43" fillId="6" borderId="18" xfId="1" applyFont="1" applyFill="1" applyBorder="1" applyAlignment="1">
      <alignment vertical="center"/>
    </xf>
    <xf numFmtId="0" fontId="43" fillId="2" borderId="0" xfId="0" applyFont="1" applyFill="1">
      <alignment vertical="center"/>
    </xf>
    <xf numFmtId="0" fontId="47" fillId="2" borderId="0" xfId="0" applyFont="1" applyFill="1">
      <alignment vertical="center"/>
    </xf>
    <xf numFmtId="0" fontId="50" fillId="0" borderId="18" xfId="0" applyFont="1" applyBorder="1" applyAlignment="1">
      <alignment horizontal="right" vertical="center"/>
    </xf>
    <xf numFmtId="0" fontId="51" fillId="0" borderId="18" xfId="0" applyFont="1" applyBorder="1">
      <alignment vertical="center"/>
    </xf>
    <xf numFmtId="49" fontId="47" fillId="0" borderId="18" xfId="0" applyNumberFormat="1" applyFont="1" applyBorder="1">
      <alignment vertical="center"/>
    </xf>
    <xf numFmtId="49" fontId="47" fillId="0" borderId="18" xfId="0" applyNumberFormat="1" applyFont="1" applyBorder="1" applyAlignment="1">
      <alignment horizontal="center" vertical="center"/>
    </xf>
    <xf numFmtId="177" fontId="47" fillId="0" borderId="18" xfId="1" applyFont="1" applyBorder="1">
      <alignment vertical="center"/>
    </xf>
    <xf numFmtId="177" fontId="32" fillId="0" borderId="18" xfId="1" applyFont="1" applyFill="1" applyBorder="1">
      <alignment vertical="center"/>
    </xf>
    <xf numFmtId="9" fontId="52" fillId="5" borderId="18" xfId="15" applyFont="1" applyFill="1" applyBorder="1" applyAlignment="1">
      <alignment horizontal="center" vertical="center"/>
    </xf>
    <xf numFmtId="0" fontId="47" fillId="0" borderId="18" xfId="0" applyFont="1" applyBorder="1">
      <alignment vertical="center"/>
    </xf>
    <xf numFmtId="0" fontId="53" fillId="0" borderId="18" xfId="0" applyFont="1" applyBorder="1">
      <alignment vertical="center"/>
    </xf>
    <xf numFmtId="177" fontId="5" fillId="2" borderId="18" xfId="1" applyFont="1" applyFill="1" applyBorder="1" applyAlignment="1">
      <alignment horizontal="center" vertical="center" wrapText="1"/>
    </xf>
    <xf numFmtId="49" fontId="43" fillId="2" borderId="18" xfId="0" applyNumberFormat="1" applyFont="1" applyFill="1" applyBorder="1" applyAlignment="1">
      <alignment horizontal="left" vertical="center"/>
    </xf>
    <xf numFmtId="177" fontId="32" fillId="2" borderId="0" xfId="1" applyFont="1" applyFill="1" applyAlignment="1">
      <alignment horizontal="center" vertical="center"/>
    </xf>
    <xf numFmtId="177" fontId="44" fillId="2" borderId="18" xfId="1" applyFont="1" applyFill="1" applyBorder="1" applyAlignment="1"/>
    <xf numFmtId="177" fontId="43" fillId="2" borderId="18" xfId="0" applyNumberFormat="1" applyFont="1" applyFill="1" applyBorder="1" applyAlignment="1">
      <alignment horizontal="left" vertical="center"/>
    </xf>
    <xf numFmtId="0" fontId="44" fillId="2" borderId="18" xfId="0" applyFont="1" applyFill="1" applyBorder="1" applyAlignment="1">
      <alignment horizontal="center"/>
    </xf>
    <xf numFmtId="0" fontId="44" fillId="2" borderId="18" xfId="0" applyFont="1" applyFill="1" applyBorder="1" applyAlignment="1"/>
    <xf numFmtId="0" fontId="44" fillId="2" borderId="18" xfId="0" applyFont="1" applyFill="1" applyBorder="1" applyAlignment="1">
      <alignment horizontal="left"/>
    </xf>
    <xf numFmtId="0" fontId="25" fillId="0" borderId="12" xfId="20" applyFont="1" applyBorder="1" applyAlignment="1">
      <alignment horizontal="center" vertical="center"/>
    </xf>
    <xf numFmtId="177" fontId="25" fillId="0" borderId="12" xfId="21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vertical="center"/>
    </xf>
    <xf numFmtId="0" fontId="25" fillId="2" borderId="12" xfId="2" applyFont="1" applyFill="1" applyBorder="1" applyAlignment="1">
      <alignment horizontal="left" vertical="center"/>
    </xf>
    <xf numFmtId="180" fontId="25" fillId="0" borderId="16" xfId="5" applyNumberFormat="1" applyFont="1" applyBorder="1" applyAlignment="1">
      <alignment horizontal="right" vertical="center"/>
    </xf>
    <xf numFmtId="49" fontId="43" fillId="6" borderId="18" xfId="0" applyNumberFormat="1" applyFont="1" applyFill="1" applyBorder="1" applyAlignment="1">
      <alignment horizontal="center" vertical="center"/>
    </xf>
    <xf numFmtId="178" fontId="48" fillId="2" borderId="18" xfId="4" applyFont="1" applyFill="1" applyBorder="1" applyAlignment="1">
      <alignment horizontal="center" vertical="center"/>
    </xf>
    <xf numFmtId="0" fontId="48" fillId="2" borderId="18" xfId="0" applyFont="1" applyFill="1" applyBorder="1" applyAlignment="1">
      <alignment horizontal="center" vertical="center"/>
    </xf>
    <xf numFmtId="49" fontId="48" fillId="2" borderId="18" xfId="2" applyNumberFormat="1" applyFont="1" applyFill="1" applyBorder="1" applyAlignment="1">
      <alignment horizontal="center" vertical="center"/>
    </xf>
    <xf numFmtId="177" fontId="48" fillId="2" borderId="18" xfId="1" applyFont="1" applyFill="1" applyBorder="1" applyAlignment="1">
      <alignment horizontal="center" vertical="center"/>
    </xf>
    <xf numFmtId="0" fontId="43" fillId="0" borderId="18" xfId="0" applyFont="1" applyFill="1" applyBorder="1">
      <alignment vertical="center"/>
    </xf>
    <xf numFmtId="49" fontId="43" fillId="0" borderId="18" xfId="0" applyNumberFormat="1" applyFont="1" applyFill="1" applyBorder="1">
      <alignment vertical="center"/>
    </xf>
    <xf numFmtId="49" fontId="43" fillId="0" borderId="18" xfId="0" applyNumberFormat="1" applyFont="1" applyFill="1" applyBorder="1" applyAlignment="1">
      <alignment horizontal="center" vertical="center"/>
    </xf>
    <xf numFmtId="177" fontId="43" fillId="0" borderId="18" xfId="1" applyFont="1" applyFill="1" applyBorder="1" applyAlignment="1">
      <alignment vertical="center"/>
    </xf>
    <xf numFmtId="177" fontId="43" fillId="0" borderId="18" xfId="1" applyFont="1" applyFill="1" applyBorder="1" applyAlignment="1">
      <alignment horizontal="center" vertical="center"/>
    </xf>
    <xf numFmtId="0" fontId="43" fillId="0" borderId="18" xfId="0" applyFont="1" applyFill="1" applyBorder="1" applyAlignment="1">
      <alignment horizontal="center" vertical="center"/>
    </xf>
    <xf numFmtId="9" fontId="43" fillId="0" borderId="18" xfId="0" applyNumberFormat="1" applyFont="1" applyFill="1" applyBorder="1">
      <alignment vertical="center"/>
    </xf>
    <xf numFmtId="0" fontId="32" fillId="0" borderId="0" xfId="0" applyFont="1" applyFill="1">
      <alignment vertical="center"/>
    </xf>
    <xf numFmtId="0" fontId="43" fillId="0" borderId="0" xfId="0" applyFont="1" applyFill="1">
      <alignment vertical="center"/>
    </xf>
    <xf numFmtId="0" fontId="0" fillId="0" borderId="0" xfId="0" applyFill="1">
      <alignment vertical="center"/>
    </xf>
    <xf numFmtId="0" fontId="12" fillId="0" borderId="0" xfId="5" applyFont="1" applyAlignment="1">
      <alignment horizontal="center" vertical="center"/>
    </xf>
    <xf numFmtId="0" fontId="18" fillId="3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48" fillId="2" borderId="20" xfId="4" applyFont="1" applyFill="1" applyBorder="1" applyAlignment="1">
      <alignment horizontal="center" vertical="center"/>
    </xf>
    <xf numFmtId="178" fontId="48" fillId="2" borderId="35" xfId="4" applyFont="1" applyFill="1" applyBorder="1" applyAlignment="1">
      <alignment horizontal="center" vertical="center"/>
    </xf>
    <xf numFmtId="0" fontId="48" fillId="2" borderId="18" xfId="0" applyFont="1" applyFill="1" applyBorder="1" applyAlignment="1">
      <alignment horizontal="center" vertical="center"/>
    </xf>
    <xf numFmtId="0" fontId="49" fillId="2" borderId="18" xfId="0" applyFont="1" applyFill="1" applyBorder="1" applyAlignment="1">
      <alignment horizontal="center" vertical="center"/>
    </xf>
    <xf numFmtId="49" fontId="48" fillId="2" borderId="18" xfId="2" applyNumberFormat="1" applyFont="1" applyFill="1" applyBorder="1" applyAlignment="1">
      <alignment horizontal="center" vertical="center"/>
    </xf>
    <xf numFmtId="177" fontId="48" fillId="2" borderId="18" xfId="1" applyFont="1" applyFill="1" applyBorder="1" applyAlignment="1">
      <alignment horizontal="center" vertical="center"/>
    </xf>
    <xf numFmtId="178" fontId="49" fillId="2" borderId="20" xfId="4" applyFont="1" applyFill="1" applyBorder="1" applyAlignment="1">
      <alignment horizontal="center" vertical="center"/>
    </xf>
    <xf numFmtId="178" fontId="49" fillId="2" borderId="35" xfId="4" applyFont="1" applyFill="1" applyBorder="1" applyAlignment="1">
      <alignment horizontal="center" vertical="center"/>
    </xf>
    <xf numFmtId="0" fontId="41" fillId="2" borderId="32" xfId="16" applyFont="1" applyFill="1" applyBorder="1" applyAlignment="1">
      <alignment horizontal="left" vertical="center" shrinkToFit="1"/>
    </xf>
    <xf numFmtId="0" fontId="42" fillId="2" borderId="0" xfId="16" applyFont="1" applyFill="1" applyAlignment="1">
      <alignment horizontal="left" vertical="center" shrinkToFit="1"/>
    </xf>
    <xf numFmtId="0" fontId="42" fillId="2" borderId="33" xfId="16" applyFont="1" applyFill="1" applyBorder="1" applyAlignment="1">
      <alignment horizontal="left" vertical="center" shrinkToFit="1"/>
    </xf>
    <xf numFmtId="0" fontId="39" fillId="0" borderId="19" xfId="17" applyFont="1" applyBorder="1" applyAlignment="1">
      <alignment horizontal="center" vertical="center" shrinkToFit="1"/>
    </xf>
    <xf numFmtId="0" fontId="39" fillId="0" borderId="26" xfId="17" applyFont="1" applyBorder="1" applyAlignment="1">
      <alignment horizontal="center" vertical="center" shrinkToFit="1"/>
    </xf>
    <xf numFmtId="177" fontId="34" fillId="2" borderId="32" xfId="19" quotePrefix="1" applyFont="1" applyFill="1" applyBorder="1" applyAlignment="1">
      <alignment horizontal="left" vertical="center" shrinkToFit="1"/>
    </xf>
    <xf numFmtId="177" fontId="34" fillId="2" borderId="0" xfId="19" applyFont="1" applyFill="1" applyBorder="1" applyAlignment="1">
      <alignment horizontal="left" vertical="center" shrinkToFit="1"/>
    </xf>
    <xf numFmtId="177" fontId="34" fillId="2" borderId="33" xfId="19" applyFont="1" applyFill="1" applyBorder="1" applyAlignment="1">
      <alignment horizontal="left" vertical="center" shrinkToFit="1"/>
    </xf>
    <xf numFmtId="0" fontId="41" fillId="2" borderId="0" xfId="16" applyFont="1" applyFill="1" applyAlignment="1">
      <alignment horizontal="left" vertical="center" shrinkToFit="1"/>
    </xf>
    <xf numFmtId="0" fontId="41" fillId="2" borderId="33" xfId="16" applyFont="1" applyFill="1" applyBorder="1" applyAlignment="1">
      <alignment horizontal="left" vertical="center" shrinkToFit="1"/>
    </xf>
    <xf numFmtId="0" fontId="39" fillId="2" borderId="32" xfId="17" applyFont="1" applyFill="1" applyBorder="1" applyAlignment="1">
      <alignment horizontal="left" vertical="center" shrinkToFit="1"/>
    </xf>
    <xf numFmtId="0" fontId="39" fillId="2" borderId="0" xfId="17" applyFont="1" applyFill="1" applyAlignment="1">
      <alignment horizontal="left" vertical="center" shrinkToFit="1"/>
    </xf>
    <xf numFmtId="0" fontId="39" fillId="2" borderId="33" xfId="17" applyFont="1" applyFill="1" applyBorder="1" applyAlignment="1">
      <alignment horizontal="left" vertical="center" shrinkToFit="1"/>
    </xf>
    <xf numFmtId="177" fontId="34" fillId="2" borderId="0" xfId="19" quotePrefix="1" applyFont="1" applyFill="1" applyBorder="1" applyAlignment="1">
      <alignment horizontal="left" vertical="center" shrinkToFit="1"/>
    </xf>
    <xf numFmtId="177" fontId="34" fillId="2" borderId="33" xfId="19" quotePrefix="1" applyFont="1" applyFill="1" applyBorder="1" applyAlignment="1">
      <alignment horizontal="left" vertical="center" shrinkToFit="1"/>
    </xf>
    <xf numFmtId="0" fontId="35" fillId="0" borderId="0" xfId="17" applyFont="1" applyAlignment="1">
      <alignment horizontal="center" vertical="center" shrinkToFit="1"/>
    </xf>
    <xf numFmtId="0" fontId="36" fillId="0" borderId="0" xfId="17" applyFont="1" applyAlignment="1">
      <alignment horizontal="center" vertical="center" shrinkToFit="1"/>
    </xf>
    <xf numFmtId="176" fontId="37" fillId="0" borderId="0" xfId="18" applyFont="1" applyBorder="1" applyAlignment="1">
      <alignment horizontal="center" vertical="center" shrinkToFit="1"/>
    </xf>
    <xf numFmtId="31" fontId="39" fillId="0" borderId="23" xfId="17" applyNumberFormat="1" applyFont="1" applyBorder="1" applyAlignment="1">
      <alignment horizontal="center" vertical="center" shrinkToFit="1"/>
    </xf>
    <xf numFmtId="31" fontId="39" fillId="0" borderId="24" xfId="17" applyNumberFormat="1" applyFont="1" applyBorder="1" applyAlignment="1">
      <alignment horizontal="center" vertical="center" shrinkToFit="1"/>
    </xf>
    <xf numFmtId="0" fontId="39" fillId="0" borderId="20" xfId="17" applyFont="1" applyBorder="1" applyAlignment="1">
      <alignment horizontal="left" vertical="center" indent="1" shrinkToFit="1"/>
    </xf>
    <xf numFmtId="0" fontId="39" fillId="0" borderId="19" xfId="17" applyFont="1" applyBorder="1" applyAlignment="1">
      <alignment horizontal="left" vertical="center" indent="1" shrinkToFit="1"/>
    </xf>
    <xf numFmtId="0" fontId="39" fillId="0" borderId="26" xfId="17" applyFont="1" applyBorder="1" applyAlignment="1">
      <alignment horizontal="left" vertical="center" indent="1" shrinkToFit="1"/>
    </xf>
    <xf numFmtId="0" fontId="39" fillId="0" borderId="27" xfId="17" applyFont="1" applyBorder="1" applyAlignment="1">
      <alignment horizontal="center" vertical="center" shrinkToFit="1"/>
    </xf>
    <xf numFmtId="0" fontId="39" fillId="0" borderId="31" xfId="17" applyFont="1" applyBorder="1" applyAlignment="1">
      <alignment horizontal="center" vertical="center" shrinkToFit="1"/>
    </xf>
    <xf numFmtId="0" fontId="39" fillId="0" borderId="34" xfId="17" applyFont="1" applyBorder="1" applyAlignment="1">
      <alignment horizontal="center" vertical="center" shrinkToFit="1"/>
    </xf>
    <xf numFmtId="0" fontId="41" fillId="2" borderId="28" xfId="17" applyFont="1" applyFill="1" applyBorder="1" applyAlignment="1">
      <alignment horizontal="left" vertical="center" shrinkToFit="1"/>
    </xf>
    <xf numFmtId="0" fontId="41" fillId="2" borderId="29" xfId="17" applyFont="1" applyFill="1" applyBorder="1" applyAlignment="1">
      <alignment horizontal="left" vertical="center" shrinkToFit="1"/>
    </xf>
    <xf numFmtId="0" fontId="41" fillId="2" borderId="30" xfId="17" applyFont="1" applyFill="1" applyBorder="1" applyAlignment="1">
      <alignment horizontal="left" vertical="center" shrinkToFit="1"/>
    </xf>
    <xf numFmtId="0" fontId="41" fillId="2" borderId="32" xfId="17" applyFont="1" applyFill="1" applyBorder="1" applyAlignment="1">
      <alignment horizontal="left" vertical="center" shrinkToFit="1"/>
    </xf>
    <xf numFmtId="0" fontId="41" fillId="2" borderId="0" xfId="17" applyFont="1" applyFill="1" applyAlignment="1">
      <alignment horizontal="left" vertical="center" shrinkToFit="1"/>
    </xf>
    <xf numFmtId="0" fontId="41" fillId="2" borderId="33" xfId="17" applyFont="1" applyFill="1" applyBorder="1" applyAlignment="1">
      <alignment horizontal="left" vertical="center" shrinkToFit="1"/>
    </xf>
  </cellXfs>
  <cellStyles count="22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opLeftCell="A14" zoomScale="80" zoomScaleNormal="80" workbookViewId="0">
      <selection activeCell="C23" sqref="C23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40" t="s">
        <v>0</v>
      </c>
      <c r="B2" s="140"/>
      <c r="C2" s="140"/>
      <c r="D2" s="140"/>
      <c r="E2" s="140"/>
      <c r="F2" s="140"/>
      <c r="G2" s="140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50</v>
      </c>
      <c r="C5" s="7"/>
      <c r="D5" s="4"/>
      <c r="E5" s="4"/>
      <c r="F5" s="8" t="s">
        <v>47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109</v>
      </c>
      <c r="C7" s="12"/>
      <c r="D7" s="4"/>
      <c r="E7" s="13"/>
      <c r="F7" s="141" t="s">
        <v>48</v>
      </c>
      <c r="G7" s="141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46</v>
      </c>
      <c r="B9" s="72" t="s">
        <v>88</v>
      </c>
      <c r="C9" s="15"/>
      <c r="D9" s="4"/>
      <c r="E9" s="4"/>
      <c r="F9" s="8" t="s">
        <v>49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42"/>
      <c r="B11" s="143"/>
      <c r="C11" s="143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삼백삼십구만칠천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3"/>
      <c r="I14" s="3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'내역서(표준단가)'!O25</f>
        <v>1872500</v>
      </c>
      <c r="G16" s="37"/>
      <c r="I16" s="3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'내역서(표준단가)'!Q25</f>
        <v>1200000</v>
      </c>
      <c r="G17" s="38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/>
      <c r="G18" s="38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3072500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120" t="s">
        <v>74</v>
      </c>
      <c r="C21" s="43" t="s">
        <v>75</v>
      </c>
      <c r="D21" s="33">
        <v>1</v>
      </c>
      <c r="E21" s="33" t="s">
        <v>19</v>
      </c>
      <c r="F21" s="45">
        <f>(F16+F17)*3.11%</f>
        <v>95554.75</v>
      </c>
      <c r="G21" s="38" t="s">
        <v>20</v>
      </c>
    </row>
    <row r="22" spans="1:9" ht="33" customHeight="1">
      <c r="A22" s="32"/>
      <c r="B22" s="120" t="s">
        <v>76</v>
      </c>
      <c r="C22" s="43" t="s">
        <v>77</v>
      </c>
      <c r="D22" s="33">
        <v>1</v>
      </c>
      <c r="E22" s="33" t="s">
        <v>19</v>
      </c>
      <c r="F22" s="45">
        <f>F17*3.56%</f>
        <v>42720</v>
      </c>
      <c r="G22" s="38" t="s">
        <v>20</v>
      </c>
    </row>
    <row r="23" spans="1:9" ht="33" customHeight="1">
      <c r="A23" s="32"/>
      <c r="B23" s="120" t="s">
        <v>78</v>
      </c>
      <c r="C23" s="43" t="s">
        <v>79</v>
      </c>
      <c r="D23" s="33">
        <v>1</v>
      </c>
      <c r="E23" s="33" t="s">
        <v>19</v>
      </c>
      <c r="F23" s="121">
        <f>F17*1.01%</f>
        <v>12120</v>
      </c>
      <c r="G23" s="38" t="s">
        <v>20</v>
      </c>
    </row>
    <row r="24" spans="1:9" ht="33" customHeight="1">
      <c r="A24" s="32"/>
      <c r="B24" s="120" t="s">
        <v>80</v>
      </c>
      <c r="C24" s="122" t="s">
        <v>81</v>
      </c>
      <c r="D24" s="33">
        <v>1</v>
      </c>
      <c r="E24" s="33" t="s">
        <v>19</v>
      </c>
      <c r="F24" s="45">
        <f>F17*3.545%</f>
        <v>42540</v>
      </c>
      <c r="G24" s="38" t="s">
        <v>20</v>
      </c>
    </row>
    <row r="25" spans="1:9" ht="33" customHeight="1">
      <c r="A25" s="32"/>
      <c r="B25" s="120" t="s">
        <v>82</v>
      </c>
      <c r="C25" s="122" t="s">
        <v>83</v>
      </c>
      <c r="D25" s="33">
        <v>1</v>
      </c>
      <c r="E25" s="33" t="s">
        <v>19</v>
      </c>
      <c r="F25" s="45">
        <f>F17*4.5%</f>
        <v>54000</v>
      </c>
      <c r="G25" s="38" t="s">
        <v>20</v>
      </c>
    </row>
    <row r="26" spans="1:9" ht="33" customHeight="1">
      <c r="A26" s="32"/>
      <c r="B26" s="120" t="s">
        <v>84</v>
      </c>
      <c r="C26" s="123" t="s">
        <v>85</v>
      </c>
      <c r="D26" s="33">
        <v>1</v>
      </c>
      <c r="E26" s="33" t="s">
        <v>19</v>
      </c>
      <c r="F26" s="45">
        <f>F24*12.95%</f>
        <v>5508.93</v>
      </c>
      <c r="G26" s="38" t="s">
        <v>20</v>
      </c>
    </row>
    <row r="27" spans="1:9" ht="33" customHeight="1">
      <c r="A27" s="32"/>
      <c r="B27" s="120" t="s">
        <v>24</v>
      </c>
      <c r="C27" s="46" t="s">
        <v>86</v>
      </c>
      <c r="D27" s="33">
        <v>1</v>
      </c>
      <c r="E27" s="33" t="s">
        <v>19</v>
      </c>
      <c r="F27" s="45">
        <f>SUM(F17+F21+F22+F23+F24+F25+F26)*5%</f>
        <v>72622.183999999994</v>
      </c>
      <c r="G27" s="38"/>
    </row>
    <row r="28" spans="1:9" ht="33" customHeight="1">
      <c r="A28" s="32"/>
      <c r="B28" s="39" t="s">
        <v>21</v>
      </c>
      <c r="C28" s="47"/>
      <c r="D28" s="48"/>
      <c r="E28" s="40"/>
      <c r="F28" s="49">
        <f>F21+F22+F23+F24+F25+F26+F27</f>
        <v>325065.864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3397565.8640000001</v>
      </c>
      <c r="G30" s="38"/>
      <c r="H30" s="3"/>
      <c r="I30" s="3"/>
    </row>
    <row r="31" spans="1:9" ht="33" customHeight="1">
      <c r="A31" s="32"/>
      <c r="B31" s="39" t="s">
        <v>22</v>
      </c>
      <c r="C31" s="39"/>
      <c r="D31" s="40"/>
      <c r="E31" s="40"/>
      <c r="F31" s="73">
        <f>ROUNDDOWN(F30,-3)</f>
        <v>3397000</v>
      </c>
      <c r="G31" s="38"/>
      <c r="H31" s="3"/>
      <c r="I31" s="3"/>
    </row>
    <row r="32" spans="1:9" ht="33" customHeight="1" thickBot="1">
      <c r="A32" s="55"/>
      <c r="B32" s="56" t="s">
        <v>23</v>
      </c>
      <c r="C32" s="57"/>
      <c r="D32" s="57"/>
      <c r="E32" s="57"/>
      <c r="F32" s="124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137D-BC50-428A-BDCD-8CD38EC4E48D}">
  <sheetPr codeName="Sheet9"/>
  <dimension ref="I1:AO26"/>
  <sheetViews>
    <sheetView tabSelected="1" view="pageBreakPreview" topLeftCell="I1" zoomScale="115" zoomScaleNormal="100" zoomScaleSheetLayoutView="115" workbookViewId="0">
      <selection activeCell="J15" sqref="J15"/>
    </sheetView>
  </sheetViews>
  <sheetFormatPr defaultRowHeight="16.5"/>
  <cols>
    <col min="1" max="8" width="0" hidden="1" customWidth="1"/>
    <col min="9" max="9" width="17.75" customWidth="1"/>
    <col min="10" max="10" width="36.75" customWidth="1"/>
    <col min="12" max="12" width="4.5" customWidth="1"/>
    <col min="13" max="13" width="5.125" customWidth="1"/>
    <col min="14" max="14" width="11" customWidth="1"/>
    <col min="15" max="15" width="11.25" customWidth="1"/>
    <col min="16" max="16" width="10.25" customWidth="1"/>
    <col min="17" max="17" width="9.875" customWidth="1"/>
    <col min="18" max="18" width="10.625" hidden="1" customWidth="1"/>
    <col min="19" max="19" width="9.125" hidden="1" customWidth="1"/>
    <col min="20" max="21" width="6.625" hidden="1" customWidth="1"/>
    <col min="22" max="22" width="12.75" customWidth="1"/>
    <col min="23" max="23" width="11.75" customWidth="1"/>
    <col min="24" max="24" width="18.75" customWidth="1"/>
  </cols>
  <sheetData>
    <row r="1" spans="9:41">
      <c r="I1" s="78"/>
      <c r="J1" s="79"/>
      <c r="K1" s="79"/>
      <c r="L1" s="80"/>
      <c r="M1" s="81"/>
      <c r="N1" s="81"/>
      <c r="O1" s="81"/>
      <c r="P1" s="81"/>
      <c r="Q1" s="81"/>
      <c r="R1" s="82"/>
      <c r="S1" s="82"/>
      <c r="T1" s="82"/>
      <c r="U1" s="82"/>
      <c r="V1" s="82"/>
      <c r="W1" s="83"/>
      <c r="X1" s="79"/>
      <c r="Y1" s="93"/>
      <c r="Z1" s="93"/>
      <c r="AA1" s="93"/>
      <c r="AB1" s="93"/>
      <c r="AC1" s="93"/>
      <c r="AD1" s="93"/>
      <c r="AE1" s="93"/>
      <c r="AF1" s="93"/>
      <c r="AG1" s="82"/>
      <c r="AH1" s="82"/>
      <c r="AI1" s="82"/>
      <c r="AJ1" s="82"/>
      <c r="AK1" s="82"/>
      <c r="AL1" s="82"/>
      <c r="AM1" s="82"/>
      <c r="AN1" s="82"/>
      <c r="AO1" s="82"/>
    </row>
    <row r="2" spans="9:41">
      <c r="I2" s="84"/>
      <c r="J2" s="85"/>
      <c r="K2" s="85"/>
      <c r="L2" s="86"/>
      <c r="M2" s="87"/>
      <c r="N2" s="81"/>
      <c r="O2" s="88" t="s">
        <v>54</v>
      </c>
      <c r="P2" s="87"/>
      <c r="Q2" s="88" t="s">
        <v>54</v>
      </c>
      <c r="R2" s="89"/>
      <c r="S2" s="88" t="s">
        <v>54</v>
      </c>
      <c r="T2" s="89"/>
      <c r="U2" s="88" t="s">
        <v>54</v>
      </c>
      <c r="V2" s="89"/>
      <c r="W2" s="90" t="s">
        <v>51</v>
      </c>
      <c r="X2" s="89"/>
      <c r="Y2" s="93"/>
      <c r="Z2" s="93"/>
      <c r="AA2" s="93"/>
      <c r="AB2" s="93"/>
      <c r="AC2" s="93"/>
      <c r="AD2" s="93"/>
      <c r="AE2" s="93"/>
      <c r="AF2" s="93"/>
      <c r="AG2" s="89"/>
      <c r="AH2" s="89"/>
      <c r="AI2" s="89"/>
      <c r="AJ2" s="89"/>
      <c r="AK2" s="89"/>
      <c r="AL2" s="89"/>
      <c r="AM2" s="89"/>
      <c r="AN2" s="89"/>
      <c r="AO2" s="89"/>
    </row>
    <row r="3" spans="9:41">
      <c r="I3" s="103" t="s">
        <v>55</v>
      </c>
      <c r="J3" s="104" t="str">
        <f>갑지!B7</f>
        <v>기숙사 및 사택 비상 발전기 소모품 교체</v>
      </c>
      <c r="K3" s="105"/>
      <c r="L3" s="106"/>
      <c r="M3" s="107"/>
      <c r="N3" s="108"/>
      <c r="O3" s="109">
        <v>0.83</v>
      </c>
      <c r="P3" s="107"/>
      <c r="Q3" s="109">
        <v>0.4</v>
      </c>
      <c r="R3" s="110"/>
      <c r="S3" s="109">
        <v>0.6</v>
      </c>
      <c r="T3" s="110"/>
      <c r="U3" s="109">
        <v>0.6</v>
      </c>
      <c r="V3" s="110"/>
      <c r="W3" s="109">
        <v>1</v>
      </c>
      <c r="X3" s="111" t="s">
        <v>52</v>
      </c>
      <c r="Y3" s="93"/>
      <c r="Z3" s="93"/>
      <c r="AA3" s="93"/>
      <c r="AB3" s="93"/>
      <c r="AC3" s="93"/>
      <c r="AD3" s="93"/>
      <c r="AE3" s="93"/>
      <c r="AF3" s="93"/>
      <c r="AG3" s="89"/>
      <c r="AH3" s="89"/>
      <c r="AI3" s="89"/>
      <c r="AJ3" s="89"/>
      <c r="AK3" s="89"/>
      <c r="AL3" s="89"/>
      <c r="AM3" s="89"/>
      <c r="AN3" s="89"/>
      <c r="AO3" s="89"/>
    </row>
    <row r="4" spans="9:41">
      <c r="I4" s="146" t="s">
        <v>56</v>
      </c>
      <c r="J4" s="91" t="s">
        <v>57</v>
      </c>
      <c r="K4" s="91"/>
      <c r="L4" s="148" t="s">
        <v>58</v>
      </c>
      <c r="M4" s="149" t="s">
        <v>59</v>
      </c>
      <c r="N4" s="149" t="s">
        <v>60</v>
      </c>
      <c r="O4" s="149"/>
      <c r="P4" s="149" t="s">
        <v>61</v>
      </c>
      <c r="Q4" s="149"/>
      <c r="R4" s="150" t="s">
        <v>72</v>
      </c>
      <c r="S4" s="151"/>
      <c r="T4" s="144" t="s">
        <v>62</v>
      </c>
      <c r="U4" s="145"/>
      <c r="V4" s="146" t="s">
        <v>63</v>
      </c>
      <c r="W4" s="147" t="s">
        <v>26</v>
      </c>
      <c r="X4" s="146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102"/>
      <c r="AK4" s="102"/>
      <c r="AL4" s="102"/>
      <c r="AM4" s="102"/>
      <c r="AN4" s="102"/>
      <c r="AO4" s="102"/>
    </row>
    <row r="5" spans="9:41">
      <c r="I5" s="146"/>
      <c r="J5" s="128" t="s">
        <v>64</v>
      </c>
      <c r="K5" s="128" t="s">
        <v>65</v>
      </c>
      <c r="L5" s="148"/>
      <c r="M5" s="149"/>
      <c r="N5" s="129" t="s">
        <v>66</v>
      </c>
      <c r="O5" s="129" t="s">
        <v>67</v>
      </c>
      <c r="P5" s="129" t="s">
        <v>68</v>
      </c>
      <c r="Q5" s="129" t="s">
        <v>67</v>
      </c>
      <c r="R5" s="126" t="s">
        <v>69</v>
      </c>
      <c r="S5" s="126" t="s">
        <v>67</v>
      </c>
      <c r="T5" s="126" t="s">
        <v>69</v>
      </c>
      <c r="U5" s="126" t="s">
        <v>67</v>
      </c>
      <c r="V5" s="146"/>
      <c r="W5" s="127" t="s">
        <v>70</v>
      </c>
      <c r="X5" s="92" t="s">
        <v>25</v>
      </c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</row>
    <row r="6" spans="9:41">
      <c r="I6" s="76"/>
      <c r="J6" s="125" t="s">
        <v>111</v>
      </c>
      <c r="K6" s="75"/>
      <c r="L6" s="113"/>
      <c r="M6" s="116" t="s">
        <v>89</v>
      </c>
      <c r="N6" s="112"/>
      <c r="O6" s="77"/>
      <c r="P6" s="112"/>
      <c r="Q6" s="74"/>
      <c r="R6" s="99"/>
      <c r="S6" s="99"/>
      <c r="T6" s="99"/>
      <c r="U6" s="99"/>
      <c r="V6" s="74"/>
      <c r="W6" s="98"/>
      <c r="X6" s="75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</row>
    <row r="7" spans="9:41">
      <c r="I7" s="117" t="s">
        <v>73</v>
      </c>
      <c r="J7" s="118" t="s">
        <v>90</v>
      </c>
      <c r="K7" s="118" t="s">
        <v>98</v>
      </c>
      <c r="L7" s="119" t="s">
        <v>105</v>
      </c>
      <c r="M7" s="116">
        <v>20</v>
      </c>
      <c r="N7" s="115">
        <v>9500</v>
      </c>
      <c r="O7" s="77">
        <f>M7*N7</f>
        <v>190000</v>
      </c>
      <c r="P7" s="115"/>
      <c r="Q7" s="74">
        <f t="shared" ref="Q7:Q14" si="0">IF(W7="",M7*P7*$Y$3*$AE$3,M7*P7*$Y$3*W7)</f>
        <v>0</v>
      </c>
      <c r="R7" s="99"/>
      <c r="S7" s="99"/>
      <c r="T7" s="99"/>
      <c r="U7" s="99"/>
      <c r="V7" s="74">
        <f t="shared" ref="V7:V14" si="1">SUM(O7+Q7)+S7+U7</f>
        <v>190000</v>
      </c>
      <c r="W7" s="98"/>
      <c r="X7" s="75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</row>
    <row r="8" spans="9:41">
      <c r="I8" s="117" t="s">
        <v>73</v>
      </c>
      <c r="J8" s="75" t="s">
        <v>91</v>
      </c>
      <c r="K8" s="75" t="s">
        <v>99</v>
      </c>
      <c r="L8" s="113" t="s">
        <v>106</v>
      </c>
      <c r="M8" s="116">
        <v>1</v>
      </c>
      <c r="N8" s="112">
        <v>65000</v>
      </c>
      <c r="O8" s="77">
        <f t="shared" ref="O8:O14" si="2">M8*N8</f>
        <v>65000</v>
      </c>
      <c r="P8" s="112"/>
      <c r="Q8" s="74">
        <f t="shared" si="0"/>
        <v>0</v>
      </c>
      <c r="R8" s="99"/>
      <c r="S8" s="99"/>
      <c r="T8" s="99"/>
      <c r="U8" s="99"/>
      <c r="V8" s="74">
        <f t="shared" si="1"/>
        <v>65000</v>
      </c>
      <c r="W8" s="98"/>
      <c r="X8" s="75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</row>
    <row r="9" spans="9:41">
      <c r="I9" s="117" t="s">
        <v>73</v>
      </c>
      <c r="J9" s="118" t="s">
        <v>92</v>
      </c>
      <c r="K9" s="119">
        <v>5018</v>
      </c>
      <c r="L9" s="119" t="s">
        <v>106</v>
      </c>
      <c r="M9" s="116">
        <v>1</v>
      </c>
      <c r="N9" s="115">
        <v>58000</v>
      </c>
      <c r="O9" s="77">
        <f t="shared" si="2"/>
        <v>58000</v>
      </c>
      <c r="P9" s="115"/>
      <c r="Q9" s="74">
        <f t="shared" si="0"/>
        <v>0</v>
      </c>
      <c r="R9" s="99"/>
      <c r="S9" s="99"/>
      <c r="T9" s="99"/>
      <c r="U9" s="99"/>
      <c r="V9" s="74">
        <f t="shared" si="1"/>
        <v>58000</v>
      </c>
      <c r="W9" s="98"/>
      <c r="X9" s="75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</row>
    <row r="10" spans="9:41">
      <c r="I10" s="117" t="s">
        <v>73</v>
      </c>
      <c r="J10" s="75" t="s">
        <v>93</v>
      </c>
      <c r="K10" s="75" t="s">
        <v>100</v>
      </c>
      <c r="L10" s="113" t="s">
        <v>106</v>
      </c>
      <c r="M10" s="116">
        <v>1</v>
      </c>
      <c r="N10" s="112">
        <v>155000</v>
      </c>
      <c r="O10" s="77">
        <f t="shared" si="2"/>
        <v>155000</v>
      </c>
      <c r="P10" s="112"/>
      <c r="Q10" s="74">
        <f t="shared" si="0"/>
        <v>0</v>
      </c>
      <c r="R10" s="99"/>
      <c r="S10" s="99"/>
      <c r="T10" s="99"/>
      <c r="U10" s="99"/>
      <c r="V10" s="74">
        <f t="shared" si="1"/>
        <v>155000</v>
      </c>
      <c r="W10" s="98"/>
      <c r="X10" s="75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</row>
    <row r="11" spans="9:41">
      <c r="I11" s="117" t="s">
        <v>73</v>
      </c>
      <c r="J11" s="118" t="s">
        <v>94</v>
      </c>
      <c r="K11" s="118" t="s">
        <v>101</v>
      </c>
      <c r="L11" s="119" t="s">
        <v>105</v>
      </c>
      <c r="M11" s="116">
        <v>20</v>
      </c>
      <c r="N11" s="115">
        <v>9000</v>
      </c>
      <c r="O11" s="77">
        <f t="shared" si="2"/>
        <v>180000</v>
      </c>
      <c r="P11" s="115"/>
      <c r="Q11" s="74">
        <f t="shared" si="0"/>
        <v>0</v>
      </c>
      <c r="R11" s="99"/>
      <c r="S11" s="99"/>
      <c r="T11" s="99"/>
      <c r="U11" s="99"/>
      <c r="V11" s="74">
        <f t="shared" si="1"/>
        <v>180000</v>
      </c>
      <c r="W11" s="98"/>
      <c r="X11" s="75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</row>
    <row r="12" spans="9:41">
      <c r="I12" s="117" t="s">
        <v>73</v>
      </c>
      <c r="J12" s="75" t="s">
        <v>95</v>
      </c>
      <c r="K12" s="75" t="s">
        <v>102</v>
      </c>
      <c r="L12" s="113" t="s">
        <v>105</v>
      </c>
      <c r="M12" s="116">
        <v>2</v>
      </c>
      <c r="N12" s="112">
        <v>50000</v>
      </c>
      <c r="O12" s="77">
        <f t="shared" si="2"/>
        <v>100000</v>
      </c>
      <c r="P12" s="112"/>
      <c r="Q12" s="74">
        <f t="shared" si="0"/>
        <v>0</v>
      </c>
      <c r="R12" s="99"/>
      <c r="S12" s="99"/>
      <c r="T12" s="99"/>
      <c r="U12" s="99"/>
      <c r="V12" s="74">
        <f t="shared" si="1"/>
        <v>100000</v>
      </c>
      <c r="W12" s="98"/>
      <c r="X12" s="75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</row>
    <row r="13" spans="9:41">
      <c r="I13" s="117" t="s">
        <v>73</v>
      </c>
      <c r="J13" s="118" t="s">
        <v>96</v>
      </c>
      <c r="K13" s="118" t="s">
        <v>103</v>
      </c>
      <c r="L13" s="119" t="s">
        <v>106</v>
      </c>
      <c r="M13" s="116">
        <v>2</v>
      </c>
      <c r="N13" s="115">
        <v>55000</v>
      </c>
      <c r="O13" s="77">
        <f t="shared" si="2"/>
        <v>110000</v>
      </c>
      <c r="P13" s="115"/>
      <c r="Q13" s="74">
        <f t="shared" si="0"/>
        <v>0</v>
      </c>
      <c r="R13" s="99"/>
      <c r="S13" s="99"/>
      <c r="T13" s="99"/>
      <c r="U13" s="99"/>
      <c r="V13" s="74">
        <f t="shared" si="1"/>
        <v>110000</v>
      </c>
      <c r="W13" s="98"/>
      <c r="X13" s="75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</row>
    <row r="14" spans="9:41">
      <c r="I14" s="117" t="s">
        <v>73</v>
      </c>
      <c r="J14" s="75" t="s">
        <v>97</v>
      </c>
      <c r="K14" s="75" t="s">
        <v>104</v>
      </c>
      <c r="L14" s="113" t="s">
        <v>53</v>
      </c>
      <c r="M14" s="116">
        <v>2</v>
      </c>
      <c r="N14" s="112">
        <v>27500</v>
      </c>
      <c r="O14" s="77">
        <f t="shared" si="2"/>
        <v>55000</v>
      </c>
      <c r="P14" s="112"/>
      <c r="Q14" s="74">
        <f t="shared" si="0"/>
        <v>0</v>
      </c>
      <c r="R14" s="99"/>
      <c r="S14" s="99"/>
      <c r="T14" s="99"/>
      <c r="U14" s="99"/>
      <c r="V14" s="74">
        <f t="shared" si="1"/>
        <v>55000</v>
      </c>
      <c r="W14" s="98"/>
      <c r="X14" s="75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</row>
    <row r="15" spans="9:41">
      <c r="I15" s="117"/>
      <c r="J15" s="125" t="s">
        <v>112</v>
      </c>
      <c r="K15" s="118"/>
      <c r="L15" s="119"/>
      <c r="M15" s="116" t="s">
        <v>89</v>
      </c>
      <c r="N15" s="115"/>
      <c r="O15" s="77"/>
      <c r="P15" s="115"/>
      <c r="Q15" s="74"/>
      <c r="R15" s="99"/>
      <c r="S15" s="99"/>
      <c r="T15" s="99"/>
      <c r="U15" s="99"/>
      <c r="V15" s="74"/>
      <c r="W15" s="98"/>
      <c r="X15" s="75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</row>
    <row r="16" spans="9:41">
      <c r="I16" s="117" t="s">
        <v>73</v>
      </c>
      <c r="J16" s="118" t="s">
        <v>90</v>
      </c>
      <c r="K16" s="118" t="s">
        <v>98</v>
      </c>
      <c r="L16" s="119" t="s">
        <v>105</v>
      </c>
      <c r="M16" s="116">
        <v>24</v>
      </c>
      <c r="N16" s="115">
        <v>9500</v>
      </c>
      <c r="O16" s="77">
        <f t="shared" ref="O16:O23" si="3">M16*N16</f>
        <v>228000</v>
      </c>
      <c r="P16" s="112"/>
      <c r="Q16" s="74">
        <f t="shared" ref="Q16:Q23" si="4">IF(W16="",M16*P16*$Y$3*$AE$3,M16*P16*$Y$3*W16)</f>
        <v>0</v>
      </c>
      <c r="R16" s="99"/>
      <c r="S16" s="99"/>
      <c r="T16" s="99"/>
      <c r="U16" s="99"/>
      <c r="V16" s="74">
        <f t="shared" ref="V16:V24" si="5">SUM(O16+Q16)+S16+U16</f>
        <v>228000</v>
      </c>
      <c r="W16" s="98"/>
      <c r="X16" s="75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</row>
    <row r="17" spans="9:41">
      <c r="I17" s="117" t="s">
        <v>73</v>
      </c>
      <c r="J17" s="75" t="s">
        <v>91</v>
      </c>
      <c r="K17" s="75" t="s">
        <v>99</v>
      </c>
      <c r="L17" s="113" t="s">
        <v>106</v>
      </c>
      <c r="M17" s="116">
        <v>1</v>
      </c>
      <c r="N17" s="112">
        <v>65000</v>
      </c>
      <c r="O17" s="77">
        <f t="shared" si="3"/>
        <v>65000</v>
      </c>
      <c r="P17" s="115"/>
      <c r="Q17" s="74">
        <f t="shared" si="4"/>
        <v>0</v>
      </c>
      <c r="R17" s="99"/>
      <c r="S17" s="99"/>
      <c r="T17" s="99"/>
      <c r="U17" s="99"/>
      <c r="V17" s="74">
        <f t="shared" si="5"/>
        <v>65000</v>
      </c>
      <c r="W17" s="98"/>
      <c r="X17" s="75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</row>
    <row r="18" spans="9:41">
      <c r="I18" s="117" t="s">
        <v>73</v>
      </c>
      <c r="J18" s="118" t="s">
        <v>92</v>
      </c>
      <c r="K18" s="119">
        <v>5018</v>
      </c>
      <c r="L18" s="119" t="s">
        <v>106</v>
      </c>
      <c r="M18" s="116">
        <v>1</v>
      </c>
      <c r="N18" s="115">
        <v>58000</v>
      </c>
      <c r="O18" s="77">
        <f t="shared" si="3"/>
        <v>58000</v>
      </c>
      <c r="P18" s="112"/>
      <c r="Q18" s="74">
        <f t="shared" si="4"/>
        <v>0</v>
      </c>
      <c r="R18" s="99"/>
      <c r="S18" s="99"/>
      <c r="T18" s="99"/>
      <c r="U18" s="99"/>
      <c r="V18" s="74">
        <f t="shared" si="5"/>
        <v>58000</v>
      </c>
      <c r="W18" s="98"/>
      <c r="X18" s="75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</row>
    <row r="19" spans="9:41">
      <c r="I19" s="117" t="s">
        <v>73</v>
      </c>
      <c r="J19" s="75" t="s">
        <v>93</v>
      </c>
      <c r="K19" s="75" t="s">
        <v>100</v>
      </c>
      <c r="L19" s="113" t="s">
        <v>106</v>
      </c>
      <c r="M19" s="116">
        <v>1</v>
      </c>
      <c r="N19" s="112">
        <v>155000</v>
      </c>
      <c r="O19" s="77">
        <f t="shared" si="3"/>
        <v>155000</v>
      </c>
      <c r="P19" s="115"/>
      <c r="Q19" s="74">
        <f t="shared" si="4"/>
        <v>0</v>
      </c>
      <c r="R19" s="99"/>
      <c r="S19" s="99"/>
      <c r="T19" s="99"/>
      <c r="U19" s="99"/>
      <c r="V19" s="74">
        <f t="shared" si="5"/>
        <v>155000</v>
      </c>
      <c r="W19" s="98"/>
      <c r="X19" s="75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</row>
    <row r="20" spans="9:41">
      <c r="I20" s="117" t="s">
        <v>73</v>
      </c>
      <c r="J20" s="118" t="s">
        <v>94</v>
      </c>
      <c r="K20" s="118" t="s">
        <v>101</v>
      </c>
      <c r="L20" s="119" t="s">
        <v>105</v>
      </c>
      <c r="M20" s="116">
        <v>24</v>
      </c>
      <c r="N20" s="115">
        <v>9000</v>
      </c>
      <c r="O20" s="77">
        <f t="shared" si="3"/>
        <v>216000</v>
      </c>
      <c r="P20" s="112"/>
      <c r="Q20" s="74">
        <f t="shared" si="4"/>
        <v>0</v>
      </c>
      <c r="R20" s="99"/>
      <c r="S20" s="99"/>
      <c r="T20" s="99"/>
      <c r="U20" s="99"/>
      <c r="V20" s="74">
        <f t="shared" si="5"/>
        <v>216000</v>
      </c>
      <c r="W20" s="98"/>
      <c r="X20" s="75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</row>
    <row r="21" spans="9:41">
      <c r="I21" s="117" t="s">
        <v>73</v>
      </c>
      <c r="J21" s="75" t="s">
        <v>95</v>
      </c>
      <c r="K21" s="75" t="s">
        <v>102</v>
      </c>
      <c r="L21" s="113" t="s">
        <v>105</v>
      </c>
      <c r="M21" s="116">
        <v>2</v>
      </c>
      <c r="N21" s="112">
        <v>50000</v>
      </c>
      <c r="O21" s="77">
        <f t="shared" si="3"/>
        <v>100000</v>
      </c>
      <c r="P21" s="115"/>
      <c r="Q21" s="74">
        <f t="shared" si="4"/>
        <v>0</v>
      </c>
      <c r="R21" s="99"/>
      <c r="S21" s="99"/>
      <c r="T21" s="99"/>
      <c r="U21" s="99"/>
      <c r="V21" s="74">
        <f t="shared" si="5"/>
        <v>100000</v>
      </c>
      <c r="W21" s="98"/>
      <c r="X21" s="75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</row>
    <row r="22" spans="9:41">
      <c r="I22" s="117" t="s">
        <v>73</v>
      </c>
      <c r="J22" s="118" t="s">
        <v>96</v>
      </c>
      <c r="K22" s="118" t="s">
        <v>103</v>
      </c>
      <c r="L22" s="119" t="s">
        <v>106</v>
      </c>
      <c r="M22" s="116">
        <v>2</v>
      </c>
      <c r="N22" s="115">
        <v>55000</v>
      </c>
      <c r="O22" s="77">
        <f t="shared" si="3"/>
        <v>110000</v>
      </c>
      <c r="P22" s="112"/>
      <c r="Q22" s="74">
        <f t="shared" si="4"/>
        <v>0</v>
      </c>
      <c r="R22" s="99"/>
      <c r="S22" s="99"/>
      <c r="T22" s="99"/>
      <c r="U22" s="99"/>
      <c r="V22" s="74">
        <f t="shared" si="5"/>
        <v>110000</v>
      </c>
      <c r="W22" s="98"/>
      <c r="X22" s="75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</row>
    <row r="23" spans="9:41">
      <c r="I23" s="117" t="s">
        <v>73</v>
      </c>
      <c r="J23" s="75" t="s">
        <v>97</v>
      </c>
      <c r="K23" s="75" t="s">
        <v>104</v>
      </c>
      <c r="L23" s="113" t="s">
        <v>53</v>
      </c>
      <c r="M23" s="116">
        <v>1</v>
      </c>
      <c r="N23" s="112">
        <v>27500</v>
      </c>
      <c r="O23" s="77">
        <f t="shared" si="3"/>
        <v>27500</v>
      </c>
      <c r="P23" s="115"/>
      <c r="Q23" s="74">
        <f t="shared" si="4"/>
        <v>0</v>
      </c>
      <c r="R23" s="99"/>
      <c r="S23" s="99"/>
      <c r="T23" s="99"/>
      <c r="U23" s="99"/>
      <c r="V23" s="74">
        <f t="shared" si="5"/>
        <v>27500</v>
      </c>
      <c r="W23" s="98"/>
      <c r="X23" s="75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</row>
    <row r="24" spans="9:41">
      <c r="I24" s="117" t="s">
        <v>73</v>
      </c>
      <c r="J24" s="75" t="s">
        <v>110</v>
      </c>
      <c r="K24" s="75"/>
      <c r="L24" s="113"/>
      <c r="M24" s="116">
        <v>4</v>
      </c>
      <c r="N24" s="112"/>
      <c r="O24" s="77">
        <f t="shared" ref="O24" si="6">M24*N24*$W$3</f>
        <v>0</v>
      </c>
      <c r="P24" s="112">
        <v>300000</v>
      </c>
      <c r="Q24" s="74">
        <f>M24*P24</f>
        <v>1200000</v>
      </c>
      <c r="R24" s="99"/>
      <c r="S24" s="99"/>
      <c r="T24" s="99"/>
      <c r="U24" s="99"/>
      <c r="V24" s="74">
        <f t="shared" si="5"/>
        <v>1200000</v>
      </c>
      <c r="W24" s="98"/>
      <c r="X24" s="75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</row>
    <row r="25" spans="9:41" s="139" customFormat="1">
      <c r="I25" s="130"/>
      <c r="J25" s="131"/>
      <c r="K25" s="131"/>
      <c r="L25" s="132"/>
      <c r="M25" s="133" t="s">
        <v>71</v>
      </c>
      <c r="N25" s="134"/>
      <c r="O25" s="100">
        <f>SUM(O6:O24)</f>
        <v>1872500</v>
      </c>
      <c r="P25" s="134"/>
      <c r="Q25" s="100">
        <f>SUM(Q6:Q24)</f>
        <v>1200000</v>
      </c>
      <c r="R25" s="135"/>
      <c r="S25" s="133" t="e">
        <f>SUM(#REF!)</f>
        <v>#REF!</v>
      </c>
      <c r="T25" s="133"/>
      <c r="U25" s="133"/>
      <c r="V25" s="100">
        <f>SUM(V6:V24)</f>
        <v>3072500</v>
      </c>
      <c r="W25" s="136"/>
      <c r="X25" s="131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8"/>
      <c r="AL25" s="138"/>
      <c r="AM25" s="138"/>
      <c r="AN25" s="138"/>
      <c r="AO25" s="138"/>
    </row>
    <row r="26" spans="9:41">
      <c r="I26" s="93"/>
      <c r="J26" s="94"/>
      <c r="K26" s="94"/>
      <c r="L26" s="95"/>
      <c r="M26" s="96"/>
      <c r="N26" s="114"/>
      <c r="O26" s="96"/>
      <c r="P26" s="96"/>
      <c r="Q26" s="96"/>
      <c r="R26" s="93"/>
      <c r="S26" s="93"/>
      <c r="T26" s="93"/>
      <c r="U26" s="93"/>
      <c r="V26" s="93"/>
      <c r="W26" s="97"/>
      <c r="X26" s="94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</row>
  </sheetData>
  <mergeCells count="9">
    <mergeCell ref="T4:U4"/>
    <mergeCell ref="V4:V5"/>
    <mergeCell ref="W4:X4"/>
    <mergeCell ref="I4:I5"/>
    <mergeCell ref="L4:L5"/>
    <mergeCell ref="M4:M5"/>
    <mergeCell ref="N4:O4"/>
    <mergeCell ref="P4:Q4"/>
    <mergeCell ref="R4:S4"/>
  </mergeCells>
  <phoneticPr fontId="6" type="noConversion"/>
  <pageMargins left="0.7" right="0.7" top="0.75" bottom="0.75" header="0.3" footer="0.3"/>
  <pageSetup paperSize="9" scale="43" orientation="portrait" r:id="rId1"/>
  <colBreaks count="1" manualBreakCount="1">
    <brk id="24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topLeftCell="A4" zoomScaleNormal="100" zoomScaleSheetLayoutView="100" workbookViewId="0">
      <selection activeCell="C5" sqref="C5:F5"/>
    </sheetView>
  </sheetViews>
  <sheetFormatPr defaultColWidth="9" defaultRowHeight="13.5"/>
  <cols>
    <col min="1" max="1" width="3.125" style="60" customWidth="1"/>
    <col min="2" max="2" width="18.25" style="70" customWidth="1"/>
    <col min="3" max="3" width="32.375" style="70" customWidth="1"/>
    <col min="4" max="4" width="10" style="71" customWidth="1"/>
    <col min="5" max="5" width="16.625" style="70" customWidth="1"/>
    <col min="6" max="6" width="16.625" style="61" customWidth="1"/>
    <col min="7" max="7" width="3.125" style="61" customWidth="1"/>
    <col min="8" max="16384" width="9" style="61"/>
  </cols>
  <sheetData>
    <row r="1" spans="1:6" ht="16.5" customHeight="1">
      <c r="B1" s="167" t="s">
        <v>27</v>
      </c>
      <c r="C1" s="168"/>
      <c r="D1" s="168"/>
      <c r="E1" s="168"/>
      <c r="F1" s="168"/>
    </row>
    <row r="2" spans="1:6" ht="25.5" customHeight="1">
      <c r="B2" s="168"/>
      <c r="C2" s="168"/>
      <c r="D2" s="168"/>
      <c r="E2" s="168"/>
      <c r="F2" s="168"/>
    </row>
    <row r="3" spans="1:6" ht="10.5" customHeight="1" thickBot="1">
      <c r="A3" s="169"/>
      <c r="B3" s="169"/>
      <c r="C3" s="169"/>
      <c r="D3" s="169"/>
      <c r="E3" s="169"/>
      <c r="F3" s="169"/>
    </row>
    <row r="4" spans="1:6" ht="31.5" customHeight="1">
      <c r="A4" s="62"/>
      <c r="B4" s="63" t="s">
        <v>28</v>
      </c>
      <c r="C4" s="64" t="s">
        <v>29</v>
      </c>
      <c r="D4" s="65" t="s">
        <v>30</v>
      </c>
      <c r="E4" s="170" t="str">
        <f>갑지!B9</f>
        <v>2025년 08월  일</v>
      </c>
      <c r="F4" s="171"/>
    </row>
    <row r="5" spans="1:6" s="68" customFormat="1" ht="31.5" customHeight="1">
      <c r="A5" s="66"/>
      <c r="B5" s="67" t="s">
        <v>31</v>
      </c>
      <c r="C5" s="172" t="str">
        <f>갑지!B7</f>
        <v>기숙사 및 사택 비상 발전기 소모품 교체</v>
      </c>
      <c r="D5" s="173"/>
      <c r="E5" s="173"/>
      <c r="F5" s="174"/>
    </row>
    <row r="6" spans="1:6" ht="21.95" customHeight="1">
      <c r="A6" s="66"/>
      <c r="B6" s="175" t="s">
        <v>32</v>
      </c>
      <c r="C6" s="178" t="s">
        <v>33</v>
      </c>
      <c r="D6" s="179"/>
      <c r="E6" s="179"/>
      <c r="F6" s="180"/>
    </row>
    <row r="7" spans="1:6" ht="21.95" customHeight="1">
      <c r="A7" s="66"/>
      <c r="B7" s="176"/>
      <c r="C7" s="181" t="s">
        <v>108</v>
      </c>
      <c r="D7" s="182"/>
      <c r="E7" s="182"/>
      <c r="F7" s="183"/>
    </row>
    <row r="8" spans="1:6" ht="21.95" customHeight="1">
      <c r="A8" s="66"/>
      <c r="B8" s="176"/>
      <c r="C8" s="181" t="s">
        <v>34</v>
      </c>
      <c r="D8" s="182"/>
      <c r="E8" s="182"/>
      <c r="F8" s="183"/>
    </row>
    <row r="9" spans="1:6" ht="21.95" customHeight="1">
      <c r="A9" s="66"/>
      <c r="B9" s="176"/>
      <c r="C9" s="157"/>
      <c r="D9" s="165"/>
      <c r="E9" s="165"/>
      <c r="F9" s="166"/>
    </row>
    <row r="10" spans="1:6" ht="21.95" customHeight="1">
      <c r="A10" s="66"/>
      <c r="B10" s="176"/>
      <c r="C10" s="157"/>
      <c r="D10" s="165"/>
      <c r="E10" s="165"/>
      <c r="F10" s="166"/>
    </row>
    <row r="11" spans="1:6" ht="21.95" customHeight="1">
      <c r="A11" s="66"/>
      <c r="B11" s="176"/>
      <c r="C11" s="157"/>
      <c r="D11" s="165"/>
      <c r="E11" s="165"/>
      <c r="F11" s="166"/>
    </row>
    <row r="12" spans="1:6" ht="21.95" customHeight="1">
      <c r="A12" s="66"/>
      <c r="B12" s="176"/>
      <c r="C12" s="157" t="s">
        <v>107</v>
      </c>
      <c r="D12" s="165"/>
      <c r="E12" s="165"/>
      <c r="F12" s="166"/>
    </row>
    <row r="13" spans="1:6" ht="21.95" customHeight="1">
      <c r="A13" s="66"/>
      <c r="B13" s="176"/>
      <c r="C13" s="157"/>
      <c r="D13" s="165"/>
      <c r="E13" s="165"/>
      <c r="F13" s="166"/>
    </row>
    <row r="14" spans="1:6" ht="21.95" customHeight="1">
      <c r="A14" s="66"/>
      <c r="B14" s="176"/>
      <c r="C14" s="157"/>
      <c r="D14" s="165"/>
      <c r="E14" s="165"/>
      <c r="F14" s="166"/>
    </row>
    <row r="15" spans="1:6" ht="21.95" customHeight="1">
      <c r="A15" s="66"/>
      <c r="B15" s="176"/>
      <c r="C15" s="157"/>
      <c r="D15" s="165"/>
      <c r="E15" s="165"/>
      <c r="F15" s="166"/>
    </row>
    <row r="16" spans="1:6" ht="21.95" customHeight="1">
      <c r="A16" s="66"/>
      <c r="B16" s="176"/>
      <c r="C16" s="157"/>
      <c r="D16" s="165"/>
      <c r="E16" s="165"/>
      <c r="F16" s="166"/>
    </row>
    <row r="17" spans="1:6" ht="21.95" customHeight="1">
      <c r="A17" s="66"/>
      <c r="B17" s="176"/>
      <c r="C17" s="157"/>
      <c r="D17" s="165"/>
      <c r="E17" s="165"/>
      <c r="F17" s="166"/>
    </row>
    <row r="18" spans="1:6" ht="21.95" customHeight="1">
      <c r="A18" s="66"/>
      <c r="B18" s="176"/>
      <c r="C18" s="157"/>
      <c r="D18" s="158"/>
      <c r="E18" s="158"/>
      <c r="F18" s="159"/>
    </row>
    <row r="19" spans="1:6" ht="19.899999999999999" customHeight="1">
      <c r="A19" s="66"/>
      <c r="B19" s="176"/>
      <c r="C19" s="157"/>
      <c r="D19" s="158"/>
      <c r="E19" s="158"/>
      <c r="F19" s="159"/>
    </row>
    <row r="20" spans="1:6" ht="21.95" customHeight="1">
      <c r="A20" s="66"/>
      <c r="B20" s="176"/>
      <c r="C20" s="152" t="s">
        <v>35</v>
      </c>
      <c r="D20" s="153"/>
      <c r="E20" s="153"/>
      <c r="F20" s="154"/>
    </row>
    <row r="21" spans="1:6" ht="21.95" customHeight="1">
      <c r="A21" s="66"/>
      <c r="B21" s="176"/>
      <c r="C21" s="152" t="s">
        <v>36</v>
      </c>
      <c r="D21" s="153"/>
      <c r="E21" s="153"/>
      <c r="F21" s="154"/>
    </row>
    <row r="22" spans="1:6" ht="21.95" customHeight="1">
      <c r="A22" s="66"/>
      <c r="B22" s="176"/>
      <c r="C22" s="157" t="s">
        <v>37</v>
      </c>
      <c r="D22" s="158"/>
      <c r="E22" s="158"/>
      <c r="F22" s="159"/>
    </row>
    <row r="23" spans="1:6" ht="21.95" customHeight="1">
      <c r="A23" s="66"/>
      <c r="B23" s="176"/>
      <c r="C23" s="157" t="s">
        <v>38</v>
      </c>
      <c r="D23" s="158"/>
      <c r="E23" s="158"/>
      <c r="F23" s="159"/>
    </row>
    <row r="24" spans="1:6" ht="21.95" customHeight="1">
      <c r="A24" s="66"/>
      <c r="B24" s="176"/>
      <c r="C24" s="157" t="s">
        <v>39</v>
      </c>
      <c r="D24" s="158"/>
      <c r="E24" s="158"/>
      <c r="F24" s="159"/>
    </row>
    <row r="25" spans="1:6" ht="21.95" customHeight="1">
      <c r="A25" s="66"/>
      <c r="B25" s="176"/>
      <c r="C25" s="152" t="s">
        <v>40</v>
      </c>
      <c r="D25" s="160"/>
      <c r="E25" s="160"/>
      <c r="F25" s="161"/>
    </row>
    <row r="26" spans="1:6" ht="21.95" customHeight="1">
      <c r="A26" s="66"/>
      <c r="B26" s="176"/>
      <c r="C26" s="152"/>
      <c r="D26" s="160"/>
      <c r="E26" s="160"/>
      <c r="F26" s="161"/>
    </row>
    <row r="27" spans="1:6" ht="21.95" customHeight="1">
      <c r="A27" s="66"/>
      <c r="B27" s="176"/>
      <c r="C27" s="152"/>
      <c r="D27" s="160"/>
      <c r="E27" s="160"/>
      <c r="F27" s="161"/>
    </row>
    <row r="28" spans="1:6" ht="21.95" customHeight="1">
      <c r="A28" s="66"/>
      <c r="B28" s="177"/>
      <c r="C28" s="162"/>
      <c r="D28" s="163"/>
      <c r="E28" s="163"/>
      <c r="F28" s="164"/>
    </row>
    <row r="29" spans="1:6" ht="50.1" customHeight="1">
      <c r="A29" s="66"/>
      <c r="B29" s="67" t="s">
        <v>41</v>
      </c>
      <c r="C29" s="69" t="s">
        <v>42</v>
      </c>
      <c r="D29" s="155" t="s">
        <v>43</v>
      </c>
      <c r="E29" s="155"/>
      <c r="F29" s="156"/>
    </row>
    <row r="30" spans="1:6" ht="50.1" customHeight="1">
      <c r="A30" s="66"/>
      <c r="B30" s="67" t="s">
        <v>44</v>
      </c>
      <c r="C30" s="69" t="s">
        <v>87</v>
      </c>
      <c r="D30" s="155" t="s">
        <v>45</v>
      </c>
      <c r="E30" s="155"/>
      <c r="F30" s="156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2025-08-28T03:14:25Z</dcterms:modified>
</cp:coreProperties>
</file>
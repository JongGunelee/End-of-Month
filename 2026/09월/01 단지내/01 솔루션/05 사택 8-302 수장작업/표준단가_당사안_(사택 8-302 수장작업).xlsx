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150D3847-7301-4261-A079-29776721A8DA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8" i="4"/>
  <c r="O8" i="4"/>
  <c r="M8" i="4"/>
  <c r="K8" i="4"/>
  <c r="R8" i="4" l="1"/>
  <c r="F25" i="9" l="1"/>
  <c r="N25" i="9" s="1"/>
  <c r="F20" i="9"/>
  <c r="N20" i="9" s="1"/>
  <c r="K13" i="4"/>
  <c r="O13" i="4"/>
  <c r="Q13" i="4"/>
  <c r="K10" i="4"/>
  <c r="R10" i="4" s="1"/>
  <c r="R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Q18" i="4"/>
  <c r="O18" i="4"/>
  <c r="M18" i="4"/>
  <c r="K18" i="4"/>
  <c r="N33" i="9" l="1"/>
  <c r="R18" i="4"/>
  <c r="K7" i="4"/>
  <c r="M7" i="4"/>
  <c r="O7" i="4"/>
  <c r="Q7" i="4"/>
  <c r="R7" i="4" l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K19" i="4" l="1"/>
  <c r="M19" i="4"/>
  <c r="F17" i="5" s="1"/>
  <c r="R9" i="4"/>
  <c r="R12" i="4"/>
  <c r="R15" i="4"/>
  <c r="R16" i="4"/>
  <c r="R11" i="4"/>
  <c r="R14" i="4"/>
  <c r="R17" i="4"/>
  <c r="F21" i="5" l="1"/>
  <c r="F22" i="5"/>
  <c r="R19" i="4"/>
  <c r="Q19" i="4"/>
  <c r="F16" i="5"/>
  <c r="O19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<sst xmlns="http://schemas.openxmlformats.org/spreadsheetml/2006/main" count="241" uniqueCount="173">
  <si>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</si>
  <si>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</si>
  <si>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</si>
  <si>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</si>
  <si>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</si>
  <si>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</si>
  <si>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</si>
  <si>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</si>
  <si>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</si>
  <si>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</si>
  <si>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</si>
  <si>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</si>
  <si>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</si>
  <si>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</si>
  <si>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</si>
  <si>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</si>
  <si>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</si>
  <si>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</si>
  <si>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</si>
  <si>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</si>
  <si>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</si>
  <si>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</si>
  <si>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</si>
  <si>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</si>
  <si>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</si>
  <si>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</si>
  <si>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</si>
  <si>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</si>
  <si>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</si>
  <si>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</si>
  <si>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</si>
  <si>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</si>
  <si>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</si>
  <si>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</si>
  <si>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</si>
  <si>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</si>
  <si>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</si>
  <si>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</si>
  <si>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</si>
  <si>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</si>
  <si>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</si>
  <si>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</si>
  <si>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</si>
  <si>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</si>
  <si>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</si>
  <si>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</si>
  <si>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</si>
  <si>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</si>
  <si>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</si>
  <si>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</si>
  <si>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</si>
  <si>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</si>
  <si>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</si>
  <si>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</si>
  <si>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</si>
  <si>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</si>
  <si>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</si>
  <si>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</si>
  <si>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</si>
  <si>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</si>
  <si>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</si>
  <si>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</si>
  <si>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</si>
  <si>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</si>
  <si>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</si>
  <si>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</si>
  <si>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</si>
  <si>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</si>
  <si>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</si>
  <si>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</si>
  <si>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</si>
  <si>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</si>
  <si>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</si>
  <si>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</si>
  <si>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</si>
  <si>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</si>
  <si>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</si>
  <si>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</si>
  <si>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</si>
  <si>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</si>
  <si>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</si>
  <si>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</si>
  <si>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</si>
  <si>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</si>
  <si>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</si>
  <si>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</si>
  <si>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</si>
  <si>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</si>
  <si>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</si>
  <si>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</si>
  <si>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</si>
  <si>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</si>
  <si>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</si>
  <si>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</si>
  <si>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</si>
  <si>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</si>
  <si>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</si>
  <si>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</si>
  <si>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</si>
  <si>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</si>
  <si>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</si>
  <si>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</si>
  <si>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</si>
  <si>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</si>
  <si>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</si>
  <si>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</si>
  <si>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</si>
  <si>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</si>
  <si>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</si>
  <si>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</si>
  <si>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</si>
  <si>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</si>
  <si>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</si>
  <si>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</si>
  <si>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</si>
  <si>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</si>
  <si>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</si>
  <si>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</si>
  <si>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</si>
  <si>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</si>
  <si>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</si>
  <si>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</si>
  <si>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</si>
  <si>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</si>
  <si>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</si>
  <si>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</si>
  <si>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</si>
  <si>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</si>
  <si>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</si>
  <si>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</si>
  <si>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</si>
  <si>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</si>
  <si>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</si>
  <si>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</si>
  <si>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</si>
  <si>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</si>
  <si>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</si>
  <si>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</si>
  <si>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</si>
  <si>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</si>
  <si>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</si>
  <si>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</si>
  <si>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</si>
  <si>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</si>
  <si>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</si>
  <si>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</si>
  <si>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</si>
  <si>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</si>
  <si>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</si>
  <si>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</si>
  <si>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</si>
  <si>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</si>
  <si>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</si>
  <si>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</si>
  <si>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</si>
  <si>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</si>
  <si>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</si>
  <si>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</si>
  <si>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</si>
  <si>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</si>
  <si>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</si>
  <si>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>합지벽지 1R/L=93㎝(고정)×17.75m=16.51㎡, 소요량198/16.51=11.992R/L</t>
    <phoneticPr fontId="5" type="noConversion"/>
  </si>
  <si>
    <t xml:space="preserve">일당 시공량-벽 46㎡, 적산정보 500p 참조,시공총량136㎡/일당46㎡=2.956, </t>
    <phoneticPr fontId="5" type="noConversion"/>
  </si>
  <si>
    <t>일당 시공량-천장 35㎡ 적산정보 500p 참조, 시공총량62㎡/일당35㎡=1.771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</si>
  <si>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</si>
  <si>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</si>
  <si>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</si>
  <si>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</si>
  <si>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</si>
  <si>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8-302 수장공사</t>
    <phoneticPr fontId="11" type="noConversion"/>
  </si>
  <si>
    <t xml:space="preserve"> 견적일 : 2026년  06월  22일</t>
    <phoneticPr fontId="5" type="noConversion"/>
  </si>
  <si>
    <t>공사명 : 사택 8-302 수장공사</t>
    <phoneticPr fontId="5" type="noConversion"/>
  </si>
  <si>
    <t>앞뒤 베란다 부분도색, 면적(24㎡)에 50% 적용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</si>
</sst>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  <numFmt numFmtId="193" formatCode="0.00_);[Red]\(0.00\)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6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177" fontId="25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183" fontId="31" fillId="5" borderId="32" xfId="13" applyNumberFormat="1" applyFont="1" applyFill="1" applyBorder="1" applyAlignment="1">
      <alignment horizontal="center" vertical="center" wrapText="1"/>
    </xf>
    <xf numFmtId="183" fontId="31" fillId="5" borderId="36" xfId="13" applyNumberFormat="1" applyFont="1" applyFill="1" applyBorder="1" applyAlignment="1">
      <alignment horizontal="center" vertical="center" wrapText="1"/>
    </xf>
    <xf numFmtId="183" fontId="31" fillId="5" borderId="35" xfId="13" applyNumberFormat="1" applyFont="1" applyFill="1" applyBorder="1" applyAlignment="1">
      <alignment horizontal="center" vertical="center" wrapText="1"/>
    </xf>
    <xf numFmtId="193" fontId="21" fillId="5" borderId="31" xfId="13" applyNumberFormat="1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19" sqref="J19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3" t="s">
        <v>6</v>
      </c>
      <c r="B2" s="173"/>
      <c r="C2" s="173"/>
      <c r="D2" s="173"/>
      <c r="E2" s="173"/>
      <c r="F2" s="173"/>
      <c r="G2" s="173"/>
      <c r="H2" s="2"/>
    </row>
    <row r="3" spans="1:9" ht="13.5">
      <c r="A3" s="118"/>
      <c r="B3" s="118"/>
      <c r="C3" s="118"/>
      <c r="D3" s="118"/>
      <c r="E3" s="118"/>
      <c r="F3" s="118"/>
      <c r="G3" s="118"/>
      <c r="H3" s="118"/>
    </row>
    <row r="4" spans="1:9" ht="13.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76" t="s">
        <v>169</v>
      </c>
      <c r="B7" s="177"/>
      <c r="C7" s="178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170</v>
      </c>
      <c r="B9" s="163"/>
      <c r="C9" s="164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74"/>
      <c r="B11" s="175"/>
      <c r="C11" s="175"/>
      <c r="D11" s="118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사백구십사만이천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'내역서(표준단가)'!K19</f>
        <v>883820.61300000001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'내역서(표준단가)'!M19</f>
        <v>3301092.7648479999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'내역서(표준단가)'!O19+'내역서(표준단가)'!Q19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4184913.3778479998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6" t="s">
        <v>23</v>
      </c>
      <c r="C21" s="167" t="s">
        <v>167</v>
      </c>
      <c r="D21" s="168">
        <v>1</v>
      </c>
      <c r="E21" s="168" t="s">
        <v>24</v>
      </c>
      <c r="F21" s="169">
        <f>F17*4.75%</f>
        <v>156801.90633028001</v>
      </c>
      <c r="G21" s="35" t="s">
        <v>25</v>
      </c>
    </row>
    <row r="22" spans="1:7" ht="33" customHeight="1">
      <c r="A22" s="29"/>
      <c r="B22" s="170" t="s">
        <v>26</v>
      </c>
      <c r="C22" s="167" t="s">
        <v>168</v>
      </c>
      <c r="D22" s="171">
        <v>1</v>
      </c>
      <c r="E22" s="171" t="s">
        <v>24</v>
      </c>
      <c r="F22" s="172">
        <f>F17*3.595%</f>
        <v>118674.28489628561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15368.319894068987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33341.036924964799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117518.9024285888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122617.9619709464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193270.75886465673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757593.17130979127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4942506.5491577908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4942000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9"/>
  <sheetViews>
    <sheetView showGridLines="0" zoomScale="90" zoomScaleNormal="90" workbookViewId="0">
      <pane ySplit="4" topLeftCell="A5" activePane="bottomLeft" state="frozen"/>
      <selection pane="bottomLeft" activeCell="L21" sqref="L21"/>
    </sheetView>
  </sheetViews>
  <sheetFormatPr defaultColWidth="9" defaultRowHeight="38.1" customHeight="1"/>
  <cols>
    <col min="1" max="1" width="20.5" style="147" bestFit="1" customWidth="1"/>
    <col min="2" max="2" width="9" style="136" customWidth="1"/>
    <col min="3" max="5" width="12.625" style="136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79"/>
      <c r="B1" s="179"/>
      <c r="C1" s="179"/>
      <c r="D1" s="179"/>
      <c r="E1" s="179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79"/>
      <c r="B2" s="179"/>
      <c r="C2" s="179"/>
      <c r="D2" s="179"/>
      <c r="E2" s="179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90" t="s">
        <v>100</v>
      </c>
      <c r="G3" s="190"/>
      <c r="H3" s="188" t="s">
        <v>47</v>
      </c>
      <c r="I3" s="188" t="s">
        <v>5</v>
      </c>
      <c r="J3" s="184" t="s">
        <v>101</v>
      </c>
      <c r="K3" s="184"/>
      <c r="L3" s="184" t="s">
        <v>102</v>
      </c>
      <c r="M3" s="184"/>
      <c r="N3" s="185" t="s">
        <v>103</v>
      </c>
      <c r="O3" s="185"/>
      <c r="P3" s="185" t="s">
        <v>104</v>
      </c>
      <c r="Q3" s="185"/>
      <c r="R3" s="186" t="s">
        <v>105</v>
      </c>
      <c r="S3" s="182" t="s">
        <v>106</v>
      </c>
      <c r="T3" s="180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89"/>
      <c r="I4" s="189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87"/>
      <c r="S4" s="183"/>
      <c r="T4" s="181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151</v>
      </c>
      <c r="E5" s="94"/>
      <c r="F5" s="130" t="s">
        <v>152</v>
      </c>
      <c r="G5" s="130" t="s">
        <v>161</v>
      </c>
      <c r="H5" s="110" t="s">
        <v>160</v>
      </c>
      <c r="I5" s="129">
        <v>11.992000000000001</v>
      </c>
      <c r="J5" s="155">
        <v>20900</v>
      </c>
      <c r="K5" s="126">
        <f t="shared" ref="K5" si="1">SUM(J5:J5)*I5*$K$2</f>
        <v>209278.38800000001</v>
      </c>
      <c r="L5" s="125"/>
      <c r="M5" s="126">
        <f t="shared" ref="M5:M17" si="2">(L5*I5)*$M$2</f>
        <v>0</v>
      </c>
      <c r="N5" s="127"/>
      <c r="O5" s="126">
        <f t="shared" ref="O5:O17" si="3">N5*I5*$O$2</f>
        <v>0</v>
      </c>
      <c r="P5" s="127"/>
      <c r="Q5" s="126">
        <f t="shared" ref="Q5:Q17" si="4">P5*I5*$Q$2</f>
        <v>0</v>
      </c>
      <c r="R5" s="73">
        <f t="shared" ref="R5:R17" si="5">SUM(K5+M5)+O5+Q5</f>
        <v>209278.38800000001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118</v>
      </c>
      <c r="D6" s="70"/>
      <c r="E6" s="94"/>
      <c r="F6" s="130" t="s">
        <v>120</v>
      </c>
      <c r="G6" s="130" t="s">
        <v>162</v>
      </c>
      <c r="H6" s="71" t="s">
        <v>119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8" si="11">B7&amp;C7&amp;D7&amp;E7</f>
        <v>E00000803071260301</v>
      </c>
      <c r="B7" s="94"/>
      <c r="C7" s="70" t="s">
        <v>118</v>
      </c>
      <c r="D7" s="70"/>
      <c r="E7" s="94"/>
      <c r="F7" s="130" t="s">
        <v>121</v>
      </c>
      <c r="G7" s="130" t="s">
        <v>163</v>
      </c>
      <c r="H7" s="71" t="s">
        <v>119</v>
      </c>
      <c r="I7" s="129">
        <v>1.7709999999999999</v>
      </c>
      <c r="J7" s="128"/>
      <c r="K7" s="126">
        <f t="shared" ref="K7:K17" si="12">SUM(J7:J7)*I7*$K$2</f>
        <v>0</v>
      </c>
      <c r="L7" s="156">
        <v>510462</v>
      </c>
      <c r="M7" s="126">
        <f t="shared" si="2"/>
        <v>754863.54866999993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754863.54866999993</v>
      </c>
      <c r="S7" s="109"/>
      <c r="T7" s="74"/>
    </row>
    <row r="8" spans="1:20" s="139" customFormat="1" ht="38.1" customHeight="1">
      <c r="A8" s="69" t="str">
        <f t="shared" si="11"/>
        <v>M020809012520101</v>
      </c>
      <c r="B8" s="94"/>
      <c r="C8" s="70"/>
      <c r="D8" s="70" t="s">
        <v>154</v>
      </c>
      <c r="E8" s="94"/>
      <c r="F8" s="130" t="s">
        <v>155</v>
      </c>
      <c r="G8" s="130" t="s">
        <v>156</v>
      </c>
      <c r="H8" s="110" t="s">
        <v>153</v>
      </c>
      <c r="I8" s="129">
        <v>59.5</v>
      </c>
      <c r="J8" s="157">
        <v>13000</v>
      </c>
      <c r="K8" s="126">
        <f t="shared" si="12"/>
        <v>645872.5</v>
      </c>
      <c r="L8" s="125"/>
      <c r="M8" s="126">
        <f t="shared" si="2"/>
        <v>0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645872.5</v>
      </c>
      <c r="S8" s="109"/>
      <c r="T8" s="74"/>
    </row>
    <row r="9" spans="1:20" s="139" customFormat="1" ht="38.1" customHeight="1">
      <c r="A9" s="69" t="str">
        <f t="shared" si="11"/>
        <v>E00000803071260401</v>
      </c>
      <c r="B9" s="94"/>
      <c r="C9" s="70" t="s">
        <v>122</v>
      </c>
      <c r="D9" s="70"/>
      <c r="E9" s="94"/>
      <c r="F9" s="130" t="s">
        <v>123</v>
      </c>
      <c r="G9" s="130" t="s">
        <v>164</v>
      </c>
      <c r="H9" s="71" t="s">
        <v>119</v>
      </c>
      <c r="I9" s="129">
        <v>0.97540000000000004</v>
      </c>
      <c r="J9" s="128"/>
      <c r="K9" s="126">
        <f t="shared" si="12"/>
        <v>0</v>
      </c>
      <c r="L9" s="156">
        <v>510462</v>
      </c>
      <c r="M9" s="126">
        <f t="shared" si="2"/>
        <v>415750.37005799997</v>
      </c>
      <c r="N9" s="127"/>
      <c r="O9" s="126">
        <f t="shared" si="3"/>
        <v>0</v>
      </c>
      <c r="P9" s="127"/>
      <c r="Q9" s="126">
        <f t="shared" si="4"/>
        <v>0</v>
      </c>
      <c r="R9" s="73">
        <f t="shared" si="5"/>
        <v>415750.37005799997</v>
      </c>
      <c r="S9" s="109"/>
      <c r="T9" s="74"/>
    </row>
    <row r="10" spans="1:20" s="139" customFormat="1" ht="38.1" customHeight="1">
      <c r="A10" s="69" t="str">
        <f t="shared" si="11"/>
        <v>M020412614110102</v>
      </c>
      <c r="B10" s="94"/>
      <c r="C10" s="70"/>
      <c r="D10" s="121" t="s">
        <v>148</v>
      </c>
      <c r="E10" s="94"/>
      <c r="F10" s="133" t="s">
        <v>147</v>
      </c>
      <c r="G10" s="133" t="s">
        <v>142</v>
      </c>
      <c r="H10" s="122" t="s">
        <v>141</v>
      </c>
      <c r="I10" s="129">
        <v>0.25</v>
      </c>
      <c r="J10" s="155">
        <v>65500</v>
      </c>
      <c r="K10" s="126">
        <f t="shared" si="12"/>
        <v>13673.125</v>
      </c>
      <c r="L10" s="125"/>
      <c r="M10" s="126"/>
      <c r="N10" s="127"/>
      <c r="O10" s="126"/>
      <c r="P10" s="127"/>
      <c r="Q10" s="126"/>
      <c r="R10" s="73">
        <f t="shared" si="5"/>
        <v>13673.125</v>
      </c>
      <c r="S10" s="109"/>
      <c r="T10" s="74"/>
    </row>
    <row r="11" spans="1:20" s="139" customFormat="1" ht="38.1" customHeight="1">
      <c r="A11" s="69" t="str">
        <f t="shared" si="11"/>
        <v>E00000803061120402</v>
      </c>
      <c r="B11" s="94"/>
      <c r="C11" s="70" t="s">
        <v>124</v>
      </c>
      <c r="D11" s="70"/>
      <c r="E11" s="94"/>
      <c r="F11" s="130" t="s">
        <v>125</v>
      </c>
      <c r="G11" s="130" t="s">
        <v>126</v>
      </c>
      <c r="H11" s="110" t="s">
        <v>139</v>
      </c>
      <c r="I11" s="129">
        <v>24</v>
      </c>
      <c r="J11" s="125"/>
      <c r="K11" s="126">
        <f t="shared" si="12"/>
        <v>0</v>
      </c>
      <c r="L11" s="158">
        <v>10752</v>
      </c>
      <c r="M11" s="126">
        <f t="shared" si="2"/>
        <v>215470.07999999999</v>
      </c>
      <c r="N11" s="127"/>
      <c r="O11" s="126">
        <f t="shared" si="3"/>
        <v>0</v>
      </c>
      <c r="P11" s="127"/>
      <c r="Q11" s="126">
        <f t="shared" si="4"/>
        <v>0</v>
      </c>
      <c r="R11" s="73">
        <f t="shared" si="5"/>
        <v>215470.07999999999</v>
      </c>
      <c r="S11" s="109"/>
      <c r="T11" s="74"/>
    </row>
    <row r="12" spans="1:20" s="139" customFormat="1" ht="38.1" customHeight="1">
      <c r="A12" s="69" t="str">
        <f t="shared" si="11"/>
        <v>E00000803061300201</v>
      </c>
      <c r="B12" s="94"/>
      <c r="C12" s="70" t="s">
        <v>128</v>
      </c>
      <c r="D12" s="70"/>
      <c r="E12" s="94"/>
      <c r="F12" s="130" t="s">
        <v>129</v>
      </c>
      <c r="G12" s="130" t="s">
        <v>130</v>
      </c>
      <c r="H12" s="110" t="s">
        <v>127</v>
      </c>
      <c r="I12" s="129">
        <v>24</v>
      </c>
      <c r="J12" s="125"/>
      <c r="K12" s="126">
        <f t="shared" si="12"/>
        <v>0</v>
      </c>
      <c r="L12" s="156">
        <v>6368</v>
      </c>
      <c r="M12" s="126">
        <f t="shared" si="2"/>
        <v>127614.72</v>
      </c>
      <c r="N12" s="127"/>
      <c r="O12" s="126">
        <f t="shared" si="3"/>
        <v>0</v>
      </c>
      <c r="P12" s="127"/>
      <c r="Q12" s="126">
        <f t="shared" si="4"/>
        <v>0</v>
      </c>
      <c r="R12" s="73">
        <f t="shared" si="5"/>
        <v>127614.72</v>
      </c>
      <c r="S12" s="109"/>
      <c r="T12" s="74"/>
    </row>
    <row r="13" spans="1:20" s="139" customFormat="1" ht="38.1" customHeight="1">
      <c r="A13" s="69" t="str">
        <f t="shared" si="11"/>
        <v>M020411810170101</v>
      </c>
      <c r="B13" s="94"/>
      <c r="C13" s="70"/>
      <c r="D13" s="121" t="s">
        <v>143</v>
      </c>
      <c r="E13" s="94"/>
      <c r="F13" s="133" t="s">
        <v>144</v>
      </c>
      <c r="G13" s="133" t="s">
        <v>145</v>
      </c>
      <c r="H13" s="122" t="s">
        <v>141</v>
      </c>
      <c r="I13" s="129">
        <v>0.2</v>
      </c>
      <c r="J13" s="165">
        <v>89800</v>
      </c>
      <c r="K13" s="126">
        <f t="shared" si="12"/>
        <v>14996.599999999999</v>
      </c>
      <c r="L13" s="125"/>
      <c r="M13" s="126"/>
      <c r="N13" s="127"/>
      <c r="O13" s="126">
        <f t="shared" si="3"/>
        <v>0</v>
      </c>
      <c r="P13" s="127"/>
      <c r="Q13" s="126">
        <f t="shared" si="4"/>
        <v>0</v>
      </c>
      <c r="R13" s="73">
        <f t="shared" si="5"/>
        <v>14996.599999999999</v>
      </c>
      <c r="S13" s="109"/>
      <c r="T13" s="74"/>
    </row>
    <row r="14" spans="1:20" s="139" customFormat="1" ht="38.1" customHeight="1">
      <c r="A14" s="69" t="str">
        <f t="shared" si="11"/>
        <v>E00000803061120802</v>
      </c>
      <c r="B14" s="94"/>
      <c r="C14" s="70" t="s">
        <v>131</v>
      </c>
      <c r="D14" s="70"/>
      <c r="E14" s="94"/>
      <c r="F14" s="130" t="s">
        <v>132</v>
      </c>
      <c r="G14" s="130" t="s">
        <v>133</v>
      </c>
      <c r="H14" s="110" t="s">
        <v>127</v>
      </c>
      <c r="I14" s="129">
        <v>16</v>
      </c>
      <c r="J14" s="140"/>
      <c r="K14" s="72">
        <f t="shared" si="12"/>
        <v>0</v>
      </c>
      <c r="L14" s="156">
        <v>2496</v>
      </c>
      <c r="M14" s="72">
        <f t="shared" si="2"/>
        <v>33346.559999999998</v>
      </c>
      <c r="N14" s="73"/>
      <c r="O14" s="72">
        <f t="shared" si="3"/>
        <v>0</v>
      </c>
      <c r="P14" s="73"/>
      <c r="Q14" s="72">
        <f t="shared" si="4"/>
        <v>0</v>
      </c>
      <c r="R14" s="73">
        <f t="shared" si="5"/>
        <v>33346.559999999998</v>
      </c>
      <c r="S14" s="109"/>
      <c r="T14" s="74"/>
    </row>
    <row r="15" spans="1:20" s="139" customFormat="1" ht="38.1" customHeight="1">
      <c r="A15" s="69" t="str">
        <f t="shared" si="11"/>
        <v>E00000803061300701</v>
      </c>
      <c r="B15" s="94"/>
      <c r="C15" s="70" t="s">
        <v>134</v>
      </c>
      <c r="D15" s="70"/>
      <c r="E15" s="94"/>
      <c r="F15" s="130" t="s">
        <v>135</v>
      </c>
      <c r="G15" s="130" t="s">
        <v>130</v>
      </c>
      <c r="H15" s="110" t="s">
        <v>127</v>
      </c>
      <c r="I15" s="129">
        <v>16</v>
      </c>
      <c r="J15" s="111"/>
      <c r="K15" s="72">
        <f t="shared" si="12"/>
        <v>0</v>
      </c>
      <c r="L15" s="156">
        <v>3871</v>
      </c>
      <c r="M15" s="72">
        <f t="shared" si="2"/>
        <v>51716.56</v>
      </c>
      <c r="N15" s="73"/>
      <c r="O15" s="72">
        <f t="shared" si="3"/>
        <v>0</v>
      </c>
      <c r="P15" s="73"/>
      <c r="Q15" s="72">
        <f t="shared" si="4"/>
        <v>0</v>
      </c>
      <c r="R15" s="73">
        <f t="shared" si="5"/>
        <v>51716.56</v>
      </c>
      <c r="S15" s="109"/>
      <c r="T15" s="74"/>
    </row>
    <row r="16" spans="1:20" s="139" customFormat="1" ht="38.1" customHeight="1">
      <c r="A16" s="69" t="str">
        <f t="shared" si="11"/>
        <v>E00000803061120802</v>
      </c>
      <c r="B16" s="94"/>
      <c r="C16" s="70" t="s">
        <v>131</v>
      </c>
      <c r="D16" s="70"/>
      <c r="E16" s="94"/>
      <c r="F16" s="130" t="s">
        <v>136</v>
      </c>
      <c r="G16" s="130" t="s">
        <v>133</v>
      </c>
      <c r="H16" s="110" t="s">
        <v>127</v>
      </c>
      <c r="I16" s="129">
        <v>2</v>
      </c>
      <c r="J16" s="140"/>
      <c r="K16" s="72">
        <f t="shared" si="12"/>
        <v>0</v>
      </c>
      <c r="L16" s="156">
        <v>2496</v>
      </c>
      <c r="M16" s="72">
        <f t="shared" si="2"/>
        <v>4168.32</v>
      </c>
      <c r="N16" s="73"/>
      <c r="O16" s="72">
        <f t="shared" si="3"/>
        <v>0</v>
      </c>
      <c r="P16" s="73"/>
      <c r="Q16" s="72">
        <f t="shared" si="4"/>
        <v>0</v>
      </c>
      <c r="R16" s="73">
        <f t="shared" si="5"/>
        <v>4168.32</v>
      </c>
      <c r="S16" s="109"/>
      <c r="T16" s="74"/>
    </row>
    <row r="17" spans="1:20" s="139" customFormat="1" ht="38.1" customHeight="1">
      <c r="A17" s="69" t="str">
        <f t="shared" si="11"/>
        <v>E00000803061300401</v>
      </c>
      <c r="B17" s="94"/>
      <c r="C17" s="70" t="s">
        <v>137</v>
      </c>
      <c r="D17" s="70"/>
      <c r="E17" s="94"/>
      <c r="F17" s="130" t="s">
        <v>138</v>
      </c>
      <c r="G17" s="130" t="s">
        <v>130</v>
      </c>
      <c r="H17" s="110" t="s">
        <v>127</v>
      </c>
      <c r="I17" s="129">
        <v>2</v>
      </c>
      <c r="J17" s="111"/>
      <c r="K17" s="72">
        <f t="shared" si="12"/>
        <v>0</v>
      </c>
      <c r="L17" s="156">
        <v>5851</v>
      </c>
      <c r="M17" s="72">
        <f t="shared" si="2"/>
        <v>9771.17</v>
      </c>
      <c r="N17" s="73"/>
      <c r="O17" s="72">
        <f t="shared" si="3"/>
        <v>0</v>
      </c>
      <c r="P17" s="73"/>
      <c r="Q17" s="72">
        <f t="shared" si="4"/>
        <v>0</v>
      </c>
      <c r="R17" s="73">
        <f t="shared" si="5"/>
        <v>9771.17</v>
      </c>
      <c r="S17" s="109"/>
      <c r="T17" s="74"/>
    </row>
    <row r="18" spans="1:20" s="139" customFormat="1" ht="38.1" customHeight="1">
      <c r="A18" s="69" t="str">
        <f t="shared" si="11"/>
        <v>E00000801011510701</v>
      </c>
      <c r="B18" s="94"/>
      <c r="C18" s="70" t="s">
        <v>159</v>
      </c>
      <c r="D18" s="70"/>
      <c r="E18" s="94"/>
      <c r="F18" s="159" t="s">
        <v>165</v>
      </c>
      <c r="G18" s="71" t="s">
        <v>158</v>
      </c>
      <c r="H18" s="160" t="s">
        <v>166</v>
      </c>
      <c r="I18" s="129">
        <v>100</v>
      </c>
      <c r="J18" s="140"/>
      <c r="K18" s="72">
        <f t="shared" ref="K18" si="13">SUM(J18:J18)*I18*$K$2</f>
        <v>0</v>
      </c>
      <c r="L18" s="156">
        <v>5131</v>
      </c>
      <c r="M18" s="72">
        <f t="shared" ref="M18" si="14">(L18*I18)*$M$2</f>
        <v>428438.5</v>
      </c>
      <c r="N18" s="73"/>
      <c r="O18" s="72">
        <f t="shared" ref="O18" si="15">N18*I18*$O$2</f>
        <v>0</v>
      </c>
      <c r="P18" s="73"/>
      <c r="Q18" s="72">
        <f t="shared" ref="Q18" si="16">P18*I18*$Q$2</f>
        <v>0</v>
      </c>
      <c r="R18" s="73">
        <f t="shared" ref="R18" si="17">SUM(K18+M18)+O18+Q18</f>
        <v>428438.5</v>
      </c>
      <c r="S18" s="109"/>
      <c r="T18" s="74"/>
    </row>
    <row r="19" spans="1:20" s="146" customFormat="1" ht="38.1" customHeight="1">
      <c r="A19" s="141"/>
      <c r="B19" s="142"/>
      <c r="C19" s="142"/>
      <c r="D19" s="142"/>
      <c r="E19" s="142"/>
      <c r="F19" s="134"/>
      <c r="G19" s="134"/>
      <c r="H19" s="142"/>
      <c r="I19" s="142"/>
      <c r="J19" s="142"/>
      <c r="K19" s="143">
        <f>SUM(K5:K18)</f>
        <v>883820.61300000001</v>
      </c>
      <c r="L19" s="144"/>
      <c r="M19" s="143">
        <f>SUM(M5:M18)</f>
        <v>3301092.7648479999</v>
      </c>
      <c r="N19" s="144"/>
      <c r="O19" s="143">
        <f>SUM(O5:O18)</f>
        <v>0</v>
      </c>
      <c r="P19" s="144"/>
      <c r="Q19" s="143">
        <f>SUM(Q5:Q18)</f>
        <v>0</v>
      </c>
      <c r="R19" s="145">
        <f>SUM(R5:R18)</f>
        <v>4184913.3778480003</v>
      </c>
      <c r="S19" s="102"/>
      <c r="T19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P35" sqref="P35"/>
    </sheetView>
  </sheetViews>
  <sheetFormatPr defaultColWidth="9" defaultRowHeight="13.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193" t="s">
        <v>58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16" ht="15" customHeight="1">
      <c r="A2" s="194" t="s">
        <v>59</v>
      </c>
      <c r="B2" s="195" t="s">
        <v>60</v>
      </c>
      <c r="C2" s="196" t="s">
        <v>47</v>
      </c>
      <c r="D2" s="196" t="s">
        <v>61</v>
      </c>
      <c r="E2" s="198" t="s">
        <v>62</v>
      </c>
      <c r="F2" s="195"/>
      <c r="G2" s="195" t="s">
        <v>63</v>
      </c>
      <c r="H2" s="195"/>
      <c r="I2" s="199" t="s">
        <v>64</v>
      </c>
      <c r="J2" s="200"/>
      <c r="K2" s="199" t="s">
        <v>65</v>
      </c>
      <c r="L2" s="200"/>
      <c r="M2" s="198" t="s">
        <v>66</v>
      </c>
      <c r="N2" s="195"/>
      <c r="O2" s="201" t="s">
        <v>67</v>
      </c>
    </row>
    <row r="3" spans="1:16" ht="15" customHeight="1">
      <c r="A3" s="194"/>
      <c r="B3" s="195"/>
      <c r="C3" s="197"/>
      <c r="D3" s="197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02"/>
    </row>
    <row r="4" spans="1:16" ht="15" customHeight="1">
      <c r="A4" s="191" t="s">
        <v>171</v>
      </c>
      <c r="B4" s="192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204" t="s">
        <v>71</v>
      </c>
      <c r="B5" s="78" t="s">
        <v>72</v>
      </c>
      <c r="C5" s="79" t="s">
        <v>73</v>
      </c>
      <c r="D5" s="148">
        <v>40</v>
      </c>
      <c r="E5" s="161">
        <v>1057</v>
      </c>
      <c r="F5" s="80">
        <f t="shared" ref="F5:F12" si="0">D5*E5</f>
        <v>42280</v>
      </c>
      <c r="G5" s="161">
        <v>9266</v>
      </c>
      <c r="H5" s="80">
        <f t="shared" ref="H5:H12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206" t="s">
        <v>149</v>
      </c>
    </row>
    <row r="6" spans="1:16" ht="15" customHeight="1">
      <c r="A6" s="205"/>
      <c r="B6" s="78" t="s">
        <v>74</v>
      </c>
      <c r="C6" s="79" t="s">
        <v>73</v>
      </c>
      <c r="D6" s="148">
        <v>24</v>
      </c>
      <c r="E6" s="161">
        <v>1057</v>
      </c>
      <c r="F6" s="80">
        <f t="shared" si="0"/>
        <v>25368</v>
      </c>
      <c r="G6" s="161">
        <v>12178</v>
      </c>
      <c r="H6" s="80">
        <f t="shared" si="1"/>
        <v>292272</v>
      </c>
      <c r="I6" s="80"/>
      <c r="J6" s="80"/>
      <c r="K6" s="80"/>
      <c r="L6" s="80"/>
      <c r="M6" s="80"/>
      <c r="N6" s="80">
        <f t="shared" ref="N6:N12" si="2">F6+H6+J6+L6</f>
        <v>317640</v>
      </c>
      <c r="O6" s="207"/>
    </row>
    <row r="7" spans="1:16" ht="15" customHeight="1">
      <c r="A7" s="205"/>
      <c r="B7" s="78" t="s">
        <v>75</v>
      </c>
      <c r="C7" s="79" t="s">
        <v>73</v>
      </c>
      <c r="D7" s="148">
        <v>32</v>
      </c>
      <c r="E7" s="161">
        <v>1057</v>
      </c>
      <c r="F7" s="80">
        <f t="shared" si="0"/>
        <v>33824</v>
      </c>
      <c r="G7" s="161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si="2"/>
        <v>330336</v>
      </c>
      <c r="O7" s="207"/>
      <c r="P7" s="108">
        <f>D6+D8+D10+D12</f>
        <v>62</v>
      </c>
    </row>
    <row r="8" spans="1:16" ht="15" customHeight="1">
      <c r="A8" s="205"/>
      <c r="B8" s="78" t="s">
        <v>76</v>
      </c>
      <c r="C8" s="79" t="s">
        <v>73</v>
      </c>
      <c r="D8" s="148">
        <v>16</v>
      </c>
      <c r="E8" s="161">
        <v>1057</v>
      </c>
      <c r="F8" s="80">
        <f t="shared" si="0"/>
        <v>16912</v>
      </c>
      <c r="G8" s="161">
        <v>12178</v>
      </c>
      <c r="H8" s="80">
        <f t="shared" si="1"/>
        <v>194848</v>
      </c>
      <c r="I8" s="80"/>
      <c r="J8" s="80"/>
      <c r="K8" s="80"/>
      <c r="L8" s="80"/>
      <c r="M8" s="80"/>
      <c r="N8" s="80">
        <f t="shared" si="2"/>
        <v>211760</v>
      </c>
      <c r="O8" s="207"/>
    </row>
    <row r="9" spans="1:16" ht="15" customHeight="1">
      <c r="A9" s="205"/>
      <c r="B9" s="78" t="s">
        <v>77</v>
      </c>
      <c r="C9" s="79" t="s">
        <v>73</v>
      </c>
      <c r="D9" s="148">
        <v>32</v>
      </c>
      <c r="E9" s="161">
        <v>1057</v>
      </c>
      <c r="F9" s="80">
        <f t="shared" si="0"/>
        <v>33824</v>
      </c>
      <c r="G9" s="161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207"/>
    </row>
    <row r="10" spans="1:16" ht="15" customHeight="1">
      <c r="A10" s="205"/>
      <c r="B10" s="78" t="s">
        <v>78</v>
      </c>
      <c r="C10" s="79" t="s">
        <v>73</v>
      </c>
      <c r="D10" s="148">
        <v>11</v>
      </c>
      <c r="E10" s="161">
        <v>1057</v>
      </c>
      <c r="F10" s="80">
        <f t="shared" si="0"/>
        <v>11627</v>
      </c>
      <c r="G10" s="161">
        <v>12178</v>
      </c>
      <c r="H10" s="80">
        <f t="shared" si="1"/>
        <v>133958</v>
      </c>
      <c r="I10" s="80"/>
      <c r="J10" s="80"/>
      <c r="K10" s="80"/>
      <c r="L10" s="80"/>
      <c r="M10" s="80"/>
      <c r="N10" s="80">
        <f t="shared" si="2"/>
        <v>145585</v>
      </c>
      <c r="O10" s="207"/>
    </row>
    <row r="11" spans="1:16" ht="15" customHeight="1">
      <c r="A11" s="205"/>
      <c r="B11" s="78" t="s">
        <v>79</v>
      </c>
      <c r="C11" s="79" t="s">
        <v>73</v>
      </c>
      <c r="D11" s="148">
        <v>32</v>
      </c>
      <c r="E11" s="161">
        <v>1057</v>
      </c>
      <c r="F11" s="80">
        <f t="shared" si="0"/>
        <v>33824</v>
      </c>
      <c r="G11" s="161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207"/>
    </row>
    <row r="12" spans="1:16" ht="15" customHeight="1">
      <c r="A12" s="205"/>
      <c r="B12" s="78" t="s">
        <v>80</v>
      </c>
      <c r="C12" s="79" t="s">
        <v>73</v>
      </c>
      <c r="D12" s="113">
        <v>11</v>
      </c>
      <c r="E12" s="161">
        <v>1057</v>
      </c>
      <c r="F12" s="80">
        <f t="shared" si="0"/>
        <v>11627</v>
      </c>
      <c r="G12" s="161">
        <v>12178</v>
      </c>
      <c r="H12" s="80">
        <f t="shared" si="1"/>
        <v>133958</v>
      </c>
      <c r="I12" s="80"/>
      <c r="J12" s="80"/>
      <c r="K12" s="80"/>
      <c r="L12" s="80"/>
      <c r="M12" s="80"/>
      <c r="N12" s="80">
        <f t="shared" si="2"/>
        <v>145585</v>
      </c>
      <c r="O12" s="207"/>
    </row>
    <row r="13" spans="1:16" ht="15" customHeight="1">
      <c r="A13" s="103" t="s">
        <v>81</v>
      </c>
      <c r="B13" s="104"/>
      <c r="C13" s="105"/>
      <c r="D13" s="149">
        <f>SUM(D5:D12)</f>
        <v>198</v>
      </c>
      <c r="E13" s="112"/>
      <c r="F13" s="106">
        <f>SUM(F5:F12)</f>
        <v>209286</v>
      </c>
      <c r="G13" s="106"/>
      <c r="H13" s="106">
        <f>SUM(H5:H12)</f>
        <v>2015212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2224498</v>
      </c>
      <c r="O13" s="106"/>
    </row>
    <row r="14" spans="1:16" ht="15" customHeight="1">
      <c r="A14" s="208" t="s">
        <v>150</v>
      </c>
      <c r="B14" s="78" t="s">
        <v>82</v>
      </c>
      <c r="C14" s="79" t="s">
        <v>73</v>
      </c>
      <c r="D14" s="113">
        <v>28.9</v>
      </c>
      <c r="E14" s="161">
        <v>10855</v>
      </c>
      <c r="F14" s="114">
        <f>D14*E14</f>
        <v>313709.5</v>
      </c>
      <c r="G14" s="161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207"/>
    </row>
    <row r="15" spans="1:16" ht="15" customHeight="1">
      <c r="A15" s="208"/>
      <c r="B15" s="78" t="s">
        <v>83</v>
      </c>
      <c r="C15" s="79" t="s">
        <v>73</v>
      </c>
      <c r="D15" s="115">
        <v>12.4</v>
      </c>
      <c r="E15" s="161">
        <v>10855</v>
      </c>
      <c r="F15" s="114">
        <f>D15*E15</f>
        <v>134602</v>
      </c>
      <c r="G15" s="161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207"/>
    </row>
    <row r="16" spans="1:16" ht="15" customHeight="1">
      <c r="A16" s="208"/>
      <c r="B16" s="78" t="s">
        <v>84</v>
      </c>
      <c r="C16" s="79" t="s">
        <v>73</v>
      </c>
      <c r="D16" s="115">
        <v>9.9</v>
      </c>
      <c r="E16" s="161">
        <v>10855</v>
      </c>
      <c r="F16" s="114">
        <f>D16*E16</f>
        <v>107464.5</v>
      </c>
      <c r="G16" s="161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207"/>
    </row>
    <row r="17" spans="1:15" ht="15" customHeight="1">
      <c r="A17" s="209"/>
      <c r="B17" s="78" t="s">
        <v>85</v>
      </c>
      <c r="C17" s="79" t="s">
        <v>73</v>
      </c>
      <c r="D17" s="115">
        <v>8.3000000000000007</v>
      </c>
      <c r="E17" s="161">
        <v>10855</v>
      </c>
      <c r="F17" s="114">
        <f>D17*E17</f>
        <v>90096.500000000015</v>
      </c>
      <c r="G17" s="161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210"/>
    </row>
    <row r="18" spans="1:15" ht="15" customHeight="1">
      <c r="A18" s="95" t="s">
        <v>81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146</v>
      </c>
      <c r="B20" s="123" t="s">
        <v>142</v>
      </c>
      <c r="C20" s="123" t="s">
        <v>141</v>
      </c>
      <c r="D20" s="215">
        <v>0.25</v>
      </c>
      <c r="E20" s="161">
        <v>54693</v>
      </c>
      <c r="F20" s="114">
        <f>D20*E20</f>
        <v>13673.25</v>
      </c>
      <c r="G20" s="80"/>
      <c r="H20" s="80"/>
      <c r="I20" s="80"/>
      <c r="J20" s="80"/>
      <c r="K20" s="80"/>
      <c r="L20" s="80"/>
      <c r="M20" s="80"/>
      <c r="N20" s="117">
        <f t="shared" ref="N20:N29" si="4">F20+H20+J20+L20</f>
        <v>13673.25</v>
      </c>
      <c r="O20" s="80"/>
    </row>
    <row r="21" spans="1:15" ht="15" customHeight="1">
      <c r="A21" s="211" t="s">
        <v>87</v>
      </c>
      <c r="B21" s="85" t="s">
        <v>88</v>
      </c>
      <c r="C21" s="86" t="s">
        <v>73</v>
      </c>
      <c r="D21" s="151">
        <v>12</v>
      </c>
      <c r="E21" s="117"/>
      <c r="F21" s="117">
        <f>D21*E21</f>
        <v>0</v>
      </c>
      <c r="G21" s="162">
        <v>8978</v>
      </c>
      <c r="H21" s="117">
        <f t="shared" ref="H21:H27" si="5">D21*G21</f>
        <v>107736</v>
      </c>
      <c r="I21" s="117"/>
      <c r="J21" s="117"/>
      <c r="K21" s="117"/>
      <c r="L21" s="117"/>
      <c r="M21" s="117"/>
      <c r="N21" s="117">
        <f t="shared" si="4"/>
        <v>107736</v>
      </c>
      <c r="O21" s="212" t="s">
        <v>172</v>
      </c>
    </row>
    <row r="22" spans="1:15" ht="15" customHeight="1">
      <c r="A22" s="211"/>
      <c r="B22" s="85" t="s">
        <v>89</v>
      </c>
      <c r="C22" s="86" t="s">
        <v>73</v>
      </c>
      <c r="D22" s="151">
        <v>12</v>
      </c>
      <c r="E22" s="117"/>
      <c r="F22" s="117">
        <f t="shared" ref="F22:F29" si="6">D22*E22</f>
        <v>0</v>
      </c>
      <c r="G22" s="162">
        <v>5317</v>
      </c>
      <c r="H22" s="117">
        <f t="shared" si="5"/>
        <v>63804</v>
      </c>
      <c r="I22" s="117"/>
      <c r="J22" s="117"/>
      <c r="K22" s="117"/>
      <c r="L22" s="117"/>
      <c r="M22" s="117"/>
      <c r="N22" s="117">
        <f t="shared" si="4"/>
        <v>63804</v>
      </c>
      <c r="O22" s="213"/>
    </row>
    <row r="23" spans="1:15" ht="15" customHeight="1">
      <c r="A23" s="211" t="s">
        <v>90</v>
      </c>
      <c r="B23" s="85" t="s">
        <v>88</v>
      </c>
      <c r="C23" s="86" t="s">
        <v>73</v>
      </c>
      <c r="D23" s="151">
        <v>12</v>
      </c>
      <c r="E23" s="117"/>
      <c r="F23" s="117">
        <f>D23*E23</f>
        <v>0</v>
      </c>
      <c r="G23" s="162">
        <v>8978</v>
      </c>
      <c r="H23" s="117">
        <f t="shared" si="5"/>
        <v>107736</v>
      </c>
      <c r="I23" s="117"/>
      <c r="J23" s="117"/>
      <c r="K23" s="117"/>
      <c r="L23" s="117"/>
      <c r="M23" s="117"/>
      <c r="N23" s="117">
        <f t="shared" si="4"/>
        <v>107736</v>
      </c>
      <c r="O23" s="213"/>
    </row>
    <row r="24" spans="1:15" ht="15" customHeight="1">
      <c r="A24" s="211"/>
      <c r="B24" s="85" t="s">
        <v>89</v>
      </c>
      <c r="C24" s="86" t="s">
        <v>73</v>
      </c>
      <c r="D24" s="151">
        <v>12</v>
      </c>
      <c r="E24" s="117"/>
      <c r="F24" s="117">
        <f t="shared" ref="F24:F27" si="7">D24*E24</f>
        <v>0</v>
      </c>
      <c r="G24" s="162">
        <v>5317</v>
      </c>
      <c r="H24" s="117">
        <f t="shared" si="5"/>
        <v>63804</v>
      </c>
      <c r="I24" s="117"/>
      <c r="J24" s="117"/>
      <c r="K24" s="117"/>
      <c r="L24" s="117"/>
      <c r="M24" s="117"/>
      <c r="N24" s="117">
        <f t="shared" si="4"/>
        <v>63804</v>
      </c>
      <c r="O24" s="214"/>
    </row>
    <row r="25" spans="1:15" ht="15" customHeight="1">
      <c r="A25" s="124" t="s">
        <v>144</v>
      </c>
      <c r="B25" s="123" t="s">
        <v>145</v>
      </c>
      <c r="C25" s="123" t="s">
        <v>141</v>
      </c>
      <c r="D25" s="151">
        <v>0.2</v>
      </c>
      <c r="E25" s="161">
        <v>74983</v>
      </c>
      <c r="F25" s="117">
        <f t="shared" si="7"/>
        <v>14996.6</v>
      </c>
      <c r="G25" s="80"/>
      <c r="H25" s="80"/>
      <c r="I25" s="80"/>
      <c r="J25" s="80"/>
      <c r="K25" s="80"/>
      <c r="L25" s="80"/>
      <c r="M25" s="80"/>
      <c r="N25" s="117">
        <f t="shared" si="4"/>
        <v>14996.6</v>
      </c>
      <c r="O25" s="80"/>
    </row>
    <row r="26" spans="1:15" ht="15" customHeight="1">
      <c r="A26" s="203" t="s">
        <v>91</v>
      </c>
      <c r="B26" s="85" t="s">
        <v>92</v>
      </c>
      <c r="C26" s="86" t="s">
        <v>73</v>
      </c>
      <c r="D26" s="151">
        <v>16</v>
      </c>
      <c r="E26" s="80"/>
      <c r="F26" s="80">
        <f t="shared" si="6"/>
        <v>0</v>
      </c>
      <c r="G26" s="161">
        <v>2084</v>
      </c>
      <c r="H26" s="80">
        <f t="shared" si="5"/>
        <v>33344</v>
      </c>
      <c r="I26" s="80"/>
      <c r="J26" s="80"/>
      <c r="K26" s="80"/>
      <c r="L26" s="114"/>
      <c r="M26" s="80"/>
      <c r="N26" s="114">
        <f t="shared" si="4"/>
        <v>33344</v>
      </c>
      <c r="O26" s="80"/>
    </row>
    <row r="27" spans="1:15" ht="15" customHeight="1">
      <c r="A27" s="203"/>
      <c r="B27" s="85" t="s">
        <v>93</v>
      </c>
      <c r="C27" s="86" t="s">
        <v>73</v>
      </c>
      <c r="D27" s="151">
        <v>16</v>
      </c>
      <c r="E27" s="80"/>
      <c r="F27" s="80">
        <f t="shared" si="7"/>
        <v>0</v>
      </c>
      <c r="G27" s="161">
        <v>3232</v>
      </c>
      <c r="H27" s="80">
        <f t="shared" si="5"/>
        <v>51712</v>
      </c>
      <c r="I27" s="80"/>
      <c r="J27" s="80"/>
      <c r="K27" s="80"/>
      <c r="L27" s="114"/>
      <c r="M27" s="80"/>
      <c r="N27" s="114">
        <f t="shared" si="4"/>
        <v>51712</v>
      </c>
      <c r="O27" s="80"/>
    </row>
    <row r="28" spans="1:15" ht="15" customHeight="1">
      <c r="A28" s="203" t="s">
        <v>94</v>
      </c>
      <c r="B28" s="85" t="s">
        <v>92</v>
      </c>
      <c r="C28" s="86" t="s">
        <v>73</v>
      </c>
      <c r="D28" s="151">
        <v>2</v>
      </c>
      <c r="E28" s="80"/>
      <c r="F28" s="80">
        <f t="shared" si="6"/>
        <v>0</v>
      </c>
      <c r="G28" s="161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4"/>
        <v>4168</v>
      </c>
      <c r="O28" s="80"/>
    </row>
    <row r="29" spans="1:15" ht="15" customHeight="1">
      <c r="A29" s="203"/>
      <c r="B29" s="85" t="s">
        <v>95</v>
      </c>
      <c r="C29" s="86" t="s">
        <v>73</v>
      </c>
      <c r="D29" s="151">
        <v>2</v>
      </c>
      <c r="E29" s="80"/>
      <c r="F29" s="80">
        <f t="shared" si="6"/>
        <v>0</v>
      </c>
      <c r="G29" s="161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4"/>
        <v>9772</v>
      </c>
      <c r="O29" s="80"/>
    </row>
    <row r="30" spans="1:15" ht="15" customHeight="1">
      <c r="A30" s="95" t="s">
        <v>81</v>
      </c>
      <c r="B30" s="87"/>
      <c r="C30" s="88"/>
      <c r="D30" s="152"/>
      <c r="E30" s="83"/>
      <c r="F30" s="83">
        <f>SUM(F19:F29)</f>
        <v>28669.85</v>
      </c>
      <c r="G30" s="83"/>
      <c r="H30" s="83">
        <f>SUM(H19:H29)</f>
        <v>442076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470745.85</v>
      </c>
      <c r="O30" s="83"/>
    </row>
    <row r="31" spans="1:15" ht="15" customHeight="1">
      <c r="A31" s="101" t="s">
        <v>96</v>
      </c>
      <c r="B31" s="78" t="s">
        <v>157</v>
      </c>
      <c r="C31" s="79" t="s">
        <v>73</v>
      </c>
      <c r="D31" s="153">
        <v>100</v>
      </c>
      <c r="E31" s="114"/>
      <c r="F31" s="114"/>
      <c r="G31" s="161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140</v>
      </c>
      <c r="B33" s="81"/>
      <c r="C33" s="82"/>
      <c r="D33" s="154"/>
      <c r="E33" s="91"/>
      <c r="F33" s="92">
        <f>F13+F18+F30+F32</f>
        <v>883828.35</v>
      </c>
      <c r="G33" s="92"/>
      <c r="H33" s="92">
        <f>H13+H18+H30+H32</f>
        <v>3301414.5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4185242.85</v>
      </c>
      <c r="O33" s="91"/>
    </row>
  </sheetData>
  <mergeCells count="21">
    <mergeCell ref="A26:A27"/>
    <mergeCell ref="A28:A29"/>
    <mergeCell ref="A5:A12"/>
    <mergeCell ref="O5:O12"/>
    <mergeCell ref="A14:A17"/>
    <mergeCell ref="O14:O17"/>
    <mergeCell ref="A21:A22"/>
    <mergeCell ref="A23:A24"/>
    <mergeCell ref="O21:O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11.992000000000001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E00000803071260301</v>
      </c>
      <c r="B4" s="99">
        <f>'내역서(표준단가)'!B7</f>
        <v>0</v>
      </c>
      <c r="C4" s="99" t="str">
        <f>'내역서(표준단가)'!C7</f>
        <v>E00000803071260301</v>
      </c>
      <c r="D4" s="99">
        <f>'내역서(표준단가)'!D7</f>
        <v>0</v>
      </c>
      <c r="E4" s="99">
        <f>'내역서(표준단가)'!E7</f>
        <v>0</v>
      </c>
      <c r="F4" s="107">
        <f>'내역서(표준단가)'!I7</f>
        <v>1.7709999999999999</v>
      </c>
    </row>
    <row r="5" spans="1:6">
      <c r="A5" s="98" t="str">
        <f>'내역서(표준단가)'!A8</f>
        <v>M020809012520101</v>
      </c>
      <c r="B5" s="99">
        <f>'내역서(표준단가)'!B8</f>
        <v>0</v>
      </c>
      <c r="C5" s="99">
        <f>'내역서(표준단가)'!C8</f>
        <v>0</v>
      </c>
      <c r="D5" s="99" t="str">
        <f>'내역서(표준단가)'!D8</f>
        <v>M020809012520101</v>
      </c>
      <c r="E5" s="99">
        <f>'내역서(표준단가)'!E8</f>
        <v>0</v>
      </c>
      <c r="F5" s="107">
        <f>'내역서(표준단가)'!I8</f>
        <v>59.5</v>
      </c>
    </row>
    <row r="6" spans="1:6">
      <c r="A6" s="98" t="str">
        <f>'내역서(표준단가)'!A9</f>
        <v>E00000803071260401</v>
      </c>
      <c r="B6" s="99">
        <f>'내역서(표준단가)'!B9</f>
        <v>0</v>
      </c>
      <c r="C6" s="99" t="str">
        <f>'내역서(표준단가)'!C9</f>
        <v>E00000803071260401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0.97540000000000004</v>
      </c>
    </row>
    <row r="7" spans="1:6">
      <c r="A7" s="98" t="str">
        <f>'내역서(표준단가)'!A10</f>
        <v>M020412614110102</v>
      </c>
      <c r="B7" s="99">
        <f>'내역서(표준단가)'!B10</f>
        <v>0</v>
      </c>
      <c r="C7" s="99">
        <f>'내역서(표준단가)'!C10</f>
        <v>0</v>
      </c>
      <c r="D7" s="99" t="str">
        <f>'내역서(표준단가)'!D10</f>
        <v>M020412614110102</v>
      </c>
      <c r="E7" s="99">
        <f>'내역서(표준단가)'!E10</f>
        <v>0</v>
      </c>
      <c r="F7" s="107">
        <f>'내역서(표준단가)'!I10</f>
        <v>0.25</v>
      </c>
    </row>
    <row r="8" spans="1:6">
      <c r="A8" s="98" t="str">
        <f>'내역서(표준단가)'!A11</f>
        <v>E00000803061120402</v>
      </c>
      <c r="B8" s="99">
        <f>'내역서(표준단가)'!B11</f>
        <v>0</v>
      </c>
      <c r="C8" s="99" t="str">
        <f>'내역서(표준단가)'!C11</f>
        <v>E00000803061120402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24</v>
      </c>
    </row>
    <row r="9" spans="1:6">
      <c r="A9" s="98" t="str">
        <f>'내역서(표준단가)'!A12</f>
        <v>E00000803061300201</v>
      </c>
      <c r="B9" s="99">
        <f>'내역서(표준단가)'!B12</f>
        <v>0</v>
      </c>
      <c r="C9" s="99" t="str">
        <f>'내역서(표준단가)'!C12</f>
        <v>E00000803061300201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24</v>
      </c>
    </row>
    <row r="10" spans="1:6">
      <c r="A10" s="98" t="str">
        <f>'내역서(표준단가)'!A13</f>
        <v>M020411810170101</v>
      </c>
      <c r="B10" s="99">
        <f>'내역서(표준단가)'!B13</f>
        <v>0</v>
      </c>
      <c r="C10" s="99">
        <f>'내역서(표준단가)'!C13</f>
        <v>0</v>
      </c>
      <c r="D10" s="99" t="str">
        <f>'내역서(표준단가)'!D13</f>
        <v>M020411810170101</v>
      </c>
      <c r="E10" s="99">
        <f>'내역서(표준단가)'!E13</f>
        <v>0</v>
      </c>
      <c r="F10" s="107">
        <f>'내역서(표준단가)'!I13</f>
        <v>0.2</v>
      </c>
    </row>
    <row r="11" spans="1:6">
      <c r="A11" s="98" t="str">
        <f>'내역서(표준단가)'!A14</f>
        <v>E00000803061120802</v>
      </c>
      <c r="B11" s="99">
        <f>'내역서(표준단가)'!B14</f>
        <v>0</v>
      </c>
      <c r="C11" s="99" t="str">
        <f>'내역서(표준단가)'!C14</f>
        <v>E00000803061120802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16</v>
      </c>
    </row>
    <row r="12" spans="1:6">
      <c r="A12" s="98" t="str">
        <f>'내역서(표준단가)'!A15</f>
        <v>E00000803061300701</v>
      </c>
      <c r="B12" s="99">
        <f>'내역서(표준단가)'!B15</f>
        <v>0</v>
      </c>
      <c r="C12" s="99" t="str">
        <f>'내역서(표준단가)'!C15</f>
        <v>E00000803061300701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16</v>
      </c>
    </row>
    <row r="13" spans="1:6">
      <c r="A13" s="98" t="str">
        <f>'내역서(표준단가)'!A16</f>
        <v>E00000803061120802</v>
      </c>
      <c r="B13" s="99">
        <f>'내역서(표준단가)'!B16</f>
        <v>0</v>
      </c>
      <c r="C13" s="99" t="str">
        <f>'내역서(표준단가)'!C16</f>
        <v>E00000803061120802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2</v>
      </c>
    </row>
    <row r="14" spans="1:6">
      <c r="A14" s="98" t="str">
        <f>'내역서(표준단가)'!A17</f>
        <v>E00000803061300401</v>
      </c>
      <c r="B14" s="99">
        <f>'내역서(표준단가)'!B17</f>
        <v>0</v>
      </c>
      <c r="C14" s="99" t="str">
        <f>'내역서(표준단가)'!C17</f>
        <v>E00000803061300401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2</v>
      </c>
    </row>
    <row r="15" spans="1:6">
      <c r="A15" s="98" t="str">
        <f>'내역서(표준단가)'!A18</f>
        <v>E00000801011510701</v>
      </c>
      <c r="B15" s="99">
        <f>'내역서(표준단가)'!B18</f>
        <v>0</v>
      </c>
      <c r="C15" s="99" t="str">
        <f>'내역서(표준단가)'!C18</f>
        <v>E00000801011510701</v>
      </c>
      <c r="D15" s="99">
        <f>'내역서(표준단가)'!D18</f>
        <v>0</v>
      </c>
      <c r="E15" s="99">
        <f>'내역서(표준단가)'!E18</f>
        <v>0</v>
      </c>
      <c r="F15" s="107">
        <f>'내역서(표준단가)'!I18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3.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2026-06-21T23:55:46Z</dcterms:modified>
</cp:coreProperties>
</file>
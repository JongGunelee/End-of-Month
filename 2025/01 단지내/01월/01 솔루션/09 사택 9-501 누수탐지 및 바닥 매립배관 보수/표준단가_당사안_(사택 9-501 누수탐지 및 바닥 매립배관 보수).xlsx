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7 사택 9-501 누수탐지 및 바닥 매립배관 보수\"/>
    </mc:Choice>
  </mc:AlternateContent>
  <xr:revisionPtr revIDLastSave="0" documentId="13_ncr:1_{82B05C76-D413-4BC4-9E97-CA41E3403C76}" xr6:coauthVersionLast="47" xr6:coauthVersionMax="47" xr10:uidLastSave="{00000000-0000-0000-0000-000000000000}"/>
  <bookViews>
    <workbookView xWindow="2685" yWindow="2685" windowWidth="7500" windowHeight="11295" activeTab="1" xr2:uid="{00000000-000D-0000-FFFF-FFFF00000000}"/>
  </bookViews>
  <sheets>
    <sheet name="갑지" sheetId="5" r:id="rId1"/>
    <sheet name="내역서(표준단가)" sheetId="4" r:id="rId2"/>
    <sheet name="Upload" sheetId="1" r:id="rId3"/>
    <sheet name="Upload(시중가)-별도입력" sheetId="6" r:id="rId4"/>
    <sheet name="공사수립계획서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F2" i="1"/>
  <c r="E2" i="1"/>
  <c r="D2" i="1"/>
  <c r="C2" i="1"/>
  <c r="B2" i="1"/>
  <c r="U7" i="4" l="1"/>
  <c r="U8" i="4"/>
  <c r="O7" i="4"/>
  <c r="Q7" i="4"/>
  <c r="V7" i="4" l="1"/>
  <c r="E7" i="4" l="1"/>
  <c r="A2" i="1" s="1"/>
  <c r="N2" i="6"/>
  <c r="U9" i="4"/>
  <c r="S9" i="4"/>
  <c r="Q9" i="4"/>
  <c r="S8" i="4"/>
  <c r="Q8" i="4"/>
  <c r="J5" i="4"/>
  <c r="H2" i="6" l="1"/>
  <c r="O6" i="4" l="1"/>
  <c r="C5" i="10" l="1"/>
  <c r="E4" i="10"/>
  <c r="S6" i="4" l="1"/>
  <c r="U6" i="4"/>
  <c r="Q6" i="4"/>
  <c r="O9" i="4"/>
  <c r="V9" i="4" s="1"/>
  <c r="O8" i="4"/>
  <c r="V8" i="4" s="1"/>
  <c r="U11" i="4" l="1"/>
  <c r="V6" i="4"/>
  <c r="Q11" i="4"/>
  <c r="E8" i="4" l="1"/>
  <c r="A3" i="1" s="1"/>
  <c r="E9" i="4"/>
  <c r="E6" i="4" l="1"/>
  <c r="E5" i="4"/>
  <c r="V11" i="4" l="1"/>
  <c r="E1" i="4" l="1"/>
  <c r="E12" i="4" l="1"/>
  <c r="E13" i="4"/>
  <c r="E14" i="4"/>
  <c r="E15" i="4"/>
  <c r="E11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O11" i="4" l="1"/>
  <c r="F16" i="5" s="1"/>
  <c r="F17" i="5"/>
  <c r="F25" i="5" l="1"/>
  <c r="F22" i="5"/>
  <c r="F23" i="5" s="1"/>
  <c r="F24" i="5"/>
  <c r="F21" i="5"/>
  <c r="S11" i="4"/>
  <c r="F18" i="5" l="1"/>
  <c r="F19" i="5" s="1"/>
  <c r="F26" i="5"/>
  <c r="F27" i="5" s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<sst xmlns="http://schemas.openxmlformats.org/spreadsheetml/2006/main" count="175" uniqueCount="151">
  <si>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</si>
  <si>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</si>
  <si>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</si>
  <si>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</si>
  <si>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</si>
  <si>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</si>
  <si>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</si>
  <si>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</si>
  <si>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22" type="noConversion"/>
  </si>
  <si>
    <t xml:space="preserve">  </t>
  </si>
  <si>
    <t>NO</t>
  </si>
  <si>
    <t>품명</t>
    <phoneticPr fontId="22" type="noConversion"/>
  </si>
  <si>
    <t>규격</t>
    <phoneticPr fontId="22" type="noConversion"/>
  </si>
  <si>
    <t>수량</t>
    <phoneticPr fontId="22" type="noConversion"/>
  </si>
  <si>
    <t>단위</t>
    <phoneticPr fontId="22" type="noConversion"/>
  </si>
  <si>
    <t>금액</t>
    <phoneticPr fontId="22" type="noConversion"/>
  </si>
  <si>
    <t>비고</t>
    <phoneticPr fontId="22" type="noConversion"/>
  </si>
  <si>
    <t>직접비</t>
    <phoneticPr fontId="13" type="noConversion"/>
  </si>
  <si>
    <t>재료비</t>
    <phoneticPr fontId="13" type="noConversion"/>
  </si>
  <si>
    <t>노무비</t>
    <phoneticPr fontId="22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</si>
  <si>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</si>
  <si>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</si>
  <si>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</si>
  <si>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2" type="noConversion"/>
  </si>
  <si>
    <t> 노무비*4.5%</t>
    <phoneticPr fontId="22" type="noConversion"/>
  </si>
  <si>
    <t>식</t>
    <phoneticPr fontId="22" type="noConversion"/>
  </si>
  <si>
    <t>모든공사에 적용</t>
    <phoneticPr fontId="22" type="noConversion"/>
  </si>
  <si>
    <t>  건강보험료</t>
    <phoneticPr fontId="22" type="noConversion"/>
  </si>
  <si>
    <t>모든공사에 적용</t>
    <phoneticPr fontId="22" type="noConversion"/>
  </si>
  <si>
    <t>  장기요양보험료</t>
    <phoneticPr fontId="22" type="noConversion"/>
  </si>
  <si>
    <t>  고용보험료</t>
    <phoneticPr fontId="22" type="noConversion"/>
  </si>
  <si>
    <t>  산재보험료</t>
    <phoneticPr fontId="22" type="noConversion"/>
  </si>
  <si>
    <t xml:space="preserve">  산업안전보건관리비</t>
    <phoneticPr fontId="22" type="noConversion"/>
  </si>
  <si>
    <t>소계</t>
    <phoneticPr fontId="13" type="noConversion"/>
  </si>
  <si>
    <t>합계(단수조정)</t>
    <phoneticPr fontId="13" type="noConversion"/>
  </si>
  <si>
    <t>VAT별도</t>
    <phoneticPr fontId="22" type="noConversion"/>
  </si>
  <si>
    <t> (재료비+노무비)*2.93%</t>
    <phoneticPr fontId="22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</si>
  <si>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</si>
  <si>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</si>
  <si>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</si>
  <si>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</si>
  <si>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</si>
  <si>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</si>
  <si>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10"/>
        <rFont val="LG스마트체 Regular"/>
        <family val="3"/>
        <charset val="129"/>
      </rPr>
      <t>노무비</t>
    </r>
    <phoneticPr fontId="7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</si>
  <si>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</si>
  <si>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5" type="noConversion"/>
  </si>
  <si>
    <t>★ 작성방법</t>
    <phoneticPr fontId="5" type="noConversion"/>
  </si>
  <si>
    <t>일반관리비/이윤</t>
    <phoneticPr fontId="22" type="noConversion"/>
  </si>
  <si>
    <t> (노무비+간접공사비)*5%</t>
    <phoneticPr fontId="22" type="noConversion"/>
  </si>
  <si>
    <t>② 일부항목 미입력시 업로드 안됨</t>
    <phoneticPr fontId="5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</si>
  <si>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</si>
  <si>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</si>
  <si>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5" type="noConversion"/>
  </si>
  <si>
    <r>
      <rPr>
        <b/>
        <sz val="10"/>
        <rFont val="LG스마트체 Regular"/>
        <family val="3"/>
        <charset val="129"/>
      </rPr>
      <t>주요내역</t>
    </r>
    <phoneticPr fontId="5" type="noConversion"/>
  </si>
  <si>
    <r>
      <rPr>
        <b/>
        <sz val="10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</si>
  <si>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</si>
  <si>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</si>
  <si>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5" type="noConversion"/>
  </si>
  <si>
    <r>
      <rPr>
        <b/>
        <sz val="10"/>
        <rFont val="LG스마트체 Regular"/>
        <family val="3"/>
        <charset val="129"/>
      </rPr>
      <t>품목</t>
    </r>
    <phoneticPr fontId="5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</si>
  <si>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5" type="noConversion"/>
  </si>
  <si>
    <r>
      <rPr>
        <b/>
        <sz val="10"/>
        <rFont val="LG스마트체 Regular"/>
        <family val="3"/>
        <charset val="129"/>
      </rPr>
      <t>단가</t>
    </r>
    <phoneticPr fontId="7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</si>
  <si>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</si>
  <si>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</si>
  <si>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</si>
  <si>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</si>
  <si>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</si>
  <si>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</si>
  <si>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</si>
  <si>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</si>
  <si>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</si>
  <si>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</si>
  <si>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</si>
  <si>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5" type="noConversion"/>
  </si>
  <si>
    <t> 노무비*1.01%</t>
    <phoneticPr fontId="22" type="noConversion"/>
  </si>
  <si>
    <t xml:space="preserve"> 공사명 : 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</si>
  <si>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</si>
  <si>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</si>
  <si>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</si>
  <si>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</si>
  <si>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</si>
  <si>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</si>
  <si>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</si>
  <si>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</si>
  <si>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</si>
  <si>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</si>
  <si>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</si>
  <si>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</si>
  <si>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</si>
  <si>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</si>
  <si>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</si>
  <si>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</si>
  <si>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</si>
  <si>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3" type="noConversion"/>
  </si>
  <si>
    <t> 노무비*3.545%</t>
    <phoneticPr fontId="22" type="noConversion"/>
  </si>
  <si>
    <t> 건강보험료*12.95%</t>
    <phoneticPr fontId="22" type="noConversion"/>
  </si>
  <si>
    <t> 노무비*3.56%</t>
    <phoneticPr fontId="22" type="noConversion"/>
  </si>
  <si>
    <t>513-81-40808</t>
    <phoneticPr fontId="5" type="noConversion"/>
  </si>
  <si>
    <t>이   성   철</t>
    <phoneticPr fontId="5" type="noConversion"/>
  </si>
  <si>
    <t>경북 칠곡군 석적읍 동중리1길(중리 97-2)</t>
  </si>
  <si>
    <t>건설업/제조업/도매및소매업</t>
    <phoneticPr fontId="5" type="noConversion"/>
  </si>
  <si>
    <t>기계설비공사/플랜트구조물,철구조물/금속구조물,창호</t>
    <phoneticPr fontId="5" type="noConversion"/>
  </si>
  <si>
    <t>☏(054)977-8100   FAX(054)977-8102</t>
  </si>
  <si>
    <t xml:space="preserve"> 견적일 : </t>
    <phoneticPr fontId="13" type="noConversion"/>
  </si>
  <si>
    <r>
      <rPr>
        <sz val="12"/>
        <color indexed="8"/>
        <rFont val="돋움"/>
        <family val="3"/>
        <charset val="129"/>
      </rPr>
      <t>합</t>
    </r>
    <r>
      <rPr>
        <sz val="12"/>
        <color indexed="8"/>
        <rFont val="Arial"/>
        <family val="2"/>
      </rPr>
      <t xml:space="preserve">      </t>
    </r>
    <r>
      <rPr>
        <sz val="12"/>
        <color indexed="8"/>
        <rFont val="돋움"/>
        <family val="3"/>
        <charset val="129"/>
      </rPr>
      <t>계</t>
    </r>
    <phoneticPr fontId="5" type="noConversion"/>
  </si>
  <si>
    <t>공사수립계획서</t>
  </si>
  <si>
    <t>업 체 명</t>
  </si>
  <si>
    <t>㈜아트이엔지</t>
    <phoneticPr fontId="5" type="noConversion"/>
  </si>
  <si>
    <t>견적일시</t>
    <phoneticPr fontId="5" type="noConversion"/>
  </si>
  <si>
    <t>공 사 명</t>
  </si>
  <si>
    <t>공사 업체</t>
  </si>
  <si>
    <t>■ 공사기간 : 입찰시스템 계약기간에 준함</t>
  </si>
  <si>
    <t>■ 인원투입계획 : 총  0 명(주말 : 0 명)</t>
    <phoneticPr fontId="5" type="noConversion"/>
  </si>
  <si>
    <t>■ 시공방법</t>
  </si>
  <si>
    <t xml:space="preserve"> -. 작업장 정리정돈 및 자재 반출</t>
  </si>
  <si>
    <t xml:space="preserve">■ 안전확보 방안 : </t>
  </si>
  <si>
    <t xml:space="preserve">■ 주요 사용물질 : </t>
    <phoneticPr fontId="5" type="noConversion"/>
  </si>
  <si>
    <t xml:space="preserve">- </t>
    <phoneticPr fontId="5" type="noConversion"/>
  </si>
  <si>
    <t>성명 :  김  영  배</t>
    <phoneticPr fontId="5" type="noConversion"/>
  </si>
  <si>
    <t>(인감/서명)</t>
  </si>
  <si>
    <t xml:space="preserve">㈜ S&amp;I </t>
    <phoneticPr fontId="5" type="noConversion"/>
  </si>
  <si>
    <t xml:space="preserve">성명 :  </t>
    <phoneticPr fontId="5" type="noConversion"/>
  </si>
  <si>
    <t>서명</t>
  </si>
  <si>
    <t>E999999</t>
    <phoneticPr fontId="5" type="noConversion"/>
  </si>
  <si>
    <t>-. 작업전 작업내용 숙지 및 작업 순서 확인.</t>
  </si>
  <si>
    <t>-. 개인 안전보호구 착용 철저</t>
    <phoneticPr fontId="5" type="noConversion"/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</si>
  <si>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</si>
  <si>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</si>
  <si>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</si>
  <si>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>2024 년     12 월  12 일</t>
    <phoneticPr fontId="5" type="noConversion"/>
  </si>
  <si>
    <t/>
  </si>
  <si>
    <t>L002</t>
  </si>
  <si>
    <t>E999999</t>
  </si>
  <si>
    <t>보통인부</t>
  </si>
  <si>
    <t>인</t>
  </si>
  <si>
    <t>누수탐지</t>
  </si>
  <si>
    <t>누수탐지 작업 및 보수</t>
  </si>
  <si>
    <t>식</t>
  </si>
  <si>
    <t xml:space="preserve"> - 9동 501호 주방 씽크대 앞 바닥누수 점검 및 보수</t>
    <phoneticPr fontId="5" type="noConversion"/>
  </si>
  <si>
    <t xml:space="preserve"> -. 바닥 장판 철거</t>
    <phoneticPr fontId="5" type="noConversion"/>
  </si>
  <si>
    <t xml:space="preserve"> -. 바닥 누수부 탐지작업</t>
    <phoneticPr fontId="5" type="noConversion"/>
  </si>
  <si>
    <t xml:space="preserve"> -. 누수부 바닥 헐기 및 누수부분 찾기</t>
    <phoneticPr fontId="5" type="noConversion"/>
  </si>
  <si>
    <t xml:space="preserve"> -. 바닥 누수조치 Leak 확인 후 바닥 마감작업</t>
    <phoneticPr fontId="5" type="noConversion"/>
  </si>
  <si>
    <t xml:space="preserve"> -. 바닥 누수부 확인 후 누수조치 동관누수시 산소 용접작업</t>
    <phoneticPr fontId="5" type="noConversion"/>
  </si>
  <si>
    <t>■ 위험작업 유무 :  무( 일반작업(중량물 작업) ), 유( 화기작업(산소용접접합) )</t>
    <phoneticPr fontId="5" type="noConversion"/>
  </si>
  <si>
    <t>-. 화기작업시 소화기 비치 및 화기감시자 상주, 작업구영 인화성물질 제거 및 필요시 불티비산 방지 보양 실시</t>
  </si>
  <si>
    <t>-. 작업에 사용되는 화학물지의 MSDS교육 실시 및 교육자료 현장 비치</t>
  </si>
  <si>
    <t>기 실적가</t>
    <phoneticPr fontId="5" type="noConversion"/>
  </si>
  <si>
    <t>배관공</t>
    <phoneticPr fontId="5" type="noConversion"/>
  </si>
  <si>
    <t>최소인건비</t>
    <phoneticPr fontId="5" type="noConversion"/>
  </si>
  <si>
    <t>L039</t>
    <phoneticPr fontId="5" type="noConversion"/>
  </si>
  <si>
    <t>사택 9-501 누수탐지 및 바닥 매립배관 보수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</si>
</sst>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₩&quot;* #,##0_);_(&quot;₩&quot;* \(#,##0\);_(&quot;₩&quot;* &quot;-&quot;_);_(@_)"/>
    <numFmt numFmtId="41" formatCode="_(* #,##0_);_(* \(#,##0\);_(* &quot;-&quot;_);_(@_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79" formatCode="#"/>
    <numFmt numFmtId="180" formatCode="#,##0_);[Red]\(#,##0\)"/>
    <numFmt numFmtId="181" formatCode="m&quot;/&quot;d;@"/>
    <numFmt numFmtId="182" formatCode="_-* #,##0.0_-;\-* #,##0.0_-;_-* &quot;-&quot;?_-;_-@_-"/>
  </numFmts>
  <fonts count="6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color indexed="8"/>
      <name val="돋움"/>
      <family val="3"/>
      <charset val="129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name val="돋움"/>
      <family val="3"/>
      <charset val="129"/>
    </font>
    <font>
      <sz val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indexed="8"/>
      <name val="굴림"/>
      <family val="3"/>
      <charset val="129"/>
    </font>
    <font>
      <sz val="9"/>
      <color rgb="FF000000"/>
      <name val="돋움"/>
      <family val="3"/>
      <charset val="129"/>
    </font>
    <font>
      <sz val="9"/>
      <name val="돋움"/>
      <family val="3"/>
      <charset val="129"/>
    </font>
    <font>
      <b/>
      <sz val="11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9"/>
      <color theme="1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8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41" fontId="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11" fillId="0" borderId="0"/>
    <xf numFmtId="178" fontId="11" fillId="0" borderId="0" applyFont="0" applyFill="0" applyBorder="0" applyAlignment="0" applyProtection="0"/>
    <xf numFmtId="0" fontId="3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42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6" fillId="0" borderId="0">
      <alignment vertical="center"/>
    </xf>
    <xf numFmtId="0" fontId="1" fillId="0" borderId="0">
      <alignment vertical="center"/>
    </xf>
  </cellStyleXfs>
  <cellXfs count="189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9" fontId="10" fillId="3" borderId="0" xfId="2" applyFont="1" applyFill="1" applyAlignment="1">
      <alignment horizontal="center" vertical="center"/>
    </xf>
    <xf numFmtId="0" fontId="12" fillId="0" borderId="0" xfId="6" applyFont="1" applyAlignment="1">
      <alignment vertical="center"/>
    </xf>
    <xf numFmtId="0" fontId="14" fillId="0" borderId="0" xfId="3" applyFont="1"/>
    <xf numFmtId="0" fontId="15" fillId="0" borderId="0" xfId="3" applyFont="1"/>
    <xf numFmtId="0" fontId="16" fillId="0" borderId="0" xfId="6" applyFont="1" applyAlignment="1">
      <alignment vertical="center"/>
    </xf>
    <xf numFmtId="0" fontId="18" fillId="0" borderId="7" xfId="6" applyFont="1" applyBorder="1" applyAlignment="1">
      <alignment vertical="center"/>
    </xf>
    <xf numFmtId="177" fontId="20" fillId="0" borderId="7" xfId="6" applyNumberFormat="1" applyFont="1" applyBorder="1" applyAlignment="1">
      <alignment vertical="center"/>
    </xf>
    <xf numFmtId="0" fontId="21" fillId="0" borderId="7" xfId="6" applyFont="1" applyBorder="1" applyAlignment="1">
      <alignment horizontal="right" vertical="center"/>
    </xf>
    <xf numFmtId="0" fontId="23" fillId="0" borderId="7" xfId="6" applyFont="1" applyBorder="1" applyAlignment="1">
      <alignment horizontal="right" vertical="center"/>
    </xf>
    <xf numFmtId="0" fontId="17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78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78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78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78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6" fontId="24" fillId="0" borderId="15" xfId="5" applyFont="1" applyFill="1" applyBorder="1" applyAlignment="1">
      <alignment horizontal="right"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41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41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78" fontId="24" fillId="5" borderId="15" xfId="7" applyFont="1" applyFill="1" applyBorder="1" applyAlignment="1">
      <alignment horizontal="right" vertical="center"/>
    </xf>
    <xf numFmtId="178" fontId="26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26" fillId="0" borderId="0" xfId="10" applyFont="1"/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41" fontId="10" fillId="4" borderId="3" xfId="4" applyFont="1" applyFill="1" applyBorder="1" applyAlignment="1">
      <alignment horizontal="center" vertical="center"/>
    </xf>
    <xf numFmtId="176" fontId="10" fillId="4" borderId="3" xfId="5" applyFont="1" applyFill="1" applyBorder="1" applyAlignment="1">
      <alignment horizontal="center" vertical="center"/>
    </xf>
    <xf numFmtId="179" fontId="27" fillId="0" borderId="0" xfId="1" applyNumberFormat="1" applyFont="1" applyAlignment="1">
      <alignment horizontal="center" vertical="center"/>
    </xf>
    <xf numFmtId="49" fontId="34" fillId="2" borderId="0" xfId="0" applyNumberFormat="1" applyFont="1" applyFill="1" applyAlignment="1">
      <alignment horizontal="center" vertical="center" wrapText="1"/>
    </xf>
    <xf numFmtId="179" fontId="27" fillId="7" borderId="1" xfId="1" applyNumberFormat="1" applyFont="1" applyFill="1" applyBorder="1" applyAlignment="1">
      <alignment horizontal="center" vertical="center"/>
    </xf>
    <xf numFmtId="179" fontId="27" fillId="0" borderId="1" xfId="1" applyNumberFormat="1" applyFont="1" applyBorder="1" applyAlignment="1">
      <alignment horizontal="center" vertical="center"/>
    </xf>
    <xf numFmtId="0" fontId="33" fillId="9" borderId="21" xfId="0" applyFont="1" applyFill="1" applyBorder="1">
      <alignment vertical="center"/>
    </xf>
    <xf numFmtId="0" fontId="31" fillId="6" borderId="22" xfId="0" applyFont="1" applyFill="1" applyBorder="1" applyAlignment="1">
      <alignment horizontal="center" vertical="center"/>
    </xf>
    <xf numFmtId="0" fontId="16" fillId="5" borderId="25" xfId="6" applyFont="1" applyFill="1" applyBorder="1" applyAlignment="1">
      <alignment horizontal="center" vertical="center"/>
    </xf>
    <xf numFmtId="0" fontId="16" fillId="5" borderId="2" xfId="6" applyFont="1" applyFill="1" applyBorder="1" applyAlignment="1">
      <alignment horizontal="center" vertical="center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28" xfId="6" applyFont="1" applyBorder="1" applyAlignment="1">
      <alignment horizontal="center" vertical="center" shrinkToFit="1"/>
    </xf>
    <xf numFmtId="0" fontId="17" fillId="0" borderId="4" xfId="6" applyFont="1" applyBorder="1" applyAlignment="1">
      <alignment vertical="center"/>
    </xf>
    <xf numFmtId="0" fontId="1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9" fillId="0" borderId="5" xfId="6" applyFont="1" applyBorder="1" applyAlignment="1">
      <alignment vertical="center"/>
    </xf>
    <xf numFmtId="0" fontId="19" fillId="0" borderId="6" xfId="6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7" fillId="0" borderId="5" xfId="6" applyFont="1" applyBorder="1" applyAlignment="1">
      <alignment vertical="center"/>
    </xf>
    <xf numFmtId="0" fontId="16" fillId="0" borderId="6" xfId="6" applyFont="1" applyBorder="1" applyAlignment="1">
      <alignment vertical="center"/>
    </xf>
    <xf numFmtId="0" fontId="16" fillId="0" borderId="0" xfId="6" applyFont="1" applyAlignment="1">
      <alignment horizontal="center" vertical="center" shrinkToFit="1"/>
    </xf>
    <xf numFmtId="0" fontId="41" fillId="0" borderId="0" xfId="0" applyFont="1">
      <alignment vertical="center"/>
    </xf>
    <xf numFmtId="0" fontId="10" fillId="4" borderId="3" xfId="3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31" fillId="7" borderId="3" xfId="0" applyFont="1" applyFill="1" applyBorder="1" applyAlignment="1">
      <alignment horizontal="center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vertical="center"/>
    </xf>
    <xf numFmtId="0" fontId="24" fillId="5" borderId="15" xfId="6" applyFont="1" applyFill="1" applyBorder="1" applyAlignment="1">
      <alignment horizontal="center" vertical="center"/>
    </xf>
    <xf numFmtId="176" fontId="24" fillId="5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49" fontId="4" fillId="2" borderId="33" xfId="0" applyNumberFormat="1" applyFont="1" applyFill="1" applyBorder="1" applyAlignment="1">
      <alignment horizontal="center" vertical="center" wrapText="1"/>
    </xf>
    <xf numFmtId="0" fontId="49" fillId="5" borderId="26" xfId="6" applyFont="1" applyFill="1" applyBorder="1" applyAlignment="1">
      <alignment horizontal="center" vertical="center" shrinkToFit="1"/>
    </xf>
    <xf numFmtId="0" fontId="49" fillId="5" borderId="27" xfId="6" applyFont="1" applyFill="1" applyBorder="1" applyAlignment="1">
      <alignment horizontal="center" vertical="center" shrinkToFit="1"/>
    </xf>
    <xf numFmtId="0" fontId="49" fillId="0" borderId="27" xfId="6" applyFont="1" applyBorder="1" applyAlignment="1">
      <alignment horizontal="center" vertical="center"/>
    </xf>
    <xf numFmtId="0" fontId="49" fillId="0" borderId="29" xfId="6" applyFont="1" applyBorder="1" applyAlignment="1">
      <alignment horizontal="center" vertical="center" shrinkToFit="1"/>
    </xf>
    <xf numFmtId="0" fontId="33" fillId="6" borderId="24" xfId="0" applyFont="1" applyFill="1" applyBorder="1">
      <alignment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37" xfId="0" applyFont="1" applyBorder="1">
      <alignment vertical="center"/>
    </xf>
    <xf numFmtId="41" fontId="40" fillId="0" borderId="37" xfId="0" applyNumberFormat="1" applyFont="1" applyBorder="1">
      <alignment vertical="center"/>
    </xf>
    <xf numFmtId="0" fontId="40" fillId="0" borderId="37" xfId="0" applyFont="1" applyBorder="1">
      <alignment vertical="center"/>
    </xf>
    <xf numFmtId="0" fontId="41" fillId="0" borderId="37" xfId="0" applyFont="1" applyBorder="1" applyAlignment="1">
      <alignment horizontal="center" vertical="center"/>
    </xf>
    <xf numFmtId="0" fontId="41" fillId="0" borderId="38" xfId="0" applyFont="1" applyBorder="1">
      <alignment vertical="center"/>
    </xf>
    <xf numFmtId="0" fontId="41" fillId="0" borderId="34" xfId="0" applyFont="1" applyBorder="1" applyAlignment="1">
      <alignment horizontal="center" vertical="center"/>
    </xf>
    <xf numFmtId="0" fontId="48" fillId="0" borderId="3" xfId="3" applyFont="1" applyBorder="1" applyAlignment="1">
      <alignment vertical="center" shrinkToFit="1"/>
    </xf>
    <xf numFmtId="0" fontId="48" fillId="0" borderId="3" xfId="3" applyFont="1" applyBorder="1" applyAlignment="1">
      <alignment horizontal="center" vertical="center"/>
    </xf>
    <xf numFmtId="41" fontId="48" fillId="5" borderId="3" xfId="1" applyFont="1" applyFill="1" applyBorder="1" applyAlignment="1">
      <alignment horizontal="center" vertical="center"/>
    </xf>
    <xf numFmtId="41" fontId="48" fillId="0" borderId="3" xfId="1" applyFont="1" applyFill="1" applyBorder="1" applyAlignment="1">
      <alignment horizontal="center" vertical="center"/>
    </xf>
    <xf numFmtId="41" fontId="47" fillId="6" borderId="3" xfId="1" applyFont="1" applyFill="1" applyBorder="1" applyAlignment="1">
      <alignment horizontal="center" vertical="center" wrapText="1"/>
    </xf>
    <xf numFmtId="41" fontId="47" fillId="0" borderId="3" xfId="1" applyFont="1" applyFill="1" applyBorder="1" applyAlignment="1">
      <alignment horizontal="center" vertical="center" wrapText="1"/>
    </xf>
    <xf numFmtId="0" fontId="52" fillId="0" borderId="23" xfId="0" applyFont="1" applyBorder="1" applyAlignment="1">
      <alignment horizontal="center" vertical="center"/>
    </xf>
    <xf numFmtId="0" fontId="52" fillId="0" borderId="0" xfId="0" applyFont="1">
      <alignment vertical="center"/>
    </xf>
    <xf numFmtId="49" fontId="47" fillId="7" borderId="3" xfId="0" applyNumberFormat="1" applyFont="1" applyFill="1" applyBorder="1" applyAlignment="1">
      <alignment horizontal="center" vertical="center" wrapText="1"/>
    </xf>
    <xf numFmtId="41" fontId="47" fillId="5" borderId="3" xfId="1" applyFont="1" applyFill="1" applyBorder="1" applyAlignment="1">
      <alignment horizontal="center" vertical="center" wrapText="1"/>
    </xf>
    <xf numFmtId="0" fontId="52" fillId="5" borderId="23" xfId="0" applyFont="1" applyFill="1" applyBorder="1" applyAlignment="1">
      <alignment horizontal="center" vertical="center"/>
    </xf>
    <xf numFmtId="49" fontId="47" fillId="5" borderId="3" xfId="0" applyNumberFormat="1" applyFont="1" applyFill="1" applyBorder="1" applyAlignment="1">
      <alignment horizontal="left" vertical="center" wrapText="1"/>
    </xf>
    <xf numFmtId="49" fontId="47" fillId="5" borderId="3" xfId="0" applyNumberFormat="1" applyFont="1" applyFill="1" applyBorder="1" applyAlignment="1">
      <alignment horizontal="center" vertical="center" wrapText="1"/>
    </xf>
    <xf numFmtId="0" fontId="51" fillId="6" borderId="22" xfId="0" applyFont="1" applyFill="1" applyBorder="1" applyAlignment="1">
      <alignment horizontal="center" vertical="center" wrapText="1"/>
    </xf>
    <xf numFmtId="0" fontId="52" fillId="7" borderId="3" xfId="0" applyFont="1" applyFill="1" applyBorder="1" applyAlignment="1">
      <alignment horizontal="center" vertical="center" wrapText="1"/>
    </xf>
    <xf numFmtId="0" fontId="53" fillId="7" borderId="3" xfId="0" applyFont="1" applyFill="1" applyBorder="1" applyAlignment="1">
      <alignment horizontal="center" vertical="center" wrapText="1"/>
    </xf>
    <xf numFmtId="0" fontId="44" fillId="6" borderId="35" xfId="0" applyFont="1" applyFill="1" applyBorder="1" applyAlignment="1">
      <alignment horizontal="center" vertical="center" wrapText="1"/>
    </xf>
    <xf numFmtId="0" fontId="46" fillId="7" borderId="36" xfId="0" applyFont="1" applyFill="1" applyBorder="1" applyAlignment="1">
      <alignment horizontal="center" vertical="center" wrapText="1"/>
    </xf>
    <xf numFmtId="0" fontId="57" fillId="0" borderId="0" xfId="11" applyFont="1" applyAlignment="1">
      <alignment vertical="center" shrinkToFit="1"/>
    </xf>
    <xf numFmtId="0" fontId="61" fillId="0" borderId="0" xfId="11" applyFont="1" applyAlignment="1">
      <alignment vertical="center" shrinkToFit="1"/>
    </xf>
    <xf numFmtId="0" fontId="62" fillId="0" borderId="41" xfId="11" applyFont="1" applyBorder="1" applyAlignment="1">
      <alignment horizontal="center" vertical="center" shrinkToFit="1"/>
    </xf>
    <xf numFmtId="0" fontId="62" fillId="0" borderId="42" xfId="11" applyFont="1" applyBorder="1" applyAlignment="1">
      <alignment horizontal="center" vertical="center" shrinkToFit="1"/>
    </xf>
    <xf numFmtId="180" fontId="62" fillId="0" borderId="42" xfId="11" applyNumberFormat="1" applyFont="1" applyBorder="1" applyAlignment="1">
      <alignment horizontal="center" vertical="center" shrinkToFit="1"/>
    </xf>
    <xf numFmtId="181" fontId="43" fillId="0" borderId="0" xfId="11" applyNumberFormat="1" applyFont="1" applyAlignment="1">
      <alignment horizontal="center" vertical="center" shrinkToFit="1"/>
    </xf>
    <xf numFmtId="0" fontId="62" fillId="0" borderId="45" xfId="11" applyFont="1" applyBorder="1" applyAlignment="1">
      <alignment horizontal="center" vertical="center" shrinkToFit="1"/>
    </xf>
    <xf numFmtId="0" fontId="43" fillId="0" borderId="0" xfId="11" applyFont="1" applyAlignment="1">
      <alignment horizontal="center" vertical="center" shrinkToFit="1"/>
    </xf>
    <xf numFmtId="0" fontId="62" fillId="0" borderId="40" xfId="11" applyFont="1" applyBorder="1" applyAlignment="1">
      <alignment vertical="center" shrinkToFit="1"/>
    </xf>
    <xf numFmtId="0" fontId="57" fillId="0" borderId="0" xfId="11" applyFont="1" applyAlignment="1">
      <alignment horizontal="left" vertical="center" shrinkToFit="1"/>
    </xf>
    <xf numFmtId="180" fontId="57" fillId="0" borderId="0" xfId="11" applyNumberFormat="1" applyFont="1" applyAlignment="1">
      <alignment horizontal="right" vertical="center" shrinkToFit="1"/>
    </xf>
    <xf numFmtId="0" fontId="54" fillId="10" borderId="3" xfId="3" applyFont="1" applyFill="1" applyBorder="1" applyAlignment="1">
      <alignment vertical="center"/>
    </xf>
    <xf numFmtId="9" fontId="52" fillId="0" borderId="3" xfId="0" applyNumberFormat="1" applyFont="1" applyBorder="1" applyAlignment="1">
      <alignment horizontal="center" vertical="center"/>
    </xf>
    <xf numFmtId="9" fontId="52" fillId="5" borderId="3" xfId="1" quotePrefix="1" applyNumberFormat="1" applyFont="1" applyFill="1" applyBorder="1" applyAlignment="1">
      <alignment horizontal="center" vertical="center"/>
    </xf>
    <xf numFmtId="0" fontId="43" fillId="0" borderId="36" xfId="3" applyFont="1" applyBorder="1" applyAlignment="1">
      <alignment vertical="center" shrinkToFit="1"/>
    </xf>
    <xf numFmtId="0" fontId="43" fillId="0" borderId="36" xfId="3" applyFont="1" applyBorder="1" applyAlignment="1">
      <alignment horizontal="center" vertical="center"/>
    </xf>
    <xf numFmtId="41" fontId="43" fillId="5" borderId="36" xfId="1" applyFont="1" applyFill="1" applyBorder="1" applyAlignment="1">
      <alignment horizontal="center" vertical="center"/>
    </xf>
    <xf numFmtId="41" fontId="43" fillId="0" borderId="36" xfId="1" applyFont="1" applyFill="1" applyBorder="1" applyAlignment="1">
      <alignment horizontal="center" vertical="center"/>
    </xf>
    <xf numFmtId="41" fontId="45" fillId="6" borderId="36" xfId="1" applyFont="1" applyFill="1" applyBorder="1" applyAlignment="1">
      <alignment horizontal="center" vertical="center" wrapText="1"/>
    </xf>
    <xf numFmtId="41" fontId="45" fillId="0" borderId="36" xfId="1" applyFont="1" applyFill="1" applyBorder="1" applyAlignment="1">
      <alignment horizontal="center" vertical="center" wrapText="1"/>
    </xf>
    <xf numFmtId="0" fontId="46" fillId="0" borderId="36" xfId="0" applyFont="1" applyBorder="1" applyAlignment="1">
      <alignment horizontal="center" vertical="center"/>
    </xf>
    <xf numFmtId="0" fontId="46" fillId="0" borderId="55" xfId="0" applyFont="1" applyBorder="1" applyAlignment="1">
      <alignment horizontal="center" vertical="center"/>
    </xf>
    <xf numFmtId="41" fontId="0" fillId="0" borderId="0" xfId="1" applyFont="1">
      <alignment vertical="center"/>
    </xf>
    <xf numFmtId="182" fontId="0" fillId="0" borderId="0" xfId="0" applyNumberFormat="1">
      <alignment vertical="center"/>
    </xf>
    <xf numFmtId="0" fontId="12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6" fillId="0" borderId="0" xfId="6" applyFont="1" applyAlignment="1">
      <alignment vertical="center"/>
    </xf>
    <xf numFmtId="0" fontId="39" fillId="0" borderId="3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41" fontId="10" fillId="4" borderId="21" xfId="4" applyFont="1" applyFill="1" applyBorder="1" applyAlignment="1">
      <alignment horizontal="center" vertical="center"/>
    </xf>
    <xf numFmtId="176" fontId="10" fillId="4" borderId="21" xfId="5" applyFont="1" applyFill="1" applyBorder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10" fillId="4" borderId="21" xfId="3" applyFont="1" applyFill="1" applyBorder="1" applyAlignment="1">
      <alignment horizontal="center" vertical="center"/>
    </xf>
    <xf numFmtId="0" fontId="10" fillId="4" borderId="3" xfId="3" applyFont="1" applyFill="1" applyBorder="1" applyAlignment="1">
      <alignment horizontal="center" vertical="center"/>
    </xf>
    <xf numFmtId="0" fontId="58" fillId="0" borderId="0" xfId="11" applyFont="1" applyAlignment="1">
      <alignment horizontal="center" vertical="center" shrinkToFit="1"/>
    </xf>
    <xf numFmtId="0" fontId="59" fillId="0" borderId="0" xfId="11" applyFont="1" applyAlignment="1">
      <alignment horizontal="center" vertical="center" shrinkToFit="1"/>
    </xf>
    <xf numFmtId="42" fontId="60" fillId="0" borderId="0" xfId="12" applyFont="1" applyBorder="1" applyAlignment="1">
      <alignment horizontal="center" vertical="center" shrinkToFit="1"/>
    </xf>
    <xf numFmtId="31" fontId="62" fillId="0" borderId="43" xfId="11" applyNumberFormat="1" applyFont="1" applyBorder="1" applyAlignment="1">
      <alignment horizontal="center" vertical="center" shrinkToFit="1"/>
    </xf>
    <xf numFmtId="31" fontId="62" fillId="0" borderId="44" xfId="11" applyNumberFormat="1" applyFont="1" applyBorder="1" applyAlignment="1">
      <alignment horizontal="center" vertical="center" shrinkToFit="1"/>
    </xf>
    <xf numFmtId="0" fontId="62" fillId="0" borderId="39" xfId="11" applyFont="1" applyBorder="1" applyAlignment="1">
      <alignment horizontal="left" vertical="center" indent="1" shrinkToFit="1"/>
    </xf>
    <xf numFmtId="0" fontId="62" fillId="0" borderId="40" xfId="11" applyFont="1" applyBorder="1" applyAlignment="1">
      <alignment horizontal="left" vertical="center" indent="1" shrinkToFit="1"/>
    </xf>
    <xf numFmtId="0" fontId="62" fillId="0" borderId="46" xfId="11" applyFont="1" applyBorder="1" applyAlignment="1">
      <alignment horizontal="left" vertical="center" indent="1" shrinkToFit="1"/>
    </xf>
    <xf numFmtId="0" fontId="62" fillId="0" borderId="47" xfId="11" applyFont="1" applyBorder="1" applyAlignment="1">
      <alignment horizontal="center" vertical="center" shrinkToFit="1"/>
    </xf>
    <xf numFmtId="0" fontId="62" fillId="0" borderId="51" xfId="11" applyFont="1" applyBorder="1" applyAlignment="1">
      <alignment horizontal="center" vertical="center" shrinkToFit="1"/>
    </xf>
    <xf numFmtId="0" fontId="62" fillId="0" borderId="54" xfId="11" applyFont="1" applyBorder="1" applyAlignment="1">
      <alignment horizontal="center" vertical="center" shrinkToFit="1"/>
    </xf>
    <xf numFmtId="0" fontId="63" fillId="5" borderId="48" xfId="11" applyFont="1" applyFill="1" applyBorder="1" applyAlignment="1">
      <alignment horizontal="left" vertical="center" shrinkToFit="1"/>
    </xf>
    <xf numFmtId="0" fontId="63" fillId="5" borderId="49" xfId="11" applyFont="1" applyFill="1" applyBorder="1" applyAlignment="1">
      <alignment horizontal="left" vertical="center" shrinkToFit="1"/>
    </xf>
    <xf numFmtId="0" fontId="63" fillId="5" borderId="50" xfId="11" applyFont="1" applyFill="1" applyBorder="1" applyAlignment="1">
      <alignment horizontal="left" vertical="center" shrinkToFit="1"/>
    </xf>
    <xf numFmtId="0" fontId="63" fillId="5" borderId="52" xfId="11" applyFont="1" applyFill="1" applyBorder="1" applyAlignment="1">
      <alignment horizontal="left" vertical="center" shrinkToFit="1"/>
    </xf>
    <xf numFmtId="0" fontId="63" fillId="5" borderId="0" xfId="11" applyFont="1" applyFill="1" applyAlignment="1">
      <alignment horizontal="left" vertical="center" shrinkToFit="1"/>
    </xf>
    <xf numFmtId="0" fontId="63" fillId="5" borderId="53" xfId="11" applyFont="1" applyFill="1" applyBorder="1" applyAlignment="1">
      <alignment horizontal="left" vertical="center" shrinkToFit="1"/>
    </xf>
    <xf numFmtId="41" fontId="57" fillId="5" borderId="52" xfId="13" quotePrefix="1" applyFont="1" applyFill="1" applyBorder="1" applyAlignment="1">
      <alignment horizontal="left" vertical="center" shrinkToFit="1"/>
    </xf>
    <xf numFmtId="41" fontId="57" fillId="5" borderId="0" xfId="13" quotePrefix="1" applyFont="1" applyFill="1" applyBorder="1" applyAlignment="1">
      <alignment horizontal="left" vertical="center" shrinkToFit="1"/>
    </xf>
    <xf numFmtId="41" fontId="57" fillId="5" borderId="53" xfId="13" quotePrefix="1" applyFont="1" applyFill="1" applyBorder="1" applyAlignment="1">
      <alignment horizontal="left" vertical="center" shrinkToFit="1"/>
    </xf>
    <xf numFmtId="0" fontId="63" fillId="5" borderId="52" xfId="17" applyFont="1" applyFill="1" applyBorder="1" applyAlignment="1">
      <alignment horizontal="left" vertical="center" shrinkToFit="1"/>
    </xf>
    <xf numFmtId="0" fontId="64" fillId="5" borderId="0" xfId="17" applyFont="1" applyFill="1" applyAlignment="1">
      <alignment horizontal="left" vertical="center" shrinkToFit="1"/>
    </xf>
    <xf numFmtId="0" fontId="64" fillId="5" borderId="53" xfId="17" applyFont="1" applyFill="1" applyBorder="1" applyAlignment="1">
      <alignment horizontal="left" vertical="center" shrinkToFit="1"/>
    </xf>
    <xf numFmtId="0" fontId="63" fillId="5" borderId="0" xfId="17" applyFont="1" applyFill="1" applyAlignment="1">
      <alignment horizontal="left" vertical="center" shrinkToFit="1"/>
    </xf>
    <xf numFmtId="0" fontId="63" fillId="5" borderId="53" xfId="17" applyFont="1" applyFill="1" applyBorder="1" applyAlignment="1">
      <alignment horizontal="left" vertical="center" shrinkToFit="1"/>
    </xf>
    <xf numFmtId="0" fontId="62" fillId="5" borderId="52" xfId="11" applyFont="1" applyFill="1" applyBorder="1" applyAlignment="1">
      <alignment horizontal="left" vertical="center" shrinkToFit="1"/>
    </xf>
    <xf numFmtId="0" fontId="62" fillId="5" borderId="0" xfId="11" applyFont="1" applyFill="1" applyAlignment="1">
      <alignment horizontal="left" vertical="center" shrinkToFit="1"/>
    </xf>
    <xf numFmtId="0" fontId="62" fillId="5" borderId="53" xfId="11" applyFont="1" applyFill="1" applyBorder="1" applyAlignment="1">
      <alignment horizontal="left" vertical="center" shrinkToFit="1"/>
    </xf>
    <xf numFmtId="0" fontId="62" fillId="0" borderId="40" xfId="11" applyFont="1" applyBorder="1" applyAlignment="1">
      <alignment horizontal="center" vertical="center" shrinkToFit="1"/>
    </xf>
    <xf numFmtId="0" fontId="62" fillId="0" borderId="46" xfId="11" applyFont="1" applyBorder="1" applyAlignment="1">
      <alignment horizontal="center" vertical="center" shrinkToFit="1"/>
    </xf>
  </cellXfs>
  <cellStyles count="18">
    <cellStyle name="백분율" xfId="2" builtinId="5"/>
    <cellStyle name="백분율 2 64" xfId="9" xr:uid="{00000000-0005-0000-0000-000001000000}"/>
    <cellStyle name="쉼표 [0]" xfId="1" builtinId="6"/>
    <cellStyle name="쉼표 [0] 14" xfId="15" xr:uid="{00000000-0005-0000-0000-000003000000}"/>
    <cellStyle name="쉼표 [0] 17" xfId="5" xr:uid="{00000000-0005-0000-0000-000004000000}"/>
    <cellStyle name="쉼표 [0] 2" xfId="4" xr:uid="{00000000-0005-0000-0000-000005000000}"/>
    <cellStyle name="쉼표 [0] 2 2 29" xfId="13" xr:uid="{00000000-0005-0000-0000-000006000000}"/>
    <cellStyle name="쉼표 [0]_봉강빌딩신축공사" xfId="7" xr:uid="{00000000-0005-0000-0000-000007000000}"/>
    <cellStyle name="통화 [0] 2 2" xfId="12" xr:uid="{00000000-0005-0000-0000-000008000000}"/>
    <cellStyle name="표준" xfId="0" builtinId="0"/>
    <cellStyle name="표준 10 10 2" xfId="3" xr:uid="{00000000-0005-0000-0000-00000A000000}"/>
    <cellStyle name="표준 10 31" xfId="11" xr:uid="{00000000-0005-0000-0000-00000B000000}"/>
    <cellStyle name="표준 15" xfId="16" xr:uid="{00000000-0005-0000-0000-00000C000000}"/>
    <cellStyle name="표준 2" xfId="8" xr:uid="{00000000-0005-0000-0000-00000D000000}"/>
    <cellStyle name="표준 2 10 5" xfId="10" xr:uid="{00000000-0005-0000-0000-00000E000000}"/>
    <cellStyle name="표준 3" xfId="14" xr:uid="{00000000-0005-0000-0000-00000F000000}"/>
    <cellStyle name="표준 3 83" xfId="17" xr:uid="{00000000-0005-0000-0000-000010000000}"/>
    <cellStyle name="표준_봉강빌딩신축공사" xfId="6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37963" y="964746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37963" y="964746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37963" y="964746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37963" y="964746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589191</xdr:colOff>
      <xdr:row>5</xdr:row>
      <xdr:rowOff>40820</xdr:rowOff>
    </xdr:from>
    <xdr:to>
      <xdr:col>6</xdr:col>
      <xdr:colOff>2530929</xdr:colOff>
      <xdr:row>5</xdr:row>
      <xdr:rowOff>332306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99691" y="1307645"/>
          <a:ext cx="1941738" cy="291486"/>
        </a:xfrm>
        <a:prstGeom prst="rect">
          <a:avLst/>
        </a:prstGeom>
      </xdr:spPr>
    </xdr:pic>
    <xdr:clientData/>
  </xdr:twoCellAnchor>
  <xdr:twoCellAnchor editAs="oneCell">
    <xdr:from>
      <xdr:col>6</xdr:col>
      <xdr:colOff>2313214</xdr:colOff>
      <xdr:row>5</xdr:row>
      <xdr:rowOff>176892</xdr:rowOff>
    </xdr:from>
    <xdr:to>
      <xdr:col>6</xdr:col>
      <xdr:colOff>3070154</xdr:colOff>
      <xdr:row>7</xdr:row>
      <xdr:rowOff>174258</xdr:rowOff>
    </xdr:to>
    <xdr:pic>
      <xdr:nvPicPr>
        <xdr:cNvPr id="16" name="그림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3714" y="1443717"/>
          <a:ext cx="756940" cy="683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5</xdr:col>
      <xdr:colOff>5904</xdr:colOff>
      <xdr:row>25</xdr:row>
      <xdr:rowOff>123074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46AC177-B1CE-772E-7F63-898255361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0"/>
          <a:ext cx="6578154" cy="4523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1246095</xdr:colOff>
      <xdr:row>33</xdr:row>
      <xdr:rowOff>26894</xdr:rowOff>
    </xdr:from>
    <xdr:to>
      <xdr:col>4</xdr:col>
      <xdr:colOff>2097742</xdr:colOff>
      <xdr:row>33</xdr:row>
      <xdr:rowOff>550103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695" y="9818594"/>
          <a:ext cx="851647" cy="523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opLeftCell="A4" zoomScale="70" zoomScaleNormal="70" workbookViewId="0">
      <selection activeCell="B8" sqref="B8"/>
    </sheetView>
  </sheetViews>
  <sheetFormatPr defaultColWidth="9" defaultRowHeight="13.5"/>
  <cols>
    <col min="1" max="1" width="11.25" style="4" customWidth="1"/>
    <col min="2" max="2" width="24.25" style="4" customWidth="1"/>
    <col min="3" max="3" width="27" style="4" customWidth="1"/>
    <col min="4" max="5" width="9" style="4"/>
    <col min="6" max="6" width="23.5" style="4" customWidth="1"/>
    <col min="7" max="7" width="44.75" style="4" customWidth="1"/>
    <col min="8" max="8" width="11.25" style="4" customWidth="1"/>
    <col min="9" max="9" width="9" style="4"/>
    <col min="10" max="16384" width="9" style="5"/>
  </cols>
  <sheetData>
    <row r="2" spans="1:9" ht="33">
      <c r="A2" s="145" t="s">
        <v>6</v>
      </c>
      <c r="B2" s="145"/>
      <c r="C2" s="145"/>
      <c r="D2" s="145"/>
      <c r="E2" s="145"/>
      <c r="F2" s="145"/>
      <c r="G2" s="145"/>
      <c r="H2" s="3"/>
    </row>
    <row r="3" spans="1:9" ht="14.25">
      <c r="A3" s="6"/>
      <c r="B3" s="6"/>
      <c r="C3" s="6"/>
      <c r="D3" s="6"/>
      <c r="E3" s="6"/>
      <c r="F3" s="6"/>
      <c r="G3" s="6"/>
      <c r="H3" s="6"/>
    </row>
    <row r="4" spans="1:9" ht="14.25">
      <c r="A4" s="6"/>
      <c r="B4" s="6"/>
      <c r="C4" s="6"/>
      <c r="D4" s="6"/>
      <c r="E4" s="6"/>
      <c r="H4" s="6"/>
    </row>
    <row r="5" spans="1:9" ht="27" customHeight="1">
      <c r="A5" s="70" t="s">
        <v>92</v>
      </c>
      <c r="B5" s="71"/>
      <c r="C5" s="72"/>
      <c r="D5" s="6"/>
      <c r="E5" s="6"/>
      <c r="F5" s="65" t="s">
        <v>61</v>
      </c>
      <c r="G5" s="89" t="s">
        <v>96</v>
      </c>
      <c r="H5" s="6"/>
    </row>
    <row r="6" spans="1:9" ht="27" customHeight="1">
      <c r="A6" s="6"/>
      <c r="B6" s="6"/>
      <c r="C6" s="6"/>
      <c r="D6" s="6"/>
      <c r="E6" s="6"/>
      <c r="F6" s="66" t="s">
        <v>64</v>
      </c>
      <c r="G6" s="90"/>
      <c r="H6" s="6"/>
    </row>
    <row r="7" spans="1:9" ht="27" customHeight="1">
      <c r="A7" s="70" t="s">
        <v>74</v>
      </c>
      <c r="B7" s="73" t="s">
        <v>150</v>
      </c>
      <c r="C7" s="74"/>
      <c r="D7" s="6"/>
      <c r="E7" s="75"/>
      <c r="F7" s="67" t="s">
        <v>65</v>
      </c>
      <c r="G7" s="90" t="s">
        <v>97</v>
      </c>
      <c r="H7" s="6"/>
    </row>
    <row r="8" spans="1:9" ht="27" customHeight="1">
      <c r="A8" s="6"/>
      <c r="B8" s="6"/>
      <c r="C8" s="6"/>
      <c r="D8" s="6"/>
      <c r="E8" s="6"/>
      <c r="F8" s="66" t="s">
        <v>66</v>
      </c>
      <c r="G8" s="90" t="s">
        <v>98</v>
      </c>
      <c r="H8" s="6"/>
    </row>
    <row r="9" spans="1:9" ht="27" customHeight="1">
      <c r="A9" s="70" t="s">
        <v>102</v>
      </c>
      <c r="B9" s="76" t="s">
        <v>128</v>
      </c>
      <c r="C9" s="77"/>
      <c r="D9" s="6"/>
      <c r="E9" s="6"/>
      <c r="F9" s="66" t="s">
        <v>67</v>
      </c>
      <c r="G9" s="90" t="s">
        <v>99</v>
      </c>
      <c r="H9" s="6"/>
    </row>
    <row r="10" spans="1:9" ht="27" customHeight="1">
      <c r="A10" s="6"/>
      <c r="B10" s="6"/>
      <c r="C10" s="6"/>
      <c r="D10" s="6"/>
      <c r="E10" s="6"/>
      <c r="F10" s="68" t="s">
        <v>62</v>
      </c>
      <c r="G10" s="91" t="s">
        <v>100</v>
      </c>
      <c r="H10" s="6"/>
      <c r="I10" s="6"/>
    </row>
    <row r="11" spans="1:9" ht="27" customHeight="1">
      <c r="A11" s="146"/>
      <c r="B11" s="147"/>
      <c r="C11" s="147"/>
      <c r="D11" s="6"/>
      <c r="E11" s="78"/>
      <c r="F11" s="69" t="s">
        <v>63</v>
      </c>
      <c r="G11" s="92" t="s">
        <v>101</v>
      </c>
      <c r="H11" s="78"/>
    </row>
    <row r="12" spans="1:9" ht="18.75" thickBot="1">
      <c r="A12" s="7" t="s">
        <v>7</v>
      </c>
      <c r="B12" s="7" t="str">
        <f>NUMBERSTRING(F31,1)</f>
        <v>일백칠만</v>
      </c>
      <c r="C12" s="8"/>
      <c r="D12" s="9" t="s">
        <v>8</v>
      </c>
      <c r="E12" s="10" t="s">
        <v>9</v>
      </c>
      <c r="F12" s="10" t="s">
        <v>9</v>
      </c>
      <c r="G12" s="11"/>
      <c r="H12" s="12"/>
    </row>
    <row r="13" spans="1:9" ht="15.75" thickTop="1" thickBot="1">
      <c r="A13" s="6"/>
      <c r="B13" s="6"/>
      <c r="C13" s="6"/>
      <c r="D13" s="6"/>
      <c r="E13" s="6"/>
      <c r="F13" s="6"/>
      <c r="G13" s="6"/>
      <c r="H13" s="12"/>
    </row>
    <row r="14" spans="1:9" ht="33" customHeight="1" thickBot="1">
      <c r="A14" s="13" t="s">
        <v>10</v>
      </c>
      <c r="B14" s="14" t="s">
        <v>11</v>
      </c>
      <c r="C14" s="14" t="s">
        <v>12</v>
      </c>
      <c r="D14" s="14" t="s">
        <v>13</v>
      </c>
      <c r="E14" s="14" t="s">
        <v>14</v>
      </c>
      <c r="F14" s="14" t="s">
        <v>15</v>
      </c>
      <c r="G14" s="15" t="s">
        <v>16</v>
      </c>
      <c r="H14" s="12"/>
    </row>
    <row r="15" spans="1:9" ht="33" customHeight="1" thickTop="1">
      <c r="A15" s="16"/>
      <c r="B15" s="17" t="s">
        <v>17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18</v>
      </c>
      <c r="C16" s="24"/>
      <c r="D16" s="25"/>
      <c r="E16" s="25"/>
      <c r="F16" s="26">
        <f>'내역서(표준단가)'!O11</f>
        <v>0</v>
      </c>
      <c r="G16" s="27"/>
    </row>
    <row r="17" spans="1:9" ht="33" customHeight="1">
      <c r="A17" s="22"/>
      <c r="B17" s="23" t="s">
        <v>19</v>
      </c>
      <c r="C17" s="24"/>
      <c r="D17" s="25"/>
      <c r="E17" s="25"/>
      <c r="F17" s="26">
        <f>'내역서(표준단가)'!Q11</f>
        <v>386067</v>
      </c>
      <c r="G17" s="28"/>
      <c r="H17" s="5"/>
      <c r="I17" s="5"/>
    </row>
    <row r="18" spans="1:9" ht="33" customHeight="1">
      <c r="A18" s="22"/>
      <c r="B18" s="23" t="s">
        <v>20</v>
      </c>
      <c r="C18" s="24"/>
      <c r="D18" s="25"/>
      <c r="E18" s="25"/>
      <c r="F18" s="26">
        <f>'내역서(표준단가)'!S11+'내역서(표준단가)'!U11</f>
        <v>600000</v>
      </c>
      <c r="G18" s="28"/>
      <c r="H18" s="5"/>
      <c r="I18" s="5"/>
    </row>
    <row r="19" spans="1:9" ht="33" customHeight="1">
      <c r="A19" s="22"/>
      <c r="B19" s="29" t="s">
        <v>21</v>
      </c>
      <c r="C19" s="29"/>
      <c r="D19" s="30"/>
      <c r="E19" s="30"/>
      <c r="F19" s="31">
        <f>F16+F17+F18</f>
        <v>986067</v>
      </c>
      <c r="G19" s="28"/>
      <c r="H19" s="5"/>
      <c r="I19" s="5"/>
    </row>
    <row r="20" spans="1:9" ht="33" customHeight="1">
      <c r="A20" s="22"/>
      <c r="B20" s="32" t="s">
        <v>22</v>
      </c>
      <c r="C20" s="33"/>
      <c r="D20" s="25"/>
      <c r="E20" s="25"/>
      <c r="F20" s="34"/>
      <c r="G20" s="28"/>
      <c r="H20" s="5"/>
      <c r="I20" s="5"/>
    </row>
    <row r="21" spans="1:9" ht="33" customHeight="1">
      <c r="A21" s="22"/>
      <c r="B21" s="35" t="s">
        <v>23</v>
      </c>
      <c r="C21" s="33" t="s">
        <v>24</v>
      </c>
      <c r="D21" s="23">
        <v>1</v>
      </c>
      <c r="E21" s="23" t="s">
        <v>25</v>
      </c>
      <c r="F21" s="36">
        <f>F17*4.5%</f>
        <v>17373.014999999999</v>
      </c>
      <c r="G21" s="28" t="s">
        <v>26</v>
      </c>
      <c r="H21" s="5"/>
      <c r="I21" s="5"/>
    </row>
    <row r="22" spans="1:9" ht="33" customHeight="1">
      <c r="A22" s="22"/>
      <c r="B22" s="83" t="s">
        <v>27</v>
      </c>
      <c r="C22" s="84" t="s">
        <v>93</v>
      </c>
      <c r="D22" s="85">
        <v>1</v>
      </c>
      <c r="E22" s="85" t="s">
        <v>25</v>
      </c>
      <c r="F22" s="86">
        <f>F17*3.545%</f>
        <v>13686.075150000001</v>
      </c>
      <c r="G22" s="87" t="s">
        <v>28</v>
      </c>
      <c r="H22" s="5"/>
      <c r="I22" s="5"/>
    </row>
    <row r="23" spans="1:9" ht="33" customHeight="1">
      <c r="A23" s="22"/>
      <c r="B23" s="35" t="s">
        <v>29</v>
      </c>
      <c r="C23" s="33" t="s">
        <v>94</v>
      </c>
      <c r="D23" s="23">
        <v>1</v>
      </c>
      <c r="E23" s="23" t="s">
        <v>25</v>
      </c>
      <c r="F23" s="36">
        <f>F22*12.95%</f>
        <v>1772.3467319250001</v>
      </c>
      <c r="G23" s="28" t="s">
        <v>28</v>
      </c>
      <c r="H23" s="5"/>
      <c r="I23" s="5"/>
    </row>
    <row r="24" spans="1:9" ht="33" customHeight="1">
      <c r="A24" s="22"/>
      <c r="B24" s="35" t="s">
        <v>30</v>
      </c>
      <c r="C24" s="33" t="s">
        <v>73</v>
      </c>
      <c r="D24" s="23">
        <v>1</v>
      </c>
      <c r="E24" s="23" t="s">
        <v>25</v>
      </c>
      <c r="F24" s="36">
        <f>F17*1.01%</f>
        <v>3899.2766999999999</v>
      </c>
      <c r="G24" s="28" t="s">
        <v>28</v>
      </c>
      <c r="H24" s="5"/>
      <c r="I24" s="5"/>
    </row>
    <row r="25" spans="1:9" ht="33" customHeight="1">
      <c r="A25" s="22"/>
      <c r="B25" s="35" t="s">
        <v>31</v>
      </c>
      <c r="C25" s="33" t="s">
        <v>95</v>
      </c>
      <c r="D25" s="23">
        <v>1</v>
      </c>
      <c r="E25" s="23" t="s">
        <v>25</v>
      </c>
      <c r="F25" s="36">
        <f>F17*3.56%</f>
        <v>13743.985199999999</v>
      </c>
      <c r="G25" s="28" t="s">
        <v>28</v>
      </c>
      <c r="H25" s="5"/>
      <c r="I25" s="5"/>
    </row>
    <row r="26" spans="1:9" ht="33" customHeight="1">
      <c r="A26" s="22"/>
      <c r="B26" s="35" t="s">
        <v>32</v>
      </c>
      <c r="C26" s="37" t="s">
        <v>36</v>
      </c>
      <c r="D26" s="23">
        <v>1</v>
      </c>
      <c r="E26" s="23" t="s">
        <v>25</v>
      </c>
      <c r="F26" s="36">
        <f>(F16+F17)*2.93%</f>
        <v>11311.763100000002</v>
      </c>
      <c r="G26" s="28" t="s">
        <v>26</v>
      </c>
      <c r="H26" s="5"/>
      <c r="I26" s="5"/>
    </row>
    <row r="27" spans="1:9" ht="33" customHeight="1">
      <c r="A27" s="22"/>
      <c r="B27" s="35" t="s">
        <v>47</v>
      </c>
      <c r="C27" s="37" t="s">
        <v>48</v>
      </c>
      <c r="D27" s="23">
        <v>1</v>
      </c>
      <c r="E27" s="23" t="s">
        <v>25</v>
      </c>
      <c r="F27" s="36">
        <f>SUM(F17+F21+F22+F23+F24+F25+F26)*5%</f>
        <v>22392.673094096248</v>
      </c>
      <c r="G27" s="28"/>
      <c r="H27" s="5"/>
      <c r="I27" s="5"/>
    </row>
    <row r="28" spans="1:9" ht="33" customHeight="1">
      <c r="A28" s="22"/>
      <c r="B28" s="29" t="s">
        <v>33</v>
      </c>
      <c r="C28" s="38"/>
      <c r="D28" s="39"/>
      <c r="E28" s="30"/>
      <c r="F28" s="40">
        <f>F21+F22+F23+F24+F25+F26+F27</f>
        <v>84179.134976021262</v>
      </c>
      <c r="G28" s="28"/>
      <c r="H28" s="5"/>
      <c r="I28" s="5"/>
    </row>
    <row r="29" spans="1:9" ht="33" customHeight="1">
      <c r="A29" s="22"/>
      <c r="B29" s="33"/>
      <c r="C29" s="41"/>
      <c r="D29" s="42"/>
      <c r="E29" s="25"/>
      <c r="F29" s="43"/>
      <c r="G29" s="28"/>
      <c r="H29" s="5"/>
      <c r="I29" s="5"/>
    </row>
    <row r="30" spans="1:9" ht="33" customHeight="1">
      <c r="A30" s="22"/>
      <c r="B30" s="44"/>
      <c r="C30" s="41"/>
      <c r="D30" s="42"/>
      <c r="E30" s="25"/>
      <c r="F30" s="45">
        <f>F19+F28+F29</f>
        <v>1070246.1349760212</v>
      </c>
      <c r="G30" s="28"/>
      <c r="H30" s="5"/>
      <c r="I30" s="5"/>
    </row>
    <row r="31" spans="1:9" ht="33" customHeight="1">
      <c r="A31" s="22"/>
      <c r="B31" s="29" t="s">
        <v>34</v>
      </c>
      <c r="C31" s="29"/>
      <c r="D31" s="30"/>
      <c r="E31" s="30"/>
      <c r="F31" s="46">
        <f>ROUNDDOWN(F30,-3)</f>
        <v>1070000</v>
      </c>
      <c r="G31" s="28"/>
      <c r="H31" s="5"/>
      <c r="I31" s="5"/>
    </row>
    <row r="32" spans="1:9" ht="33" customHeight="1" thickBot="1">
      <c r="A32" s="47"/>
      <c r="B32" s="48" t="s">
        <v>35</v>
      </c>
      <c r="C32" s="49"/>
      <c r="D32" s="49"/>
      <c r="E32" s="49"/>
      <c r="F32" s="50"/>
      <c r="G32" s="51"/>
      <c r="H32" s="5"/>
      <c r="I32" s="5"/>
    </row>
    <row r="33" spans="2:2" s="5" customFormat="1" ht="15.75">
      <c r="B33" s="52"/>
    </row>
    <row r="34" spans="2:2" s="5" customFormat="1" ht="15.75">
      <c r="B34" s="52"/>
    </row>
  </sheetData>
  <mergeCells count="2">
    <mergeCell ref="A2:G2"/>
    <mergeCell ref="A11:C11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2"/>
  <sheetViews>
    <sheetView showGridLines="0" tabSelected="1" zoomScale="85" zoomScaleNormal="85" workbookViewId="0">
      <pane xSplit="13" ySplit="4" topLeftCell="N5" activePane="bottomRight" state="frozen"/>
      <selection pane="topRight" activeCell="J1" sqref="J1"/>
      <selection pane="bottomLeft" activeCell="A5" sqref="A5"/>
      <selection pane="bottomRight" activeCell="K17" sqref="K17"/>
    </sheetView>
  </sheetViews>
  <sheetFormatPr defaultColWidth="9" defaultRowHeight="12.75"/>
  <cols>
    <col min="1" max="4" width="9" style="53" hidden="1" customWidth="1"/>
    <col min="5" max="5" width="9.125" style="94" bestFit="1" customWidth="1"/>
    <col min="6" max="8" width="12.75" style="53" hidden="1" customWidth="1"/>
    <col min="9" max="9" width="10.875" style="53" hidden="1" customWidth="1"/>
    <col min="10" max="10" width="14.625" style="53" customWidth="1"/>
    <col min="11" max="11" width="19.5" style="53" customWidth="1"/>
    <col min="12" max="12" width="7" style="53" customWidth="1"/>
    <col min="13" max="13" width="7" style="53" bestFit="1" customWidth="1"/>
    <col min="14" max="14" width="10.125" style="53" customWidth="1"/>
    <col min="15" max="15" width="12.625" style="53" customWidth="1"/>
    <col min="16" max="16" width="10.125" style="53" customWidth="1"/>
    <col min="17" max="17" width="12.75" style="53" customWidth="1"/>
    <col min="18" max="18" width="10.125" style="53" hidden="1" customWidth="1"/>
    <col min="19" max="19" width="12.625" style="53" hidden="1" customWidth="1"/>
    <col min="20" max="20" width="10.125" style="53" customWidth="1"/>
    <col min="21" max="21" width="12.625" style="53" customWidth="1"/>
    <col min="22" max="22" width="13.75" style="53" customWidth="1"/>
    <col min="23" max="23" width="11.75" style="54" bestFit="1" customWidth="1"/>
    <col min="24" max="16384" width="9" style="53"/>
  </cols>
  <sheetData>
    <row r="1" spans="5:24" ht="19.899999999999999" customHeight="1">
      <c r="E1" s="95" t="str">
        <f t="shared" ref="E1" si="0">F1&amp;G1&amp;H1&amp;I1</f>
        <v/>
      </c>
      <c r="N1" s="54"/>
      <c r="O1" s="55" t="s">
        <v>50</v>
      </c>
      <c r="Q1" s="55" t="s">
        <v>51</v>
      </c>
      <c r="S1" s="55" t="s">
        <v>42</v>
      </c>
      <c r="U1" s="55" t="s">
        <v>51</v>
      </c>
    </row>
    <row r="2" spans="5:24" ht="19.899999999999999" customHeight="1" thickBot="1">
      <c r="E2" s="150"/>
      <c r="F2" s="150"/>
      <c r="G2" s="150"/>
      <c r="H2" s="150"/>
      <c r="I2" s="150"/>
      <c r="N2" s="56"/>
      <c r="O2" s="2">
        <v>0.88</v>
      </c>
      <c r="Q2" s="2">
        <v>0.78</v>
      </c>
      <c r="S2" s="2">
        <v>1</v>
      </c>
      <c r="U2" s="2">
        <v>1</v>
      </c>
    </row>
    <row r="3" spans="5:24" ht="19.899999999999999" customHeight="1">
      <c r="E3" s="93"/>
      <c r="F3" s="63" t="s">
        <v>52</v>
      </c>
      <c r="G3" s="63"/>
      <c r="H3" s="63"/>
      <c r="I3" s="63"/>
      <c r="J3" s="157" t="s">
        <v>53</v>
      </c>
      <c r="K3" s="157"/>
      <c r="L3" s="157" t="s">
        <v>37</v>
      </c>
      <c r="M3" s="157" t="s">
        <v>38</v>
      </c>
      <c r="N3" s="153" t="s">
        <v>54</v>
      </c>
      <c r="O3" s="153"/>
      <c r="P3" s="153" t="s">
        <v>43</v>
      </c>
      <c r="Q3" s="153"/>
      <c r="R3" s="154" t="s">
        <v>39</v>
      </c>
      <c r="S3" s="154"/>
      <c r="T3" s="154" t="s">
        <v>44</v>
      </c>
      <c r="U3" s="154"/>
      <c r="V3" s="155" t="s">
        <v>55</v>
      </c>
      <c r="W3" s="151" t="s">
        <v>56</v>
      </c>
      <c r="X3" s="148" t="s">
        <v>68</v>
      </c>
    </row>
    <row r="4" spans="5:24" ht="19.899999999999999" customHeight="1">
      <c r="E4" s="64" t="s">
        <v>57</v>
      </c>
      <c r="F4" s="82" t="s">
        <v>69</v>
      </c>
      <c r="G4" s="82" t="s">
        <v>70</v>
      </c>
      <c r="H4" s="82" t="s">
        <v>71</v>
      </c>
      <c r="I4" s="82" t="s">
        <v>72</v>
      </c>
      <c r="J4" s="80" t="s">
        <v>58</v>
      </c>
      <c r="K4" s="80" t="s">
        <v>45</v>
      </c>
      <c r="L4" s="158"/>
      <c r="M4" s="158"/>
      <c r="N4" s="57" t="s">
        <v>59</v>
      </c>
      <c r="O4" s="58" t="s">
        <v>40</v>
      </c>
      <c r="P4" s="57" t="s">
        <v>60</v>
      </c>
      <c r="Q4" s="58" t="s">
        <v>40</v>
      </c>
      <c r="R4" s="58" t="s">
        <v>41</v>
      </c>
      <c r="S4" s="58" t="s">
        <v>40</v>
      </c>
      <c r="T4" s="58" t="s">
        <v>41</v>
      </c>
      <c r="U4" s="58" t="s">
        <v>40</v>
      </c>
      <c r="V4" s="156"/>
      <c r="W4" s="152"/>
      <c r="X4" s="149"/>
    </row>
    <row r="5" spans="5:24" s="110" customFormat="1" ht="23.25" customHeight="1">
      <c r="E5" s="116" t="str">
        <f t="shared" ref="E5:E9" si="1">F5&amp;G5&amp;H5&amp;I5</f>
        <v/>
      </c>
      <c r="F5" s="117"/>
      <c r="G5" s="117"/>
      <c r="H5" s="117"/>
      <c r="I5" s="117"/>
      <c r="J5" s="132" t="str">
        <f>갑지!B7</f>
        <v>사택 9-501 누수탐지 및 바닥 매립배관 보수</v>
      </c>
      <c r="K5" s="103"/>
      <c r="L5" s="104"/>
      <c r="M5" s="105"/>
      <c r="N5" s="106"/>
      <c r="O5" s="107"/>
      <c r="P5" s="106"/>
      <c r="Q5" s="107"/>
      <c r="R5" s="106"/>
      <c r="S5" s="107"/>
      <c r="T5" s="106"/>
      <c r="U5" s="107"/>
      <c r="V5" s="108"/>
      <c r="W5" s="133"/>
      <c r="X5" s="109"/>
    </row>
    <row r="6" spans="5:24" s="110" customFormat="1" ht="23.25" customHeight="1">
      <c r="E6" s="116" t="str">
        <f t="shared" si="1"/>
        <v/>
      </c>
      <c r="F6" s="111"/>
      <c r="G6" s="111"/>
      <c r="H6" s="118"/>
      <c r="I6" s="111" t="s">
        <v>129</v>
      </c>
      <c r="J6" s="114" t="s">
        <v>137</v>
      </c>
      <c r="K6" s="114"/>
      <c r="L6" s="115"/>
      <c r="M6" s="105"/>
      <c r="N6" s="108"/>
      <c r="O6" s="107">
        <f>ROUND(N6*100%*M6,0)</f>
        <v>0</v>
      </c>
      <c r="P6" s="108"/>
      <c r="Q6" s="107">
        <f>ROUND(P6*Q$2*M6*W6,0)</f>
        <v>0</v>
      </c>
      <c r="R6" s="112"/>
      <c r="S6" s="107">
        <f>ROUND(R6*S$2*M6,0)</f>
        <v>0</v>
      </c>
      <c r="T6" s="112"/>
      <c r="U6" s="107">
        <f>ROUND(T6*U$2*M6,0)</f>
        <v>0</v>
      </c>
      <c r="V6" s="108">
        <f>U6+S6+Q6+O6</f>
        <v>0</v>
      </c>
      <c r="W6" s="134"/>
      <c r="X6" s="113"/>
    </row>
    <row r="7" spans="5:24" s="110" customFormat="1" ht="23.25" customHeight="1">
      <c r="E7" s="116" t="str">
        <f t="shared" ref="E7" si="2">F7&amp;G7&amp;H7&amp;I7</f>
        <v>L039</v>
      </c>
      <c r="F7" s="111"/>
      <c r="G7" s="111"/>
      <c r="H7" s="118"/>
      <c r="I7" s="111" t="s">
        <v>149</v>
      </c>
      <c r="J7" s="114" t="s">
        <v>147</v>
      </c>
      <c r="K7" s="114" t="s">
        <v>148</v>
      </c>
      <c r="L7" s="115" t="s">
        <v>133</v>
      </c>
      <c r="M7" s="105">
        <v>1</v>
      </c>
      <c r="N7" s="108"/>
      <c r="O7" s="107">
        <f>ROUND(N7*100%*M7,0)</f>
        <v>0</v>
      </c>
      <c r="P7" s="108">
        <v>224209</v>
      </c>
      <c r="Q7" s="107">
        <f>ROUND(P7*M7*W7,0)</f>
        <v>224209</v>
      </c>
      <c r="R7" s="112"/>
      <c r="S7" s="107"/>
      <c r="T7" s="112"/>
      <c r="U7" s="107">
        <f>T7*M7*$U$2</f>
        <v>0</v>
      </c>
      <c r="V7" s="108">
        <f t="shared" ref="V7:V9" si="3">SUM(O7+Q7)+S7+U7</f>
        <v>224209</v>
      </c>
      <c r="W7" s="134">
        <v>1</v>
      </c>
      <c r="X7" s="113"/>
    </row>
    <row r="8" spans="5:24" s="110" customFormat="1" ht="23.25" customHeight="1">
      <c r="E8" s="116" t="str">
        <f t="shared" si="1"/>
        <v>L002</v>
      </c>
      <c r="F8" s="111"/>
      <c r="G8" s="111"/>
      <c r="H8" s="118"/>
      <c r="I8" s="111" t="s">
        <v>130</v>
      </c>
      <c r="J8" s="114" t="s">
        <v>132</v>
      </c>
      <c r="K8" s="114" t="s">
        <v>148</v>
      </c>
      <c r="L8" s="115" t="s">
        <v>133</v>
      </c>
      <c r="M8" s="105">
        <v>1</v>
      </c>
      <c r="N8" s="108"/>
      <c r="O8" s="107">
        <f t="shared" ref="O8:O9" si="4">ROUND(N8*O$2*M8,0)</f>
        <v>0</v>
      </c>
      <c r="P8" s="108">
        <v>161858</v>
      </c>
      <c r="Q8" s="107">
        <f>ROUND(P8*M8*W8,0)</f>
        <v>161858</v>
      </c>
      <c r="R8" s="108"/>
      <c r="S8" s="107">
        <f t="shared" ref="S8:S9" si="5">R8*M8*$V$2</f>
        <v>0</v>
      </c>
      <c r="T8" s="112"/>
      <c r="U8" s="107">
        <f>T8*M8*$U$2</f>
        <v>0</v>
      </c>
      <c r="V8" s="108">
        <f t="shared" si="3"/>
        <v>161858</v>
      </c>
      <c r="W8" s="134">
        <v>1</v>
      </c>
      <c r="X8" s="113"/>
    </row>
    <row r="9" spans="5:24" s="110" customFormat="1" ht="23.25" customHeight="1">
      <c r="E9" s="116" t="str">
        <f t="shared" si="1"/>
        <v>E999999</v>
      </c>
      <c r="F9" s="111"/>
      <c r="G9" s="111"/>
      <c r="H9" s="118"/>
      <c r="I9" s="111" t="s">
        <v>131</v>
      </c>
      <c r="J9" s="114" t="s">
        <v>134</v>
      </c>
      <c r="K9" s="114" t="s">
        <v>135</v>
      </c>
      <c r="L9" s="115" t="s">
        <v>136</v>
      </c>
      <c r="M9" s="105">
        <v>1</v>
      </c>
      <c r="N9" s="108"/>
      <c r="O9" s="107">
        <f t="shared" si="4"/>
        <v>0</v>
      </c>
      <c r="P9" s="108"/>
      <c r="Q9" s="107">
        <f t="shared" ref="Q9" si="6">(P9*M9*W9)*$T$2</f>
        <v>0</v>
      </c>
      <c r="R9" s="108"/>
      <c r="S9" s="107">
        <f t="shared" si="5"/>
        <v>0</v>
      </c>
      <c r="T9" s="112">
        <v>600000</v>
      </c>
      <c r="U9" s="107">
        <f>T9*M9*$U$2</f>
        <v>600000</v>
      </c>
      <c r="V9" s="108">
        <f t="shared" si="3"/>
        <v>600000</v>
      </c>
      <c r="W9" s="134"/>
      <c r="X9" s="113"/>
    </row>
    <row r="10" spans="5:24" s="81" customFormat="1" ht="23.25" customHeight="1" thickBot="1">
      <c r="E10" s="119"/>
      <c r="F10" s="120"/>
      <c r="G10" s="120"/>
      <c r="H10" s="120"/>
      <c r="I10" s="120"/>
      <c r="J10" s="135"/>
      <c r="K10" s="135"/>
      <c r="L10" s="136"/>
      <c r="M10" s="137"/>
      <c r="N10" s="138"/>
      <c r="O10" s="139"/>
      <c r="P10" s="138"/>
      <c r="Q10" s="139"/>
      <c r="R10" s="138"/>
      <c r="S10" s="139"/>
      <c r="T10" s="138"/>
      <c r="U10" s="139"/>
      <c r="V10" s="140"/>
      <c r="W10" s="141"/>
      <c r="X10" s="142"/>
    </row>
    <row r="11" spans="5:24" s="79" customFormat="1" ht="19.899999999999999" customHeight="1" thickBot="1">
      <c r="E11" s="96" t="str">
        <f t="shared" ref="E11:E38" si="7">F11&amp;G11&amp;H11&amp;I11</f>
        <v/>
      </c>
      <c r="K11" s="102" t="s">
        <v>103</v>
      </c>
      <c r="L11" s="97"/>
      <c r="M11" s="97"/>
      <c r="N11" s="97"/>
      <c r="O11" s="98">
        <f>SUM(O6:O10)</f>
        <v>0</v>
      </c>
      <c r="P11" s="99"/>
      <c r="Q11" s="98">
        <f>SUM(Q6:Q10)</f>
        <v>386067</v>
      </c>
      <c r="R11" s="99"/>
      <c r="S11" s="98">
        <f>SUM(S6:S10)</f>
        <v>0</v>
      </c>
      <c r="T11" s="99"/>
      <c r="U11" s="98">
        <f>SUM(U6:U10)</f>
        <v>600000</v>
      </c>
      <c r="V11" s="98">
        <f>SUM(V6:V10)</f>
        <v>986067</v>
      </c>
      <c r="W11" s="100"/>
      <c r="X11" s="101"/>
    </row>
    <row r="12" spans="5:24" ht="19.899999999999999" customHeight="1">
      <c r="E12" s="95" t="str">
        <f t="shared" si="7"/>
        <v/>
      </c>
    </row>
    <row r="13" spans="5:24" ht="19.899999999999999" customHeight="1">
      <c r="E13" s="95" t="str">
        <f t="shared" si="7"/>
        <v/>
      </c>
    </row>
    <row r="14" spans="5:24" ht="19.899999999999999" customHeight="1">
      <c r="E14" s="95" t="str">
        <f t="shared" si="7"/>
        <v/>
      </c>
    </row>
    <row r="15" spans="5:24" ht="19.899999999999999" customHeight="1">
      <c r="E15" s="95" t="str">
        <f t="shared" si="7"/>
        <v/>
      </c>
    </row>
    <row r="16" spans="5:24" ht="19.899999999999999" customHeight="1">
      <c r="E16" s="95" t="str">
        <f t="shared" si="7"/>
        <v/>
      </c>
    </row>
    <row r="17" spans="5:5" ht="19.899999999999999" customHeight="1">
      <c r="E17" s="95" t="str">
        <f t="shared" si="7"/>
        <v/>
      </c>
    </row>
    <row r="18" spans="5:5" ht="19.899999999999999" customHeight="1">
      <c r="E18" s="95" t="str">
        <f t="shared" si="7"/>
        <v/>
      </c>
    </row>
    <row r="19" spans="5:5" ht="19.899999999999999" customHeight="1">
      <c r="E19" s="95" t="str">
        <f t="shared" si="7"/>
        <v/>
      </c>
    </row>
    <row r="20" spans="5:5" ht="19.899999999999999" customHeight="1">
      <c r="E20" s="95" t="str">
        <f t="shared" si="7"/>
        <v/>
      </c>
    </row>
    <row r="21" spans="5:5" ht="19.899999999999999" customHeight="1">
      <c r="E21" s="95" t="str">
        <f t="shared" si="7"/>
        <v/>
      </c>
    </row>
    <row r="22" spans="5:5" ht="19.899999999999999" customHeight="1">
      <c r="E22" s="95" t="str">
        <f t="shared" si="7"/>
        <v/>
      </c>
    </row>
    <row r="23" spans="5:5" ht="19.899999999999999" customHeight="1">
      <c r="E23" s="95" t="str">
        <f t="shared" si="7"/>
        <v/>
      </c>
    </row>
    <row r="24" spans="5:5" ht="19.899999999999999" customHeight="1">
      <c r="E24" s="95" t="str">
        <f t="shared" si="7"/>
        <v/>
      </c>
    </row>
    <row r="25" spans="5:5" ht="19.899999999999999" customHeight="1">
      <c r="E25" s="95" t="str">
        <f t="shared" si="7"/>
        <v/>
      </c>
    </row>
    <row r="26" spans="5:5" ht="19.899999999999999" customHeight="1">
      <c r="E26" s="95" t="str">
        <f t="shared" si="7"/>
        <v/>
      </c>
    </row>
    <row r="27" spans="5:5" ht="19.899999999999999" customHeight="1">
      <c r="E27" s="95" t="str">
        <f t="shared" si="7"/>
        <v/>
      </c>
    </row>
    <row r="28" spans="5:5" ht="19.899999999999999" customHeight="1">
      <c r="E28" s="95" t="str">
        <f t="shared" si="7"/>
        <v/>
      </c>
    </row>
    <row r="29" spans="5:5" ht="19.899999999999999" customHeight="1">
      <c r="E29" s="95" t="str">
        <f t="shared" si="7"/>
        <v/>
      </c>
    </row>
    <row r="30" spans="5:5" ht="19.899999999999999" customHeight="1">
      <c r="E30" s="95" t="str">
        <f t="shared" si="7"/>
        <v/>
      </c>
    </row>
    <row r="31" spans="5:5" ht="19.899999999999999" customHeight="1">
      <c r="E31" s="95" t="str">
        <f t="shared" si="7"/>
        <v/>
      </c>
    </row>
    <row r="32" spans="5:5" ht="19.899999999999999" customHeight="1">
      <c r="E32" s="95" t="str">
        <f t="shared" si="7"/>
        <v/>
      </c>
    </row>
    <row r="33" spans="5:5" ht="19.899999999999999" customHeight="1">
      <c r="E33" s="95" t="str">
        <f t="shared" si="7"/>
        <v/>
      </c>
    </row>
    <row r="34" spans="5:5" ht="19.899999999999999" customHeight="1">
      <c r="E34" s="95" t="str">
        <f t="shared" si="7"/>
        <v/>
      </c>
    </row>
    <row r="35" spans="5:5" ht="19.899999999999999" customHeight="1">
      <c r="E35" s="95" t="str">
        <f t="shared" si="7"/>
        <v/>
      </c>
    </row>
    <row r="36" spans="5:5" ht="19.899999999999999" customHeight="1">
      <c r="E36" s="95" t="str">
        <f t="shared" si="7"/>
        <v/>
      </c>
    </row>
    <row r="37" spans="5:5" ht="19.899999999999999" customHeight="1">
      <c r="E37" s="95" t="str">
        <f t="shared" si="7"/>
        <v/>
      </c>
    </row>
    <row r="38" spans="5:5" ht="19.899999999999999" customHeight="1">
      <c r="E38" s="95" t="str">
        <f t="shared" si="7"/>
        <v/>
      </c>
    </row>
    <row r="39" spans="5:5" ht="19.899999999999999" customHeight="1">
      <c r="E39" s="95" t="str">
        <f t="shared" ref="E39:E56" si="8">F39&amp;G39&amp;H39&amp;I39</f>
        <v/>
      </c>
    </row>
    <row r="40" spans="5:5" ht="19.899999999999999" customHeight="1">
      <c r="E40" s="95" t="str">
        <f t="shared" si="8"/>
        <v/>
      </c>
    </row>
    <row r="41" spans="5:5" ht="19.899999999999999" customHeight="1">
      <c r="E41" s="95" t="str">
        <f t="shared" si="8"/>
        <v/>
      </c>
    </row>
    <row r="42" spans="5:5" ht="19.899999999999999" customHeight="1">
      <c r="E42" s="95" t="str">
        <f t="shared" si="8"/>
        <v/>
      </c>
    </row>
    <row r="43" spans="5:5" ht="19.899999999999999" customHeight="1">
      <c r="E43" s="95" t="str">
        <f t="shared" si="8"/>
        <v/>
      </c>
    </row>
    <row r="44" spans="5:5" ht="19.899999999999999" customHeight="1">
      <c r="E44" s="95" t="str">
        <f t="shared" si="8"/>
        <v/>
      </c>
    </row>
    <row r="45" spans="5:5" ht="19.899999999999999" customHeight="1">
      <c r="E45" s="95" t="str">
        <f t="shared" si="8"/>
        <v/>
      </c>
    </row>
    <row r="46" spans="5:5" ht="19.899999999999999" customHeight="1">
      <c r="E46" s="95" t="str">
        <f t="shared" si="8"/>
        <v/>
      </c>
    </row>
    <row r="47" spans="5:5" ht="19.899999999999999" customHeight="1">
      <c r="E47" s="95" t="str">
        <f t="shared" si="8"/>
        <v/>
      </c>
    </row>
    <row r="48" spans="5:5" ht="19.899999999999999" customHeight="1">
      <c r="E48" s="95" t="str">
        <f t="shared" si="8"/>
        <v/>
      </c>
    </row>
    <row r="49" spans="5:5" ht="19.899999999999999" customHeight="1">
      <c r="E49" s="95" t="str">
        <f t="shared" si="8"/>
        <v/>
      </c>
    </row>
    <row r="50" spans="5:5" ht="19.899999999999999" customHeight="1">
      <c r="E50" s="95" t="str">
        <f t="shared" si="8"/>
        <v/>
      </c>
    </row>
    <row r="51" spans="5:5" ht="19.899999999999999" customHeight="1">
      <c r="E51" s="95" t="str">
        <f t="shared" si="8"/>
        <v/>
      </c>
    </row>
    <row r="52" spans="5:5" ht="19.899999999999999" customHeight="1">
      <c r="E52" s="95" t="str">
        <f t="shared" si="8"/>
        <v/>
      </c>
    </row>
    <row r="53" spans="5:5" ht="19.899999999999999" customHeight="1">
      <c r="E53" s="95" t="str">
        <f t="shared" si="8"/>
        <v/>
      </c>
    </row>
    <row r="54" spans="5:5" ht="19.899999999999999" customHeight="1">
      <c r="E54" s="95" t="str">
        <f t="shared" si="8"/>
        <v/>
      </c>
    </row>
    <row r="55" spans="5:5" ht="19.899999999999999" customHeight="1">
      <c r="E55" s="95" t="str">
        <f t="shared" si="8"/>
        <v/>
      </c>
    </row>
    <row r="56" spans="5:5" ht="19.899999999999999" customHeight="1">
      <c r="E56" s="95" t="str">
        <f t="shared" si="8"/>
        <v/>
      </c>
    </row>
    <row r="57" spans="5:5" ht="19.899999999999999" customHeight="1">
      <c r="E57" s="95" t="str">
        <f t="shared" ref="E57:E92" si="9">F57&amp;G57&amp;H57&amp;I57</f>
        <v/>
      </c>
    </row>
    <row r="58" spans="5:5" ht="19.899999999999999" customHeight="1">
      <c r="E58" s="95" t="str">
        <f t="shared" si="9"/>
        <v/>
      </c>
    </row>
    <row r="59" spans="5:5" ht="19.899999999999999" customHeight="1">
      <c r="E59" s="95" t="str">
        <f t="shared" si="9"/>
        <v/>
      </c>
    </row>
    <row r="60" spans="5:5" ht="19.899999999999999" customHeight="1">
      <c r="E60" s="95" t="str">
        <f t="shared" si="9"/>
        <v/>
      </c>
    </row>
    <row r="61" spans="5:5" ht="19.899999999999999" customHeight="1">
      <c r="E61" s="95" t="str">
        <f t="shared" si="9"/>
        <v/>
      </c>
    </row>
    <row r="62" spans="5:5" ht="19.899999999999999" customHeight="1">
      <c r="E62" s="95" t="str">
        <f t="shared" si="9"/>
        <v/>
      </c>
    </row>
    <row r="63" spans="5:5" ht="19.899999999999999" customHeight="1">
      <c r="E63" s="95" t="str">
        <f t="shared" si="9"/>
        <v/>
      </c>
    </row>
    <row r="64" spans="5:5" ht="19.899999999999999" customHeight="1">
      <c r="E64" s="95" t="str">
        <f t="shared" si="9"/>
        <v/>
      </c>
    </row>
    <row r="65" spans="5:5" ht="19.899999999999999" customHeight="1">
      <c r="E65" s="95" t="str">
        <f t="shared" si="9"/>
        <v/>
      </c>
    </row>
    <row r="66" spans="5:5" ht="19.899999999999999" customHeight="1">
      <c r="E66" s="95" t="str">
        <f t="shared" si="9"/>
        <v/>
      </c>
    </row>
    <row r="67" spans="5:5" ht="19.899999999999999" customHeight="1">
      <c r="E67" s="95" t="str">
        <f t="shared" si="9"/>
        <v/>
      </c>
    </row>
    <row r="68" spans="5:5" ht="19.899999999999999" customHeight="1">
      <c r="E68" s="95" t="str">
        <f t="shared" si="9"/>
        <v/>
      </c>
    </row>
    <row r="69" spans="5:5" ht="19.899999999999999" customHeight="1">
      <c r="E69" s="95" t="str">
        <f t="shared" si="9"/>
        <v/>
      </c>
    </row>
    <row r="70" spans="5:5" ht="19.899999999999999" customHeight="1">
      <c r="E70" s="95" t="str">
        <f t="shared" si="9"/>
        <v/>
      </c>
    </row>
    <row r="71" spans="5:5" ht="19.899999999999999" customHeight="1">
      <c r="E71" s="95" t="str">
        <f t="shared" si="9"/>
        <v/>
      </c>
    </row>
    <row r="72" spans="5:5" ht="19.899999999999999" customHeight="1">
      <c r="E72" s="95" t="str">
        <f t="shared" si="9"/>
        <v/>
      </c>
    </row>
    <row r="73" spans="5:5" ht="19.899999999999999" customHeight="1">
      <c r="E73" s="95" t="str">
        <f t="shared" si="9"/>
        <v/>
      </c>
    </row>
    <row r="74" spans="5:5" ht="19.899999999999999" customHeight="1">
      <c r="E74" s="95" t="str">
        <f t="shared" si="9"/>
        <v/>
      </c>
    </row>
    <row r="75" spans="5:5" ht="19.899999999999999" customHeight="1">
      <c r="E75" s="95" t="str">
        <f t="shared" si="9"/>
        <v/>
      </c>
    </row>
    <row r="76" spans="5:5" ht="19.899999999999999" customHeight="1">
      <c r="E76" s="95" t="str">
        <f t="shared" si="9"/>
        <v/>
      </c>
    </row>
    <row r="77" spans="5:5" ht="19.899999999999999" customHeight="1">
      <c r="E77" s="95" t="str">
        <f t="shared" si="9"/>
        <v/>
      </c>
    </row>
    <row r="78" spans="5:5" ht="19.899999999999999" customHeight="1">
      <c r="E78" s="95" t="str">
        <f t="shared" si="9"/>
        <v/>
      </c>
    </row>
    <row r="79" spans="5:5" ht="19.899999999999999" customHeight="1">
      <c r="E79" s="95" t="str">
        <f t="shared" si="9"/>
        <v/>
      </c>
    </row>
    <row r="80" spans="5:5" ht="19.899999999999999" customHeight="1">
      <c r="E80" s="95" t="str">
        <f t="shared" si="9"/>
        <v/>
      </c>
    </row>
    <row r="81" spans="5:5" ht="19.899999999999999" customHeight="1">
      <c r="E81" s="95" t="str">
        <f t="shared" si="9"/>
        <v/>
      </c>
    </row>
    <row r="82" spans="5:5" ht="19.899999999999999" customHeight="1">
      <c r="E82" s="95" t="str">
        <f t="shared" si="9"/>
        <v/>
      </c>
    </row>
    <row r="83" spans="5:5" ht="19.899999999999999" customHeight="1">
      <c r="E83" s="95" t="str">
        <f t="shared" si="9"/>
        <v/>
      </c>
    </row>
    <row r="84" spans="5:5" ht="19.899999999999999" customHeight="1">
      <c r="E84" s="95" t="str">
        <f t="shared" si="9"/>
        <v/>
      </c>
    </row>
    <row r="85" spans="5:5" ht="19.899999999999999" customHeight="1">
      <c r="E85" s="95" t="str">
        <f t="shared" si="9"/>
        <v/>
      </c>
    </row>
    <row r="86" spans="5:5" ht="19.899999999999999" customHeight="1">
      <c r="E86" s="95" t="str">
        <f t="shared" si="9"/>
        <v/>
      </c>
    </row>
    <row r="87" spans="5:5" ht="19.899999999999999" customHeight="1">
      <c r="E87" s="95" t="str">
        <f t="shared" si="9"/>
        <v/>
      </c>
    </row>
    <row r="88" spans="5:5" ht="19.899999999999999" customHeight="1">
      <c r="E88" s="95" t="str">
        <f t="shared" si="9"/>
        <v/>
      </c>
    </row>
    <row r="89" spans="5:5">
      <c r="E89" s="95" t="str">
        <f t="shared" si="9"/>
        <v/>
      </c>
    </row>
    <row r="90" spans="5:5">
      <c r="E90" s="95" t="str">
        <f t="shared" si="9"/>
        <v/>
      </c>
    </row>
    <row r="91" spans="5:5">
      <c r="E91" s="95" t="str">
        <f t="shared" si="9"/>
        <v/>
      </c>
    </row>
    <row r="92" spans="5:5">
      <c r="E92" s="95" t="str">
        <f t="shared" si="9"/>
        <v/>
      </c>
    </row>
  </sheetData>
  <mergeCells count="11"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showGridLines="0" zoomScaleNormal="100" workbookViewId="0">
      <selection activeCell="A4" sqref="A4:XFD4"/>
    </sheetView>
  </sheetViews>
  <sheetFormatPr defaultRowHeight="16.5"/>
  <cols>
    <col min="1" max="1" width="25.125" style="59" customWidth="1"/>
    <col min="2" max="2" width="16.25" style="59" customWidth="1"/>
    <col min="3" max="3" width="22.375" style="59" customWidth="1"/>
    <col min="4" max="4" width="24.125" style="59" customWidth="1"/>
    <col min="5" max="5" width="13" style="59" customWidth="1"/>
    <col min="6" max="6" width="7.5" style="59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60" t="s">
        <v>46</v>
      </c>
    </row>
    <row r="2" spans="1:8">
      <c r="A2" s="61" t="str">
        <f>'내역서(표준단가)'!E7</f>
        <v>L039</v>
      </c>
      <c r="B2" s="62">
        <f>'내역서(표준단가)'!F7</f>
        <v>0</v>
      </c>
      <c r="C2" s="62">
        <f>'내역서(표준단가)'!G7</f>
        <v>0</v>
      </c>
      <c r="D2" s="62">
        <f>'내역서(표준단가)'!H7</f>
        <v>0</v>
      </c>
      <c r="E2" s="62" t="str">
        <f>'내역서(표준단가)'!I7</f>
        <v>L039</v>
      </c>
      <c r="F2" s="62">
        <f>'내역서(표준단가)'!M7</f>
        <v>1</v>
      </c>
      <c r="H2" t="s">
        <v>49</v>
      </c>
    </row>
    <row r="3" spans="1:8">
      <c r="A3" s="61" t="str">
        <f>'내역서(표준단가)'!E8</f>
        <v>L002</v>
      </c>
      <c r="B3" s="62">
        <f>'내역서(표준단가)'!F8</f>
        <v>0</v>
      </c>
      <c r="C3" s="62">
        <f>'내역서(표준단가)'!G8</f>
        <v>0</v>
      </c>
      <c r="D3" s="62">
        <f>'내역서(표준단가)'!H8</f>
        <v>0</v>
      </c>
      <c r="E3" s="62" t="str">
        <f>'내역서(표준단가)'!I8</f>
        <v>L002</v>
      </c>
      <c r="F3" s="62">
        <f>'내역서(표준단가)'!M8</f>
        <v>1</v>
      </c>
      <c r="H3" t="s">
        <v>49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"/>
  <sheetViews>
    <sheetView workbookViewId="0">
      <selection activeCell="G12" sqref="G12"/>
    </sheetView>
  </sheetViews>
  <sheetFormatPr defaultRowHeight="16.5"/>
  <cols>
    <col min="1" max="1" width="11.125" customWidth="1"/>
    <col min="2" max="2" width="13.375" customWidth="1"/>
    <col min="3" max="3" width="33.87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75</v>
      </c>
      <c r="B1" s="88" t="s">
        <v>76</v>
      </c>
      <c r="C1" s="88" t="s">
        <v>77</v>
      </c>
      <c r="D1" s="88" t="s">
        <v>78</v>
      </c>
      <c r="E1" s="88" t="s">
        <v>79</v>
      </c>
      <c r="F1" s="88" t="s">
        <v>5</v>
      </c>
      <c r="G1" s="88" t="s">
        <v>80</v>
      </c>
      <c r="H1" s="88" t="s">
        <v>81</v>
      </c>
      <c r="I1" s="88" t="s">
        <v>82</v>
      </c>
      <c r="J1" s="88" t="s">
        <v>83</v>
      </c>
      <c r="K1" s="88" t="s">
        <v>84</v>
      </c>
      <c r="L1" s="88" t="s">
        <v>85</v>
      </c>
      <c r="M1" s="88" t="s">
        <v>86</v>
      </c>
      <c r="N1" s="88" t="s">
        <v>87</v>
      </c>
      <c r="O1" s="88" t="s">
        <v>88</v>
      </c>
      <c r="P1" s="88" t="s">
        <v>89</v>
      </c>
      <c r="Q1" s="88" t="s">
        <v>90</v>
      </c>
      <c r="R1" s="88" t="s">
        <v>91</v>
      </c>
    </row>
    <row r="2" spans="1:18">
      <c r="A2" t="s">
        <v>122</v>
      </c>
      <c r="C2" t="s">
        <v>134</v>
      </c>
      <c r="D2" t="s">
        <v>135</v>
      </c>
      <c r="E2" t="s">
        <v>136</v>
      </c>
      <c r="F2">
        <v>1</v>
      </c>
      <c r="G2" s="143"/>
      <c r="H2" s="143">
        <f>F2*G2</f>
        <v>0</v>
      </c>
      <c r="M2" s="143">
        <v>600000</v>
      </c>
      <c r="N2" s="143">
        <f>M2*F2</f>
        <v>600000</v>
      </c>
      <c r="R2" t="s">
        <v>146</v>
      </c>
    </row>
    <row r="4" spans="1:18">
      <c r="G4" s="144"/>
    </row>
  </sheetData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2"/>
  <sheetViews>
    <sheetView view="pageBreakPreview" zoomScale="85" zoomScaleNormal="70" zoomScaleSheetLayoutView="85" workbookViewId="0">
      <selection activeCell="C27" sqref="C27:F27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11" customWidth="1"/>
    <col min="6" max="6" width="16.25" customWidth="1"/>
    <col min="7" max="7" width="2.25" customWidth="1"/>
  </cols>
  <sheetData>
    <row r="1" spans="1:7" ht="21" customHeight="1">
      <c r="B1" s="159" t="s">
        <v>104</v>
      </c>
      <c r="C1" s="160"/>
      <c r="D1" s="160"/>
      <c r="E1" s="160"/>
      <c r="F1" s="160"/>
      <c r="G1" s="121"/>
    </row>
    <row r="2" spans="1:7" ht="21" customHeight="1">
      <c r="B2" s="160"/>
      <c r="C2" s="160"/>
      <c r="D2" s="160"/>
      <c r="E2" s="160"/>
      <c r="F2" s="160"/>
      <c r="G2" s="121"/>
    </row>
    <row r="3" spans="1:7" ht="9.6" customHeight="1" thickBot="1">
      <c r="A3" s="161"/>
      <c r="B3" s="161"/>
      <c r="C3" s="161"/>
      <c r="D3" s="161"/>
      <c r="E3" s="161"/>
      <c r="F3" s="161"/>
      <c r="G3" s="121"/>
    </row>
    <row r="4" spans="1:7" ht="34.9" customHeight="1">
      <c r="A4" s="122"/>
      <c r="B4" s="123" t="s">
        <v>105</v>
      </c>
      <c r="C4" s="124" t="s">
        <v>106</v>
      </c>
      <c r="D4" s="125" t="s">
        <v>107</v>
      </c>
      <c r="E4" s="162" t="str">
        <f>갑지!B9</f>
        <v>2024 년     12 월  12 일</v>
      </c>
      <c r="F4" s="163"/>
    </row>
    <row r="5" spans="1:7" ht="34.9" customHeight="1">
      <c r="A5" s="126"/>
      <c r="B5" s="127" t="s">
        <v>108</v>
      </c>
      <c r="C5" s="164" t="str">
        <f>갑지!B7</f>
        <v>사택 9-501 누수탐지 및 바닥 매립배관 보수</v>
      </c>
      <c r="D5" s="165"/>
      <c r="E5" s="165"/>
      <c r="F5" s="166"/>
      <c r="G5" s="128"/>
    </row>
    <row r="6" spans="1:7" ht="23.65" customHeight="1">
      <c r="A6" s="126"/>
      <c r="B6" s="167" t="s">
        <v>109</v>
      </c>
      <c r="C6" s="170" t="s">
        <v>110</v>
      </c>
      <c r="D6" s="171"/>
      <c r="E6" s="171"/>
      <c r="F6" s="172"/>
      <c r="G6" s="121"/>
    </row>
    <row r="7" spans="1:7" ht="23.65" customHeight="1">
      <c r="A7" s="126"/>
      <c r="B7" s="168"/>
      <c r="C7" s="173" t="s">
        <v>111</v>
      </c>
      <c r="D7" s="174"/>
      <c r="E7" s="174"/>
      <c r="F7" s="175"/>
      <c r="G7" s="121"/>
    </row>
    <row r="8" spans="1:7" ht="23.65" customHeight="1">
      <c r="A8" s="126"/>
      <c r="B8" s="168"/>
      <c r="C8" s="173" t="s">
        <v>112</v>
      </c>
      <c r="D8" s="174"/>
      <c r="E8" s="174"/>
      <c r="F8" s="175"/>
      <c r="G8" s="121"/>
    </row>
    <row r="9" spans="1:7" ht="23.65" customHeight="1">
      <c r="A9" s="126"/>
      <c r="B9" s="168"/>
      <c r="C9" s="176" t="s">
        <v>138</v>
      </c>
      <c r="D9" s="177"/>
      <c r="E9" s="177"/>
      <c r="F9" s="178"/>
      <c r="G9" s="121"/>
    </row>
    <row r="10" spans="1:7" ht="23.65" customHeight="1">
      <c r="A10" s="126"/>
      <c r="B10" s="168"/>
      <c r="C10" s="176" t="s">
        <v>139</v>
      </c>
      <c r="D10" s="177"/>
      <c r="E10" s="177"/>
      <c r="F10" s="178"/>
      <c r="G10" s="121"/>
    </row>
    <row r="11" spans="1:7" ht="23.65" customHeight="1">
      <c r="A11" s="126"/>
      <c r="B11" s="168"/>
      <c r="C11" s="176" t="s">
        <v>140</v>
      </c>
      <c r="D11" s="177"/>
      <c r="E11" s="177"/>
      <c r="F11" s="178"/>
      <c r="G11" s="121"/>
    </row>
    <row r="12" spans="1:7" ht="23.65" customHeight="1">
      <c r="A12" s="126"/>
      <c r="B12" s="168"/>
      <c r="C12" s="176" t="s">
        <v>142</v>
      </c>
      <c r="D12" s="177"/>
      <c r="E12" s="177"/>
      <c r="F12" s="178"/>
      <c r="G12" s="121"/>
    </row>
    <row r="13" spans="1:7" ht="23.65" customHeight="1">
      <c r="A13" s="126"/>
      <c r="B13" s="168"/>
      <c r="C13" s="176" t="s">
        <v>141</v>
      </c>
      <c r="D13" s="177"/>
      <c r="E13" s="177"/>
      <c r="F13" s="178"/>
      <c r="G13" s="121"/>
    </row>
    <row r="14" spans="1:7" ht="23.65" customHeight="1">
      <c r="A14" s="126"/>
      <c r="B14" s="168"/>
      <c r="C14" s="176" t="s">
        <v>113</v>
      </c>
      <c r="D14" s="177"/>
      <c r="E14" s="177"/>
      <c r="F14" s="178"/>
      <c r="G14" s="121"/>
    </row>
    <row r="15" spans="1:7" ht="23.65" customHeight="1">
      <c r="A15" s="126"/>
      <c r="B15" s="168"/>
      <c r="C15" s="176"/>
      <c r="D15" s="177"/>
      <c r="E15" s="177"/>
      <c r="F15" s="178"/>
    </row>
    <row r="16" spans="1:7" ht="23.65" customHeight="1">
      <c r="A16" s="126"/>
      <c r="B16" s="168"/>
      <c r="C16" s="176"/>
      <c r="D16" s="177"/>
      <c r="E16" s="177"/>
      <c r="F16" s="178"/>
    </row>
    <row r="17" spans="1:6" ht="23.65" customHeight="1">
      <c r="A17" s="126"/>
      <c r="B17" s="168"/>
      <c r="C17" s="176"/>
      <c r="D17" s="177"/>
      <c r="E17" s="177"/>
      <c r="F17" s="178"/>
    </row>
    <row r="18" spans="1:6" ht="23.65" customHeight="1">
      <c r="A18" s="126"/>
      <c r="B18" s="168"/>
      <c r="C18" s="179" t="s">
        <v>143</v>
      </c>
      <c r="D18" s="180"/>
      <c r="E18" s="180"/>
      <c r="F18" s="181"/>
    </row>
    <row r="19" spans="1:6" ht="23.65" customHeight="1">
      <c r="A19" s="126"/>
      <c r="B19" s="168"/>
      <c r="C19" s="179" t="s">
        <v>114</v>
      </c>
      <c r="D19" s="180"/>
      <c r="E19" s="180"/>
      <c r="F19" s="181"/>
    </row>
    <row r="20" spans="1:6" ht="23.65" customHeight="1">
      <c r="A20" s="126"/>
      <c r="B20" s="168"/>
      <c r="C20" s="176" t="s">
        <v>123</v>
      </c>
      <c r="D20" s="177"/>
      <c r="E20" s="177"/>
      <c r="F20" s="178"/>
    </row>
    <row r="21" spans="1:6" ht="23.65" customHeight="1">
      <c r="A21" s="126"/>
      <c r="B21" s="168"/>
      <c r="C21" s="176" t="s">
        <v>124</v>
      </c>
      <c r="D21" s="177"/>
      <c r="E21" s="177"/>
      <c r="F21" s="178"/>
    </row>
    <row r="22" spans="1:6" ht="23.65" customHeight="1">
      <c r="A22" s="126"/>
      <c r="B22" s="168"/>
      <c r="C22" s="176" t="s">
        <v>125</v>
      </c>
      <c r="D22" s="177"/>
      <c r="E22" s="177"/>
      <c r="F22" s="178"/>
    </row>
    <row r="23" spans="1:6" ht="23.65" customHeight="1">
      <c r="A23" s="126"/>
      <c r="B23" s="168"/>
      <c r="C23" s="176" t="s">
        <v>126</v>
      </c>
      <c r="D23" s="177"/>
      <c r="E23" s="177"/>
      <c r="F23" s="178"/>
    </row>
    <row r="24" spans="1:6" ht="23.65" customHeight="1">
      <c r="A24" s="126"/>
      <c r="B24" s="168"/>
      <c r="C24" s="176" t="s">
        <v>127</v>
      </c>
      <c r="D24" s="177"/>
      <c r="E24" s="177"/>
      <c r="F24" s="178"/>
    </row>
    <row r="25" spans="1:6" ht="23.65" customHeight="1">
      <c r="A25" s="126"/>
      <c r="B25" s="168"/>
      <c r="C25" s="176" t="s">
        <v>144</v>
      </c>
      <c r="D25" s="177"/>
      <c r="E25" s="177"/>
      <c r="F25" s="178"/>
    </row>
    <row r="26" spans="1:6" ht="23.65" customHeight="1">
      <c r="A26" s="126"/>
      <c r="B26" s="168"/>
      <c r="C26" s="176" t="s">
        <v>145</v>
      </c>
      <c r="D26" s="177"/>
      <c r="E26" s="177"/>
      <c r="F26" s="178"/>
    </row>
    <row r="27" spans="1:6" ht="23.65" customHeight="1">
      <c r="A27" s="126"/>
      <c r="B27" s="168"/>
      <c r="C27" s="176"/>
      <c r="D27" s="177"/>
      <c r="E27" s="177"/>
      <c r="F27" s="178"/>
    </row>
    <row r="28" spans="1:6" ht="23.65" customHeight="1">
      <c r="A28" s="126"/>
      <c r="B28" s="168"/>
      <c r="C28" s="176"/>
      <c r="D28" s="177"/>
      <c r="E28" s="177"/>
      <c r="F28" s="178"/>
    </row>
    <row r="29" spans="1:6" ht="23.65" customHeight="1">
      <c r="A29" s="126"/>
      <c r="B29" s="168"/>
      <c r="C29" s="176"/>
      <c r="D29" s="177"/>
      <c r="E29" s="177"/>
      <c r="F29" s="178"/>
    </row>
    <row r="30" spans="1:6" ht="23.65" customHeight="1">
      <c r="A30" s="126"/>
      <c r="B30" s="168"/>
      <c r="C30" s="179" t="s">
        <v>115</v>
      </c>
      <c r="D30" s="182"/>
      <c r="E30" s="182"/>
      <c r="F30" s="183"/>
    </row>
    <row r="31" spans="1:6" ht="23.65" customHeight="1">
      <c r="A31" s="126"/>
      <c r="B31" s="168"/>
      <c r="C31" s="176" t="s">
        <v>116</v>
      </c>
      <c r="D31" s="177"/>
      <c r="E31" s="177"/>
      <c r="F31" s="178"/>
    </row>
    <row r="32" spans="1:6" ht="23.65" customHeight="1">
      <c r="A32" s="126"/>
      <c r="B32" s="168"/>
      <c r="C32" s="179"/>
      <c r="D32" s="182"/>
      <c r="E32" s="182"/>
      <c r="F32" s="183"/>
    </row>
    <row r="33" spans="1:6" ht="23.65" customHeight="1">
      <c r="A33" s="126"/>
      <c r="B33" s="169"/>
      <c r="C33" s="184"/>
      <c r="D33" s="185"/>
      <c r="E33" s="185"/>
      <c r="F33" s="186"/>
    </row>
    <row r="34" spans="1:6" ht="50.65" customHeight="1">
      <c r="A34" s="126"/>
      <c r="B34" s="127" t="s">
        <v>106</v>
      </c>
      <c r="C34" s="129" t="s">
        <v>117</v>
      </c>
      <c r="D34" s="187" t="s">
        <v>118</v>
      </c>
      <c r="E34" s="187"/>
      <c r="F34" s="188"/>
    </row>
    <row r="35" spans="1:6" ht="50.65" customHeight="1">
      <c r="A35" s="126"/>
      <c r="B35" s="127" t="s">
        <v>119</v>
      </c>
      <c r="C35" s="129" t="s">
        <v>120</v>
      </c>
      <c r="D35" s="187" t="s">
        <v>121</v>
      </c>
      <c r="E35" s="187"/>
      <c r="F35" s="188"/>
    </row>
    <row r="36" spans="1:6" ht="25.15" customHeight="1">
      <c r="B36" s="130"/>
      <c r="C36" s="130"/>
      <c r="D36" s="131"/>
      <c r="E36" s="130"/>
      <c r="F36" s="121"/>
    </row>
    <row r="37" spans="1:6" ht="25.15" customHeight="1">
      <c r="B37" s="130"/>
      <c r="C37" s="130"/>
      <c r="D37" s="131"/>
      <c r="E37" s="130"/>
      <c r="F37" s="121"/>
    </row>
    <row r="38" spans="1:6" ht="25.15" customHeight="1">
      <c r="B38" s="130"/>
      <c r="C38" s="130"/>
      <c r="D38" s="131"/>
      <c r="E38" s="130"/>
      <c r="F38" s="121"/>
    </row>
    <row r="39" spans="1:6" ht="25.15" customHeight="1">
      <c r="B39" s="130"/>
      <c r="C39" s="130"/>
      <c r="D39" s="131"/>
      <c r="E39" s="130"/>
      <c r="F39" s="121"/>
    </row>
    <row r="40" spans="1:6" ht="25.15" customHeight="1">
      <c r="B40" s="130"/>
      <c r="C40" s="130"/>
      <c r="D40" s="131"/>
      <c r="E40" s="130"/>
      <c r="F40" s="121"/>
    </row>
    <row r="41" spans="1:6" ht="25.15" customHeight="1">
      <c r="B41" s="130"/>
      <c r="C41" s="130"/>
      <c r="D41" s="131"/>
      <c r="E41" s="130"/>
      <c r="F41" s="121"/>
    </row>
    <row r="42" spans="1:6" ht="25.15" customHeight="1">
      <c r="B42" s="130"/>
      <c r="C42" s="130"/>
      <c r="D42" s="131"/>
      <c r="E42" s="130"/>
      <c r="F42" s="121"/>
    </row>
    <row r="43" spans="1:6" ht="25.15" customHeight="1">
      <c r="B43" s="130"/>
      <c r="C43" s="130"/>
      <c r="D43" s="131"/>
      <c r="E43" s="130"/>
      <c r="F43" s="121"/>
    </row>
    <row r="44" spans="1:6" ht="25.15" customHeight="1">
      <c r="B44" s="130"/>
      <c r="C44" s="130"/>
      <c r="D44" s="131"/>
      <c r="E44" s="130"/>
      <c r="F44" s="121"/>
    </row>
    <row r="45" spans="1:6" ht="25.15" customHeight="1">
      <c r="B45" s="130"/>
      <c r="C45" s="130"/>
      <c r="D45" s="131"/>
      <c r="E45" s="130"/>
      <c r="F45" s="121"/>
    </row>
    <row r="46" spans="1:6" ht="25.15" customHeight="1">
      <c r="B46" s="130"/>
      <c r="C46" s="130"/>
      <c r="D46" s="131"/>
      <c r="E46" s="130"/>
      <c r="F46" s="121"/>
    </row>
    <row r="47" spans="1:6" ht="25.15" customHeight="1">
      <c r="B47" s="130"/>
      <c r="C47" s="130"/>
      <c r="D47" s="131"/>
      <c r="E47" s="130"/>
      <c r="F47" s="121"/>
    </row>
    <row r="48" spans="1:6" ht="25.15" customHeight="1">
      <c r="B48" s="130"/>
      <c r="C48" s="130"/>
      <c r="D48" s="131"/>
      <c r="E48" s="130"/>
      <c r="F48" s="121"/>
    </row>
    <row r="49" spans="2:6" ht="25.15" customHeight="1">
      <c r="B49" s="130"/>
      <c r="C49" s="130"/>
      <c r="D49" s="131"/>
      <c r="E49" s="130"/>
      <c r="F49" s="121"/>
    </row>
    <row r="50" spans="2:6" ht="25.15" customHeight="1">
      <c r="B50" s="130"/>
      <c r="C50" s="130"/>
      <c r="D50" s="131"/>
      <c r="E50" s="130"/>
      <c r="F50" s="121"/>
    </row>
    <row r="51" spans="2:6" ht="25.15" customHeight="1">
      <c r="B51" s="130"/>
      <c r="C51" s="130"/>
      <c r="D51" s="131"/>
      <c r="E51" s="130"/>
      <c r="F51" s="121"/>
    </row>
    <row r="52" spans="2:6" ht="25.15" customHeight="1">
      <c r="B52" s="130"/>
      <c r="C52" s="130"/>
      <c r="D52" s="131"/>
      <c r="E52" s="130"/>
      <c r="F52" s="121"/>
    </row>
  </sheetData>
  <mergeCells count="35">
    <mergeCell ref="C21:F21"/>
    <mergeCell ref="C32:F32"/>
    <mergeCell ref="C33:F33"/>
    <mergeCell ref="D34:F34"/>
    <mergeCell ref="D35:F35"/>
    <mergeCell ref="C26:F26"/>
    <mergeCell ref="C27:F27"/>
    <mergeCell ref="C28:F28"/>
    <mergeCell ref="C29:F29"/>
    <mergeCell ref="C30:F30"/>
    <mergeCell ref="C31:F31"/>
    <mergeCell ref="C22:F22"/>
    <mergeCell ref="C23:F23"/>
    <mergeCell ref="C24:F24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25:F25"/>
    <mergeCell ref="C11:F11"/>
    <mergeCell ref="C12:F12"/>
    <mergeCell ref="C13:F13"/>
    <mergeCell ref="C14:F14"/>
    <mergeCell ref="C15:F15"/>
  </mergeCells>
  <phoneticPr fontId="5" type="noConversion"/>
  <pageMargins left="0.7" right="0.7" top="0.75" bottom="0.75" header="0.3" footer="0.3"/>
  <pageSetup paperSize="9" scale="66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</vt:lpstr>
      <vt:lpstr>Upload(시중가)-별도입력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2024-01-28T12:11:46Z</cp:lastPrinted>
  <dcterms:created xsi:type="dcterms:W3CDTF">2020-09-15T23:52:51Z</dcterms:created>
  <dcterms:modified xsi:type="dcterms:W3CDTF">2024-12-12T02:57:05Z</dcterms:modified>
</cp:coreProperties>
</file>
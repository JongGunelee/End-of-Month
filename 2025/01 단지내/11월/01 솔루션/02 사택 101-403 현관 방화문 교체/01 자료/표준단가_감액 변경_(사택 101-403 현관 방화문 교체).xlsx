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1 ■변경계약_감액■ 사택 101-403 현관 방화문 교체\"/>
    </mc:Choice>
  </mc:AlternateContent>
  <xr:revisionPtr revIDLastSave="0" documentId="13_ncr:1_{477505CE-2988-4E3C-BD6E-C9D5383A634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4" l="1"/>
  <c r="Q5" i="4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<sst xmlns="http://schemas.openxmlformats.org/spreadsheetml/2006/main" count="132" uniqueCount="110">
  <si>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</si>
  <si>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</si>
  <si>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</si>
  <si>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</si>
  <si>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</si>
  <si>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</si>
  <si>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</si>
  <si>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</si>
  <si>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</si>
  <si>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</si>
  <si>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</si>
  <si>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</si>
  <si>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</si>
  <si>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</si>
  <si>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</si>
  <si>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</si>
  <si>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</si>
  <si>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</si>
  <si>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</si>
  <si>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</si>
  <si>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</si>
  <si>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</si>
  <si>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</si>
  <si>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</si>
  <si>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</si>
  <si>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</si>
  <si>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</si>
  <si>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</si>
  <si>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</si>
  <si>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</si>
  <si>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</si>
  <si>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</si>
  <si>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</si>
  <si>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</si>
  <si>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</si>
  <si>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</si>
  <si>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</si>
  <si>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</si>
  <si>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</si>
  <si>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</si>
  <si>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</si>
  <si>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</si>
  <si>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</si>
  <si>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</si>
  <si>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</si>
  <si>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</si>
  <si>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</si>
  <si>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</si>
  <si>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</si>
  <si>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</si>
  <si>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</si>
  <si>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</si>
  <si>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</si>
  <si>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</si>
  <si>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</si>
  <si>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</si>
  <si>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</si>
  <si>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</si>
  <si>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</si>
  <si>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</si>
  <si>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</si>
  <si>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</si>
  <si>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</si>
  <si>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</si>
  <si>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</si>
  <si>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</si>
  <si>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</si>
  <si>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</si>
  <si>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</si>
  <si>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</si>
  <si>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</si>
  <si>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</si>
  <si>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</si>
  <si>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</si>
  <si>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</si>
  <si>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</si>
  <si>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</si>
  <si>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</si>
  <si>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</si>
  <si>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</si>
  <si>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</si>
  <si>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</si>
  <si>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</si>
  <si>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</si>
  <si>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</si>
  <si>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</si>
  <si>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</si>
  <si>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</si>
  <si>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</si>
  <si>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</si>
  <si>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</si>
  <si>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</si>
  <si>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</si>
  <si>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</si>
  <si>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</si>
  <si>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</si>
  <si>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</si>
  <si>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</si>
  <si>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</si>
  <si>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</si>
  <si>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</si>
  <si>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</si>
  <si>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</si>
  <si>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</si>
  <si>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101-403 현관 방화문 교체</t>
    <phoneticPr fontId="12" type="noConversion"/>
  </si>
  <si>
    <t xml:space="preserve"> 견적일 : 2025년  06월  09일</t>
    <phoneticPr fontId="12" type="noConversion"/>
  </si>
  <si>
    <t>현장정리 및 내부 도배</t>
    <phoneticPr fontId="6" type="noConversion"/>
  </si>
  <si>
    <t>101-403 현관 방화문 철거 및 설치</t>
    <phoneticPr fontId="6" type="noConversion"/>
  </si>
  <si>
    <t>제품 납품만 으로
작업 취소</t>
    <phoneticPr fontId="6" type="noConversion"/>
  </si>
  <si>
    <t>제품 납품 1인+화물차
[- 400,000]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</si>
</sst>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  <xf numFmtId="186" fontId="28" fillId="0" borderId="3" xfId="0" applyNumberFormat="1" applyFont="1" applyBorder="1" applyAlignment="1">
      <alignment horizontal="right" vertical="center"/>
    </xf>
    <xf numFmtId="49" fontId="28" fillId="0" borderId="6" xfId="0" applyNumberFormat="1" applyFont="1" applyBorder="1" applyAlignment="1">
      <alignment horizontal="center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49" fontId="28" fillId="5" borderId="3" xfId="0" applyNumberFormat="1" applyFont="1" applyFill="1" applyBorder="1" applyAlignment="1">
      <alignment horizontal="center" vertical="center" wrapText="1"/>
    </xf>
    <xf numFmtId="187" fontId="28" fillId="0" borderId="3" xfId="1" applyNumberFormat="1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현관 방화문 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277422</xdr:colOff>
      <xdr:row>5</xdr:row>
      <xdr:rowOff>131885</xdr:rowOff>
    </xdr:from>
    <xdr:to>
      <xdr:col>3</xdr:col>
      <xdr:colOff>423269</xdr:colOff>
      <xdr:row>35</xdr:row>
      <xdr:rowOff>7327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A16370E-B828-4A1E-8DAE-7CBB8F7C5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22" y="1041090"/>
          <a:ext cx="3496915" cy="5330669"/>
        </a:xfrm>
        <a:prstGeom prst="rect">
          <a:avLst/>
        </a:prstGeom>
      </xdr:spPr>
    </xdr:pic>
    <xdr:clientData/>
  </xdr:twoCellAnchor>
  <xdr:twoCellAnchor>
    <xdr:from>
      <xdr:col>0</xdr:col>
      <xdr:colOff>852920</xdr:colOff>
      <xdr:row>16</xdr:row>
      <xdr:rowOff>51954</xdr:rowOff>
    </xdr:from>
    <xdr:to>
      <xdr:col>1</xdr:col>
      <xdr:colOff>874568</xdr:colOff>
      <xdr:row>16</xdr:row>
      <xdr:rowOff>56284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E71E932C-54EA-9084-B51B-585B8435973C}"/>
            </a:ext>
          </a:extLst>
        </xdr:cNvPr>
        <xdr:cNvCxnSpPr/>
      </xdr:nvCxnSpPr>
      <xdr:spPr>
        <a:xfrm flipV="1">
          <a:off x="852920" y="2961409"/>
          <a:ext cx="896216" cy="433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428625</xdr:colOff>
      <xdr:row>17</xdr:row>
      <xdr:rowOff>64217</xdr:rowOff>
    </xdr:from>
    <xdr:ext cx="2104159" cy="2439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CF74AA9-8A85-6919-BCCC-47D1E2BCB43D}"/>
            </a:ext>
          </a:extLst>
        </xdr:cNvPr>
        <xdr:cNvSpPr txBox="1"/>
      </xdr:nvSpPr>
      <xdr:spPr>
        <a:xfrm>
          <a:off x="1303193" y="3155512"/>
          <a:ext cx="2104159" cy="2439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ko-KR" altLang="en-US" sz="1100" kern="1200">
              <a:solidFill>
                <a:srgbClr val="FF0000"/>
              </a:solidFill>
            </a:rPr>
            <a:t>제품 납품 </a:t>
          </a:r>
          <a:r>
            <a:rPr lang="en-US" altLang="ko-KR" sz="1100" kern="1200">
              <a:solidFill>
                <a:srgbClr val="FF0000"/>
              </a:solidFill>
            </a:rPr>
            <a:t>1</a:t>
          </a:r>
          <a:r>
            <a:rPr lang="ko-KR" altLang="en-US" sz="1100" kern="1200">
              <a:solidFill>
                <a:srgbClr val="FF0000"/>
              </a:solidFill>
            </a:rPr>
            <a:t>인 </a:t>
          </a:r>
          <a:r>
            <a:rPr lang="en-US" altLang="ko-KR" sz="1100" kern="1200">
              <a:solidFill>
                <a:srgbClr val="FF0000"/>
              </a:solidFill>
            </a:rPr>
            <a:t>+ </a:t>
          </a:r>
          <a:r>
            <a:rPr lang="ko-KR" altLang="en-US" sz="1100" kern="1200">
              <a:solidFill>
                <a:srgbClr val="FF0000"/>
              </a:solidFill>
            </a:rPr>
            <a:t>화물차 </a:t>
          </a:r>
          <a:r>
            <a:rPr lang="en-US" altLang="ko-KR" sz="1100" kern="1200">
              <a:solidFill>
                <a:srgbClr val="FF0000"/>
              </a:solidFill>
            </a:rPr>
            <a:t>= - 400,000</a:t>
          </a:r>
          <a:endParaRPr lang="ko-KR" altLang="en-US" sz="1100" kern="12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879542</xdr:colOff>
      <xdr:row>16</xdr:row>
      <xdr:rowOff>51954</xdr:rowOff>
    </xdr:from>
    <xdr:to>
      <xdr:col>3</xdr:col>
      <xdr:colOff>84196</xdr:colOff>
      <xdr:row>16</xdr:row>
      <xdr:rowOff>51954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DB3E3197-7FC7-8B88-BB93-341BFE7A3C64}"/>
            </a:ext>
          </a:extLst>
        </xdr:cNvPr>
        <xdr:cNvCxnSpPr/>
      </xdr:nvCxnSpPr>
      <xdr:spPr>
        <a:xfrm>
          <a:off x="3116904" y="2970252"/>
          <a:ext cx="319281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K15" sqref="K1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91"/>
      <c r="B3" s="91"/>
      <c r="C3" s="91"/>
      <c r="D3" s="91"/>
      <c r="E3" s="91"/>
      <c r="F3" s="91"/>
      <c r="G3" s="91"/>
      <c r="H3" s="91"/>
    </row>
    <row r="4" spans="1:9" ht="14.25" x14ac:dyDescent="0.2">
      <c r="A4" s="91"/>
      <c r="B4" s="91"/>
      <c r="C4" s="91"/>
      <c r="D4" s="91"/>
      <c r="E4" s="91"/>
      <c r="H4" s="91"/>
    </row>
    <row r="5" spans="1:9" ht="27" customHeight="1" x14ac:dyDescent="0.2">
      <c r="A5" s="92" t="s">
        <v>64</v>
      </c>
      <c r="B5" s="4"/>
      <c r="C5" s="5"/>
      <c r="D5" s="91"/>
      <c r="E5" s="91"/>
      <c r="F5" s="6" t="s">
        <v>38</v>
      </c>
      <c r="G5" s="7" t="s">
        <v>68</v>
      </c>
      <c r="H5" s="91"/>
    </row>
    <row r="6" spans="1:9" ht="27" customHeight="1" x14ac:dyDescent="0.2">
      <c r="A6" s="91"/>
      <c r="B6" s="91"/>
      <c r="C6" s="91"/>
      <c r="D6" s="91"/>
      <c r="E6" s="91"/>
      <c r="F6" s="8" t="s">
        <v>41</v>
      </c>
      <c r="G6" s="9" t="s">
        <v>69</v>
      </c>
      <c r="H6" s="91"/>
    </row>
    <row r="7" spans="1:9" ht="27" customHeight="1" x14ac:dyDescent="0.2">
      <c r="A7" s="124" t="s">
        <v>104</v>
      </c>
      <c r="B7" s="125"/>
      <c r="C7" s="126"/>
      <c r="D7" s="91"/>
      <c r="E7" s="10"/>
      <c r="F7" s="11" t="s">
        <v>42</v>
      </c>
      <c r="G7" s="9" t="s">
        <v>70</v>
      </c>
      <c r="H7" s="91"/>
    </row>
    <row r="8" spans="1:9" ht="27" customHeight="1" x14ac:dyDescent="0.2">
      <c r="A8" s="91"/>
      <c r="B8" s="91"/>
      <c r="C8" s="91"/>
      <c r="D8" s="91"/>
      <c r="E8" s="91"/>
      <c r="F8" s="8" t="s">
        <v>43</v>
      </c>
      <c r="G8" s="9" t="s">
        <v>71</v>
      </c>
      <c r="H8" s="91"/>
    </row>
    <row r="9" spans="1:9" ht="27" customHeight="1" x14ac:dyDescent="0.2">
      <c r="A9" s="124" t="s">
        <v>105</v>
      </c>
      <c r="B9" s="125"/>
      <c r="C9" s="126"/>
      <c r="D9" s="91"/>
      <c r="E9" s="91"/>
      <c r="F9" s="8" t="s">
        <v>44</v>
      </c>
      <c r="G9" s="9" t="s">
        <v>72</v>
      </c>
      <c r="H9" s="91"/>
    </row>
    <row r="10" spans="1:9" ht="27" customHeight="1" x14ac:dyDescent="0.2">
      <c r="A10" s="91"/>
      <c r="B10" s="91"/>
      <c r="C10" s="91"/>
      <c r="D10" s="91"/>
      <c r="E10" s="91"/>
      <c r="F10" s="12" t="s">
        <v>39</v>
      </c>
      <c r="G10" s="13" t="s">
        <v>73</v>
      </c>
      <c r="H10" s="91"/>
      <c r="I10" s="91"/>
    </row>
    <row r="11" spans="1:9" ht="27" customHeight="1" x14ac:dyDescent="0.2">
      <c r="A11" s="122"/>
      <c r="B11" s="123"/>
      <c r="C11" s="123"/>
      <c r="D11" s="91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일백삼십오만이천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1"/>
      <c r="B13" s="91"/>
      <c r="C13" s="91"/>
      <c r="D13" s="91"/>
      <c r="E13" s="91"/>
      <c r="F13" s="91"/>
      <c r="G13" s="9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1310000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1310000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0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0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0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0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0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103</v>
      </c>
      <c r="D26" s="30">
        <v>1</v>
      </c>
      <c r="E26" s="30" t="s">
        <v>25</v>
      </c>
      <c r="F26" s="43">
        <f>(F16+F17)*3.11%</f>
        <v>40741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2037.0500000000002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42778.05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1352778.05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1352000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17" sqref="J17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5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3.375" style="66" customWidth="1"/>
    <col min="16" max="16" width="8.25" style="66" customWidth="1"/>
    <col min="17" max="17" width="12.5" style="66" bestFit="1" customWidth="1"/>
    <col min="18" max="18" width="6.375" style="66" hidden="1" customWidth="1"/>
    <col min="19" max="19" width="8.25" style="66" hidden="1" customWidth="1"/>
    <col min="20" max="20" width="6.375" style="66" hidden="1" customWidth="1"/>
    <col min="21" max="21" width="8.25" style="66" hidden="1" customWidth="1"/>
    <col min="22" max="22" width="14.5" style="66" bestFit="1" customWidth="1"/>
    <col min="23" max="23" width="10.625" style="67" bestFit="1" customWidth="1"/>
    <col min="24" max="24" width="19.25" style="66" customWidth="1"/>
    <col min="25" max="16384" width="9" style="66"/>
  </cols>
  <sheetData>
    <row r="1" spans="1:24" ht="19.89999999999999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N1" s="67"/>
      <c r="O1" s="108" t="s">
        <v>80</v>
      </c>
      <c r="Q1" s="108" t="s">
        <v>80</v>
      </c>
      <c r="S1" s="108" t="s">
        <v>80</v>
      </c>
      <c r="U1" s="108" t="s">
        <v>80</v>
      </c>
    </row>
    <row r="2" spans="1:24" ht="19.899999999999999" customHeight="1" thickBot="1" x14ac:dyDescent="0.35">
      <c r="A2" s="127"/>
      <c r="B2" s="127"/>
      <c r="C2" s="127"/>
      <c r="D2" s="127"/>
      <c r="E2" s="127"/>
      <c r="F2" s="127"/>
      <c r="G2" s="127"/>
      <c r="H2" s="127"/>
      <c r="I2" s="127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09"/>
      <c r="B3" s="109"/>
      <c r="C3" s="109"/>
      <c r="D3" s="109"/>
      <c r="E3" s="109"/>
      <c r="F3" s="109" t="s">
        <v>81</v>
      </c>
      <c r="G3" s="110"/>
      <c r="H3" s="110"/>
      <c r="I3" s="110"/>
      <c r="J3" s="138" t="s">
        <v>82</v>
      </c>
      <c r="K3" s="138"/>
      <c r="L3" s="136" t="s">
        <v>51</v>
      </c>
      <c r="M3" s="136" t="s">
        <v>5</v>
      </c>
      <c r="N3" s="132" t="s">
        <v>83</v>
      </c>
      <c r="O3" s="132"/>
      <c r="P3" s="132" t="s">
        <v>84</v>
      </c>
      <c r="Q3" s="132"/>
      <c r="R3" s="133" t="s">
        <v>85</v>
      </c>
      <c r="S3" s="133"/>
      <c r="T3" s="133" t="s">
        <v>86</v>
      </c>
      <c r="U3" s="133"/>
      <c r="V3" s="134" t="s">
        <v>87</v>
      </c>
      <c r="W3" s="130" t="s">
        <v>88</v>
      </c>
      <c r="X3" s="128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6" t="s">
        <v>94</v>
      </c>
      <c r="K4" s="106" t="s">
        <v>95</v>
      </c>
      <c r="L4" s="137"/>
      <c r="M4" s="137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5"/>
      <c r="W4" s="131"/>
      <c r="X4" s="129"/>
    </row>
    <row r="5" spans="1:24" s="111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0"/>
      <c r="H5" s="90"/>
      <c r="I5" s="95" t="s">
        <v>100</v>
      </c>
      <c r="J5" s="140" t="s">
        <v>106</v>
      </c>
      <c r="K5" s="141" t="s">
        <v>101</v>
      </c>
      <c r="L5" s="142" t="s">
        <v>102</v>
      </c>
      <c r="M5" s="143">
        <v>1</v>
      </c>
      <c r="N5" s="101"/>
      <c r="O5" s="102">
        <f>M5*N5</f>
        <v>0</v>
      </c>
      <c r="P5" s="100"/>
      <c r="Q5" s="102">
        <f>M5*P5</f>
        <v>0</v>
      </c>
      <c r="R5" s="103"/>
      <c r="S5" s="102">
        <f t="shared" ref="S5" si="1">R5*M5*$S$2</f>
        <v>0</v>
      </c>
      <c r="T5" s="103"/>
      <c r="U5" s="102">
        <f t="shared" ref="U5" si="2">T5*M5*$U$2</f>
        <v>0</v>
      </c>
      <c r="V5" s="79">
        <f t="shared" ref="V5" si="3">SUM(O5+Q5)+S5+U5</f>
        <v>0</v>
      </c>
      <c r="W5" s="81"/>
      <c r="X5" s="120" t="s">
        <v>108</v>
      </c>
    </row>
    <row r="6" spans="1:24" s="111" customFormat="1" ht="38.1" customHeight="1" x14ac:dyDescent="0.3">
      <c r="A6" s="75"/>
      <c r="B6" s="76"/>
      <c r="C6" s="76"/>
      <c r="D6" s="76"/>
      <c r="E6" s="76"/>
      <c r="F6" s="77"/>
      <c r="G6" s="80"/>
      <c r="H6" s="90"/>
      <c r="I6" s="77"/>
      <c r="J6" s="93" t="s">
        <v>107</v>
      </c>
      <c r="K6" s="94" t="s">
        <v>75</v>
      </c>
      <c r="L6" s="78" t="s">
        <v>76</v>
      </c>
      <c r="M6" s="104">
        <v>1</v>
      </c>
      <c r="N6" s="139">
        <f>1710000-400000</f>
        <v>1310000</v>
      </c>
      <c r="O6" s="102">
        <f>M6*N6</f>
        <v>1310000</v>
      </c>
      <c r="P6" s="100"/>
      <c r="Q6" s="102">
        <f t="shared" ref="Q6" si="4">(P6*M6)*$Q$2</f>
        <v>0</v>
      </c>
      <c r="R6" s="103"/>
      <c r="S6" s="102">
        <f t="shared" ref="S6" si="5">R6*M6*$S$2</f>
        <v>0</v>
      </c>
      <c r="T6" s="103"/>
      <c r="U6" s="102">
        <f t="shared" ref="U6" si="6">T6*M6*$U$2</f>
        <v>0</v>
      </c>
      <c r="V6" s="79">
        <f t="shared" ref="V6" si="7">SUM(O6+Q6)+S6+U6</f>
        <v>1310000</v>
      </c>
      <c r="W6" s="81"/>
      <c r="X6" s="120" t="s">
        <v>109</v>
      </c>
    </row>
    <row r="7" spans="1:24" s="113" customFormat="1" ht="38.1" customHeight="1" x14ac:dyDescent="0.3">
      <c r="A7" s="112"/>
      <c r="B7" s="112"/>
      <c r="C7" s="112"/>
      <c r="D7" s="112"/>
      <c r="E7" s="112"/>
      <c r="J7" s="107"/>
      <c r="K7" s="107"/>
      <c r="O7" s="117">
        <f>SUM(O5:O6)</f>
        <v>1310000</v>
      </c>
      <c r="Q7" s="117">
        <f>SUM(Q5:Q6)</f>
        <v>0</v>
      </c>
      <c r="S7" s="114">
        <f>SUM(S5:S6)</f>
        <v>0</v>
      </c>
      <c r="U7" s="114">
        <f>SUM(U5:U6)</f>
        <v>0</v>
      </c>
      <c r="V7" s="118">
        <f>SUM(V5:V6)</f>
        <v>1310000</v>
      </c>
      <c r="W7" s="82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10" zoomScale="235" zoomScaleNormal="235" zoomScaleSheetLayoutView="85" workbookViewId="0">
      <selection activeCell="F20" sqref="F20"/>
    </sheetView>
  </sheetViews>
  <sheetFormatPr defaultColWidth="9" defaultRowHeight="14.25" x14ac:dyDescent="0.3"/>
  <cols>
    <col min="1" max="1" width="11.5" style="96" bestFit="1" customWidth="1"/>
    <col min="2" max="2" width="17.875" style="96" customWidth="1"/>
    <col min="3" max="3" width="14.625" style="96" customWidth="1"/>
    <col min="4" max="4" width="10.875" style="96" customWidth="1"/>
    <col min="5" max="5" width="12" style="96" customWidth="1"/>
    <col min="6" max="6" width="10.625" style="96" customWidth="1"/>
    <col min="7" max="7" width="13.625" style="97" customWidth="1"/>
    <col min="8" max="8" width="9.625" style="96" customWidth="1"/>
    <col min="9" max="9" width="13.625" style="96" customWidth="1"/>
    <col min="10" max="10" width="12.75" style="96" customWidth="1"/>
    <col min="11" max="11" width="9.25" style="96" customWidth="1"/>
    <col min="12" max="12" width="13.625" style="97" customWidth="1"/>
    <col min="13" max="13" width="9.625" style="96" customWidth="1"/>
    <col min="14" max="14" width="13.625" style="97" customWidth="1"/>
    <col min="15" max="15" width="19.75" style="98" bestFit="1" customWidth="1"/>
    <col min="16" max="16" width="12.25" style="98" bestFit="1" customWidth="1"/>
    <col min="17" max="16384" width="9" style="96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C2" sqref="C2"/>
    </sheetView>
  </sheetViews>
  <sheetFormatPr defaultColWidth="9" defaultRowHeight="14.25" x14ac:dyDescent="0.3"/>
  <cols>
    <col min="1" max="1" width="11.125" style="99" customWidth="1"/>
    <col min="2" max="2" width="13.375" style="99" customWidth="1"/>
    <col min="3" max="3" width="38.75" style="99" customWidth="1"/>
    <col min="4" max="4" width="28.75" style="99" customWidth="1"/>
    <col min="5" max="5" width="5" style="99" customWidth="1"/>
    <col min="6" max="6" width="6.25" style="99" customWidth="1"/>
    <col min="7" max="7" width="10" style="99" customWidth="1"/>
    <col min="8" max="8" width="11.875" style="99" customWidth="1"/>
    <col min="9" max="9" width="10" style="99" customWidth="1"/>
    <col min="10" max="10" width="11.875" style="99" customWidth="1"/>
    <col min="11" max="11" width="10" style="99" customWidth="1"/>
    <col min="12" max="12" width="11.875" style="99" customWidth="1"/>
    <col min="13" max="13" width="10" style="99" customWidth="1"/>
    <col min="14" max="14" width="11.875" style="99" customWidth="1"/>
    <col min="15" max="15" width="9.125" style="99" customWidth="1"/>
    <col min="16" max="16" width="11.5" style="99" customWidth="1"/>
    <col min="17" max="17" width="11.75" style="99" customWidth="1"/>
    <col min="18" max="18" width="17.875" style="99" customWidth="1"/>
    <col min="19" max="16384" width="9" style="99"/>
  </cols>
  <sheetData>
    <row r="1" spans="1:18" ht="18" customHeight="1" x14ac:dyDescent="0.3">
      <c r="A1" s="83" t="s">
        <v>47</v>
      </c>
      <c r="B1" s="84" t="s">
        <v>48</v>
      </c>
      <c r="C1" s="85" t="s">
        <v>49</v>
      </c>
      <c r="D1" s="85" t="s">
        <v>50</v>
      </c>
      <c r="E1" s="85" t="s">
        <v>51</v>
      </c>
      <c r="F1" s="85" t="s">
        <v>5</v>
      </c>
      <c r="G1" s="84" t="s">
        <v>52</v>
      </c>
      <c r="H1" s="84" t="s">
        <v>53</v>
      </c>
      <c r="I1" s="84" t="s">
        <v>54</v>
      </c>
      <c r="J1" s="84" t="s">
        <v>55</v>
      </c>
      <c r="K1" s="84" t="s">
        <v>56</v>
      </c>
      <c r="L1" s="84" t="s">
        <v>57</v>
      </c>
      <c r="M1" s="84" t="s">
        <v>58</v>
      </c>
      <c r="N1" s="84" t="s">
        <v>59</v>
      </c>
      <c r="O1" s="84" t="s">
        <v>60</v>
      </c>
      <c r="P1" s="84" t="s">
        <v>61</v>
      </c>
      <c r="Q1" s="84" t="s">
        <v>62</v>
      </c>
      <c r="R1" s="84" t="s">
        <v>63</v>
      </c>
    </row>
    <row r="2" spans="1:18" x14ac:dyDescent="0.3">
      <c r="A2" s="67">
        <v>999999</v>
      </c>
      <c r="B2" s="67" t="s">
        <v>77</v>
      </c>
      <c r="C2" s="67" t="s">
        <v>107</v>
      </c>
      <c r="D2" s="67" t="s">
        <v>78</v>
      </c>
      <c r="E2" s="67" t="s">
        <v>79</v>
      </c>
      <c r="F2" s="86">
        <v>1</v>
      </c>
      <c r="G2" s="89">
        <v>420000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C27" sqref="C26:C27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9"/>
  </cols>
  <sheetData>
    <row r="1" spans="1:7" ht="18" customHeight="1" x14ac:dyDescent="0.3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66"/>
    </row>
    <row r="2" spans="1:7" x14ac:dyDescent="0.3">
      <c r="A2" s="87" t="str">
        <f>'내역서(표준단가)'!A5</f>
        <v>L003</v>
      </c>
      <c r="B2" s="88">
        <f>'내역서(표준단가)'!F5</f>
        <v>0</v>
      </c>
      <c r="C2" s="88">
        <f>'내역서(표준단가)'!G5</f>
        <v>0</v>
      </c>
      <c r="D2" s="88">
        <f>'내역서(표준단가)'!H5</f>
        <v>0</v>
      </c>
      <c r="E2" s="88" t="str">
        <f>'내역서(표준단가)'!I5</f>
        <v>L003</v>
      </c>
      <c r="F2" s="11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2025-10-14T21:06:27Z</dcterms:modified>
</cp:coreProperties>
</file>
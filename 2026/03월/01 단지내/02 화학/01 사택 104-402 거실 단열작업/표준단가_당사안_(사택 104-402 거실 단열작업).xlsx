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60129\06 작업폴더\01 사택 104-402 거실 단열작업\"/>
    </mc:Choice>
  </mc:AlternateContent>
  <xr:revisionPtr revIDLastSave="0" documentId="13_ncr:1_{1899F5D1-546D-4C32-AEA0-6F141DF9F17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Q5" i="4"/>
  <c r="U12" i="4"/>
  <c r="S12" i="4"/>
  <c r="Q12" i="4"/>
  <c r="O12" i="4"/>
  <c r="E12" i="4"/>
  <c r="A9" i="1" s="1"/>
  <c r="U11" i="4"/>
  <c r="S11" i="4"/>
  <c r="Q11" i="4"/>
  <c r="O11" i="4"/>
  <c r="E11" i="4"/>
  <c r="A8" i="1" s="1"/>
  <c r="H11" i="18"/>
  <c r="F11" i="18"/>
  <c r="V12" i="4" l="1"/>
  <c r="N11" i="18"/>
  <c r="V11" i="4"/>
  <c r="L13" i="18" l="1"/>
  <c r="J12" i="18"/>
  <c r="J13" i="18" s="1"/>
  <c r="F12" i="18"/>
  <c r="H10" i="18"/>
  <c r="F10" i="18"/>
  <c r="H9" i="18"/>
  <c r="F9" i="18"/>
  <c r="H8" i="18"/>
  <c r="F8" i="18"/>
  <c r="F7" i="18"/>
  <c r="N7" i="18" s="1"/>
  <c r="F6" i="18"/>
  <c r="N6" i="18" s="1"/>
  <c r="H5" i="18"/>
  <c r="F5" i="18"/>
  <c r="U13" i="4"/>
  <c r="O13" i="4"/>
  <c r="E13" i="4"/>
  <c r="A10" i="1" s="1"/>
  <c r="U10" i="4"/>
  <c r="S10" i="4"/>
  <c r="Q10" i="4"/>
  <c r="O10" i="4"/>
  <c r="E10" i="4"/>
  <c r="A7" i="1" s="1"/>
  <c r="U9" i="4"/>
  <c r="S9" i="4"/>
  <c r="Q9" i="4"/>
  <c r="O9" i="4"/>
  <c r="E9" i="4"/>
  <c r="A6" i="1" s="1"/>
  <c r="U8" i="4"/>
  <c r="S8" i="4"/>
  <c r="Q8" i="4"/>
  <c r="O8" i="4"/>
  <c r="E8" i="4"/>
  <c r="A5" i="1" s="1"/>
  <c r="U7" i="4"/>
  <c r="S7" i="4"/>
  <c r="Q7" i="4"/>
  <c r="O7" i="4"/>
  <c r="E7" i="4"/>
  <c r="A4" i="1" s="1"/>
  <c r="U6" i="4"/>
  <c r="S6" i="4"/>
  <c r="Q6" i="4"/>
  <c r="O6" i="4"/>
  <c r="E6" i="4"/>
  <c r="A3" i="1" s="1"/>
  <c r="U5" i="4"/>
  <c r="S5" i="4"/>
  <c r="O5" i="4"/>
  <c r="E5" i="4"/>
  <c r="N5" i="18" l="1"/>
  <c r="N8" i="18"/>
  <c r="N10" i="18"/>
  <c r="V5" i="4"/>
  <c r="N9" i="18"/>
  <c r="N12" i="18"/>
  <c r="H13" i="18"/>
  <c r="F13" i="18"/>
  <c r="V13" i="4"/>
  <c r="V10" i="4"/>
  <c r="V9" i="4"/>
  <c r="V8" i="4"/>
  <c r="V7" i="4"/>
  <c r="V6" i="4"/>
  <c r="N13" i="18" l="1"/>
  <c r="N4" i="18"/>
  <c r="F2" i="1" l="1"/>
  <c r="E2" i="1"/>
  <c r="D2" i="1"/>
  <c r="C2" i="1"/>
  <c r="B2" i="1"/>
  <c r="A2" i="1"/>
  <c r="U14" i="4" l="1"/>
  <c r="Q14" i="4"/>
  <c r="S14" i="4" l="1"/>
  <c r="V14" i="4" l="1"/>
  <c r="F18" i="5" l="1"/>
  <c r="O14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<sst xmlns="http://schemas.openxmlformats.org/spreadsheetml/2006/main" count="182" uniqueCount="148">
  <si>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</si>
  <si>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</si>
  <si>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</si>
  <si>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</si>
  <si>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</si>
  <si>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</si>
  <si>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</si>
  <si>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</si>
  <si>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</si>
  <si>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</si>
  <si>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</si>
  <si>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</si>
  <si>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</si>
  <si>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</si>
  <si>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</si>
  <si>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</si>
  <si>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</si>
  <si>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</si>
  <si>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</si>
  <si>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</si>
  <si>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</si>
  <si>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</si>
  <si>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</si>
  <si>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</si>
  <si>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</si>
  <si>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</si>
  <si>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</si>
  <si>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</si>
  <si>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</si>
  <si>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</si>
  <si>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</si>
  <si>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</si>
  <si>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</si>
  <si>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</si>
  <si>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</si>
  <si>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</si>
  <si>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</si>
  <si>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</si>
  <si>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</si>
  <si>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</si>
  <si>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</si>
  <si>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</si>
  <si>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</si>
  <si>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</si>
  <si>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</si>
  <si>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</si>
  <si>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</si>
  <si>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</si>
  <si>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</si>
  <si>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</si>
  <si>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</si>
  <si>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</si>
  <si>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</si>
  <si>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</si>
  <si>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</si>
  <si>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</si>
  <si>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</si>
  <si>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</si>
  <si>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</si>
  <si>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</si>
  <si>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</si>
  <si>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</si>
  <si>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</si>
  <si>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</si>
  <si>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</si>
  <si>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</si>
  <si>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</si>
  <si>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</si>
  <si>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</si>
  <si>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</si>
  <si>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</si>
  <si>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</si>
  <si>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</si>
  <si>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</si>
  <si>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</si>
  <si>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</si>
  <si>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</si>
  <si>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</si>
  <si>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</si>
  <si>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</si>
  <si>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</si>
  <si>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</si>
  <si>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</si>
  <si>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</si>
  <si>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</si>
  <si>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</si>
  <si>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</si>
  <si>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</si>
  <si>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</si>
  <si>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</si>
  <si>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</si>
  <si>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</si>
  <si>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</si>
  <si>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</si>
  <si>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</si>
  <si>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</si>
  <si>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</si>
  <si>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</si>
  <si>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</si>
  <si>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</si>
  <si>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</si>
  <si>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</si>
  <si>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</si>
  <si>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</si>
  <si>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</si>
  <si>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</si>
  <si>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</si>
  <si>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</si>
  <si>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</si>
  <si>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</si>
  <si>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</si>
  <si>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</si>
  <si>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</si>
  <si>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</si>
  <si>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</si>
  <si>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</si>
  <si>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</si>
  <si>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</si>
  <si>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</si>
  <si>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</si>
  <si>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</si>
  <si>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</si>
  <si>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</si>
  <si>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㎡</t>
    <phoneticPr fontId="18" type="noConversion"/>
  </si>
  <si>
    <t> (재료비+노무비)*3.11%</t>
    <phoneticPr fontId="18" type="noConversion"/>
  </si>
  <si>
    <t>(전체면적5.2*h:2.5)-(창호면적 1.6*2.3)=9.32</t>
    <phoneticPr fontId="10" type="noConversion"/>
  </si>
  <si>
    <t>벽면</t>
    <phoneticPr fontId="18" type="noConversion"/>
  </si>
  <si>
    <t>3.도배</t>
    <phoneticPr fontId="10" type="noConversion"/>
  </si>
  <si>
    <t>M020853710050101</t>
  </si>
  <si>
    <t>아이리스</t>
  </si>
  <si>
    <t>R/L</t>
  </si>
  <si>
    <t>E00000803071260301</t>
  </si>
  <si>
    <t>도배 교체(벽)</t>
    <phoneticPr fontId="10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</si>
  <si>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소요량10/16.51=0.6056R/L</t>
    </r>
    <phoneticPr fontId="10" type="noConversion"/>
  </si>
  <si>
    <t>일당 시공량-벽 46㎡, 적산정보 500p 참조,시공총량10/일당46=0.2173</t>
    <phoneticPr fontId="10" type="noConversion"/>
  </si>
  <si>
    <t>바탕용(2겹) (시공량 : 30㎡),시공총량20/일당30=0.666</t>
    <phoneticPr fontId="10" type="noConversion"/>
  </si>
  <si>
    <t>4.폐기물 처리</t>
    <phoneticPr fontId="12" type="noConversion"/>
  </si>
  <si>
    <t>2.거실벽</t>
    <phoneticPr fontId="12" type="noConversion"/>
  </si>
  <si>
    <t>중밀도섬유판(시공량 : 165m), 설치수량 10m, 10/165=0.0606</t>
    <phoneticPr fontId="10" type="noConversion"/>
  </si>
  <si>
    <t>보통인부</t>
    <phoneticPr fontId="10" type="noConversion"/>
  </si>
  <si>
    <t>인</t>
    <phoneticPr fontId="18" type="noConversion"/>
  </si>
  <si>
    <t>보통인부</t>
    <phoneticPr fontId="10" type="noConversion"/>
  </si>
  <si>
    <t>인</t>
    <phoneticPr fontId="10" type="noConversion"/>
  </si>
  <si>
    <t>현장정리 및 가구이동후 재배치, 청소</t>
    <phoneticPr fontId="10" type="noConversion"/>
  </si>
  <si>
    <t>L002</t>
  </si>
  <si>
    <t xml:space="preserve"> 공사명 : 사택 104-402 거실 단열작업</t>
    <phoneticPr fontId="16" type="noConversion"/>
  </si>
  <si>
    <t xml:space="preserve"> 견적일 : 2026년  02월  28일</t>
    <phoneticPr fontId="16" type="noConversion"/>
  </si>
  <si>
    <t>사택 104-402 거실 단열작업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</si>
</sst>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  <numFmt numFmtId="192" formatCode="0.0_);[Red]\(0.0\)"/>
    <numFmt numFmtId="193" formatCode="#,##0.000_ 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9"/>
      <color rgb="FF00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192" fontId="36" fillId="5" borderId="34" xfId="13" applyNumberFormat="1" applyFont="1" applyFill="1" applyBorder="1" applyAlignment="1">
      <alignment horizontal="center" vertical="center"/>
    </xf>
    <xf numFmtId="186" fontId="36" fillId="0" borderId="34" xfId="13" applyNumberFormat="1" applyFont="1" applyBorder="1" applyAlignment="1">
      <alignment horizontal="center" vertical="center"/>
    </xf>
    <xf numFmtId="177" fontId="36" fillId="0" borderId="34" xfId="13" applyFont="1" applyBorder="1" applyAlignment="1">
      <alignment horizontal="center" vertical="center"/>
    </xf>
    <xf numFmtId="185" fontId="36" fillId="0" borderId="34" xfId="13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177" fontId="24" fillId="0" borderId="3" xfId="1" applyFont="1" applyFill="1" applyBorder="1" applyAlignment="1">
      <alignment horizontal="center" vertical="center" wrapText="1"/>
    </xf>
    <xf numFmtId="193" fontId="24" fillId="0" borderId="3" xfId="1" applyNumberFormat="1" applyFont="1" applyFill="1" applyBorder="1" applyAlignment="1">
      <alignment horizontal="center" vertical="center"/>
    </xf>
    <xf numFmtId="193" fontId="24" fillId="5" borderId="3" xfId="1" applyNumberFormat="1" applyFont="1" applyFill="1" applyBorder="1" applyAlignment="1">
      <alignment horizontal="center" vertical="center"/>
    </xf>
    <xf numFmtId="177" fontId="36" fillId="0" borderId="0" xfId="0" applyNumberFormat="1" applyFont="1">
      <alignment vertical="center"/>
    </xf>
    <xf numFmtId="49" fontId="41" fillId="7" borderId="41" xfId="0" applyNumberFormat="1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29" fillId="0" borderId="40" xfId="6" applyFont="1" applyBorder="1" applyAlignment="1">
      <alignment vertical="center" wrapText="1"/>
    </xf>
    <xf numFmtId="0" fontId="29" fillId="0" borderId="37" xfId="6" applyFont="1" applyBorder="1" applyAlignment="1">
      <alignment vertical="center" wrapText="1"/>
    </xf>
    <xf numFmtId="0" fontId="29" fillId="0" borderId="38" xfId="6" applyFont="1" applyBorder="1" applyAlignment="1">
      <alignment vertical="center" wrapText="1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F620DB-C828-444F-8BB4-59EB2C8309C8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5" zoomScale="85" zoomScaleNormal="85" workbookViewId="0">
      <selection activeCell="F24" sqref="F24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66" t="s">
        <v>6</v>
      </c>
      <c r="B2" s="166"/>
      <c r="C2" s="166"/>
      <c r="D2" s="166"/>
      <c r="E2" s="166"/>
      <c r="F2" s="166"/>
      <c r="G2" s="166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72" t="s">
        <v>145</v>
      </c>
      <c r="B7" s="173"/>
      <c r="C7" s="174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9" t="s">
        <v>146</v>
      </c>
      <c r="B9" s="170"/>
      <c r="C9" s="171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67"/>
      <c r="B11" s="168"/>
      <c r="C11" s="168"/>
      <c r="D11" s="5"/>
      <c r="E11" s="17"/>
      <c r="F11" s="18" t="s">
        <v>40</v>
      </c>
      <c r="G11" s="19" t="s">
        <v>58</v>
      </c>
      <c r="H11" s="17"/>
    </row>
    <row r="12" spans="1:9" ht="18.75" thickBot="1">
      <c r="A12" s="20" t="s">
        <v>7</v>
      </c>
      <c r="B12" s="20" t="str">
        <f>NUMBERSTRING(F31,1)</f>
        <v>구십구만팔천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'내역서(표준단가)'!O14</f>
        <v>197692.12839999999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'내역서(표준단가)'!Q14</f>
        <v>651411.08788899996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'내역서(표준단가)'!S14+'내역서(표준단가)'!U14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849103.21628899989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29313.498955004998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23092.523065665049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2990.4817370036239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6579.2519876788992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23190.234728848398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124</v>
      </c>
      <c r="D26" s="33">
        <v>1</v>
      </c>
      <c r="E26" s="33" t="s">
        <v>25</v>
      </c>
      <c r="F26" s="46">
        <f>(F16+F17)*3.11%</f>
        <v>26407.110026587896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38149.209419489445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149722.30992027832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998825.52620927827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998000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E1:Y20"/>
  <sheetViews>
    <sheetView showGridLines="0" topLeftCell="E1" zoomScale="90" zoomScaleNormal="90" workbookViewId="0">
      <selection activeCell="J11" sqref="J11"/>
    </sheetView>
  </sheetViews>
  <sheetFormatPr defaultColWidth="9" defaultRowHeight="12.75"/>
  <cols>
    <col min="1" max="4" width="0" style="84" hidden="1" customWidth="1"/>
    <col min="5" max="5" width="17.5" style="105" bestFit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6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5:25" ht="19.899999999999999" customHeight="1">
      <c r="E1" s="175"/>
      <c r="F1" s="175"/>
      <c r="G1" s="175"/>
      <c r="H1" s="175"/>
      <c r="I1" s="175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5:25" ht="19.899999999999999" customHeight="1" thickBot="1">
      <c r="E2" s="175"/>
      <c r="F2" s="175"/>
      <c r="G2" s="175"/>
      <c r="H2" s="175"/>
      <c r="I2" s="175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5:25" ht="19.899999999999999" customHeight="1">
      <c r="E3" s="88"/>
      <c r="F3" s="88" t="s">
        <v>85</v>
      </c>
      <c r="G3" s="89"/>
      <c r="H3" s="89"/>
      <c r="I3" s="89"/>
      <c r="J3" s="184" t="s">
        <v>86</v>
      </c>
      <c r="K3" s="184"/>
      <c r="L3" s="184" t="s">
        <v>47</v>
      </c>
      <c r="M3" s="184" t="s">
        <v>5</v>
      </c>
      <c r="N3" s="180" t="s">
        <v>87</v>
      </c>
      <c r="O3" s="180"/>
      <c r="P3" s="180" t="s">
        <v>88</v>
      </c>
      <c r="Q3" s="180"/>
      <c r="R3" s="181" t="s">
        <v>89</v>
      </c>
      <c r="S3" s="181"/>
      <c r="T3" s="181" t="s">
        <v>90</v>
      </c>
      <c r="U3" s="181"/>
      <c r="V3" s="182" t="s">
        <v>91</v>
      </c>
      <c r="W3" s="178" t="s">
        <v>92</v>
      </c>
      <c r="X3" s="176" t="s">
        <v>45</v>
      </c>
    </row>
    <row r="4" spans="5:25" ht="19.899999999999999" customHeight="1">
      <c r="E4" s="90" t="s">
        <v>93</v>
      </c>
      <c r="F4" s="91" t="s">
        <v>94</v>
      </c>
      <c r="G4" s="91" t="s">
        <v>95</v>
      </c>
      <c r="H4" s="91" t="s">
        <v>96</v>
      </c>
      <c r="I4" s="91" t="s">
        <v>97</v>
      </c>
      <c r="J4" s="92" t="s">
        <v>98</v>
      </c>
      <c r="K4" s="92" t="s">
        <v>99</v>
      </c>
      <c r="L4" s="185"/>
      <c r="M4" s="185"/>
      <c r="N4" s="93" t="s">
        <v>100</v>
      </c>
      <c r="O4" s="94" t="s">
        <v>101</v>
      </c>
      <c r="P4" s="93" t="s">
        <v>102</v>
      </c>
      <c r="Q4" s="94" t="s">
        <v>101</v>
      </c>
      <c r="R4" s="94" t="s">
        <v>103</v>
      </c>
      <c r="S4" s="94" t="s">
        <v>101</v>
      </c>
      <c r="T4" s="94" t="s">
        <v>103</v>
      </c>
      <c r="U4" s="94" t="s">
        <v>101</v>
      </c>
      <c r="V4" s="183"/>
      <c r="W4" s="179"/>
      <c r="X4" s="177"/>
    </row>
    <row r="5" spans="5:25" s="98" customFormat="1" ht="38.1" customHeight="1">
      <c r="E5" s="95" t="str">
        <f t="shared" ref="E5:E13" si="0">F5&amp;G5&amp;H5&amp;I5</f>
        <v>L002</v>
      </c>
      <c r="F5" s="112"/>
      <c r="G5" s="113"/>
      <c r="H5" s="163"/>
      <c r="I5" s="162" t="s">
        <v>144</v>
      </c>
      <c r="J5" s="164" t="s">
        <v>143</v>
      </c>
      <c r="K5" s="114" t="s">
        <v>141</v>
      </c>
      <c r="L5" s="115" t="s">
        <v>142</v>
      </c>
      <c r="M5" s="116">
        <v>1</v>
      </c>
      <c r="N5" s="117"/>
      <c r="O5" s="118">
        <f t="shared" ref="O5:O13" si="1">SUM(N5:N5)*M5*$O$2</f>
        <v>0</v>
      </c>
      <c r="P5" s="119">
        <v>167081</v>
      </c>
      <c r="Q5" s="118">
        <f>M5*P5</f>
        <v>167081</v>
      </c>
      <c r="R5" s="120"/>
      <c r="S5" s="118">
        <f t="shared" ref="S5:S12" si="2">R5*M5*$S$2</f>
        <v>0</v>
      </c>
      <c r="T5" s="120"/>
      <c r="U5" s="118">
        <f t="shared" ref="U5:U13" si="3">T5*M5*$U$2</f>
        <v>0</v>
      </c>
      <c r="V5" s="121">
        <f t="shared" ref="V5:V13" si="4">SUM(O5+Q5)+S5+U5</f>
        <v>167081</v>
      </c>
      <c r="W5" s="122"/>
      <c r="X5" s="123"/>
    </row>
    <row r="6" spans="5:25" s="98" customFormat="1" ht="38.1" customHeight="1">
      <c r="E6" s="95" t="str">
        <f t="shared" si="0"/>
        <v>M020750510120102</v>
      </c>
      <c r="F6" s="124"/>
      <c r="G6" s="91"/>
      <c r="H6" s="113" t="s">
        <v>104</v>
      </c>
      <c r="I6" s="165"/>
      <c r="J6" s="114" t="s">
        <v>105</v>
      </c>
      <c r="K6" s="114" t="s">
        <v>106</v>
      </c>
      <c r="L6" s="115" t="s">
        <v>107</v>
      </c>
      <c r="M6" s="116">
        <v>10</v>
      </c>
      <c r="N6" s="119">
        <v>6400</v>
      </c>
      <c r="O6" s="118">
        <f t="shared" si="1"/>
        <v>53440</v>
      </c>
      <c r="P6" s="125"/>
      <c r="Q6" s="118">
        <f t="shared" ref="Q6:Q12" si="5">(P6*M6)*$Q$2</f>
        <v>0</v>
      </c>
      <c r="R6" s="120"/>
      <c r="S6" s="118">
        <f t="shared" si="2"/>
        <v>0</v>
      </c>
      <c r="T6" s="120"/>
      <c r="U6" s="118">
        <f t="shared" si="3"/>
        <v>0</v>
      </c>
      <c r="V6" s="126">
        <f t="shared" si="4"/>
        <v>53440</v>
      </c>
      <c r="W6" s="122"/>
      <c r="X6" s="123"/>
    </row>
    <row r="7" spans="5:25" s="98" customFormat="1" ht="38.1" customHeight="1">
      <c r="E7" s="95" t="str">
        <f t="shared" si="0"/>
        <v>E00000803066520103</v>
      </c>
      <c r="F7" s="112"/>
      <c r="G7" s="127" t="s">
        <v>108</v>
      </c>
      <c r="H7" s="113"/>
      <c r="I7" s="112"/>
      <c r="J7" s="114" t="s">
        <v>109</v>
      </c>
      <c r="K7" s="114" t="s">
        <v>135</v>
      </c>
      <c r="L7" s="128" t="s">
        <v>110</v>
      </c>
      <c r="M7" s="116">
        <v>0.66600000000000004</v>
      </c>
      <c r="N7" s="129"/>
      <c r="O7" s="118">
        <f t="shared" si="1"/>
        <v>0</v>
      </c>
      <c r="P7" s="119">
        <v>652621</v>
      </c>
      <c r="Q7" s="118">
        <f t="shared" si="5"/>
        <v>362929.06430999999</v>
      </c>
      <c r="R7" s="120"/>
      <c r="S7" s="118">
        <f t="shared" si="2"/>
        <v>0</v>
      </c>
      <c r="T7" s="120"/>
      <c r="U7" s="118">
        <f t="shared" si="3"/>
        <v>0</v>
      </c>
      <c r="V7" s="121">
        <f t="shared" si="4"/>
        <v>362929.06430999999</v>
      </c>
      <c r="W7" s="122"/>
      <c r="X7" s="123"/>
    </row>
    <row r="8" spans="5:25" s="98" customFormat="1" ht="38.1" customHeight="1">
      <c r="E8" s="95" t="str">
        <f t="shared" si="0"/>
        <v>M020531910380101</v>
      </c>
      <c r="F8" s="124"/>
      <c r="G8" s="91"/>
      <c r="H8" s="113" t="s">
        <v>111</v>
      </c>
      <c r="I8" s="91"/>
      <c r="J8" s="114" t="s">
        <v>112</v>
      </c>
      <c r="K8" s="114" t="s">
        <v>113</v>
      </c>
      <c r="L8" s="115" t="s">
        <v>60</v>
      </c>
      <c r="M8" s="116">
        <v>10</v>
      </c>
      <c r="N8" s="129">
        <v>3510</v>
      </c>
      <c r="O8" s="118">
        <f t="shared" si="1"/>
        <v>29308.5</v>
      </c>
      <c r="P8" s="125"/>
      <c r="Q8" s="118">
        <f t="shared" si="5"/>
        <v>0</v>
      </c>
      <c r="R8" s="120"/>
      <c r="S8" s="118">
        <f t="shared" si="2"/>
        <v>0</v>
      </c>
      <c r="T8" s="120"/>
      <c r="U8" s="118">
        <f t="shared" si="3"/>
        <v>0</v>
      </c>
      <c r="V8" s="126">
        <f t="shared" si="4"/>
        <v>29308.5</v>
      </c>
      <c r="W8" s="122"/>
      <c r="X8" s="123"/>
    </row>
    <row r="9" spans="5:25" s="98" customFormat="1" ht="38.1" customHeight="1">
      <c r="E9" s="95" t="str">
        <f t="shared" si="0"/>
        <v>E00000803066520502</v>
      </c>
      <c r="F9" s="124"/>
      <c r="G9" s="113" t="s">
        <v>114</v>
      </c>
      <c r="H9" s="91"/>
      <c r="I9" s="91"/>
      <c r="J9" s="114" t="s">
        <v>115</v>
      </c>
      <c r="K9" s="114" t="s">
        <v>138</v>
      </c>
      <c r="L9" s="115" t="s">
        <v>110</v>
      </c>
      <c r="M9" s="116">
        <v>6.0600000000000001E-2</v>
      </c>
      <c r="N9" s="117"/>
      <c r="O9" s="118">
        <f t="shared" si="1"/>
        <v>0</v>
      </c>
      <c r="P9" s="119">
        <v>652621</v>
      </c>
      <c r="Q9" s="118">
        <f t="shared" si="5"/>
        <v>33023.275221000004</v>
      </c>
      <c r="R9" s="120"/>
      <c r="S9" s="118">
        <f t="shared" si="2"/>
        <v>0</v>
      </c>
      <c r="T9" s="120"/>
      <c r="U9" s="118">
        <f t="shared" si="3"/>
        <v>0</v>
      </c>
      <c r="V9" s="126">
        <f t="shared" si="4"/>
        <v>33023.275221000004</v>
      </c>
      <c r="W9" s="122"/>
      <c r="X9" s="123"/>
    </row>
    <row r="10" spans="5:25" s="98" customFormat="1" ht="38.1" customHeight="1">
      <c r="E10" s="95" t="str">
        <f t="shared" si="0"/>
        <v>M020750510130102</v>
      </c>
      <c r="F10" s="124"/>
      <c r="G10" s="91"/>
      <c r="H10" s="113" t="s">
        <v>116</v>
      </c>
      <c r="I10" s="91"/>
      <c r="J10" s="114" t="s">
        <v>117</v>
      </c>
      <c r="K10" s="114" t="s">
        <v>118</v>
      </c>
      <c r="L10" s="115" t="s">
        <v>107</v>
      </c>
      <c r="M10" s="116">
        <v>10</v>
      </c>
      <c r="N10" s="119">
        <v>8000</v>
      </c>
      <c r="O10" s="118">
        <f t="shared" si="1"/>
        <v>66800</v>
      </c>
      <c r="P10" s="125"/>
      <c r="Q10" s="118">
        <f t="shared" si="5"/>
        <v>0</v>
      </c>
      <c r="R10" s="120"/>
      <c r="S10" s="118">
        <f t="shared" si="2"/>
        <v>0</v>
      </c>
      <c r="T10" s="120"/>
      <c r="U10" s="118">
        <f t="shared" si="3"/>
        <v>0</v>
      </c>
      <c r="V10" s="96">
        <f t="shared" si="4"/>
        <v>66800</v>
      </c>
      <c r="W10" s="122"/>
      <c r="X10" s="97"/>
    </row>
    <row r="11" spans="5:25" s="98" customFormat="1" ht="38.1" customHeight="1">
      <c r="E11" s="95" t="str">
        <f t="shared" si="0"/>
        <v>M020853710050101</v>
      </c>
      <c r="F11" s="112"/>
      <c r="G11" s="113"/>
      <c r="H11" s="113" t="s">
        <v>128</v>
      </c>
      <c r="I11" s="112"/>
      <c r="J11" s="114" t="s">
        <v>129</v>
      </c>
      <c r="K11" s="114" t="s">
        <v>133</v>
      </c>
      <c r="L11" s="115" t="s">
        <v>130</v>
      </c>
      <c r="M11" s="116">
        <v>0.60560000000000003</v>
      </c>
      <c r="N11" s="119">
        <v>20900</v>
      </c>
      <c r="O11" s="118">
        <f t="shared" si="1"/>
        <v>10568.6284</v>
      </c>
      <c r="P11" s="125"/>
      <c r="Q11" s="118">
        <f t="shared" si="5"/>
        <v>0</v>
      </c>
      <c r="R11" s="120"/>
      <c r="S11" s="118">
        <f t="shared" si="2"/>
        <v>0</v>
      </c>
      <c r="T11" s="120"/>
      <c r="U11" s="118">
        <f t="shared" si="3"/>
        <v>0</v>
      </c>
      <c r="V11" s="158">
        <f t="shared" si="4"/>
        <v>10568.6284</v>
      </c>
      <c r="W11" s="159"/>
      <c r="X11" s="97"/>
    </row>
    <row r="12" spans="5:25" s="98" customFormat="1" ht="38.1" customHeight="1">
      <c r="E12" s="95" t="str">
        <f t="shared" si="0"/>
        <v>E00000803071260301</v>
      </c>
      <c r="F12" s="112"/>
      <c r="G12" s="113" t="s">
        <v>131</v>
      </c>
      <c r="H12" s="113"/>
      <c r="I12" s="112"/>
      <c r="J12" s="114" t="s">
        <v>132</v>
      </c>
      <c r="K12" s="114" t="s">
        <v>134</v>
      </c>
      <c r="L12" s="128" t="s">
        <v>110</v>
      </c>
      <c r="M12" s="116">
        <v>0.21729999999999999</v>
      </c>
      <c r="N12" s="117"/>
      <c r="O12" s="118">
        <f t="shared" si="1"/>
        <v>0</v>
      </c>
      <c r="P12" s="125">
        <v>487076</v>
      </c>
      <c r="Q12" s="118">
        <f t="shared" si="5"/>
        <v>88377.748357999997</v>
      </c>
      <c r="R12" s="120"/>
      <c r="S12" s="118">
        <f t="shared" si="2"/>
        <v>0</v>
      </c>
      <c r="T12" s="120"/>
      <c r="U12" s="118">
        <f t="shared" si="3"/>
        <v>0</v>
      </c>
      <c r="V12" s="158">
        <f t="shared" si="4"/>
        <v>88377.748357999997</v>
      </c>
      <c r="W12" s="160"/>
      <c r="X12" s="97"/>
      <c r="Y12" s="161"/>
    </row>
    <row r="13" spans="5:25" s="98" customFormat="1" ht="38.1" customHeight="1">
      <c r="E13" s="95" t="str">
        <f t="shared" si="0"/>
        <v>M020806810430101</v>
      </c>
      <c r="F13" s="130"/>
      <c r="G13" s="131"/>
      <c r="H13" s="113" t="s">
        <v>119</v>
      </c>
      <c r="I13" s="132"/>
      <c r="J13" s="114" t="s">
        <v>120</v>
      </c>
      <c r="K13" s="114" t="s">
        <v>121</v>
      </c>
      <c r="L13" s="133" t="s">
        <v>59</v>
      </c>
      <c r="M13" s="116">
        <v>0.3</v>
      </c>
      <c r="N13" s="129">
        <v>150000</v>
      </c>
      <c r="O13" s="118">
        <f t="shared" si="1"/>
        <v>37575</v>
      </c>
      <c r="P13" s="125"/>
      <c r="Q13" s="118"/>
      <c r="R13" s="120"/>
      <c r="S13" s="118"/>
      <c r="T13" s="129"/>
      <c r="U13" s="118">
        <f t="shared" si="3"/>
        <v>0</v>
      </c>
      <c r="V13" s="121">
        <f t="shared" si="4"/>
        <v>37575</v>
      </c>
      <c r="W13" s="122"/>
      <c r="X13" s="123"/>
    </row>
    <row r="14" spans="5:25" s="100" customFormat="1" ht="19.899999999999999" customHeight="1">
      <c r="E14" s="99"/>
      <c r="O14" s="101">
        <f>SUM(O5:O13)</f>
        <v>197692.12839999999</v>
      </c>
      <c r="P14" s="102"/>
      <c r="Q14" s="101">
        <f>SUM(Q5:Q13)</f>
        <v>651411.08788899996</v>
      </c>
      <c r="R14" s="102"/>
      <c r="S14" s="101">
        <f>SUM(S5:S13)</f>
        <v>0</v>
      </c>
      <c r="T14" s="102"/>
      <c r="U14" s="101">
        <f>SUM(U5:U13)</f>
        <v>0</v>
      </c>
      <c r="V14" s="103">
        <f>SUM(V5:V13)</f>
        <v>849103.216289</v>
      </c>
      <c r="W14" s="104"/>
    </row>
    <row r="17" spans="13:13">
      <c r="M17" s="111"/>
    </row>
    <row r="18" spans="13:13">
      <c r="M18" s="111"/>
    </row>
    <row r="19" spans="13:13">
      <c r="M19" s="111"/>
    </row>
    <row r="20" spans="13:13">
      <c r="M20" s="111"/>
    </row>
  </sheetData>
  <mergeCells count="12">
    <mergeCell ref="E1:I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13"/>
  <sheetViews>
    <sheetView zoomScaleNormal="100" workbookViewId="0">
      <selection activeCell="I24" sqref="I24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>
      <c r="A1" s="189" t="s">
        <v>61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5" s="68" customFormat="1" ht="20.100000000000001" customHeight="1">
      <c r="A2" s="190" t="s">
        <v>62</v>
      </c>
      <c r="B2" s="190" t="s">
        <v>63</v>
      </c>
      <c r="C2" s="191" t="s">
        <v>47</v>
      </c>
      <c r="D2" s="191" t="s">
        <v>64</v>
      </c>
      <c r="E2" s="193" t="s">
        <v>65</v>
      </c>
      <c r="F2" s="190"/>
      <c r="G2" s="194" t="s">
        <v>66</v>
      </c>
      <c r="H2" s="195"/>
      <c r="I2" s="196" t="s">
        <v>67</v>
      </c>
      <c r="J2" s="195"/>
      <c r="K2" s="196" t="s">
        <v>68</v>
      </c>
      <c r="L2" s="195"/>
      <c r="M2" s="196" t="s">
        <v>69</v>
      </c>
      <c r="N2" s="197"/>
    </row>
    <row r="3" spans="1:15" s="68" customFormat="1" ht="20.100000000000001" customHeight="1">
      <c r="A3" s="190"/>
      <c r="B3" s="190"/>
      <c r="C3" s="192"/>
      <c r="D3" s="19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>
      <c r="A4" s="186" t="s">
        <v>147</v>
      </c>
      <c r="B4" s="187"/>
      <c r="C4" s="187"/>
      <c r="D4" s="187"/>
      <c r="E4" s="187"/>
      <c r="F4" s="188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2" customFormat="1" ht="20.100000000000001" customHeight="1">
      <c r="A5" s="134" t="s">
        <v>122</v>
      </c>
      <c r="B5" s="135" t="s">
        <v>139</v>
      </c>
      <c r="C5" s="136" t="s">
        <v>140</v>
      </c>
      <c r="D5" s="153">
        <v>1</v>
      </c>
      <c r="E5" s="137"/>
      <c r="F5" s="138">
        <f t="shared" ref="F5:F11" si="0">D5*E5</f>
        <v>0</v>
      </c>
      <c r="G5" s="139">
        <v>167081</v>
      </c>
      <c r="H5" s="137">
        <f>D5*G5</f>
        <v>167081</v>
      </c>
      <c r="I5" s="137"/>
      <c r="J5" s="140"/>
      <c r="K5" s="137"/>
      <c r="L5" s="140"/>
      <c r="M5" s="141"/>
      <c r="N5" s="141">
        <f>F5+H5+J5+L5</f>
        <v>167081</v>
      </c>
    </row>
    <row r="6" spans="1:15" s="142" customFormat="1" ht="20.100000000000001" customHeight="1">
      <c r="A6" s="143" t="s">
        <v>137</v>
      </c>
      <c r="B6" s="110" t="s">
        <v>125</v>
      </c>
      <c r="C6" s="145"/>
      <c r="D6" s="153"/>
      <c r="E6" s="146"/>
      <c r="F6" s="147">
        <f t="shared" si="0"/>
        <v>0</v>
      </c>
      <c r="G6" s="138"/>
      <c r="H6" s="137"/>
      <c r="I6" s="147"/>
      <c r="J6" s="147"/>
      <c r="K6" s="147"/>
      <c r="L6" s="147"/>
      <c r="M6" s="145"/>
      <c r="N6" s="141">
        <f t="shared" ref="N6:N10" si="1">F6+H6+J6+L6</f>
        <v>0</v>
      </c>
    </row>
    <row r="7" spans="1:15" s="142" customFormat="1" ht="20.100000000000001" customHeight="1">
      <c r="A7" s="148" t="s">
        <v>72</v>
      </c>
      <c r="B7" s="144" t="s">
        <v>73</v>
      </c>
      <c r="C7" s="144" t="s">
        <v>74</v>
      </c>
      <c r="D7" s="153">
        <v>10</v>
      </c>
      <c r="E7" s="138">
        <v>5344</v>
      </c>
      <c r="F7" s="138">
        <f t="shared" si="0"/>
        <v>53440</v>
      </c>
      <c r="G7" s="138"/>
      <c r="H7" s="137"/>
      <c r="I7" s="138"/>
      <c r="J7" s="138"/>
      <c r="K7" s="138"/>
      <c r="L7" s="138"/>
      <c r="M7" s="141"/>
      <c r="N7" s="141">
        <f t="shared" si="1"/>
        <v>53440</v>
      </c>
    </row>
    <row r="8" spans="1:15" s="142" customFormat="1" ht="20.100000000000001" customHeight="1">
      <c r="A8" s="148" t="s">
        <v>75</v>
      </c>
      <c r="B8" s="144" t="s">
        <v>76</v>
      </c>
      <c r="C8" s="144" t="s">
        <v>74</v>
      </c>
      <c r="D8" s="153">
        <v>10</v>
      </c>
      <c r="E8" s="149">
        <v>6680</v>
      </c>
      <c r="F8" s="138">
        <f t="shared" si="0"/>
        <v>66800</v>
      </c>
      <c r="G8" s="138"/>
      <c r="H8" s="137">
        <f t="shared" ref="H8:H11" si="2">D8*G8</f>
        <v>0</v>
      </c>
      <c r="I8" s="138"/>
      <c r="J8" s="138"/>
      <c r="K8" s="138"/>
      <c r="L8" s="138"/>
      <c r="M8" s="141"/>
      <c r="N8" s="141">
        <f t="shared" si="1"/>
        <v>66800</v>
      </c>
    </row>
    <row r="9" spans="1:15" s="142" customFormat="1" ht="20.100000000000001" customHeight="1">
      <c r="A9" s="148" t="s">
        <v>77</v>
      </c>
      <c r="B9" s="150" t="s">
        <v>78</v>
      </c>
      <c r="C9" s="150" t="s">
        <v>74</v>
      </c>
      <c r="D9" s="153">
        <v>20</v>
      </c>
      <c r="E9" s="138"/>
      <c r="F9" s="138">
        <f t="shared" si="0"/>
        <v>0</v>
      </c>
      <c r="G9" s="138">
        <v>18165</v>
      </c>
      <c r="H9" s="137">
        <f t="shared" si="2"/>
        <v>363300</v>
      </c>
      <c r="I9" s="138"/>
      <c r="J9" s="138"/>
      <c r="K9" s="138"/>
      <c r="L9" s="138"/>
      <c r="M9" s="141"/>
      <c r="N9" s="141">
        <f t="shared" si="1"/>
        <v>363300</v>
      </c>
    </row>
    <row r="10" spans="1:15" s="142" customFormat="1" ht="20.100000000000001" customHeight="1">
      <c r="A10" s="148" t="s">
        <v>79</v>
      </c>
      <c r="B10" s="144" t="s">
        <v>80</v>
      </c>
      <c r="C10" s="145" t="s">
        <v>81</v>
      </c>
      <c r="D10" s="153">
        <v>10</v>
      </c>
      <c r="E10" s="149">
        <v>2931</v>
      </c>
      <c r="F10" s="138">
        <f t="shared" si="0"/>
        <v>29310</v>
      </c>
      <c r="G10" s="138">
        <v>3302</v>
      </c>
      <c r="H10" s="137">
        <f t="shared" si="2"/>
        <v>33020</v>
      </c>
      <c r="I10" s="138"/>
      <c r="J10" s="138"/>
      <c r="K10" s="138"/>
      <c r="L10" s="138"/>
      <c r="M10" s="141"/>
      <c r="N10" s="141">
        <f t="shared" si="1"/>
        <v>62330</v>
      </c>
    </row>
    <row r="11" spans="1:15" s="157" customFormat="1" ht="15" customHeight="1">
      <c r="A11" s="148" t="s">
        <v>127</v>
      </c>
      <c r="B11" s="154" t="s">
        <v>126</v>
      </c>
      <c r="C11" s="155" t="s">
        <v>123</v>
      </c>
      <c r="D11" s="156">
        <v>10</v>
      </c>
      <c r="E11" s="137">
        <v>1057</v>
      </c>
      <c r="F11" s="137">
        <f t="shared" si="0"/>
        <v>10570</v>
      </c>
      <c r="G11" s="137">
        <v>8839.9</v>
      </c>
      <c r="H11" s="137">
        <f t="shared" si="2"/>
        <v>88399</v>
      </c>
      <c r="I11" s="137"/>
      <c r="J11" s="137"/>
      <c r="K11" s="137"/>
      <c r="L11" s="137"/>
      <c r="M11" s="137"/>
      <c r="N11" s="137">
        <f>F11+H11+J11+L11</f>
        <v>98969</v>
      </c>
      <c r="O11" s="142"/>
    </row>
    <row r="12" spans="1:15" s="142" customFormat="1" ht="20.100000000000001" customHeight="1">
      <c r="A12" s="143" t="s">
        <v>136</v>
      </c>
      <c r="B12" s="150" t="s">
        <v>82</v>
      </c>
      <c r="C12" s="150" t="s">
        <v>83</v>
      </c>
      <c r="D12" s="151">
        <v>0.3</v>
      </c>
      <c r="E12" s="138">
        <v>125250</v>
      </c>
      <c r="F12" s="138">
        <f t="shared" ref="F12" si="3">D12*E12</f>
        <v>37575</v>
      </c>
      <c r="G12" s="138"/>
      <c r="H12" s="137"/>
      <c r="I12" s="138"/>
      <c r="J12" s="138">
        <f>D12*I12</f>
        <v>0</v>
      </c>
      <c r="K12" s="138"/>
      <c r="L12" s="138"/>
      <c r="M12" s="141"/>
      <c r="N12" s="141">
        <f t="shared" ref="N12" si="4">F12+H12+J12+L12</f>
        <v>37575</v>
      </c>
    </row>
    <row r="13" spans="1:15" s="68" customFormat="1" ht="20.100000000000001" customHeight="1">
      <c r="A13" s="106" t="s">
        <v>69</v>
      </c>
      <c r="B13" s="74"/>
      <c r="C13" s="75"/>
      <c r="D13" s="76"/>
      <c r="E13" s="77"/>
      <c r="F13" s="78">
        <f>SUM(F5:F12)</f>
        <v>197695</v>
      </c>
      <c r="G13" s="77"/>
      <c r="H13" s="78">
        <f>SUM(H5:H12)</f>
        <v>651800</v>
      </c>
      <c r="I13" s="77"/>
      <c r="J13" s="78">
        <f>SUM(J5:J12)</f>
        <v>0</v>
      </c>
      <c r="K13" s="77"/>
      <c r="L13" s="78">
        <f>SUM(L5:L12)</f>
        <v>0</v>
      </c>
      <c r="M13" s="79"/>
      <c r="N13" s="78">
        <f>SUM(N5:N12)</f>
        <v>849495</v>
      </c>
    </row>
  </sheetData>
  <mergeCells count="11">
    <mergeCell ref="A4:F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H23" sqref="G22:H23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7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</row>
    <row r="2" spans="1:6">
      <c r="A2" s="108" t="str">
        <f>'내역서(표준단가)'!E5</f>
        <v>L002</v>
      </c>
      <c r="B2" s="109">
        <f>'내역서(표준단가)'!F5</f>
        <v>0</v>
      </c>
      <c r="C2" s="109">
        <f>'내역서(표준단가)'!G5</f>
        <v>0</v>
      </c>
      <c r="D2" s="109">
        <f>'내역서(표준단가)'!H5</f>
        <v>0</v>
      </c>
      <c r="E2" s="109" t="str">
        <f>'내역서(표준단가)'!I5</f>
        <v>L002</v>
      </c>
      <c r="F2" s="152">
        <f>'내역서(표준단가)'!M5</f>
        <v>1</v>
      </c>
    </row>
    <row r="3" spans="1:6">
      <c r="A3" s="108" t="str">
        <f>'내역서(표준단가)'!E6</f>
        <v>M020750510120102</v>
      </c>
      <c r="B3" s="109">
        <f>'내역서(표준단가)'!F6</f>
        <v>0</v>
      </c>
      <c r="C3" s="109">
        <f>'내역서(표준단가)'!G6</f>
        <v>0</v>
      </c>
      <c r="D3" s="109" t="str">
        <f>'내역서(표준단가)'!H6</f>
        <v>M020750510120102</v>
      </c>
      <c r="E3" s="109">
        <f>'내역서(표준단가)'!I6</f>
        <v>0</v>
      </c>
      <c r="F3" s="152">
        <f>'내역서(표준단가)'!M6</f>
        <v>10</v>
      </c>
    </row>
    <row r="4" spans="1:6">
      <c r="A4" s="108" t="str">
        <f>'내역서(표준단가)'!E7</f>
        <v>E00000803066520103</v>
      </c>
      <c r="B4" s="109">
        <f>'내역서(표준단가)'!F7</f>
        <v>0</v>
      </c>
      <c r="C4" s="109" t="str">
        <f>'내역서(표준단가)'!G7</f>
        <v>E00000803066520103</v>
      </c>
      <c r="D4" s="109">
        <f>'내역서(표준단가)'!H7</f>
        <v>0</v>
      </c>
      <c r="E4" s="109">
        <f>'내역서(표준단가)'!I7</f>
        <v>0</v>
      </c>
      <c r="F4" s="152">
        <f>'내역서(표준단가)'!M7</f>
        <v>0.66600000000000004</v>
      </c>
    </row>
    <row r="5" spans="1:6">
      <c r="A5" s="108" t="str">
        <f>'내역서(표준단가)'!E8</f>
        <v>M020531910380101</v>
      </c>
      <c r="B5" s="109">
        <f>'내역서(표준단가)'!F8</f>
        <v>0</v>
      </c>
      <c r="C5" s="109">
        <f>'내역서(표준단가)'!G8</f>
        <v>0</v>
      </c>
      <c r="D5" s="109" t="str">
        <f>'내역서(표준단가)'!H8</f>
        <v>M020531910380101</v>
      </c>
      <c r="E5" s="109">
        <f>'내역서(표준단가)'!I8</f>
        <v>0</v>
      </c>
      <c r="F5" s="152">
        <f>'내역서(표준단가)'!M8</f>
        <v>10</v>
      </c>
    </row>
    <row r="6" spans="1:6">
      <c r="A6" s="108" t="str">
        <f>'내역서(표준단가)'!E9</f>
        <v>E00000803066520502</v>
      </c>
      <c r="B6" s="109">
        <f>'내역서(표준단가)'!F9</f>
        <v>0</v>
      </c>
      <c r="C6" s="109" t="str">
        <f>'내역서(표준단가)'!G9</f>
        <v>E00000803066520502</v>
      </c>
      <c r="D6" s="109">
        <f>'내역서(표준단가)'!H9</f>
        <v>0</v>
      </c>
      <c r="E6" s="109">
        <f>'내역서(표준단가)'!I9</f>
        <v>0</v>
      </c>
      <c r="F6" s="152">
        <f>'내역서(표준단가)'!M9</f>
        <v>6.0600000000000001E-2</v>
      </c>
    </row>
    <row r="7" spans="1:6">
      <c r="A7" s="108" t="str">
        <f>'내역서(표준단가)'!E10</f>
        <v>M020750510130102</v>
      </c>
      <c r="B7" s="109">
        <f>'내역서(표준단가)'!F10</f>
        <v>0</v>
      </c>
      <c r="C7" s="109">
        <f>'내역서(표준단가)'!G10</f>
        <v>0</v>
      </c>
      <c r="D7" s="109" t="str">
        <f>'내역서(표준단가)'!H10</f>
        <v>M020750510130102</v>
      </c>
      <c r="E7" s="109">
        <f>'내역서(표준단가)'!I10</f>
        <v>0</v>
      </c>
      <c r="F7" s="152">
        <f>'내역서(표준단가)'!M10</f>
        <v>10</v>
      </c>
    </row>
    <row r="8" spans="1:6">
      <c r="A8" s="108" t="str">
        <f>'내역서(표준단가)'!E11</f>
        <v>M020853710050101</v>
      </c>
      <c r="B8" s="109">
        <f>'내역서(표준단가)'!F11</f>
        <v>0</v>
      </c>
      <c r="C8" s="109">
        <f>'내역서(표준단가)'!G11</f>
        <v>0</v>
      </c>
      <c r="D8" s="109" t="str">
        <f>'내역서(표준단가)'!H11</f>
        <v>M020853710050101</v>
      </c>
      <c r="E8" s="109">
        <f>'내역서(표준단가)'!I11</f>
        <v>0</v>
      </c>
      <c r="F8" s="152">
        <f>'내역서(표준단가)'!M11</f>
        <v>0.60560000000000003</v>
      </c>
    </row>
    <row r="9" spans="1:6">
      <c r="A9" s="108" t="str">
        <f>'내역서(표준단가)'!E12</f>
        <v>E00000803071260301</v>
      </c>
      <c r="B9" s="109">
        <f>'내역서(표준단가)'!F12</f>
        <v>0</v>
      </c>
      <c r="C9" s="109" t="str">
        <f>'내역서(표준단가)'!G12</f>
        <v>E00000803071260301</v>
      </c>
      <c r="D9" s="109">
        <f>'내역서(표준단가)'!H12</f>
        <v>0</v>
      </c>
      <c r="E9" s="109">
        <f>'내역서(표준단가)'!I12</f>
        <v>0</v>
      </c>
      <c r="F9" s="152">
        <f>'내역서(표준단가)'!M12</f>
        <v>0.21729999999999999</v>
      </c>
    </row>
    <row r="10" spans="1:6">
      <c r="A10" s="108" t="str">
        <f>'내역서(표준단가)'!E13</f>
        <v>M020806810430101</v>
      </c>
      <c r="B10" s="109">
        <f>'내역서(표준단가)'!F13</f>
        <v>0</v>
      </c>
      <c r="C10" s="109">
        <f>'내역서(표준단가)'!G13</f>
        <v>0</v>
      </c>
      <c r="D10" s="109" t="str">
        <f>'내역서(표준단가)'!H13</f>
        <v>M020806810430101</v>
      </c>
      <c r="E10" s="109">
        <f>'내역서(표준단가)'!I13</f>
        <v>0</v>
      </c>
      <c r="F10" s="152">
        <f>'내역서(표준단가)'!M13</f>
        <v>0.3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2026-01-30T00:23:54Z</dcterms:modified>
</cp:coreProperties>
</file>
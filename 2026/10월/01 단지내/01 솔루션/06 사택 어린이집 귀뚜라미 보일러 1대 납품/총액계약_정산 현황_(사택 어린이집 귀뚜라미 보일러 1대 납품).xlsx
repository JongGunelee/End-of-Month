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5206509F-4976-4829-93ED-B52BB7A9A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어린이집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H3" i="3"/>
  <c r="H2" i="3"/>
</calcChain>
</file>

<file path=xl/sharedStrings.xml><?xml version="1.0" encoding="utf-8"?>
<sst xmlns="http://schemas.openxmlformats.org/spreadsheetml/2006/main" count="20" uniqueCount="20">
  <si>
    <t>PR금액 (A)</t>
  </si>
  <si>
    <t>PO금액 (B)</t>
  </si>
  <si>
    <t>차액 (B-A)</t>
  </si>
  <si>
    <t>100%</t>
  </si>
  <si>
    <t>귀뚜라미보일러</t>
  </si>
  <si>
    <t>NO</t>
  </si>
  <si>
    <t>유지관리번호</t>
  </si>
  <si>
    <t>프로젝트명</t>
  </si>
  <si>
    <t>시공사</t>
  </si>
  <si>
    <t>효율</t>
  </si>
  <si>
    <t>특이사항</t>
  </si>
  <si>
    <t>4570318497</t>
  </si>
  <si>
    <t>사택 어린이집 귀뚜라미 보일러 1대 납품</t>
  </si>
  <si>
    <t>사택 어린이집 2층 조합놀이대 교체</t>
    <phoneticPr fontId="4" type="noConversion"/>
  </si>
  <si>
    <t>일성건축</t>
    <phoneticPr fontId="4" type="noConversion"/>
  </si>
  <si>
    <t>정산 계획</t>
    <phoneticPr fontId="4" type="noConversion"/>
  </si>
  <si>
    <t>10월</t>
    <phoneticPr fontId="4" type="noConversion"/>
  </si>
  <si>
    <t>12월</t>
    <phoneticPr fontId="4" type="noConversion"/>
  </si>
  <si>
    <t>■ 작업은 9월에 완료 되어 현재 운영상 문제 없음이
확인 되어 10월 정산 예정</t>
    <phoneticPr fontId="4" type="noConversion"/>
  </si>
  <si>
    <r>
      <t xml:space="preserve">■ 실제 작업은 10월에 완료 예정이나, 
실제 운영시 문제 발생 대응을 하기 위해서
최종 비용 정산은 12월말 계획함.(하자 2년 체결)
■ '26년 부터 </t>
    </r>
    <r>
      <rPr>
        <b/>
        <sz val="11"/>
        <color rgb="FFFF00FF"/>
        <rFont val="맑은 고딕"/>
        <family val="3"/>
        <charset val="129"/>
        <scheme val="minor"/>
      </rPr>
      <t>PR금액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PO금액</t>
    </r>
    <r>
      <rPr>
        <sz val="11"/>
        <color theme="1"/>
        <rFont val="맑은 고딕"/>
        <family val="2"/>
        <scheme val="minor"/>
      </rPr>
      <t>의 일치 요청으로 대응중 이나
본건은 시공사측에서 금액 투찰시 낮게 투찰한 부분에 대해서
절감이 되어 계약 진행.
** 혼합 견적 작성시 시공사측에 사전 합의를 받고 PR당사안 제출함.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</si>
</sst>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103908</xdr:colOff>
      <xdr:row>4</xdr:row>
      <xdr:rowOff>46757</xdr:rowOff>
    </xdr:from>
    <xdr:to>
      <xdr:col>9</xdr:col>
      <xdr:colOff>4371108</xdr:colOff>
      <xdr:row>38</xdr:row>
      <xdr:rowOff>10829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E24F3ACD-BFB3-B7DC-B94D-F81CCB1FEF4E}"/>
            </a:ext>
          </a:extLst>
        </xdr:cNvPr>
        <xdr:cNvGrpSpPr/>
      </xdr:nvGrpSpPr>
      <xdr:grpSpPr>
        <a:xfrm>
          <a:off x="103908" y="2575212"/>
          <a:ext cx="15333518" cy="7029890"/>
          <a:chOff x="0" y="2452968"/>
          <a:chExt cx="15338612" cy="7203071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824F33D-6160-2E3F-8DE5-1D47C5818B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452968"/>
            <a:ext cx="15338612" cy="6573940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C1E2B0F-9F60-D8E8-54C3-079EA58FB659}"/>
              </a:ext>
            </a:extLst>
          </xdr:cNvPr>
          <xdr:cNvSpPr/>
        </xdr:nvSpPr>
        <xdr:spPr>
          <a:xfrm>
            <a:off x="6984626" y="8125385"/>
            <a:ext cx="1252818" cy="813547"/>
          </a:xfrm>
          <a:prstGeom prst="rect">
            <a:avLst/>
          </a:prstGeom>
          <a:noFill/>
          <a:ln w="38100">
            <a:solidFill>
              <a:srgbClr val="FF00FF"/>
            </a:solidFill>
            <a:prstDash val="sysDash"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8C4109E-0A4D-E975-6125-1B4AEFAB5C70}"/>
              </a:ext>
            </a:extLst>
          </xdr:cNvPr>
          <xdr:cNvSpPr/>
        </xdr:nvSpPr>
        <xdr:spPr>
          <a:xfrm>
            <a:off x="8456519" y="8125385"/>
            <a:ext cx="2853018" cy="813547"/>
          </a:xfrm>
          <a:prstGeom prst="rect">
            <a:avLst/>
          </a:prstGeom>
          <a:noFill/>
          <a:ln w="38100">
            <a:solidFill>
              <a:srgbClr val="FF0000"/>
            </a:solidFill>
            <a:prstDash val="solid"/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B7D2577-E7AA-3052-A933-5725D0260CB1}"/>
              </a:ext>
            </a:extLst>
          </xdr:cNvPr>
          <xdr:cNvSpPr txBox="1"/>
        </xdr:nvSpPr>
        <xdr:spPr>
          <a:xfrm>
            <a:off x="7394201" y="8938932"/>
            <a:ext cx="1259576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600">
                <a:solidFill>
                  <a:srgbClr val="FF00FF"/>
                </a:solidFill>
              </a:rPr>
              <a:t>X  Fee</a:t>
            </a:r>
            <a:r>
              <a:rPr lang="en-US" altLang="ko-KR" sz="1600" baseline="0">
                <a:solidFill>
                  <a:srgbClr val="FF00FF"/>
                </a:solidFill>
              </a:rPr>
              <a:t>(7.5%)</a:t>
            </a:r>
            <a:endParaRPr lang="ko-KR" altLang="en-US" sz="1600">
              <a:solidFill>
                <a:srgbClr val="FF00FF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7611BF3-F5BB-3362-D570-F6EB9BB11246}"/>
              </a:ext>
            </a:extLst>
          </xdr:cNvPr>
          <xdr:cNvSpPr txBox="1"/>
        </xdr:nvSpPr>
        <xdr:spPr>
          <a:xfrm>
            <a:off x="6860801" y="9208994"/>
            <a:ext cx="2271327" cy="447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600">
                <a:solidFill>
                  <a:srgbClr val="FF00FF"/>
                </a:solidFill>
              </a:rPr>
              <a:t>= 33,914,100 (PR</a:t>
            </a:r>
            <a:r>
              <a:rPr lang="ko-KR" altLang="en-US" sz="1600">
                <a:solidFill>
                  <a:srgbClr val="FF00FF"/>
                </a:solidFill>
              </a:rPr>
              <a:t>당사안</a:t>
            </a:r>
            <a:r>
              <a:rPr lang="en-US" altLang="ko-KR" sz="1600">
                <a:solidFill>
                  <a:srgbClr val="FF00FF"/>
                </a:solidFill>
              </a:rPr>
              <a:t>)</a:t>
            </a:r>
            <a:endParaRPr lang="ko-KR" altLang="en-US" sz="1600">
              <a:solidFill>
                <a:srgbClr val="FF00FF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37A4809-A841-EED3-BF20-EF64B4C885BA}"/>
              </a:ext>
            </a:extLst>
          </xdr:cNvPr>
          <xdr:cNvSpPr txBox="1"/>
        </xdr:nvSpPr>
        <xdr:spPr>
          <a:xfrm>
            <a:off x="9656669" y="8938932"/>
            <a:ext cx="1259576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600">
                <a:solidFill>
                  <a:srgbClr val="FF0000"/>
                </a:solidFill>
              </a:rPr>
              <a:t>X  Fee</a:t>
            </a:r>
            <a:r>
              <a:rPr lang="en-US" altLang="ko-KR" sz="1600" baseline="0">
                <a:solidFill>
                  <a:srgbClr val="FF0000"/>
                </a:solidFill>
              </a:rPr>
              <a:t>(7.5%)</a:t>
            </a:r>
            <a:endParaRPr lang="ko-KR" altLang="en-US" sz="1600">
              <a:solidFill>
                <a:srgbClr val="FF0000"/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A0AA423-A074-B876-0334-DA96B3AF819D}"/>
              </a:ext>
            </a:extLst>
          </xdr:cNvPr>
          <xdr:cNvSpPr txBox="1"/>
        </xdr:nvSpPr>
        <xdr:spPr>
          <a:xfrm>
            <a:off x="9285194" y="9208994"/>
            <a:ext cx="2271327" cy="447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600">
                <a:solidFill>
                  <a:srgbClr val="FF0000"/>
                </a:solidFill>
              </a:rPr>
              <a:t>= 33,729,200 (PR</a:t>
            </a:r>
            <a:r>
              <a:rPr lang="ko-KR" altLang="en-US" sz="1600">
                <a:solidFill>
                  <a:srgbClr val="FF0000"/>
                </a:solidFill>
              </a:rPr>
              <a:t>당사안</a:t>
            </a:r>
            <a:r>
              <a:rPr lang="en-US" altLang="ko-KR" sz="1600">
                <a:solidFill>
                  <a:srgbClr val="FF0000"/>
                </a:solidFill>
              </a:rPr>
              <a:t>)</a:t>
            </a:r>
            <a:endParaRPr lang="ko-KR" altLang="en-US" sz="16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</xdr:col>
      <xdr:colOff>81803</xdr:colOff>
      <xdr:row>0</xdr:row>
      <xdr:rowOff>11207</xdr:rowOff>
    </xdr:from>
    <xdr:to>
      <xdr:col>4</xdr:col>
      <xdr:colOff>1334621</xdr:colOff>
      <xdr:row>1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ADAA6A1-DD1A-4D89-A9EE-7DC455A3FB46}"/>
            </a:ext>
          </a:extLst>
        </xdr:cNvPr>
        <xdr:cNvSpPr/>
      </xdr:nvSpPr>
      <xdr:spPr>
        <a:xfrm>
          <a:off x="5146862" y="11207"/>
          <a:ext cx="1252818" cy="369793"/>
        </a:xfrm>
        <a:prstGeom prst="rect">
          <a:avLst/>
        </a:prstGeom>
        <a:noFill/>
        <a:ln w="38100">
          <a:solidFill>
            <a:srgbClr val="FF00FF"/>
          </a:solidFill>
          <a:prstDash val="sysDash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74520</xdr:colOff>
      <xdr:row>0</xdr:row>
      <xdr:rowOff>6165</xdr:rowOff>
    </xdr:from>
    <xdr:to>
      <xdr:col>5</xdr:col>
      <xdr:colOff>1311089</xdr:colOff>
      <xdr:row>0</xdr:row>
      <xdr:rowOff>369795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80D1519-DCF2-404B-8681-5D9BCCE5441C}"/>
            </a:ext>
          </a:extLst>
        </xdr:cNvPr>
        <xdr:cNvSpPr/>
      </xdr:nvSpPr>
      <xdr:spPr>
        <a:xfrm>
          <a:off x="6506696" y="6165"/>
          <a:ext cx="1236569" cy="363630"/>
        </a:xfrm>
        <a:prstGeom prst="rect">
          <a:avLst/>
        </a:prstGeom>
        <a:noFill/>
        <a:ln w="38100">
          <a:solidFill>
            <a:srgbClr val="FF0000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47A450-F912-4D66-A4F7-2D2C8DC882FC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abSelected="1" zoomScale="55" zoomScaleNormal="55" workbookViewId="0">
      <pane ySplit="1" topLeftCell="A2" activePane="bottomLeft" state="frozen"/>
      <selection pane="bottomLeft" activeCell="O31" sqref="O31"/>
    </sheetView>
  </sheetViews>
  <sheetFormatPr defaultRowHeight="16.5" x14ac:dyDescent="0.3"/>
  <cols>
    <col min="1" max="1" width="5" customWidth="1"/>
    <col min="2" max="2" width="9.875" bestFit="1" customWidth="1"/>
    <col min="3" max="3" width="13.25" bestFit="1" customWidth="1"/>
    <col min="4" max="4" width="38.375" bestFit="1" customWidth="1"/>
    <col min="5" max="6" width="18" customWidth="1"/>
    <col min="7" max="7" width="15" customWidth="1"/>
    <col min="8" max="8" width="18" customWidth="1"/>
    <col min="9" max="9" width="10" customWidth="1"/>
    <col min="10" max="10" width="59.875" customWidth="1"/>
  </cols>
  <sheetData>
    <row r="1" spans="1:10" s="8" customFormat="1" ht="30" customHeight="1" x14ac:dyDescent="0.3">
      <c r="A1" s="9" t="s">
        <v>5</v>
      </c>
      <c r="B1" s="10" t="s">
        <v>15</v>
      </c>
      <c r="C1" s="9" t="s">
        <v>6</v>
      </c>
      <c r="D1" s="9" t="s">
        <v>7</v>
      </c>
      <c r="E1" s="11" t="s">
        <v>0</v>
      </c>
      <c r="F1" s="12" t="s">
        <v>1</v>
      </c>
      <c r="G1" s="9" t="s">
        <v>8</v>
      </c>
      <c r="H1" s="9" t="s">
        <v>2</v>
      </c>
      <c r="I1" s="9" t="s">
        <v>9</v>
      </c>
      <c r="J1" s="9" t="s">
        <v>10</v>
      </c>
    </row>
    <row r="2" spans="1:10" s="1" customFormat="1" ht="36.75" customHeight="1" x14ac:dyDescent="0.3">
      <c r="A2" s="2">
        <v>1</v>
      </c>
      <c r="B2" s="2" t="s">
        <v>16</v>
      </c>
      <c r="C2" s="3" t="s">
        <v>11</v>
      </c>
      <c r="D2" s="1" t="s">
        <v>12</v>
      </c>
      <c r="E2" s="4">
        <v>2956250</v>
      </c>
      <c r="F2" s="4">
        <v>2956250</v>
      </c>
      <c r="G2" s="1" t="s">
        <v>4</v>
      </c>
      <c r="H2" s="5">
        <f>F2-E2</f>
        <v>0</v>
      </c>
      <c r="I2" s="2" t="s">
        <v>3</v>
      </c>
      <c r="J2" s="7" t="s">
        <v>18</v>
      </c>
    </row>
    <row r="3" spans="1:10" s="1" customFormat="1" ht="115.5" x14ac:dyDescent="0.3">
      <c r="A3" s="2">
        <v>2</v>
      </c>
      <c r="B3" s="2" t="s">
        <v>17</v>
      </c>
      <c r="C3" s="3">
        <v>4570336009</v>
      </c>
      <c r="D3" s="1" t="s">
        <v>13</v>
      </c>
      <c r="E3" s="4">
        <v>33914100</v>
      </c>
      <c r="F3" s="4">
        <v>33729200</v>
      </c>
      <c r="G3" s="1" t="s">
        <v>14</v>
      </c>
      <c r="H3" s="5">
        <f>F3-E3</f>
        <v>-184900</v>
      </c>
      <c r="I3" s="6">
        <f>F3/E3</f>
        <v>0.99454799036388997</v>
      </c>
      <c r="J3" s="7" t="s">
        <v>19</v>
      </c>
    </row>
  </sheetData>
  <phoneticPr fontId="4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어린이집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2026-10-16T02:44:46Z</dcterms:created>
  <dcterms:modified xsi:type="dcterms:W3CDTF">2026-10-16T03:38:58Z</dcterms:modified>
  <cp:category/>
</cp:coreProperties>
</file>
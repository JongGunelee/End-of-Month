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7월\01 솔루션\33 사택 2-306 씽크대 상하부장 문짝교체\"/>
    </mc:Choice>
  </mc:AlternateContent>
  <xr:revisionPtr revIDLastSave="0" documentId="13_ncr:1_{393C68F4-9041-485B-AF2C-066F7EF9B8E4}" xr6:coauthVersionLast="47" xr6:coauthVersionMax="47" xr10:uidLastSave="{00000000-0000-0000-0000-000000000000}"/>
  <bookViews>
    <workbookView xWindow="14310" yWindow="0" windowWidth="14490" windowHeight="15480" firstSheet="2" activeTab="3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" sheetId="6" r:id="rId4"/>
    <sheet name="Upload-pps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4" l="1"/>
  <c r="U5" i="4"/>
  <c r="S5" i="4"/>
  <c r="Q5" i="4"/>
  <c r="O5" i="4"/>
  <c r="A5" i="4"/>
  <c r="V5" i="4" l="1"/>
  <c r="F2" i="1"/>
  <c r="E2" i="1"/>
  <c r="D2" i="1"/>
  <c r="C2" i="1"/>
  <c r="B2" i="1"/>
  <c r="A9" i="4" l="1"/>
  <c r="A8" i="4"/>
  <c r="A7" i="4"/>
  <c r="A2" i="1"/>
  <c r="U9" i="4" l="1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V6" i="4" l="1"/>
  <c r="V7" i="4"/>
  <c r="V8" i="4"/>
  <c r="V9" i="4"/>
  <c r="U10" i="4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<sst xmlns="http://schemas.openxmlformats.org/spreadsheetml/2006/main" count="131" uniqueCount="112">
  <si>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</si>
  <si>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</si>
  <si>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</si>
  <si>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</si>
  <si>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</si>
  <si>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</si>
  <si>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3" type="noConversion"/>
  </si>
  <si>
    <t xml:space="preserve">금액: </t>
    <phoneticPr fontId="13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</si>
  <si>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</si>
  <si>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</si>
  <si>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</si>
  <si>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</si>
  <si>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</si>
  <si>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</si>
  <si>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</si>
  <si>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</si>
  <si>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</si>
  <si>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3" type="noConversion"/>
  </si>
  <si>
    <t>재료비</t>
    <phoneticPr fontId="13" type="noConversion"/>
  </si>
  <si>
    <t>노무비</t>
    <phoneticPr fontId="15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</si>
  <si>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</si>
  <si>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</si>
  <si>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</si>
  <si>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15" type="noConversion"/>
  </si>
  <si>
    <t> 노무비*4.5%</t>
    <phoneticPr fontId="15" type="noConversion"/>
  </si>
  <si>
    <t>식</t>
    <phoneticPr fontId="15" type="noConversion"/>
  </si>
  <si>
    <t>모든공사에 적용</t>
    <phoneticPr fontId="15" type="noConversion"/>
  </si>
  <si>
    <t>  건강보험료</t>
    <phoneticPr fontId="15" type="noConversion"/>
  </si>
  <si>
    <t>모든공사에 적용</t>
    <phoneticPr fontId="15" type="noConversion"/>
  </si>
  <si>
    <t>  장기요양보험료</t>
    <phoneticPr fontId="15" type="noConversion"/>
  </si>
  <si>
    <t>  고용보험료</t>
    <phoneticPr fontId="15" type="noConversion"/>
  </si>
  <si>
    <t>  산재보험료</t>
    <phoneticPr fontId="15" type="noConversion"/>
  </si>
  <si>
    <t xml:space="preserve">  산업안전보건관리비</t>
    <phoneticPr fontId="15" type="noConversion"/>
  </si>
  <si>
    <t>소계</t>
    <phoneticPr fontId="13" type="noConversion"/>
  </si>
  <si>
    <t>합계(단수조정)</t>
    <phoneticPr fontId="13" type="noConversion"/>
  </si>
  <si>
    <t>VAT별도</t>
    <phoneticPr fontId="15" type="noConversion"/>
  </si>
  <si>
    <t> (재료비+노무비)*2.93%</t>
    <phoneticPr fontId="15" type="noConversion"/>
  </si>
  <si>
    <t>★ 작성방법</t>
    <phoneticPr fontId="7" type="noConversion"/>
  </si>
  <si>
    <t>일반관리비/이윤</t>
    <phoneticPr fontId="15" type="noConversion"/>
  </si>
  <si>
    <t> (노무비+간접공사비)*5%</t>
    <phoneticPr fontId="15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</si>
  <si>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</si>
  <si>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</si>
  <si>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</si>
  <si>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</si>
  <si>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</si>
  <si>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</si>
  <si>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</si>
  <si>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할증기준</t>
    <phoneticPr fontId="7" type="noConversion"/>
  </si>
  <si>
    <t> 노무비*1.01%</t>
    <phoneticPr fontId="15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</si>
  <si>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</si>
  <si>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</si>
  <si>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</si>
  <si>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</si>
  <si>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</si>
  <si>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</si>
  <si>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</si>
  <si>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</si>
  <si>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</si>
  <si>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</si>
  <si>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</si>
  <si>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</si>
  <si>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</si>
  <si>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</si>
  <si>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</si>
  <si>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</si>
  <si>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</si>
  <si>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3" type="noConversion"/>
  </si>
  <si>
    <t> 노무비*3.545%</t>
    <phoneticPr fontId="15" type="noConversion"/>
  </si>
  <si>
    <t> 건강보험료*12.95%</t>
    <phoneticPr fontId="15" type="noConversion"/>
  </si>
  <si>
    <t> 노무비*3.56%</t>
    <phoneticPr fontId="15" type="noConversion"/>
  </si>
  <si>
    <t>314-86-35718</t>
    <phoneticPr fontId="7" type="noConversion"/>
  </si>
  <si>
    <t>㈜일성건축</t>
    <phoneticPr fontId="7" type="noConversion"/>
  </si>
  <si>
    <t>상 석 희</t>
    <phoneticPr fontId="7" type="noConversion"/>
  </si>
  <si>
    <t>대전 서구 도마6길 107 (도마동)</t>
    <phoneticPr fontId="7" type="noConversion"/>
  </si>
  <si>
    <t>건설업</t>
    <phoneticPr fontId="7" type="noConversion"/>
  </si>
  <si>
    <t>실내건축,인테리어공사</t>
    <phoneticPr fontId="7" type="noConversion"/>
  </si>
  <si>
    <t>042)527-0995, 042)527-0996</t>
    <phoneticPr fontId="7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</si>
  <si>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</si>
  <si>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</si>
  <si>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</si>
  <si>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</si>
  <si>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</si>
  <si>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</si>
  <si>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</si>
  <si>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</si>
  <si>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</si>
  <si>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</si>
  <si>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</si>
  <si>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</si>
  <si>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</si>
  <si>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</si>
  <si>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</si>
  <si>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</si>
  <si>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</si>
  <si>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</si>
  <si>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</si>
  <si>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</si>
  <si>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</si>
  <si>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</si>
  <si>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</si>
  <si>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</si>
  <si>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</si>
  <si>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D02339</t>
  </si>
  <si>
    <t>철근콘크리트조</t>
  </si>
  <si>
    <r>
      <rPr>
        <sz val="10"/>
        <color rgb="FF000000"/>
        <rFont val="맑은 고딕"/>
        <family val="3"/>
        <charset val="129"/>
      </rPr>
      <t>연면적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㎡</t>
    </r>
  </si>
  <si>
    <r>
      <t xml:space="preserve">제 1호표  건축물 현장정리, </t>
    </r>
    <r>
      <rPr>
        <sz val="10"/>
        <color rgb="FFFF0000"/>
        <rFont val="Malgun Gothic"/>
        <family val="3"/>
        <charset val="129"/>
      </rPr>
      <t>폐기물 포함</t>
    </r>
    <phoneticPr fontId="7" type="noConversion"/>
  </si>
  <si>
    <t>영선, 건축</t>
    <phoneticPr fontId="7" type="noConversion"/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</si>
  <si>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</si>
  <si>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</si>
  <si>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</si>
  <si>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 xml:space="preserve"> 견적일 : 2025년  06월  11일</t>
    <phoneticPr fontId="13" type="noConversion"/>
  </si>
  <si>
    <t xml:space="preserve"> 공사명 : 사택 2-306 씽크대 상하부장 문짝 교체-하부측판 1개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</si>
</sst>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##,###,###,##0"/>
    <numFmt numFmtId="186" formatCode="0.0_ "/>
  </numFmts>
  <fonts count="4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rgb="FFFF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20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4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14" fillId="0" borderId="7" xfId="6" applyFont="1" applyBorder="1" applyAlignment="1">
      <alignment horizontal="right" vertical="center"/>
    </xf>
    <xf numFmtId="49" fontId="16" fillId="2" borderId="0" xfId="0" applyNumberFormat="1" applyFont="1" applyFill="1" applyAlignment="1">
      <alignment horizontal="center" vertical="center" wrapText="1"/>
    </xf>
    <xf numFmtId="49" fontId="6" fillId="2" borderId="33" xfId="0" applyNumberFormat="1" applyFont="1" applyFill="1" applyBorder="1" applyAlignment="1">
      <alignment horizontal="center" vertical="center" wrapText="1"/>
    </xf>
    <xf numFmtId="49" fontId="21" fillId="7" borderId="3" xfId="0" applyNumberFormat="1" applyFont="1" applyFill="1" applyBorder="1" applyAlignment="1">
      <alignment horizontal="center" vertical="center" wrapText="1"/>
    </xf>
    <xf numFmtId="185" fontId="6" fillId="5" borderId="3" xfId="0" applyNumberFormat="1" applyFont="1" applyFill="1" applyBorder="1" applyAlignment="1">
      <alignment horizontal="right" vertical="center" wrapText="1"/>
    </xf>
    <xf numFmtId="0" fontId="22" fillId="0" borderId="0" xfId="6" applyFont="1" applyAlignment="1">
      <alignment vertical="center"/>
    </xf>
    <xf numFmtId="0" fontId="23" fillId="0" borderId="0" xfId="3" applyFont="1"/>
    <xf numFmtId="0" fontId="24" fillId="0" borderId="0" xfId="3" applyFont="1"/>
    <xf numFmtId="0" fontId="25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25" fillId="0" borderId="5" xfId="6" applyFont="1" applyBorder="1" applyAlignment="1">
      <alignment horizontal="center" vertical="center"/>
    </xf>
    <xf numFmtId="0" fontId="14" fillId="0" borderId="6" xfId="6" applyFont="1" applyBorder="1" applyAlignment="1">
      <alignment horizontal="right" vertical="center"/>
    </xf>
    <xf numFmtId="0" fontId="14" fillId="5" borderId="25" xfId="6" applyFont="1" applyFill="1" applyBorder="1" applyAlignment="1">
      <alignment horizontal="center" vertical="center"/>
    </xf>
    <xf numFmtId="0" fontId="14" fillId="5" borderId="26" xfId="6" applyFont="1" applyFill="1" applyBorder="1" applyAlignment="1">
      <alignment vertical="center" shrinkToFit="1"/>
    </xf>
    <xf numFmtId="0" fontId="14" fillId="5" borderId="2" xfId="6" applyFont="1" applyFill="1" applyBorder="1" applyAlignment="1">
      <alignment horizontal="center" vertical="center"/>
    </xf>
    <xf numFmtId="0" fontId="14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4" fillId="5" borderId="2" xfId="6" applyFont="1" applyFill="1" applyBorder="1" applyAlignment="1">
      <alignment horizontal="center" vertical="center" shrinkToFit="1"/>
    </xf>
    <xf numFmtId="0" fontId="14" fillId="0" borderId="2" xfId="6" applyFont="1" applyBorder="1" applyAlignment="1">
      <alignment horizontal="center" vertical="center"/>
    </xf>
    <xf numFmtId="0" fontId="14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4" fillId="0" borderId="28" xfId="6" applyFont="1" applyBorder="1" applyAlignment="1">
      <alignment horizontal="center" vertical="center" shrinkToFit="1"/>
    </xf>
    <xf numFmtId="0" fontId="14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4" fillId="0" borderId="8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4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4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4" fillId="8" borderId="15" xfId="6" applyFont="1" applyFill="1" applyBorder="1" applyAlignment="1">
      <alignment vertical="center"/>
    </xf>
    <xf numFmtId="1" fontId="14" fillId="8" borderId="15" xfId="6" applyNumberFormat="1" applyFont="1" applyFill="1" applyBorder="1" applyAlignment="1">
      <alignment horizontal="center" vertical="center"/>
    </xf>
    <xf numFmtId="180" fontId="14" fillId="8" borderId="15" xfId="7" applyFont="1" applyFill="1" applyBorder="1" applyAlignment="1">
      <alignment horizontal="right" vertical="center"/>
    </xf>
    <xf numFmtId="0" fontId="14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4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4" fillId="8" borderId="15" xfId="3" applyNumberFormat="1" applyFont="1" applyFill="1" applyBorder="1" applyAlignment="1">
      <alignment horizontal="right" vertical="center"/>
    </xf>
    <xf numFmtId="1" fontId="14" fillId="8" borderId="15" xfId="9" applyNumberFormat="1" applyFont="1" applyFill="1" applyBorder="1" applyAlignment="1">
      <alignment horizontal="center" vertical="center"/>
    </xf>
    <xf numFmtId="177" fontId="14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4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4" fillId="8" borderId="0" xfId="3" applyNumberFormat="1" applyFont="1" applyFill="1" applyAlignment="1">
      <alignment vertical="center"/>
    </xf>
    <xf numFmtId="0" fontId="14" fillId="0" borderId="17" xfId="6" applyFont="1" applyBorder="1" applyAlignment="1">
      <alignment horizontal="center" vertical="center" textRotation="255"/>
    </xf>
    <xf numFmtId="0" fontId="14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4" fillId="0" borderId="0" xfId="10" applyFont="1"/>
    <xf numFmtId="0" fontId="28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9" fillId="6" borderId="22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 wrapText="1"/>
    </xf>
    <xf numFmtId="0" fontId="29" fillId="0" borderId="3" xfId="0" applyFont="1" applyBorder="1">
      <alignment vertical="center"/>
    </xf>
    <xf numFmtId="177" fontId="29" fillId="6" borderId="3" xfId="1" applyFont="1" applyFill="1" applyBorder="1" applyAlignment="1">
      <alignment horizontal="center" vertical="center" wrapText="1"/>
    </xf>
    <xf numFmtId="177" fontId="29" fillId="0" borderId="3" xfId="1" applyFont="1" applyFill="1" applyBorder="1" applyAlignment="1">
      <alignment horizontal="center" vertical="center" wrapText="1"/>
    </xf>
    <xf numFmtId="183" fontId="29" fillId="5" borderId="3" xfId="1" applyNumberFormat="1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0" xfId="0" applyFont="1">
      <alignment vertical="center"/>
    </xf>
    <xf numFmtId="0" fontId="29" fillId="5" borderId="3" xfId="0" applyFont="1" applyFill="1" applyBorder="1">
      <alignment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184" fontId="21" fillId="5" borderId="3" xfId="0" applyNumberFormat="1" applyFont="1" applyFill="1" applyBorder="1" applyAlignment="1">
      <alignment horizontal="right" vertical="center" wrapText="1"/>
    </xf>
    <xf numFmtId="183" fontId="33" fillId="0" borderId="3" xfId="1" applyNumberFormat="1" applyFont="1" applyFill="1" applyBorder="1" applyAlignment="1">
      <alignment horizontal="center" vertical="center"/>
    </xf>
    <xf numFmtId="0" fontId="33" fillId="0" borderId="3" xfId="3" applyFont="1" applyBorder="1" applyAlignment="1">
      <alignment horizontal="left" vertical="center" shrinkToFit="1"/>
    </xf>
    <xf numFmtId="0" fontId="34" fillId="0" borderId="3" xfId="3" applyFont="1" applyBorder="1" applyAlignment="1">
      <alignment horizontal="center" vertical="center"/>
    </xf>
    <xf numFmtId="9" fontId="33" fillId="0" borderId="3" xfId="0" applyNumberFormat="1" applyFont="1" applyBorder="1" applyAlignment="1">
      <alignment horizontal="center" vertical="center"/>
    </xf>
    <xf numFmtId="0" fontId="35" fillId="10" borderId="0" xfId="0" applyFont="1" applyFill="1">
      <alignment vertical="center"/>
    </xf>
    <xf numFmtId="0" fontId="35" fillId="0" borderId="0" xfId="0" applyFont="1">
      <alignment vertical="center"/>
    </xf>
    <xf numFmtId="177" fontId="36" fillId="10" borderId="0" xfId="0" applyNumberFormat="1" applyFont="1" applyFill="1">
      <alignment vertical="center"/>
    </xf>
    <xf numFmtId="0" fontId="36" fillId="0" borderId="0" xfId="0" applyFont="1">
      <alignment vertical="center"/>
    </xf>
    <xf numFmtId="177" fontId="36" fillId="0" borderId="0" xfId="0" applyNumberFormat="1" applyFont="1">
      <alignment vertical="center"/>
    </xf>
    <xf numFmtId="0" fontId="35" fillId="0" borderId="0" xfId="0" applyFont="1" applyAlignment="1">
      <alignment horizontal="center" vertical="center"/>
    </xf>
    <xf numFmtId="0" fontId="28" fillId="5" borderId="0" xfId="0" applyFont="1" applyFill="1">
      <alignment vertical="center"/>
    </xf>
    <xf numFmtId="177" fontId="29" fillId="0" borderId="0" xfId="0" applyNumberFormat="1" applyFont="1">
      <alignment vertical="center"/>
    </xf>
    <xf numFmtId="0" fontId="37" fillId="0" borderId="0" xfId="0" applyFont="1">
      <alignment vertical="center"/>
    </xf>
    <xf numFmtId="181" fontId="25" fillId="7" borderId="1" xfId="1" applyNumberFormat="1" applyFont="1" applyFill="1" applyBorder="1" applyAlignment="1">
      <alignment horizontal="center" vertical="center"/>
    </xf>
    <xf numFmtId="181" fontId="25" fillId="0" borderId="1" xfId="1" applyNumberFormat="1" applyFont="1" applyBorder="1" applyAlignment="1">
      <alignment horizontal="center" vertical="center"/>
    </xf>
    <xf numFmtId="181" fontId="25" fillId="0" borderId="0" xfId="1" applyNumberFormat="1" applyFont="1" applyAlignment="1">
      <alignment horizontal="center" vertical="center"/>
    </xf>
    <xf numFmtId="177" fontId="29" fillId="5" borderId="3" xfId="1" applyFont="1" applyFill="1" applyBorder="1" applyAlignment="1">
      <alignment horizontal="center" vertical="center"/>
    </xf>
    <xf numFmtId="0" fontId="1" fillId="0" borderId="0" xfId="19">
      <alignment vertical="center"/>
    </xf>
    <xf numFmtId="0" fontId="40" fillId="0" borderId="0" xfId="19" applyFont="1">
      <alignment vertical="center"/>
    </xf>
    <xf numFmtId="0" fontId="1" fillId="0" borderId="0" xfId="19" applyAlignment="1">
      <alignment horizontal="center" vertical="center"/>
    </xf>
    <xf numFmtId="0" fontId="38" fillId="0" borderId="0" xfId="0" applyFont="1" applyAlignment="1">
      <alignment horizontal="center" vertical="center"/>
    </xf>
    <xf numFmtId="49" fontId="6" fillId="2" borderId="34" xfId="0" applyNumberFormat="1" applyFont="1" applyFill="1" applyBorder="1" applyAlignment="1">
      <alignment horizontal="center" vertical="center" wrapText="1"/>
    </xf>
    <xf numFmtId="186" fontId="37" fillId="0" borderId="0" xfId="0" applyNumberFormat="1" applyFont="1">
      <alignment vertical="center"/>
    </xf>
    <xf numFmtId="0" fontId="37" fillId="0" borderId="0" xfId="0" applyFont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6" xfId="6" applyFont="1" applyBorder="1" applyAlignment="1">
      <alignment vertical="center"/>
    </xf>
    <xf numFmtId="0" fontId="14" fillId="0" borderId="4" xfId="6" applyFont="1" applyBorder="1" applyAlignment="1">
      <alignment vertical="center" wrapText="1"/>
    </xf>
    <xf numFmtId="0" fontId="14" fillId="0" borderId="5" xfId="6" applyFont="1" applyBorder="1" applyAlignment="1">
      <alignment vertical="center" wrapText="1"/>
    </xf>
    <xf numFmtId="0" fontId="14" fillId="0" borderId="6" xfId="6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8" fillId="9" borderId="30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163286</xdr:colOff>
      <xdr:row>7</xdr:row>
      <xdr:rowOff>0</xdr:rowOff>
    </xdr:from>
    <xdr:to>
      <xdr:col>3</xdr:col>
      <xdr:colOff>738268</xdr:colOff>
      <xdr:row>32</xdr:row>
      <xdr:rowOff>54429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5CEF50A-3D9D-C79A-DB5E-BC5BD40A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1524000"/>
          <a:ext cx="3931411" cy="5497286"/>
        </a:xfrm>
        <a:prstGeom prst="rect">
          <a:avLst/>
        </a:prstGeom>
      </xdr:spPr>
    </xdr:pic>
    <xdr:clientData/>
  </xdr:twoCellAnchor>
  <xdr:twoCellAnchor editAs="oneCell">
    <xdr:from>
      <xdr:col>4</xdr:col>
      <xdr:colOff>480787</xdr:colOff>
      <xdr:row>7</xdr:row>
      <xdr:rowOff>18143</xdr:rowOff>
    </xdr:from>
    <xdr:to>
      <xdr:col>8</xdr:col>
      <xdr:colOff>933857</xdr:colOff>
      <xdr:row>32</xdr:row>
      <xdr:rowOff>108857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FDF7B64-F4D8-3C3B-09B6-04E8A0237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2716" y="1542143"/>
          <a:ext cx="3945570" cy="5533571"/>
        </a:xfrm>
        <a:prstGeom prst="rect">
          <a:avLst/>
        </a:prstGeom>
      </xdr:spPr>
    </xdr:pic>
    <xdr:clientData/>
  </xdr:twoCellAnchor>
  <xdr:twoCellAnchor editAs="oneCell">
    <xdr:from>
      <xdr:col>9</xdr:col>
      <xdr:colOff>616858</xdr:colOff>
      <xdr:row>6</xdr:row>
      <xdr:rowOff>190500</xdr:rowOff>
    </xdr:from>
    <xdr:to>
      <xdr:col>14</xdr:col>
      <xdr:colOff>103770</xdr:colOff>
      <xdr:row>32</xdr:row>
      <xdr:rowOff>108857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3898130-C8B4-D783-877B-F5C308281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5429" y="1496786"/>
          <a:ext cx="3968198" cy="5578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4" zoomScale="85" zoomScaleNormal="85" workbookViewId="0">
      <selection activeCell="G23" sqref="G23"/>
    </sheetView>
  </sheetViews>
  <sheetFormatPr defaultColWidth="9" defaultRowHeight="13.5"/>
  <cols>
    <col min="1" max="1" width="9.875" style="8" customWidth="1"/>
    <col min="2" max="2" width="24.25" style="8" customWidth="1"/>
    <col min="3" max="3" width="27" style="8" customWidth="1"/>
    <col min="4" max="5" width="9" style="8"/>
    <col min="6" max="6" width="23.5" style="8" customWidth="1"/>
    <col min="7" max="7" width="44.75" style="8" customWidth="1"/>
    <col min="8" max="8" width="11.25" style="8" customWidth="1"/>
    <col min="9" max="9" width="9" style="8"/>
    <col min="10" max="16384" width="9" style="9"/>
  </cols>
  <sheetData>
    <row r="2" spans="1:9" ht="33">
      <c r="A2" s="124" t="s">
        <v>6</v>
      </c>
      <c r="B2" s="124"/>
      <c r="C2" s="124"/>
      <c r="D2" s="124"/>
      <c r="E2" s="124"/>
      <c r="F2" s="124"/>
      <c r="G2" s="124"/>
      <c r="H2" s="7"/>
    </row>
    <row r="3" spans="1:9" ht="14.25">
      <c r="A3" s="10"/>
      <c r="B3" s="10"/>
      <c r="C3" s="10"/>
      <c r="D3" s="10"/>
      <c r="E3" s="10"/>
      <c r="F3" s="10"/>
      <c r="G3" s="10"/>
      <c r="H3" s="10"/>
    </row>
    <row r="4" spans="1:9" ht="14.25">
      <c r="A4" s="10"/>
      <c r="B4" s="10"/>
      <c r="C4" s="10"/>
      <c r="D4" s="10"/>
      <c r="E4" s="10"/>
      <c r="H4" s="10"/>
    </row>
    <row r="5" spans="1:9" ht="27" customHeight="1">
      <c r="A5" s="11" t="s">
        <v>66</v>
      </c>
      <c r="B5" s="12"/>
      <c r="C5" s="13"/>
      <c r="D5" s="10"/>
      <c r="E5" s="10"/>
      <c r="F5" s="14" t="s">
        <v>40</v>
      </c>
      <c r="G5" s="15" t="s">
        <v>70</v>
      </c>
      <c r="H5" s="10"/>
    </row>
    <row r="6" spans="1:9" ht="27" customHeight="1">
      <c r="A6" s="10"/>
      <c r="B6" s="10"/>
      <c r="C6" s="10"/>
      <c r="D6" s="10"/>
      <c r="E6" s="10"/>
      <c r="F6" s="16" t="s">
        <v>43</v>
      </c>
      <c r="G6" s="17" t="s">
        <v>71</v>
      </c>
      <c r="H6" s="10"/>
    </row>
    <row r="7" spans="1:9" ht="27" customHeight="1">
      <c r="A7" s="130" t="s">
        <v>111</v>
      </c>
      <c r="B7" s="131"/>
      <c r="C7" s="132"/>
      <c r="D7" s="10"/>
      <c r="E7" s="18"/>
      <c r="F7" s="19" t="s">
        <v>44</v>
      </c>
      <c r="G7" s="17" t="s">
        <v>72</v>
      </c>
      <c r="H7" s="10"/>
    </row>
    <row r="8" spans="1:9" ht="27" customHeight="1">
      <c r="A8" s="10"/>
      <c r="B8" s="10"/>
      <c r="C8" s="10"/>
      <c r="D8" s="10"/>
      <c r="E8" s="10"/>
      <c r="F8" s="16" t="s">
        <v>45</v>
      </c>
      <c r="G8" s="17" t="s">
        <v>73</v>
      </c>
      <c r="H8" s="10"/>
    </row>
    <row r="9" spans="1:9" ht="27" customHeight="1">
      <c r="A9" s="127" t="s">
        <v>110</v>
      </c>
      <c r="B9" s="128"/>
      <c r="C9" s="129"/>
      <c r="D9" s="10"/>
      <c r="E9" s="10"/>
      <c r="F9" s="16" t="s">
        <v>46</v>
      </c>
      <c r="G9" s="17" t="s">
        <v>74</v>
      </c>
      <c r="H9" s="10"/>
    </row>
    <row r="10" spans="1:9" ht="27" customHeight="1">
      <c r="A10" s="10"/>
      <c r="B10" s="10"/>
      <c r="C10" s="10"/>
      <c r="D10" s="10"/>
      <c r="E10" s="10"/>
      <c r="F10" s="20" t="s">
        <v>41</v>
      </c>
      <c r="G10" s="21" t="s">
        <v>75</v>
      </c>
      <c r="H10" s="10"/>
      <c r="I10" s="10"/>
    </row>
    <row r="11" spans="1:9" ht="27" customHeight="1">
      <c r="A11" s="125"/>
      <c r="B11" s="126"/>
      <c r="C11" s="126"/>
      <c r="D11" s="10"/>
      <c r="E11" s="22"/>
      <c r="F11" s="23" t="s">
        <v>42</v>
      </c>
      <c r="G11" s="24" t="s">
        <v>76</v>
      </c>
      <c r="H11" s="22"/>
    </row>
    <row r="12" spans="1:9" ht="18.75" thickBot="1">
      <c r="A12" s="25" t="s">
        <v>7</v>
      </c>
      <c r="B12" s="25" t="str">
        <f>NUMBERSTRING(F31,1)</f>
        <v>구십사만칠천</v>
      </c>
      <c r="C12" s="26"/>
      <c r="D12" s="2" t="s">
        <v>8</v>
      </c>
      <c r="E12" s="2" t="s">
        <v>9</v>
      </c>
      <c r="F12" s="2" t="s">
        <v>9</v>
      </c>
      <c r="G12" s="2"/>
      <c r="H12" s="27"/>
    </row>
    <row r="13" spans="1:9" ht="15.75" thickTop="1" thickBot="1">
      <c r="A13" s="10"/>
      <c r="B13" s="10"/>
      <c r="C13" s="10"/>
      <c r="D13" s="10"/>
      <c r="E13" s="10"/>
      <c r="F13" s="10"/>
      <c r="G13" s="10"/>
      <c r="H13" s="27"/>
    </row>
    <row r="14" spans="1:9" ht="33" customHeight="1" thickBot="1">
      <c r="A14" s="28" t="s">
        <v>10</v>
      </c>
      <c r="B14" s="29" t="s">
        <v>11</v>
      </c>
      <c r="C14" s="29" t="s">
        <v>12</v>
      </c>
      <c r="D14" s="29" t="s">
        <v>13</v>
      </c>
      <c r="E14" s="29" t="s">
        <v>14</v>
      </c>
      <c r="F14" s="29" t="s">
        <v>15</v>
      </c>
      <c r="G14" s="30" t="s">
        <v>16</v>
      </c>
      <c r="H14" s="27"/>
    </row>
    <row r="15" spans="1:9" ht="33" customHeight="1" thickTop="1">
      <c r="A15" s="31"/>
      <c r="B15" s="32" t="s">
        <v>17</v>
      </c>
      <c r="C15" s="33"/>
      <c r="D15" s="34"/>
      <c r="E15" s="34"/>
      <c r="F15" s="35"/>
      <c r="G15" s="36"/>
    </row>
    <row r="16" spans="1:9" ht="33" customHeight="1">
      <c r="A16" s="37"/>
      <c r="B16" s="38" t="s">
        <v>18</v>
      </c>
      <c r="C16" s="39"/>
      <c r="D16" s="40"/>
      <c r="E16" s="40"/>
      <c r="F16" s="41">
        <f>'내역서(표준단가)'!O10</f>
        <v>680000</v>
      </c>
      <c r="G16" s="42"/>
    </row>
    <row r="17" spans="1:9" ht="33" customHeight="1">
      <c r="A17" s="37"/>
      <c r="B17" s="38" t="s">
        <v>19</v>
      </c>
      <c r="C17" s="39"/>
      <c r="D17" s="40"/>
      <c r="E17" s="40"/>
      <c r="F17" s="41">
        <f>'내역서(표준단가)'!Q10</f>
        <v>202721.3</v>
      </c>
      <c r="G17" s="43"/>
      <c r="H17" s="9"/>
      <c r="I17" s="9"/>
    </row>
    <row r="18" spans="1:9" ht="33" customHeight="1">
      <c r="A18" s="37"/>
      <c r="B18" s="38" t="s">
        <v>20</v>
      </c>
      <c r="C18" s="39"/>
      <c r="D18" s="40"/>
      <c r="E18" s="40"/>
      <c r="F18" s="41">
        <f>'내역서(표준단가)'!S10+'내역서(표준단가)'!U10</f>
        <v>0</v>
      </c>
      <c r="G18" s="43"/>
      <c r="H18" s="9"/>
      <c r="I18" s="9"/>
    </row>
    <row r="19" spans="1:9" ht="33" customHeight="1">
      <c r="A19" s="37"/>
      <c r="B19" s="44" t="s">
        <v>21</v>
      </c>
      <c r="C19" s="44"/>
      <c r="D19" s="45"/>
      <c r="E19" s="45"/>
      <c r="F19" s="46">
        <f>F16+F17+F18</f>
        <v>882721.3</v>
      </c>
      <c r="G19" s="43"/>
      <c r="H19" s="9"/>
      <c r="I19" s="9"/>
    </row>
    <row r="20" spans="1:9" ht="33" customHeight="1">
      <c r="A20" s="37"/>
      <c r="B20" s="47" t="s">
        <v>22</v>
      </c>
      <c r="C20" s="48"/>
      <c r="D20" s="40"/>
      <c r="E20" s="40"/>
      <c r="F20" s="49"/>
      <c r="G20" s="43"/>
      <c r="H20" s="9"/>
      <c r="I20" s="9"/>
    </row>
    <row r="21" spans="1:9" ht="33" customHeight="1">
      <c r="A21" s="37"/>
      <c r="B21" s="50" t="s">
        <v>23</v>
      </c>
      <c r="C21" s="48" t="s">
        <v>24</v>
      </c>
      <c r="D21" s="38">
        <v>1</v>
      </c>
      <c r="E21" s="38" t="s">
        <v>25</v>
      </c>
      <c r="F21" s="51">
        <f>F17*4.5%</f>
        <v>9122.4584999999988</v>
      </c>
      <c r="G21" s="43" t="s">
        <v>26</v>
      </c>
      <c r="H21" s="9"/>
      <c r="I21" s="9"/>
    </row>
    <row r="22" spans="1:9" ht="33" customHeight="1">
      <c r="A22" s="37"/>
      <c r="B22" s="52" t="s">
        <v>27</v>
      </c>
      <c r="C22" s="53" t="s">
        <v>67</v>
      </c>
      <c r="D22" s="54">
        <v>1</v>
      </c>
      <c r="E22" s="54" t="s">
        <v>25</v>
      </c>
      <c r="F22" s="55">
        <f>F17*3.545%</f>
        <v>7186.4700849999999</v>
      </c>
      <c r="G22" s="56" t="s">
        <v>28</v>
      </c>
      <c r="H22" s="9"/>
      <c r="I22" s="9"/>
    </row>
    <row r="23" spans="1:9" ht="33" customHeight="1">
      <c r="A23" s="37"/>
      <c r="B23" s="50" t="s">
        <v>29</v>
      </c>
      <c r="C23" s="48" t="s">
        <v>68</v>
      </c>
      <c r="D23" s="38">
        <v>1</v>
      </c>
      <c r="E23" s="38" t="s">
        <v>25</v>
      </c>
      <c r="F23" s="51">
        <f>F22*12.95%</f>
        <v>930.64787600750003</v>
      </c>
      <c r="G23" s="43" t="s">
        <v>28</v>
      </c>
      <c r="H23" s="9"/>
      <c r="I23" s="9"/>
    </row>
    <row r="24" spans="1:9" ht="33" customHeight="1">
      <c r="A24" s="37"/>
      <c r="B24" s="50" t="s">
        <v>30</v>
      </c>
      <c r="C24" s="48" t="s">
        <v>48</v>
      </c>
      <c r="D24" s="38">
        <v>1</v>
      </c>
      <c r="E24" s="38" t="s">
        <v>25</v>
      </c>
      <c r="F24" s="51">
        <f>F17*1.01%</f>
        <v>2047.4851299999998</v>
      </c>
      <c r="G24" s="43" t="s">
        <v>28</v>
      </c>
      <c r="H24" s="9"/>
      <c r="I24" s="9"/>
    </row>
    <row r="25" spans="1:9" ht="33" customHeight="1">
      <c r="A25" s="37"/>
      <c r="B25" s="50" t="s">
        <v>31</v>
      </c>
      <c r="C25" s="48" t="s">
        <v>69</v>
      </c>
      <c r="D25" s="38">
        <v>1</v>
      </c>
      <c r="E25" s="38" t="s">
        <v>25</v>
      </c>
      <c r="F25" s="51">
        <f>F17*3.56%</f>
        <v>7216.8782799999999</v>
      </c>
      <c r="G25" s="43" t="s">
        <v>28</v>
      </c>
      <c r="H25" s="9"/>
      <c r="I25" s="9"/>
    </row>
    <row r="26" spans="1:9" ht="33" customHeight="1">
      <c r="A26" s="37"/>
      <c r="B26" s="50" t="s">
        <v>32</v>
      </c>
      <c r="C26" s="57" t="s">
        <v>36</v>
      </c>
      <c r="D26" s="38">
        <v>1</v>
      </c>
      <c r="E26" s="38" t="s">
        <v>25</v>
      </c>
      <c r="F26" s="51">
        <f>(F16+F17)*2.93%</f>
        <v>25863.734090000005</v>
      </c>
      <c r="G26" s="43" t="s">
        <v>26</v>
      </c>
      <c r="H26" s="9"/>
      <c r="I26" s="9"/>
    </row>
    <row r="27" spans="1:9" ht="33" customHeight="1">
      <c r="A27" s="37"/>
      <c r="B27" s="50" t="s">
        <v>38</v>
      </c>
      <c r="C27" s="57" t="s">
        <v>39</v>
      </c>
      <c r="D27" s="38">
        <v>1</v>
      </c>
      <c r="E27" s="38" t="s">
        <v>25</v>
      </c>
      <c r="F27" s="51">
        <f>SUM(F17+F21+F22+F23+F24+F25+F26)*5%</f>
        <v>12754.448698050377</v>
      </c>
      <c r="G27" s="43"/>
      <c r="H27" s="9"/>
      <c r="I27" s="9"/>
    </row>
    <row r="28" spans="1:9" ht="33" customHeight="1">
      <c r="A28" s="37"/>
      <c r="B28" s="44" t="s">
        <v>33</v>
      </c>
      <c r="C28" s="58"/>
      <c r="D28" s="59"/>
      <c r="E28" s="45"/>
      <c r="F28" s="60">
        <f>F21+F22+F23+F24+F25+F26+F27</f>
        <v>65122.122659057881</v>
      </c>
      <c r="G28" s="43"/>
      <c r="H28" s="9"/>
      <c r="I28" s="9"/>
    </row>
    <row r="29" spans="1:9" ht="33" customHeight="1">
      <c r="A29" s="37"/>
      <c r="B29" s="48"/>
      <c r="C29" s="61"/>
      <c r="D29" s="62"/>
      <c r="E29" s="40"/>
      <c r="F29" s="63"/>
      <c r="G29" s="43"/>
      <c r="H29" s="9"/>
      <c r="I29" s="9"/>
    </row>
    <row r="30" spans="1:9" ht="33" customHeight="1">
      <c r="A30" s="37"/>
      <c r="B30" s="64"/>
      <c r="C30" s="61"/>
      <c r="D30" s="62"/>
      <c r="E30" s="40"/>
      <c r="F30" s="65">
        <f>F19+F28+F29</f>
        <v>947843.42265905789</v>
      </c>
      <c r="G30" s="43"/>
      <c r="H30" s="9"/>
      <c r="I30" s="9"/>
    </row>
    <row r="31" spans="1:9" ht="33" customHeight="1">
      <c r="A31" s="37"/>
      <c r="B31" s="44" t="s">
        <v>34</v>
      </c>
      <c r="C31" s="44"/>
      <c r="D31" s="45"/>
      <c r="E31" s="45"/>
      <c r="F31" s="66">
        <f>ROUNDDOWN(F30,-3)</f>
        <v>947000</v>
      </c>
      <c r="G31" s="43"/>
      <c r="H31" s="9"/>
      <c r="I31" s="9"/>
    </row>
    <row r="32" spans="1:9" ht="33" customHeight="1" thickBot="1">
      <c r="A32" s="67"/>
      <c r="B32" s="68" t="s">
        <v>35</v>
      </c>
      <c r="C32" s="69"/>
      <c r="D32" s="69"/>
      <c r="E32" s="69"/>
      <c r="F32" s="70"/>
      <c r="G32" s="71"/>
      <c r="H32" s="9"/>
      <c r="I32" s="9"/>
    </row>
    <row r="33" spans="2:2" s="9" customFormat="1" ht="15.75">
      <c r="B33" s="72"/>
    </row>
    <row r="34" spans="2:2" s="9" customFormat="1" ht="15.75">
      <c r="B34" s="72"/>
    </row>
  </sheetData>
  <mergeCells count="4">
    <mergeCell ref="A2:G2"/>
    <mergeCell ref="A11:C11"/>
    <mergeCell ref="A9:C9"/>
    <mergeCell ref="A7:C7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70" zoomScaleNormal="70" workbookViewId="0">
      <selection activeCell="AC28" sqref="AC28:AD28"/>
    </sheetView>
  </sheetViews>
  <sheetFormatPr defaultColWidth="9" defaultRowHeight="12.75"/>
  <cols>
    <col min="1" max="1" width="17.5" style="110" bestFit="1" customWidth="1"/>
    <col min="2" max="5" width="18.5" style="110" hidden="1" customWidth="1"/>
    <col min="6" max="6" width="60.25" style="74" hidden="1" customWidth="1"/>
    <col min="7" max="7" width="10.125" style="74" hidden="1" customWidth="1"/>
    <col min="8" max="8" width="16.625" style="74" hidden="1" customWidth="1"/>
    <col min="9" max="9" width="10.125" style="74" hidden="1" customWidth="1"/>
    <col min="10" max="10" width="38.125" style="74" bestFit="1" customWidth="1"/>
    <col min="11" max="11" width="25.125" style="74" bestFit="1" customWidth="1"/>
    <col min="12" max="12" width="5.25" style="74" bestFit="1" customWidth="1"/>
    <col min="13" max="13" width="6.375" style="74" bestFit="1" customWidth="1"/>
    <col min="14" max="14" width="10.125" style="74" bestFit="1" customWidth="1"/>
    <col min="15" max="15" width="10.5" style="74" bestFit="1" customWidth="1"/>
    <col min="16" max="16" width="6.375" style="74" bestFit="1" customWidth="1"/>
    <col min="17" max="17" width="12.25" style="74" bestFit="1" customWidth="1"/>
    <col min="18" max="18" width="6.375" style="74" bestFit="1" customWidth="1"/>
    <col min="19" max="19" width="8.5" style="74" bestFit="1" customWidth="1"/>
    <col min="20" max="20" width="6.375" style="74" bestFit="1" customWidth="1"/>
    <col min="21" max="21" width="8.5" style="74" bestFit="1" customWidth="1"/>
    <col min="22" max="22" width="12.25" style="74" bestFit="1" customWidth="1"/>
    <col min="23" max="23" width="10.625" style="75" bestFit="1" customWidth="1"/>
    <col min="24" max="24" width="8.5" style="74" bestFit="1" customWidth="1"/>
    <col min="25" max="16384" width="9" style="74"/>
  </cols>
  <sheetData>
    <row r="1" spans="1:24" ht="19.899999999999999" customHeight="1">
      <c r="A1" s="133"/>
      <c r="B1" s="133"/>
      <c r="C1" s="133"/>
      <c r="D1" s="133"/>
      <c r="E1" s="133"/>
      <c r="F1" s="133"/>
      <c r="G1" s="133"/>
      <c r="H1" s="133"/>
      <c r="I1" s="133"/>
      <c r="N1" s="75"/>
      <c r="O1" s="73" t="s">
        <v>77</v>
      </c>
      <c r="Q1" s="73" t="s">
        <v>77</v>
      </c>
      <c r="S1" s="73" t="s">
        <v>77</v>
      </c>
      <c r="U1" s="73" t="s">
        <v>77</v>
      </c>
    </row>
    <row r="2" spans="1:24" ht="19.899999999999999" customHeight="1" thickBot="1">
      <c r="A2" s="133"/>
      <c r="B2" s="133"/>
      <c r="C2" s="133"/>
      <c r="D2" s="133"/>
      <c r="E2" s="133"/>
      <c r="F2" s="133"/>
      <c r="G2" s="133"/>
      <c r="H2" s="133"/>
      <c r="I2" s="133"/>
      <c r="N2" s="76"/>
      <c r="O2" s="77">
        <v>0.83499999999999996</v>
      </c>
      <c r="Q2" s="77">
        <v>0.83499999999999996</v>
      </c>
      <c r="S2" s="77">
        <v>0.83499999999999996</v>
      </c>
      <c r="U2" s="77">
        <v>0.83499999999999996</v>
      </c>
    </row>
    <row r="3" spans="1:24" ht="19.899999999999999" customHeight="1">
      <c r="A3" s="78"/>
      <c r="B3" s="78"/>
      <c r="C3" s="78"/>
      <c r="D3" s="78"/>
      <c r="E3" s="78"/>
      <c r="F3" s="78" t="s">
        <v>78</v>
      </c>
      <c r="G3" s="79"/>
      <c r="H3" s="79"/>
      <c r="I3" s="79"/>
      <c r="J3" s="142" t="s">
        <v>79</v>
      </c>
      <c r="K3" s="142"/>
      <c r="L3" s="142" t="s">
        <v>80</v>
      </c>
      <c r="M3" s="142" t="s">
        <v>81</v>
      </c>
      <c r="N3" s="138" t="s">
        <v>82</v>
      </c>
      <c r="O3" s="138"/>
      <c r="P3" s="138" t="s">
        <v>83</v>
      </c>
      <c r="Q3" s="138"/>
      <c r="R3" s="139" t="s">
        <v>84</v>
      </c>
      <c r="S3" s="139"/>
      <c r="T3" s="139" t="s">
        <v>85</v>
      </c>
      <c r="U3" s="139"/>
      <c r="V3" s="140" t="s">
        <v>86</v>
      </c>
      <c r="W3" s="136" t="s">
        <v>87</v>
      </c>
      <c r="X3" s="134" t="s">
        <v>47</v>
      </c>
    </row>
    <row r="4" spans="1:24" ht="19.899999999999999" customHeight="1">
      <c r="A4" s="80" t="s">
        <v>88</v>
      </c>
      <c r="B4" s="81"/>
      <c r="C4" s="81"/>
      <c r="D4" s="81"/>
      <c r="E4" s="81"/>
      <c r="F4" s="82" t="s">
        <v>89</v>
      </c>
      <c r="G4" s="82" t="s">
        <v>90</v>
      </c>
      <c r="H4" s="82" t="s">
        <v>91</v>
      </c>
      <c r="I4" s="82" t="s">
        <v>92</v>
      </c>
      <c r="J4" s="83" t="s">
        <v>93</v>
      </c>
      <c r="K4" s="83" t="s">
        <v>94</v>
      </c>
      <c r="L4" s="143"/>
      <c r="M4" s="143"/>
      <c r="N4" s="84" t="s">
        <v>95</v>
      </c>
      <c r="O4" s="85" t="s">
        <v>96</v>
      </c>
      <c r="P4" s="84" t="s">
        <v>97</v>
      </c>
      <c r="Q4" s="85" t="s">
        <v>96</v>
      </c>
      <c r="R4" s="85" t="s">
        <v>98</v>
      </c>
      <c r="S4" s="85" t="s">
        <v>96</v>
      </c>
      <c r="T4" s="85" t="s">
        <v>98</v>
      </c>
      <c r="U4" s="85" t="s">
        <v>96</v>
      </c>
      <c r="V4" s="141"/>
      <c r="W4" s="137"/>
      <c r="X4" s="135"/>
    </row>
    <row r="5" spans="1:24" s="96" customFormat="1" ht="19.899999999999999" customHeight="1">
      <c r="A5" s="86" t="str">
        <f t="shared" ref="A5" si="0">F5&amp;G5&amp;H5&amp;I5</f>
        <v>D02339</v>
      </c>
      <c r="B5" s="87"/>
      <c r="C5" s="87"/>
      <c r="D5" s="87"/>
      <c r="E5" s="87"/>
      <c r="F5" s="5" t="s">
        <v>102</v>
      </c>
      <c r="G5" s="82"/>
      <c r="H5" s="82"/>
      <c r="I5" s="82"/>
      <c r="J5" s="90" t="s">
        <v>105</v>
      </c>
      <c r="K5" s="90" t="s">
        <v>103</v>
      </c>
      <c r="L5" s="116" t="s">
        <v>104</v>
      </c>
      <c r="M5" s="116">
        <v>10</v>
      </c>
      <c r="N5" s="97"/>
      <c r="O5" s="92">
        <f t="shared" ref="O5" si="1">SUM(N5:N5)*M5*$O$2</f>
        <v>0</v>
      </c>
      <c r="P5" s="6">
        <v>24278</v>
      </c>
      <c r="Q5" s="92">
        <f t="shared" ref="Q5" si="2">(P5*M5)*$Q$2</f>
        <v>202721.3</v>
      </c>
      <c r="R5" s="93"/>
      <c r="S5" s="92">
        <f t="shared" ref="S5" si="3">R5*M5*$S$2</f>
        <v>0</v>
      </c>
      <c r="T5" s="93"/>
      <c r="U5" s="92">
        <f t="shared" ref="U5" si="4">T5*M5*$U$2</f>
        <v>0</v>
      </c>
      <c r="V5" s="93">
        <f t="shared" ref="V5" si="5">SUM(O5+Q5)+S5+U5</f>
        <v>202721.3</v>
      </c>
      <c r="W5" s="103"/>
      <c r="X5" s="95"/>
    </row>
    <row r="6" spans="1:24" s="96" customFormat="1" ht="19.899999999999999" customHeight="1">
      <c r="A6" s="86"/>
      <c r="B6" s="87"/>
      <c r="C6" s="87"/>
      <c r="D6" s="87"/>
      <c r="E6" s="87"/>
      <c r="F6" s="98"/>
      <c r="G6" s="88"/>
      <c r="H6" s="89"/>
      <c r="I6" s="5"/>
      <c r="J6" s="90" t="s">
        <v>99</v>
      </c>
      <c r="K6" s="90" t="s">
        <v>100</v>
      </c>
      <c r="L6" s="90" t="s">
        <v>101</v>
      </c>
      <c r="M6" s="100">
        <v>1</v>
      </c>
      <c r="N6" s="91">
        <v>680000</v>
      </c>
      <c r="O6" s="92">
        <f>M6*N6</f>
        <v>680000</v>
      </c>
      <c r="P6" s="99"/>
      <c r="Q6" s="92">
        <f t="shared" ref="Q6:Q9" si="6">(P6*M6)*$Q$2</f>
        <v>0</v>
      </c>
      <c r="R6" s="93"/>
      <c r="S6" s="92">
        <f t="shared" ref="S6:S9" si="7">R6*M6*$S$2</f>
        <v>0</v>
      </c>
      <c r="T6" s="93"/>
      <c r="U6" s="92">
        <f t="shared" ref="U6:U9" si="8">T6*M6*$U$2</f>
        <v>0</v>
      </c>
      <c r="V6" s="93">
        <f t="shared" ref="V6:V9" si="9">SUM(O6+Q6)+S6+U6</f>
        <v>680000</v>
      </c>
      <c r="W6" s="94"/>
      <c r="X6" s="95"/>
    </row>
    <row r="7" spans="1:24" s="96" customFormat="1" ht="19.899999999999999" customHeight="1">
      <c r="A7" s="86" t="str">
        <f t="shared" ref="A7:A9" si="10">F7&amp;G7&amp;H7&amp;I7</f>
        <v/>
      </c>
      <c r="B7" s="87"/>
      <c r="C7" s="87"/>
      <c r="D7" s="87"/>
      <c r="E7" s="87"/>
      <c r="F7" s="98"/>
      <c r="G7" s="88"/>
      <c r="H7" s="89"/>
      <c r="I7" s="5"/>
      <c r="J7" s="101"/>
      <c r="K7" s="101"/>
      <c r="L7" s="102"/>
      <c r="M7" s="100"/>
      <c r="N7" s="91"/>
      <c r="O7" s="92">
        <f t="shared" ref="O7:O9" si="11">SUM(N7:N7)*M7*$O$2</f>
        <v>0</v>
      </c>
      <c r="P7" s="99"/>
      <c r="Q7" s="92">
        <f t="shared" si="6"/>
        <v>0</v>
      </c>
      <c r="R7" s="93"/>
      <c r="S7" s="92">
        <f t="shared" si="7"/>
        <v>0</v>
      </c>
      <c r="T7" s="93"/>
      <c r="U7" s="92">
        <f t="shared" si="8"/>
        <v>0</v>
      </c>
      <c r="V7" s="93">
        <f t="shared" si="9"/>
        <v>0</v>
      </c>
      <c r="W7" s="103"/>
      <c r="X7" s="95"/>
    </row>
    <row r="8" spans="1:24" s="96" customFormat="1" ht="19.899999999999999" customHeight="1">
      <c r="A8" s="86" t="str">
        <f t="shared" si="10"/>
        <v/>
      </c>
      <c r="B8" s="87"/>
      <c r="C8" s="87"/>
      <c r="D8" s="87"/>
      <c r="E8" s="87"/>
      <c r="F8" s="98"/>
      <c r="G8" s="88"/>
      <c r="H8" s="89"/>
      <c r="I8" s="5"/>
      <c r="J8" s="101"/>
      <c r="K8" s="101"/>
      <c r="L8" s="102"/>
      <c r="M8" s="100"/>
      <c r="N8" s="91"/>
      <c r="O8" s="92">
        <f t="shared" si="11"/>
        <v>0</v>
      </c>
      <c r="P8" s="99"/>
      <c r="Q8" s="92">
        <f t="shared" si="6"/>
        <v>0</v>
      </c>
      <c r="R8" s="93"/>
      <c r="S8" s="92">
        <f t="shared" si="7"/>
        <v>0</v>
      </c>
      <c r="T8" s="93"/>
      <c r="U8" s="92">
        <f t="shared" si="8"/>
        <v>0</v>
      </c>
      <c r="V8" s="93">
        <f t="shared" si="9"/>
        <v>0</v>
      </c>
      <c r="W8" s="103"/>
      <c r="X8" s="95"/>
    </row>
    <row r="9" spans="1:24" s="96" customFormat="1" ht="19.899999999999999" customHeight="1">
      <c r="A9" s="86" t="str">
        <f t="shared" si="10"/>
        <v/>
      </c>
      <c r="B9" s="87"/>
      <c r="C9" s="87"/>
      <c r="D9" s="87"/>
      <c r="E9" s="87"/>
      <c r="F9" s="98"/>
      <c r="G9" s="88"/>
      <c r="H9" s="89"/>
      <c r="I9" s="5"/>
      <c r="J9" s="101"/>
      <c r="K9" s="101"/>
      <c r="L9" s="102"/>
      <c r="M9" s="100"/>
      <c r="N9" s="91"/>
      <c r="O9" s="92">
        <f t="shared" si="11"/>
        <v>0</v>
      </c>
      <c r="P9" s="99"/>
      <c r="Q9" s="92">
        <f t="shared" si="6"/>
        <v>0</v>
      </c>
      <c r="R9" s="93"/>
      <c r="S9" s="92">
        <f t="shared" si="7"/>
        <v>0</v>
      </c>
      <c r="T9" s="93"/>
      <c r="U9" s="92">
        <f t="shared" si="8"/>
        <v>0</v>
      </c>
      <c r="V9" s="93">
        <f t="shared" si="9"/>
        <v>0</v>
      </c>
      <c r="W9" s="103"/>
      <c r="X9" s="95"/>
    </row>
    <row r="10" spans="1:24" s="105" customFormat="1" ht="19.899999999999999" customHeight="1">
      <c r="A10" s="104"/>
      <c r="B10" s="104"/>
      <c r="C10" s="104"/>
      <c r="D10" s="104"/>
      <c r="E10" s="104"/>
      <c r="O10" s="106">
        <f>SUM(O5:O9)</f>
        <v>680000</v>
      </c>
      <c r="P10" s="107"/>
      <c r="Q10" s="106">
        <f>SUM(Q5:Q9)</f>
        <v>202721.3</v>
      </c>
      <c r="R10" s="107"/>
      <c r="S10" s="106">
        <f>SUM(S5:S9)</f>
        <v>0</v>
      </c>
      <c r="T10" s="107"/>
      <c r="U10" s="106">
        <f>SUM(U5:U9)</f>
        <v>0</v>
      </c>
      <c r="V10" s="108">
        <f>SUM(V5:V9)</f>
        <v>882721.3</v>
      </c>
      <c r="W10" s="109"/>
    </row>
    <row r="14" spans="1:24">
      <c r="Q14" s="11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>
    <pageSetUpPr fitToPage="1"/>
  </sheetPr>
  <dimension ref="G1:P1"/>
  <sheetViews>
    <sheetView topLeftCell="A2" zoomScaleNormal="100" zoomScaleSheetLayoutView="85" workbookViewId="0">
      <selection activeCell="S14" sqref="S14"/>
    </sheetView>
  </sheetViews>
  <sheetFormatPr defaultColWidth="9" defaultRowHeight="16.5"/>
  <cols>
    <col min="1" max="1" width="11.5" style="117" bestFit="1" customWidth="1"/>
    <col min="2" max="2" width="17.875" style="117" customWidth="1"/>
    <col min="3" max="3" width="14.625" style="117" customWidth="1"/>
    <col min="4" max="4" width="10.875" style="117" customWidth="1"/>
    <col min="5" max="5" width="12" style="117" customWidth="1"/>
    <col min="6" max="6" width="10.625" style="117" customWidth="1"/>
    <col min="7" max="7" width="13.625" style="118" customWidth="1"/>
    <col min="8" max="8" width="9.625" style="117" customWidth="1"/>
    <col min="9" max="9" width="13.625" style="117" customWidth="1"/>
    <col min="10" max="10" width="12.75" style="117" customWidth="1"/>
    <col min="11" max="11" width="9.25" style="117" customWidth="1"/>
    <col min="12" max="12" width="13.625" style="118" customWidth="1"/>
    <col min="13" max="13" width="9.625" style="117" customWidth="1"/>
    <col min="14" max="14" width="13.625" style="118" customWidth="1"/>
    <col min="15" max="15" width="19.75" style="119" bestFit="1" customWidth="1"/>
    <col min="16" max="16" width="12.25" style="119" bestFit="1" customWidth="1"/>
    <col min="17" max="16384" width="9" style="117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tabSelected="1" workbookViewId="0">
      <selection activeCell="C27" sqref="C27"/>
    </sheetView>
  </sheetViews>
  <sheetFormatPr defaultColWidth="9" defaultRowHeight="16.5"/>
  <cols>
    <col min="1" max="1" width="11.125" style="112" customWidth="1"/>
    <col min="2" max="2" width="13.375" style="112" customWidth="1"/>
    <col min="3" max="3" width="38.75" style="112" customWidth="1"/>
    <col min="4" max="4" width="28.75" style="112" customWidth="1"/>
    <col min="5" max="5" width="5" style="112" customWidth="1"/>
    <col min="6" max="6" width="6.25" style="112" customWidth="1"/>
    <col min="7" max="7" width="10" style="112" customWidth="1"/>
    <col min="8" max="8" width="11.875" style="112" customWidth="1"/>
    <col min="9" max="9" width="10" style="112" customWidth="1"/>
    <col min="10" max="10" width="11.875" style="112" customWidth="1"/>
    <col min="11" max="11" width="10" style="112" customWidth="1"/>
    <col min="12" max="12" width="11.875" style="112" customWidth="1"/>
    <col min="13" max="13" width="10" style="112" customWidth="1"/>
    <col min="14" max="14" width="11.875" style="112" customWidth="1"/>
    <col min="15" max="15" width="9.125" style="112" customWidth="1"/>
    <col min="16" max="16" width="11.5" style="112" customWidth="1"/>
    <col min="17" max="17" width="11.75" style="112" customWidth="1"/>
    <col min="18" max="18" width="17.875" style="112" customWidth="1"/>
    <col min="19" max="16384" width="9" style="112"/>
  </cols>
  <sheetData>
    <row r="1" spans="1:18" ht="18" customHeight="1">
      <c r="A1" s="1" t="s">
        <v>49</v>
      </c>
      <c r="B1" s="4" t="s">
        <v>50</v>
      </c>
      <c r="C1" s="121" t="s">
        <v>51</v>
      </c>
      <c r="D1" s="121" t="s">
        <v>52</v>
      </c>
      <c r="E1" s="121" t="s">
        <v>53</v>
      </c>
      <c r="F1" s="121" t="s">
        <v>5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4" t="s">
        <v>63</v>
      </c>
      <c r="Q1" s="4" t="s">
        <v>64</v>
      </c>
      <c r="R1" s="4" t="s">
        <v>65</v>
      </c>
    </row>
    <row r="2" spans="1:18">
      <c r="A2" s="123">
        <v>999999</v>
      </c>
      <c r="B2" s="123" t="s">
        <v>106</v>
      </c>
      <c r="C2" s="123" t="s">
        <v>107</v>
      </c>
      <c r="D2" s="120" t="s">
        <v>108</v>
      </c>
      <c r="E2" s="123" t="s">
        <v>109</v>
      </c>
      <c r="F2" s="122">
        <v>1</v>
      </c>
      <c r="G2" s="112">
        <v>680000</v>
      </c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H2"/>
  <sheetViews>
    <sheetView showGridLines="0" zoomScaleNormal="100" workbookViewId="0">
      <selection activeCell="C27" sqref="C27"/>
    </sheetView>
  </sheetViews>
  <sheetFormatPr defaultColWidth="9" defaultRowHeight="16.5"/>
  <cols>
    <col min="1" max="1" width="25.125" style="115" customWidth="1"/>
    <col min="2" max="2" width="16.25" style="115" customWidth="1"/>
    <col min="3" max="3" width="22.375" style="115" customWidth="1"/>
    <col min="4" max="4" width="24.125" style="115" customWidth="1"/>
    <col min="5" max="5" width="13" style="115" customWidth="1"/>
    <col min="6" max="6" width="7.5" style="115" customWidth="1"/>
    <col min="7" max="16384" width="9" style="112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37</v>
      </c>
    </row>
    <row r="2" spans="1:8">
      <c r="A2" s="113" t="str">
        <f>'내역서(표준단가)'!A5</f>
        <v>D02339</v>
      </c>
      <c r="B2" s="114" t="str">
        <f>'내역서(표준단가)'!F5</f>
        <v>D02339</v>
      </c>
      <c r="C2" s="114">
        <f>'내역서(표준단가)'!G5</f>
        <v>0</v>
      </c>
      <c r="D2" s="114">
        <f>'내역서(표준단가)'!H5</f>
        <v>0</v>
      </c>
      <c r="E2" s="114">
        <f>'내역서(표준단가)'!I5</f>
        <v>0</v>
      </c>
      <c r="F2" s="114">
        <f>'내역서(표준단가)'!M5</f>
        <v>10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Upload-pps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2025-06-25T23:19:48Z</dcterms:modified>
</cp:coreProperties>
</file>
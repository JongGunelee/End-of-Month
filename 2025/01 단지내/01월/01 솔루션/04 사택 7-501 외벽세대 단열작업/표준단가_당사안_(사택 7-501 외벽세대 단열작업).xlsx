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1 견적 작성\02 견적서\01 솔루션\241212\06 작업폴더\05 사택 7-501 외벽세대 단열작업\"/>
    </mc:Choice>
  </mc:AlternateContent>
  <xr:revisionPtr revIDLastSave="0" documentId="13_ncr:1_{8DD0C4D8-5EB4-444F-848A-5B62A616E0E4}" xr6:coauthVersionLast="47" xr6:coauthVersionMax="47" xr10:uidLastSave="{00000000-0000-0000-0000-000000000000}"/>
  <bookViews>
    <workbookView xWindow="2685" yWindow="2685" windowWidth="7500" windowHeight="11295" xr2:uid="{00000000-000D-0000-FFFF-FFFF00000000}"/>
  </bookViews>
  <sheets>
    <sheet name="갑지" sheetId="5" r:id="rId1"/>
    <sheet name="내역서(표준단가)" sheetId="4" r:id="rId2"/>
    <sheet name="시중가 근거서류" sheetId="17" r:id="rId3"/>
    <sheet name="Upload(시중가)" sheetId="16" r:id="rId4"/>
    <sheet name="Upload" sheetId="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/>
  <c r="E12" i="1"/>
  <c r="D12" i="1"/>
  <c r="C12" i="1"/>
  <c r="B12" i="1"/>
  <c r="F11" i="1"/>
  <c r="E11" i="1"/>
  <c r="D11" i="1"/>
  <c r="C11" i="1"/>
  <c r="B11" i="1"/>
  <c r="F10" i="1"/>
  <c r="E10" i="1"/>
  <c r="D10" i="1"/>
  <c r="C10" i="1"/>
  <c r="B10" i="1"/>
  <c r="F9" i="1"/>
  <c r="E9" i="1"/>
  <c r="D9" i="1"/>
  <c r="C9" i="1"/>
  <c r="B9" i="1"/>
  <c r="F8" i="1"/>
  <c r="E8" i="1"/>
  <c r="D8" i="1"/>
  <c r="C8" i="1"/>
  <c r="B8" i="1"/>
  <c r="F7" i="1"/>
  <c r="E7" i="1"/>
  <c r="D7" i="1"/>
  <c r="C7" i="1"/>
  <c r="B7" i="1"/>
  <c r="F6" i="1"/>
  <c r="E6" i="1"/>
  <c r="D6" i="1"/>
  <c r="C6" i="1"/>
  <c r="B6" i="1"/>
  <c r="F5" i="1"/>
  <c r="E5" i="1"/>
  <c r="D5" i="1"/>
  <c r="C5" i="1"/>
  <c r="B5" i="1"/>
  <c r="F4" i="1"/>
  <c r="E4" i="1"/>
  <c r="D4" i="1"/>
  <c r="C4" i="1"/>
  <c r="B4" i="1"/>
  <c r="F3" i="1"/>
  <c r="E3" i="1"/>
  <c r="D3" i="1"/>
  <c r="C3" i="1"/>
  <c r="B3" i="1"/>
  <c r="U16" i="4" l="1"/>
  <c r="S16" i="4"/>
  <c r="Q15" i="4"/>
  <c r="Q6" i="4"/>
  <c r="Q14" i="4"/>
  <c r="Q13" i="4"/>
  <c r="U10" i="4"/>
  <c r="S10" i="4"/>
  <c r="Q10" i="4"/>
  <c r="O10" i="4"/>
  <c r="U7" i="4"/>
  <c r="S7" i="4"/>
  <c r="Q7" i="4"/>
  <c r="O7" i="4"/>
  <c r="U5" i="4"/>
  <c r="S5" i="4"/>
  <c r="Q5" i="4"/>
  <c r="O5" i="4"/>
  <c r="V5" i="4" l="1"/>
  <c r="V7" i="4"/>
  <c r="V10" i="4"/>
  <c r="V16" i="4"/>
  <c r="A16" i="4" l="1"/>
  <c r="U15" i="4"/>
  <c r="S15" i="4"/>
  <c r="O15" i="4"/>
  <c r="A15" i="4"/>
  <c r="A12" i="1" s="1"/>
  <c r="U14" i="4"/>
  <c r="S14" i="4"/>
  <c r="O14" i="4"/>
  <c r="A14" i="4"/>
  <c r="A11" i="1" s="1"/>
  <c r="U13" i="4"/>
  <c r="S13" i="4"/>
  <c r="O13" i="4"/>
  <c r="A13" i="4"/>
  <c r="A10" i="1" s="1"/>
  <c r="U12" i="4"/>
  <c r="S12" i="4"/>
  <c r="Q12" i="4"/>
  <c r="O12" i="4"/>
  <c r="A12" i="4"/>
  <c r="A9" i="1" s="1"/>
  <c r="U11" i="4"/>
  <c r="S11" i="4"/>
  <c r="Q11" i="4"/>
  <c r="O11" i="4"/>
  <c r="A11" i="4"/>
  <c r="A8" i="1" s="1"/>
  <c r="A10" i="4"/>
  <c r="A7" i="1" s="1"/>
  <c r="U9" i="4"/>
  <c r="S9" i="4"/>
  <c r="Q9" i="4"/>
  <c r="O9" i="4"/>
  <c r="A9" i="4"/>
  <c r="A6" i="1" s="1"/>
  <c r="U8" i="4"/>
  <c r="S8" i="4"/>
  <c r="Q8" i="4"/>
  <c r="O8" i="4"/>
  <c r="A8" i="4"/>
  <c r="A5" i="1" s="1"/>
  <c r="A7" i="4"/>
  <c r="A4" i="1" s="1"/>
  <c r="U6" i="4"/>
  <c r="S6" i="4"/>
  <c r="O6" i="4"/>
  <c r="A6" i="4"/>
  <c r="A3" i="1" s="1"/>
  <c r="V8" i="4" l="1"/>
  <c r="V12" i="4"/>
  <c r="V9" i="4"/>
  <c r="V13" i="4"/>
  <c r="V6" i="4"/>
  <c r="V14" i="4"/>
  <c r="V11" i="4"/>
  <c r="V15" i="4"/>
  <c r="A5" i="4" l="1"/>
  <c r="F2" i="1" l="1"/>
  <c r="E2" i="1"/>
  <c r="D2" i="1"/>
  <c r="C2" i="1"/>
  <c r="B2" i="1"/>
  <c r="A2" i="1"/>
  <c r="U18" i="4" l="1"/>
  <c r="Q18" i="4"/>
  <c r="S18" i="4" l="1"/>
  <c r="V18" i="4" l="1"/>
  <c r="F18" i="5" l="1"/>
  <c r="O18" i="4" l="1"/>
  <c r="F17" i="5" l="1"/>
  <c r="F16" i="5"/>
  <c r="F26" i="5" l="1"/>
  <c r="F19" i="5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<sst xmlns="http://schemas.openxmlformats.org/spreadsheetml/2006/main" count="170" uniqueCount="133">
  <si>
    <t>구분</t>
  </si>
  <si>
    <t>표준단가</t>
  </si>
  <si>
    <t>표준품셈</t>
  </si>
  <si>
    <t>물가정보</t>
  </si>
  <si>
    <t>노임단가</t>
  </si>
  <si>
    <t>수량</t>
  </si>
  <si>
    <t>견 적 서</t>
    <phoneticPr fontId="16" type="noConversion"/>
  </si>
  <si>
    <t xml:space="preserve">금액: </t>
    <phoneticPr fontId="16" type="noConversion"/>
  </si>
  <si>
    <t>원정</t>
    <phoneticPr fontId="18" type="noConversion"/>
  </si>
  <si>
    <t xml:space="preserve">  </t>
  </si>
  <si>
    <t>NO</t>
  </si>
  <si>
    <t>품명</t>
    <phoneticPr fontId="18" type="noConversion"/>
  </si>
  <si>
    <t>규격</t>
    <phoneticPr fontId="18" type="noConversion"/>
  </si>
  <si>
    <t>수량</t>
    <phoneticPr fontId="18" type="noConversion"/>
  </si>
  <si>
    <t>단위</t>
    <phoneticPr fontId="18" type="noConversion"/>
  </si>
  <si>
    <t>금액</t>
    <phoneticPr fontId="18" type="noConversion"/>
  </si>
  <si>
    <t>비고</t>
    <phoneticPr fontId="18" type="noConversion"/>
  </si>
  <si>
    <t>직접비</t>
    <phoneticPr fontId="16" type="noConversion"/>
  </si>
  <si>
    <t>재료비</t>
    <phoneticPr fontId="16" type="noConversion"/>
  </si>
  <si>
    <t>노무비</t>
    <phoneticPr fontId="18" type="noConversion"/>
  </si>
  <si>
    <t>기계/기타경비</t>
    <phoneticPr fontId="16" type="noConversion"/>
  </si>
  <si>
    <t>소계</t>
    <phoneticPr fontId="16" type="noConversion"/>
  </si>
  <si>
    <t>간접비</t>
    <phoneticPr fontId="16" type="noConversion"/>
  </si>
  <si>
    <t>  국민연금</t>
    <phoneticPr fontId="18" type="noConversion"/>
  </si>
  <si>
    <t> 노무비*4.5%</t>
    <phoneticPr fontId="18" type="noConversion"/>
  </si>
  <si>
    <t>식</t>
    <phoneticPr fontId="18" type="noConversion"/>
  </si>
  <si>
    <t>모든공사에 적용</t>
    <phoneticPr fontId="18" type="noConversion"/>
  </si>
  <si>
    <t>  건강보험료</t>
    <phoneticPr fontId="18" type="noConversion"/>
  </si>
  <si>
    <t>모든공사에 적용</t>
    <phoneticPr fontId="18" type="noConversion"/>
  </si>
  <si>
    <t>  장기요양보험료</t>
    <phoneticPr fontId="18" type="noConversion"/>
  </si>
  <si>
    <t>  고용보험료</t>
    <phoneticPr fontId="18" type="noConversion"/>
  </si>
  <si>
    <t>  산재보험료</t>
    <phoneticPr fontId="18" type="noConversion"/>
  </si>
  <si>
    <t xml:space="preserve">  산업안전보건관리비</t>
    <phoneticPr fontId="18" type="noConversion"/>
  </si>
  <si>
    <t>소계</t>
    <phoneticPr fontId="16" type="noConversion"/>
  </si>
  <si>
    <t>합계(단수조정)</t>
    <phoneticPr fontId="16" type="noConversion"/>
  </si>
  <si>
    <t>VAT별도</t>
    <phoneticPr fontId="18" type="noConversion"/>
  </si>
  <si>
    <t> (재료비+노무비)*2.93%</t>
    <phoneticPr fontId="18" type="noConversion"/>
  </si>
  <si>
    <t>일반관리비/이윤</t>
    <phoneticPr fontId="18" type="noConversion"/>
  </si>
  <si>
    <t> (노무비+간접공사비)*5%</t>
    <phoneticPr fontId="18" type="noConversion"/>
  </si>
  <si>
    <t>등록번호</t>
    <phoneticPr fontId="12" type="noConversion"/>
  </si>
  <si>
    <t>종 목</t>
    <phoneticPr fontId="12" type="noConversion"/>
  </si>
  <si>
    <t>TEL, FAX</t>
    <phoneticPr fontId="12" type="noConversion"/>
  </si>
  <si>
    <t>상 호</t>
    <phoneticPr fontId="12" type="noConversion"/>
  </si>
  <si>
    <t>대표 이사</t>
    <phoneticPr fontId="12" type="noConversion"/>
  </si>
  <si>
    <t>사업장</t>
    <phoneticPr fontId="12" type="noConversion"/>
  </si>
  <si>
    <t>업 태</t>
    <phoneticPr fontId="12" type="noConversion"/>
  </si>
  <si>
    <t>할증기준</t>
    <phoneticPr fontId="10" type="noConversion"/>
  </si>
  <si>
    <t> 노무비*1.01%</t>
    <phoneticPr fontId="18" type="noConversion"/>
  </si>
  <si>
    <t>표준내역코드</t>
  </si>
  <si>
    <t>세부공종</t>
  </si>
  <si>
    <t>품명</t>
  </si>
  <si>
    <t>규격</t>
  </si>
  <si>
    <t>단위</t>
  </si>
  <si>
    <t>재료비단가</t>
  </si>
  <si>
    <t>재료비소계</t>
  </si>
  <si>
    <t>노무비단가</t>
  </si>
  <si>
    <t>노무비소계</t>
  </si>
  <si>
    <t>기계경비단가</t>
  </si>
  <si>
    <t>기계경비소계</t>
  </si>
  <si>
    <t>기타경비단가</t>
  </si>
  <si>
    <t>기타경비소계</t>
  </si>
  <si>
    <t>할증코드</t>
  </si>
  <si>
    <t>재료비할증율</t>
  </si>
  <si>
    <t>노무비할증율</t>
  </si>
  <si>
    <t>할증내용</t>
  </si>
  <si>
    <t xml:space="preserve"> 수신인 : 주식회사 에스엔아이 코퍼레이션</t>
    <phoneticPr fontId="16" type="noConversion"/>
  </si>
  <si>
    <t> 노무비*3.545%</t>
    <phoneticPr fontId="18" type="noConversion"/>
  </si>
  <si>
    <t> 건강보험료*12.95%</t>
    <phoneticPr fontId="18" type="noConversion"/>
  </si>
  <si>
    <t> 노무비*3.56%</t>
    <phoneticPr fontId="18" type="noConversion"/>
  </si>
  <si>
    <t>314-86-35718</t>
    <phoneticPr fontId="10" type="noConversion"/>
  </si>
  <si>
    <t>㈜일성건축</t>
    <phoneticPr fontId="10" type="noConversion"/>
  </si>
  <si>
    <t>상 석 희</t>
    <phoneticPr fontId="10" type="noConversion"/>
  </si>
  <si>
    <t>대전 서구 도마6길 107 (도마동)</t>
    <phoneticPr fontId="10" type="noConversion"/>
  </si>
  <si>
    <t>건설업</t>
    <phoneticPr fontId="10" type="noConversion"/>
  </si>
  <si>
    <t>실내건축,인테리어공사</t>
    <phoneticPr fontId="10" type="noConversion"/>
  </si>
  <si>
    <t>042)527-0995, 042)527-0996</t>
    <phoneticPr fontId="10" type="noConversion"/>
  </si>
  <si>
    <t>영선,건축</t>
    <phoneticPr fontId="10" type="noConversion"/>
  </si>
  <si>
    <t>철근콘크리트조</t>
  </si>
  <si>
    <t>D02339</t>
  </si>
  <si>
    <t>폐기물처리('20년 표준단가 C12200)</t>
    <phoneticPr fontId="10" type="noConversion"/>
  </si>
  <si>
    <t>사업장 일반 폐기물</t>
    <phoneticPr fontId="10" type="noConversion"/>
  </si>
  <si>
    <t>TON</t>
  </si>
  <si>
    <t>사업장 일반 폐기물</t>
  </si>
  <si>
    <t>D02620</t>
  </si>
  <si>
    <t>바탕용 2겹 붙임</t>
  </si>
  <si>
    <t>6㎜×1M×50M 건축용단열재,</t>
  </si>
  <si>
    <t>M011902400300101</t>
  </si>
  <si>
    <t>L003</t>
  </si>
  <si>
    <t>M011902600100401</t>
  </si>
  <si>
    <t>M011902600100901</t>
  </si>
  <si>
    <t>E10126002001002001</t>
  </si>
  <si>
    <t>E10126002001003001</t>
  </si>
  <si>
    <t>제 1호표  건축물 현장정리</t>
    <phoneticPr fontId="10" type="noConversion"/>
  </si>
  <si>
    <t>안방,작은방 붙박이장 철거</t>
    <phoneticPr fontId="10" type="noConversion"/>
  </si>
  <si>
    <t>특별인부, 시중노임단가</t>
    <phoneticPr fontId="10" type="noConversion"/>
  </si>
  <si>
    <t>(T×W×L)50×600×1,200</t>
  </si>
  <si>
    <t>(T×W×L)100×600×1,200</t>
  </si>
  <si>
    <t>제 2호표  석고판(나사고정) 설치</t>
    <phoneticPr fontId="10" type="noConversion"/>
  </si>
  <si>
    <t>제 1호표  건축물 구조체별 철거(천장)</t>
    <phoneticPr fontId="10" type="noConversion"/>
  </si>
  <si>
    <t>반자틀</t>
  </si>
  <si>
    <t>제 1호표  건축물 구조체별 철거(벽)</t>
    <phoneticPr fontId="10" type="noConversion"/>
  </si>
  <si>
    <t>목조·칸막이</t>
  </si>
  <si>
    <t>안방,작은방 철거 부위 마감, 부자재 포함</t>
    <phoneticPr fontId="10" type="noConversion"/>
  </si>
  <si>
    <t>붙박이장 설치 및 부자재 포함</t>
    <phoneticPr fontId="10" type="noConversion"/>
  </si>
  <si>
    <t>인</t>
    <phoneticPr fontId="10" type="noConversion"/>
  </si>
  <si>
    <t>매</t>
    <phoneticPr fontId="10" type="noConversion"/>
  </si>
  <si>
    <t>L003</t>
    <phoneticPr fontId="10" type="noConversion"/>
  </si>
  <si>
    <t>태화론 TW-06(단면)</t>
    <phoneticPr fontId="10" type="noConversion"/>
  </si>
  <si>
    <t>은성필보드(Feel Board)</t>
    <phoneticPr fontId="10" type="noConversion"/>
  </si>
  <si>
    <t>▼낙찰율</t>
    <phoneticPr fontId="12" type="noConversion"/>
  </si>
  <si>
    <t>▶ 표준 Code(표준단가/품셈/물정/노임) 순서별 입력(Upload 자동반영)</t>
    <phoneticPr fontId="10" type="noConversion"/>
  </si>
  <si>
    <t>주요내역</t>
    <phoneticPr fontId="10" type="noConversion"/>
  </si>
  <si>
    <t>재료비</t>
    <phoneticPr fontId="12" type="noConversion"/>
  </si>
  <si>
    <t>노무비</t>
    <phoneticPr fontId="12" type="noConversion"/>
  </si>
  <si>
    <t>기계경비</t>
  </si>
  <si>
    <t>기타경비(부자재비)</t>
  </si>
  <si>
    <t>합계</t>
    <phoneticPr fontId="12" type="noConversion"/>
  </si>
  <si>
    <t>노무비 할증</t>
    <phoneticPr fontId="10" type="noConversion"/>
  </si>
  <si>
    <t>합계</t>
    <phoneticPr fontId="10" type="noConversion"/>
  </si>
  <si>
    <t>표준단가 D</t>
    <phoneticPr fontId="10" type="noConversion"/>
  </si>
  <si>
    <t>표준품셈 E</t>
    <phoneticPr fontId="10" type="noConversion"/>
  </si>
  <si>
    <t>물가정보 M</t>
    <phoneticPr fontId="10" type="noConversion"/>
  </si>
  <si>
    <t>노임단가 L</t>
    <phoneticPr fontId="10" type="noConversion"/>
  </si>
  <si>
    <t>품목</t>
    <phoneticPr fontId="10" type="noConversion"/>
  </si>
  <si>
    <t>규격</t>
    <phoneticPr fontId="10" type="noConversion"/>
  </si>
  <si>
    <t>품셈/표단</t>
    <phoneticPr fontId="10" type="noConversion"/>
  </si>
  <si>
    <t>금액</t>
  </si>
  <si>
    <t>단가</t>
    <phoneticPr fontId="12" type="noConversion"/>
  </si>
  <si>
    <t>단가</t>
  </si>
  <si>
    <t>연면적 ㎡</t>
  </si>
  <si>
    <t>㎡</t>
  </si>
  <si>
    <t xml:space="preserve"> 공사명 : 사택 7-501 외벽세대 단열작업(안방+작은방,열반사+보드) </t>
    <phoneticPr fontId="16" type="noConversion"/>
  </si>
  <si>
    <t xml:space="preserve"> 견적일 : 2024 년  12월  05일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</si>
</sst>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#"/>
    <numFmt numFmtId="182" formatCode="0.0%"/>
    <numFmt numFmtId="183" formatCode="_-* #,##0.0_-;\-* #,##0.0_-;_-* &quot;-&quot;_-;_-@_-"/>
    <numFmt numFmtId="184" formatCode="###,###,###,##0"/>
  </numFmts>
  <fonts count="37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Arial"/>
      <family val="2"/>
    </font>
    <font>
      <sz val="10"/>
      <color rgb="FF000000"/>
      <name val="맑은 고딕"/>
      <family val="3"/>
      <charset val="129"/>
      <scheme val="minor"/>
    </font>
    <font>
      <sz val="11"/>
      <color rgb="FF000000"/>
      <name val="맑은 고딕"/>
      <family val="2"/>
      <scheme val="minor"/>
    </font>
    <font>
      <sz val="11"/>
      <color rgb="FF000000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rgb="FF000000"/>
      <name val="LG스마트체 Regular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5F5F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</borders>
  <cellStyleXfs count="31">
    <xf numFmtId="0" fontId="0" fillId="0" borderId="0">
      <alignment vertical="center"/>
    </xf>
    <xf numFmtId="177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3" fillId="0" borderId="0"/>
    <xf numFmtId="177" fontId="9" fillId="0" borderId="0" applyFont="0" applyFill="0" applyBorder="0" applyAlignment="0" applyProtection="0">
      <alignment vertical="center"/>
    </xf>
    <xf numFmtId="178" fontId="14" fillId="0" borderId="0" applyFont="0" applyFill="0" applyBorder="0" applyAlignment="0" applyProtection="0"/>
    <xf numFmtId="0" fontId="15" fillId="0" borderId="0"/>
    <xf numFmtId="180" fontId="15" fillId="0" borderId="0" applyFont="0" applyFill="0" applyBorder="0" applyAlignment="0" applyProtection="0"/>
    <xf numFmtId="0" fontId="9" fillId="0" borderId="0">
      <alignment vertical="center"/>
    </xf>
    <xf numFmtId="9" fontId="14" fillId="0" borderId="0" applyFont="0" applyFill="0" applyBorder="0" applyAlignment="0" applyProtection="0"/>
    <xf numFmtId="0" fontId="13" fillId="0" borderId="0"/>
    <xf numFmtId="0" fontId="22" fillId="0" borderId="0"/>
    <xf numFmtId="176" fontId="22" fillId="0" borderId="0" applyFont="0" applyFill="0" applyBorder="0" applyAlignment="0" applyProtection="0"/>
    <xf numFmtId="177" fontId="22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7" fillId="0" borderId="0">
      <alignment vertical="center"/>
    </xf>
    <xf numFmtId="177" fontId="7" fillId="0" borderId="0" applyFont="0" applyFill="0" applyBorder="0" applyAlignment="0" applyProtection="0">
      <alignment vertical="center"/>
    </xf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177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4" fillId="0" borderId="0">
      <alignment vertical="center"/>
    </xf>
    <xf numFmtId="177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3" fillId="0" borderId="0">
      <alignment vertical="center"/>
    </xf>
    <xf numFmtId="177" fontId="3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46">
    <xf numFmtId="0" fontId="0" fillId="0" borderId="0" xfId="0">
      <alignment vertical="center"/>
    </xf>
    <xf numFmtId="0" fontId="17" fillId="0" borderId="7" xfId="6" applyFont="1" applyBorder="1" applyAlignment="1">
      <alignment horizontal="right" vertical="center"/>
    </xf>
    <xf numFmtId="0" fontId="23" fillId="0" borderId="0" xfId="6" applyFont="1" applyAlignment="1">
      <alignment vertical="center"/>
    </xf>
    <xf numFmtId="0" fontId="24" fillId="0" borderId="0" xfId="3" applyFont="1"/>
    <xf numFmtId="0" fontId="25" fillId="0" borderId="0" xfId="3" applyFont="1"/>
    <xf numFmtId="0" fontId="26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26" fillId="0" borderId="5" xfId="6" applyFont="1" applyBorder="1" applyAlignment="1">
      <alignment horizontal="center" vertical="center"/>
    </xf>
    <xf numFmtId="0" fontId="17" fillId="0" borderId="6" xfId="6" applyFont="1" applyBorder="1" applyAlignment="1">
      <alignment horizontal="right" vertical="center"/>
    </xf>
    <xf numFmtId="0" fontId="17" fillId="5" borderId="25" xfId="6" applyFont="1" applyFill="1" applyBorder="1" applyAlignment="1">
      <alignment horizontal="center" vertical="center"/>
    </xf>
    <xf numFmtId="0" fontId="17" fillId="5" borderId="26" xfId="6" applyFont="1" applyFill="1" applyBorder="1" applyAlignment="1">
      <alignment vertical="center" shrinkToFit="1"/>
    </xf>
    <xf numFmtId="0" fontId="17" fillId="5" borderId="2" xfId="6" applyFont="1" applyFill="1" applyBorder="1" applyAlignment="1">
      <alignment horizontal="center" vertical="center"/>
    </xf>
    <xf numFmtId="0" fontId="17" fillId="5" borderId="27" xfId="6" applyFont="1" applyFill="1" applyBorder="1" applyAlignment="1">
      <alignment vertical="center" shrinkToFit="1"/>
    </xf>
    <xf numFmtId="0" fontId="27" fillId="0" borderId="0" xfId="6" applyFont="1" applyAlignment="1">
      <alignment vertical="center" shrinkToFit="1"/>
    </xf>
    <xf numFmtId="0" fontId="17" fillId="5" borderId="2" xfId="6" applyFont="1" applyFill="1" applyBorder="1" applyAlignment="1">
      <alignment horizontal="center" vertical="center" shrinkToFit="1"/>
    </xf>
    <xf numFmtId="0" fontId="17" fillId="0" borderId="2" xfId="6" applyFont="1" applyBorder="1" applyAlignment="1">
      <alignment horizontal="center" vertical="center"/>
    </xf>
    <xf numFmtId="0" fontId="17" fillId="0" borderId="27" xfId="6" applyFont="1" applyBorder="1" applyAlignment="1">
      <alignment vertical="center"/>
    </xf>
    <xf numFmtId="0" fontId="26" fillId="0" borderId="0" xfId="6" applyFont="1" applyAlignment="1">
      <alignment horizontal="center" vertical="center" shrinkToFit="1"/>
    </xf>
    <xf numFmtId="0" fontId="17" fillId="0" borderId="28" xfId="6" applyFont="1" applyBorder="1" applyAlignment="1">
      <alignment horizontal="center" vertical="center" shrinkToFit="1"/>
    </xf>
    <xf numFmtId="0" fontId="17" fillId="0" borderId="29" xfId="6" applyFont="1" applyBorder="1" applyAlignment="1">
      <alignment vertical="center" shrinkToFit="1"/>
    </xf>
    <xf numFmtId="0" fontId="27" fillId="0" borderId="7" xfId="6" applyFont="1" applyBorder="1" applyAlignment="1">
      <alignment vertical="center"/>
    </xf>
    <xf numFmtId="179" fontId="26" fillId="0" borderId="7" xfId="6" applyNumberFormat="1" applyFont="1" applyBorder="1" applyAlignment="1">
      <alignment vertical="center"/>
    </xf>
    <xf numFmtId="0" fontId="26" fillId="0" borderId="0" xfId="6" applyFont="1" applyAlignment="1">
      <alignment vertical="center" shrinkToFit="1"/>
    </xf>
    <xf numFmtId="0" fontId="17" fillId="0" borderId="8" xfId="6" applyFont="1" applyBorder="1" applyAlignment="1">
      <alignment horizontal="center" vertical="center"/>
    </xf>
    <xf numFmtId="0" fontId="17" fillId="0" borderId="9" xfId="6" applyFont="1" applyBorder="1" applyAlignment="1">
      <alignment horizontal="center" vertical="center"/>
    </xf>
    <xf numFmtId="0" fontId="17" fillId="0" borderId="10" xfId="6" applyFont="1" applyBorder="1" applyAlignment="1">
      <alignment horizontal="center" vertical="center"/>
    </xf>
    <xf numFmtId="0" fontId="28" fillId="0" borderId="11" xfId="6" applyFont="1" applyBorder="1" applyAlignment="1">
      <alignment horizontal="center" vertical="center"/>
    </xf>
    <xf numFmtId="0" fontId="17" fillId="0" borderId="12" xfId="6" applyFont="1" applyBorder="1" applyAlignment="1">
      <alignment vertical="center"/>
    </xf>
    <xf numFmtId="0" fontId="28" fillId="0" borderId="12" xfId="6" applyFont="1" applyBorder="1" applyAlignment="1">
      <alignment vertical="center"/>
    </xf>
    <xf numFmtId="1" fontId="28" fillId="0" borderId="12" xfId="6" applyNumberFormat="1" applyFont="1" applyBorder="1" applyAlignment="1">
      <alignment horizontal="center" vertical="center"/>
    </xf>
    <xf numFmtId="180" fontId="28" fillId="0" borderId="12" xfId="7" applyFont="1" applyBorder="1" applyAlignment="1">
      <alignment horizontal="right" vertical="center"/>
    </xf>
    <xf numFmtId="0" fontId="28" fillId="0" borderId="13" xfId="6" applyFont="1" applyBorder="1" applyAlignment="1">
      <alignment vertical="center"/>
    </xf>
    <xf numFmtId="0" fontId="28" fillId="0" borderId="14" xfId="6" applyFont="1" applyBorder="1" applyAlignment="1">
      <alignment horizontal="center" vertical="center"/>
    </xf>
    <xf numFmtId="0" fontId="28" fillId="0" borderId="15" xfId="6" applyFont="1" applyBorder="1" applyAlignment="1">
      <alignment horizontal="center" vertical="center"/>
    </xf>
    <xf numFmtId="0" fontId="28" fillId="0" borderId="15" xfId="3" applyFont="1" applyBorder="1" applyAlignment="1">
      <alignment horizontal="center" vertical="center"/>
    </xf>
    <xf numFmtId="1" fontId="28" fillId="0" borderId="15" xfId="6" applyNumberFormat="1" applyFont="1" applyBorder="1" applyAlignment="1">
      <alignment horizontal="center" vertical="center"/>
    </xf>
    <xf numFmtId="180" fontId="28" fillId="0" borderId="15" xfId="7" applyFont="1" applyBorder="1" applyAlignment="1">
      <alignment horizontal="right" vertical="center"/>
    </xf>
    <xf numFmtId="0" fontId="28" fillId="0" borderId="16" xfId="6" quotePrefix="1" applyFont="1" applyBorder="1" applyAlignment="1">
      <alignment vertical="center"/>
    </xf>
    <xf numFmtId="0" fontId="28" fillId="0" borderId="16" xfId="6" applyFont="1" applyBorder="1" applyAlignment="1">
      <alignment vertical="center"/>
    </xf>
    <xf numFmtId="0" fontId="17" fillId="8" borderId="15" xfId="6" applyFont="1" applyFill="1" applyBorder="1" applyAlignment="1">
      <alignment vertical="center"/>
    </xf>
    <xf numFmtId="1" fontId="17" fillId="8" borderId="15" xfId="6" applyNumberFormat="1" applyFont="1" applyFill="1" applyBorder="1" applyAlignment="1">
      <alignment horizontal="center" vertical="center"/>
    </xf>
    <xf numFmtId="180" fontId="17" fillId="8" borderId="15" xfId="7" applyFont="1" applyFill="1" applyBorder="1" applyAlignment="1">
      <alignment horizontal="right" vertical="center"/>
    </xf>
    <xf numFmtId="0" fontId="17" fillId="0" borderId="15" xfId="6" applyFont="1" applyBorder="1" applyAlignment="1">
      <alignment vertical="center"/>
    </xf>
    <xf numFmtId="0" fontId="28" fillId="0" borderId="15" xfId="6" applyFont="1" applyBorder="1" applyAlignment="1">
      <alignment vertical="center"/>
    </xf>
    <xf numFmtId="180" fontId="17" fillId="0" borderId="15" xfId="7" applyFont="1" applyFill="1" applyBorder="1" applyAlignment="1">
      <alignment horizontal="right" vertical="center"/>
    </xf>
    <xf numFmtId="0" fontId="28" fillId="0" borderId="15" xfId="8" applyFont="1" applyBorder="1" applyAlignment="1">
      <alignment horizontal="center" vertical="center"/>
    </xf>
    <xf numFmtId="178" fontId="28" fillId="0" borderId="15" xfId="5" applyFont="1" applyFill="1" applyBorder="1" applyAlignment="1">
      <alignment horizontal="right" vertical="center"/>
    </xf>
    <xf numFmtId="0" fontId="28" fillId="5" borderId="15" xfId="8" applyFont="1" applyFill="1" applyBorder="1" applyAlignment="1">
      <alignment horizontal="center" vertical="center"/>
    </xf>
    <xf numFmtId="0" fontId="28" fillId="5" borderId="15" xfId="6" applyFont="1" applyFill="1" applyBorder="1" applyAlignment="1">
      <alignment vertical="center"/>
    </xf>
    <xf numFmtId="0" fontId="28" fillId="5" borderId="15" xfId="6" applyFont="1" applyFill="1" applyBorder="1" applyAlignment="1">
      <alignment horizontal="center" vertical="center"/>
    </xf>
    <xf numFmtId="178" fontId="28" fillId="5" borderId="15" xfId="5" applyFont="1" applyFill="1" applyBorder="1" applyAlignment="1">
      <alignment horizontal="right" vertical="center"/>
    </xf>
    <xf numFmtId="0" fontId="28" fillId="5" borderId="16" xfId="6" applyFont="1" applyFill="1" applyBorder="1" applyAlignment="1">
      <alignment vertical="center"/>
    </xf>
    <xf numFmtId="0" fontId="28" fillId="0" borderId="15" xfId="3" applyFont="1" applyBorder="1" applyAlignment="1">
      <alignment horizontal="left" vertical="center"/>
    </xf>
    <xf numFmtId="9" fontId="17" fillId="8" borderId="15" xfId="3" applyNumberFormat="1" applyFont="1" applyFill="1" applyBorder="1" applyAlignment="1">
      <alignment horizontal="right" vertical="center"/>
    </xf>
    <xf numFmtId="1" fontId="17" fillId="8" borderId="15" xfId="9" applyNumberFormat="1" applyFont="1" applyFill="1" applyBorder="1" applyAlignment="1">
      <alignment horizontal="center" vertical="center"/>
    </xf>
    <xf numFmtId="177" fontId="17" fillId="8" borderId="15" xfId="7" applyNumberFormat="1" applyFont="1" applyFill="1" applyBorder="1" applyAlignment="1">
      <alignment horizontal="right" vertical="center"/>
    </xf>
    <xf numFmtId="9" fontId="28" fillId="0" borderId="15" xfId="3" applyNumberFormat="1" applyFont="1" applyBorder="1" applyAlignment="1">
      <alignment horizontal="right" vertical="center"/>
    </xf>
    <xf numFmtId="1" fontId="28" fillId="0" borderId="15" xfId="9" applyNumberFormat="1" applyFont="1" applyFill="1" applyBorder="1" applyAlignment="1">
      <alignment horizontal="center" vertical="center"/>
    </xf>
    <xf numFmtId="177" fontId="17" fillId="0" borderId="15" xfId="7" applyNumberFormat="1" applyFont="1" applyFill="1" applyBorder="1" applyAlignment="1">
      <alignment horizontal="right" vertical="center"/>
    </xf>
    <xf numFmtId="0" fontId="28" fillId="0" borderId="15" xfId="3" applyFont="1" applyBorder="1" applyAlignment="1">
      <alignment vertical="center"/>
    </xf>
    <xf numFmtId="180" fontId="28" fillId="5" borderId="15" xfId="7" applyFont="1" applyFill="1" applyBorder="1" applyAlignment="1">
      <alignment horizontal="right" vertical="center"/>
    </xf>
    <xf numFmtId="180" fontId="17" fillId="8" borderId="0" xfId="3" applyNumberFormat="1" applyFont="1" applyFill="1" applyAlignment="1">
      <alignment vertical="center"/>
    </xf>
    <xf numFmtId="0" fontId="17" fillId="0" borderId="17" xfId="6" applyFont="1" applyBorder="1" applyAlignment="1">
      <alignment horizontal="center" vertical="center" textRotation="255"/>
    </xf>
    <xf numFmtId="0" fontId="17" fillId="0" borderId="18" xfId="6" applyFont="1" applyBorder="1" applyAlignment="1">
      <alignment vertical="top"/>
    </xf>
    <xf numFmtId="0" fontId="28" fillId="0" borderId="19" xfId="6" applyFont="1" applyBorder="1" applyAlignment="1">
      <alignment vertical="center"/>
    </xf>
    <xf numFmtId="0" fontId="28" fillId="0" borderId="19" xfId="6" applyFont="1" applyBorder="1" applyAlignment="1">
      <alignment horizontal="right" vertical="center"/>
    </xf>
    <xf numFmtId="0" fontId="28" fillId="0" borderId="20" xfId="6" applyFont="1" applyBorder="1" applyAlignment="1">
      <alignment vertical="center"/>
    </xf>
    <xf numFmtId="0" fontId="17" fillId="0" borderId="0" xfId="10" applyFont="1"/>
    <xf numFmtId="0" fontId="33" fillId="0" borderId="0" xfId="25" applyFont="1">
      <alignment vertical="center"/>
    </xf>
    <xf numFmtId="0" fontId="34" fillId="0" borderId="0" xfId="25" applyFont="1">
      <alignment vertical="center"/>
    </xf>
    <xf numFmtId="0" fontId="33" fillId="0" borderId="0" xfId="25" applyFont="1" applyAlignment="1">
      <alignment horizontal="center" vertical="center"/>
    </xf>
    <xf numFmtId="0" fontId="31" fillId="5" borderId="0" xfId="26" applyNumberFormat="1" applyFont="1" applyFill="1" applyBorder="1" applyAlignment="1">
      <alignment horizontal="center" vertical="center"/>
    </xf>
    <xf numFmtId="177" fontId="31" fillId="0" borderId="0" xfId="26" applyFont="1" applyFill="1" applyBorder="1" applyAlignment="1">
      <alignment horizontal="center" vertical="center" shrinkToFit="1"/>
    </xf>
    <xf numFmtId="0" fontId="35" fillId="5" borderId="0" xfId="25" applyFont="1" applyFill="1" applyAlignment="1">
      <alignment horizontal="center" vertical="center"/>
    </xf>
    <xf numFmtId="0" fontId="32" fillId="0" borderId="0" xfId="0" applyFont="1">
      <alignment vertical="center"/>
    </xf>
    <xf numFmtId="177" fontId="30" fillId="0" borderId="0" xfId="1" applyFont="1" applyFill="1" applyBorder="1">
      <alignment vertical="center"/>
    </xf>
    <xf numFmtId="181" fontId="26" fillId="0" borderId="0" xfId="1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4" fillId="0" borderId="0" xfId="0" applyFont="1">
      <alignment vertical="center"/>
    </xf>
    <xf numFmtId="0" fontId="24" fillId="0" borderId="0" xfId="0" applyFont="1" applyAlignment="1">
      <alignment horizontal="center" vertical="center"/>
    </xf>
    <xf numFmtId="9" fontId="29" fillId="0" borderId="0" xfId="0" applyNumberFormat="1" applyFont="1" applyAlignment="1">
      <alignment horizontal="center" vertical="center"/>
    </xf>
    <xf numFmtId="182" fontId="29" fillId="3" borderId="0" xfId="2" applyNumberFormat="1" applyFont="1" applyFill="1" applyAlignment="1">
      <alignment horizontal="center" vertical="center"/>
    </xf>
    <xf numFmtId="0" fontId="29" fillId="9" borderId="24" xfId="0" applyFont="1" applyFill="1" applyBorder="1">
      <alignment vertical="center"/>
    </xf>
    <xf numFmtId="0" fontId="29" fillId="9" borderId="21" xfId="0" applyFont="1" applyFill="1" applyBorder="1">
      <alignment vertical="center"/>
    </xf>
    <xf numFmtId="0" fontId="29" fillId="4" borderId="22" xfId="0" applyFont="1" applyFill="1" applyBorder="1" applyAlignment="1">
      <alignment horizontal="center" vertical="center"/>
    </xf>
    <xf numFmtId="0" fontId="29" fillId="4" borderId="6" xfId="0" applyFont="1" applyFill="1" applyBorder="1" applyAlignment="1">
      <alignment horizontal="center" vertical="center"/>
    </xf>
    <xf numFmtId="0" fontId="29" fillId="7" borderId="3" xfId="0" applyFont="1" applyFill="1" applyBorder="1" applyAlignment="1">
      <alignment horizontal="center" vertical="center"/>
    </xf>
    <xf numFmtId="0" fontId="29" fillId="4" borderId="3" xfId="3" applyFont="1" applyFill="1" applyBorder="1" applyAlignment="1">
      <alignment horizontal="center" vertical="center"/>
    </xf>
    <xf numFmtId="177" fontId="29" fillId="4" borderId="3" xfId="4" applyFont="1" applyFill="1" applyBorder="1" applyAlignment="1">
      <alignment horizontal="center" vertical="center"/>
    </xf>
    <xf numFmtId="178" fontId="29" fillId="4" borderId="3" xfId="5" applyFont="1" applyFill="1" applyBorder="1" applyAlignment="1">
      <alignment horizontal="center" vertical="center"/>
    </xf>
    <xf numFmtId="0" fontId="24" fillId="6" borderId="22" xfId="0" applyFont="1" applyFill="1" applyBorder="1" applyAlignment="1">
      <alignment horizontal="center" vertical="center"/>
    </xf>
    <xf numFmtId="0" fontId="24" fillId="6" borderId="6" xfId="0" applyFont="1" applyFill="1" applyBorder="1" applyAlignment="1">
      <alignment horizontal="center" vertical="center"/>
    </xf>
    <xf numFmtId="49" fontId="24" fillId="7" borderId="3" xfId="0" applyNumberFormat="1" applyFont="1" applyFill="1" applyBorder="1" applyAlignment="1">
      <alignment horizontal="center" vertical="center" wrapText="1"/>
    </xf>
    <xf numFmtId="0" fontId="24" fillId="7" borderId="3" xfId="0" applyFont="1" applyFill="1" applyBorder="1" applyAlignment="1">
      <alignment horizontal="center" vertical="center"/>
    </xf>
    <xf numFmtId="49" fontId="24" fillId="5" borderId="3" xfId="0" applyNumberFormat="1" applyFont="1" applyFill="1" applyBorder="1" applyAlignment="1">
      <alignment horizontal="center" vertical="center" wrapText="1"/>
    </xf>
    <xf numFmtId="177" fontId="24" fillId="5" borderId="3" xfId="1" applyFont="1" applyFill="1" applyBorder="1" applyAlignment="1">
      <alignment horizontal="center" vertical="center"/>
    </xf>
    <xf numFmtId="183" fontId="24" fillId="5" borderId="3" xfId="1" applyNumberFormat="1" applyFont="1" applyFill="1" applyBorder="1" applyAlignment="1">
      <alignment horizontal="center" vertical="center"/>
    </xf>
    <xf numFmtId="0" fontId="24" fillId="5" borderId="3" xfId="0" applyFont="1" applyFill="1" applyBorder="1">
      <alignment vertical="center"/>
    </xf>
    <xf numFmtId="177" fontId="24" fillId="6" borderId="3" xfId="1" applyFont="1" applyFill="1" applyBorder="1" applyAlignment="1">
      <alignment horizontal="center" vertical="center" wrapText="1"/>
    </xf>
    <xf numFmtId="184" fontId="36" fillId="5" borderId="3" xfId="0" applyNumberFormat="1" applyFont="1" applyFill="1" applyBorder="1" applyAlignment="1">
      <alignment horizontal="right" vertical="center" wrapText="1"/>
    </xf>
    <xf numFmtId="177" fontId="24" fillId="0" borderId="3" xfId="1" applyFont="1" applyFill="1" applyBorder="1" applyAlignment="1">
      <alignment horizontal="center" vertical="center" wrapText="1"/>
    </xf>
    <xf numFmtId="177" fontId="24" fillId="5" borderId="3" xfId="1" applyFont="1" applyFill="1" applyBorder="1" applyAlignment="1">
      <alignment horizontal="center" vertical="center" wrapText="1"/>
    </xf>
    <xf numFmtId="9" fontId="36" fillId="0" borderId="3" xfId="0" applyNumberFormat="1" applyFont="1" applyBorder="1" applyAlignment="1">
      <alignment horizontal="center" vertical="center"/>
    </xf>
    <xf numFmtId="0" fontId="36" fillId="0" borderId="23" xfId="0" applyFont="1" applyBorder="1" applyAlignment="1">
      <alignment horizontal="center" vertical="center"/>
    </xf>
    <xf numFmtId="0" fontId="36" fillId="0" borderId="0" xfId="0" applyFont="1">
      <alignment vertical="center"/>
    </xf>
    <xf numFmtId="177" fontId="24" fillId="0" borderId="3" xfId="1" applyFont="1" applyFill="1" applyBorder="1" applyAlignment="1">
      <alignment horizontal="center" vertical="center"/>
    </xf>
    <xf numFmtId="183" fontId="36" fillId="0" borderId="3" xfId="1" applyNumberFormat="1" applyFont="1" applyFill="1" applyBorder="1" applyAlignment="1">
      <alignment horizontal="center" vertical="center"/>
    </xf>
    <xf numFmtId="177" fontId="24" fillId="6" borderId="6" xfId="1" applyFont="1" applyFill="1" applyBorder="1" applyAlignment="1">
      <alignment horizontal="center" vertical="center" wrapText="1"/>
    </xf>
    <xf numFmtId="0" fontId="28" fillId="10" borderId="0" xfId="0" applyFont="1" applyFill="1">
      <alignment vertical="center"/>
    </xf>
    <xf numFmtId="0" fontId="28" fillId="0" borderId="0" xfId="0" applyFont="1">
      <alignment vertical="center"/>
    </xf>
    <xf numFmtId="177" fontId="17" fillId="10" borderId="0" xfId="0" applyNumberFormat="1" applyFont="1" applyFill="1">
      <alignment vertical="center"/>
    </xf>
    <xf numFmtId="0" fontId="17" fillId="0" borderId="0" xfId="0" applyFont="1">
      <alignment vertical="center"/>
    </xf>
    <xf numFmtId="177" fontId="17" fillId="0" borderId="0" xfId="0" applyNumberFormat="1" applyFont="1">
      <alignment vertical="center"/>
    </xf>
    <xf numFmtId="0" fontId="28" fillId="0" borderId="0" xfId="0" applyFont="1" applyAlignment="1">
      <alignment horizontal="center" vertical="center"/>
    </xf>
    <xf numFmtId="0" fontId="29" fillId="5" borderId="0" xfId="0" applyFont="1" applyFill="1">
      <alignment vertical="center"/>
    </xf>
    <xf numFmtId="177" fontId="24" fillId="0" borderId="0" xfId="0" applyNumberFormat="1" applyFont="1">
      <alignment vertical="center"/>
    </xf>
    <xf numFmtId="184" fontId="24" fillId="5" borderId="3" xfId="0" applyNumberFormat="1" applyFont="1" applyFill="1" applyBorder="1" applyAlignment="1">
      <alignment horizontal="right" vertical="center" wrapText="1"/>
    </xf>
    <xf numFmtId="49" fontId="24" fillId="2" borderId="0" xfId="0" applyNumberFormat="1" applyFont="1" applyFill="1" applyAlignment="1">
      <alignment horizontal="center" vertical="center" wrapText="1"/>
    </xf>
    <xf numFmtId="177" fontId="24" fillId="0" borderId="0" xfId="1" applyFont="1" applyFill="1" applyBorder="1" applyAlignment="1">
      <alignment horizontal="center" vertical="center"/>
    </xf>
    <xf numFmtId="0" fontId="24" fillId="0" borderId="0" xfId="3" applyFont="1" applyAlignment="1">
      <alignment horizontal="center" vertical="center" shrinkToFit="1"/>
    </xf>
    <xf numFmtId="49" fontId="24" fillId="0" borderId="0" xfId="0" applyNumberFormat="1" applyFont="1" applyAlignment="1">
      <alignment horizontal="center" vertical="center" wrapText="1"/>
    </xf>
    <xf numFmtId="183" fontId="24" fillId="0" borderId="0" xfId="1" applyNumberFormat="1" applyFont="1" applyFill="1" applyBorder="1" applyAlignment="1">
      <alignment horizontal="center" vertical="center"/>
    </xf>
    <xf numFmtId="177" fontId="24" fillId="0" borderId="0" xfId="1" applyFont="1" applyFill="1" applyBorder="1">
      <alignment vertical="center"/>
    </xf>
    <xf numFmtId="49" fontId="24" fillId="2" borderId="1" xfId="0" applyNumberFormat="1" applyFont="1" applyFill="1" applyBorder="1" applyAlignment="1">
      <alignment horizontal="center" vertical="center" wrapText="1"/>
    </xf>
    <xf numFmtId="181" fontId="24" fillId="7" borderId="1" xfId="1" applyNumberFormat="1" applyFont="1" applyFill="1" applyBorder="1" applyAlignment="1">
      <alignment horizontal="center" vertical="center"/>
    </xf>
    <xf numFmtId="181" fontId="24" fillId="0" borderId="1" xfId="1" applyNumberFormat="1" applyFont="1" applyBorder="1" applyAlignment="1">
      <alignment horizontal="center" vertical="center"/>
    </xf>
    <xf numFmtId="0" fontId="23" fillId="0" borderId="0" xfId="6" applyFont="1" applyAlignment="1">
      <alignment horizontal="center" vertical="center"/>
    </xf>
    <xf numFmtId="0" fontId="27" fillId="0" borderId="0" xfId="6" applyFont="1" applyAlignment="1">
      <alignment vertical="center"/>
    </xf>
    <xf numFmtId="0" fontId="26" fillId="0" borderId="0" xfId="6" applyFont="1" applyAlignment="1">
      <alignment vertical="center"/>
    </xf>
    <xf numFmtId="0" fontId="17" fillId="0" borderId="4" xfId="6" applyFont="1" applyBorder="1" applyAlignment="1">
      <alignment vertical="center"/>
    </xf>
    <xf numFmtId="0" fontId="17" fillId="0" borderId="5" xfId="6" applyFont="1" applyBorder="1" applyAlignment="1">
      <alignment vertical="center"/>
    </xf>
    <xf numFmtId="0" fontId="17" fillId="0" borderId="6" xfId="6" applyFont="1" applyBorder="1" applyAlignment="1">
      <alignment vertical="center"/>
    </xf>
    <xf numFmtId="0" fontId="17" fillId="0" borderId="4" xfId="6" applyFont="1" applyBorder="1" applyAlignment="1">
      <alignment vertical="center" wrapText="1"/>
    </xf>
    <xf numFmtId="0" fontId="17" fillId="0" borderId="5" xfId="6" applyFont="1" applyBorder="1" applyAlignment="1">
      <alignment vertical="center" wrapText="1"/>
    </xf>
    <xf numFmtId="0" fontId="17" fillId="0" borderId="6" xfId="6" applyFont="1" applyBorder="1" applyAlignment="1">
      <alignment vertical="center" wrapText="1"/>
    </xf>
    <xf numFmtId="0" fontId="29" fillId="0" borderId="0" xfId="0" applyFont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9" fillId="0" borderId="30" xfId="0" applyFont="1" applyBorder="1" applyAlignment="1">
      <alignment horizontal="center" vertical="center"/>
    </xf>
    <xf numFmtId="0" fontId="29" fillId="9" borderId="4" xfId="0" applyFont="1" applyFill="1" applyBorder="1" applyAlignment="1">
      <alignment horizontal="center" vertical="center"/>
    </xf>
    <xf numFmtId="177" fontId="29" fillId="4" borderId="21" xfId="4" applyFont="1" applyFill="1" applyBorder="1" applyAlignment="1">
      <alignment horizontal="center" vertical="center"/>
    </xf>
    <xf numFmtId="178" fontId="29" fillId="4" borderId="21" xfId="5" applyFont="1" applyFill="1" applyBorder="1" applyAlignment="1">
      <alignment horizontal="center" vertical="center"/>
    </xf>
    <xf numFmtId="0" fontId="29" fillId="4" borderId="21" xfId="0" applyFont="1" applyFill="1" applyBorder="1" applyAlignment="1">
      <alignment horizontal="center" vertical="center"/>
    </xf>
    <xf numFmtId="0" fontId="29" fillId="4" borderId="3" xfId="0" applyFont="1" applyFill="1" applyBorder="1" applyAlignment="1">
      <alignment horizontal="center" vertical="center"/>
    </xf>
    <xf numFmtId="0" fontId="29" fillId="4" borderId="21" xfId="3" applyFont="1" applyFill="1" applyBorder="1" applyAlignment="1">
      <alignment horizontal="center" vertical="center"/>
    </xf>
    <xf numFmtId="0" fontId="29" fillId="4" borderId="3" xfId="3" applyFont="1" applyFill="1" applyBorder="1" applyAlignment="1">
      <alignment horizontal="center" vertical="center"/>
    </xf>
  </cellXfs>
  <cellStyles count="31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2 3" xfId="27" xr:uid="{84145116-34A3-4978-AA23-E773F15D72CE}"/>
    <cellStyle name="쉼표 [0] 2 4" xfId="20" xr:uid="{C58DB114-3DFC-48BF-B279-68E81CF1801D}"/>
    <cellStyle name="쉼표 [0] 2 4 2" xfId="23" xr:uid="{3070FDD1-D076-4267-9734-55DC834440C4}"/>
    <cellStyle name="쉼표 [0] 2 4 3" xfId="26" xr:uid="{466D6A9D-2A7A-4571-B4E2-02F547DF6FB9}"/>
    <cellStyle name="쉼표 [0] 3" xfId="16" xr:uid="{8F7BE219-40E1-4BBB-A9BD-02188B74B2A3}"/>
    <cellStyle name="쉼표 [0] 4" xfId="29" xr:uid="{CC0B73B0-7462-4D01-B0C9-D11C17A5C7E0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4 2" xfId="30" xr:uid="{A898D59C-3907-4A75-B1F7-B14959F506CD}"/>
    <cellStyle name="표준 5" xfId="17" xr:uid="{B39ACF8E-5B1E-4331-957C-34579729CB23}"/>
    <cellStyle name="표준 7" xfId="19" xr:uid="{770BEF39-67CB-4F3D-B0A1-B9F2AC9B03D6}"/>
    <cellStyle name="표준 7 2" xfId="21" xr:uid="{BBDF599D-71D4-4FB2-A99A-2A9C80AF2F9D}"/>
    <cellStyle name="표준 7 2 2" xfId="24" xr:uid="{BCA625FF-3FCE-40BD-81AF-FBF4F681E961}"/>
    <cellStyle name="표준 7 3" xfId="22" xr:uid="{A72D0E51-CAF5-48A9-AF10-3C24C6DC4809}"/>
    <cellStyle name="표준 7 4" xfId="25" xr:uid="{E41D2D8C-4847-4DF4-B71B-D261D8C7B5A5}"/>
    <cellStyle name="표준 7 5" xfId="28" xr:uid="{45A185AB-D45B-4577-8C95-A6E8E02BCB48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39168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91122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145550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190500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136025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131943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142874</xdr:rowOff>
    </xdr:from>
    <xdr:to>
      <xdr:col>14</xdr:col>
      <xdr:colOff>601675</xdr:colOff>
      <xdr:row>15</xdr:row>
      <xdr:rowOff>57998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585617E1-EB18-46C1-B0AF-4D8F0D39D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085974"/>
          <a:ext cx="13771575" cy="29377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6" zoomScale="85" zoomScaleNormal="85" workbookViewId="0">
      <selection activeCell="K21" sqref="K21"/>
    </sheetView>
  </sheetViews>
  <sheetFormatPr defaultColWidth="9" defaultRowHeight="13.5" x14ac:dyDescent="0.25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9" width="9" style="3"/>
    <col min="10" max="16384" width="9" style="4"/>
  </cols>
  <sheetData>
    <row r="2" spans="1:9" ht="33" x14ac:dyDescent="0.25">
      <c r="A2" s="126" t="s">
        <v>6</v>
      </c>
      <c r="B2" s="126"/>
      <c r="C2" s="126"/>
      <c r="D2" s="126"/>
      <c r="E2" s="126"/>
      <c r="F2" s="126"/>
      <c r="G2" s="126"/>
      <c r="H2" s="2"/>
    </row>
    <row r="3" spans="1:9" ht="14.25" x14ac:dyDescent="0.25">
      <c r="A3" s="5"/>
      <c r="B3" s="5"/>
      <c r="C3" s="5"/>
      <c r="D3" s="5"/>
      <c r="E3" s="5"/>
      <c r="F3" s="5"/>
      <c r="G3" s="5"/>
      <c r="H3" s="5"/>
    </row>
    <row r="4" spans="1:9" ht="14.25" x14ac:dyDescent="0.25">
      <c r="A4" s="5"/>
      <c r="B4" s="5"/>
      <c r="C4" s="5"/>
      <c r="D4" s="5"/>
      <c r="E4" s="5"/>
      <c r="H4" s="5"/>
    </row>
    <row r="5" spans="1:9" ht="27" customHeight="1" x14ac:dyDescent="0.25">
      <c r="A5" s="6" t="s">
        <v>65</v>
      </c>
      <c r="B5" s="7"/>
      <c r="C5" s="8"/>
      <c r="D5" s="5"/>
      <c r="E5" s="5"/>
      <c r="F5" s="9" t="s">
        <v>39</v>
      </c>
      <c r="G5" s="10" t="s">
        <v>69</v>
      </c>
      <c r="H5" s="5"/>
    </row>
    <row r="6" spans="1:9" ht="27" customHeight="1" x14ac:dyDescent="0.25">
      <c r="A6" s="5"/>
      <c r="B6" s="5"/>
      <c r="C6" s="5"/>
      <c r="D6" s="5"/>
      <c r="E6" s="5"/>
      <c r="F6" s="11" t="s">
        <v>42</v>
      </c>
      <c r="G6" s="12" t="s">
        <v>70</v>
      </c>
      <c r="H6" s="5"/>
    </row>
    <row r="7" spans="1:9" ht="27" customHeight="1" x14ac:dyDescent="0.25">
      <c r="A7" s="132" t="s">
        <v>131</v>
      </c>
      <c r="B7" s="133"/>
      <c r="C7" s="134"/>
      <c r="D7" s="5"/>
      <c r="E7" s="13"/>
      <c r="F7" s="14" t="s">
        <v>43</v>
      </c>
      <c r="G7" s="12" t="s">
        <v>71</v>
      </c>
      <c r="H7" s="5"/>
    </row>
    <row r="8" spans="1:9" ht="27" customHeight="1" x14ac:dyDescent="0.25">
      <c r="A8" s="5"/>
      <c r="B8" s="5"/>
      <c r="C8" s="5"/>
      <c r="D8" s="5"/>
      <c r="E8" s="5"/>
      <c r="F8" s="11" t="s">
        <v>44</v>
      </c>
      <c r="G8" s="12" t="s">
        <v>72</v>
      </c>
      <c r="H8" s="5"/>
    </row>
    <row r="9" spans="1:9" ht="27" customHeight="1" x14ac:dyDescent="0.25">
      <c r="A9" s="129" t="s">
        <v>132</v>
      </c>
      <c r="B9" s="130"/>
      <c r="C9" s="131"/>
      <c r="D9" s="5"/>
      <c r="E9" s="5"/>
      <c r="F9" s="11" t="s">
        <v>45</v>
      </c>
      <c r="G9" s="12" t="s">
        <v>73</v>
      </c>
      <c r="H9" s="5"/>
    </row>
    <row r="10" spans="1:9" ht="27" customHeight="1" x14ac:dyDescent="0.25">
      <c r="A10" s="5"/>
      <c r="B10" s="5"/>
      <c r="C10" s="5"/>
      <c r="D10" s="5"/>
      <c r="E10" s="5"/>
      <c r="F10" s="15" t="s">
        <v>40</v>
      </c>
      <c r="G10" s="16" t="s">
        <v>74</v>
      </c>
      <c r="H10" s="5"/>
      <c r="I10" s="5"/>
    </row>
    <row r="11" spans="1:9" ht="27" customHeight="1" x14ac:dyDescent="0.25">
      <c r="A11" s="127"/>
      <c r="B11" s="128"/>
      <c r="C11" s="128"/>
      <c r="D11" s="5"/>
      <c r="E11" s="17"/>
      <c r="F11" s="18" t="s">
        <v>41</v>
      </c>
      <c r="G11" s="19" t="s">
        <v>75</v>
      </c>
      <c r="H11" s="17"/>
    </row>
    <row r="12" spans="1:9" ht="18.75" thickBot="1" x14ac:dyDescent="0.3">
      <c r="A12" s="20" t="s">
        <v>7</v>
      </c>
      <c r="B12" s="20" t="str">
        <f>NUMBERSTRING(F31,1)</f>
        <v>삼백육십일만사천</v>
      </c>
      <c r="C12" s="21"/>
      <c r="D12" s="1" t="s">
        <v>8</v>
      </c>
      <c r="E12" s="1" t="s">
        <v>9</v>
      </c>
      <c r="F12" s="1" t="s">
        <v>9</v>
      </c>
      <c r="G12" s="1"/>
      <c r="H12" s="22"/>
    </row>
    <row r="13" spans="1:9" ht="15.75" thickTop="1" thickBot="1" x14ac:dyDescent="0.3">
      <c r="A13" s="5"/>
      <c r="B13" s="5"/>
      <c r="C13" s="5"/>
      <c r="D13" s="5"/>
      <c r="E13" s="5"/>
      <c r="F13" s="5"/>
      <c r="G13" s="5"/>
      <c r="H13" s="22"/>
    </row>
    <row r="14" spans="1:9" ht="33" customHeight="1" thickBot="1" x14ac:dyDescent="0.3">
      <c r="A14" s="23" t="s">
        <v>10</v>
      </c>
      <c r="B14" s="24" t="s">
        <v>11</v>
      </c>
      <c r="C14" s="24" t="s">
        <v>12</v>
      </c>
      <c r="D14" s="24" t="s">
        <v>13</v>
      </c>
      <c r="E14" s="24" t="s">
        <v>14</v>
      </c>
      <c r="F14" s="24" t="s">
        <v>15</v>
      </c>
      <c r="G14" s="25" t="s">
        <v>16</v>
      </c>
      <c r="H14" s="22"/>
    </row>
    <row r="15" spans="1:9" ht="33" customHeight="1" thickTop="1" x14ac:dyDescent="0.25">
      <c r="A15" s="26"/>
      <c r="B15" s="27" t="s">
        <v>17</v>
      </c>
      <c r="C15" s="28"/>
      <c r="D15" s="29"/>
      <c r="E15" s="29"/>
      <c r="F15" s="30"/>
      <c r="G15" s="31"/>
    </row>
    <row r="16" spans="1:9" ht="33" customHeight="1" x14ac:dyDescent="0.25">
      <c r="A16" s="32"/>
      <c r="B16" s="33" t="s">
        <v>18</v>
      </c>
      <c r="C16" s="34"/>
      <c r="D16" s="35"/>
      <c r="E16" s="35"/>
      <c r="F16" s="36">
        <f>'내역서(표준단가)'!O18</f>
        <v>692674.25</v>
      </c>
      <c r="G16" s="37"/>
    </row>
    <row r="17" spans="1:9" ht="33" customHeight="1" x14ac:dyDescent="0.25">
      <c r="A17" s="32"/>
      <c r="B17" s="33" t="s">
        <v>19</v>
      </c>
      <c r="C17" s="34"/>
      <c r="D17" s="35"/>
      <c r="E17" s="35"/>
      <c r="F17" s="36">
        <f>'내역서(표준단가)'!Q18</f>
        <v>2294322.7120000003</v>
      </c>
      <c r="G17" s="38"/>
      <c r="H17" s="4"/>
      <c r="I17" s="4"/>
    </row>
    <row r="18" spans="1:9" ht="33" customHeight="1" x14ac:dyDescent="0.25">
      <c r="A18" s="32"/>
      <c r="B18" s="33" t="s">
        <v>20</v>
      </c>
      <c r="C18" s="34"/>
      <c r="D18" s="35"/>
      <c r="E18" s="35"/>
      <c r="F18" s="36">
        <f>'내역서(표준단가)'!S18+'내역서(표준단가)'!U18</f>
        <v>106003.25</v>
      </c>
      <c r="G18" s="38"/>
      <c r="H18" s="4"/>
      <c r="I18" s="4"/>
    </row>
    <row r="19" spans="1:9" ht="33" customHeight="1" x14ac:dyDescent="0.25">
      <c r="A19" s="32"/>
      <c r="B19" s="39" t="s">
        <v>21</v>
      </c>
      <c r="C19" s="39"/>
      <c r="D19" s="40"/>
      <c r="E19" s="40"/>
      <c r="F19" s="41">
        <f>F16+F17+F18</f>
        <v>3093000.2120000003</v>
      </c>
      <c r="G19" s="38"/>
      <c r="H19" s="4"/>
      <c r="I19" s="4"/>
    </row>
    <row r="20" spans="1:9" ht="33" customHeight="1" x14ac:dyDescent="0.25">
      <c r="A20" s="32"/>
      <c r="B20" s="42" t="s">
        <v>22</v>
      </c>
      <c r="C20" s="43"/>
      <c r="D20" s="35"/>
      <c r="E20" s="35"/>
      <c r="F20" s="44"/>
      <c r="G20" s="38"/>
      <c r="H20" s="4"/>
      <c r="I20" s="4"/>
    </row>
    <row r="21" spans="1:9" ht="33" customHeight="1" x14ac:dyDescent="0.25">
      <c r="A21" s="32"/>
      <c r="B21" s="45" t="s">
        <v>23</v>
      </c>
      <c r="C21" s="43" t="s">
        <v>24</v>
      </c>
      <c r="D21" s="33">
        <v>1</v>
      </c>
      <c r="E21" s="33" t="s">
        <v>25</v>
      </c>
      <c r="F21" s="46">
        <f>F17*4.5%</f>
        <v>103244.52204000001</v>
      </c>
      <c r="G21" s="38" t="s">
        <v>26</v>
      </c>
      <c r="H21" s="4"/>
      <c r="I21" s="4"/>
    </row>
    <row r="22" spans="1:9" ht="33" customHeight="1" x14ac:dyDescent="0.25">
      <c r="A22" s="32"/>
      <c r="B22" s="47" t="s">
        <v>27</v>
      </c>
      <c r="C22" s="48" t="s">
        <v>66</v>
      </c>
      <c r="D22" s="49">
        <v>1</v>
      </c>
      <c r="E22" s="49" t="s">
        <v>25</v>
      </c>
      <c r="F22" s="50">
        <f>F17*3.545%</f>
        <v>81333.740140400012</v>
      </c>
      <c r="G22" s="51" t="s">
        <v>28</v>
      </c>
      <c r="H22" s="4"/>
      <c r="I22" s="4"/>
    </row>
    <row r="23" spans="1:9" ht="33" customHeight="1" x14ac:dyDescent="0.25">
      <c r="A23" s="32"/>
      <c r="B23" s="45" t="s">
        <v>29</v>
      </c>
      <c r="C23" s="43" t="s">
        <v>67</v>
      </c>
      <c r="D23" s="33">
        <v>1</v>
      </c>
      <c r="E23" s="33" t="s">
        <v>25</v>
      </c>
      <c r="F23" s="46">
        <f>F22*12.95%</f>
        <v>10532.719348181801</v>
      </c>
      <c r="G23" s="38" t="s">
        <v>28</v>
      </c>
      <c r="H23" s="4"/>
      <c r="I23" s="4"/>
    </row>
    <row r="24" spans="1:9" ht="33" customHeight="1" x14ac:dyDescent="0.25">
      <c r="A24" s="32"/>
      <c r="B24" s="45" t="s">
        <v>30</v>
      </c>
      <c r="C24" s="43" t="s">
        <v>47</v>
      </c>
      <c r="D24" s="33">
        <v>1</v>
      </c>
      <c r="E24" s="33" t="s">
        <v>25</v>
      </c>
      <c r="F24" s="46">
        <f>F17*1.01%</f>
        <v>23172.659391200003</v>
      </c>
      <c r="G24" s="38" t="s">
        <v>28</v>
      </c>
      <c r="H24" s="4"/>
      <c r="I24" s="4"/>
    </row>
    <row r="25" spans="1:9" ht="33" customHeight="1" x14ac:dyDescent="0.25">
      <c r="A25" s="32"/>
      <c r="B25" s="45" t="s">
        <v>31</v>
      </c>
      <c r="C25" s="43" t="s">
        <v>68</v>
      </c>
      <c r="D25" s="33">
        <v>1</v>
      </c>
      <c r="E25" s="33" t="s">
        <v>25</v>
      </c>
      <c r="F25" s="46">
        <f>F17*3.56%</f>
        <v>81677.888547200011</v>
      </c>
      <c r="G25" s="38" t="s">
        <v>28</v>
      </c>
      <c r="H25" s="4"/>
      <c r="I25" s="4"/>
    </row>
    <row r="26" spans="1:9" ht="33" customHeight="1" x14ac:dyDescent="0.25">
      <c r="A26" s="32"/>
      <c r="B26" s="45" t="s">
        <v>32</v>
      </c>
      <c r="C26" s="52" t="s">
        <v>36</v>
      </c>
      <c r="D26" s="33">
        <v>1</v>
      </c>
      <c r="E26" s="33" t="s">
        <v>25</v>
      </c>
      <c r="F26" s="46">
        <f>(F16+F17)*2.93%</f>
        <v>87519.010986600013</v>
      </c>
      <c r="G26" s="38" t="s">
        <v>26</v>
      </c>
      <c r="H26" s="4"/>
      <c r="I26" s="4"/>
    </row>
    <row r="27" spans="1:9" ht="33" customHeight="1" x14ac:dyDescent="0.25">
      <c r="A27" s="32"/>
      <c r="B27" s="45" t="s">
        <v>37</v>
      </c>
      <c r="C27" s="52" t="s">
        <v>38</v>
      </c>
      <c r="D27" s="33">
        <v>1</v>
      </c>
      <c r="E27" s="33" t="s">
        <v>25</v>
      </c>
      <c r="F27" s="46">
        <f>SUM(F17+F21+F22+F23+F24+F25+F26)*5%</f>
        <v>134090.16262267911</v>
      </c>
      <c r="G27" s="38"/>
      <c r="H27" s="4"/>
      <c r="I27" s="4"/>
    </row>
    <row r="28" spans="1:9" ht="33" customHeight="1" x14ac:dyDescent="0.25">
      <c r="A28" s="32"/>
      <c r="B28" s="39" t="s">
        <v>33</v>
      </c>
      <c r="C28" s="53"/>
      <c r="D28" s="54"/>
      <c r="E28" s="40"/>
      <c r="F28" s="55">
        <f>F21+F22+F23+F24+F25+F26+F27</f>
        <v>521570.70307626098</v>
      </c>
      <c r="G28" s="38"/>
      <c r="H28" s="4"/>
      <c r="I28" s="4"/>
    </row>
    <row r="29" spans="1:9" ht="33" customHeight="1" x14ac:dyDescent="0.25">
      <c r="A29" s="32"/>
      <c r="B29" s="43"/>
      <c r="C29" s="56"/>
      <c r="D29" s="57"/>
      <c r="E29" s="35"/>
      <c r="F29" s="58"/>
      <c r="G29" s="38"/>
      <c r="H29" s="4"/>
      <c r="I29" s="4"/>
    </row>
    <row r="30" spans="1:9" ht="33" customHeight="1" x14ac:dyDescent="0.25">
      <c r="A30" s="32"/>
      <c r="B30" s="59"/>
      <c r="C30" s="56"/>
      <c r="D30" s="57"/>
      <c r="E30" s="35"/>
      <c r="F30" s="60">
        <f>F19+F28+F29</f>
        <v>3614570.9150762614</v>
      </c>
      <c r="G30" s="38"/>
      <c r="H30" s="4"/>
      <c r="I30" s="4"/>
    </row>
    <row r="31" spans="1:9" ht="33" customHeight="1" x14ac:dyDescent="0.25">
      <c r="A31" s="32"/>
      <c r="B31" s="39" t="s">
        <v>34</v>
      </c>
      <c r="C31" s="39"/>
      <c r="D31" s="40"/>
      <c r="E31" s="40"/>
      <c r="F31" s="61">
        <f>ROUNDDOWN(F30,-3)</f>
        <v>3614000</v>
      </c>
      <c r="G31" s="38"/>
      <c r="H31" s="4"/>
      <c r="I31" s="4"/>
    </row>
    <row r="32" spans="1:9" ht="33" customHeight="1" thickBot="1" x14ac:dyDescent="0.3">
      <c r="A32" s="62"/>
      <c r="B32" s="63" t="s">
        <v>35</v>
      </c>
      <c r="C32" s="64"/>
      <c r="D32" s="64"/>
      <c r="E32" s="64"/>
      <c r="F32" s="65"/>
      <c r="G32" s="66"/>
      <c r="H32" s="4"/>
      <c r="I32" s="4"/>
    </row>
    <row r="33" spans="2:2" s="4" customFormat="1" ht="15.75" x14ac:dyDescent="0.25">
      <c r="B33" s="67"/>
    </row>
    <row r="34" spans="2:2" s="4" customFormat="1" ht="15.75" x14ac:dyDescent="0.25">
      <c r="B34" s="67"/>
    </row>
  </sheetData>
  <mergeCells count="4">
    <mergeCell ref="A2:G2"/>
    <mergeCell ref="A11:C11"/>
    <mergeCell ref="A9:C9"/>
    <mergeCell ref="A7:C7"/>
  </mergeCells>
  <phoneticPr fontId="10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22"/>
  <sheetViews>
    <sheetView showGridLines="0" zoomScale="115" zoomScaleNormal="115" workbookViewId="0">
      <selection activeCell="M15" sqref="M15"/>
    </sheetView>
  </sheetViews>
  <sheetFormatPr defaultColWidth="9" defaultRowHeight="12.75" x14ac:dyDescent="0.3"/>
  <cols>
    <col min="1" max="1" width="19.375" style="114" bestFit="1" customWidth="1"/>
    <col min="2" max="5" width="18.5" style="114" hidden="1" customWidth="1"/>
    <col min="6" max="6" width="60.25" style="78" hidden="1" customWidth="1"/>
    <col min="7" max="7" width="19.25" style="78" hidden="1" customWidth="1"/>
    <col min="8" max="8" width="16.625" style="78" hidden="1" customWidth="1"/>
    <col min="9" max="9" width="10.125" style="78" hidden="1" customWidth="1"/>
    <col min="10" max="10" width="30.75" style="78" bestFit="1" customWidth="1"/>
    <col min="11" max="11" width="22.875" style="78" bestFit="1" customWidth="1"/>
    <col min="12" max="12" width="9.625" style="78" bestFit="1" customWidth="1"/>
    <col min="13" max="13" width="6.5" style="78" bestFit="1" customWidth="1"/>
    <col min="14" max="14" width="10.25" style="78" bestFit="1" customWidth="1"/>
    <col min="15" max="15" width="12.5" style="78" bestFit="1" customWidth="1"/>
    <col min="16" max="16" width="9" style="78" bestFit="1" customWidth="1"/>
    <col min="17" max="17" width="14.5" style="78" bestFit="1" customWidth="1"/>
    <col min="18" max="18" width="8.125" style="78" hidden="1" customWidth="1"/>
    <col min="19" max="19" width="9.375" style="78" hidden="1" customWidth="1"/>
    <col min="20" max="20" width="9" style="78" hidden="1" customWidth="1"/>
    <col min="21" max="21" width="10.5" style="78" hidden="1" customWidth="1"/>
    <col min="22" max="22" width="14.5" style="78" bestFit="1" customWidth="1"/>
    <col min="23" max="23" width="10.625" style="79" bestFit="1" customWidth="1"/>
    <col min="24" max="24" width="8.5" style="78" bestFit="1" customWidth="1"/>
    <col min="25" max="16384" width="9" style="78"/>
  </cols>
  <sheetData>
    <row r="1" spans="1:24" ht="19.899999999999999" customHeight="1" x14ac:dyDescent="0.3">
      <c r="A1" s="135"/>
      <c r="B1" s="135"/>
      <c r="C1" s="135"/>
      <c r="D1" s="135"/>
      <c r="E1" s="135"/>
      <c r="F1" s="135"/>
      <c r="G1" s="135"/>
      <c r="H1" s="135"/>
      <c r="I1" s="135"/>
      <c r="N1" s="79"/>
      <c r="O1" s="77" t="s">
        <v>109</v>
      </c>
      <c r="Q1" s="77" t="s">
        <v>109</v>
      </c>
      <c r="S1" s="77" t="s">
        <v>109</v>
      </c>
      <c r="U1" s="77" t="s">
        <v>109</v>
      </c>
    </row>
    <row r="2" spans="1:24" ht="19.899999999999999" customHeight="1" thickBot="1" x14ac:dyDescent="0.35">
      <c r="A2" s="135"/>
      <c r="B2" s="135"/>
      <c r="C2" s="135"/>
      <c r="D2" s="135"/>
      <c r="E2" s="135"/>
      <c r="F2" s="135"/>
      <c r="G2" s="135"/>
      <c r="H2" s="135"/>
      <c r="I2" s="135"/>
      <c r="N2" s="80"/>
      <c r="O2" s="81">
        <v>0.83499999999999996</v>
      </c>
      <c r="Q2" s="81">
        <v>0.83499999999999996</v>
      </c>
      <c r="S2" s="81">
        <v>0.83499999999999996</v>
      </c>
      <c r="U2" s="81">
        <v>0.83499999999999996</v>
      </c>
    </row>
    <row r="3" spans="1:24" ht="19.899999999999999" customHeight="1" x14ac:dyDescent="0.3">
      <c r="A3" s="82"/>
      <c r="B3" s="82"/>
      <c r="C3" s="82"/>
      <c r="D3" s="82"/>
      <c r="E3" s="82"/>
      <c r="F3" s="82" t="s">
        <v>110</v>
      </c>
      <c r="G3" s="83"/>
      <c r="H3" s="83"/>
      <c r="I3" s="83"/>
      <c r="J3" s="144" t="s">
        <v>111</v>
      </c>
      <c r="K3" s="144"/>
      <c r="L3" s="144" t="s">
        <v>52</v>
      </c>
      <c r="M3" s="144" t="s">
        <v>5</v>
      </c>
      <c r="N3" s="140" t="s">
        <v>112</v>
      </c>
      <c r="O3" s="140"/>
      <c r="P3" s="140" t="s">
        <v>113</v>
      </c>
      <c r="Q3" s="140"/>
      <c r="R3" s="141" t="s">
        <v>114</v>
      </c>
      <c r="S3" s="141"/>
      <c r="T3" s="141" t="s">
        <v>115</v>
      </c>
      <c r="U3" s="141"/>
      <c r="V3" s="142" t="s">
        <v>116</v>
      </c>
      <c r="W3" s="138" t="s">
        <v>117</v>
      </c>
      <c r="X3" s="136" t="s">
        <v>46</v>
      </c>
    </row>
    <row r="4" spans="1:24" ht="19.899999999999999" customHeight="1" x14ac:dyDescent="0.3">
      <c r="A4" s="84" t="s">
        <v>118</v>
      </c>
      <c r="B4" s="85"/>
      <c r="C4" s="85"/>
      <c r="D4" s="85"/>
      <c r="E4" s="85"/>
      <c r="F4" s="86" t="s">
        <v>119</v>
      </c>
      <c r="G4" s="86" t="s">
        <v>120</v>
      </c>
      <c r="H4" s="86" t="s">
        <v>121</v>
      </c>
      <c r="I4" s="86" t="s">
        <v>122</v>
      </c>
      <c r="J4" s="87" t="s">
        <v>123</v>
      </c>
      <c r="K4" s="87" t="s">
        <v>124</v>
      </c>
      <c r="L4" s="145"/>
      <c r="M4" s="145"/>
      <c r="N4" s="88" t="s">
        <v>125</v>
      </c>
      <c r="O4" s="89" t="s">
        <v>126</v>
      </c>
      <c r="P4" s="88" t="s">
        <v>127</v>
      </c>
      <c r="Q4" s="89" t="s">
        <v>126</v>
      </c>
      <c r="R4" s="89" t="s">
        <v>128</v>
      </c>
      <c r="S4" s="89" t="s">
        <v>126</v>
      </c>
      <c r="T4" s="89" t="s">
        <v>128</v>
      </c>
      <c r="U4" s="89" t="s">
        <v>126</v>
      </c>
      <c r="V4" s="143"/>
      <c r="W4" s="139"/>
      <c r="X4" s="137"/>
    </row>
    <row r="5" spans="1:24" s="104" customFormat="1" ht="19.899999999999999" customHeight="1" x14ac:dyDescent="0.3">
      <c r="A5" s="90" t="str">
        <f t="shared" ref="A5" si="0">F5&amp;G5&amp;H5&amp;I5</f>
        <v>D02339</v>
      </c>
      <c r="B5" s="91"/>
      <c r="C5" s="91"/>
      <c r="D5" s="91"/>
      <c r="E5" s="91"/>
      <c r="F5" s="92" t="s">
        <v>78</v>
      </c>
      <c r="G5" s="93"/>
      <c r="H5" s="93"/>
      <c r="I5" s="93"/>
      <c r="J5" s="94" t="s">
        <v>92</v>
      </c>
      <c r="K5" s="94" t="s">
        <v>77</v>
      </c>
      <c r="L5" s="95" t="s">
        <v>129</v>
      </c>
      <c r="M5" s="96">
        <v>14</v>
      </c>
      <c r="N5" s="97"/>
      <c r="O5" s="98">
        <f t="shared" ref="O5" si="1">SUM(N5:N5)*M5*$O$2</f>
        <v>0</v>
      </c>
      <c r="P5" s="116">
        <v>24278</v>
      </c>
      <c r="Q5" s="98">
        <f t="shared" ref="Q5" si="2">(P5*M5)*$Q$2</f>
        <v>283809.82</v>
      </c>
      <c r="R5" s="100"/>
      <c r="S5" s="98">
        <f t="shared" ref="S5" si="3">R5*M5*$S$2</f>
        <v>0</v>
      </c>
      <c r="T5" s="100"/>
      <c r="U5" s="98">
        <f t="shared" ref="U5" si="4">T5*M5*$U$2</f>
        <v>0</v>
      </c>
      <c r="V5" s="101">
        <f t="shared" ref="V5" si="5">SUM(O5+Q5)+S5+U5</f>
        <v>283809.82</v>
      </c>
      <c r="W5" s="102"/>
      <c r="X5" s="103"/>
    </row>
    <row r="6" spans="1:24" s="104" customFormat="1" ht="19.899999999999999" customHeight="1" x14ac:dyDescent="0.3">
      <c r="A6" s="90" t="str">
        <f t="shared" ref="A6:A16" si="6">F6&amp;G6&amp;H6&amp;I6</f>
        <v>L003</v>
      </c>
      <c r="B6" s="91"/>
      <c r="C6" s="91"/>
      <c r="D6" s="91"/>
      <c r="E6" s="91"/>
      <c r="F6" s="92"/>
      <c r="G6" s="93"/>
      <c r="H6" s="93"/>
      <c r="I6" s="93" t="s">
        <v>87</v>
      </c>
      <c r="J6" s="94" t="s">
        <v>93</v>
      </c>
      <c r="K6" s="94" t="s">
        <v>94</v>
      </c>
      <c r="L6" s="95" t="s">
        <v>104</v>
      </c>
      <c r="M6" s="96">
        <v>1.5</v>
      </c>
      <c r="N6" s="97"/>
      <c r="O6" s="98">
        <f t="shared" ref="O6:O15" si="7">SUM(N6:N6)*M6*$O$2</f>
        <v>0</v>
      </c>
      <c r="P6" s="116">
        <v>208527</v>
      </c>
      <c r="Q6" s="98">
        <f>M6*P6</f>
        <v>312790.5</v>
      </c>
      <c r="R6" s="100"/>
      <c r="S6" s="98">
        <f t="shared" ref="S6:S16" si="8">R6*M6*$S$2</f>
        <v>0</v>
      </c>
      <c r="T6" s="100"/>
      <c r="U6" s="98">
        <f t="shared" ref="U6:U16" si="9">T6*M6*$U$2</f>
        <v>0</v>
      </c>
      <c r="V6" s="101">
        <f t="shared" ref="V6:V16" si="10">SUM(O6+Q6)+S6+U6</f>
        <v>312790.5</v>
      </c>
      <c r="W6" s="102"/>
      <c r="X6" s="103"/>
    </row>
    <row r="7" spans="1:24" s="104" customFormat="1" ht="19.899999999999999" customHeight="1" x14ac:dyDescent="0.3">
      <c r="A7" s="90" t="str">
        <f t="shared" si="6"/>
        <v>M011902400300101</v>
      </c>
      <c r="B7" s="91"/>
      <c r="C7" s="91"/>
      <c r="D7" s="91"/>
      <c r="E7" s="91"/>
      <c r="F7" s="92"/>
      <c r="G7" s="93"/>
      <c r="H7" s="93" t="s">
        <v>86</v>
      </c>
      <c r="I7" s="93"/>
      <c r="J7" s="94" t="s">
        <v>107</v>
      </c>
      <c r="K7" s="94" t="s">
        <v>85</v>
      </c>
      <c r="L7" s="95" t="s">
        <v>130</v>
      </c>
      <c r="M7" s="96">
        <v>23</v>
      </c>
      <c r="N7" s="97">
        <v>5900</v>
      </c>
      <c r="O7" s="98">
        <f t="shared" si="7"/>
        <v>113309.5</v>
      </c>
      <c r="P7" s="116"/>
      <c r="Q7" s="98">
        <f t="shared" ref="Q7:Q12" si="11">(P7*M7)*$Q$2</f>
        <v>0</v>
      </c>
      <c r="R7" s="100"/>
      <c r="S7" s="98">
        <f t="shared" si="8"/>
        <v>0</v>
      </c>
      <c r="T7" s="100"/>
      <c r="U7" s="98">
        <f t="shared" si="9"/>
        <v>0</v>
      </c>
      <c r="V7" s="101">
        <f t="shared" si="10"/>
        <v>113309.5</v>
      </c>
      <c r="W7" s="102"/>
      <c r="X7" s="103"/>
    </row>
    <row r="8" spans="1:24" s="104" customFormat="1" ht="19.899999999999999" customHeight="1" x14ac:dyDescent="0.3">
      <c r="A8" s="90" t="str">
        <f t="shared" si="6"/>
        <v>M011902600100401</v>
      </c>
      <c r="B8" s="91"/>
      <c r="C8" s="91"/>
      <c r="D8" s="91"/>
      <c r="E8" s="91"/>
      <c r="F8" s="92"/>
      <c r="G8" s="93"/>
      <c r="H8" s="93" t="s">
        <v>88</v>
      </c>
      <c r="I8" s="93"/>
      <c r="J8" s="94" t="s">
        <v>108</v>
      </c>
      <c r="K8" s="94" t="s">
        <v>95</v>
      </c>
      <c r="L8" s="95" t="s">
        <v>105</v>
      </c>
      <c r="M8" s="96">
        <v>2</v>
      </c>
      <c r="N8" s="97">
        <v>10800</v>
      </c>
      <c r="O8" s="98">
        <f t="shared" si="7"/>
        <v>18036</v>
      </c>
      <c r="P8" s="116"/>
      <c r="Q8" s="98">
        <f t="shared" si="11"/>
        <v>0</v>
      </c>
      <c r="R8" s="100"/>
      <c r="S8" s="98">
        <f t="shared" si="8"/>
        <v>0</v>
      </c>
      <c r="T8" s="100"/>
      <c r="U8" s="98">
        <f t="shared" si="9"/>
        <v>0</v>
      </c>
      <c r="V8" s="101">
        <f t="shared" si="10"/>
        <v>18036</v>
      </c>
      <c r="W8" s="102"/>
      <c r="X8" s="103"/>
    </row>
    <row r="9" spans="1:24" s="104" customFormat="1" ht="19.899999999999999" customHeight="1" x14ac:dyDescent="0.3">
      <c r="A9" s="90" t="str">
        <f t="shared" si="6"/>
        <v>M011902600100901</v>
      </c>
      <c r="B9" s="91"/>
      <c r="C9" s="91"/>
      <c r="D9" s="91"/>
      <c r="E9" s="91"/>
      <c r="F9" s="92"/>
      <c r="G9" s="93"/>
      <c r="H9" s="93" t="s">
        <v>89</v>
      </c>
      <c r="I9" s="93"/>
      <c r="J9" s="94" t="s">
        <v>108</v>
      </c>
      <c r="K9" s="94" t="s">
        <v>96</v>
      </c>
      <c r="L9" s="95" t="s">
        <v>105</v>
      </c>
      <c r="M9" s="96">
        <v>31</v>
      </c>
      <c r="N9" s="97">
        <v>21500</v>
      </c>
      <c r="O9" s="98">
        <f t="shared" si="7"/>
        <v>556527.5</v>
      </c>
      <c r="P9" s="116"/>
      <c r="Q9" s="98">
        <f t="shared" si="11"/>
        <v>0</v>
      </c>
      <c r="R9" s="100"/>
      <c r="S9" s="98">
        <f t="shared" si="8"/>
        <v>0</v>
      </c>
      <c r="T9" s="100"/>
      <c r="U9" s="98">
        <f t="shared" si="9"/>
        <v>0</v>
      </c>
      <c r="V9" s="101">
        <f t="shared" si="10"/>
        <v>556527.5</v>
      </c>
      <c r="W9" s="102"/>
      <c r="X9" s="103"/>
    </row>
    <row r="10" spans="1:24" s="104" customFormat="1" ht="19.899999999999999" customHeight="1" x14ac:dyDescent="0.3">
      <c r="A10" s="90" t="str">
        <f t="shared" si="6"/>
        <v>D02620</v>
      </c>
      <c r="B10" s="91"/>
      <c r="C10" s="91"/>
      <c r="D10" s="91"/>
      <c r="E10" s="91"/>
      <c r="F10" s="92" t="s">
        <v>83</v>
      </c>
      <c r="G10" s="93"/>
      <c r="H10" s="93"/>
      <c r="I10" s="93"/>
      <c r="J10" s="94" t="s">
        <v>97</v>
      </c>
      <c r="K10" s="94" t="s">
        <v>84</v>
      </c>
      <c r="L10" s="95" t="s">
        <v>130</v>
      </c>
      <c r="M10" s="96">
        <v>46</v>
      </c>
      <c r="N10" s="97">
        <v>125</v>
      </c>
      <c r="O10" s="98">
        <f t="shared" si="7"/>
        <v>4801.25</v>
      </c>
      <c r="P10" s="116">
        <v>14590</v>
      </c>
      <c r="Q10" s="98">
        <f t="shared" si="11"/>
        <v>560401.9</v>
      </c>
      <c r="R10" s="100"/>
      <c r="S10" s="98">
        <f t="shared" si="8"/>
        <v>0</v>
      </c>
      <c r="T10" s="100"/>
      <c r="U10" s="98">
        <f t="shared" si="9"/>
        <v>0</v>
      </c>
      <c r="V10" s="101">
        <f t="shared" si="10"/>
        <v>565203.15</v>
      </c>
      <c r="W10" s="102"/>
      <c r="X10" s="103"/>
    </row>
    <row r="11" spans="1:24" s="104" customFormat="1" ht="19.899999999999999" customHeight="1" x14ac:dyDescent="0.3">
      <c r="A11" s="90" t="str">
        <f t="shared" si="6"/>
        <v>E10126002001002001</v>
      </c>
      <c r="B11" s="91"/>
      <c r="C11" s="91"/>
      <c r="D11" s="91"/>
      <c r="E11" s="91"/>
      <c r="F11" s="92"/>
      <c r="G11" s="93" t="s">
        <v>90</v>
      </c>
      <c r="H11" s="93"/>
      <c r="I11" s="93"/>
      <c r="J11" s="94" t="s">
        <v>98</v>
      </c>
      <c r="K11" s="94" t="s">
        <v>99</v>
      </c>
      <c r="L11" s="95" t="s">
        <v>130</v>
      </c>
      <c r="M11" s="96">
        <v>4</v>
      </c>
      <c r="N11" s="97"/>
      <c r="O11" s="98">
        <f t="shared" si="7"/>
        <v>0</v>
      </c>
      <c r="P11" s="116">
        <v>17428.400000000001</v>
      </c>
      <c r="Q11" s="98">
        <f t="shared" si="11"/>
        <v>58210.856</v>
      </c>
      <c r="R11" s="100"/>
      <c r="S11" s="98">
        <f t="shared" si="8"/>
        <v>0</v>
      </c>
      <c r="T11" s="100"/>
      <c r="U11" s="98">
        <f t="shared" si="9"/>
        <v>0</v>
      </c>
      <c r="V11" s="101">
        <f t="shared" si="10"/>
        <v>58210.856</v>
      </c>
      <c r="W11" s="102"/>
      <c r="X11" s="103"/>
    </row>
    <row r="12" spans="1:24" s="104" customFormat="1" ht="19.899999999999999" customHeight="1" x14ac:dyDescent="0.3">
      <c r="A12" s="90" t="str">
        <f t="shared" si="6"/>
        <v>E10126002001003001</v>
      </c>
      <c r="B12" s="91"/>
      <c r="C12" s="91"/>
      <c r="D12" s="91"/>
      <c r="E12" s="91"/>
      <c r="F12" s="92"/>
      <c r="G12" s="93" t="s">
        <v>91</v>
      </c>
      <c r="H12" s="93"/>
      <c r="I12" s="93"/>
      <c r="J12" s="94" t="s">
        <v>100</v>
      </c>
      <c r="K12" s="94" t="s">
        <v>101</v>
      </c>
      <c r="L12" s="95" t="s">
        <v>130</v>
      </c>
      <c r="M12" s="96">
        <v>20</v>
      </c>
      <c r="N12" s="97"/>
      <c r="O12" s="98">
        <f t="shared" si="7"/>
        <v>0</v>
      </c>
      <c r="P12" s="116">
        <v>20914.080000000002</v>
      </c>
      <c r="Q12" s="98">
        <f t="shared" si="11"/>
        <v>349265.136</v>
      </c>
      <c r="R12" s="100"/>
      <c r="S12" s="98">
        <f t="shared" si="8"/>
        <v>0</v>
      </c>
      <c r="T12" s="100"/>
      <c r="U12" s="98">
        <f t="shared" si="9"/>
        <v>0</v>
      </c>
      <c r="V12" s="101">
        <f t="shared" si="10"/>
        <v>349265.136</v>
      </c>
      <c r="W12" s="102"/>
      <c r="X12" s="103"/>
    </row>
    <row r="13" spans="1:24" s="104" customFormat="1" ht="19.899999999999999" customHeight="1" x14ac:dyDescent="0.3">
      <c r="A13" s="90" t="str">
        <f t="shared" si="6"/>
        <v>L003</v>
      </c>
      <c r="B13" s="91"/>
      <c r="C13" s="91"/>
      <c r="D13" s="91"/>
      <c r="E13" s="91"/>
      <c r="F13" s="92"/>
      <c r="G13" s="93"/>
      <c r="H13" s="93"/>
      <c r="I13" s="93" t="s">
        <v>106</v>
      </c>
      <c r="J13" s="94" t="s">
        <v>102</v>
      </c>
      <c r="K13" s="94" t="s">
        <v>94</v>
      </c>
      <c r="L13" s="95" t="s">
        <v>104</v>
      </c>
      <c r="M13" s="96">
        <v>1</v>
      </c>
      <c r="N13" s="97"/>
      <c r="O13" s="98">
        <f t="shared" si="7"/>
        <v>0</v>
      </c>
      <c r="P13" s="116">
        <v>208527</v>
      </c>
      <c r="Q13" s="98">
        <f>M13*P13</f>
        <v>208527</v>
      </c>
      <c r="R13" s="100"/>
      <c r="S13" s="98">
        <f t="shared" si="8"/>
        <v>0</v>
      </c>
      <c r="T13" s="100"/>
      <c r="U13" s="98">
        <f t="shared" si="9"/>
        <v>0</v>
      </c>
      <c r="V13" s="101">
        <f t="shared" si="10"/>
        <v>208527</v>
      </c>
      <c r="W13" s="102"/>
      <c r="X13" s="103"/>
    </row>
    <row r="14" spans="1:24" s="104" customFormat="1" ht="19.899999999999999" customHeight="1" x14ac:dyDescent="0.3">
      <c r="A14" s="90" t="str">
        <f t="shared" si="6"/>
        <v>L003</v>
      </c>
      <c r="B14" s="91"/>
      <c r="C14" s="91"/>
      <c r="D14" s="91"/>
      <c r="E14" s="91"/>
      <c r="F14" s="92"/>
      <c r="G14" s="93"/>
      <c r="H14" s="93"/>
      <c r="I14" s="93" t="s">
        <v>106</v>
      </c>
      <c r="J14" s="94" t="s">
        <v>103</v>
      </c>
      <c r="K14" s="94" t="s">
        <v>94</v>
      </c>
      <c r="L14" s="95" t="s">
        <v>104</v>
      </c>
      <c r="M14" s="96">
        <v>2</v>
      </c>
      <c r="N14" s="97"/>
      <c r="O14" s="98">
        <f t="shared" si="7"/>
        <v>0</v>
      </c>
      <c r="P14" s="116">
        <v>208527</v>
      </c>
      <c r="Q14" s="98">
        <f>M14*P14</f>
        <v>417054</v>
      </c>
      <c r="R14" s="100"/>
      <c r="S14" s="98">
        <f t="shared" si="8"/>
        <v>0</v>
      </c>
      <c r="T14" s="100"/>
      <c r="U14" s="98">
        <f t="shared" si="9"/>
        <v>0</v>
      </c>
      <c r="V14" s="101">
        <f t="shared" si="10"/>
        <v>417054</v>
      </c>
      <c r="W14" s="102"/>
      <c r="X14" s="103"/>
    </row>
    <row r="15" spans="1:24" s="104" customFormat="1" ht="19.899999999999999" customHeight="1" x14ac:dyDescent="0.3">
      <c r="A15" s="90" t="str">
        <f t="shared" si="6"/>
        <v>L003</v>
      </c>
      <c r="B15" s="91"/>
      <c r="C15" s="91"/>
      <c r="D15" s="91"/>
      <c r="E15" s="91"/>
      <c r="F15" s="92"/>
      <c r="G15" s="93"/>
      <c r="H15" s="93"/>
      <c r="I15" s="93" t="s">
        <v>106</v>
      </c>
      <c r="J15" s="94" t="s">
        <v>103</v>
      </c>
      <c r="K15" s="94" t="s">
        <v>94</v>
      </c>
      <c r="L15" s="95" t="s">
        <v>104</v>
      </c>
      <c r="M15" s="96">
        <v>0.5</v>
      </c>
      <c r="N15" s="97"/>
      <c r="O15" s="98">
        <f t="shared" si="7"/>
        <v>0</v>
      </c>
      <c r="P15" s="116">
        <v>208527</v>
      </c>
      <c r="Q15" s="98">
        <f>M15*P15</f>
        <v>104263.5</v>
      </c>
      <c r="R15" s="100"/>
      <c r="S15" s="98">
        <f t="shared" si="8"/>
        <v>0</v>
      </c>
      <c r="T15" s="100"/>
      <c r="U15" s="98">
        <f t="shared" si="9"/>
        <v>0</v>
      </c>
      <c r="V15" s="101">
        <f t="shared" si="10"/>
        <v>104263.5</v>
      </c>
      <c r="W15" s="102"/>
      <c r="X15" s="103"/>
    </row>
    <row r="16" spans="1:24" s="104" customFormat="1" ht="19.899999999999999" customHeight="1" x14ac:dyDescent="0.3">
      <c r="A16" s="90" t="str">
        <f t="shared" si="6"/>
        <v/>
      </c>
      <c r="B16" s="91"/>
      <c r="C16" s="91"/>
      <c r="D16" s="91"/>
      <c r="E16" s="91"/>
      <c r="F16" s="92"/>
      <c r="G16" s="93"/>
      <c r="H16" s="93"/>
      <c r="I16" s="93"/>
      <c r="J16" s="94" t="s">
        <v>79</v>
      </c>
      <c r="K16" s="94" t="s">
        <v>82</v>
      </c>
      <c r="L16" s="95" t="s">
        <v>81</v>
      </c>
      <c r="M16" s="96">
        <v>0.5</v>
      </c>
      <c r="N16" s="97"/>
      <c r="O16" s="98"/>
      <c r="P16" s="116"/>
      <c r="Q16" s="98"/>
      <c r="R16" s="100">
        <v>40900</v>
      </c>
      <c r="S16" s="98">
        <f t="shared" si="8"/>
        <v>17075.75</v>
      </c>
      <c r="T16" s="100">
        <v>213000</v>
      </c>
      <c r="U16" s="98">
        <f t="shared" si="9"/>
        <v>88927.5</v>
      </c>
      <c r="V16" s="101">
        <f t="shared" si="10"/>
        <v>106003.25</v>
      </c>
      <c r="W16" s="102"/>
      <c r="X16" s="103"/>
    </row>
    <row r="17" spans="1:24" s="104" customFormat="1" ht="19.899999999999999" customHeight="1" x14ac:dyDescent="0.3">
      <c r="A17" s="90"/>
      <c r="B17" s="91"/>
      <c r="C17" s="91"/>
      <c r="D17" s="91"/>
      <c r="E17" s="91"/>
      <c r="F17" s="92"/>
      <c r="G17" s="93"/>
      <c r="H17" s="93"/>
      <c r="I17" s="92"/>
      <c r="J17" s="95"/>
      <c r="K17" s="95"/>
      <c r="L17" s="105"/>
      <c r="M17" s="106"/>
      <c r="N17" s="97"/>
      <c r="O17" s="98"/>
      <c r="P17" s="99"/>
      <c r="Q17" s="107"/>
      <c r="R17" s="100"/>
      <c r="S17" s="98"/>
      <c r="T17" s="100"/>
      <c r="U17" s="98"/>
      <c r="V17" s="100"/>
      <c r="W17" s="102"/>
      <c r="X17" s="103"/>
    </row>
    <row r="18" spans="1:24" s="109" customFormat="1" ht="19.899999999999999" customHeight="1" x14ac:dyDescent="0.3">
      <c r="A18" s="108"/>
      <c r="B18" s="108"/>
      <c r="C18" s="108"/>
      <c r="D18" s="108"/>
      <c r="E18" s="108"/>
      <c r="O18" s="110">
        <f>SUM(O5:O17)</f>
        <v>692674.25</v>
      </c>
      <c r="P18" s="111"/>
      <c r="Q18" s="110">
        <f>SUM(Q5:Q17)</f>
        <v>2294322.7120000003</v>
      </c>
      <c r="R18" s="111"/>
      <c r="S18" s="110">
        <f>SUM(S5:S17)</f>
        <v>17075.75</v>
      </c>
      <c r="T18" s="111"/>
      <c r="U18" s="110">
        <f>SUM(U5:U17)</f>
        <v>88927.5</v>
      </c>
      <c r="V18" s="112">
        <f>SUM(V5:V17)</f>
        <v>3093000.2120000003</v>
      </c>
      <c r="W18" s="113"/>
    </row>
    <row r="22" spans="1:24" x14ac:dyDescent="0.3">
      <c r="Q22" s="115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10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D86D7-2996-44F2-AEBD-C5A6526EDA67}">
  <sheetPr codeName="Sheet3">
    <pageSetUpPr fitToPage="1"/>
  </sheetPr>
  <dimension ref="A1:P2"/>
  <sheetViews>
    <sheetView zoomScale="55" zoomScaleNormal="55" zoomScaleSheetLayoutView="85" workbookViewId="0">
      <selection activeCell="I47" sqref="I47"/>
    </sheetView>
  </sheetViews>
  <sheetFormatPr defaultColWidth="9" defaultRowHeight="16.5" x14ac:dyDescent="0.3"/>
  <cols>
    <col min="1" max="1" width="11.5" style="68" bestFit="1" customWidth="1"/>
    <col min="2" max="2" width="17.875" style="68" customWidth="1"/>
    <col min="3" max="3" width="14.625" style="68" customWidth="1"/>
    <col min="4" max="4" width="10.875" style="68" customWidth="1"/>
    <col min="5" max="5" width="12" style="68" customWidth="1"/>
    <col min="6" max="6" width="10.625" style="68" customWidth="1"/>
    <col min="7" max="7" width="13.625" style="69" customWidth="1"/>
    <col min="8" max="8" width="9.625" style="68" customWidth="1"/>
    <col min="9" max="9" width="13.625" style="68" customWidth="1"/>
    <col min="10" max="10" width="12.75" style="68" customWidth="1"/>
    <col min="11" max="11" width="9.25" style="68" customWidth="1"/>
    <col min="12" max="12" width="13.625" style="69" customWidth="1"/>
    <col min="13" max="13" width="9.625" style="68" customWidth="1"/>
    <col min="14" max="14" width="13.625" style="69" customWidth="1"/>
    <col min="15" max="15" width="18.75" style="70" customWidth="1"/>
    <col min="16" max="16" width="20.875" style="70" customWidth="1"/>
    <col min="17" max="16384" width="9" style="68"/>
  </cols>
  <sheetData>
    <row r="1" spans="1:5" ht="15" customHeight="1" x14ac:dyDescent="0.3"/>
    <row r="2" spans="1:5" x14ac:dyDescent="0.3">
      <c r="A2" s="71"/>
      <c r="B2" s="72"/>
      <c r="C2" s="72"/>
      <c r="D2" s="72"/>
      <c r="E2" s="73"/>
    </row>
  </sheetData>
  <phoneticPr fontId="10" type="noConversion"/>
  <pageMargins left="0.23622047244094491" right="0.23622047244094491" top="0.55118110236220474" bottom="0.55118110236220474" header="0.31496062992125984" footer="0.31496062992125984"/>
  <pageSetup paperSize="9" scale="61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F792B-B895-47FF-8FD3-3498EAE52FA2}">
  <sheetPr codeName="Sheet4"/>
  <dimension ref="A1:R13"/>
  <sheetViews>
    <sheetView workbookViewId="0">
      <selection activeCell="F3" sqref="F3"/>
    </sheetView>
  </sheetViews>
  <sheetFormatPr defaultColWidth="9" defaultRowHeight="16.5" x14ac:dyDescent="0.3"/>
  <cols>
    <col min="1" max="1" width="11.125" style="74" customWidth="1"/>
    <col min="2" max="2" width="13.375" style="74" customWidth="1"/>
    <col min="3" max="3" width="29.125" style="74" bestFit="1" customWidth="1"/>
    <col min="4" max="4" width="30.875" style="74" bestFit="1" customWidth="1"/>
    <col min="5" max="5" width="5" style="74" customWidth="1"/>
    <col min="6" max="6" width="6.25" style="74" customWidth="1"/>
    <col min="7" max="7" width="10" style="74" customWidth="1"/>
    <col min="8" max="8" width="11.875" style="74" customWidth="1"/>
    <col min="9" max="9" width="10" style="74" customWidth="1"/>
    <col min="10" max="10" width="11.875" style="74" customWidth="1"/>
    <col min="11" max="11" width="10" style="74" customWidth="1"/>
    <col min="12" max="12" width="11.875" style="74" customWidth="1"/>
    <col min="13" max="13" width="10" style="74" customWidth="1"/>
    <col min="14" max="14" width="11.875" style="74" customWidth="1"/>
    <col min="15" max="15" width="9.125" style="74" customWidth="1"/>
    <col min="16" max="16" width="11.5" style="74" customWidth="1"/>
    <col min="17" max="17" width="11.75" style="74" customWidth="1"/>
    <col min="18" max="18" width="17.875" style="74" customWidth="1"/>
    <col min="19" max="16384" width="9" style="74"/>
  </cols>
  <sheetData>
    <row r="1" spans="1:18" ht="18" customHeight="1" x14ac:dyDescent="0.3">
      <c r="A1" s="117" t="s">
        <v>48</v>
      </c>
      <c r="B1" s="117" t="s">
        <v>49</v>
      </c>
      <c r="C1" s="117" t="s">
        <v>50</v>
      </c>
      <c r="D1" s="117" t="s">
        <v>51</v>
      </c>
      <c r="E1" s="117" t="s">
        <v>52</v>
      </c>
      <c r="F1" s="117" t="s">
        <v>5</v>
      </c>
      <c r="G1" s="117" t="s">
        <v>53</v>
      </c>
      <c r="H1" s="117" t="s">
        <v>54</v>
      </c>
      <c r="I1" s="117" t="s">
        <v>55</v>
      </c>
      <c r="J1" s="117" t="s">
        <v>56</v>
      </c>
      <c r="K1" s="117" t="s">
        <v>57</v>
      </c>
      <c r="L1" s="117" t="s">
        <v>58</v>
      </c>
      <c r="M1" s="117" t="s">
        <v>59</v>
      </c>
      <c r="N1" s="117" t="s">
        <v>60</v>
      </c>
      <c r="O1" s="117" t="s">
        <v>61</v>
      </c>
      <c r="P1" s="117" t="s">
        <v>62</v>
      </c>
      <c r="Q1" s="117" t="s">
        <v>63</v>
      </c>
      <c r="R1" s="117" t="s">
        <v>64</v>
      </c>
    </row>
    <row r="2" spans="1:18" ht="18" customHeight="1" x14ac:dyDescent="0.3">
      <c r="A2" s="78">
        <v>999999</v>
      </c>
      <c r="B2" s="79" t="s">
        <v>76</v>
      </c>
      <c r="C2" s="118" t="s">
        <v>79</v>
      </c>
      <c r="D2" s="119" t="s">
        <v>80</v>
      </c>
      <c r="E2" s="120" t="s">
        <v>81</v>
      </c>
      <c r="F2" s="121">
        <v>0.5</v>
      </c>
      <c r="G2" s="122"/>
      <c r="H2" s="122"/>
      <c r="I2" s="122"/>
      <c r="J2" s="122"/>
      <c r="K2" s="122">
        <v>34151.5</v>
      </c>
      <c r="L2" s="122"/>
      <c r="M2" s="122">
        <v>177855</v>
      </c>
      <c r="N2" s="122"/>
      <c r="O2" s="122"/>
      <c r="P2" s="122"/>
      <c r="Q2" s="122"/>
      <c r="R2" s="120"/>
    </row>
    <row r="3" spans="1:18" x14ac:dyDescent="0.3"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</row>
    <row r="4" spans="1:18" x14ac:dyDescent="0.3"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</row>
    <row r="5" spans="1:18" x14ac:dyDescent="0.3"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</row>
    <row r="6" spans="1:18" x14ac:dyDescent="0.3"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</row>
    <row r="7" spans="1:18" x14ac:dyDescent="0.3"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</row>
    <row r="8" spans="1:18" x14ac:dyDescent="0.3"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</row>
    <row r="9" spans="1:18" x14ac:dyDescent="0.3"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</row>
    <row r="10" spans="1:18" x14ac:dyDescent="0.3"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</row>
    <row r="11" spans="1:18" x14ac:dyDescent="0.3"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</row>
    <row r="12" spans="1:18" x14ac:dyDescent="0.3"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</row>
    <row r="13" spans="1:18" x14ac:dyDescent="0.3"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F12"/>
  <sheetViews>
    <sheetView showGridLines="0" zoomScaleNormal="100" workbookViewId="0">
      <selection activeCell="C10" sqref="C10"/>
    </sheetView>
  </sheetViews>
  <sheetFormatPr defaultColWidth="9" defaultRowHeight="16.5" x14ac:dyDescent="0.3"/>
  <cols>
    <col min="1" max="1" width="25.125" style="76" customWidth="1"/>
    <col min="2" max="2" width="16.25" style="76" customWidth="1"/>
    <col min="3" max="3" width="22.375" style="76" customWidth="1"/>
    <col min="4" max="4" width="24.125" style="76" customWidth="1"/>
    <col min="5" max="5" width="13" style="76" customWidth="1"/>
    <col min="6" max="6" width="7.5" style="76" customWidth="1"/>
    <col min="7" max="16384" width="9" style="74"/>
  </cols>
  <sheetData>
    <row r="1" spans="1:6" ht="18" customHeight="1" x14ac:dyDescent="0.3">
      <c r="A1" s="123" t="s">
        <v>0</v>
      </c>
      <c r="B1" s="123" t="s">
        <v>1</v>
      </c>
      <c r="C1" s="123" t="s">
        <v>2</v>
      </c>
      <c r="D1" s="123" t="s">
        <v>3</v>
      </c>
      <c r="E1" s="123" t="s">
        <v>4</v>
      </c>
      <c r="F1" s="123" t="s">
        <v>5</v>
      </c>
    </row>
    <row r="2" spans="1:6" x14ac:dyDescent="0.3">
      <c r="A2" s="124" t="str">
        <f>'내역서(표준단가)'!A5</f>
        <v>D02339</v>
      </c>
      <c r="B2" s="125" t="str">
        <f>'내역서(표준단가)'!F5</f>
        <v>D02339</v>
      </c>
      <c r="C2" s="125">
        <f>'내역서(표준단가)'!G5</f>
        <v>0</v>
      </c>
      <c r="D2" s="125">
        <f>'내역서(표준단가)'!H5</f>
        <v>0</v>
      </c>
      <c r="E2" s="125">
        <f>'내역서(표준단가)'!I5</f>
        <v>0</v>
      </c>
      <c r="F2" s="125">
        <f>'내역서(표준단가)'!M5</f>
        <v>14</v>
      </c>
    </row>
    <row r="3" spans="1:6" x14ac:dyDescent="0.3">
      <c r="A3" s="124" t="str">
        <f>'내역서(표준단가)'!A6</f>
        <v>L003</v>
      </c>
      <c r="B3" s="125">
        <f>'내역서(표준단가)'!F6</f>
        <v>0</v>
      </c>
      <c r="C3" s="125">
        <f>'내역서(표준단가)'!G6</f>
        <v>0</v>
      </c>
      <c r="D3" s="125">
        <f>'내역서(표준단가)'!H6</f>
        <v>0</v>
      </c>
      <c r="E3" s="125" t="str">
        <f>'내역서(표준단가)'!I6</f>
        <v>L003</v>
      </c>
      <c r="F3" s="125">
        <f>'내역서(표준단가)'!M6</f>
        <v>1.5</v>
      </c>
    </row>
    <row r="4" spans="1:6" x14ac:dyDescent="0.3">
      <c r="A4" s="124" t="str">
        <f>'내역서(표준단가)'!A7</f>
        <v>M011902400300101</v>
      </c>
      <c r="B4" s="125">
        <f>'내역서(표준단가)'!F7</f>
        <v>0</v>
      </c>
      <c r="C4" s="125">
        <f>'내역서(표준단가)'!G7</f>
        <v>0</v>
      </c>
      <c r="D4" s="125" t="str">
        <f>'내역서(표준단가)'!H7</f>
        <v>M011902400300101</v>
      </c>
      <c r="E4" s="125">
        <f>'내역서(표준단가)'!I7</f>
        <v>0</v>
      </c>
      <c r="F4" s="125">
        <f>'내역서(표준단가)'!M7</f>
        <v>23</v>
      </c>
    </row>
    <row r="5" spans="1:6" x14ac:dyDescent="0.3">
      <c r="A5" s="124" t="str">
        <f>'내역서(표준단가)'!A8</f>
        <v>M011902600100401</v>
      </c>
      <c r="B5" s="125">
        <f>'내역서(표준단가)'!F8</f>
        <v>0</v>
      </c>
      <c r="C5" s="125">
        <f>'내역서(표준단가)'!G8</f>
        <v>0</v>
      </c>
      <c r="D5" s="125" t="str">
        <f>'내역서(표준단가)'!H8</f>
        <v>M011902600100401</v>
      </c>
      <c r="E5" s="125">
        <f>'내역서(표준단가)'!I8</f>
        <v>0</v>
      </c>
      <c r="F5" s="125">
        <f>'내역서(표준단가)'!M8</f>
        <v>2</v>
      </c>
    </row>
    <row r="6" spans="1:6" x14ac:dyDescent="0.3">
      <c r="A6" s="124" t="str">
        <f>'내역서(표준단가)'!A9</f>
        <v>M011902600100901</v>
      </c>
      <c r="B6" s="125">
        <f>'내역서(표준단가)'!F9</f>
        <v>0</v>
      </c>
      <c r="C6" s="125">
        <f>'내역서(표준단가)'!G9</f>
        <v>0</v>
      </c>
      <c r="D6" s="125" t="str">
        <f>'내역서(표준단가)'!H9</f>
        <v>M011902600100901</v>
      </c>
      <c r="E6" s="125">
        <f>'내역서(표준단가)'!I9</f>
        <v>0</v>
      </c>
      <c r="F6" s="125">
        <f>'내역서(표준단가)'!M9</f>
        <v>31</v>
      </c>
    </row>
    <row r="7" spans="1:6" x14ac:dyDescent="0.3">
      <c r="A7" s="124" t="str">
        <f>'내역서(표준단가)'!A10</f>
        <v>D02620</v>
      </c>
      <c r="B7" s="125" t="str">
        <f>'내역서(표준단가)'!F10</f>
        <v>D02620</v>
      </c>
      <c r="C7" s="125">
        <f>'내역서(표준단가)'!G10</f>
        <v>0</v>
      </c>
      <c r="D7" s="125">
        <f>'내역서(표준단가)'!H10</f>
        <v>0</v>
      </c>
      <c r="E7" s="125">
        <f>'내역서(표준단가)'!I10</f>
        <v>0</v>
      </c>
      <c r="F7" s="125">
        <f>'내역서(표준단가)'!M10</f>
        <v>46</v>
      </c>
    </row>
    <row r="8" spans="1:6" x14ac:dyDescent="0.3">
      <c r="A8" s="124" t="str">
        <f>'내역서(표준단가)'!A11</f>
        <v>E10126002001002001</v>
      </c>
      <c r="B8" s="125">
        <f>'내역서(표준단가)'!F11</f>
        <v>0</v>
      </c>
      <c r="C8" s="125" t="str">
        <f>'내역서(표준단가)'!G11</f>
        <v>E10126002001002001</v>
      </c>
      <c r="D8" s="125">
        <f>'내역서(표준단가)'!H11</f>
        <v>0</v>
      </c>
      <c r="E8" s="125">
        <f>'내역서(표준단가)'!I11</f>
        <v>0</v>
      </c>
      <c r="F8" s="125">
        <f>'내역서(표준단가)'!M11</f>
        <v>4</v>
      </c>
    </row>
    <row r="9" spans="1:6" x14ac:dyDescent="0.3">
      <c r="A9" s="124" t="str">
        <f>'내역서(표준단가)'!A12</f>
        <v>E10126002001003001</v>
      </c>
      <c r="B9" s="125">
        <f>'내역서(표준단가)'!F12</f>
        <v>0</v>
      </c>
      <c r="C9" s="125" t="str">
        <f>'내역서(표준단가)'!G12</f>
        <v>E10126002001003001</v>
      </c>
      <c r="D9" s="125">
        <f>'내역서(표준단가)'!H12</f>
        <v>0</v>
      </c>
      <c r="E9" s="125">
        <f>'내역서(표준단가)'!I12</f>
        <v>0</v>
      </c>
      <c r="F9" s="125">
        <f>'내역서(표준단가)'!M12</f>
        <v>20</v>
      </c>
    </row>
    <row r="10" spans="1:6" x14ac:dyDescent="0.3">
      <c r="A10" s="124" t="str">
        <f>'내역서(표준단가)'!A13</f>
        <v>L003</v>
      </c>
      <c r="B10" s="125">
        <f>'내역서(표준단가)'!F13</f>
        <v>0</v>
      </c>
      <c r="C10" s="125">
        <f>'내역서(표준단가)'!G13</f>
        <v>0</v>
      </c>
      <c r="D10" s="125">
        <f>'내역서(표준단가)'!H13</f>
        <v>0</v>
      </c>
      <c r="E10" s="125" t="str">
        <f>'내역서(표준단가)'!I13</f>
        <v>L003</v>
      </c>
      <c r="F10" s="125">
        <f>'내역서(표준단가)'!M13</f>
        <v>1</v>
      </c>
    </row>
    <row r="11" spans="1:6" x14ac:dyDescent="0.3">
      <c r="A11" s="124" t="str">
        <f>'내역서(표준단가)'!A14</f>
        <v>L003</v>
      </c>
      <c r="B11" s="125">
        <f>'내역서(표준단가)'!F14</f>
        <v>0</v>
      </c>
      <c r="C11" s="125">
        <f>'내역서(표준단가)'!G14</f>
        <v>0</v>
      </c>
      <c r="D11" s="125">
        <f>'내역서(표준단가)'!H14</f>
        <v>0</v>
      </c>
      <c r="E11" s="125" t="str">
        <f>'내역서(표준단가)'!I14</f>
        <v>L003</v>
      </c>
      <c r="F11" s="125">
        <f>'내역서(표준단가)'!M14</f>
        <v>2</v>
      </c>
    </row>
    <row r="12" spans="1:6" x14ac:dyDescent="0.3">
      <c r="A12" s="124" t="str">
        <f>'내역서(표준단가)'!A15</f>
        <v>L003</v>
      </c>
      <c r="B12" s="125">
        <f>'내역서(표준단가)'!F15</f>
        <v>0</v>
      </c>
      <c r="C12" s="125">
        <f>'내역서(표준단가)'!G15</f>
        <v>0</v>
      </c>
      <c r="D12" s="125">
        <f>'내역서(표준단가)'!H15</f>
        <v>0</v>
      </c>
      <c r="E12" s="125" t="str">
        <f>'내역서(표준단가)'!I15</f>
        <v>L003</v>
      </c>
      <c r="F12" s="125">
        <f>'내역서(표준단가)'!M15</f>
        <v>0.5</v>
      </c>
    </row>
  </sheetData>
  <phoneticPr fontId="10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시중가 근거서류</vt:lpstr>
      <vt:lpstr>Upload(시중가)</vt:lpstr>
      <vt:lpstr>Upload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2024-01-06T06:05:11Z</cp:lastPrinted>
  <dcterms:created xsi:type="dcterms:W3CDTF">2020-09-15T23:52:51Z</dcterms:created>
  <dcterms:modified xsi:type="dcterms:W3CDTF">2024-12-12T02:57:02Z</dcterms:modified>
</cp:coreProperties>
</file>
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현재_통합_문서"/>
  <xr:revisionPtr revIDLastSave="0" documentId="13_ncr:1_{64930416-C1E0-48B8-AC10-0CE4D4229C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L32" i="9" l="1"/>
  <c r="J32" i="9"/>
  <c r="H32" i="9"/>
  <c r="L30" i="9"/>
  <c r="J30" i="9"/>
  <c r="L18" i="9"/>
  <c r="J18" i="9"/>
  <c r="D18" i="9"/>
  <c r="L13" i="9"/>
  <c r="J13" i="9"/>
  <c r="H6" i="9"/>
  <c r="F6" i="9"/>
  <c r="J33" i="9" l="1"/>
  <c r="L33" i="9"/>
  <c r="N6" i="9"/>
  <c r="F30" i="9"/>
  <c r="H18" i="9"/>
  <c r="F13" i="9"/>
  <c r="H30" i="9"/>
  <c r="H13" i="9"/>
  <c r="N32" i="9"/>
  <c r="F18" i="9"/>
  <c r="N18" i="9" l="1"/>
  <c r="F33" i="9"/>
  <c r="H33" i="9"/>
  <c r="N13" i="9"/>
  <c r="N30" i="9"/>
  <c r="N33" i="9" l="1"/>
  <c r="A6" i="4"/>
  <c r="A3" i="1" s="1"/>
  <c r="K6" i="4"/>
  <c r="M6" i="4"/>
  <c r="O6" i="4"/>
  <c r="Q6" i="4"/>
  <c r="R6" i="4" l="1"/>
  <c r="M7" i="4" l="1"/>
  <c r="F17" i="5" s="1"/>
  <c r="F22" i="5" l="1"/>
  <c r="F21" i="5"/>
  <c r="Q7" i="4"/>
  <c r="K7" i="4"/>
  <c r="O7" i="4"/>
  <c r="F16" i="5" l="1"/>
  <c r="F26" i="5" s="1"/>
  <c r="F18" i="5"/>
  <c r="R7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<sst xmlns="http://schemas.openxmlformats.org/spreadsheetml/2006/main" count="192" uniqueCount="140">
  <si>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</si>
  <si>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</si>
  <si>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</si>
  <si>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</si>
  <si>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</si>
  <si>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</si>
  <si>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</si>
  <si>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</si>
  <si>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</si>
  <si>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</si>
  <si>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</si>
  <si>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</si>
  <si>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</si>
  <si>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</si>
  <si>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</si>
  <si>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</si>
  <si>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</si>
  <si>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</si>
  <si>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</si>
  <si>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</si>
  <si>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</si>
  <si>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</si>
  <si>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</si>
  <si>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</si>
  <si>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</si>
  <si>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</si>
  <si>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</si>
  <si>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</si>
  <si>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</si>
  <si>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</si>
  <si>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</si>
  <si>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</si>
  <si>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</si>
  <si>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</si>
  <si>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</si>
  <si>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</si>
  <si>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</si>
  <si>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</si>
  <si>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</si>
  <si>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</si>
  <si>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</si>
  <si>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</si>
  <si>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</si>
  <si>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</si>
  <si>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</si>
  <si>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</si>
  <si>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</si>
  <si>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</si>
  <si>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</si>
  <si>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</si>
  <si>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</si>
  <si>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</si>
  <si>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</si>
  <si>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</si>
  <si>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</si>
  <si>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</si>
  <si>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</si>
  <si>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</si>
  <si>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</si>
  <si>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</si>
  <si>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</si>
  <si>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</si>
  <si>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</si>
  <si>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</si>
  <si>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</si>
  <si>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</si>
  <si>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</si>
  <si>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</si>
  <si>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</si>
  <si>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</si>
  <si>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</si>
  <si>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</si>
  <si>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</si>
  <si>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</si>
  <si>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</si>
  <si>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</si>
  <si>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</si>
  <si>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</si>
  <si>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</si>
  <si>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</si>
  <si>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</si>
  <si>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</si>
  <si>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</si>
  <si>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</si>
  <si>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</si>
  <si>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</si>
  <si>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</si>
  <si>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</si>
  <si>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</si>
  <si>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</si>
  <si>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</si>
  <si>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</si>
  <si>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</si>
  <si>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</si>
  <si>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</si>
  <si>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</si>
  <si>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</si>
  <si>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</si>
  <si>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</si>
  <si>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</si>
  <si>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</si>
  <si>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</si>
  <si>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</si>
  <si>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</si>
  <si>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</si>
  <si>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</si>
  <si>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</si>
  <si>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</si>
  <si>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</si>
  <si>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</si>
  <si>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</si>
  <si>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</si>
  <si>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</si>
  <si>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</si>
  <si>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</si>
  <si>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</si>
  <si>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</si>
  <si>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</si>
  <si>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</si>
  <si>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</si>
  <si>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교체(천장)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</si>
  <si>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</si>
  <si>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</si>
  <si>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</si>
  <si>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</si>
  <si>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</si>
  <si>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</si>
  <si>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</si>
  <si>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</si>
  <si>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</si>
  <si>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</si>
  <si>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</si>
  <si>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R/L</t>
  </si>
  <si>
    <t> 노무비*4.75%</t>
    <phoneticPr fontId="13" type="noConversion"/>
  </si>
  <si>
    <t> 노무비*3.595%</t>
    <phoneticPr fontId="13" type="noConversion"/>
  </si>
  <si>
    <t xml:space="preserve"> 견적일 : 2026년  04월  27일</t>
    <phoneticPr fontId="5" type="noConversion"/>
  </si>
  <si>
    <t xml:space="preserve"> 공사명 : 사택 5-404 거실 천장도배</t>
    <phoneticPr fontId="11" type="noConversion"/>
  </si>
  <si>
    <t>공사명 : 사택 5-404 거실 천장도배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</si>
  <si>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소요량24/16.51=1.4536R/L</t>
    </r>
    <phoneticPr fontId="5" type="noConversion"/>
  </si>
  <si>
    <t>일당 시공량-천장 35㎡ 적산정보 500p 참조, 시공총량24/일당35=0.6857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</si>
</sst>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#,##0.000_ "/>
    <numFmt numFmtId="187" formatCode="0.000_ "/>
    <numFmt numFmtId="188" formatCode="#,##0;\-#,##0;"/>
    <numFmt numFmtId="189" formatCode="0.000"/>
    <numFmt numFmtId="190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7" fontId="16" fillId="0" borderId="1" xfId="1" applyNumberFormat="1" applyFont="1" applyBorder="1" applyAlignment="1">
      <alignment horizontal="center" vertical="center"/>
    </xf>
    <xf numFmtId="186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88" fontId="16" fillId="6" borderId="3" xfId="1" applyNumberFormat="1" applyFont="1" applyFill="1" applyBorder="1" applyAlignment="1">
      <alignment horizontal="right" vertical="center" wrapText="1"/>
    </xf>
    <xf numFmtId="188" fontId="16" fillId="0" borderId="3" xfId="1" applyNumberFormat="1" applyFont="1" applyFill="1" applyBorder="1" applyAlignment="1">
      <alignment horizontal="right" vertical="center" wrapText="1"/>
    </xf>
    <xf numFmtId="189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1" fillId="10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/>
    </xf>
    <xf numFmtId="188" fontId="25" fillId="5" borderId="3" xfId="0" applyNumberFormat="1" applyFont="1" applyFill="1" applyBorder="1" applyAlignment="1">
      <alignment horizontal="right" vertical="center"/>
    </xf>
    <xf numFmtId="188" fontId="25" fillId="5" borderId="3" xfId="0" applyNumberFormat="1" applyFont="1" applyFill="1" applyBorder="1" applyAlignment="1">
      <alignment horizontal="right" vertical="center" wrapText="1"/>
    </xf>
    <xf numFmtId="177" fontId="26" fillId="5" borderId="3" xfId="1" applyFont="1" applyFill="1" applyBorder="1" applyAlignment="1">
      <alignment horizontal="right" vertical="center"/>
    </xf>
    <xf numFmtId="183" fontId="27" fillId="5" borderId="31" xfId="13" applyNumberFormat="1" applyFont="1" applyFill="1" applyBorder="1" applyAlignment="1">
      <alignment horizontal="right" vertical="center" wrapText="1"/>
    </xf>
    <xf numFmtId="183" fontId="27" fillId="0" borderId="31" xfId="13" applyNumberFormat="1" applyFont="1" applyFill="1" applyBorder="1" applyAlignment="1">
      <alignment horizontal="right" vertical="center" wrapText="1"/>
    </xf>
    <xf numFmtId="0" fontId="28" fillId="0" borderId="15" xfId="8" applyFont="1" applyBorder="1" applyAlignment="1">
      <alignment horizontal="center" vertical="center"/>
    </xf>
    <xf numFmtId="0" fontId="29" fillId="0" borderId="15" xfId="6" applyFont="1" applyBorder="1" applyAlignment="1">
      <alignment vertical="center"/>
    </xf>
    <xf numFmtId="0" fontId="28" fillId="0" borderId="15" xfId="6" applyFont="1" applyBorder="1" applyAlignment="1">
      <alignment horizontal="center" vertical="center"/>
    </xf>
    <xf numFmtId="178" fontId="29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horizontal="center" vertical="center"/>
    </xf>
    <xf numFmtId="178" fontId="29" fillId="5" borderId="15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59" t="s">
        <v>6</v>
      </c>
      <c r="B2" s="159"/>
      <c r="C2" s="159"/>
      <c r="D2" s="159"/>
      <c r="E2" s="159"/>
      <c r="F2" s="159"/>
      <c r="G2" s="159"/>
      <c r="H2" s="2"/>
    </row>
    <row r="3" spans="1:9" ht="14.25">
      <c r="A3" s="112"/>
      <c r="B3" s="112"/>
      <c r="C3" s="112"/>
      <c r="D3" s="112"/>
      <c r="E3" s="112"/>
      <c r="F3" s="112"/>
      <c r="G3" s="112"/>
      <c r="H3" s="112"/>
    </row>
    <row r="4" spans="1:9" ht="14.25">
      <c r="A4" s="112"/>
      <c r="B4" s="112"/>
      <c r="C4" s="112"/>
      <c r="D4" s="112"/>
      <c r="E4" s="112"/>
      <c r="H4" s="112"/>
    </row>
    <row r="5" spans="1:9" ht="27" customHeight="1">
      <c r="A5" s="113" t="s">
        <v>47</v>
      </c>
      <c r="B5" s="4"/>
      <c r="C5" s="5"/>
      <c r="D5" s="112"/>
      <c r="E5" s="112"/>
      <c r="F5" s="6" t="s">
        <v>37</v>
      </c>
      <c r="G5" s="7" t="s">
        <v>50</v>
      </c>
      <c r="H5" s="112"/>
    </row>
    <row r="6" spans="1:9" ht="27" customHeight="1">
      <c r="A6" s="112"/>
      <c r="B6" s="112"/>
      <c r="C6" s="112"/>
      <c r="D6" s="112"/>
      <c r="E6" s="112"/>
      <c r="F6" s="8" t="s">
        <v>40</v>
      </c>
      <c r="G6" s="9" t="s">
        <v>51</v>
      </c>
      <c r="H6" s="112"/>
    </row>
    <row r="7" spans="1:9" ht="27" customHeight="1">
      <c r="A7" s="162" t="s">
        <v>136</v>
      </c>
      <c r="B7" s="163"/>
      <c r="C7" s="164"/>
      <c r="D7" s="112"/>
      <c r="E7" s="10"/>
      <c r="F7" s="11" t="s">
        <v>41</v>
      </c>
      <c r="G7" s="9" t="s">
        <v>52</v>
      </c>
      <c r="H7" s="112"/>
    </row>
    <row r="8" spans="1:9" ht="27" customHeight="1">
      <c r="A8" s="112"/>
      <c r="B8" s="112"/>
      <c r="C8" s="112"/>
      <c r="D8" s="112"/>
      <c r="E8" s="112"/>
      <c r="F8" s="8" t="s">
        <v>42</v>
      </c>
      <c r="G8" s="9" t="s">
        <v>53</v>
      </c>
      <c r="H8" s="112"/>
    </row>
    <row r="9" spans="1:9" ht="27" customHeight="1">
      <c r="A9" s="113" t="s">
        <v>135</v>
      </c>
      <c r="B9" s="144"/>
      <c r="C9" s="145"/>
      <c r="D9" s="112"/>
      <c r="E9" s="112"/>
      <c r="F9" s="8" t="s">
        <v>43</v>
      </c>
      <c r="G9" s="9" t="s">
        <v>54</v>
      </c>
      <c r="H9" s="112"/>
    </row>
    <row r="10" spans="1:9" ht="27" customHeight="1">
      <c r="A10" s="112"/>
      <c r="B10" s="112"/>
      <c r="C10" s="112"/>
      <c r="D10" s="112"/>
      <c r="E10" s="112"/>
      <c r="F10" s="12" t="s">
        <v>38</v>
      </c>
      <c r="G10" s="13" t="s">
        <v>55</v>
      </c>
      <c r="H10" s="112"/>
      <c r="I10" s="112"/>
    </row>
    <row r="11" spans="1:9" ht="27" customHeight="1">
      <c r="A11" s="160"/>
      <c r="B11" s="161"/>
      <c r="C11" s="161"/>
      <c r="D11" s="112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2"/>
      <c r="B13" s="112"/>
      <c r="C13" s="112"/>
      <c r="D13" s="112"/>
      <c r="E13" s="112"/>
      <c r="F13" s="112"/>
      <c r="G13" s="11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'내역서(표준단가)'!K7</f>
        <v>25367.500400000001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'내역서(표준단가)'!M7</f>
        <v>292269.86748899997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317637.36788899999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52" t="s">
        <v>23</v>
      </c>
      <c r="C21" s="153" t="s">
        <v>133</v>
      </c>
      <c r="D21" s="154">
        <v>1</v>
      </c>
      <c r="E21" s="154" t="s">
        <v>24</v>
      </c>
      <c r="F21" s="155">
        <f>F17*4.75%</f>
        <v>13882.818705727499</v>
      </c>
      <c r="G21" s="35" t="s">
        <v>25</v>
      </c>
    </row>
    <row r="22" spans="1:7" ht="33" customHeight="1">
      <c r="A22" s="29"/>
      <c r="B22" s="156" t="s">
        <v>26</v>
      </c>
      <c r="C22" s="153" t="s">
        <v>134</v>
      </c>
      <c r="D22" s="157">
        <v>1</v>
      </c>
      <c r="E22" s="157" t="s">
        <v>24</v>
      </c>
      <c r="F22" s="158">
        <f>F17*3.595%</f>
        <v>10507.10173622955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1360.6696748417266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2951.9256616388993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10404.807282608399</v>
      </c>
      <c r="G25" s="35" t="s">
        <v>27</v>
      </c>
    </row>
    <row r="26" spans="1:7" ht="33" customHeight="1">
      <c r="A26" s="29"/>
      <c r="B26" s="42" t="s">
        <v>31</v>
      </c>
      <c r="C26" s="45" t="s">
        <v>129</v>
      </c>
      <c r="D26" s="30">
        <v>1</v>
      </c>
      <c r="E26" s="30" t="s">
        <v>24</v>
      </c>
      <c r="F26" s="43">
        <f>(F16+F17)*3.11%</f>
        <v>9878.5221413478994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17062.7856345697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66048.630836963683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383685.99872596364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383000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7"/>
  <sheetViews>
    <sheetView showGridLines="0" zoomScale="80" zoomScaleNormal="80" workbookViewId="0">
      <pane ySplit="4" topLeftCell="A5" activePane="bottomLeft" state="frozen"/>
      <selection pane="bottomLeft" activeCell="F11" sqref="F11"/>
    </sheetView>
  </sheetViews>
  <sheetFormatPr defaultColWidth="9" defaultRowHeight="38.1" customHeight="1"/>
  <cols>
    <col min="1" max="1" width="22.625" style="135" bestFit="1" customWidth="1"/>
    <col min="2" max="2" width="9" style="125" hidden="1" customWidth="1"/>
    <col min="3" max="5" width="12.625" style="125" hidden="1" customWidth="1"/>
    <col min="6" max="7" width="30.625" style="121" customWidth="1"/>
    <col min="8" max="8" width="12.375" style="125" bestFit="1" customWidth="1"/>
    <col min="9" max="9" width="7.625" style="125" bestFit="1" customWidth="1"/>
    <col min="10" max="10" width="10.625" style="125" bestFit="1" customWidth="1"/>
    <col min="11" max="11" width="13.25" style="125" bestFit="1" customWidth="1"/>
    <col min="12" max="12" width="12" style="125" bestFit="1" customWidth="1"/>
    <col min="13" max="13" width="15.625" style="125" bestFit="1" customWidth="1"/>
    <col min="14" max="14" width="9" style="125" customWidth="1"/>
    <col min="15" max="15" width="8.75" style="125" bestFit="1" customWidth="1"/>
    <col min="16" max="16" width="10.5" style="125" customWidth="1"/>
    <col min="17" max="17" width="8.75" style="125" bestFit="1" customWidth="1"/>
    <col min="18" max="18" width="15.625" style="125" bestFit="1" customWidth="1"/>
    <col min="19" max="19" width="15.5" style="62" bestFit="1" customWidth="1"/>
    <col min="20" max="20" width="8.5" style="125" bestFit="1" customWidth="1"/>
    <col min="21" max="16384" width="9" style="125"/>
  </cols>
  <sheetData>
    <row r="1" spans="1:20" ht="19.899999999999999" customHeight="1">
      <c r="A1" s="165"/>
      <c r="B1" s="165"/>
      <c r="C1" s="165"/>
      <c r="D1" s="165"/>
      <c r="E1" s="165"/>
      <c r="J1" s="62"/>
      <c r="K1" s="124" t="s">
        <v>98</v>
      </c>
      <c r="M1" s="124" t="s">
        <v>98</v>
      </c>
      <c r="O1" s="124" t="s">
        <v>98</v>
      </c>
      <c r="Q1" s="124" t="s">
        <v>98</v>
      </c>
    </row>
    <row r="2" spans="1:20" ht="19.899999999999999" customHeight="1" thickBot="1">
      <c r="A2" s="165"/>
      <c r="B2" s="165"/>
      <c r="C2" s="165"/>
      <c r="D2" s="165"/>
      <c r="E2" s="165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26"/>
      <c r="B3" s="127" t="s">
        <v>99</v>
      </c>
      <c r="C3" s="127"/>
      <c r="D3" s="127"/>
      <c r="E3" s="127"/>
      <c r="F3" s="176" t="s">
        <v>100</v>
      </c>
      <c r="G3" s="176"/>
      <c r="H3" s="174" t="s">
        <v>46</v>
      </c>
      <c r="I3" s="174" t="s">
        <v>5</v>
      </c>
      <c r="J3" s="170" t="s">
        <v>101</v>
      </c>
      <c r="K3" s="170"/>
      <c r="L3" s="170" t="s">
        <v>102</v>
      </c>
      <c r="M3" s="170"/>
      <c r="N3" s="171" t="s">
        <v>103</v>
      </c>
      <c r="O3" s="171"/>
      <c r="P3" s="171" t="s">
        <v>104</v>
      </c>
      <c r="Q3" s="171"/>
      <c r="R3" s="172" t="s">
        <v>105</v>
      </c>
      <c r="S3" s="168" t="s">
        <v>106</v>
      </c>
      <c r="T3" s="166" t="s">
        <v>44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22" t="s">
        <v>112</v>
      </c>
      <c r="G4" s="122" t="s">
        <v>113</v>
      </c>
      <c r="H4" s="175"/>
      <c r="I4" s="175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73"/>
      <c r="S4" s="169"/>
      <c r="T4" s="167"/>
    </row>
    <row r="5" spans="1:20" s="128" customFormat="1" ht="38.1" customHeight="1">
      <c r="A5" s="69" t="str">
        <f t="shared" ref="A5" si="0">B5&amp;C5&amp;D5&amp;E5</f>
        <v>M020853710050101</v>
      </c>
      <c r="B5" s="93"/>
      <c r="C5" s="70"/>
      <c r="D5" s="70" t="s">
        <v>130</v>
      </c>
      <c r="E5" s="93"/>
      <c r="F5" s="120" t="s">
        <v>131</v>
      </c>
      <c r="G5" s="120" t="s">
        <v>138</v>
      </c>
      <c r="H5" s="108" t="s">
        <v>132</v>
      </c>
      <c r="I5" s="119">
        <v>1.4536</v>
      </c>
      <c r="J5" s="146">
        <v>20900</v>
      </c>
      <c r="K5" s="117">
        <f t="shared" ref="K5" si="1">SUM(J5:J5)*I5*$K$2</f>
        <v>25367.500400000001</v>
      </c>
      <c r="L5" s="148"/>
      <c r="M5" s="117">
        <f t="shared" ref="M5" si="2">(L5*I5)*$M$2</f>
        <v>0</v>
      </c>
      <c r="N5" s="118"/>
      <c r="O5" s="117">
        <f t="shared" ref="O5" si="3">N5*I5*$O$2</f>
        <v>0</v>
      </c>
      <c r="P5" s="118"/>
      <c r="Q5" s="117">
        <f t="shared" ref="Q5" si="4">P5*I5*$Q$2</f>
        <v>0</v>
      </c>
      <c r="R5" s="72">
        <f t="shared" ref="R5" si="5">SUM(K5+M5)+O5+Q5</f>
        <v>25367.500400000001</v>
      </c>
      <c r="S5" s="107"/>
      <c r="T5" s="73"/>
    </row>
    <row r="6" spans="1:20" s="128" customFormat="1" ht="38.1" customHeight="1">
      <c r="A6" s="69" t="str">
        <f t="shared" ref="A6" si="6">B6&amp;C6&amp;D6&amp;E6</f>
        <v>E00000803071260301</v>
      </c>
      <c r="B6" s="93"/>
      <c r="C6" s="70" t="s">
        <v>118</v>
      </c>
      <c r="D6" s="70"/>
      <c r="E6" s="93"/>
      <c r="F6" s="120" t="s">
        <v>120</v>
      </c>
      <c r="G6" s="120" t="s">
        <v>139</v>
      </c>
      <c r="H6" s="71" t="s">
        <v>119</v>
      </c>
      <c r="I6" s="119">
        <v>0.68569999999999998</v>
      </c>
      <c r="J6" s="147"/>
      <c r="K6" s="117">
        <f t="shared" ref="K6" si="7">SUM(J6:J6)*I6*$K$2</f>
        <v>0</v>
      </c>
      <c r="L6" s="149">
        <v>510462</v>
      </c>
      <c r="M6" s="117">
        <f t="shared" ref="M6" si="8">(L6*I6)*$M$2</f>
        <v>292269.86748899997</v>
      </c>
      <c r="N6" s="118"/>
      <c r="O6" s="117">
        <f t="shared" ref="O6" si="9">N6*I6*$O$2</f>
        <v>0</v>
      </c>
      <c r="P6" s="118"/>
      <c r="Q6" s="117">
        <f t="shared" ref="Q6" si="10">P6*I6*$Q$2</f>
        <v>0</v>
      </c>
      <c r="R6" s="72">
        <f t="shared" ref="R6" si="11">SUM(K6+M6)+O6+Q6</f>
        <v>292269.86748899997</v>
      </c>
      <c r="S6" s="107"/>
      <c r="T6" s="73"/>
    </row>
    <row r="7" spans="1:20" s="134" customFormat="1" ht="38.1" customHeight="1">
      <c r="A7" s="129"/>
      <c r="B7" s="130"/>
      <c r="C7" s="130"/>
      <c r="D7" s="130"/>
      <c r="E7" s="130"/>
      <c r="F7" s="123"/>
      <c r="G7" s="123"/>
      <c r="H7" s="130"/>
      <c r="I7" s="130"/>
      <c r="J7" s="130"/>
      <c r="K7" s="131">
        <f>SUM(K5:K6)</f>
        <v>25367.500400000001</v>
      </c>
      <c r="L7" s="132"/>
      <c r="M7" s="131">
        <f>SUM(M5:M6)</f>
        <v>292269.86748899997</v>
      </c>
      <c r="N7" s="132"/>
      <c r="O7" s="131">
        <f>SUM(O5:O6)</f>
        <v>0</v>
      </c>
      <c r="P7" s="132"/>
      <c r="Q7" s="131">
        <f>SUM(Q5:Q6)</f>
        <v>0</v>
      </c>
      <c r="R7" s="133">
        <f>SUM(R5:R6)</f>
        <v>317637.36788899999</v>
      </c>
      <c r="S7" s="101"/>
      <c r="T7" s="13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H19" sqref="H19"/>
    </sheetView>
  </sheetViews>
  <sheetFormatPr defaultColWidth="9" defaultRowHeight="14.25"/>
  <cols>
    <col min="1" max="1" width="22.625" style="92" customWidth="1"/>
    <col min="2" max="2" width="27.625" style="92" customWidth="1"/>
    <col min="3" max="3" width="5.75" style="92" customWidth="1"/>
    <col min="4" max="4" width="6.75" style="92" bestFit="1" customWidth="1"/>
    <col min="5" max="8" width="20.625" style="92" customWidth="1"/>
    <col min="9" max="12" width="20.625" style="92" hidden="1" customWidth="1"/>
    <col min="13" max="14" width="20.625" style="92" customWidth="1"/>
    <col min="15" max="15" width="32.75" style="92" customWidth="1"/>
    <col min="16" max="16" width="5.25" style="74" customWidth="1"/>
    <col min="17" max="16384" width="9" style="74"/>
  </cols>
  <sheetData>
    <row r="1" spans="1:15" ht="27" customHeight="1">
      <c r="A1" s="179" t="s">
        <v>57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</row>
    <row r="2" spans="1:15" ht="15" customHeight="1">
      <c r="A2" s="180" t="s">
        <v>58</v>
      </c>
      <c r="B2" s="181" t="s">
        <v>59</v>
      </c>
      <c r="C2" s="182" t="s">
        <v>46</v>
      </c>
      <c r="D2" s="182" t="s">
        <v>60</v>
      </c>
      <c r="E2" s="184" t="s">
        <v>61</v>
      </c>
      <c r="F2" s="181"/>
      <c r="G2" s="181" t="s">
        <v>62</v>
      </c>
      <c r="H2" s="181"/>
      <c r="I2" s="185" t="s">
        <v>63</v>
      </c>
      <c r="J2" s="186"/>
      <c r="K2" s="185" t="s">
        <v>64</v>
      </c>
      <c r="L2" s="186"/>
      <c r="M2" s="184" t="s">
        <v>65</v>
      </c>
      <c r="N2" s="181"/>
      <c r="O2" s="187" t="s">
        <v>66</v>
      </c>
    </row>
    <row r="3" spans="1:15" ht="15" customHeight="1">
      <c r="A3" s="180"/>
      <c r="B3" s="181"/>
      <c r="C3" s="183"/>
      <c r="D3" s="183"/>
      <c r="E3" s="114" t="s">
        <v>67</v>
      </c>
      <c r="F3" s="114" t="s">
        <v>68</v>
      </c>
      <c r="G3" s="75" t="s">
        <v>67</v>
      </c>
      <c r="H3" s="114" t="s">
        <v>69</v>
      </c>
      <c r="I3" s="114"/>
      <c r="J3" s="114"/>
      <c r="K3" s="75" t="s">
        <v>67</v>
      </c>
      <c r="L3" s="114" t="s">
        <v>69</v>
      </c>
      <c r="M3" s="75" t="s">
        <v>67</v>
      </c>
      <c r="N3" s="114" t="s">
        <v>69</v>
      </c>
      <c r="O3" s="188"/>
    </row>
    <row r="4" spans="1:15" ht="15" customHeight="1">
      <c r="A4" s="177" t="s">
        <v>137</v>
      </c>
      <c r="B4" s="178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5" ht="15" customHeight="1">
      <c r="A5" s="190" t="s">
        <v>70</v>
      </c>
      <c r="B5" s="77" t="s">
        <v>71</v>
      </c>
      <c r="C5" s="78" t="s">
        <v>72</v>
      </c>
      <c r="D5" s="136"/>
      <c r="E5" s="150"/>
      <c r="F5" s="79"/>
      <c r="G5" s="150"/>
      <c r="H5" s="79"/>
      <c r="I5" s="79"/>
      <c r="J5" s="79"/>
      <c r="K5" s="79"/>
      <c r="L5" s="79"/>
      <c r="M5" s="79"/>
      <c r="N5" s="79"/>
      <c r="O5" s="192" t="s">
        <v>127</v>
      </c>
    </row>
    <row r="6" spans="1:15" ht="15" customHeight="1">
      <c r="A6" s="191"/>
      <c r="B6" s="77" t="s">
        <v>73</v>
      </c>
      <c r="C6" s="78" t="s">
        <v>72</v>
      </c>
      <c r="D6" s="136">
        <v>24</v>
      </c>
      <c r="E6" s="150">
        <v>1057</v>
      </c>
      <c r="F6" s="79">
        <f t="shared" ref="F6" si="0">D6*E6</f>
        <v>25368</v>
      </c>
      <c r="G6" s="150">
        <v>12178</v>
      </c>
      <c r="H6" s="79">
        <f t="shared" ref="H6" si="1">D6*G6</f>
        <v>292272</v>
      </c>
      <c r="I6" s="79"/>
      <c r="J6" s="79"/>
      <c r="K6" s="79"/>
      <c r="L6" s="79"/>
      <c r="M6" s="79"/>
      <c r="N6" s="79">
        <f t="shared" ref="N6" si="2">F6+H6+J6+L6</f>
        <v>317640</v>
      </c>
      <c r="O6" s="193"/>
    </row>
    <row r="7" spans="1:15" ht="15" customHeight="1">
      <c r="A7" s="191"/>
      <c r="B7" s="77" t="s">
        <v>74</v>
      </c>
      <c r="C7" s="78" t="s">
        <v>72</v>
      </c>
      <c r="D7" s="136"/>
      <c r="E7" s="150"/>
      <c r="F7" s="79"/>
      <c r="G7" s="150"/>
      <c r="H7" s="79"/>
      <c r="I7" s="79"/>
      <c r="J7" s="79"/>
      <c r="K7" s="79"/>
      <c r="L7" s="79"/>
      <c r="M7" s="79"/>
      <c r="N7" s="79"/>
      <c r="O7" s="193"/>
    </row>
    <row r="8" spans="1:15" ht="15" customHeight="1">
      <c r="A8" s="191"/>
      <c r="B8" s="77" t="s">
        <v>75</v>
      </c>
      <c r="C8" s="78" t="s">
        <v>72</v>
      </c>
      <c r="D8" s="136"/>
      <c r="E8" s="150"/>
      <c r="F8" s="79"/>
      <c r="G8" s="150"/>
      <c r="H8" s="79"/>
      <c r="I8" s="79"/>
      <c r="J8" s="79"/>
      <c r="K8" s="79"/>
      <c r="L8" s="79"/>
      <c r="M8" s="79"/>
      <c r="N8" s="79"/>
      <c r="O8" s="193"/>
    </row>
    <row r="9" spans="1:15" ht="15" customHeight="1">
      <c r="A9" s="191"/>
      <c r="B9" s="77" t="s">
        <v>76</v>
      </c>
      <c r="C9" s="78" t="s">
        <v>72</v>
      </c>
      <c r="D9" s="136"/>
      <c r="E9" s="150"/>
      <c r="F9" s="79"/>
      <c r="G9" s="150"/>
      <c r="H9" s="79"/>
      <c r="I9" s="79"/>
      <c r="J9" s="79"/>
      <c r="K9" s="79"/>
      <c r="L9" s="79"/>
      <c r="M9" s="79"/>
      <c r="N9" s="79"/>
      <c r="O9" s="193"/>
    </row>
    <row r="10" spans="1:15" ht="15" customHeight="1">
      <c r="A10" s="191"/>
      <c r="B10" s="77" t="s">
        <v>77</v>
      </c>
      <c r="C10" s="78" t="s">
        <v>72</v>
      </c>
      <c r="D10" s="136"/>
      <c r="E10" s="150"/>
      <c r="F10" s="79"/>
      <c r="G10" s="150"/>
      <c r="H10" s="79"/>
      <c r="I10" s="79"/>
      <c r="J10" s="79"/>
      <c r="K10" s="79"/>
      <c r="L10" s="79"/>
      <c r="M10" s="79"/>
      <c r="N10" s="79"/>
      <c r="O10" s="193"/>
    </row>
    <row r="11" spans="1:15" ht="15" customHeight="1">
      <c r="A11" s="191"/>
      <c r="B11" s="77" t="s">
        <v>78</v>
      </c>
      <c r="C11" s="78" t="s">
        <v>72</v>
      </c>
      <c r="D11" s="136"/>
      <c r="E11" s="150"/>
      <c r="F11" s="79"/>
      <c r="G11" s="150"/>
      <c r="H11" s="79"/>
      <c r="I11" s="79"/>
      <c r="J11" s="79"/>
      <c r="K11" s="79"/>
      <c r="L11" s="79"/>
      <c r="M11" s="79"/>
      <c r="N11" s="79"/>
      <c r="O11" s="193"/>
    </row>
    <row r="12" spans="1:15" ht="15" customHeight="1">
      <c r="A12" s="191"/>
      <c r="B12" s="77" t="s">
        <v>79</v>
      </c>
      <c r="C12" s="78" t="s">
        <v>72</v>
      </c>
      <c r="D12" s="137"/>
      <c r="E12" s="150"/>
      <c r="F12" s="79"/>
      <c r="G12" s="150"/>
      <c r="H12" s="79"/>
      <c r="I12" s="79"/>
      <c r="J12" s="79"/>
      <c r="K12" s="79"/>
      <c r="L12" s="79"/>
      <c r="M12" s="79"/>
      <c r="N12" s="79"/>
      <c r="O12" s="193"/>
    </row>
    <row r="13" spans="1:15" ht="15" customHeight="1">
      <c r="A13" s="102" t="s">
        <v>80</v>
      </c>
      <c r="B13" s="103"/>
      <c r="C13" s="104"/>
      <c r="D13" s="138">
        <f>SUM(D5:D12)</f>
        <v>24</v>
      </c>
      <c r="E13" s="105"/>
      <c r="F13" s="105">
        <f>SUM(F5:F12)</f>
        <v>25368</v>
      </c>
      <c r="G13" s="105"/>
      <c r="H13" s="105">
        <f>SUM(H5:H12)</f>
        <v>292272</v>
      </c>
      <c r="I13" s="105"/>
      <c r="J13" s="105">
        <f>SUM(J5:J12)</f>
        <v>0</v>
      </c>
      <c r="K13" s="105"/>
      <c r="L13" s="105">
        <f>SUM(L5:L12)</f>
        <v>0</v>
      </c>
      <c r="M13" s="105"/>
      <c r="N13" s="105">
        <f>SUM(N5:N12)</f>
        <v>317640</v>
      </c>
      <c r="O13" s="105"/>
    </row>
    <row r="14" spans="1:15" ht="15" customHeight="1">
      <c r="A14" s="194" t="s">
        <v>128</v>
      </c>
      <c r="B14" s="77" t="s">
        <v>81</v>
      </c>
      <c r="C14" s="78" t="s">
        <v>72</v>
      </c>
      <c r="D14" s="137">
        <v>26.1</v>
      </c>
      <c r="E14" s="150"/>
      <c r="F14" s="109"/>
      <c r="G14" s="150"/>
      <c r="H14" s="109"/>
      <c r="I14" s="109"/>
      <c r="J14" s="109"/>
      <c r="K14" s="79"/>
      <c r="L14" s="109"/>
      <c r="M14" s="79"/>
      <c r="N14" s="109"/>
      <c r="O14" s="193"/>
    </row>
    <row r="15" spans="1:15" ht="15" customHeight="1">
      <c r="A15" s="194"/>
      <c r="B15" s="77" t="s">
        <v>82</v>
      </c>
      <c r="C15" s="78" t="s">
        <v>72</v>
      </c>
      <c r="D15" s="139">
        <v>10.9</v>
      </c>
      <c r="E15" s="150"/>
      <c r="F15" s="109"/>
      <c r="G15" s="150"/>
      <c r="H15" s="109"/>
      <c r="I15" s="109"/>
      <c r="J15" s="109"/>
      <c r="K15" s="79"/>
      <c r="L15" s="109"/>
      <c r="M15" s="79"/>
      <c r="N15" s="109"/>
      <c r="O15" s="193"/>
    </row>
    <row r="16" spans="1:15" ht="15" customHeight="1">
      <c r="A16" s="194"/>
      <c r="B16" s="77" t="s">
        <v>83</v>
      </c>
      <c r="C16" s="78" t="s">
        <v>72</v>
      </c>
      <c r="D16" s="139">
        <v>8.4</v>
      </c>
      <c r="E16" s="150"/>
      <c r="F16" s="109"/>
      <c r="G16" s="150"/>
      <c r="H16" s="109"/>
      <c r="I16" s="109"/>
      <c r="J16" s="109"/>
      <c r="K16" s="79"/>
      <c r="L16" s="109"/>
      <c r="M16" s="79"/>
      <c r="N16" s="109"/>
      <c r="O16" s="193"/>
    </row>
    <row r="17" spans="1:15" ht="15" customHeight="1">
      <c r="A17" s="195"/>
      <c r="B17" s="77" t="s">
        <v>84</v>
      </c>
      <c r="C17" s="78" t="s">
        <v>72</v>
      </c>
      <c r="D17" s="139">
        <v>6.1</v>
      </c>
      <c r="E17" s="150"/>
      <c r="F17" s="109"/>
      <c r="G17" s="150"/>
      <c r="H17" s="109"/>
      <c r="I17" s="109"/>
      <c r="J17" s="109"/>
      <c r="K17" s="79"/>
      <c r="L17" s="109"/>
      <c r="M17" s="79"/>
      <c r="N17" s="109"/>
      <c r="O17" s="196"/>
    </row>
    <row r="18" spans="1:15" ht="15" customHeight="1">
      <c r="A18" s="94" t="s">
        <v>80</v>
      </c>
      <c r="B18" s="80"/>
      <c r="C18" s="83"/>
      <c r="D18" s="138">
        <f>SUM(D14:D17)</f>
        <v>51.5</v>
      </c>
      <c r="E18" s="82"/>
      <c r="F18" s="82">
        <f>SUM(F14:F17)</f>
        <v>0</v>
      </c>
      <c r="G18" s="82"/>
      <c r="H18" s="82">
        <f>SUM(H14:H17)</f>
        <v>0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0</v>
      </c>
      <c r="O18" s="82"/>
    </row>
    <row r="19" spans="1:15" ht="15" customHeight="1">
      <c r="A19" s="99" t="s">
        <v>85</v>
      </c>
      <c r="B19" s="84"/>
      <c r="C19" s="85"/>
      <c r="D19" s="14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0" t="s">
        <v>126</v>
      </c>
      <c r="B20" s="115" t="s">
        <v>123</v>
      </c>
      <c r="C20" s="115" t="s">
        <v>122</v>
      </c>
      <c r="D20" s="140">
        <v>0.5</v>
      </c>
      <c r="E20" s="150"/>
      <c r="F20" s="109"/>
      <c r="G20" s="79"/>
      <c r="H20" s="79"/>
      <c r="I20" s="79"/>
      <c r="J20" s="79"/>
      <c r="K20" s="79"/>
      <c r="L20" s="79"/>
      <c r="M20" s="79"/>
      <c r="N20" s="111"/>
      <c r="O20" s="79"/>
    </row>
    <row r="21" spans="1:15" ht="15" customHeight="1">
      <c r="A21" s="189" t="s">
        <v>86</v>
      </c>
      <c r="B21" s="84" t="s">
        <v>87</v>
      </c>
      <c r="C21" s="85" t="s">
        <v>72</v>
      </c>
      <c r="D21" s="140">
        <v>25</v>
      </c>
      <c r="E21" s="111"/>
      <c r="F21" s="111"/>
      <c r="G21" s="151"/>
      <c r="H21" s="111"/>
      <c r="I21" s="111"/>
      <c r="J21" s="111"/>
      <c r="K21" s="111"/>
      <c r="L21" s="111"/>
      <c r="M21" s="111"/>
      <c r="N21" s="111"/>
      <c r="O21" s="79"/>
    </row>
    <row r="22" spans="1:15" ht="15" customHeight="1">
      <c r="A22" s="189"/>
      <c r="B22" s="84" t="s">
        <v>88</v>
      </c>
      <c r="C22" s="85" t="s">
        <v>72</v>
      </c>
      <c r="D22" s="140">
        <v>25</v>
      </c>
      <c r="E22" s="111"/>
      <c r="F22" s="111"/>
      <c r="G22" s="151"/>
      <c r="H22" s="111"/>
      <c r="I22" s="111"/>
      <c r="J22" s="111"/>
      <c r="K22" s="111"/>
      <c r="L22" s="111"/>
      <c r="M22" s="111"/>
      <c r="N22" s="111"/>
      <c r="O22" s="79"/>
    </row>
    <row r="23" spans="1:15" ht="15" customHeight="1">
      <c r="A23" s="189" t="s">
        <v>89</v>
      </c>
      <c r="B23" s="84" t="s">
        <v>87</v>
      </c>
      <c r="C23" s="85" t="s">
        <v>72</v>
      </c>
      <c r="D23" s="140">
        <v>25</v>
      </c>
      <c r="E23" s="111"/>
      <c r="F23" s="111"/>
      <c r="G23" s="151"/>
      <c r="H23" s="111"/>
      <c r="I23" s="111"/>
      <c r="J23" s="111"/>
      <c r="K23" s="111"/>
      <c r="L23" s="111"/>
      <c r="M23" s="111"/>
      <c r="N23" s="111"/>
      <c r="O23" s="79"/>
    </row>
    <row r="24" spans="1:15" ht="15" customHeight="1">
      <c r="A24" s="189"/>
      <c r="B24" s="84" t="s">
        <v>88</v>
      </c>
      <c r="C24" s="85" t="s">
        <v>72</v>
      </c>
      <c r="D24" s="140">
        <v>25</v>
      </c>
      <c r="E24" s="111"/>
      <c r="F24" s="111"/>
      <c r="G24" s="151"/>
      <c r="H24" s="111"/>
      <c r="I24" s="111"/>
      <c r="J24" s="111"/>
      <c r="K24" s="111"/>
      <c r="L24" s="111"/>
      <c r="M24" s="111"/>
      <c r="N24" s="111"/>
      <c r="O24" s="79"/>
    </row>
    <row r="25" spans="1:15" ht="15" customHeight="1">
      <c r="A25" s="116" t="s">
        <v>124</v>
      </c>
      <c r="B25" s="115" t="s">
        <v>125</v>
      </c>
      <c r="C25" s="115" t="s">
        <v>122</v>
      </c>
      <c r="D25" s="140">
        <v>0.2</v>
      </c>
      <c r="E25" s="150"/>
      <c r="F25" s="111"/>
      <c r="G25" s="79"/>
      <c r="H25" s="79"/>
      <c r="I25" s="79"/>
      <c r="J25" s="79"/>
      <c r="K25" s="79"/>
      <c r="L25" s="79"/>
      <c r="M25" s="79"/>
      <c r="N25" s="111"/>
      <c r="O25" s="79"/>
    </row>
    <row r="26" spans="1:15" ht="15" customHeight="1">
      <c r="A26" s="189" t="s">
        <v>90</v>
      </c>
      <c r="B26" s="84" t="s">
        <v>91</v>
      </c>
      <c r="C26" s="85" t="s">
        <v>72</v>
      </c>
      <c r="D26" s="140">
        <v>14</v>
      </c>
      <c r="E26" s="79"/>
      <c r="F26" s="79"/>
      <c r="G26" s="150"/>
      <c r="H26" s="79"/>
      <c r="I26" s="79"/>
      <c r="J26" s="79"/>
      <c r="K26" s="79"/>
      <c r="L26" s="109"/>
      <c r="M26" s="79"/>
      <c r="N26" s="109"/>
      <c r="O26" s="79"/>
    </row>
    <row r="27" spans="1:15" ht="15" customHeight="1">
      <c r="A27" s="189"/>
      <c r="B27" s="84" t="s">
        <v>92</v>
      </c>
      <c r="C27" s="85" t="s">
        <v>72</v>
      </c>
      <c r="D27" s="140">
        <v>14</v>
      </c>
      <c r="E27" s="79"/>
      <c r="F27" s="79"/>
      <c r="G27" s="150"/>
      <c r="H27" s="79"/>
      <c r="I27" s="79"/>
      <c r="J27" s="79"/>
      <c r="K27" s="79"/>
      <c r="L27" s="109"/>
      <c r="M27" s="79"/>
      <c r="N27" s="109"/>
      <c r="O27" s="79"/>
    </row>
    <row r="28" spans="1:15" ht="15" customHeight="1">
      <c r="A28" s="189" t="s">
        <v>93</v>
      </c>
      <c r="B28" s="84" t="s">
        <v>91</v>
      </c>
      <c r="C28" s="85" t="s">
        <v>72</v>
      </c>
      <c r="D28" s="140">
        <v>2</v>
      </c>
      <c r="E28" s="79"/>
      <c r="F28" s="79"/>
      <c r="G28" s="150"/>
      <c r="H28" s="79"/>
      <c r="I28" s="79"/>
      <c r="J28" s="79"/>
      <c r="K28" s="79"/>
      <c r="L28" s="109"/>
      <c r="M28" s="79"/>
      <c r="N28" s="109"/>
      <c r="O28" s="79"/>
    </row>
    <row r="29" spans="1:15" ht="15" customHeight="1">
      <c r="A29" s="189"/>
      <c r="B29" s="84" t="s">
        <v>94</v>
      </c>
      <c r="C29" s="85" t="s">
        <v>72</v>
      </c>
      <c r="D29" s="140">
        <v>2</v>
      </c>
      <c r="E29" s="79"/>
      <c r="F29" s="79"/>
      <c r="G29" s="150"/>
      <c r="H29" s="79"/>
      <c r="I29" s="79"/>
      <c r="J29" s="79"/>
      <c r="K29" s="79"/>
      <c r="L29" s="109"/>
      <c r="M29" s="79"/>
      <c r="N29" s="109"/>
      <c r="O29" s="79"/>
    </row>
    <row r="30" spans="1:15" ht="15" customHeight="1">
      <c r="A30" s="94" t="s">
        <v>80</v>
      </c>
      <c r="B30" s="86"/>
      <c r="C30" s="87"/>
      <c r="D30" s="141"/>
      <c r="E30" s="82"/>
      <c r="F30" s="82">
        <f>SUM(F19:F29)</f>
        <v>0</v>
      </c>
      <c r="G30" s="82"/>
      <c r="H30" s="82">
        <f>SUM(H19:H29)</f>
        <v>0</v>
      </c>
      <c r="I30" s="82"/>
      <c r="J30" s="82">
        <f>SUM(J19:J29)</f>
        <v>0</v>
      </c>
      <c r="K30" s="82"/>
      <c r="L30" s="82">
        <f>SUM(L19:L29)</f>
        <v>0</v>
      </c>
      <c r="M30" s="82"/>
      <c r="N30" s="82">
        <f>SUM(N19:N29)</f>
        <v>0</v>
      </c>
      <c r="O30" s="82"/>
    </row>
    <row r="31" spans="1:15" ht="15" customHeight="1">
      <c r="A31" s="100" t="s">
        <v>95</v>
      </c>
      <c r="B31" s="77" t="s">
        <v>96</v>
      </c>
      <c r="C31" s="78" t="s">
        <v>72</v>
      </c>
      <c r="D31" s="142">
        <v>97</v>
      </c>
      <c r="E31" s="109"/>
      <c r="F31" s="109"/>
      <c r="G31" s="150"/>
      <c r="H31" s="109"/>
      <c r="I31" s="109"/>
      <c r="J31" s="109"/>
      <c r="K31" s="109"/>
      <c r="L31" s="109"/>
      <c r="M31" s="109"/>
      <c r="N31" s="109"/>
      <c r="O31" s="88" t="s">
        <v>97</v>
      </c>
    </row>
    <row r="32" spans="1:15" ht="15" customHeight="1">
      <c r="A32" s="95" t="s">
        <v>80</v>
      </c>
      <c r="B32" s="80"/>
      <c r="C32" s="81"/>
      <c r="D32" s="143"/>
      <c r="E32" s="89"/>
      <c r="F32" s="89"/>
      <c r="G32" s="89"/>
      <c r="H32" s="82">
        <f>SUM(H31:H31)</f>
        <v>0</v>
      </c>
      <c r="I32" s="89"/>
      <c r="J32" s="82">
        <f t="shared" ref="J32:N32" si="3">SUM(J31:J31)</f>
        <v>0</v>
      </c>
      <c r="K32" s="82"/>
      <c r="L32" s="82">
        <f t="shared" si="3"/>
        <v>0</v>
      </c>
      <c r="M32" s="82"/>
      <c r="N32" s="82">
        <f t="shared" si="3"/>
        <v>0</v>
      </c>
      <c r="O32" s="89"/>
    </row>
    <row r="33" spans="1:15" ht="15" customHeight="1">
      <c r="A33" s="94" t="s">
        <v>121</v>
      </c>
      <c r="B33" s="80"/>
      <c r="C33" s="81"/>
      <c r="D33" s="143"/>
      <c r="E33" s="90"/>
      <c r="F33" s="91">
        <f>F13+F18+F30+F32</f>
        <v>25368</v>
      </c>
      <c r="G33" s="91"/>
      <c r="H33" s="91">
        <f>H13+H18+H30+H32</f>
        <v>292272</v>
      </c>
      <c r="I33" s="90"/>
      <c r="J33" s="91">
        <f>J13+J18+J30+J32</f>
        <v>0</v>
      </c>
      <c r="K33" s="90"/>
      <c r="L33" s="91">
        <f>L13+L18+L30+L32</f>
        <v>0</v>
      </c>
      <c r="M33" s="90"/>
      <c r="N33" s="91">
        <f>N13+N18+N30+N32</f>
        <v>317640</v>
      </c>
      <c r="O33" s="90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H30" sqref="H30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4"/>
  </cols>
  <sheetData>
    <row r="1" spans="1:6" ht="18" customHeight="1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</row>
    <row r="2" spans="1:6">
      <c r="A2" s="97" t="str">
        <f>'내역서(표준단가)'!A5</f>
        <v>M020853710050101</v>
      </c>
      <c r="B2" s="98">
        <f>'내역서(표준단가)'!B5</f>
        <v>0</v>
      </c>
      <c r="C2" s="98">
        <f>'내역서(표준단가)'!C5</f>
        <v>0</v>
      </c>
      <c r="D2" s="98" t="str">
        <f>'내역서(표준단가)'!D5</f>
        <v>M020853710050101</v>
      </c>
      <c r="E2" s="98">
        <f>'내역서(표준단가)'!E5</f>
        <v>0</v>
      </c>
      <c r="F2" s="106">
        <f>'내역서(표준단가)'!I5</f>
        <v>1.4536</v>
      </c>
    </row>
    <row r="3" spans="1:6">
      <c r="A3" s="97" t="str">
        <f>'내역서(표준단가)'!A6</f>
        <v>E00000803071260301</v>
      </c>
      <c r="B3" s="98">
        <f>'내역서(표준단가)'!B6</f>
        <v>0</v>
      </c>
      <c r="C3" s="98" t="str">
        <f>'내역서(표준단가)'!C6</f>
        <v>E00000803071260301</v>
      </c>
      <c r="D3" s="98">
        <f>'내역서(표준단가)'!D6</f>
        <v>0</v>
      </c>
      <c r="E3" s="98">
        <f>'내역서(표준단가)'!E6</f>
        <v>0</v>
      </c>
      <c r="F3" s="106">
        <f>'내역서(표준단가)'!I6</f>
        <v>0.68569999999999998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2026-05-09T06:46:08Z</dcterms:modified>
</cp:coreProperties>
</file>
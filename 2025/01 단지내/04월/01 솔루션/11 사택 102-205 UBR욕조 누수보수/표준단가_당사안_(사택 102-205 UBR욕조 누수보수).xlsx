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632AD636-C7F8-4462-9254-0BD513450271}" xr6:coauthVersionLast="36" xr6:coauthVersionMax="47" xr10:uidLastSave="{00000000-0000-0000-0000-000000000000}"/>
  <bookViews>
    <workbookView xWindow="1635" yWindow="6255" windowWidth="14610" windowHeight="7845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A11" i="4" l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7" i="4"/>
  <c r="S7" i="4"/>
  <c r="Q7" i="4"/>
  <c r="O7" i="4"/>
  <c r="A10" i="4"/>
  <c r="A7" i="1" s="1"/>
  <c r="A9" i="4"/>
  <c r="A6" i="1" s="1"/>
  <c r="A8" i="4"/>
  <c r="A5" i="1" s="1"/>
  <c r="A7" i="4"/>
  <c r="A4" i="1" s="1"/>
  <c r="A6" i="4"/>
  <c r="A3" i="1" s="1"/>
  <c r="U6" i="4"/>
  <c r="S6" i="4"/>
  <c r="Q6" i="4"/>
  <c r="O6" i="4"/>
  <c r="Q10" i="4"/>
  <c r="Q9" i="4"/>
  <c r="V7" i="4" l="1"/>
  <c r="V6" i="4"/>
  <c r="U10" i="4"/>
  <c r="S10" i="4"/>
  <c r="O10" i="4"/>
  <c r="U9" i="4"/>
  <c r="S9" i="4"/>
  <c r="O9" i="4"/>
  <c r="U8" i="4"/>
  <c r="S8" i="4"/>
  <c r="Q8" i="4"/>
  <c r="O8" i="4"/>
  <c r="V9" i="4" l="1"/>
  <c r="V8" i="4"/>
  <c r="V10" i="4"/>
  <c r="F2" i="1"/>
  <c r="E2" i="1"/>
  <c r="D2" i="1"/>
  <c r="C2" i="1"/>
  <c r="B2" i="1"/>
  <c r="A5" i="4"/>
  <c r="A2" i="1" s="1"/>
  <c r="U5" i="4"/>
  <c r="S5" i="4"/>
  <c r="Q5" i="4"/>
  <c r="O5" i="4"/>
  <c r="V5" i="4" l="1"/>
  <c r="U12" i="4" l="1"/>
  <c r="Q12" i="4"/>
  <c r="S12" i="4" l="1"/>
  <c r="V12" i="4" l="1"/>
  <c r="F18" i="5" l="1"/>
  <c r="O12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<sst xmlns="http://schemas.openxmlformats.org/spreadsheetml/2006/main" count="125" uniqueCount="104">
  <si>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</si>
  <si>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</si>
  <si>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</si>
  <si>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</si>
  <si>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</si>
  <si>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</si>
  <si>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</si>
  <si>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</si>
  <si>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</si>
  <si>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</si>
  <si>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</si>
  <si>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</si>
  <si>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</si>
  <si>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</si>
  <si>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</si>
  <si>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</si>
  <si>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</si>
  <si>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</si>
  <si>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</si>
  <si>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</si>
  <si>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</si>
  <si>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</si>
  <si>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</si>
  <si>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</si>
  <si>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 노무비*4.5%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</si>
  <si>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</si>
  <si>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</si>
  <si>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</si>
  <si>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</si>
  <si>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</si>
  <si>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</si>
  <si>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</si>
  <si>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</si>
  <si>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</si>
  <si>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</si>
  <si>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</si>
  <si>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 (재료비+노무비)*2.93%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</si>
  <si>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</si>
  <si>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</si>
  <si>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</si>
  <si>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</si>
  <si>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</si>
  <si>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</si>
  <si>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</si>
  <si>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</si>
  <si>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</si>
  <si>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</si>
  <si>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</si>
  <si>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 xml:space="preserve"> 수신인 : 주식회사 에스엔아이 코퍼레이션</t>
    <phoneticPr fontId="15" type="noConversion"/>
  </si>
  <si>
    <t> 노무비*3.545%</t>
    <phoneticPr fontId="17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</si>
  <si>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</si>
  <si>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</si>
  <si>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</si>
  <si>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</si>
  <si>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</si>
  <si>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</si>
  <si>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</si>
  <si>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</si>
  <si>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</si>
  <si>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인</t>
    <phoneticPr fontId="9" type="noConversion"/>
  </si>
  <si>
    <t>L002</t>
  </si>
  <si>
    <t>제 1호표  건축물 현장정리</t>
  </si>
  <si>
    <t>철근콘크리트조</t>
  </si>
  <si>
    <t>시중노임단가</t>
    <phoneticPr fontId="9" type="noConversion"/>
  </si>
  <si>
    <t>D02339</t>
  </si>
  <si>
    <t>D02723</t>
  </si>
  <si>
    <t>제 1호표  수밀코킹</t>
  </si>
  <si>
    <t>1㎝ 각</t>
  </si>
  <si>
    <t>m</t>
  </si>
  <si>
    <t>M010603201300101</t>
  </si>
  <si>
    <t>L003</t>
  </si>
  <si>
    <t>D02336</t>
  </si>
  <si>
    <t>제 1호표  콘크리트 보양</t>
  </si>
  <si>
    <t>부직포양생</t>
  </si>
  <si>
    <t>프리미엄 바이오 707</t>
  </si>
  <si>
    <t>특별인부</t>
  </si>
  <si>
    <t>보통인부</t>
  </si>
  <si>
    <t>개</t>
    <phoneticPr fontId="9" type="noConversion"/>
  </si>
  <si>
    <t>1액형 실리콘, 내곰팡이성 욕조용
(위생기, 씽크대, 욕실용), 친환경 인증</t>
    <phoneticPr fontId="9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</si>
  <si>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</si>
  <si>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</si>
  <si>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</si>
  <si>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단위</t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</si>
  <si>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</si>
  <si>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</si>
  <si>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</si>
  <si>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</si>
  <si>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</si>
  <si>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</si>
  <si>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</si>
  <si>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</si>
  <si>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</si>
  <si>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</si>
  <si>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</si>
  <si>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</si>
  <si>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</si>
  <si>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</si>
  <si>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</si>
  <si>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  <phoneticPr fontId="11" type="noConversion"/>
  </si>
  <si>
    <t>단가</t>
  </si>
  <si>
    <t>㎡</t>
  </si>
  <si>
    <t>연면적 ㎡</t>
  </si>
  <si>
    <t xml:space="preserve"> 공사명 : 사택 102-205 UBR 욕조 누수보수</t>
    <phoneticPr fontId="15" type="noConversion"/>
  </si>
  <si>
    <t xml:space="preserve"> 견적일 : 2025년  03월  06일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</si>
</sst>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_(* #,##0.0_);_(* \(#,##0.0\);_(* &quot;-&quot;_);_(@_)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b/>
      <sz val="10"/>
      <color theme="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8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1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0" xfId="3" applyFont="1"/>
    <xf numFmtId="0" fontId="25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25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6" fillId="0" borderId="0" xfId="10" applyFont="1"/>
    <xf numFmtId="0" fontId="29" fillId="0" borderId="0" xfId="0" applyFont="1">
      <alignment vertical="center"/>
    </xf>
    <xf numFmtId="181" fontId="25" fillId="0" borderId="0" xfId="1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30" fillId="9" borderId="24" xfId="0" applyFont="1" applyFill="1" applyBorder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49" fontId="23" fillId="7" borderId="3" xfId="0" applyNumberFormat="1" applyFont="1" applyFill="1" applyBorder="1" applyAlignment="1">
      <alignment horizontal="center" vertical="center" wrapText="1"/>
    </xf>
    <xf numFmtId="49" fontId="28" fillId="7" borderId="3" xfId="0" applyNumberFormat="1" applyFont="1" applyFill="1" applyBorder="1" applyAlignment="1">
      <alignment horizontal="center" vertical="center" wrapText="1"/>
    </xf>
    <xf numFmtId="49" fontId="23" fillId="5" borderId="3" xfId="0" applyNumberFormat="1" applyFont="1" applyFill="1" applyBorder="1" applyAlignment="1">
      <alignment horizontal="center" vertical="center" wrapText="1"/>
    </xf>
    <xf numFmtId="177" fontId="23" fillId="5" borderId="3" xfId="1" applyFont="1" applyFill="1" applyBorder="1" applyAlignment="1">
      <alignment horizontal="center" vertical="center"/>
    </xf>
    <xf numFmtId="186" fontId="23" fillId="5" borderId="3" xfId="1" applyNumberFormat="1" applyFont="1" applyFill="1" applyBorder="1" applyAlignment="1">
      <alignment horizontal="center" vertical="center"/>
    </xf>
    <xf numFmtId="177" fontId="23" fillId="6" borderId="3" xfId="1" applyFont="1" applyFill="1" applyBorder="1" applyAlignment="1">
      <alignment horizontal="center" vertical="center" wrapText="1"/>
    </xf>
    <xf numFmtId="177" fontId="23" fillId="0" borderId="3" xfId="1" applyFont="1" applyFill="1" applyBorder="1" applyAlignment="1">
      <alignment horizontal="center" vertical="center" wrapText="1"/>
    </xf>
    <xf numFmtId="9" fontId="31" fillId="0" borderId="3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23" fillId="5" borderId="3" xfId="0" applyFont="1" applyFill="1" applyBorder="1">
      <alignment vertical="center"/>
    </xf>
    <xf numFmtId="177" fontId="23" fillId="5" borderId="3" xfId="27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/>
    </xf>
    <xf numFmtId="0" fontId="23" fillId="5" borderId="3" xfId="3" applyFont="1" applyFill="1" applyBorder="1" applyAlignment="1">
      <alignment horizontal="center" vertical="center" shrinkToFit="1"/>
    </xf>
    <xf numFmtId="0" fontId="23" fillId="5" borderId="3" xfId="0" applyFont="1" applyFill="1" applyBorder="1" applyAlignment="1">
      <alignment horizontal="center"/>
    </xf>
    <xf numFmtId="0" fontId="23" fillId="10" borderId="6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183" fontId="23" fillId="5" borderId="3" xfId="1" applyNumberFormat="1" applyFont="1" applyFill="1" applyBorder="1" applyAlignment="1">
      <alignment horizontal="center" vertical="center"/>
    </xf>
    <xf numFmtId="0" fontId="23" fillId="10" borderId="33" xfId="0" applyFont="1" applyFill="1" applyBorder="1" applyAlignment="1">
      <alignment horizontal="center" vertical="center"/>
    </xf>
    <xf numFmtId="0" fontId="27" fillId="5" borderId="0" xfId="0" applyFont="1" applyFill="1">
      <alignment vertical="center"/>
    </xf>
    <xf numFmtId="0" fontId="27" fillId="0" borderId="0" xfId="0" applyFont="1">
      <alignment vertical="center"/>
    </xf>
    <xf numFmtId="177" fontId="16" fillId="10" borderId="0" xfId="0" applyNumberFormat="1" applyFont="1" applyFill="1">
      <alignment vertical="center"/>
    </xf>
    <xf numFmtId="0" fontId="16" fillId="0" borderId="0" xfId="0" applyFont="1">
      <alignment vertical="center"/>
    </xf>
    <xf numFmtId="177" fontId="16" fillId="0" borderId="0" xfId="0" applyNumberFormat="1" applyFont="1">
      <alignment vertical="center"/>
    </xf>
    <xf numFmtId="0" fontId="27" fillId="0" borderId="0" xfId="0" applyFont="1" applyAlignment="1">
      <alignment horizontal="center" vertical="center"/>
    </xf>
    <xf numFmtId="0" fontId="28" fillId="5" borderId="0" xfId="0" applyFont="1" applyFill="1">
      <alignment vertical="center"/>
    </xf>
    <xf numFmtId="177" fontId="23" fillId="0" borderId="0" xfId="0" applyNumberFormat="1" applyFont="1">
      <alignment vertical="center"/>
    </xf>
    <xf numFmtId="185" fontId="23" fillId="5" borderId="3" xfId="0" applyNumberFormat="1" applyFont="1" applyFill="1" applyBorder="1" applyAlignment="1">
      <alignment horizontal="right" vertical="center" wrapText="1"/>
    </xf>
    <xf numFmtId="49" fontId="23" fillId="7" borderId="3" xfId="0" applyNumberFormat="1" applyFont="1" applyFill="1" applyBorder="1" applyAlignment="1">
      <alignment horizontal="center" vertical="center"/>
    </xf>
    <xf numFmtId="49" fontId="23" fillId="5" borderId="3" xfId="0" applyNumberFormat="1" applyFont="1" applyFill="1" applyBorder="1" applyAlignment="1">
      <alignment horizontal="center" vertical="center"/>
    </xf>
    <xf numFmtId="177" fontId="23" fillId="5" borderId="3" xfId="1" applyFont="1" applyFill="1" applyBorder="1" applyAlignment="1">
      <alignment horizontal="center" vertical="center" wrapText="1"/>
    </xf>
    <xf numFmtId="184" fontId="23" fillId="5" borderId="3" xfId="0" applyNumberFormat="1" applyFont="1" applyFill="1" applyBorder="1" applyAlignment="1">
      <alignment horizontal="right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H17" sqref="H1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.75">
      <c r="A2" s="121" t="s">
        <v>6</v>
      </c>
      <c r="B2" s="121"/>
      <c r="C2" s="121"/>
      <c r="D2" s="121"/>
      <c r="E2" s="121"/>
      <c r="F2" s="121"/>
      <c r="G2" s="121"/>
      <c r="H2" s="2"/>
    </row>
    <row r="3" spans="1:9">
      <c r="A3" s="5"/>
      <c r="B3" s="5"/>
      <c r="C3" s="5"/>
      <c r="D3" s="5"/>
      <c r="E3" s="5"/>
      <c r="F3" s="5"/>
      <c r="G3" s="5"/>
      <c r="H3" s="5"/>
    </row>
    <row r="4" spans="1:9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39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53</v>
      </c>
      <c r="H6" s="5"/>
    </row>
    <row r="7" spans="1:9" ht="27" customHeight="1">
      <c r="A7" s="124" t="s">
        <v>102</v>
      </c>
      <c r="B7" s="125"/>
      <c r="C7" s="126"/>
      <c r="D7" s="5"/>
      <c r="E7" s="13"/>
      <c r="F7" s="14" t="s">
        <v>43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55</v>
      </c>
      <c r="H8" s="5"/>
    </row>
    <row r="9" spans="1:9" ht="27" customHeight="1">
      <c r="A9" s="124" t="s">
        <v>103</v>
      </c>
      <c r="B9" s="125"/>
      <c r="C9" s="126"/>
      <c r="D9" s="5"/>
      <c r="E9" s="5"/>
      <c r="F9" s="11" t="s">
        <v>45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57</v>
      </c>
      <c r="H10" s="5"/>
      <c r="I10" s="5"/>
    </row>
    <row r="11" spans="1:9" ht="27" customHeight="1">
      <c r="A11" s="122"/>
      <c r="B11" s="123"/>
      <c r="C11" s="123"/>
      <c r="D11" s="5"/>
      <c r="E11" s="17"/>
      <c r="F11" s="18" t="s">
        <v>41</v>
      </c>
      <c r="G11" s="19" t="s">
        <v>58</v>
      </c>
      <c r="H11" s="17"/>
    </row>
    <row r="12" spans="1:9" ht="19.5" thickBot="1">
      <c r="A12" s="20" t="s">
        <v>7</v>
      </c>
      <c r="B12" s="20" t="str">
        <f>NUMBERSTRING(F31,1)</f>
        <v>칠십삼만육천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'내역서(표준단가)'!O12</f>
        <v>29166.55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'내역서(표준단가)'!Q12</f>
        <v>580275.14240000001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609441.69240000006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26112.381408000001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20570.753798080001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2663.9126168513603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5860.7789382399997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20657.795069439999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17856.641587320002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33699.870290896579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127422.13370882794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736863.82610882795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736000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Normal="100" workbookViewId="0">
      <selection activeCell="P9" sqref="P9"/>
    </sheetView>
  </sheetViews>
  <sheetFormatPr defaultColWidth="9" defaultRowHeight="12"/>
  <cols>
    <col min="1" max="1" width="16.75" style="111" bestFit="1" customWidth="1"/>
    <col min="2" max="5" width="18.5" style="111" hidden="1" customWidth="1"/>
    <col min="6" max="6" width="61.75" style="71" hidden="1" customWidth="1"/>
    <col min="7" max="7" width="10.125" style="71" hidden="1" customWidth="1"/>
    <col min="8" max="8" width="16.625" style="71" hidden="1" customWidth="1"/>
    <col min="9" max="9" width="10.125" style="71" hidden="1" customWidth="1"/>
    <col min="10" max="10" width="30.875" style="71" bestFit="1" customWidth="1"/>
    <col min="11" max="11" width="15.5" style="71" customWidth="1"/>
    <col min="12" max="12" width="9" style="71" bestFit="1" customWidth="1"/>
    <col min="13" max="13" width="5.25" style="71" bestFit="1" customWidth="1"/>
    <col min="14" max="14" width="9.75" style="71" bestFit="1" customWidth="1"/>
    <col min="15" max="15" width="11" style="71" bestFit="1" customWidth="1"/>
    <col min="16" max="16" width="7.875" style="71" bestFit="1" customWidth="1"/>
    <col min="17" max="17" width="12.625" style="71" bestFit="1" customWidth="1"/>
    <col min="18" max="18" width="6.125" style="71" hidden="1" customWidth="1"/>
    <col min="19" max="19" width="8.625" style="71" hidden="1" customWidth="1"/>
    <col min="20" max="20" width="6.125" style="71" hidden="1" customWidth="1"/>
    <col min="21" max="21" width="8.625" style="71" hidden="1" customWidth="1"/>
    <col min="22" max="22" width="12.5" style="71" bestFit="1" customWidth="1"/>
    <col min="23" max="23" width="10.125" style="72" bestFit="1" customWidth="1"/>
    <col min="24" max="24" width="8" style="71" bestFit="1" customWidth="1"/>
    <col min="25" max="16384" width="9" style="71"/>
  </cols>
  <sheetData>
    <row r="1" spans="1:24" ht="19.899999999999999" customHeight="1">
      <c r="A1" s="127"/>
      <c r="B1" s="127"/>
      <c r="C1" s="127"/>
      <c r="D1" s="127"/>
      <c r="E1" s="127"/>
      <c r="F1" s="127"/>
      <c r="G1" s="127"/>
      <c r="H1" s="127"/>
      <c r="I1" s="127"/>
      <c r="N1" s="72"/>
      <c r="O1" s="70" t="s">
        <v>79</v>
      </c>
      <c r="Q1" s="70" t="s">
        <v>79</v>
      </c>
      <c r="S1" s="70" t="s">
        <v>79</v>
      </c>
      <c r="U1" s="70" t="s">
        <v>79</v>
      </c>
    </row>
    <row r="2" spans="1:24" ht="19.899999999999999" customHeight="1" thickBot="1">
      <c r="A2" s="127"/>
      <c r="B2" s="127"/>
      <c r="C2" s="127"/>
      <c r="D2" s="127"/>
      <c r="E2" s="127"/>
      <c r="F2" s="127"/>
      <c r="G2" s="127"/>
      <c r="H2" s="127"/>
      <c r="I2" s="127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19.899999999999999" customHeight="1">
      <c r="A3" s="75"/>
      <c r="B3" s="76"/>
      <c r="C3" s="76"/>
      <c r="D3" s="76"/>
      <c r="E3" s="76"/>
      <c r="F3" s="76" t="s">
        <v>80</v>
      </c>
      <c r="G3" s="77"/>
      <c r="H3" s="77"/>
      <c r="I3" s="77"/>
      <c r="J3" s="136" t="s">
        <v>81</v>
      </c>
      <c r="K3" s="136"/>
      <c r="L3" s="136" t="s">
        <v>82</v>
      </c>
      <c r="M3" s="136" t="s">
        <v>5</v>
      </c>
      <c r="N3" s="132" t="s">
        <v>83</v>
      </c>
      <c r="O3" s="132"/>
      <c r="P3" s="132" t="s">
        <v>84</v>
      </c>
      <c r="Q3" s="132"/>
      <c r="R3" s="133" t="s">
        <v>85</v>
      </c>
      <c r="S3" s="133"/>
      <c r="T3" s="133" t="s">
        <v>86</v>
      </c>
      <c r="U3" s="133"/>
      <c r="V3" s="134" t="s">
        <v>87</v>
      </c>
      <c r="W3" s="130" t="s">
        <v>88</v>
      </c>
      <c r="X3" s="128" t="s">
        <v>46</v>
      </c>
    </row>
    <row r="4" spans="1:24" ht="19.899999999999999" customHeight="1">
      <c r="A4" s="78" t="s">
        <v>89</v>
      </c>
      <c r="B4" s="79"/>
      <c r="C4" s="79"/>
      <c r="D4" s="79"/>
      <c r="E4" s="79"/>
      <c r="F4" s="80" t="s">
        <v>90</v>
      </c>
      <c r="G4" s="80" t="s">
        <v>91</v>
      </c>
      <c r="H4" s="80" t="s">
        <v>92</v>
      </c>
      <c r="I4" s="80" t="s">
        <v>93</v>
      </c>
      <c r="J4" s="81" t="s">
        <v>94</v>
      </c>
      <c r="K4" s="81" t="s">
        <v>95</v>
      </c>
      <c r="L4" s="137"/>
      <c r="M4" s="137"/>
      <c r="N4" s="82" t="s">
        <v>96</v>
      </c>
      <c r="O4" s="83" t="s">
        <v>97</v>
      </c>
      <c r="P4" s="82" t="s">
        <v>98</v>
      </c>
      <c r="Q4" s="83" t="s">
        <v>97</v>
      </c>
      <c r="R4" s="83" t="s">
        <v>99</v>
      </c>
      <c r="S4" s="83" t="s">
        <v>97</v>
      </c>
      <c r="T4" s="83" t="s">
        <v>99</v>
      </c>
      <c r="U4" s="83" t="s">
        <v>97</v>
      </c>
      <c r="V4" s="135"/>
      <c r="W4" s="131"/>
      <c r="X4" s="129"/>
    </row>
    <row r="5" spans="1:24" s="95" customFormat="1" ht="19.899999999999999" customHeight="1">
      <c r="A5" s="84" t="str">
        <f t="shared" ref="A5:A11" si="0">F5&amp;G5&amp;H5&amp;I5</f>
        <v>D02336</v>
      </c>
      <c r="B5" s="85"/>
      <c r="C5" s="85"/>
      <c r="D5" s="85"/>
      <c r="E5" s="85"/>
      <c r="F5" s="86" t="s">
        <v>71</v>
      </c>
      <c r="G5" s="80"/>
      <c r="H5" s="80"/>
      <c r="I5" s="87"/>
      <c r="J5" s="88" t="s">
        <v>72</v>
      </c>
      <c r="K5" s="88" t="s">
        <v>73</v>
      </c>
      <c r="L5" s="89" t="s">
        <v>100</v>
      </c>
      <c r="M5" s="90">
        <v>9</v>
      </c>
      <c r="N5" s="113">
        <v>770</v>
      </c>
      <c r="O5" s="91">
        <f t="shared" ref="O5" si="1">SUM(N5:N5)*M5*$O$2</f>
        <v>5786.55</v>
      </c>
      <c r="P5" s="113">
        <v>322.16000000000003</v>
      </c>
      <c r="Q5" s="91">
        <f t="shared" ref="Q5:Q7" si="2">(P5*M5)*$Q$2</f>
        <v>2421.0324000000001</v>
      </c>
      <c r="R5" s="92"/>
      <c r="S5" s="91">
        <f t="shared" ref="S5:S7" si="3">R5*M5*$S$2</f>
        <v>0</v>
      </c>
      <c r="T5" s="92"/>
      <c r="U5" s="91">
        <f t="shared" ref="U5:U7" si="4">T5*M5*$U$2</f>
        <v>0</v>
      </c>
      <c r="V5" s="92">
        <f t="shared" ref="V5:V7" si="5">SUM(O5+Q5)+S5+U5</f>
        <v>8207.5823999999993</v>
      </c>
      <c r="W5" s="93"/>
      <c r="X5" s="94"/>
    </row>
    <row r="6" spans="1:24" s="95" customFormat="1" ht="19.899999999999999" customHeight="1">
      <c r="A6" s="84" t="str">
        <f t="shared" si="0"/>
        <v>D02339</v>
      </c>
      <c r="B6" s="85"/>
      <c r="C6" s="85"/>
      <c r="D6" s="85"/>
      <c r="E6" s="85"/>
      <c r="F6" s="86" t="s">
        <v>64</v>
      </c>
      <c r="G6" s="80"/>
      <c r="H6" s="80"/>
      <c r="I6" s="80"/>
      <c r="J6" s="88" t="s">
        <v>61</v>
      </c>
      <c r="K6" s="88" t="s">
        <v>62</v>
      </c>
      <c r="L6" s="89" t="s">
        <v>101</v>
      </c>
      <c r="M6" s="90">
        <v>9</v>
      </c>
      <c r="N6" s="96"/>
      <c r="O6" s="91">
        <f t="shared" ref="O6:O7" si="6">SUM(N6:N6)*M6*$O$2</f>
        <v>0</v>
      </c>
      <c r="P6" s="113">
        <v>24278</v>
      </c>
      <c r="Q6" s="91">
        <f t="shared" si="2"/>
        <v>182449.16999999998</v>
      </c>
      <c r="R6" s="92"/>
      <c r="S6" s="91">
        <f t="shared" si="3"/>
        <v>0</v>
      </c>
      <c r="T6" s="92"/>
      <c r="U6" s="91">
        <f t="shared" si="4"/>
        <v>0</v>
      </c>
      <c r="V6" s="92">
        <f t="shared" si="5"/>
        <v>182449.16999999998</v>
      </c>
      <c r="W6" s="93"/>
      <c r="X6" s="94"/>
    </row>
    <row r="7" spans="1:24" s="95" customFormat="1" ht="19.899999999999999" customHeight="1">
      <c r="A7" s="84" t="str">
        <f t="shared" si="0"/>
        <v>D02723</v>
      </c>
      <c r="B7" s="85"/>
      <c r="C7" s="85"/>
      <c r="D7" s="85"/>
      <c r="E7" s="85"/>
      <c r="F7" s="86" t="s">
        <v>65</v>
      </c>
      <c r="G7" s="80"/>
      <c r="H7" s="80"/>
      <c r="I7" s="80"/>
      <c r="J7" s="88" t="s">
        <v>66</v>
      </c>
      <c r="K7" s="88" t="s">
        <v>67</v>
      </c>
      <c r="L7" s="97" t="s">
        <v>68</v>
      </c>
      <c r="M7" s="90">
        <v>6</v>
      </c>
      <c r="N7" s="96"/>
      <c r="O7" s="91">
        <f t="shared" si="6"/>
        <v>0</v>
      </c>
      <c r="P7" s="113">
        <v>4994</v>
      </c>
      <c r="Q7" s="91">
        <f t="shared" si="2"/>
        <v>25019.94</v>
      </c>
      <c r="R7" s="92"/>
      <c r="S7" s="91">
        <f t="shared" si="3"/>
        <v>0</v>
      </c>
      <c r="T7" s="92"/>
      <c r="U7" s="91">
        <f t="shared" si="4"/>
        <v>0</v>
      </c>
      <c r="V7" s="92">
        <f t="shared" si="5"/>
        <v>25019.94</v>
      </c>
      <c r="W7" s="93"/>
      <c r="X7" s="94"/>
    </row>
    <row r="8" spans="1:24" s="95" customFormat="1" ht="36">
      <c r="A8" s="84" t="str">
        <f t="shared" si="0"/>
        <v>M010603201300101</v>
      </c>
      <c r="B8" s="85"/>
      <c r="C8" s="85"/>
      <c r="D8" s="85"/>
      <c r="E8" s="85"/>
      <c r="F8" s="80"/>
      <c r="G8" s="80"/>
      <c r="H8" s="114" t="s">
        <v>69</v>
      </c>
      <c r="I8" s="80"/>
      <c r="J8" s="88" t="s">
        <v>78</v>
      </c>
      <c r="K8" s="115" t="s">
        <v>74</v>
      </c>
      <c r="L8" s="115" t="s">
        <v>77</v>
      </c>
      <c r="M8" s="90">
        <v>4</v>
      </c>
      <c r="N8" s="116">
        <v>7000</v>
      </c>
      <c r="O8" s="91">
        <f t="shared" ref="O8:O10" si="7">SUM(N8:N8)*M8*$O$2</f>
        <v>23380</v>
      </c>
      <c r="P8" s="113"/>
      <c r="Q8" s="91">
        <f t="shared" ref="Q8" si="8">(P8*M8)*$Q$2</f>
        <v>0</v>
      </c>
      <c r="R8" s="92"/>
      <c r="S8" s="91">
        <f t="shared" ref="S8:S10" si="9">R8*M8*$S$2</f>
        <v>0</v>
      </c>
      <c r="T8" s="92"/>
      <c r="U8" s="91">
        <f t="shared" ref="U8:U10" si="10">T8*M8*$U$2</f>
        <v>0</v>
      </c>
      <c r="V8" s="92">
        <f t="shared" ref="V8:V10" si="11">SUM(O8+Q8)+S8+U8</f>
        <v>23380</v>
      </c>
      <c r="W8" s="93"/>
      <c r="X8" s="94"/>
    </row>
    <row r="9" spans="1:24" s="95" customFormat="1" ht="19.899999999999999" customHeight="1">
      <c r="A9" s="84" t="str">
        <f t="shared" si="0"/>
        <v>L003</v>
      </c>
      <c r="B9" s="85"/>
      <c r="C9" s="85"/>
      <c r="D9" s="85"/>
      <c r="E9" s="85"/>
      <c r="F9" s="80"/>
      <c r="G9" s="98"/>
      <c r="H9" s="80"/>
      <c r="I9" s="86" t="s">
        <v>70</v>
      </c>
      <c r="J9" s="88" t="s">
        <v>75</v>
      </c>
      <c r="K9" s="99" t="s">
        <v>63</v>
      </c>
      <c r="L9" s="100" t="s">
        <v>59</v>
      </c>
      <c r="M9" s="90">
        <v>1</v>
      </c>
      <c r="N9" s="113"/>
      <c r="O9" s="91">
        <f t="shared" si="7"/>
        <v>0</v>
      </c>
      <c r="P9" s="117">
        <v>208527</v>
      </c>
      <c r="Q9" s="91">
        <f>M9*P9</f>
        <v>208527</v>
      </c>
      <c r="R9" s="92"/>
      <c r="S9" s="91">
        <f t="shared" si="9"/>
        <v>0</v>
      </c>
      <c r="T9" s="92"/>
      <c r="U9" s="91">
        <f t="shared" si="10"/>
        <v>0</v>
      </c>
      <c r="V9" s="92">
        <f t="shared" si="11"/>
        <v>208527</v>
      </c>
      <c r="W9" s="93"/>
      <c r="X9" s="94"/>
    </row>
    <row r="10" spans="1:24" s="95" customFormat="1" ht="19.899999999999999" customHeight="1">
      <c r="A10" s="84" t="str">
        <f t="shared" si="0"/>
        <v>L002</v>
      </c>
      <c r="B10" s="85"/>
      <c r="C10" s="85"/>
      <c r="D10" s="85"/>
      <c r="E10" s="85"/>
      <c r="F10" s="87"/>
      <c r="G10" s="80"/>
      <c r="H10" s="80"/>
      <c r="I10" s="86" t="s">
        <v>60</v>
      </c>
      <c r="J10" s="88" t="s">
        <v>76</v>
      </c>
      <c r="K10" s="99" t="s">
        <v>63</v>
      </c>
      <c r="L10" s="100" t="s">
        <v>59</v>
      </c>
      <c r="M10" s="90">
        <v>1</v>
      </c>
      <c r="N10" s="113"/>
      <c r="O10" s="91">
        <f t="shared" si="7"/>
        <v>0</v>
      </c>
      <c r="P10" s="117">
        <v>161858</v>
      </c>
      <c r="Q10" s="91">
        <f>M10*P10</f>
        <v>161858</v>
      </c>
      <c r="R10" s="92"/>
      <c r="S10" s="91">
        <f t="shared" si="9"/>
        <v>0</v>
      </c>
      <c r="T10" s="92"/>
      <c r="U10" s="91">
        <f t="shared" si="10"/>
        <v>0</v>
      </c>
      <c r="V10" s="92">
        <f t="shared" si="11"/>
        <v>161858</v>
      </c>
      <c r="W10" s="93"/>
      <c r="X10" s="94"/>
    </row>
    <row r="11" spans="1:24" s="95" customFormat="1" ht="19.899999999999999" customHeight="1">
      <c r="A11" s="84" t="str">
        <f t="shared" si="0"/>
        <v/>
      </c>
      <c r="B11" s="101"/>
      <c r="C11" s="101"/>
      <c r="D11" s="101"/>
      <c r="E11" s="101"/>
      <c r="F11" s="86"/>
      <c r="G11" s="86"/>
      <c r="H11" s="86"/>
      <c r="I11" s="80"/>
      <c r="J11" s="88"/>
      <c r="K11" s="88"/>
      <c r="L11" s="102"/>
      <c r="M11" s="103"/>
      <c r="N11" s="113"/>
      <c r="O11" s="91"/>
      <c r="P11" s="113"/>
      <c r="Q11" s="91"/>
      <c r="R11" s="92"/>
      <c r="S11" s="91"/>
      <c r="T11" s="92"/>
      <c r="U11" s="91"/>
      <c r="V11" s="92"/>
      <c r="W11" s="93"/>
      <c r="X11" s="94"/>
    </row>
    <row r="12" spans="1:24" s="106" customFormat="1" ht="19.899999999999999" customHeight="1">
      <c r="A12" s="104"/>
      <c r="B12" s="105"/>
      <c r="C12" s="105"/>
      <c r="D12" s="105"/>
      <c r="E12" s="105"/>
      <c r="O12" s="107">
        <f>SUM(O5:O11)</f>
        <v>29166.55</v>
      </c>
      <c r="P12" s="108"/>
      <c r="Q12" s="107">
        <f>SUM(Q5:Q11)</f>
        <v>580275.14240000001</v>
      </c>
      <c r="R12" s="108"/>
      <c r="S12" s="109">
        <f>SUM(S5:S11)</f>
        <v>0</v>
      </c>
      <c r="T12" s="108"/>
      <c r="U12" s="109">
        <f>SUM(U5:U11)</f>
        <v>0</v>
      </c>
      <c r="V12" s="109">
        <f>SUM(V5:V11)</f>
        <v>609441.69240000006</v>
      </c>
      <c r="W12" s="110"/>
    </row>
    <row r="16" spans="1:24">
      <c r="Q16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9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showGridLines="0" zoomScaleNormal="100" workbookViewId="0">
      <selection activeCell="D19" sqref="D17:D19"/>
    </sheetView>
  </sheetViews>
  <sheetFormatPr defaultColWidth="9" defaultRowHeight="16.5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>
      <c r="A1" s="118" t="s">
        <v>0</v>
      </c>
      <c r="B1" s="118" t="s">
        <v>1</v>
      </c>
      <c r="C1" s="118" t="s">
        <v>2</v>
      </c>
      <c r="D1" s="118" t="s">
        <v>3</v>
      </c>
      <c r="E1" s="118" t="s">
        <v>4</v>
      </c>
      <c r="F1" s="118" t="s">
        <v>5</v>
      </c>
    </row>
    <row r="2" spans="1:6">
      <c r="A2" s="119" t="str">
        <f>'내역서(표준단가)'!A5</f>
        <v>D02336</v>
      </c>
      <c r="B2" s="120" t="str">
        <f>'내역서(표준단가)'!F5</f>
        <v>D02336</v>
      </c>
      <c r="C2" s="120">
        <f>'내역서(표준단가)'!G5</f>
        <v>0</v>
      </c>
      <c r="D2" s="120">
        <f>'내역서(표준단가)'!H5</f>
        <v>0</v>
      </c>
      <c r="E2" s="120">
        <f>'내역서(표준단가)'!I5</f>
        <v>0</v>
      </c>
      <c r="F2" s="120">
        <f>'내역서(표준단가)'!M5</f>
        <v>9</v>
      </c>
    </row>
    <row r="3" spans="1:6">
      <c r="A3" s="119" t="str">
        <f>'내역서(표준단가)'!A6</f>
        <v>D02339</v>
      </c>
      <c r="B3" s="120" t="str">
        <f>'내역서(표준단가)'!F6</f>
        <v>D02339</v>
      </c>
      <c r="C3" s="120">
        <f>'내역서(표준단가)'!G6</f>
        <v>0</v>
      </c>
      <c r="D3" s="120">
        <f>'내역서(표준단가)'!H6</f>
        <v>0</v>
      </c>
      <c r="E3" s="120">
        <f>'내역서(표준단가)'!I6</f>
        <v>0</v>
      </c>
      <c r="F3" s="120">
        <f>'내역서(표준단가)'!M6</f>
        <v>9</v>
      </c>
    </row>
    <row r="4" spans="1:6">
      <c r="A4" s="119" t="str">
        <f>'내역서(표준단가)'!A7</f>
        <v>D02723</v>
      </c>
      <c r="B4" s="120" t="str">
        <f>'내역서(표준단가)'!F7</f>
        <v>D02723</v>
      </c>
      <c r="C4" s="120">
        <f>'내역서(표준단가)'!G7</f>
        <v>0</v>
      </c>
      <c r="D4" s="120">
        <f>'내역서(표준단가)'!H7</f>
        <v>0</v>
      </c>
      <c r="E4" s="120">
        <f>'내역서(표준단가)'!I7</f>
        <v>0</v>
      </c>
      <c r="F4" s="120">
        <f>'내역서(표준단가)'!M7</f>
        <v>6</v>
      </c>
    </row>
    <row r="5" spans="1:6">
      <c r="A5" s="119" t="str">
        <f>'내역서(표준단가)'!A8</f>
        <v>M010603201300101</v>
      </c>
      <c r="B5" s="120">
        <f>'내역서(표준단가)'!F8</f>
        <v>0</v>
      </c>
      <c r="C5" s="120">
        <f>'내역서(표준단가)'!G8</f>
        <v>0</v>
      </c>
      <c r="D5" s="120" t="str">
        <f>'내역서(표준단가)'!H8</f>
        <v>M010603201300101</v>
      </c>
      <c r="E5" s="120">
        <f>'내역서(표준단가)'!I8</f>
        <v>0</v>
      </c>
      <c r="F5" s="120">
        <f>'내역서(표준단가)'!M8</f>
        <v>4</v>
      </c>
    </row>
    <row r="6" spans="1:6">
      <c r="A6" s="119" t="str">
        <f>'내역서(표준단가)'!A9</f>
        <v>L003</v>
      </c>
      <c r="B6" s="120">
        <f>'내역서(표준단가)'!F9</f>
        <v>0</v>
      </c>
      <c r="C6" s="120">
        <f>'내역서(표준단가)'!G9</f>
        <v>0</v>
      </c>
      <c r="D6" s="120">
        <f>'내역서(표준단가)'!H9</f>
        <v>0</v>
      </c>
      <c r="E6" s="120" t="str">
        <f>'내역서(표준단가)'!I9</f>
        <v>L003</v>
      </c>
      <c r="F6" s="120">
        <f>'내역서(표준단가)'!M9</f>
        <v>1</v>
      </c>
    </row>
    <row r="7" spans="1:6">
      <c r="A7" s="119" t="str">
        <f>'내역서(표준단가)'!A10</f>
        <v>L002</v>
      </c>
      <c r="B7" s="120">
        <f>'내역서(표준단가)'!F10</f>
        <v>0</v>
      </c>
      <c r="C7" s="120">
        <f>'내역서(표준단가)'!G10</f>
        <v>0</v>
      </c>
      <c r="D7" s="120">
        <f>'내역서(표준단가)'!H10</f>
        <v>0</v>
      </c>
      <c r="E7" s="120" t="str">
        <f>'내역서(표준단가)'!I10</f>
        <v>L002</v>
      </c>
      <c r="F7" s="120">
        <f>'내역서(표준단가)'!M10</f>
        <v>1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2025-03-06T04:02:59Z</dcterms:modified>
</cp:coreProperties>
</file>
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00 백업\25년\251210_02\01 업무지원팀\"/>
    </mc:Choice>
  </mc:AlternateContent>
  <xr:revisionPtr revIDLastSave="0" documentId="13_ncr:1_{0D3D0A9C-365E-4CD8-8541-AB5885F48154}" xr6:coauthVersionLast="47" xr6:coauthVersionMax="47" xr10:uidLastSave="{00000000-0000-0000-0000-000000000000}"/>
  <bookViews>
    <workbookView xWindow="-45" yWindow="0" windowWidth="14490" windowHeight="16245" xr2:uid="{00000000-000D-0000-FFFF-FFFF00000000}"/>
  </bookViews>
  <sheets>
    <sheet name="갑지" sheetId="12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S9" i="4" l="1"/>
  <c r="O8" i="4"/>
  <c r="U7" i="4" l="1"/>
  <c r="A7" i="4"/>
  <c r="U6" i="4" l="1"/>
  <c r="U8" i="4"/>
  <c r="Q7" i="4"/>
  <c r="V7" i="4" s="1"/>
  <c r="Q6" i="4" l="1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F18" i="12" s="1"/>
  <c r="V6" i="4"/>
  <c r="O10" i="4"/>
  <c r="F16" i="12" s="1"/>
  <c r="V5" i="4"/>
  <c r="V9" i="4"/>
  <c r="V8" i="4"/>
  <c r="F17" i="12" l="1"/>
  <c r="V10" i="4"/>
  <c r="A1" i="4"/>
  <c r="F25" i="12" l="1"/>
  <c r="F22" i="12"/>
  <c r="F26" i="12"/>
  <c r="F19" i="12"/>
  <c r="F30" i="12" s="1"/>
  <c r="F24" i="12"/>
  <c r="F23" i="12"/>
  <c r="F21" i="12"/>
  <c r="A5" i="4"/>
  <c r="A2" i="1" s="1"/>
  <c r="F27" i="12" l="1"/>
  <c r="F28" i="12" s="1"/>
  <c r="F31" i="12" s="1"/>
  <c r="B12" i="12" s="1"/>
  <c r="A6" i="4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<sst xmlns="http://schemas.openxmlformats.org/spreadsheetml/2006/main" count="112" uniqueCount="88">
  <si>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</si>
  <si>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</si>
  <si>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</si>
  <si>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</si>
  <si>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</si>
  <si>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</si>
  <si>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</si>
  <si>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</si>
  <si>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</si>
  <si>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</si>
  <si>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주요내역</t>
    <phoneticPr fontId="6" type="noConversion"/>
  </si>
  <si>
    <t>할증기준</t>
    <phoneticPr fontId="6" type="noConversion"/>
  </si>
  <si>
    <t>L002</t>
  </si>
  <si>
    <t>L039</t>
  </si>
  <si>
    <t>견 적 서</t>
    <phoneticPr fontId="14" type="noConversion"/>
  </si>
  <si>
    <t xml:space="preserve"> 수신인 : 주식회사 에스엔아이 엣스퍼트</t>
    <phoneticPr fontId="14" type="noConversion"/>
  </si>
  <si>
    <t>등록번호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</si>
  <si>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</si>
  <si>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</si>
  <si>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</si>
  <si>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</si>
  <si>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종 목</t>
    <phoneticPr fontId="8" type="noConversion"/>
  </si>
  <si>
    <t>TEL, FAX</t>
    <phoneticPr fontId="8" type="noConversion"/>
  </si>
  <si>
    <t xml:space="preserve">금액: </t>
    <phoneticPr fontId="14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</si>
  <si>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</si>
  <si>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</si>
  <si>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</si>
  <si>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</si>
  <si>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</si>
  <si>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</si>
  <si>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</si>
  <si>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</si>
  <si>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</si>
  <si>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4" type="noConversion"/>
  </si>
  <si>
    <t>재료비</t>
    <phoneticPr fontId="14" type="noConversion"/>
  </si>
  <si>
    <t>노무비</t>
    <phoneticPr fontId="15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</si>
  <si>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</si>
  <si>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</si>
  <si>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</si>
  <si>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15" type="noConversion"/>
  </si>
  <si>
    <t>모든공사에 적용</t>
    <phoneticPr fontId="15" type="noConversion"/>
  </si>
  <si>
    <t>식</t>
    <phoneticPr fontId="15" type="noConversion"/>
  </si>
  <si>
    <t>모든공사에 적용</t>
    <phoneticPr fontId="15" type="noConversion"/>
  </si>
  <si>
    <t>합계(단수조정)</t>
    <phoneticPr fontId="14" type="noConversion"/>
  </si>
  <si>
    <t>VAT별도</t>
    <phoneticPr fontId="15" type="noConversion"/>
  </si>
  <si>
    <t xml:space="preserve"> 견적일 : </t>
    <phoneticPr fontId="14" type="noConversion"/>
  </si>
  <si>
    <t>배관공</t>
    <phoneticPr fontId="6" type="noConversion"/>
  </si>
  <si>
    <t>긴급 보수 대응</t>
    <phoneticPr fontId="6" type="noConversion"/>
  </si>
  <si>
    <t>STS온수분배기 외</t>
    <phoneticPr fontId="6" type="noConversion"/>
  </si>
  <si>
    <t>보통인부</t>
    <phoneticPr fontId="6" type="noConversion"/>
  </si>
  <si>
    <t>기타 자재</t>
    <phoneticPr fontId="6" type="noConversion"/>
  </si>
  <si>
    <t>기타 경비</t>
    <phoneticPr fontId="6" type="noConversion"/>
  </si>
  <si>
    <t>오수,온수순환펌프 보수</t>
    <phoneticPr fontId="6" type="noConversion"/>
  </si>
  <si>
    <t>M/D</t>
    <phoneticPr fontId="6" type="noConversion"/>
  </si>
  <si>
    <t>L/S</t>
    <phoneticPr fontId="6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</si>
  <si>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</si>
  <si>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</si>
  <si>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</si>
  <si>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</si>
  <si>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</si>
  <si>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</si>
  <si>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</si>
  <si>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표준단가</t>
    <phoneticPr fontId="6" type="noConversion"/>
  </si>
  <si>
    <t>표준품셈</t>
    <phoneticPr fontId="6" type="noConversion"/>
  </si>
  <si>
    <t>물가정보</t>
    <phoneticPr fontId="6" type="noConversion"/>
  </si>
  <si>
    <t>노임단가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</si>
  <si>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</si>
  <si>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</si>
  <si>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</si>
  <si>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</si>
  <si>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</si>
  <si>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</si>
  <si>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보통인부(화기감시자)</t>
    <phoneticPr fontId="6" type="noConversion"/>
  </si>
  <si>
    <t> 노무비*4.5%</t>
  </si>
  <si>
    <t> 노무비*3.545%</t>
  </si>
  <si>
    <t> 건강보험료*12.95%</t>
  </si>
  <si>
    <t> 노무비*1.01%</t>
  </si>
  <si>
    <t> 노무비*3.56%</t>
  </si>
  <si>
    <t> (재료비+노무비)*3.11%</t>
  </si>
  <si>
    <t> (노무비+간접공사비)*5%</t>
  </si>
  <si>
    <t>  국민연금</t>
  </si>
  <si>
    <t>  건강보험료</t>
  </si>
  <si>
    <t>  장기요양보험료</t>
  </si>
  <si>
    <t>  고용보험료</t>
  </si>
  <si>
    <t>  산재보험료</t>
  </si>
  <si>
    <t xml:space="preserve">  산업안전보건관리비</t>
  </si>
  <si>
    <t>일반관리비/이윤</t>
  </si>
  <si>
    <t xml:space="preserve"> 공사명 : 기숙사 및 사택 긴급 작업(기계)-1차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</si>
</sst>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###,#00,000"/>
    <numFmt numFmtId="333" formatCode="_-* #,##0_-;&quot;₩&quot;\!\-* #,##0_-;_-* &quot;-&quot;_-;_-@_-"/>
    <numFmt numFmtId="334" formatCode="_-&quot;₩&quot;* #,##0.000_-;\-&quot;₩&quot;* #,##0.000_-;_-&quot;₩&quot;* &quot;-&quot;???_-;_-@_-"/>
  </numFmts>
  <fonts count="2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26"/>
      <name val="LG스마트체 Regular"/>
      <family val="3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844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34" fillId="0" borderId="0" applyFont="0" applyFill="0" applyBorder="0" applyAlignment="0" applyProtection="0"/>
    <xf numFmtId="0" fontId="12" fillId="0" borderId="0"/>
    <xf numFmtId="183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184" fontId="41" fillId="0" borderId="28" applyBorder="0">
      <alignment horizontal="center"/>
    </xf>
    <xf numFmtId="10" fontId="41" fillId="0" borderId="28" applyBorder="0">
      <alignment horizontal="center"/>
    </xf>
    <xf numFmtId="0" fontId="41" fillId="0" borderId="0"/>
    <xf numFmtId="0" fontId="36" fillId="0" borderId="24">
      <alignment horizontal="centerContinuous" vertical="center"/>
    </xf>
    <xf numFmtId="3" fontId="34" fillId="0" borderId="29"/>
    <xf numFmtId="3" fontId="42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1" fillId="0" borderId="29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37" fillId="0" borderId="0">
      <alignment vertical="center"/>
    </xf>
    <xf numFmtId="200" fontId="31" fillId="0" borderId="0" applyFont="0" applyFill="0" applyBorder="0" applyAlignment="0" applyProtection="0"/>
    <xf numFmtId="201" fontId="31" fillId="0" borderId="29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" fontId="37" fillId="0" borderId="0">
      <alignment vertical="center"/>
    </xf>
    <xf numFmtId="211" fontId="37" fillId="0" borderId="0">
      <alignment vertical="center"/>
    </xf>
    <xf numFmtId="3" fontId="34" fillId="0" borderId="29"/>
    <xf numFmtId="24" fontId="39" fillId="0" borderId="0" applyFont="0" applyFill="0" applyBorder="0" applyAlignment="0" applyProtection="0"/>
    <xf numFmtId="212" fontId="29" fillId="0" borderId="0" applyNumberFormat="0" applyFont="0" applyFill="0" applyBorder="0" applyAlignment="0" applyProtection="0"/>
    <xf numFmtId="212" fontId="29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214" fontId="45" fillId="0" borderId="29" applyFill="0" applyBorder="0" applyProtection="0">
      <alignment horizontal="right" vertical="center"/>
    </xf>
    <xf numFmtId="0" fontId="43" fillId="0" borderId="0">
      <alignment vertical="center"/>
    </xf>
    <xf numFmtId="0" fontId="15" fillId="0" borderId="30" applyNumberFormat="0" applyFont="0" applyFill="0" applyAlignment="0">
      <alignment horizontal="center" vertical="center"/>
    </xf>
    <xf numFmtId="0" fontId="31" fillId="0" borderId="0"/>
    <xf numFmtId="0" fontId="46" fillId="0" borderId="0" applyFont="0" applyFill="0" applyBorder="0" applyAlignment="0" applyProtection="0"/>
    <xf numFmtId="0" fontId="35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12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51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51" fillId="0" borderId="0"/>
    <xf numFmtId="0" fontId="31" fillId="0" borderId="0"/>
    <xf numFmtId="0" fontId="12" fillId="0" borderId="0"/>
    <xf numFmtId="0" fontId="31" fillId="0" borderId="0"/>
    <xf numFmtId="0" fontId="39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12" fillId="0" borderId="0"/>
    <xf numFmtId="0" fontId="51" fillId="0" borderId="0"/>
    <xf numFmtId="0" fontId="41" fillId="0" borderId="0"/>
    <xf numFmtId="0" fontId="41" fillId="0" borderId="0"/>
    <xf numFmtId="0" fontId="5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51" fillId="0" borderId="0"/>
    <xf numFmtId="0" fontId="41" fillId="0" borderId="0" applyFont="0" applyFill="0" applyBorder="0" applyAlignment="0" applyProtection="0"/>
    <xf numFmtId="0" fontId="31" fillId="0" borderId="0"/>
    <xf numFmtId="0" fontId="12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4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51" fillId="0" borderId="0"/>
    <xf numFmtId="0" fontId="41" fillId="0" borderId="0"/>
    <xf numFmtId="0" fontId="51" fillId="0" borderId="0"/>
    <xf numFmtId="0" fontId="51" fillId="0" borderId="0"/>
    <xf numFmtId="0" fontId="51" fillId="0" borderId="0"/>
    <xf numFmtId="0" fontId="41" fillId="0" borderId="0"/>
    <xf numFmtId="0" fontId="12" fillId="0" borderId="0"/>
    <xf numFmtId="0" fontId="12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41" fillId="0" borderId="0"/>
    <xf numFmtId="0" fontId="39" fillId="0" borderId="0"/>
    <xf numFmtId="0" fontId="12" fillId="0" borderId="0"/>
    <xf numFmtId="0" fontId="41" fillId="0" borderId="0"/>
    <xf numFmtId="0" fontId="12" fillId="0" borderId="0"/>
    <xf numFmtId="0" fontId="39" fillId="0" borderId="0"/>
    <xf numFmtId="0" fontId="40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3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41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8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3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4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8" fillId="0" borderId="0">
      <protection locked="0"/>
    </xf>
    <xf numFmtId="219" fontId="31" fillId="0" borderId="0">
      <protection locked="0"/>
    </xf>
    <xf numFmtId="0" fontId="3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/>
    <xf numFmtId="220" fontId="52" fillId="0" borderId="0">
      <protection locked="0"/>
    </xf>
    <xf numFmtId="217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2" fillId="0" borderId="0"/>
    <xf numFmtId="0" fontId="13" fillId="0" borderId="29">
      <alignment vertical="center"/>
    </xf>
    <xf numFmtId="9" fontId="36" fillId="0" borderId="0">
      <alignment vertical="center"/>
    </xf>
    <xf numFmtId="0" fontId="31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5" fontId="57" fillId="0" borderId="31" applyFill="0" applyProtection="0">
      <alignment horizontal="center"/>
    </xf>
    <xf numFmtId="3" fontId="34" fillId="0" borderId="29"/>
    <xf numFmtId="0" fontId="36" fillId="0" borderId="0">
      <alignment vertical="center"/>
    </xf>
    <xf numFmtId="3" fontId="34" fillId="0" borderId="29"/>
    <xf numFmtId="10" fontId="36" fillId="0" borderId="0">
      <alignment vertical="center"/>
    </xf>
    <xf numFmtId="0" fontId="36" fillId="0" borderId="0">
      <alignment vertical="center"/>
    </xf>
    <xf numFmtId="221" fontId="31" fillId="0" borderId="0">
      <alignment vertical="center"/>
    </xf>
    <xf numFmtId="0" fontId="13" fillId="0" borderId="29">
      <alignment vertical="center"/>
    </xf>
    <xf numFmtId="0" fontId="37" fillId="0" borderId="0">
      <alignment vertical="center"/>
    </xf>
    <xf numFmtId="0" fontId="31" fillId="0" borderId="0"/>
    <xf numFmtId="0" fontId="58" fillId="0" borderId="32"/>
    <xf numFmtId="3" fontId="59" fillId="0" borderId="13">
      <alignment horizontal="right" vertical="center"/>
    </xf>
    <xf numFmtId="222" fontId="12" fillId="0" borderId="0" applyFont="0" applyFill="0" applyBorder="0" applyAlignment="0" applyProtection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3" fontId="59" fillId="0" borderId="13">
      <alignment horizontal="right" vertical="center"/>
    </xf>
    <xf numFmtId="177" fontId="37" fillId="0" borderId="0">
      <alignment horizontal="center" vertical="center"/>
    </xf>
    <xf numFmtId="177" fontId="37" fillId="0" borderId="0">
      <alignment horizontal="center" vertical="center"/>
    </xf>
    <xf numFmtId="223" fontId="60" fillId="0" borderId="0">
      <alignment horizontal="center" vertical="center"/>
    </xf>
    <xf numFmtId="3" fontId="59" fillId="0" borderId="13">
      <alignment horizontal="right" vertical="center"/>
    </xf>
    <xf numFmtId="3" fontId="59" fillId="0" borderId="13">
      <alignment horizontal="right" vertical="center"/>
    </xf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3" fontId="59" fillId="0" borderId="13">
      <alignment horizontal="right"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20" fontId="62" fillId="0" borderId="0">
      <protection locked="0"/>
    </xf>
    <xf numFmtId="9" fontId="63" fillId="0" borderId="0" applyFont="0" applyFill="0" applyBorder="0" applyAlignment="0" applyProtection="0"/>
    <xf numFmtId="10" fontId="64" fillId="0" borderId="0" applyFont="0" applyFill="0" applyBorder="0" applyAlignment="0" applyProtection="0"/>
    <xf numFmtId="2" fontId="59" fillId="0" borderId="13">
      <alignment horizontal="right" vertical="center"/>
    </xf>
    <xf numFmtId="0" fontId="37" fillId="0" borderId="0"/>
    <xf numFmtId="0" fontId="37" fillId="0" borderId="2">
      <alignment horizontal="center"/>
    </xf>
    <xf numFmtId="2" fontId="59" fillId="0" borderId="13">
      <alignment horizontal="right"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12" fillId="0" borderId="0"/>
    <xf numFmtId="0" fontId="38" fillId="0" borderId="0">
      <protection locked="0"/>
    </xf>
    <xf numFmtId="0" fontId="52" fillId="0" borderId="0">
      <protection locked="0"/>
    </xf>
    <xf numFmtId="224" fontId="41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9" fontId="37" fillId="0" borderId="0">
      <protection locked="0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2" fillId="0" borderId="0"/>
    <xf numFmtId="0" fontId="70" fillId="0" borderId="33">
      <alignment horizontal="center" vertical="center"/>
    </xf>
    <xf numFmtId="225" fontId="31" fillId="0" borderId="0" applyFont="0" applyFill="0" applyBorder="0" applyAlignment="0" applyProtection="0"/>
    <xf numFmtId="0" fontId="52" fillId="0" borderId="0">
      <protection locked="0"/>
    </xf>
    <xf numFmtId="0" fontId="7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3" fillId="62" borderId="34">
      <alignment horizontal="center" vertical="center"/>
    </xf>
    <xf numFmtId="220" fontId="52" fillId="0" borderId="0">
      <protection locked="0"/>
    </xf>
    <xf numFmtId="0" fontId="52" fillId="0" borderId="0">
      <protection locked="0"/>
    </xf>
    <xf numFmtId="0" fontId="31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9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1" fillId="0" borderId="0">
      <protection locked="0"/>
    </xf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9" fillId="0" borderId="0"/>
    <xf numFmtId="228" fontId="6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8" fillId="0" borderId="0">
      <protection locked="0"/>
    </xf>
    <xf numFmtId="220" fontId="52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9" fontId="31" fillId="0" borderId="0">
      <protection locked="0"/>
    </xf>
    <xf numFmtId="0" fontId="39" fillId="0" borderId="0"/>
    <xf numFmtId="23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220" fontId="62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" fillId="0" borderId="0"/>
    <xf numFmtId="179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9" fillId="0" borderId="0"/>
    <xf numFmtId="217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4" fontId="52" fillId="0" borderId="0">
      <protection locked="0"/>
    </xf>
    <xf numFmtId="231" fontId="3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9" fillId="0" borderId="0"/>
    <xf numFmtId="0" fontId="52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62" fillId="0" borderId="0">
      <protection locked="0"/>
    </xf>
    <xf numFmtId="0" fontId="64" fillId="0" borderId="0"/>
    <xf numFmtId="0" fontId="63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64" fillId="0" borderId="0"/>
    <xf numFmtId="0" fontId="63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49" fontId="64" fillId="0" borderId="0" applyBorder="0"/>
    <xf numFmtId="0" fontId="76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86" fillId="0" borderId="0"/>
    <xf numFmtId="0" fontId="87" fillId="0" borderId="0"/>
    <xf numFmtId="0" fontId="77" fillId="0" borderId="0"/>
    <xf numFmtId="0" fontId="63" fillId="0" borderId="0"/>
    <xf numFmtId="0" fontId="82" fillId="0" borderId="0"/>
    <xf numFmtId="0" fontId="76" fillId="0" borderId="0"/>
    <xf numFmtId="0" fontId="12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49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63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 applyNumberFormat="0" applyFill="0" applyBorder="0" applyAlignment="0" applyProtection="0">
      <alignment vertical="top"/>
      <protection locked="0"/>
    </xf>
    <xf numFmtId="233" fontId="92" fillId="0" borderId="29" applyFont="0" applyFill="0" applyBorder="0">
      <alignment horizontal="right" vertical="center"/>
    </xf>
    <xf numFmtId="234" fontId="45" fillId="0" borderId="29" applyFill="0" applyBorder="0" applyProtection="0">
      <alignment horizontal="right" vertical="center"/>
    </xf>
    <xf numFmtId="0" fontId="52" fillId="0" borderId="37">
      <protection locked="0"/>
    </xf>
    <xf numFmtId="0" fontId="38" fillId="0" borderId="37">
      <protection locked="0"/>
    </xf>
    <xf numFmtId="220" fontId="52" fillId="0" borderId="0">
      <protection locked="0"/>
    </xf>
    <xf numFmtId="0" fontId="9" fillId="0" borderId="0"/>
    <xf numFmtId="0" fontId="9" fillId="0" borderId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4" fontId="52" fillId="0" borderId="0">
      <protection locked="0"/>
    </xf>
    <xf numFmtId="4" fontId="52" fillId="0" borderId="0">
      <protection locked="0"/>
    </xf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6" fontId="31" fillId="0" borderId="0"/>
    <xf numFmtId="237" fontId="37" fillId="0" borderId="0"/>
    <xf numFmtId="238" fontId="40" fillId="0" borderId="0"/>
    <xf numFmtId="178" fontId="12" fillId="0" borderId="0" applyFont="0" applyFill="0" applyBorder="0" applyAlignment="0" applyProtection="0"/>
    <xf numFmtId="239" fontId="93" fillId="0" borderId="0">
      <protection locked="0"/>
    </xf>
    <xf numFmtId="3" fontId="94" fillId="0" borderId="0" applyFont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40" fontId="3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71" fillId="0" borderId="0" applyFont="0" applyFill="0" applyBorder="0" applyAlignment="0" applyProtection="0"/>
    <xf numFmtId="24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41" fontId="93" fillId="0" borderId="0">
      <protection locked="0"/>
    </xf>
    <xf numFmtId="241" fontId="93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96" fillId="0" borderId="29" applyFill="0" applyBorder="0" applyAlignment="0"/>
    <xf numFmtId="0" fontId="9" fillId="0" borderId="0"/>
    <xf numFmtId="244" fontId="93" fillId="0" borderId="0">
      <protection locked="0"/>
    </xf>
    <xf numFmtId="220" fontId="38" fillId="0" borderId="0">
      <protection locked="0"/>
    </xf>
    <xf numFmtId="245" fontId="94" fillId="0" borderId="0" applyFont="0" applyFill="0" applyBorder="0" applyAlignment="0" applyProtection="0"/>
    <xf numFmtId="246" fontId="31" fillId="0" borderId="0"/>
    <xf numFmtId="247" fontId="37" fillId="0" borderId="0"/>
    <xf numFmtId="248" fontId="34" fillId="0" borderId="0"/>
    <xf numFmtId="0" fontId="52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49" fontId="31" fillId="0" borderId="0"/>
    <xf numFmtId="250" fontId="37" fillId="0" borderId="0"/>
    <xf numFmtId="251" fontId="31" fillId="0" borderId="0"/>
    <xf numFmtId="0" fontId="9" fillId="0" borderId="0"/>
    <xf numFmtId="0" fontId="38" fillId="0" borderId="0">
      <protection locked="0"/>
    </xf>
    <xf numFmtId="0" fontId="38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 applyNumberFormat="0" applyAlignment="0">
      <alignment horizontal="left"/>
    </xf>
    <xf numFmtId="0" fontId="9" fillId="0" borderId="0"/>
    <xf numFmtId="254" fontId="98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256" fontId="93" fillId="0" borderId="0">
      <protection locked="0"/>
    </xf>
    <xf numFmtId="257" fontId="31" fillId="0" borderId="0">
      <protection locked="0"/>
    </xf>
    <xf numFmtId="0" fontId="52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4" fillId="64" borderId="0" applyNumberFormat="0" applyBorder="0" applyAlignment="0" applyProtection="0"/>
    <xf numFmtId="38" fontId="104" fillId="65" borderId="0" applyNumberFormat="0" applyBorder="0" applyAlignment="0" applyProtection="0"/>
    <xf numFmtId="3" fontId="36" fillId="0" borderId="38">
      <alignment horizontal="right" vertical="center"/>
    </xf>
    <xf numFmtId="4" fontId="36" fillId="0" borderId="38">
      <alignment horizontal="right" vertical="center"/>
    </xf>
    <xf numFmtId="0" fontId="9" fillId="0" borderId="0"/>
    <xf numFmtId="0" fontId="105" fillId="0" borderId="0">
      <alignment horizontal="left"/>
    </xf>
    <xf numFmtId="0" fontId="106" fillId="0" borderId="0">
      <alignment horizontal="left"/>
    </xf>
    <xf numFmtId="0" fontId="9" fillId="0" borderId="0"/>
    <xf numFmtId="0" fontId="9" fillId="0" borderId="0"/>
    <xf numFmtId="0" fontId="9" fillId="0" borderId="0"/>
    <xf numFmtId="0" fontId="107" fillId="0" borderId="39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07" fillId="0" borderId="25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4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protection locked="0"/>
    </xf>
    <xf numFmtId="258" fontId="31" fillId="0" borderId="0">
      <protection locked="0"/>
    </xf>
    <xf numFmtId="0" fontId="55" fillId="0" borderId="0">
      <protection locked="0"/>
    </xf>
    <xf numFmtId="258" fontId="31" fillId="0" borderId="0">
      <protection locked="0"/>
    </xf>
    <xf numFmtId="0" fontId="9" fillId="0" borderId="0"/>
    <xf numFmtId="0" fontId="111" fillId="0" borderId="0" applyNumberFormat="0" applyFill="0" applyBorder="0" applyAlignment="0" applyProtection="0"/>
    <xf numFmtId="0" fontId="112" fillId="0" borderId="41" applyNumberFormat="0" applyFill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4" fillId="66" borderId="29" applyNumberFormat="0" applyBorder="0" applyAlignment="0" applyProtection="0"/>
    <xf numFmtId="10" fontId="104" fillId="65" borderId="29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29">
      <alignment horizontal="center"/>
    </xf>
    <xf numFmtId="259" fontId="43" fillId="0" borderId="32" applyFont="0" applyFill="0" applyBorder="0">
      <alignment horizontal="right" vertical="center"/>
    </xf>
    <xf numFmtId="260" fontId="45" fillId="0" borderId="29" applyFill="0" applyBorder="0" applyProtection="0">
      <alignment horizontal="right" vertical="center"/>
    </xf>
    <xf numFmtId="261" fontId="45" fillId="0" borderId="29" applyFont="0" applyFill="0" applyBorder="0">
      <alignment horizontal="right" vertical="center"/>
    </xf>
    <xf numFmtId="0" fontId="45" fillId="0" borderId="29" applyFill="0" applyBorder="0" applyProtection="0">
      <alignment horizontal="right" vertical="center"/>
    </xf>
    <xf numFmtId="262" fontId="43" fillId="0" borderId="29" applyFill="0" applyBorder="0" applyProtection="0">
      <alignment horizontal="right" vertical="center"/>
    </xf>
    <xf numFmtId="263" fontId="92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3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266" fontId="45" fillId="0" borderId="29" applyFont="0" applyFill="0" applyBorder="0">
      <alignment horizontal="right" vertical="center"/>
    </xf>
    <xf numFmtId="267" fontId="12" fillId="0" borderId="0" applyFont="0" applyFill="0" applyBorder="0" applyAlignment="0" applyProtection="0"/>
    <xf numFmtId="268" fontId="118" fillId="0" borderId="0">
      <alignment horizontal="left"/>
    </xf>
    <xf numFmtId="0" fontId="119" fillId="0" borderId="0"/>
    <xf numFmtId="0" fontId="120" fillId="0" borderId="0"/>
    <xf numFmtId="0" fontId="119" fillId="0" borderId="0"/>
    <xf numFmtId="0" fontId="120" fillId="0" borderId="0"/>
    <xf numFmtId="0" fontId="121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3" fillId="0" borderId="0" applyFont="0" applyFill="0" applyBorder="0">
      <alignment vertical="center"/>
    </xf>
    <xf numFmtId="0" fontId="9" fillId="0" borderId="0"/>
    <xf numFmtId="0" fontId="122" fillId="0" borderId="43"/>
    <xf numFmtId="0" fontId="122" fillId="0" borderId="43"/>
    <xf numFmtId="0" fontId="123" fillId="0" borderId="43"/>
    <xf numFmtId="0" fontId="123" fillId="0" borderId="43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29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4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4" fillId="0" borderId="0" applyNumberFormat="0" applyFont="0" applyFill="0" applyBorder="0" applyAlignment="0">
      <alignment vertical="center"/>
    </xf>
    <xf numFmtId="37" fontId="125" fillId="0" borderId="0"/>
    <xf numFmtId="0" fontId="34" fillId="0" borderId="44" applyNumberFormat="0" applyFont="0" applyBorder="0" applyProtection="0">
      <alignment horizontal="center" vertical="center"/>
    </xf>
    <xf numFmtId="0" fontId="12" fillId="0" borderId="0" applyNumberFormat="0" applyFill="0" applyBorder="0" applyAlignment="0" applyProtection="0"/>
    <xf numFmtId="0" fontId="119" fillId="0" borderId="0"/>
    <xf numFmtId="0" fontId="120" fillId="0" borderId="0"/>
    <xf numFmtId="0" fontId="120" fillId="0" borderId="0"/>
    <xf numFmtId="0" fontId="9" fillId="0" borderId="0"/>
    <xf numFmtId="269" fontId="13" fillId="0" borderId="0"/>
    <xf numFmtId="257" fontId="31" fillId="0" borderId="0"/>
    <xf numFmtId="270" fontId="37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3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4" borderId="4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6" fillId="49" borderId="4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2" fillId="0" borderId="0" applyFont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271" fontId="93" fillId="0" borderId="0">
      <protection locked="0"/>
    </xf>
    <xf numFmtId="271" fontId="93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28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39" fillId="0" borderId="0"/>
    <xf numFmtId="0" fontId="129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3" fillId="0" borderId="0"/>
    <xf numFmtId="40" fontId="130" fillId="0" borderId="0" applyBorder="0">
      <alignment horizontal="right"/>
    </xf>
    <xf numFmtId="273" fontId="131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 applyFill="0" applyBorder="0" applyProtection="0">
      <alignment horizontal="centerContinuous" vertical="center"/>
    </xf>
    <xf numFmtId="0" fontId="43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9" fillId="0" borderId="0"/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4" fillId="0" borderId="0" applyFill="0" applyBorder="0" applyProtection="0">
      <alignment horizontal="centerContinuous" vertical="center"/>
    </xf>
    <xf numFmtId="274" fontId="43" fillId="0" borderId="32" applyFill="0" applyBorder="0">
      <alignment horizontal="right" vertical="center"/>
    </xf>
    <xf numFmtId="275" fontId="37" fillId="0" borderId="0" applyFill="0" applyBorder="0" applyProtection="0"/>
    <xf numFmtId="276" fontId="37" fillId="0" borderId="29" applyFont="0" applyFill="0" applyBorder="0" applyProtection="0">
      <alignment horizontal="right" vertical="center"/>
    </xf>
    <xf numFmtId="277" fontId="37" fillId="0" borderId="29" applyFont="0" applyFill="0" applyBorder="0">
      <alignment horizontal="right" vertical="center"/>
    </xf>
    <xf numFmtId="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47">
      <protection locked="0"/>
    </xf>
    <xf numFmtId="258" fontId="31" fillId="0" borderId="47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5" fillId="0" borderId="29" applyFont="0" applyFill="0" applyBorder="0">
      <alignment horizontal="right" vertical="center"/>
    </xf>
    <xf numFmtId="0" fontId="14" fillId="0" borderId="2">
      <alignment horizontal="left"/>
    </xf>
    <xf numFmtId="37" fontId="104" fillId="67" borderId="0" applyNumberFormat="0" applyBorder="0" applyAlignment="0" applyProtection="0"/>
    <xf numFmtId="37" fontId="104" fillId="0" borderId="0"/>
    <xf numFmtId="3" fontId="135" fillId="0" borderId="41" applyProtection="0"/>
    <xf numFmtId="279" fontId="39" fillId="0" borderId="0" applyFont="0" applyFill="0" applyBorder="0" applyAlignment="0" applyProtection="0"/>
    <xf numFmtId="280" fontId="3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37" fillId="0" borderId="26"/>
    <xf numFmtId="0" fontId="13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67" fillId="58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282" fontId="43" fillId="0" borderId="48">
      <alignment horizontal="right" vertical="center"/>
    </xf>
    <xf numFmtId="283" fontId="37" fillId="0" borderId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9" borderId="35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284" fontId="37" fillId="0" borderId="0">
      <protection locked="0"/>
    </xf>
    <xf numFmtId="0" fontId="31" fillId="0" borderId="0">
      <protection locked="0"/>
    </xf>
    <xf numFmtId="0" fontId="37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3" fillId="0" borderId="0"/>
    <xf numFmtId="0" fontId="36" fillId="0" borderId="0" applyNumberFormat="0" applyFont="0" applyAlignment="0">
      <alignment horizontal="center" vertical="center"/>
    </xf>
    <xf numFmtId="37" fontId="34" fillId="0" borderId="49">
      <alignment horizontal="center" vertical="center"/>
    </xf>
    <xf numFmtId="37" fontId="34" fillId="0" borderId="13" applyAlignment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6" fontId="31" fillId="0" borderId="0" applyNumberFormat="0" applyFill="0" applyBorder="0" applyAlignment="0">
      <alignment horizontal="left"/>
    </xf>
    <xf numFmtId="37" fontId="45" fillId="0" borderId="29" applyFont="0" applyFill="0" applyBorder="0">
      <alignment vertical="center"/>
    </xf>
    <xf numFmtId="38" fontId="98" fillId="0" borderId="0"/>
    <xf numFmtId="177" fontId="33" fillId="0" borderId="3">
      <alignment horizontal="center" vertical="center"/>
    </xf>
    <xf numFmtId="177" fontId="33" fillId="0" borderId="3">
      <alignment horizontal="center" vertical="center"/>
    </xf>
    <xf numFmtId="287" fontId="41" fillId="0" borderId="50" applyFont="0" applyFill="0" applyBorder="0" applyAlignment="0">
      <alignment horizontal="left" vertical="center"/>
    </xf>
    <xf numFmtId="0" fontId="144" fillId="43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52" fillId="0" borderId="0">
      <protection locked="0"/>
    </xf>
    <xf numFmtId="0" fontId="52" fillId="0" borderId="0">
      <protection locked="0"/>
    </xf>
    <xf numFmtId="3" fontId="39" fillId="0" borderId="51">
      <alignment horizontal="center"/>
    </xf>
    <xf numFmtId="0" fontId="37" fillId="68" borderId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41" fillId="0" borderId="0"/>
    <xf numFmtId="0" fontId="146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1" fillId="0" borderId="38">
      <alignment vertical="center"/>
    </xf>
    <xf numFmtId="0" fontId="37" fillId="0" borderId="0"/>
    <xf numFmtId="0" fontId="31" fillId="44" borderId="45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9" fontId="45" fillId="0" borderId="29" applyFont="0" applyFill="0" applyBorder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4" fillId="0" borderId="0" applyNumberFormat="0" applyFont="0" applyFill="0" applyBorder="0" applyProtection="0">
      <alignment horizontal="distributed" vertical="center" justifyLastLine="1"/>
    </xf>
    <xf numFmtId="0" fontId="52" fillId="0" borderId="0">
      <protection locked="0"/>
    </xf>
    <xf numFmtId="0" fontId="62" fillId="0" borderId="0">
      <protection locked="0"/>
    </xf>
    <xf numFmtId="0" fontId="37" fillId="0" borderId="0" applyFont="0" applyFill="0" applyBorder="0" applyProtection="0">
      <alignment horizontal="center" vertical="center"/>
    </xf>
    <xf numFmtId="0" fontId="37" fillId="0" borderId="0" applyFont="0" applyFill="0" applyBorder="0" applyProtection="0">
      <alignment horizontal="center" vertical="center"/>
    </xf>
    <xf numFmtId="9" fontId="98" fillId="65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33" applyFont="0" applyFill="0" applyBorder="0" applyAlignment="0" applyProtection="0">
      <alignment vertical="center"/>
    </xf>
    <xf numFmtId="288" fontId="31" fillId="69" borderId="52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/>
    <xf numFmtId="0" fontId="149" fillId="5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3" fontId="36" fillId="0" borderId="53">
      <alignment vertical="center"/>
    </xf>
    <xf numFmtId="292" fontId="31" fillId="0" borderId="54" applyFont="0" applyFill="0" applyAlignment="0" applyProtection="0">
      <alignment horizontal="center" vertical="center"/>
    </xf>
    <xf numFmtId="0" fontId="151" fillId="0" borderId="0"/>
    <xf numFmtId="293" fontId="143" fillId="0" borderId="30" applyBorder="0"/>
    <xf numFmtId="0" fontId="66" fillId="0" borderId="0">
      <alignment vertical="center"/>
    </xf>
    <xf numFmtId="0" fontId="152" fillId="0" borderId="0"/>
    <xf numFmtId="0" fontId="70" fillId="0" borderId="0" applyNumberFormat="0" applyFont="0" applyFill="0" applyBorder="0" applyProtection="0">
      <alignment horizontal="centerContinuous" vertical="center"/>
    </xf>
    <xf numFmtId="0" fontId="54" fillId="0" borderId="0" applyNumberFormat="0" applyFont="0" applyFill="0" applyBorder="0" applyProtection="0">
      <alignment horizontal="centerContinuous" vertical="center"/>
    </xf>
    <xf numFmtId="38" fontId="13" fillId="0" borderId="0">
      <alignment vertical="center" wrapText="1"/>
    </xf>
    <xf numFmtId="294" fontId="153" fillId="0" borderId="3">
      <alignment vertical="center"/>
    </xf>
    <xf numFmtId="3" fontId="54" fillId="0" borderId="29"/>
    <xf numFmtId="0" fontId="54" fillId="0" borderId="29"/>
    <xf numFmtId="3" fontId="54" fillId="0" borderId="55"/>
    <xf numFmtId="3" fontId="54" fillId="0" borderId="23"/>
    <xf numFmtId="0" fontId="154" fillId="0" borderId="29"/>
    <xf numFmtId="0" fontId="155" fillId="0" borderId="0">
      <alignment horizontal="center"/>
    </xf>
    <xf numFmtId="0" fontId="156" fillId="0" borderId="56">
      <alignment horizont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63" borderId="36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1" fillId="0" borderId="0">
      <alignment vertical="center"/>
    </xf>
    <xf numFmtId="239" fontId="162" fillId="0" borderId="50" applyFont="0" applyAlignment="0" applyProtection="0">
      <alignment vertical="center"/>
    </xf>
    <xf numFmtId="0" fontId="162" fillId="0" borderId="50" applyFont="0" applyAlignment="0" applyProtection="0">
      <alignment vertical="center"/>
    </xf>
    <xf numFmtId="0" fontId="163" fillId="0" borderId="29" applyFont="0" applyFill="0" applyBorder="0" applyAlignment="0" applyProtection="0">
      <alignment horizontal="centerContinuous" vertical="center"/>
    </xf>
    <xf numFmtId="3" fontId="37" fillId="0" borderId="0" applyFont="0" applyFill="0" applyBorder="0" applyAlignment="0" applyProtection="0"/>
    <xf numFmtId="258" fontId="164" fillId="0" borderId="0">
      <alignment vertical="center"/>
    </xf>
    <xf numFmtId="0" fontId="31" fillId="0" borderId="0">
      <alignment vertical="center"/>
    </xf>
    <xf numFmtId="0" fontId="164" fillId="0" borderId="0">
      <alignment vertical="center"/>
    </xf>
    <xf numFmtId="204" fontId="70" fillId="0" borderId="0" applyFont="0" applyFill="0" applyBorder="0" applyAlignment="0" applyProtection="0">
      <alignment horizontal="centerContinuous" vertical="center"/>
    </xf>
    <xf numFmtId="223" fontId="7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41" fillId="0" borderId="0"/>
    <xf numFmtId="0" fontId="12" fillId="0" borderId="0"/>
    <xf numFmtId="0" fontId="166" fillId="0" borderId="0"/>
    <xf numFmtId="0" fontId="3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3" fillId="0" borderId="0" applyFont="0" applyFill="0" applyBorder="0" applyAlignment="0" applyProtection="0"/>
    <xf numFmtId="0" fontId="31" fillId="0" borderId="0"/>
    <xf numFmtId="178" fontId="98" fillId="0" borderId="0" applyFont="0" applyFill="0" applyBorder="0" applyAlignment="0" applyProtection="0"/>
    <xf numFmtId="178" fontId="98" fillId="0" borderId="0" applyFont="0" applyFill="0" applyBorder="0" applyAlignment="0" applyProtection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12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215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7" fillId="0" borderId="0"/>
    <xf numFmtId="0" fontId="12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167" fillId="0" borderId="25" applyFill="0" applyBorder="0">
      <alignment horizontal="left" vertical="center"/>
    </xf>
    <xf numFmtId="0" fontId="46" fillId="0" borderId="32"/>
    <xf numFmtId="303" fontId="41" fillId="0" borderId="0">
      <alignment horizontal="left" vertical="center"/>
    </xf>
    <xf numFmtId="0" fontId="168" fillId="0" borderId="42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304" fontId="41" fillId="0" borderId="0">
      <alignment horizontal="left" vertical="center"/>
    </xf>
    <xf numFmtId="305" fontId="41" fillId="0" borderId="0">
      <alignment horizontal="left" vertical="center"/>
    </xf>
    <xf numFmtId="306" fontId="41" fillId="0" borderId="0">
      <alignment horizontal="left"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57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307" fontId="45" fillId="67" borderId="29">
      <alignment horizontal="right" vertical="center"/>
    </xf>
    <xf numFmtId="308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4" fillId="0" borderId="0">
      <alignment vertical="center"/>
    </xf>
    <xf numFmtId="0" fontId="175" fillId="0" borderId="0">
      <alignment horizontal="center" vertical="center"/>
    </xf>
    <xf numFmtId="3" fontId="31" fillId="0" borderId="29"/>
    <xf numFmtId="0" fontId="15" fillId="0" borderId="29" applyNumberFormat="0" applyAlignment="0">
      <alignment horizontal="center" vertical="center"/>
    </xf>
    <xf numFmtId="0" fontId="70" fillId="0" borderId="0" applyNumberFormat="0" applyFont="0" applyFill="0" applyBorder="0" applyProtection="0">
      <alignment vertical="center"/>
    </xf>
    <xf numFmtId="0" fontId="51" fillId="0" borderId="0"/>
    <xf numFmtId="0" fontId="176" fillId="48" borderId="35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4" fontId="52" fillId="0" borderId="0">
      <protection locked="0"/>
    </xf>
    <xf numFmtId="0" fontId="143" fillId="0" borderId="0"/>
    <xf numFmtId="4" fontId="52" fillId="0" borderId="0">
      <protection locked="0"/>
    </xf>
    <xf numFmtId="4" fontId="52" fillId="0" borderId="0">
      <protection locked="0"/>
    </xf>
    <xf numFmtId="309" fontId="37" fillId="0" borderId="0">
      <protection locked="0"/>
    </xf>
    <xf numFmtId="0" fontId="31" fillId="0" borderId="0">
      <protection locked="0"/>
    </xf>
    <xf numFmtId="3" fontId="178" fillId="0" borderId="0" applyFont="0" applyFill="0" applyBorder="0" applyAlignment="0" applyProtection="0"/>
    <xf numFmtId="310" fontId="41" fillId="0" borderId="26">
      <alignment vertical="center"/>
    </xf>
    <xf numFmtId="224" fontId="41" fillId="0" borderId="26">
      <alignment vertical="center"/>
    </xf>
    <xf numFmtId="311" fontId="41" fillId="0" borderId="26">
      <alignment vertical="center"/>
    </xf>
    <xf numFmtId="0" fontId="34" fillId="0" borderId="0" applyNumberFormat="0" applyFont="0" applyBorder="0" applyAlignment="0"/>
    <xf numFmtId="1" fontId="34" fillId="65" borderId="0" applyNumberFormat="0" applyFont="0" applyFill="0" applyBorder="0" applyAlignment="0">
      <alignment vertical="center"/>
    </xf>
    <xf numFmtId="1" fontId="34" fillId="0" borderId="0" applyBorder="0">
      <alignment vertical="center"/>
    </xf>
    <xf numFmtId="1" fontId="179" fillId="65" borderId="0" applyNumberFormat="0" applyBorder="0" applyAlignment="0">
      <alignment vertical="center"/>
    </xf>
    <xf numFmtId="0" fontId="180" fillId="0" borderId="58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37" fillId="0" borderId="0">
      <alignment vertical="center"/>
    </xf>
    <xf numFmtId="0" fontId="182" fillId="0" borderId="0">
      <alignment horizontal="centerContinuous" vertical="center"/>
    </xf>
    <xf numFmtId="0" fontId="183" fillId="0" borderId="59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5" fillId="0" borderId="40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37" fillId="0" borderId="29">
      <alignment horizontal="distributed" vertical="center"/>
    </xf>
    <xf numFmtId="0" fontId="37" fillId="0" borderId="29">
      <alignment horizontal="distributed" vertical="center" justifyLastLine="1"/>
    </xf>
    <xf numFmtId="0" fontId="37" fillId="0" borderId="30">
      <alignment horizontal="distributed" vertical="top"/>
    </xf>
    <xf numFmtId="0" fontId="37" fillId="0" borderId="30">
      <alignment horizontal="distributed" vertical="top" justifyLastLine="1"/>
    </xf>
    <xf numFmtId="0" fontId="37" fillId="0" borderId="60">
      <alignment horizontal="distributed"/>
    </xf>
    <xf numFmtId="0" fontId="37" fillId="0" borderId="60">
      <alignment horizontal="distributed" justifyLastLine="1"/>
    </xf>
    <xf numFmtId="312" fontId="189" fillId="0" borderId="0">
      <alignment vertical="center"/>
    </xf>
    <xf numFmtId="179" fontId="189" fillId="0" borderId="0">
      <alignment vertical="center"/>
    </xf>
    <xf numFmtId="0" fontId="190" fillId="45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37" fillId="0" borderId="0" applyNumberFormat="0" applyFont="0" applyFill="0" applyBorder="0" applyProtection="0">
      <alignment vertical="center"/>
    </xf>
    <xf numFmtId="0" fontId="37" fillId="0" borderId="0"/>
    <xf numFmtId="1" fontId="192" fillId="65" borderId="0" applyNumberFormat="0" applyFont="0" applyFill="0" applyBorder="0" applyAlignment="0">
      <alignment vertical="center"/>
    </xf>
    <xf numFmtId="177" fontId="31" fillId="0" borderId="0" applyFont="0" applyFill="0" applyBorder="0" applyAlignment="0" applyProtection="0">
      <alignment vertical="center"/>
    </xf>
    <xf numFmtId="0" fontId="193" fillId="49" borderId="46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258" fontId="195" fillId="0" borderId="0" applyFont="0" applyFill="0" applyBorder="0" applyAlignment="0" applyProtection="0">
      <alignment vertical="center"/>
    </xf>
    <xf numFmtId="0" fontId="62" fillId="0" borderId="0">
      <protection locked="0"/>
    </xf>
    <xf numFmtId="0" fontId="37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0" fontId="62" fillId="0" borderId="0">
      <protection locked="0"/>
    </xf>
    <xf numFmtId="177" fontId="31" fillId="0" borderId="0" applyFont="0" applyFill="0" applyBorder="0" applyAlignment="0" applyProtection="0"/>
    <xf numFmtId="258" fontId="3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62" fillId="0" borderId="8">
      <alignment horizontal="center" vertical="center"/>
    </xf>
    <xf numFmtId="177" fontId="162" fillId="0" borderId="8">
      <alignment horizontal="center" vertical="center"/>
    </xf>
    <xf numFmtId="179" fontId="37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53" applyFont="0" applyFill="0" applyBorder="0" applyAlignment="0" applyProtection="0">
      <alignment vertical="center"/>
    </xf>
    <xf numFmtId="316" fontId="31" fillId="0" borderId="33" applyFont="0" applyFill="0" applyBorder="0" applyAlignment="0" applyProtection="0">
      <alignment vertical="center"/>
    </xf>
    <xf numFmtId="317" fontId="98" fillId="65" borderId="0" applyFill="0" applyBorder="0" applyProtection="0">
      <alignment horizontal="right"/>
    </xf>
    <xf numFmtId="0" fontId="98" fillId="65" borderId="0" applyFill="0" applyBorder="0" applyProtection="0">
      <alignment horizontal="right"/>
    </xf>
    <xf numFmtId="0" fontId="31" fillId="65" borderId="0" applyFill="0" applyBorder="0" applyProtection="0">
      <alignment horizontal="right"/>
    </xf>
    <xf numFmtId="9" fontId="70" fillId="0" borderId="0"/>
    <xf numFmtId="242" fontId="98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294" fontId="54" fillId="0" borderId="0" applyFont="0" applyFill="0" applyBorder="0" applyAlignment="0" applyProtection="0">
      <alignment vertical="center"/>
    </xf>
    <xf numFmtId="38" fontId="54" fillId="0" borderId="0" applyFill="0" applyBorder="0" applyAlignment="0" applyProtection="0">
      <alignment vertical="center"/>
    </xf>
    <xf numFmtId="318" fontId="31" fillId="64" borderId="29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61" applyFont="0" applyFill="0" applyBorder="0" applyAlignment="0" applyProtection="0"/>
    <xf numFmtId="321" fontId="31" fillId="0" borderId="33" applyFont="0" applyFill="0" applyBorder="0" applyAlignment="0" applyProtection="0"/>
    <xf numFmtId="322" fontId="31" fillId="0" borderId="3"/>
    <xf numFmtId="323" fontId="41" fillId="0" borderId="0" applyFont="0" applyFill="0" applyBorder="0" applyAlignment="0" applyProtection="0">
      <alignment textRotation="255"/>
    </xf>
    <xf numFmtId="324" fontId="41" fillId="0" borderId="0" applyFont="0" applyFill="0" applyBorder="0" applyAlignment="0" applyProtection="0">
      <alignment textRotation="255"/>
    </xf>
    <xf numFmtId="325" fontId="93" fillId="0" borderId="29">
      <alignment vertical="center"/>
    </xf>
    <xf numFmtId="326" fontId="41" fillId="0" borderId="0" applyFont="0" applyFill="0" applyBorder="0" applyAlignment="0" applyProtection="0">
      <alignment textRotation="255"/>
    </xf>
    <xf numFmtId="312" fontId="34" fillId="0" borderId="24" applyFont="0" applyFill="0" applyBorder="0" applyAlignment="0" applyProtection="0">
      <alignment vertical="center"/>
    </xf>
    <xf numFmtId="0" fontId="43" fillId="0" borderId="0"/>
    <xf numFmtId="0" fontId="41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37" fillId="0" borderId="26"/>
    <xf numFmtId="0" fontId="196" fillId="0" borderId="0">
      <alignment horizontal="centerContinuous"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7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227" fontId="37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34" fillId="0" borderId="60">
      <alignment horizontal="distributed"/>
    </xf>
    <xf numFmtId="0" fontId="34" fillId="0" borderId="60">
      <alignment horizontal="distributed" justifyLastLine="1"/>
    </xf>
    <xf numFmtId="0" fontId="34" fillId="0" borderId="62">
      <alignment horizontal="distributed" vertical="center"/>
    </xf>
    <xf numFmtId="0" fontId="34" fillId="0" borderId="62">
      <alignment horizontal="distributed" vertical="center" justifyLastLine="1"/>
    </xf>
    <xf numFmtId="0" fontId="34" fillId="0" borderId="63">
      <alignment horizontal="distributed" vertical="top"/>
    </xf>
    <xf numFmtId="0" fontId="34" fillId="0" borderId="63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1" fillId="0" borderId="0"/>
    <xf numFmtId="0" fontId="31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99" fillId="0" borderId="0">
      <alignment vertical="center"/>
    </xf>
    <xf numFmtId="0" fontId="6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56" fillId="0" borderId="0">
      <alignment vertical="center"/>
    </xf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43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 applyNumberFormat="0" applyFont="0" applyFill="0" applyBorder="0" applyProtection="0">
      <alignment vertical="center"/>
    </xf>
    <xf numFmtId="0" fontId="9" fillId="0" borderId="0"/>
    <xf numFmtId="0" fontId="37" fillId="0" borderId="3">
      <alignment vertical="center" wrapText="1"/>
    </xf>
    <xf numFmtId="0" fontId="70" fillId="0" borderId="33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0" fillId="0" borderId="0" applyNumberFormat="0" applyFill="0" applyBorder="0" applyAlignment="0" applyProtection="0">
      <alignment vertical="top"/>
      <protection locked="0"/>
    </xf>
    <xf numFmtId="328" fontId="201" fillId="0" borderId="33"/>
    <xf numFmtId="0" fontId="52" fillId="0" borderId="37">
      <protection locked="0"/>
    </xf>
    <xf numFmtId="0" fontId="52" fillId="0" borderId="37">
      <protection locked="0"/>
    </xf>
    <xf numFmtId="329" fontId="37" fillId="0" borderId="0">
      <protection locked="0"/>
    </xf>
    <xf numFmtId="3" fontId="98" fillId="0" borderId="64">
      <alignment vertical="center"/>
    </xf>
    <xf numFmtId="0" fontId="9" fillId="0" borderId="0"/>
    <xf numFmtId="330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331" fontId="37" fillId="0" borderId="0">
      <protection locked="0"/>
    </xf>
    <xf numFmtId="0" fontId="37" fillId="0" borderId="0">
      <protection locked="0"/>
    </xf>
    <xf numFmtId="38" fontId="41" fillId="0" borderId="0" applyNumberFormat="0" applyFont="0" applyFill="0" applyBorder="0" applyAlignment="0" applyProtection="0">
      <protection locked="0"/>
    </xf>
    <xf numFmtId="179" fontId="37" fillId="0" borderId="65"/>
    <xf numFmtId="177" fontId="2" fillId="0" borderId="0" applyFont="0" applyFill="0" applyBorder="0" applyAlignment="0" applyProtection="0">
      <alignment vertical="center"/>
    </xf>
    <xf numFmtId="0" fontId="13" fillId="0" borderId="0"/>
    <xf numFmtId="333" fontId="13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1" fillId="6" borderId="0" xfId="0" applyFont="1" applyFill="1">
      <alignment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1" applyNumberFormat="1" applyFont="1" applyAlignment="1">
      <alignment horizontal="center" vertical="center"/>
    </xf>
    <xf numFmtId="178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1" fillId="0" borderId="26" xfId="0" applyFont="1" applyBorder="1" applyAlignment="1">
      <alignment horizontal="center" vertical="center"/>
    </xf>
    <xf numFmtId="0" fontId="202" fillId="0" borderId="0" xfId="18443" applyFont="1" applyAlignment="1">
      <alignment vertical="center"/>
    </xf>
    <xf numFmtId="0" fontId="203" fillId="0" borderId="0" xfId="3" applyFont="1"/>
    <xf numFmtId="0" fontId="204" fillId="0" borderId="0" xfId="3" applyFont="1"/>
    <xf numFmtId="0" fontId="205" fillId="0" borderId="0" xfId="18443" applyFont="1" applyAlignment="1">
      <alignment vertical="center"/>
    </xf>
    <xf numFmtId="0" fontId="206" fillId="0" borderId="4" xfId="18443" applyFont="1" applyBorder="1" applyAlignment="1">
      <alignment vertical="center"/>
    </xf>
    <xf numFmtId="0" fontId="205" fillId="0" borderId="68" xfId="18443" applyFont="1" applyBorder="1" applyAlignment="1">
      <alignment horizontal="center" vertical="center"/>
    </xf>
    <xf numFmtId="0" fontId="206" fillId="0" borderId="69" xfId="18443" applyFont="1" applyBorder="1" applyAlignment="1">
      <alignment horizontal="right" vertical="center"/>
    </xf>
    <xf numFmtId="0" fontId="206" fillId="5" borderId="70" xfId="18443" applyFont="1" applyFill="1" applyBorder="1" applyAlignment="1">
      <alignment horizontal="center" vertical="center"/>
    </xf>
    <xf numFmtId="0" fontId="206" fillId="5" borderId="71" xfId="18443" applyFont="1" applyFill="1" applyBorder="1" applyAlignment="1">
      <alignment vertical="center" shrinkToFit="1"/>
    </xf>
    <xf numFmtId="0" fontId="206" fillId="5" borderId="2" xfId="18443" applyFont="1" applyFill="1" applyBorder="1" applyAlignment="1">
      <alignment horizontal="center" vertical="center"/>
    </xf>
    <xf numFmtId="0" fontId="206" fillId="5" borderId="72" xfId="18443" applyFont="1" applyFill="1" applyBorder="1" applyAlignment="1">
      <alignment vertical="center" shrinkToFit="1"/>
    </xf>
    <xf numFmtId="0" fontId="207" fillId="0" borderId="0" xfId="18443" applyFont="1" applyAlignment="1">
      <alignment vertical="center" shrinkToFit="1"/>
    </xf>
    <xf numFmtId="0" fontId="206" fillId="5" borderId="2" xfId="18443" applyFont="1" applyFill="1" applyBorder="1" applyAlignment="1">
      <alignment horizontal="center" vertical="center" shrinkToFit="1"/>
    </xf>
    <xf numFmtId="0" fontId="206" fillId="0" borderId="2" xfId="18443" applyFont="1" applyBorder="1" applyAlignment="1">
      <alignment horizontal="center" vertical="center"/>
    </xf>
    <xf numFmtId="0" fontId="206" fillId="0" borderId="72" xfId="18443" applyFont="1" applyBorder="1" applyAlignment="1">
      <alignment vertical="center"/>
    </xf>
    <xf numFmtId="0" fontId="205" fillId="0" borderId="0" xfId="18443" applyFont="1" applyAlignment="1">
      <alignment horizontal="center" vertical="center" shrinkToFit="1"/>
    </xf>
    <xf numFmtId="0" fontId="206" fillId="0" borderId="73" xfId="18443" applyFont="1" applyBorder="1" applyAlignment="1">
      <alignment horizontal="center" vertical="center" shrinkToFit="1"/>
    </xf>
    <xf numFmtId="0" fontId="206" fillId="0" borderId="74" xfId="18443" applyFont="1" applyBorder="1" applyAlignment="1">
      <alignment vertical="center" shrinkToFit="1"/>
    </xf>
    <xf numFmtId="0" fontId="207" fillId="0" borderId="75" xfId="18443" applyFont="1" applyBorder="1" applyAlignment="1">
      <alignment vertical="center"/>
    </xf>
    <xf numFmtId="332" fontId="208" fillId="0" borderId="75" xfId="18443" applyNumberFormat="1" applyFont="1" applyBorder="1" applyAlignment="1">
      <alignment vertical="center"/>
    </xf>
    <xf numFmtId="0" fontId="209" fillId="0" borderId="75" xfId="18443" applyFont="1" applyBorder="1" applyAlignment="1">
      <alignment horizontal="right" vertical="center"/>
    </xf>
    <xf numFmtId="0" fontId="210" fillId="0" borderId="75" xfId="18443" applyFont="1" applyBorder="1" applyAlignment="1">
      <alignment horizontal="right" vertical="center"/>
    </xf>
    <xf numFmtId="0" fontId="206" fillId="0" borderId="75" xfId="18443" applyFont="1" applyBorder="1" applyAlignment="1">
      <alignment horizontal="right" vertical="center"/>
    </xf>
    <xf numFmtId="0" fontId="205" fillId="0" borderId="0" xfId="18443" applyFont="1" applyAlignment="1">
      <alignment vertical="center" shrinkToFit="1"/>
    </xf>
    <xf numFmtId="0" fontId="206" fillId="0" borderId="76" xfId="18443" applyFont="1" applyBorder="1" applyAlignment="1">
      <alignment horizontal="center" vertical="center"/>
    </xf>
    <xf numFmtId="0" fontId="206" fillId="0" borderId="77" xfId="18443" applyFont="1" applyBorder="1" applyAlignment="1">
      <alignment horizontal="center" vertical="center"/>
    </xf>
    <xf numFmtId="0" fontId="206" fillId="0" borderId="78" xfId="18443" applyFont="1" applyBorder="1" applyAlignment="1">
      <alignment horizontal="center" vertical="center"/>
    </xf>
    <xf numFmtId="0" fontId="211" fillId="0" borderId="79" xfId="18443" applyFont="1" applyBorder="1" applyAlignment="1">
      <alignment horizontal="center" vertical="center"/>
    </xf>
    <xf numFmtId="0" fontId="206" fillId="0" borderId="80" xfId="18443" applyFont="1" applyBorder="1" applyAlignment="1">
      <alignment vertical="center"/>
    </xf>
    <xf numFmtId="0" fontId="211" fillId="0" borderId="80" xfId="18443" applyFont="1" applyBorder="1" applyAlignment="1">
      <alignment vertical="center"/>
    </xf>
    <xf numFmtId="1" fontId="211" fillId="0" borderId="80" xfId="18443" applyNumberFormat="1" applyFont="1" applyBorder="1" applyAlignment="1">
      <alignment horizontal="center" vertical="center"/>
    </xf>
    <xf numFmtId="333" fontId="211" fillId="0" borderId="80" xfId="18444" applyFont="1" applyBorder="1" applyAlignment="1">
      <alignment horizontal="right" vertical="center"/>
    </xf>
    <xf numFmtId="0" fontId="211" fillId="0" borderId="81" xfId="18443" applyFont="1" applyBorder="1" applyAlignment="1">
      <alignment vertical="center"/>
    </xf>
    <xf numFmtId="0" fontId="211" fillId="0" borderId="82" xfId="18443" applyFont="1" applyBorder="1" applyAlignment="1">
      <alignment horizontal="center" vertical="center"/>
    </xf>
    <xf numFmtId="0" fontId="211" fillId="0" borderId="83" xfId="18443" applyFont="1" applyBorder="1" applyAlignment="1">
      <alignment horizontal="center" vertical="center"/>
    </xf>
    <xf numFmtId="0" fontId="212" fillId="0" borderId="83" xfId="3" applyFont="1" applyBorder="1" applyAlignment="1">
      <alignment horizontal="center" vertical="center"/>
    </xf>
    <xf numFmtId="1" fontId="211" fillId="0" borderId="83" xfId="18443" applyNumberFormat="1" applyFont="1" applyBorder="1" applyAlignment="1">
      <alignment horizontal="center" vertical="center"/>
    </xf>
    <xf numFmtId="333" fontId="211" fillId="0" borderId="83" xfId="18444" applyFont="1" applyBorder="1" applyAlignment="1">
      <alignment horizontal="right" vertical="center"/>
    </xf>
    <xf numFmtId="0" fontId="211" fillId="0" borderId="84" xfId="18443" quotePrefix="1" applyFont="1" applyBorder="1" applyAlignment="1">
      <alignment vertical="center"/>
    </xf>
    <xf numFmtId="0" fontId="211" fillId="0" borderId="84" xfId="18443" applyFont="1" applyBorder="1" applyAlignment="1">
      <alignment vertical="center"/>
    </xf>
    <xf numFmtId="0" fontId="206" fillId="70" borderId="83" xfId="18443" applyFont="1" applyFill="1" applyBorder="1" applyAlignment="1">
      <alignment vertical="center"/>
    </xf>
    <xf numFmtId="1" fontId="206" fillId="70" borderId="83" xfId="18443" applyNumberFormat="1" applyFont="1" applyFill="1" applyBorder="1" applyAlignment="1">
      <alignment horizontal="center" vertical="center"/>
    </xf>
    <xf numFmtId="333" fontId="206" fillId="70" borderId="83" xfId="18444" applyFont="1" applyFill="1" applyBorder="1" applyAlignment="1">
      <alignment horizontal="right" vertical="center"/>
    </xf>
    <xf numFmtId="0" fontId="206" fillId="0" borderId="83" xfId="18443" applyFont="1" applyBorder="1" applyAlignment="1">
      <alignment vertical="center"/>
    </xf>
    <xf numFmtId="0" fontId="211" fillId="0" borderId="83" xfId="18443" applyFont="1" applyBorder="1" applyAlignment="1">
      <alignment vertical="center"/>
    </xf>
    <xf numFmtId="333" fontId="206" fillId="0" borderId="83" xfId="18444" applyFont="1" applyFill="1" applyBorder="1" applyAlignment="1">
      <alignment horizontal="right" vertical="center"/>
    </xf>
    <xf numFmtId="9" fontId="206" fillId="70" borderId="83" xfId="3" applyNumberFormat="1" applyFont="1" applyFill="1" applyBorder="1" applyAlignment="1">
      <alignment horizontal="right" vertical="center"/>
    </xf>
    <xf numFmtId="1" fontId="206" fillId="70" borderId="83" xfId="7" applyNumberFormat="1" applyFont="1" applyFill="1" applyBorder="1" applyAlignment="1">
      <alignment horizontal="center" vertical="center"/>
    </xf>
    <xf numFmtId="177" fontId="206" fillId="70" borderId="83" xfId="18444" applyNumberFormat="1" applyFont="1" applyFill="1" applyBorder="1" applyAlignment="1">
      <alignment horizontal="right" vertical="center"/>
    </xf>
    <xf numFmtId="9" fontId="211" fillId="0" borderId="83" xfId="3" applyNumberFormat="1" applyFont="1" applyBorder="1" applyAlignment="1">
      <alignment horizontal="right" vertical="center"/>
    </xf>
    <xf numFmtId="1" fontId="211" fillId="0" borderId="83" xfId="7" applyNumberFormat="1" applyFont="1" applyFill="1" applyBorder="1" applyAlignment="1">
      <alignment horizontal="center" vertical="center"/>
    </xf>
    <xf numFmtId="177" fontId="206" fillId="0" borderId="83" xfId="18444" applyNumberFormat="1" applyFont="1" applyFill="1" applyBorder="1" applyAlignment="1">
      <alignment horizontal="right" vertical="center"/>
    </xf>
    <xf numFmtId="0" fontId="211" fillId="0" borderId="83" xfId="3" applyFont="1" applyBorder="1" applyAlignment="1">
      <alignment vertical="center"/>
    </xf>
    <xf numFmtId="333" fontId="211" fillId="5" borderId="83" xfId="18444" applyFont="1" applyFill="1" applyBorder="1" applyAlignment="1">
      <alignment horizontal="right" vertical="center"/>
    </xf>
    <xf numFmtId="333" fontId="213" fillId="70" borderId="0" xfId="3" applyNumberFormat="1" applyFont="1" applyFill="1" applyAlignment="1">
      <alignment vertical="center"/>
    </xf>
    <xf numFmtId="0" fontId="206" fillId="0" borderId="85" xfId="18443" applyFont="1" applyBorder="1" applyAlignment="1">
      <alignment horizontal="center" vertical="center" textRotation="255"/>
    </xf>
    <xf numFmtId="0" fontId="206" fillId="0" borderId="86" xfId="18443" applyFont="1" applyBorder="1" applyAlignment="1">
      <alignment vertical="top"/>
    </xf>
    <xf numFmtId="0" fontId="211" fillId="0" borderId="87" xfId="18443" applyFont="1" applyBorder="1" applyAlignment="1">
      <alignment vertical="center"/>
    </xf>
    <xf numFmtId="0" fontId="211" fillId="0" borderId="87" xfId="18443" applyFont="1" applyBorder="1" applyAlignment="1">
      <alignment horizontal="right" vertical="center"/>
    </xf>
    <xf numFmtId="0" fontId="211" fillId="0" borderId="88" xfId="18443" applyFont="1" applyBorder="1" applyAlignment="1">
      <alignment vertical="center"/>
    </xf>
    <xf numFmtId="0" fontId="213" fillId="0" borderId="0" xfId="8" applyFont="1"/>
    <xf numFmtId="334" fontId="211" fillId="0" borderId="84" xfId="18443" applyNumberFormat="1" applyFont="1" applyBorder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8" borderId="12" xfId="0" applyFont="1" applyFill="1" applyBorder="1">
      <alignment vertical="center"/>
    </xf>
    <xf numFmtId="0" fontId="28" fillId="8" borderId="5" xfId="0" applyFont="1" applyFill="1" applyBorder="1">
      <alignment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6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3" xfId="4" applyFont="1" applyFill="1" applyBorder="1" applyAlignment="1">
      <alignment horizontal="center" vertical="center"/>
    </xf>
    <xf numFmtId="179" fontId="17" fillId="4" borderId="3" xfId="5" applyFont="1" applyFill="1" applyBorder="1" applyAlignment="1">
      <alignment horizontal="center" vertical="center"/>
    </xf>
    <xf numFmtId="0" fontId="215" fillId="6" borderId="69" xfId="0" applyFont="1" applyFill="1" applyBorder="1" applyAlignment="1">
      <alignment horizontal="center" vertical="center"/>
    </xf>
    <xf numFmtId="0" fontId="214" fillId="7" borderId="3" xfId="0" applyFont="1" applyFill="1" applyBorder="1" applyAlignment="1">
      <alignment horizontal="center" vertical="center"/>
    </xf>
    <xf numFmtId="49" fontId="216" fillId="0" borderId="3" xfId="0" applyNumberFormat="1" applyFont="1" applyBorder="1" applyAlignment="1">
      <alignment horizontal="center" vertical="center" wrapText="1"/>
    </xf>
    <xf numFmtId="0" fontId="216" fillId="6" borderId="3" xfId="1" applyNumberFormat="1" applyFont="1" applyFill="1" applyBorder="1" applyAlignment="1">
      <alignment horizontal="center" vertical="center" wrapText="1"/>
    </xf>
    <xf numFmtId="177" fontId="217" fillId="0" borderId="3" xfId="1" applyFont="1" applyFill="1" applyBorder="1" applyAlignment="1">
      <alignment horizontal="center" vertical="center"/>
    </xf>
    <xf numFmtId="181" fontId="216" fillId="6" borderId="3" xfId="1" applyNumberFormat="1" applyFont="1" applyFill="1" applyBorder="1" applyAlignment="1">
      <alignment horizontal="center" vertical="center" wrapText="1"/>
    </xf>
    <xf numFmtId="177" fontId="216" fillId="6" borderId="3" xfId="1" applyFont="1" applyFill="1" applyBorder="1" applyAlignment="1">
      <alignment horizontal="center" vertical="center" wrapText="1"/>
    </xf>
    <xf numFmtId="177" fontId="218" fillId="0" borderId="3" xfId="1" applyFont="1" applyFill="1" applyBorder="1" applyAlignment="1">
      <alignment horizontal="center" vertical="center"/>
    </xf>
    <xf numFmtId="177" fontId="216" fillId="0" borderId="3" xfId="1" applyFont="1" applyFill="1" applyBorder="1" applyAlignment="1">
      <alignment horizontal="center" vertical="center" wrapText="1"/>
    </xf>
    <xf numFmtId="9" fontId="214" fillId="0" borderId="4" xfId="2" applyFont="1" applyBorder="1" applyAlignment="1">
      <alignment horizontal="center" vertical="center"/>
    </xf>
    <xf numFmtId="0" fontId="214" fillId="0" borderId="8" xfId="0" applyFont="1" applyBorder="1">
      <alignment vertical="center"/>
    </xf>
    <xf numFmtId="49" fontId="216" fillId="7" borderId="3" xfId="0" applyNumberFormat="1" applyFont="1" applyFill="1" applyBorder="1" applyAlignment="1">
      <alignment horizontal="center" vertical="center" wrapText="1"/>
    </xf>
    <xf numFmtId="9" fontId="218" fillId="0" borderId="4" xfId="2" applyFont="1" applyFill="1" applyBorder="1" applyAlignment="1">
      <alignment horizontal="center" vertical="center"/>
    </xf>
    <xf numFmtId="0" fontId="218" fillId="0" borderId="8" xfId="0" applyFont="1" applyBorder="1">
      <alignment vertical="center"/>
    </xf>
    <xf numFmtId="0" fontId="215" fillId="6" borderId="89" xfId="0" applyFont="1" applyFill="1" applyBorder="1" applyAlignment="1">
      <alignment horizontal="center" vertical="center"/>
    </xf>
    <xf numFmtId="0" fontId="214" fillId="7" borderId="10" xfId="0" applyFont="1" applyFill="1" applyBorder="1" applyAlignment="1">
      <alignment horizontal="center" vertical="center"/>
    </xf>
    <xf numFmtId="0" fontId="217" fillId="0" borderId="10" xfId="3" applyFont="1" applyBorder="1" applyAlignment="1">
      <alignment horizontal="center" vertical="center" shrinkToFit="1"/>
    </xf>
    <xf numFmtId="49" fontId="217" fillId="0" borderId="10" xfId="0" applyNumberFormat="1" applyFont="1" applyBorder="1" applyAlignment="1">
      <alignment horizontal="center" vertical="center" wrapText="1"/>
    </xf>
    <xf numFmtId="0" fontId="217" fillId="0" borderId="10" xfId="3" applyFont="1" applyBorder="1" applyAlignment="1">
      <alignment horizontal="center" vertical="center"/>
    </xf>
    <xf numFmtId="0" fontId="217" fillId="6" borderId="10" xfId="1" applyNumberFormat="1" applyFont="1" applyFill="1" applyBorder="1" applyAlignment="1">
      <alignment horizontal="center" vertical="center"/>
    </xf>
    <xf numFmtId="177" fontId="217" fillId="0" borderId="10" xfId="1" applyFont="1" applyFill="1" applyBorder="1" applyAlignment="1">
      <alignment horizontal="center" vertical="center"/>
    </xf>
    <xf numFmtId="181" fontId="216" fillId="6" borderId="10" xfId="1" applyNumberFormat="1" applyFont="1" applyFill="1" applyBorder="1" applyAlignment="1">
      <alignment horizontal="center" vertical="center" wrapText="1"/>
    </xf>
    <xf numFmtId="177" fontId="216" fillId="6" borderId="10" xfId="1" applyFont="1" applyFill="1" applyBorder="1" applyAlignment="1">
      <alignment horizontal="center" vertical="center" wrapText="1"/>
    </xf>
    <xf numFmtId="177" fontId="216" fillId="0" borderId="10" xfId="1" applyFont="1" applyFill="1" applyBorder="1" applyAlignment="1">
      <alignment horizontal="center" vertical="center" wrapText="1"/>
    </xf>
    <xf numFmtId="9" fontId="214" fillId="0" borderId="67" xfId="2" applyFont="1" applyBorder="1" applyAlignment="1">
      <alignment horizontal="center" vertical="center"/>
    </xf>
    <xf numFmtId="0" fontId="214" fillId="0" borderId="11" xfId="0" applyFont="1" applyBorder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4" fillId="0" borderId="0" xfId="0" applyFont="1">
      <alignment vertical="center"/>
    </xf>
    <xf numFmtId="177" fontId="214" fillId="0" borderId="0" xfId="1" applyFont="1">
      <alignment vertical="center"/>
    </xf>
    <xf numFmtId="177" fontId="215" fillId="0" borderId="0" xfId="0" applyNumberFormat="1" applyFont="1">
      <alignment vertical="center"/>
    </xf>
    <xf numFmtId="0" fontId="215" fillId="0" borderId="0" xfId="0" applyFont="1">
      <alignment vertical="center"/>
    </xf>
    <xf numFmtId="177" fontId="215" fillId="71" borderId="0" xfId="0" applyNumberFormat="1" applyFont="1" applyFill="1">
      <alignment vertical="center"/>
    </xf>
    <xf numFmtId="0" fontId="214" fillId="0" borderId="0" xfId="0" applyFont="1" applyAlignment="1">
      <alignment horizontal="center" vertical="center"/>
    </xf>
    <xf numFmtId="0" fontId="214" fillId="6" borderId="7" xfId="0" applyFont="1" applyFill="1" applyBorder="1" applyAlignment="1">
      <alignment horizontal="center" vertical="center"/>
    </xf>
    <xf numFmtId="0" fontId="214" fillId="6" borderId="9" xfId="0" applyFont="1" applyFill="1" applyBorder="1" applyAlignment="1">
      <alignment horizontal="center" vertical="center"/>
    </xf>
    <xf numFmtId="0" fontId="211" fillId="0" borderId="83" xfId="18445" applyFont="1" applyBorder="1" applyAlignment="1">
      <alignment horizontal="center" vertical="center"/>
    </xf>
    <xf numFmtId="179" fontId="211" fillId="0" borderId="83" xfId="5" applyFont="1" applyFill="1" applyBorder="1" applyAlignment="1">
      <alignment horizontal="right" vertical="center"/>
    </xf>
    <xf numFmtId="0" fontId="202" fillId="0" borderId="0" xfId="18443" applyFont="1" applyAlignment="1">
      <alignment horizontal="center" vertical="center"/>
    </xf>
    <xf numFmtId="0" fontId="206" fillId="0" borderId="4" xfId="18443" applyFont="1" applyBorder="1" applyAlignment="1">
      <alignment vertical="center"/>
    </xf>
    <xf numFmtId="0" fontId="206" fillId="0" borderId="68" xfId="18443" applyFont="1" applyBorder="1" applyAlignment="1">
      <alignment vertical="center"/>
    </xf>
    <xf numFmtId="0" fontId="206" fillId="0" borderId="69" xfId="18443" applyFont="1" applyBorder="1" applyAlignment="1">
      <alignment vertical="center"/>
    </xf>
    <xf numFmtId="0" fontId="207" fillId="0" borderId="0" xfId="18443" applyFont="1" applyAlignment="1">
      <alignment vertical="center"/>
    </xf>
    <xf numFmtId="0" fontId="205" fillId="0" borderId="0" xfId="18443" applyFont="1" applyAlignment="1">
      <alignment vertical="center"/>
    </xf>
    <xf numFmtId="0" fontId="214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8" borderId="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177" fontId="17" fillId="4" borderId="5" xfId="4" applyFont="1" applyFill="1" applyBorder="1" applyAlignment="1">
      <alignment horizontal="center" vertical="center"/>
    </xf>
    <xf numFmtId="179" fontId="17" fillId="4" borderId="5" xfId="5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5" xfId="1" applyFont="1" applyFill="1" applyBorder="1" applyAlignment="1">
      <alignment horizontal="center" vertical="center"/>
    </xf>
    <xf numFmtId="177" fontId="17" fillId="4" borderId="3" xfId="1" applyFont="1" applyFill="1" applyBorder="1" applyAlignment="1">
      <alignment horizontal="center" vertical="center"/>
    </xf>
  </cellXfs>
  <cellStyles count="18446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[0]_봉강빌딩신축공사" xfId="18444" xr:uid="{00000000-0005-0000-0000-00005D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5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봉강빌딩신축공사" xfId="18443" xr:uid="{00000000-0005-0000-0000-0000CC470000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4" zoomScale="70" zoomScaleNormal="70" workbookViewId="0">
      <selection activeCell="G31" sqref="G31"/>
    </sheetView>
  </sheetViews>
  <sheetFormatPr defaultColWidth="9" defaultRowHeight="13.5"/>
  <cols>
    <col min="1" max="1" width="9.875" style="20" customWidth="1"/>
    <col min="2" max="2" width="24.25" style="20" customWidth="1"/>
    <col min="3" max="3" width="27" style="20" customWidth="1"/>
    <col min="4" max="5" width="9" style="20"/>
    <col min="6" max="6" width="23.5" style="20" customWidth="1"/>
    <col min="7" max="7" width="44.75" style="20" customWidth="1"/>
    <col min="8" max="8" width="11.25" style="20" customWidth="1"/>
    <col min="9" max="9" width="9" style="20"/>
    <col min="10" max="16384" width="9" style="21"/>
  </cols>
  <sheetData>
    <row r="2" spans="1:9" ht="33">
      <c r="A2" s="129" t="s">
        <v>14</v>
      </c>
      <c r="B2" s="129"/>
      <c r="C2" s="129"/>
      <c r="D2" s="129"/>
      <c r="E2" s="129"/>
      <c r="F2" s="129"/>
      <c r="G2" s="129"/>
      <c r="H2" s="19"/>
    </row>
    <row r="3" spans="1:9" ht="14.25">
      <c r="A3" s="22"/>
      <c r="B3" s="22"/>
      <c r="C3" s="22"/>
      <c r="D3" s="22"/>
      <c r="E3" s="22"/>
      <c r="F3" s="22"/>
      <c r="G3" s="22"/>
      <c r="H3" s="22"/>
    </row>
    <row r="4" spans="1:9" ht="14.25">
      <c r="A4" s="22"/>
      <c r="B4" s="22"/>
      <c r="C4" s="22"/>
      <c r="D4" s="22"/>
      <c r="E4" s="22"/>
      <c r="H4" s="22"/>
    </row>
    <row r="5" spans="1:9" ht="27" customHeight="1">
      <c r="A5" s="23" t="s">
        <v>15</v>
      </c>
      <c r="B5" s="24"/>
      <c r="C5" s="25"/>
      <c r="D5" s="22"/>
      <c r="E5" s="22"/>
      <c r="F5" s="26" t="s">
        <v>16</v>
      </c>
      <c r="G5" s="27"/>
      <c r="H5" s="22"/>
    </row>
    <row r="6" spans="1:9" ht="27" customHeight="1">
      <c r="A6" s="22"/>
      <c r="B6" s="22"/>
      <c r="C6" s="22"/>
      <c r="D6" s="22"/>
      <c r="E6" s="22"/>
      <c r="F6" s="28" t="s">
        <v>17</v>
      </c>
      <c r="G6" s="29"/>
      <c r="H6" s="22"/>
    </row>
    <row r="7" spans="1:9" ht="27" customHeight="1">
      <c r="A7" s="130" t="s">
        <v>87</v>
      </c>
      <c r="B7" s="131"/>
      <c r="C7" s="132"/>
      <c r="D7" s="22"/>
      <c r="E7" s="30"/>
      <c r="F7" s="31" t="s">
        <v>18</v>
      </c>
      <c r="G7" s="29"/>
      <c r="H7" s="22"/>
    </row>
    <row r="8" spans="1:9" ht="27" customHeight="1">
      <c r="A8" s="22"/>
      <c r="B8" s="22"/>
      <c r="C8" s="22"/>
      <c r="D8" s="22"/>
      <c r="E8" s="22"/>
      <c r="F8" s="28" t="s">
        <v>19</v>
      </c>
      <c r="G8" s="29"/>
      <c r="H8" s="22"/>
    </row>
    <row r="9" spans="1:9" ht="27" customHeight="1">
      <c r="A9" s="130" t="s">
        <v>45</v>
      </c>
      <c r="B9" s="131"/>
      <c r="C9" s="132"/>
      <c r="D9" s="22"/>
      <c r="E9" s="22"/>
      <c r="F9" s="28" t="s">
        <v>20</v>
      </c>
      <c r="G9" s="29"/>
      <c r="H9" s="22"/>
    </row>
    <row r="10" spans="1:9" ht="27" customHeight="1">
      <c r="A10" s="22"/>
      <c r="B10" s="22"/>
      <c r="C10" s="22"/>
      <c r="D10" s="22"/>
      <c r="E10" s="22"/>
      <c r="F10" s="32" t="s">
        <v>21</v>
      </c>
      <c r="G10" s="33"/>
      <c r="H10" s="22"/>
      <c r="I10" s="22"/>
    </row>
    <row r="11" spans="1:9" ht="27" customHeight="1">
      <c r="A11" s="133"/>
      <c r="B11" s="134"/>
      <c r="C11" s="134"/>
      <c r="D11" s="22"/>
      <c r="E11" s="34"/>
      <c r="F11" s="35" t="s">
        <v>22</v>
      </c>
      <c r="G11" s="36"/>
      <c r="H11" s="34"/>
    </row>
    <row r="12" spans="1:9" ht="27" customHeight="1" thickBot="1">
      <c r="A12" s="37" t="s">
        <v>23</v>
      </c>
      <c r="B12" s="37" t="str">
        <f>NUMBERSTRING(F31,1)</f>
        <v>사백오십일만삼천</v>
      </c>
      <c r="C12" s="38"/>
      <c r="D12" s="39" t="s">
        <v>24</v>
      </c>
      <c r="E12" s="40" t="s">
        <v>25</v>
      </c>
      <c r="F12" s="40" t="s">
        <v>25</v>
      </c>
      <c r="G12" s="41"/>
      <c r="H12" s="42"/>
    </row>
    <row r="13" spans="1:9" ht="15.75" thickTop="1" thickBot="1">
      <c r="A13" s="22"/>
      <c r="B13" s="22"/>
      <c r="C13" s="22"/>
      <c r="D13" s="22"/>
      <c r="E13" s="22"/>
      <c r="F13" s="22"/>
      <c r="G13" s="22"/>
      <c r="H13" s="42"/>
    </row>
    <row r="14" spans="1:9" ht="33" customHeight="1" thickBot="1">
      <c r="A14" s="43" t="s">
        <v>26</v>
      </c>
      <c r="B14" s="44" t="s">
        <v>27</v>
      </c>
      <c r="C14" s="44" t="s">
        <v>28</v>
      </c>
      <c r="D14" s="44" t="s">
        <v>29</v>
      </c>
      <c r="E14" s="44" t="s">
        <v>30</v>
      </c>
      <c r="F14" s="44" t="s">
        <v>31</v>
      </c>
      <c r="G14" s="45" t="s">
        <v>32</v>
      </c>
      <c r="H14" s="42"/>
    </row>
    <row r="15" spans="1:9" ht="33" customHeight="1" thickTop="1">
      <c r="A15" s="46"/>
      <c r="B15" s="47" t="s">
        <v>33</v>
      </c>
      <c r="C15" s="48"/>
      <c r="D15" s="49"/>
      <c r="E15" s="49"/>
      <c r="F15" s="50"/>
      <c r="G15" s="51"/>
    </row>
    <row r="16" spans="1:9" ht="33" customHeight="1">
      <c r="A16" s="52"/>
      <c r="B16" s="53" t="s">
        <v>34</v>
      </c>
      <c r="C16" s="54"/>
      <c r="D16" s="55"/>
      <c r="E16" s="55"/>
      <c r="F16" s="56">
        <f>'내역서(표준단가)'!O10</f>
        <v>600000</v>
      </c>
      <c r="G16" s="57"/>
    </row>
    <row r="17" spans="1:9" ht="33" customHeight="1">
      <c r="A17" s="52"/>
      <c r="B17" s="53" t="s">
        <v>35</v>
      </c>
      <c r="C17" s="54"/>
      <c r="D17" s="55"/>
      <c r="E17" s="55"/>
      <c r="F17" s="56">
        <f>'내역서(표준단가)'!Q10</f>
        <v>2944296</v>
      </c>
      <c r="G17" s="58"/>
      <c r="H17" s="21"/>
      <c r="I17" s="21"/>
    </row>
    <row r="18" spans="1:9" ht="33" customHeight="1">
      <c r="A18" s="52"/>
      <c r="B18" s="53" t="s">
        <v>36</v>
      </c>
      <c r="C18" s="54"/>
      <c r="D18" s="55"/>
      <c r="E18" s="55"/>
      <c r="F18" s="56">
        <f>'내역서(표준단가)'!S10</f>
        <v>302000</v>
      </c>
      <c r="G18" s="58"/>
      <c r="H18" s="21"/>
      <c r="I18" s="21"/>
    </row>
    <row r="19" spans="1:9" ht="33" customHeight="1">
      <c r="A19" s="52"/>
      <c r="B19" s="59" t="s">
        <v>37</v>
      </c>
      <c r="C19" s="59"/>
      <c r="D19" s="60"/>
      <c r="E19" s="60"/>
      <c r="F19" s="61">
        <f>F16+F17+F18</f>
        <v>3846296</v>
      </c>
      <c r="G19" s="58"/>
      <c r="H19" s="21"/>
      <c r="I19" s="21"/>
    </row>
    <row r="20" spans="1:9" ht="33" customHeight="1">
      <c r="A20" s="52"/>
      <c r="B20" s="62" t="s">
        <v>38</v>
      </c>
      <c r="C20" s="63"/>
      <c r="D20" s="55"/>
      <c r="E20" s="55"/>
      <c r="F20" s="64"/>
      <c r="G20" s="58"/>
      <c r="H20" s="21"/>
      <c r="I20" s="21"/>
    </row>
    <row r="21" spans="1:9" ht="33" customHeight="1">
      <c r="A21" s="52"/>
      <c r="B21" s="127" t="s">
        <v>80</v>
      </c>
      <c r="C21" s="63" t="s">
        <v>73</v>
      </c>
      <c r="D21" s="53">
        <v>1</v>
      </c>
      <c r="E21" s="53" t="s">
        <v>39</v>
      </c>
      <c r="F21" s="128">
        <f>F17*4.5%</f>
        <v>132493.32</v>
      </c>
      <c r="G21" s="58" t="s">
        <v>40</v>
      </c>
      <c r="H21" s="21"/>
      <c r="I21" s="21"/>
    </row>
    <row r="22" spans="1:9" ht="33" customHeight="1">
      <c r="A22" s="52"/>
      <c r="B22" s="127" t="s">
        <v>81</v>
      </c>
      <c r="C22" s="63" t="s">
        <v>74</v>
      </c>
      <c r="D22" s="53">
        <v>1</v>
      </c>
      <c r="E22" s="53" t="s">
        <v>39</v>
      </c>
      <c r="F22" s="128">
        <f>F17*3.545%</f>
        <v>104375.2932</v>
      </c>
      <c r="G22" s="58" t="s">
        <v>40</v>
      </c>
      <c r="H22" s="21"/>
      <c r="I22" s="21"/>
    </row>
    <row r="23" spans="1:9" ht="33" customHeight="1">
      <c r="A23" s="52"/>
      <c r="B23" s="127" t="s">
        <v>82</v>
      </c>
      <c r="C23" s="63" t="s">
        <v>75</v>
      </c>
      <c r="D23" s="53">
        <v>1</v>
      </c>
      <c r="E23" s="53" t="s">
        <v>41</v>
      </c>
      <c r="F23" s="128">
        <f>F22*12.95%</f>
        <v>13516.6004694</v>
      </c>
      <c r="G23" s="58" t="s">
        <v>40</v>
      </c>
      <c r="H23" s="21"/>
      <c r="I23" s="21"/>
    </row>
    <row r="24" spans="1:9" ht="33" customHeight="1">
      <c r="A24" s="52"/>
      <c r="B24" s="127" t="s">
        <v>83</v>
      </c>
      <c r="C24" s="63" t="s">
        <v>76</v>
      </c>
      <c r="D24" s="53">
        <v>1</v>
      </c>
      <c r="E24" s="53" t="s">
        <v>39</v>
      </c>
      <c r="F24" s="128">
        <f>F17*1.01%</f>
        <v>29737.389599999999</v>
      </c>
      <c r="G24" s="58" t="s">
        <v>40</v>
      </c>
      <c r="H24" s="21"/>
      <c r="I24" s="21"/>
    </row>
    <row r="25" spans="1:9" ht="33" customHeight="1">
      <c r="A25" s="52"/>
      <c r="B25" s="127" t="s">
        <v>84</v>
      </c>
      <c r="C25" s="63" t="s">
        <v>77</v>
      </c>
      <c r="D25" s="53">
        <v>1</v>
      </c>
      <c r="E25" s="53" t="s">
        <v>39</v>
      </c>
      <c r="F25" s="128">
        <f>F17*3.56%</f>
        <v>104816.9376</v>
      </c>
      <c r="G25" s="58" t="s">
        <v>40</v>
      </c>
      <c r="H25" s="21"/>
      <c r="I25" s="21"/>
    </row>
    <row r="26" spans="1:9" ht="33" customHeight="1">
      <c r="A26" s="52"/>
      <c r="B26" s="127" t="s">
        <v>85</v>
      </c>
      <c r="C26" s="63" t="s">
        <v>78</v>
      </c>
      <c r="D26" s="53">
        <v>1</v>
      </c>
      <c r="E26" s="53" t="s">
        <v>39</v>
      </c>
      <c r="F26" s="128">
        <f>(F16+F17)*3.11%</f>
        <v>110227.6056</v>
      </c>
      <c r="G26" s="58" t="s">
        <v>42</v>
      </c>
      <c r="H26" s="21"/>
      <c r="I26" s="21"/>
    </row>
    <row r="27" spans="1:9" ht="33" customHeight="1">
      <c r="A27" s="52"/>
      <c r="B27" s="127" t="s">
        <v>86</v>
      </c>
      <c r="C27" s="63" t="s">
        <v>79</v>
      </c>
      <c r="D27" s="53">
        <v>1</v>
      </c>
      <c r="E27" s="53" t="s">
        <v>39</v>
      </c>
      <c r="F27" s="128">
        <f>SUM(F17+F21+F22+F23+F24+F25+F26)*5%</f>
        <v>171973.15732346999</v>
      </c>
      <c r="G27" s="58"/>
      <c r="H27" s="21"/>
      <c r="I27" s="21"/>
    </row>
    <row r="28" spans="1:9" ht="33" customHeight="1">
      <c r="A28" s="52"/>
      <c r="B28" s="59" t="s">
        <v>37</v>
      </c>
      <c r="C28" s="65"/>
      <c r="D28" s="66"/>
      <c r="E28" s="60"/>
      <c r="F28" s="67">
        <f>F21+F22+F23+F24+F25+F26+F27</f>
        <v>667140.30379287002</v>
      </c>
      <c r="G28" s="58"/>
      <c r="H28" s="21"/>
      <c r="I28" s="21"/>
    </row>
    <row r="29" spans="1:9" ht="33" customHeight="1">
      <c r="A29" s="52"/>
      <c r="B29" s="63"/>
      <c r="C29" s="68"/>
      <c r="D29" s="69"/>
      <c r="E29" s="55"/>
      <c r="F29" s="70"/>
      <c r="G29" s="58"/>
      <c r="H29" s="21"/>
      <c r="I29" s="21"/>
    </row>
    <row r="30" spans="1:9" ht="33" customHeight="1">
      <c r="A30" s="52"/>
      <c r="B30" s="71"/>
      <c r="C30" s="68"/>
      <c r="D30" s="69"/>
      <c r="E30" s="55"/>
      <c r="F30" s="72">
        <f>F19+F28+F29</f>
        <v>4513436.3037928697</v>
      </c>
      <c r="G30" s="58"/>
      <c r="H30" s="21"/>
      <c r="I30" s="21"/>
    </row>
    <row r="31" spans="1:9" ht="33" customHeight="1">
      <c r="A31" s="52"/>
      <c r="B31" s="59" t="s">
        <v>43</v>
      </c>
      <c r="C31" s="59"/>
      <c r="D31" s="60"/>
      <c r="E31" s="60"/>
      <c r="F31" s="73">
        <f>ROUNDDOWN(F30,-3)</f>
        <v>4513000</v>
      </c>
      <c r="G31" s="80"/>
      <c r="H31" s="21"/>
      <c r="I31" s="21"/>
    </row>
    <row r="32" spans="1:9" ht="33" customHeight="1" thickBot="1">
      <c r="A32" s="74"/>
      <c r="B32" s="75" t="s">
        <v>44</v>
      </c>
      <c r="C32" s="76"/>
      <c r="D32" s="76"/>
      <c r="E32" s="76"/>
      <c r="F32" s="77"/>
      <c r="G32" s="78"/>
      <c r="H32" s="21"/>
      <c r="I32" s="21"/>
    </row>
    <row r="33" spans="2:2" s="21" customFormat="1" ht="15.75">
      <c r="B33" s="79"/>
    </row>
    <row r="34" spans="2:2" s="21" customFormat="1" ht="15.75">
      <c r="B34" s="79"/>
    </row>
  </sheetData>
  <mergeCells count="4">
    <mergeCell ref="A2:G2"/>
    <mergeCell ref="A7:C7"/>
    <mergeCell ref="A9:C9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81"/>
      <c r="C1" s="81"/>
      <c r="D1" s="81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137"/>
      <c r="B2" s="137"/>
      <c r="C2" s="137"/>
      <c r="D2" s="137"/>
      <c r="E2" s="137"/>
      <c r="F2" s="137"/>
      <c r="G2" s="137"/>
      <c r="H2" s="137"/>
      <c r="M2" s="6"/>
      <c r="N2" s="6"/>
      <c r="O2" s="2"/>
      <c r="Q2" s="2"/>
      <c r="S2" s="2"/>
      <c r="U2" s="2"/>
    </row>
    <row r="3" spans="1:24" ht="18.600000000000001" customHeight="1">
      <c r="A3" s="83"/>
      <c r="B3" s="83"/>
      <c r="C3" s="83"/>
      <c r="D3" s="83"/>
      <c r="E3" s="83" t="s">
        <v>55</v>
      </c>
      <c r="F3" s="84"/>
      <c r="G3" s="84"/>
      <c r="H3" s="84"/>
      <c r="I3" s="144" t="s">
        <v>10</v>
      </c>
      <c r="J3" s="144"/>
      <c r="K3" s="144" t="s">
        <v>6</v>
      </c>
      <c r="L3" s="146" t="s">
        <v>5</v>
      </c>
      <c r="M3" s="140" t="s">
        <v>56</v>
      </c>
      <c r="N3" s="140"/>
      <c r="O3" s="140"/>
      <c r="P3" s="140" t="s">
        <v>57</v>
      </c>
      <c r="Q3" s="140"/>
      <c r="R3" s="141" t="s">
        <v>58</v>
      </c>
      <c r="S3" s="141"/>
      <c r="T3" s="141" t="s">
        <v>59</v>
      </c>
      <c r="U3" s="141"/>
      <c r="V3" s="142" t="s">
        <v>60</v>
      </c>
      <c r="W3" s="138" t="s">
        <v>61</v>
      </c>
      <c r="X3" s="135" t="s">
        <v>11</v>
      </c>
    </row>
    <row r="4" spans="1:24" ht="18.600000000000001" customHeight="1">
      <c r="A4" s="85"/>
      <c r="B4" s="86"/>
      <c r="C4" s="86"/>
      <c r="D4" s="86"/>
      <c r="E4" s="87" t="s">
        <v>62</v>
      </c>
      <c r="F4" s="87" t="s">
        <v>63</v>
      </c>
      <c r="G4" s="87" t="s">
        <v>64</v>
      </c>
      <c r="H4" s="87" t="s">
        <v>65</v>
      </c>
      <c r="I4" s="88" t="s">
        <v>66</v>
      </c>
      <c r="J4" s="88" t="s">
        <v>67</v>
      </c>
      <c r="K4" s="145"/>
      <c r="L4" s="147"/>
      <c r="M4" s="89" t="s">
        <v>68</v>
      </c>
      <c r="N4" s="89" t="s">
        <v>64</v>
      </c>
      <c r="O4" s="90" t="s">
        <v>69</v>
      </c>
      <c r="P4" s="89" t="s">
        <v>70</v>
      </c>
      <c r="Q4" s="90" t="s">
        <v>69</v>
      </c>
      <c r="R4" s="90" t="s">
        <v>71</v>
      </c>
      <c r="S4" s="90" t="s">
        <v>69</v>
      </c>
      <c r="T4" s="90" t="s">
        <v>71</v>
      </c>
      <c r="U4" s="90" t="s">
        <v>69</v>
      </c>
      <c r="V4" s="143"/>
      <c r="W4" s="139"/>
      <c r="X4" s="136"/>
    </row>
    <row r="5" spans="1:24" ht="33" customHeight="1">
      <c r="A5" s="125" t="str">
        <f t="shared" ref="A5:A7" si="1">E5&amp;F5&amp;G5&amp;H5</f>
        <v>L039</v>
      </c>
      <c r="B5" s="91"/>
      <c r="C5" s="91"/>
      <c r="D5" s="91"/>
      <c r="E5" s="92"/>
      <c r="F5" s="92"/>
      <c r="G5" s="92"/>
      <c r="H5" s="92" t="s">
        <v>13</v>
      </c>
      <c r="I5" s="93" t="s">
        <v>47</v>
      </c>
      <c r="J5" s="93" t="s">
        <v>46</v>
      </c>
      <c r="K5" s="93" t="s">
        <v>53</v>
      </c>
      <c r="L5" s="94">
        <v>7</v>
      </c>
      <c r="M5" s="95"/>
      <c r="N5" s="95"/>
      <c r="O5" s="96">
        <f>ROUND(SUM(M5:N5)*L5*$O$2,0)</f>
        <v>0</v>
      </c>
      <c r="P5" s="95">
        <v>229664</v>
      </c>
      <c r="Q5" s="97">
        <f>ROUND((P5*L5),0)</f>
        <v>1607648</v>
      </c>
      <c r="R5" s="95"/>
      <c r="S5" s="97">
        <f>ROUND(R5*L5*$S$2,0)</f>
        <v>0</v>
      </c>
      <c r="T5" s="98"/>
      <c r="U5" s="97">
        <f>ROUND(T5*L5*$U$2,0)</f>
        <v>0</v>
      </c>
      <c r="V5" s="99">
        <f>SUM(O5+Q5)+S5+U5</f>
        <v>1607648</v>
      </c>
      <c r="W5" s="100"/>
      <c r="X5" s="101"/>
    </row>
    <row r="6" spans="1:24" ht="33" customHeight="1">
      <c r="A6" s="125" t="str">
        <f t="shared" si="1"/>
        <v>L002</v>
      </c>
      <c r="B6" s="91"/>
      <c r="C6" s="91"/>
      <c r="D6" s="91"/>
      <c r="E6" s="102"/>
      <c r="F6" s="102"/>
      <c r="G6" s="102"/>
      <c r="H6" s="102" t="s">
        <v>12</v>
      </c>
      <c r="I6" s="93" t="s">
        <v>47</v>
      </c>
      <c r="J6" s="93" t="s">
        <v>49</v>
      </c>
      <c r="K6" s="93" t="s">
        <v>53</v>
      </c>
      <c r="L6" s="94">
        <v>5</v>
      </c>
      <c r="M6" s="99"/>
      <c r="N6" s="99"/>
      <c r="O6" s="96">
        <f>ROUND(SUM(M6:N6)*L6*$O$2,0)</f>
        <v>0</v>
      </c>
      <c r="P6" s="95">
        <v>167081</v>
      </c>
      <c r="Q6" s="97">
        <f>ROUND((P6*L6),0)</f>
        <v>835405</v>
      </c>
      <c r="R6" s="99"/>
      <c r="S6" s="97">
        <f>ROUND(R6*L6*$S$2,0)</f>
        <v>0</v>
      </c>
      <c r="T6" s="99"/>
      <c r="U6" s="97">
        <f t="shared" ref="U6:U7" si="2">ROUND(T6*L6*$U$2,0)</f>
        <v>0</v>
      </c>
      <c r="V6" s="99">
        <f>SUM(O6+Q6)+S6+U6</f>
        <v>835405</v>
      </c>
      <c r="W6" s="100"/>
      <c r="X6" s="101"/>
    </row>
    <row r="7" spans="1:24" ht="33" customHeight="1">
      <c r="A7" s="125" t="str">
        <f t="shared" si="1"/>
        <v>L002</v>
      </c>
      <c r="B7" s="91"/>
      <c r="C7" s="91"/>
      <c r="D7" s="91"/>
      <c r="E7" s="102"/>
      <c r="F7" s="102"/>
      <c r="G7" s="102"/>
      <c r="H7" s="102" t="s">
        <v>12</v>
      </c>
      <c r="I7" s="93" t="s">
        <v>47</v>
      </c>
      <c r="J7" s="93" t="s">
        <v>72</v>
      </c>
      <c r="K7" s="93" t="s">
        <v>53</v>
      </c>
      <c r="L7" s="94">
        <v>3</v>
      </c>
      <c r="M7" s="99"/>
      <c r="N7" s="99"/>
      <c r="O7" s="96"/>
      <c r="P7" s="95">
        <v>167081</v>
      </c>
      <c r="Q7" s="97">
        <f>ROUND((P7*L7),0)</f>
        <v>501243</v>
      </c>
      <c r="R7" s="99"/>
      <c r="S7" s="97"/>
      <c r="T7" s="99"/>
      <c r="U7" s="97">
        <f t="shared" si="2"/>
        <v>0</v>
      </c>
      <c r="V7" s="99">
        <f>SUM(O7+Q7)+S7+U7</f>
        <v>501243</v>
      </c>
      <c r="W7" s="100"/>
      <c r="X7" s="101"/>
    </row>
    <row r="8" spans="1:24" ht="33" customHeight="1">
      <c r="A8" s="125">
        <v>999999</v>
      </c>
      <c r="B8" s="91"/>
      <c r="C8" s="91"/>
      <c r="D8" s="91"/>
      <c r="E8" s="102"/>
      <c r="F8" s="102"/>
      <c r="G8" s="102"/>
      <c r="H8" s="102"/>
      <c r="I8" s="93" t="s">
        <v>50</v>
      </c>
      <c r="J8" s="93" t="s">
        <v>48</v>
      </c>
      <c r="K8" s="93" t="s">
        <v>53</v>
      </c>
      <c r="L8" s="94">
        <v>1</v>
      </c>
      <c r="M8" s="99"/>
      <c r="N8" s="99">
        <v>600000</v>
      </c>
      <c r="O8" s="96">
        <f>N8*L8</f>
        <v>600000</v>
      </c>
      <c r="P8" s="99"/>
      <c r="Q8" s="97">
        <f>ROUND((P8*L8)*$Q$2,0)</f>
        <v>0</v>
      </c>
      <c r="R8" s="99"/>
      <c r="S8" s="97">
        <f t="shared" ref="S8" si="3">ROUND(R8*L8*$S$2,0)</f>
        <v>0</v>
      </c>
      <c r="T8" s="99"/>
      <c r="U8" s="97">
        <f>ROUND(T8*L8,0)</f>
        <v>0</v>
      </c>
      <c r="V8" s="99">
        <f t="shared" ref="V8" si="4">SUM(O8+Q8)+S8+U8</f>
        <v>600000</v>
      </c>
      <c r="W8" s="103"/>
      <c r="X8" s="104"/>
    </row>
    <row r="9" spans="1:24" ht="33" customHeight="1" thickBot="1">
      <c r="A9" s="126">
        <f>999999</f>
        <v>999999</v>
      </c>
      <c r="B9" s="105"/>
      <c r="C9" s="105"/>
      <c r="D9" s="105"/>
      <c r="E9" s="106"/>
      <c r="F9" s="106"/>
      <c r="G9" s="106"/>
      <c r="H9" s="106"/>
      <c r="I9" s="107" t="s">
        <v>51</v>
      </c>
      <c r="J9" s="108" t="s">
        <v>52</v>
      </c>
      <c r="K9" s="109" t="s">
        <v>54</v>
      </c>
      <c r="L9" s="110">
        <v>1</v>
      </c>
      <c r="M9" s="111"/>
      <c r="N9" s="111"/>
      <c r="O9" s="112">
        <f t="shared" ref="O9" si="5">ROUND(SUM(M9:N9)*L9*$O$2,0)</f>
        <v>0</v>
      </c>
      <c r="P9" s="111"/>
      <c r="Q9" s="113">
        <f t="shared" ref="Q9" si="6">ROUND((P9*L9)*$Q$2,0)</f>
        <v>0</v>
      </c>
      <c r="R9" s="111">
        <v>302000</v>
      </c>
      <c r="S9" s="113">
        <f>R9*L9</f>
        <v>302000</v>
      </c>
      <c r="T9" s="111"/>
      <c r="U9" s="113">
        <f t="shared" ref="U9" si="7">ROUND(T9*L9*$U$2,0)</f>
        <v>0</v>
      </c>
      <c r="V9" s="114">
        <f t="shared" ref="V9" si="8">SUM(O9+Q9)+S9+U9</f>
        <v>302000</v>
      </c>
      <c r="W9" s="115"/>
      <c r="X9" s="116"/>
    </row>
    <row r="10" spans="1:24" ht="21" customHeight="1">
      <c r="A10" s="117" t="str">
        <f t="shared" ref="A10:A55" si="9">E10&amp;F10&amp;G10&amp;H10</f>
        <v/>
      </c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20"/>
      <c r="M10" s="119"/>
      <c r="N10" s="119"/>
      <c r="O10" s="123">
        <f>SUM(O5:O9)</f>
        <v>600000</v>
      </c>
      <c r="P10" s="122"/>
      <c r="Q10" s="123">
        <f>SUM(Q5:Q9)</f>
        <v>2944296</v>
      </c>
      <c r="R10" s="122"/>
      <c r="S10" s="123">
        <f>SUM(S5:S9)</f>
        <v>302000</v>
      </c>
      <c r="T10" s="122"/>
      <c r="U10" s="123">
        <f>SUM(U5:U9)</f>
        <v>0</v>
      </c>
      <c r="V10" s="121">
        <f>SUM(O10+Q10)+S10+U10</f>
        <v>3846296</v>
      </c>
      <c r="W10" s="124"/>
      <c r="X10" s="119"/>
    </row>
    <row r="11" spans="1:24" ht="33" customHeight="1">
      <c r="A11" s="18" t="str">
        <f t="shared" si="9"/>
        <v/>
      </c>
      <c r="B11" s="82"/>
      <c r="C11" s="82"/>
      <c r="D11" s="82"/>
      <c r="Q11" s="16"/>
    </row>
    <row r="12" spans="1:24" ht="33" customHeight="1">
      <c r="A12" s="18" t="str">
        <f t="shared" si="9"/>
        <v/>
      </c>
      <c r="B12" s="82"/>
      <c r="C12" s="82"/>
      <c r="D12" s="82"/>
      <c r="J12" s="17"/>
      <c r="Q12" s="12"/>
    </row>
    <row r="13" spans="1:24" ht="33" customHeight="1">
      <c r="A13" s="18" t="str">
        <f t="shared" si="9"/>
        <v/>
      </c>
      <c r="B13" s="82"/>
      <c r="C13" s="82"/>
      <c r="D13" s="82"/>
    </row>
    <row r="14" spans="1:24" ht="33" customHeight="1">
      <c r="A14" s="18" t="str">
        <f t="shared" si="9"/>
        <v/>
      </c>
      <c r="B14" s="82"/>
      <c r="C14" s="82"/>
      <c r="D14" s="82"/>
    </row>
    <row r="15" spans="1:24" ht="33" customHeight="1">
      <c r="A15" s="18" t="str">
        <f t="shared" si="9"/>
        <v/>
      </c>
      <c r="B15" s="82"/>
      <c r="C15" s="82"/>
      <c r="D15" s="82"/>
    </row>
    <row r="16" spans="1:24" ht="33" customHeight="1">
      <c r="A16" s="18" t="str">
        <f t="shared" si="9"/>
        <v/>
      </c>
      <c r="B16" s="82"/>
      <c r="C16" s="82"/>
      <c r="D16" s="82"/>
    </row>
    <row r="17" spans="1:4" ht="33" customHeight="1">
      <c r="A17" s="18" t="str">
        <f t="shared" si="9"/>
        <v/>
      </c>
      <c r="B17" s="82"/>
      <c r="C17" s="82"/>
      <c r="D17" s="82"/>
    </row>
    <row r="18" spans="1:4" ht="33" customHeight="1">
      <c r="A18" s="18" t="str">
        <f t="shared" si="9"/>
        <v/>
      </c>
      <c r="B18" s="82"/>
      <c r="C18" s="82"/>
      <c r="D18" s="82"/>
    </row>
    <row r="19" spans="1:4" ht="33" customHeight="1">
      <c r="A19" s="18" t="str">
        <f t="shared" si="9"/>
        <v/>
      </c>
      <c r="B19" s="82"/>
      <c r="C19" s="82"/>
      <c r="D19" s="82"/>
    </row>
    <row r="20" spans="1:4" ht="33" customHeight="1">
      <c r="A20" s="18" t="str">
        <f t="shared" si="9"/>
        <v/>
      </c>
      <c r="B20" s="82"/>
      <c r="C20" s="82"/>
      <c r="D20" s="82"/>
    </row>
    <row r="21" spans="1:4" ht="33" customHeight="1">
      <c r="A21" s="18" t="str">
        <f t="shared" si="9"/>
        <v/>
      </c>
      <c r="B21" s="82"/>
      <c r="C21" s="82"/>
      <c r="D21" s="82"/>
    </row>
    <row r="22" spans="1:4" ht="33" customHeight="1">
      <c r="A22" s="18" t="str">
        <f t="shared" si="9"/>
        <v/>
      </c>
      <c r="B22" s="82"/>
      <c r="C22" s="82"/>
      <c r="D22" s="82"/>
    </row>
    <row r="23" spans="1:4" ht="33" customHeight="1">
      <c r="A23" s="18" t="str">
        <f t="shared" si="9"/>
        <v/>
      </c>
      <c r="B23" s="82"/>
      <c r="C23" s="82"/>
      <c r="D23" s="82"/>
    </row>
    <row r="24" spans="1:4" ht="33" customHeight="1">
      <c r="A24" s="18" t="str">
        <f t="shared" si="9"/>
        <v/>
      </c>
      <c r="B24" s="82"/>
      <c r="C24" s="82"/>
      <c r="D24" s="82"/>
    </row>
    <row r="25" spans="1:4" ht="33" customHeight="1">
      <c r="A25" s="18" t="str">
        <f t="shared" si="9"/>
        <v/>
      </c>
      <c r="B25" s="82"/>
      <c r="C25" s="82"/>
      <c r="D25" s="82"/>
    </row>
    <row r="26" spans="1:4" ht="33" customHeight="1">
      <c r="A26" s="18" t="str">
        <f t="shared" si="9"/>
        <v/>
      </c>
      <c r="B26" s="82"/>
      <c r="C26" s="82"/>
      <c r="D26" s="82"/>
    </row>
    <row r="27" spans="1:4" ht="33" customHeight="1">
      <c r="A27" s="18" t="str">
        <f t="shared" si="9"/>
        <v/>
      </c>
      <c r="B27" s="82"/>
      <c r="C27" s="82"/>
      <c r="D27" s="82"/>
    </row>
    <row r="28" spans="1:4" ht="33" customHeight="1">
      <c r="A28" s="18" t="str">
        <f t="shared" si="9"/>
        <v/>
      </c>
      <c r="B28" s="82"/>
      <c r="C28" s="82"/>
      <c r="D28" s="82"/>
    </row>
    <row r="29" spans="1:4" ht="33" customHeight="1">
      <c r="A29" s="18" t="str">
        <f t="shared" si="9"/>
        <v/>
      </c>
      <c r="B29" s="82"/>
      <c r="C29" s="82"/>
      <c r="D29" s="82"/>
    </row>
    <row r="30" spans="1:4" ht="33" customHeight="1">
      <c r="A30" s="18" t="str">
        <f t="shared" si="9"/>
        <v/>
      </c>
      <c r="B30" s="82"/>
      <c r="C30" s="82"/>
      <c r="D30" s="82"/>
    </row>
    <row r="31" spans="1:4" ht="33" customHeight="1">
      <c r="A31" s="18" t="str">
        <f t="shared" si="9"/>
        <v/>
      </c>
      <c r="B31" s="82"/>
      <c r="C31" s="82"/>
      <c r="D31" s="82"/>
    </row>
    <row r="32" spans="1:4" ht="33" customHeight="1">
      <c r="A32" s="18" t="str">
        <f t="shared" si="9"/>
        <v/>
      </c>
      <c r="B32" s="82"/>
      <c r="C32" s="82"/>
      <c r="D32" s="82"/>
    </row>
    <row r="33" spans="1:4" ht="33" customHeight="1">
      <c r="A33" s="18" t="str">
        <f t="shared" si="9"/>
        <v/>
      </c>
      <c r="B33" s="82"/>
      <c r="C33" s="82"/>
      <c r="D33" s="82"/>
    </row>
    <row r="34" spans="1:4" ht="33" customHeight="1">
      <c r="A34" s="18" t="str">
        <f t="shared" si="9"/>
        <v/>
      </c>
      <c r="B34" s="82"/>
      <c r="C34" s="82"/>
      <c r="D34" s="82"/>
    </row>
    <row r="35" spans="1:4" ht="33" customHeight="1">
      <c r="A35" s="18" t="str">
        <f t="shared" si="9"/>
        <v/>
      </c>
      <c r="B35" s="82"/>
      <c r="C35" s="82"/>
      <c r="D35" s="82"/>
    </row>
    <row r="36" spans="1:4" ht="33" customHeight="1">
      <c r="A36" s="18" t="str">
        <f t="shared" si="9"/>
        <v/>
      </c>
      <c r="B36" s="82"/>
      <c r="C36" s="82"/>
      <c r="D36" s="82"/>
    </row>
    <row r="37" spans="1:4" ht="33" customHeight="1">
      <c r="A37" s="18" t="str">
        <f t="shared" si="9"/>
        <v/>
      </c>
      <c r="B37" s="82"/>
      <c r="C37" s="82"/>
      <c r="D37" s="82"/>
    </row>
    <row r="38" spans="1:4" ht="33" customHeight="1">
      <c r="A38" s="18" t="str">
        <f t="shared" si="9"/>
        <v/>
      </c>
      <c r="B38" s="82"/>
      <c r="C38" s="82"/>
      <c r="D38" s="82"/>
    </row>
    <row r="39" spans="1:4" ht="33" customHeight="1">
      <c r="A39" s="18" t="str">
        <f t="shared" si="9"/>
        <v/>
      </c>
      <c r="B39" s="82"/>
      <c r="C39" s="82"/>
      <c r="D39" s="82"/>
    </row>
    <row r="40" spans="1:4" ht="33" customHeight="1">
      <c r="A40" s="18" t="str">
        <f t="shared" si="9"/>
        <v/>
      </c>
      <c r="B40" s="82"/>
      <c r="C40" s="82"/>
      <c r="D40" s="82"/>
    </row>
    <row r="41" spans="1:4" ht="33" customHeight="1">
      <c r="A41" s="18" t="str">
        <f t="shared" si="9"/>
        <v/>
      </c>
      <c r="B41" s="82"/>
      <c r="C41" s="82"/>
      <c r="D41" s="82"/>
    </row>
    <row r="42" spans="1:4" ht="33" customHeight="1">
      <c r="A42" s="18" t="str">
        <f t="shared" si="9"/>
        <v/>
      </c>
      <c r="B42" s="82"/>
      <c r="C42" s="82"/>
      <c r="D42" s="82"/>
    </row>
    <row r="43" spans="1:4" ht="33" customHeight="1">
      <c r="A43" s="18" t="str">
        <f t="shared" si="9"/>
        <v/>
      </c>
      <c r="B43" s="82"/>
      <c r="C43" s="82"/>
      <c r="D43" s="82"/>
    </row>
    <row r="44" spans="1:4" ht="33" customHeight="1">
      <c r="A44" s="18" t="str">
        <f t="shared" si="9"/>
        <v/>
      </c>
      <c r="B44" s="82"/>
      <c r="C44" s="82"/>
      <c r="D44" s="82"/>
    </row>
    <row r="45" spans="1:4" ht="33" customHeight="1">
      <c r="A45" s="18" t="str">
        <f t="shared" si="9"/>
        <v/>
      </c>
      <c r="B45" s="82"/>
      <c r="C45" s="82"/>
      <c r="D45" s="82"/>
    </row>
    <row r="46" spans="1:4" ht="33" customHeight="1">
      <c r="A46" s="18" t="str">
        <f t="shared" si="9"/>
        <v/>
      </c>
      <c r="B46" s="82"/>
      <c r="C46" s="82"/>
      <c r="D46" s="82"/>
    </row>
    <row r="47" spans="1:4" ht="33" customHeight="1">
      <c r="A47" s="18" t="str">
        <f t="shared" si="9"/>
        <v/>
      </c>
      <c r="B47" s="82"/>
      <c r="C47" s="82"/>
      <c r="D47" s="82"/>
    </row>
    <row r="48" spans="1:4" ht="33" customHeight="1">
      <c r="A48" s="18" t="str">
        <f t="shared" si="9"/>
        <v/>
      </c>
      <c r="B48" s="82"/>
      <c r="C48" s="82"/>
      <c r="D48" s="82"/>
    </row>
    <row r="49" spans="1:4" ht="33" customHeight="1">
      <c r="A49" s="18" t="str">
        <f t="shared" si="9"/>
        <v/>
      </c>
      <c r="B49" s="82"/>
      <c r="C49" s="82"/>
      <c r="D49" s="82"/>
    </row>
    <row r="50" spans="1:4" ht="33" customHeight="1">
      <c r="A50" s="18" t="str">
        <f t="shared" si="9"/>
        <v/>
      </c>
      <c r="B50" s="82"/>
      <c r="C50" s="82"/>
      <c r="D50" s="82"/>
    </row>
    <row r="51" spans="1:4" ht="33" customHeight="1">
      <c r="A51" s="18" t="str">
        <f t="shared" si="9"/>
        <v/>
      </c>
      <c r="B51" s="82"/>
      <c r="C51" s="82"/>
      <c r="D51" s="82"/>
    </row>
    <row r="52" spans="1:4" ht="33" customHeight="1">
      <c r="A52" s="18" t="str">
        <f t="shared" si="9"/>
        <v/>
      </c>
      <c r="B52" s="82"/>
      <c r="C52" s="82"/>
      <c r="D52" s="82"/>
    </row>
    <row r="53" spans="1:4" ht="33" customHeight="1">
      <c r="A53" s="18" t="str">
        <f t="shared" si="9"/>
        <v/>
      </c>
      <c r="B53" s="82"/>
      <c r="C53" s="82"/>
      <c r="D53" s="82"/>
    </row>
    <row r="54" spans="1:4" ht="33" customHeight="1">
      <c r="A54" s="18" t="str">
        <f t="shared" si="9"/>
        <v/>
      </c>
      <c r="B54" s="82"/>
      <c r="C54" s="82"/>
      <c r="D54" s="82"/>
    </row>
    <row r="55" spans="1:4" ht="33" customHeight="1">
      <c r="A55" s="18" t="str">
        <f t="shared" si="9"/>
        <v/>
      </c>
      <c r="B55" s="82"/>
      <c r="C55" s="82"/>
      <c r="D55" s="82"/>
    </row>
    <row r="56" spans="1:4" ht="33" customHeight="1">
      <c r="A56" s="18" t="str">
        <f t="shared" ref="A56:A91" si="10">E56&amp;F56&amp;G56&amp;H56</f>
        <v/>
      </c>
      <c r="B56" s="82"/>
      <c r="C56" s="82"/>
      <c r="D56" s="82"/>
    </row>
    <row r="57" spans="1:4" ht="33" customHeight="1">
      <c r="A57" s="18" t="str">
        <f t="shared" si="10"/>
        <v/>
      </c>
      <c r="B57" s="82"/>
      <c r="C57" s="82"/>
      <c r="D57" s="82"/>
    </row>
    <row r="58" spans="1:4" ht="33" customHeight="1">
      <c r="A58" s="18" t="str">
        <f t="shared" si="10"/>
        <v/>
      </c>
      <c r="B58" s="82"/>
      <c r="C58" s="82"/>
      <c r="D58" s="82"/>
    </row>
    <row r="59" spans="1:4" ht="33" customHeight="1">
      <c r="A59" s="18" t="str">
        <f t="shared" si="10"/>
        <v/>
      </c>
      <c r="B59" s="82"/>
      <c r="C59" s="82"/>
      <c r="D59" s="82"/>
    </row>
    <row r="60" spans="1:4" ht="33" customHeight="1">
      <c r="A60" s="18" t="str">
        <f t="shared" si="10"/>
        <v/>
      </c>
      <c r="B60" s="82"/>
      <c r="C60" s="82"/>
      <c r="D60" s="82"/>
    </row>
    <row r="61" spans="1:4" ht="33" customHeight="1">
      <c r="A61" s="18" t="str">
        <f t="shared" si="10"/>
        <v/>
      </c>
      <c r="B61" s="82"/>
      <c r="C61" s="82"/>
      <c r="D61" s="82"/>
    </row>
    <row r="62" spans="1:4" ht="33" customHeight="1">
      <c r="A62" s="18" t="str">
        <f t="shared" si="10"/>
        <v/>
      </c>
      <c r="B62" s="82"/>
      <c r="C62" s="82"/>
      <c r="D62" s="82"/>
    </row>
    <row r="63" spans="1:4" ht="33" customHeight="1">
      <c r="A63" s="18" t="str">
        <f t="shared" si="10"/>
        <v/>
      </c>
      <c r="B63" s="82"/>
      <c r="C63" s="82"/>
      <c r="D63" s="82"/>
    </row>
    <row r="64" spans="1:4" ht="33" customHeight="1">
      <c r="A64" s="18" t="str">
        <f t="shared" si="10"/>
        <v/>
      </c>
      <c r="B64" s="82"/>
      <c r="C64" s="82"/>
      <c r="D64" s="82"/>
    </row>
    <row r="65" spans="1:4" ht="33" customHeight="1">
      <c r="A65" s="18" t="str">
        <f t="shared" si="10"/>
        <v/>
      </c>
      <c r="B65" s="82"/>
      <c r="C65" s="82"/>
      <c r="D65" s="82"/>
    </row>
    <row r="66" spans="1:4" ht="33" customHeight="1">
      <c r="A66" s="18" t="str">
        <f t="shared" si="10"/>
        <v/>
      </c>
      <c r="B66" s="82"/>
      <c r="C66" s="82"/>
      <c r="D66" s="82"/>
    </row>
    <row r="67" spans="1:4" ht="33" customHeight="1">
      <c r="A67" s="18" t="str">
        <f t="shared" si="10"/>
        <v/>
      </c>
      <c r="B67" s="82"/>
      <c r="C67" s="82"/>
      <c r="D67" s="82"/>
    </row>
    <row r="68" spans="1:4" ht="33" customHeight="1">
      <c r="A68" s="18" t="str">
        <f t="shared" si="10"/>
        <v/>
      </c>
      <c r="B68" s="82"/>
      <c r="C68" s="82"/>
      <c r="D68" s="82"/>
    </row>
    <row r="69" spans="1:4" ht="33" customHeight="1">
      <c r="A69" s="18" t="str">
        <f t="shared" si="10"/>
        <v/>
      </c>
      <c r="B69" s="82"/>
      <c r="C69" s="82"/>
      <c r="D69" s="82"/>
    </row>
    <row r="70" spans="1:4" ht="33" customHeight="1">
      <c r="A70" s="18" t="str">
        <f t="shared" si="10"/>
        <v/>
      </c>
      <c r="B70" s="82"/>
      <c r="C70" s="82"/>
      <c r="D70" s="82"/>
    </row>
    <row r="71" spans="1:4" ht="33" customHeight="1">
      <c r="A71" s="18" t="str">
        <f t="shared" si="10"/>
        <v/>
      </c>
      <c r="B71" s="82"/>
      <c r="C71" s="82"/>
      <c r="D71" s="82"/>
    </row>
    <row r="72" spans="1:4" ht="33" customHeight="1">
      <c r="A72" s="18" t="str">
        <f t="shared" si="10"/>
        <v/>
      </c>
      <c r="B72" s="82"/>
      <c r="C72" s="82"/>
      <c r="D72" s="82"/>
    </row>
    <row r="73" spans="1:4" ht="33" customHeight="1">
      <c r="A73" s="18" t="str">
        <f t="shared" si="10"/>
        <v/>
      </c>
      <c r="B73" s="82"/>
      <c r="C73" s="82"/>
      <c r="D73" s="82"/>
    </row>
    <row r="74" spans="1:4" ht="33" customHeight="1">
      <c r="A74" s="18" t="str">
        <f t="shared" si="10"/>
        <v/>
      </c>
      <c r="B74" s="82"/>
      <c r="C74" s="82"/>
      <c r="D74" s="82"/>
    </row>
    <row r="75" spans="1:4" ht="33" customHeight="1">
      <c r="A75" s="18" t="str">
        <f t="shared" si="10"/>
        <v/>
      </c>
      <c r="B75" s="82"/>
      <c r="C75" s="82"/>
      <c r="D75" s="82"/>
    </row>
    <row r="76" spans="1:4" ht="33" customHeight="1">
      <c r="A76" s="18" t="str">
        <f t="shared" si="10"/>
        <v/>
      </c>
      <c r="B76" s="82"/>
      <c r="C76" s="82"/>
      <c r="D76" s="82"/>
    </row>
    <row r="77" spans="1:4" ht="33" customHeight="1">
      <c r="A77" s="18" t="str">
        <f t="shared" si="10"/>
        <v/>
      </c>
      <c r="B77" s="82"/>
      <c r="C77" s="82"/>
      <c r="D77" s="82"/>
    </row>
    <row r="78" spans="1:4" ht="33" customHeight="1">
      <c r="A78" s="18" t="str">
        <f t="shared" si="10"/>
        <v/>
      </c>
      <c r="B78" s="82"/>
      <c r="C78" s="82"/>
      <c r="D78" s="82"/>
    </row>
    <row r="79" spans="1:4" ht="33" customHeight="1">
      <c r="A79" s="18" t="str">
        <f t="shared" si="10"/>
        <v/>
      </c>
      <c r="B79" s="82"/>
      <c r="C79" s="82"/>
      <c r="D79" s="82"/>
    </row>
    <row r="80" spans="1:4" ht="33" customHeight="1">
      <c r="A80" s="18" t="str">
        <f t="shared" si="10"/>
        <v/>
      </c>
      <c r="B80" s="82"/>
      <c r="C80" s="82"/>
      <c r="D80" s="82"/>
    </row>
    <row r="81" spans="1:4" ht="33" customHeight="1">
      <c r="A81" s="18" t="str">
        <f t="shared" si="10"/>
        <v/>
      </c>
      <c r="B81" s="82"/>
      <c r="C81" s="82"/>
      <c r="D81" s="82"/>
    </row>
    <row r="82" spans="1:4" ht="33" customHeight="1">
      <c r="A82" s="18" t="str">
        <f t="shared" si="10"/>
        <v/>
      </c>
      <c r="B82" s="82"/>
      <c r="C82" s="82"/>
      <c r="D82" s="82"/>
    </row>
    <row r="83" spans="1:4" ht="33" customHeight="1">
      <c r="A83" s="18" t="str">
        <f t="shared" si="10"/>
        <v/>
      </c>
      <c r="B83" s="82"/>
      <c r="C83" s="82"/>
      <c r="D83" s="82"/>
    </row>
    <row r="84" spans="1:4" ht="33" customHeight="1">
      <c r="A84" s="18" t="str">
        <f t="shared" si="10"/>
        <v/>
      </c>
      <c r="B84" s="82"/>
      <c r="C84" s="82"/>
      <c r="D84" s="82"/>
    </row>
    <row r="85" spans="1:4" ht="33" customHeight="1">
      <c r="A85" s="18" t="str">
        <f t="shared" si="10"/>
        <v/>
      </c>
      <c r="B85" s="82"/>
      <c r="C85" s="82"/>
      <c r="D85" s="82"/>
    </row>
    <row r="86" spans="1:4" ht="33" customHeight="1">
      <c r="A86" s="18" t="str">
        <f t="shared" si="10"/>
        <v/>
      </c>
      <c r="B86" s="82"/>
      <c r="C86" s="82"/>
      <c r="D86" s="82"/>
    </row>
    <row r="87" spans="1:4" ht="33" customHeight="1">
      <c r="A87" s="18" t="str">
        <f t="shared" si="10"/>
        <v/>
      </c>
      <c r="B87" s="82"/>
      <c r="C87" s="82"/>
      <c r="D87" s="82"/>
    </row>
    <row r="88" spans="1:4" ht="33" customHeight="1">
      <c r="A88" s="18" t="str">
        <f t="shared" si="10"/>
        <v/>
      </c>
      <c r="B88" s="82"/>
      <c r="C88" s="82"/>
      <c r="D88" s="82"/>
    </row>
    <row r="89" spans="1:4" ht="33" customHeight="1">
      <c r="A89" s="18" t="str">
        <f t="shared" si="10"/>
        <v/>
      </c>
      <c r="B89" s="82"/>
      <c r="C89" s="82"/>
      <c r="D89" s="82"/>
    </row>
    <row r="90" spans="1:4" ht="33" customHeight="1">
      <c r="A90" s="18" t="str">
        <f t="shared" si="10"/>
        <v/>
      </c>
      <c r="B90" s="82"/>
      <c r="C90" s="82"/>
      <c r="D90" s="82"/>
    </row>
    <row r="91" spans="1:4" ht="33" customHeight="1">
      <c r="A91" s="18" t="str">
        <f t="shared" si="10"/>
        <v/>
      </c>
      <c r="B91" s="82"/>
      <c r="C91" s="82"/>
      <c r="D91" s="82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2025-12-11T03:05:45Z</dcterms:modified>
</cp:coreProperties>
</file>
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2CBFBED9-C160-4B1E-AA6A-6AC9A6D0C143}" xr6:coauthVersionLast="47" xr6:coauthVersionMax="47" xr10:uidLastSave="{00000000-0000-0000-0000-000000000000}"/>
  <bookViews>
    <workbookView xWindow="-60" yWindow="-60" windowWidth="28920" windowHeight="16320" activeTab="2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D13" i="9" l="1"/>
  <c r="F2" i="1"/>
  <c r="E2" i="1"/>
  <c r="D2" i="1"/>
  <c r="C2" i="1"/>
  <c r="B2" i="1"/>
  <c r="P7" i="9" l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A5" i="4"/>
  <c r="A2" i="1" s="1"/>
  <c r="Q5" i="4" l="1"/>
  <c r="O5" i="4"/>
  <c r="M5" i="4"/>
  <c r="K5" i="4"/>
  <c r="R5" i="4" l="1"/>
  <c r="F25" i="9" l="1"/>
  <c r="N25" i="9" s="1"/>
  <c r="K7" i="4"/>
  <c r="O7" i="4"/>
  <c r="Q7" i="4"/>
  <c r="R7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L33" i="9" l="1"/>
  <c r="J33" i="9"/>
  <c r="N14" i="9"/>
  <c r="N15" i="9"/>
  <c r="N17" i="9"/>
  <c r="F30" i="9"/>
  <c r="N27" i="9"/>
  <c r="H18" i="9"/>
  <c r="N28" i="9"/>
  <c r="F13" i="9"/>
  <c r="N16" i="9"/>
  <c r="H30" i="9"/>
  <c r="H13" i="9"/>
  <c r="N26" i="9"/>
  <c r="N31" i="9"/>
  <c r="N32" i="9" s="1"/>
  <c r="F18" i="9"/>
  <c r="F33" i="9" l="1"/>
  <c r="H33" i="9"/>
  <c r="N18" i="9"/>
  <c r="N13" i="9"/>
  <c r="N30" i="9"/>
  <c r="Q12" i="4"/>
  <c r="O12" i="4"/>
  <c r="M12" i="4"/>
  <c r="K12" i="4"/>
  <c r="N33" i="9" l="1"/>
  <c r="R12" i="4"/>
  <c r="Q11" i="4" l="1"/>
  <c r="O11" i="4"/>
  <c r="M11" i="4"/>
  <c r="K11" i="4"/>
  <c r="Q10" i="4"/>
  <c r="O10" i="4"/>
  <c r="M10" i="4"/>
  <c r="K10" i="4"/>
  <c r="Q9" i="4"/>
  <c r="O9" i="4"/>
  <c r="M9" i="4"/>
  <c r="K9" i="4"/>
  <c r="Q8" i="4"/>
  <c r="O8" i="4"/>
  <c r="M8" i="4"/>
  <c r="K8" i="4"/>
  <c r="Q6" i="4"/>
  <c r="O6" i="4"/>
  <c r="M6" i="4"/>
  <c r="K6" i="4"/>
  <c r="K13" i="4" l="1"/>
  <c r="M13" i="4"/>
  <c r="F17" i="5" s="1"/>
  <c r="R6" i="4"/>
  <c r="R9" i="4"/>
  <c r="R10" i="4"/>
  <c r="R8" i="4"/>
  <c r="R11" i="4"/>
  <c r="F21" i="5" l="1"/>
  <c r="F22" i="5"/>
  <c r="R13" i="4"/>
  <c r="Q13" i="4"/>
  <c r="F16" i="5"/>
  <c r="O13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<sst xmlns="http://schemas.openxmlformats.org/spreadsheetml/2006/main" count="216" uniqueCount="155">
  <si>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</si>
  <si>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</si>
  <si>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</si>
  <si>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</si>
  <si>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</si>
  <si>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</si>
  <si>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</si>
  <si>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</si>
  <si>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</si>
  <si>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</si>
  <si>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</si>
  <si>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</si>
  <si>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</si>
  <si>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</si>
  <si>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</si>
  <si>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</si>
  <si>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</si>
  <si>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</si>
  <si>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</si>
  <si>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</si>
  <si>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</si>
  <si>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</si>
  <si>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</si>
  <si>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</si>
  <si>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</si>
  <si>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</si>
  <si>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</si>
  <si>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</si>
  <si>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</si>
  <si>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</si>
  <si>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</si>
  <si>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</si>
  <si>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</si>
  <si>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</si>
  <si>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</si>
  <si>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</si>
  <si>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</si>
  <si>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</si>
  <si>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</si>
  <si>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</si>
  <si>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</si>
  <si>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</si>
  <si>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</si>
  <si>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</si>
  <si>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</si>
  <si>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</si>
  <si>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</si>
  <si>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</si>
  <si>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</si>
  <si>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</si>
  <si>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</si>
  <si>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</si>
  <si>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</si>
  <si>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</si>
  <si>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</si>
  <si>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</si>
  <si>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</si>
  <si>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</si>
  <si>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</si>
  <si>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</si>
  <si>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</si>
  <si>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</si>
  <si>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</si>
  <si>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</si>
  <si>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</si>
  <si>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</si>
  <si>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</si>
  <si>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</si>
  <si>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</si>
  <si>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</si>
  <si>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</si>
  <si>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</si>
  <si>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</si>
  <si>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</si>
  <si>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</si>
  <si>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</si>
  <si>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</si>
  <si>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</si>
  <si>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</si>
  <si>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</si>
  <si>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</si>
  <si>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</si>
  <si>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</si>
  <si>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</si>
  <si>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</si>
  <si>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</si>
  <si>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</si>
  <si>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</si>
  <si>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</si>
  <si>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</si>
  <si>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</si>
  <si>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</si>
  <si>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</si>
  <si>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</si>
  <si>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</si>
  <si>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</si>
  <si>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</si>
  <si>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</si>
  <si>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</si>
  <si>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</si>
  <si>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</si>
  <si>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</si>
  <si>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</si>
  <si>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</si>
  <si>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</si>
  <si>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</si>
  <si>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</si>
  <si>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</si>
  <si>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</si>
  <si>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</si>
  <si>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</si>
  <si>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</si>
  <si>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</si>
  <si>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</si>
  <si>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</si>
  <si>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</si>
  <si>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</si>
  <si>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</si>
  <si>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(일당)</t>
  </si>
  <si>
    <t>E00000803071260401</t>
  </si>
  <si>
    <t>PVC계바닥재 교체</t>
  </si>
  <si>
    <t>(㎡ 당)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</si>
  <si>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</si>
  <si>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</si>
  <si>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</si>
  <si>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</si>
  <si>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</si>
  <si>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</si>
  <si>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</si>
  <si>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</si>
  <si>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</si>
  <si>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</si>
  <si>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</si>
  <si>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</si>
  <si>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</si>
  <si>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</si>
  <si>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</si>
  <si>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</si>
  <si>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</si>
  <si>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</si>
  <si>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</si>
  <si>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</si>
  <si>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</si>
  <si>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</si>
  <si>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</si>
  <si>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</si>
  <si>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</si>
  <si>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</si>
  <si>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</si>
  <si>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</si>
  <si>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</si>
  <si>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</si>
  <si>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견적일 : 2026년  05월  22일</t>
    <phoneticPr fontId="5" type="noConversion"/>
  </si>
  <si>
    <t xml:space="preserve"> 공사명 : 사택 8-505 수장작업</t>
    <phoneticPr fontId="11" type="noConversion"/>
  </si>
  <si>
    <t>사택 8-505 수장작업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</si>
</sst>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5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49" fontId="21" fillId="7" borderId="31" xfId="0" applyNumberFormat="1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 wrapText="1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8" zoomScale="85" zoomScaleNormal="85" workbookViewId="0">
      <selection activeCell="F19" sqref="F19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76" t="s">
        <v>6</v>
      </c>
      <c r="B2" s="176"/>
      <c r="C2" s="176"/>
      <c r="D2" s="176"/>
      <c r="E2" s="176"/>
      <c r="F2" s="176"/>
      <c r="G2" s="176"/>
      <c r="H2" s="2"/>
    </row>
    <row r="3" spans="1:9" ht="14.25">
      <c r="A3" s="118"/>
      <c r="B3" s="118"/>
      <c r="C3" s="118"/>
      <c r="D3" s="118"/>
      <c r="E3" s="118"/>
      <c r="F3" s="118"/>
      <c r="G3" s="118"/>
      <c r="H3" s="118"/>
    </row>
    <row r="4" spans="1:9" ht="14.2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79" t="s">
        <v>153</v>
      </c>
      <c r="B7" s="180"/>
      <c r="C7" s="181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152</v>
      </c>
      <c r="B9" s="159"/>
      <c r="C9" s="160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7"/>
      <c r="B11" s="178"/>
      <c r="C11" s="178"/>
      <c r="D11" s="118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일백팔십삼만삼천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'내역서(표준단가)'!K13</f>
        <v>660869.1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'내역서(표준단가)'!M13</f>
        <v>943191.48005799996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'내역서(표준단가)'!O13+'내역서(표준단가)'!Q13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1604060.5800580001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2" t="s">
        <v>23</v>
      </c>
      <c r="C21" s="163" t="s">
        <v>150</v>
      </c>
      <c r="D21" s="164">
        <v>1</v>
      </c>
      <c r="E21" s="164" t="s">
        <v>24</v>
      </c>
      <c r="F21" s="165">
        <f>F17*4.75%</f>
        <v>44801.595302754999</v>
      </c>
      <c r="G21" s="35" t="s">
        <v>25</v>
      </c>
    </row>
    <row r="22" spans="1:7" ht="33" customHeight="1">
      <c r="A22" s="29"/>
      <c r="B22" s="166" t="s">
        <v>26</v>
      </c>
      <c r="C22" s="163" t="s">
        <v>151</v>
      </c>
      <c r="D22" s="167">
        <v>1</v>
      </c>
      <c r="E22" s="167" t="s">
        <v>24</v>
      </c>
      <c r="F22" s="168">
        <f>F17*3.595%</f>
        <v>33907.733708085099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4391.0515151970203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9526.2339485857992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33577.616690064795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46998.974995699406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55819.734310919361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229022.94047130647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1833083.5205293065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1833000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3"/>
  <sheetViews>
    <sheetView showGridLines="0" zoomScale="90" zoomScaleNormal="90" workbookViewId="0">
      <pane ySplit="4" topLeftCell="A5" activePane="bottomLeft" state="frozen"/>
      <selection pane="bottomLeft" activeCell="A16" sqref="A16"/>
    </sheetView>
  </sheetViews>
  <sheetFormatPr defaultColWidth="9" defaultRowHeight="38.1" customHeight="1"/>
  <cols>
    <col min="1" max="1" width="20.5" style="147" bestFit="1" customWidth="1"/>
    <col min="2" max="2" width="9" style="136" hidden="1" customWidth="1"/>
    <col min="3" max="5" width="12.625" style="136" hidden="1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82"/>
      <c r="B1" s="182"/>
      <c r="C1" s="182"/>
      <c r="D1" s="182"/>
      <c r="E1" s="182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82"/>
      <c r="B2" s="182"/>
      <c r="C2" s="182"/>
      <c r="D2" s="182"/>
      <c r="E2" s="182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93" t="s">
        <v>100</v>
      </c>
      <c r="G3" s="193"/>
      <c r="H3" s="191" t="s">
        <v>47</v>
      </c>
      <c r="I3" s="191" t="s">
        <v>5</v>
      </c>
      <c r="J3" s="187" t="s">
        <v>101</v>
      </c>
      <c r="K3" s="187"/>
      <c r="L3" s="187" t="s">
        <v>102</v>
      </c>
      <c r="M3" s="187"/>
      <c r="N3" s="188" t="s">
        <v>103</v>
      </c>
      <c r="O3" s="188"/>
      <c r="P3" s="188" t="s">
        <v>104</v>
      </c>
      <c r="Q3" s="188"/>
      <c r="R3" s="189" t="s">
        <v>105</v>
      </c>
      <c r="S3" s="185" t="s">
        <v>106</v>
      </c>
      <c r="T3" s="183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92"/>
      <c r="I4" s="192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90"/>
      <c r="S4" s="186"/>
      <c r="T4" s="184"/>
    </row>
    <row r="5" spans="1:20" s="139" customFormat="1" ht="38.1" customHeight="1">
      <c r="A5" s="69" t="str">
        <f t="shared" ref="A5:A12" si="0">B5&amp;C5&amp;D5&amp;E5</f>
        <v>M020809012520101</v>
      </c>
      <c r="B5" s="94"/>
      <c r="C5" s="70"/>
      <c r="D5" s="70" t="s">
        <v>141</v>
      </c>
      <c r="E5" s="94"/>
      <c r="F5" s="130" t="s">
        <v>142</v>
      </c>
      <c r="G5" s="130" t="s">
        <v>143</v>
      </c>
      <c r="H5" s="110" t="s">
        <v>140</v>
      </c>
      <c r="I5" s="129">
        <v>59.5</v>
      </c>
      <c r="J5" s="155">
        <v>13000</v>
      </c>
      <c r="K5" s="126">
        <f t="shared" ref="K5:K11" si="1">SUM(J5:J5)*I5*$K$2</f>
        <v>645872.5</v>
      </c>
      <c r="L5" s="125"/>
      <c r="M5" s="126">
        <f t="shared" ref="M5:M11" si="2">(L5*I5)*$M$2</f>
        <v>0</v>
      </c>
      <c r="N5" s="127"/>
      <c r="O5" s="126">
        <f t="shared" ref="O5:O11" si="3">N5*I5*$O$2</f>
        <v>0</v>
      </c>
      <c r="P5" s="127"/>
      <c r="Q5" s="126">
        <f t="shared" ref="Q5:Q11" si="4">P5*I5*$Q$2</f>
        <v>0</v>
      </c>
      <c r="R5" s="73">
        <f t="shared" ref="R5:R11" si="5">SUM(K5+M5)+O5+Q5</f>
        <v>645872.5</v>
      </c>
      <c r="S5" s="109"/>
      <c r="T5" s="74"/>
    </row>
    <row r="6" spans="1:20" s="139" customFormat="1" ht="38.1" customHeight="1">
      <c r="A6" s="69" t="str">
        <f t="shared" si="0"/>
        <v>E00000803071260401</v>
      </c>
      <c r="B6" s="94"/>
      <c r="C6" s="70" t="s">
        <v>119</v>
      </c>
      <c r="D6" s="70"/>
      <c r="E6" s="94"/>
      <c r="F6" s="130" t="s">
        <v>120</v>
      </c>
      <c r="G6" s="130" t="s">
        <v>147</v>
      </c>
      <c r="H6" s="71" t="s">
        <v>118</v>
      </c>
      <c r="I6" s="129">
        <v>0.97540000000000004</v>
      </c>
      <c r="J6" s="128"/>
      <c r="K6" s="126">
        <f t="shared" si="1"/>
        <v>0</v>
      </c>
      <c r="L6" s="154">
        <v>510462</v>
      </c>
      <c r="M6" s="126">
        <f t="shared" si="2"/>
        <v>415750.37005799997</v>
      </c>
      <c r="N6" s="127"/>
      <c r="O6" s="126">
        <f t="shared" si="3"/>
        <v>0</v>
      </c>
      <c r="P6" s="127"/>
      <c r="Q6" s="126">
        <f t="shared" si="4"/>
        <v>0</v>
      </c>
      <c r="R6" s="73">
        <f t="shared" si="5"/>
        <v>415750.37005799997</v>
      </c>
      <c r="S6" s="109"/>
      <c r="T6" s="74"/>
    </row>
    <row r="7" spans="1:20" s="139" customFormat="1" ht="38.1" customHeight="1">
      <c r="A7" s="69" t="str">
        <f t="shared" si="0"/>
        <v>M020411810170101</v>
      </c>
      <c r="B7" s="94"/>
      <c r="C7" s="70"/>
      <c r="D7" s="121" t="s">
        <v>134</v>
      </c>
      <c r="E7" s="94"/>
      <c r="F7" s="133" t="s">
        <v>135</v>
      </c>
      <c r="G7" s="133" t="s">
        <v>136</v>
      </c>
      <c r="H7" s="122" t="s">
        <v>132</v>
      </c>
      <c r="I7" s="129">
        <v>0.2</v>
      </c>
      <c r="J7" s="161">
        <v>89800</v>
      </c>
      <c r="K7" s="126">
        <f t="shared" si="1"/>
        <v>14996.599999999999</v>
      </c>
      <c r="L7" s="125"/>
      <c r="M7" s="126"/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14996.599999999999</v>
      </c>
      <c r="S7" s="109"/>
      <c r="T7" s="74"/>
    </row>
    <row r="8" spans="1:20" s="139" customFormat="1" ht="38.1" customHeight="1">
      <c r="A8" s="69" t="str">
        <f t="shared" si="0"/>
        <v>E00000803061120802</v>
      </c>
      <c r="B8" s="94"/>
      <c r="C8" s="70" t="s">
        <v>123</v>
      </c>
      <c r="D8" s="70"/>
      <c r="E8" s="94"/>
      <c r="F8" s="130" t="s">
        <v>124</v>
      </c>
      <c r="G8" s="130" t="s">
        <v>125</v>
      </c>
      <c r="H8" s="110" t="s">
        <v>121</v>
      </c>
      <c r="I8" s="129">
        <v>16</v>
      </c>
      <c r="J8" s="140"/>
      <c r="K8" s="72">
        <f t="shared" si="1"/>
        <v>0</v>
      </c>
      <c r="L8" s="154">
        <v>2496</v>
      </c>
      <c r="M8" s="72">
        <f t="shared" si="2"/>
        <v>33346.559999999998</v>
      </c>
      <c r="N8" s="73"/>
      <c r="O8" s="72">
        <f t="shared" si="3"/>
        <v>0</v>
      </c>
      <c r="P8" s="73"/>
      <c r="Q8" s="72">
        <f t="shared" si="4"/>
        <v>0</v>
      </c>
      <c r="R8" s="73">
        <f t="shared" si="5"/>
        <v>33346.559999999998</v>
      </c>
      <c r="S8" s="109"/>
      <c r="T8" s="74"/>
    </row>
    <row r="9" spans="1:20" s="139" customFormat="1" ht="38.1" customHeight="1">
      <c r="A9" s="69" t="str">
        <f t="shared" si="0"/>
        <v>E00000803061300701</v>
      </c>
      <c r="B9" s="94"/>
      <c r="C9" s="70" t="s">
        <v>126</v>
      </c>
      <c r="D9" s="70"/>
      <c r="E9" s="94"/>
      <c r="F9" s="130" t="s">
        <v>127</v>
      </c>
      <c r="G9" s="130" t="s">
        <v>122</v>
      </c>
      <c r="H9" s="110" t="s">
        <v>121</v>
      </c>
      <c r="I9" s="129">
        <v>16</v>
      </c>
      <c r="J9" s="111"/>
      <c r="K9" s="72">
        <f t="shared" si="1"/>
        <v>0</v>
      </c>
      <c r="L9" s="154">
        <v>3871</v>
      </c>
      <c r="M9" s="72">
        <f t="shared" si="2"/>
        <v>51716.56</v>
      </c>
      <c r="N9" s="73"/>
      <c r="O9" s="72">
        <f t="shared" si="3"/>
        <v>0</v>
      </c>
      <c r="P9" s="73"/>
      <c r="Q9" s="72">
        <f t="shared" si="4"/>
        <v>0</v>
      </c>
      <c r="R9" s="73">
        <f t="shared" si="5"/>
        <v>51716.56</v>
      </c>
      <c r="S9" s="109"/>
      <c r="T9" s="74"/>
    </row>
    <row r="10" spans="1:20" s="139" customFormat="1" ht="38.1" customHeight="1">
      <c r="A10" s="69" t="str">
        <f t="shared" si="0"/>
        <v>E00000803061120802</v>
      </c>
      <c r="B10" s="94"/>
      <c r="C10" s="70" t="s">
        <v>123</v>
      </c>
      <c r="D10" s="70"/>
      <c r="E10" s="94"/>
      <c r="F10" s="130" t="s">
        <v>128</v>
      </c>
      <c r="G10" s="130" t="s">
        <v>125</v>
      </c>
      <c r="H10" s="110" t="s">
        <v>121</v>
      </c>
      <c r="I10" s="129">
        <v>2</v>
      </c>
      <c r="J10" s="140"/>
      <c r="K10" s="72">
        <f t="shared" si="1"/>
        <v>0</v>
      </c>
      <c r="L10" s="154">
        <v>2496</v>
      </c>
      <c r="M10" s="72">
        <f t="shared" si="2"/>
        <v>4168.32</v>
      </c>
      <c r="N10" s="73"/>
      <c r="O10" s="72">
        <f t="shared" si="3"/>
        <v>0</v>
      </c>
      <c r="P10" s="73"/>
      <c r="Q10" s="72">
        <f t="shared" si="4"/>
        <v>0</v>
      </c>
      <c r="R10" s="73">
        <f t="shared" si="5"/>
        <v>4168.32</v>
      </c>
      <c r="S10" s="109"/>
      <c r="T10" s="74"/>
    </row>
    <row r="11" spans="1:20" s="139" customFormat="1" ht="38.1" customHeight="1">
      <c r="A11" s="69" t="str">
        <f t="shared" si="0"/>
        <v>E00000803061300401</v>
      </c>
      <c r="B11" s="94"/>
      <c r="C11" s="70" t="s">
        <v>129</v>
      </c>
      <c r="D11" s="70"/>
      <c r="E11" s="94"/>
      <c r="F11" s="130" t="s">
        <v>130</v>
      </c>
      <c r="G11" s="130" t="s">
        <v>122</v>
      </c>
      <c r="H11" s="110" t="s">
        <v>121</v>
      </c>
      <c r="I11" s="129">
        <v>2</v>
      </c>
      <c r="J11" s="111"/>
      <c r="K11" s="72">
        <f t="shared" si="1"/>
        <v>0</v>
      </c>
      <c r="L11" s="154">
        <v>5851</v>
      </c>
      <c r="M11" s="72">
        <f t="shared" si="2"/>
        <v>9771.17</v>
      </c>
      <c r="N11" s="73"/>
      <c r="O11" s="72">
        <f t="shared" si="3"/>
        <v>0</v>
      </c>
      <c r="P11" s="73"/>
      <c r="Q11" s="72">
        <f t="shared" si="4"/>
        <v>0</v>
      </c>
      <c r="R11" s="73">
        <f t="shared" si="5"/>
        <v>9771.17</v>
      </c>
      <c r="S11" s="109"/>
      <c r="T11" s="74"/>
    </row>
    <row r="12" spans="1:20" s="139" customFormat="1" ht="38.1" customHeight="1">
      <c r="A12" s="69" t="str">
        <f t="shared" si="0"/>
        <v>E00000801011510701</v>
      </c>
      <c r="B12" s="94"/>
      <c r="C12" s="70" t="s">
        <v>146</v>
      </c>
      <c r="D12" s="70"/>
      <c r="E12" s="94"/>
      <c r="F12" s="156" t="s">
        <v>148</v>
      </c>
      <c r="G12" s="71" t="s">
        <v>145</v>
      </c>
      <c r="H12" s="157" t="s">
        <v>149</v>
      </c>
      <c r="I12" s="129">
        <v>100</v>
      </c>
      <c r="J12" s="140"/>
      <c r="K12" s="72">
        <f t="shared" ref="K12" si="6">SUM(J12:J12)*I12*$K$2</f>
        <v>0</v>
      </c>
      <c r="L12" s="154">
        <v>5131</v>
      </c>
      <c r="M12" s="72">
        <f t="shared" ref="M12" si="7">(L12*I12)*$M$2</f>
        <v>428438.5</v>
      </c>
      <c r="N12" s="73"/>
      <c r="O12" s="72">
        <f t="shared" ref="O12" si="8">N12*I12*$O$2</f>
        <v>0</v>
      </c>
      <c r="P12" s="73"/>
      <c r="Q12" s="72">
        <f t="shared" ref="Q12" si="9">P12*I12*$Q$2</f>
        <v>0</v>
      </c>
      <c r="R12" s="73">
        <f t="shared" ref="R12" si="10">SUM(K12+M12)+O12+Q12</f>
        <v>428438.5</v>
      </c>
      <c r="S12" s="109"/>
      <c r="T12" s="74"/>
    </row>
    <row r="13" spans="1:20" s="146" customFormat="1" ht="38.1" customHeight="1">
      <c r="A13" s="141"/>
      <c r="B13" s="142"/>
      <c r="C13" s="142"/>
      <c r="D13" s="142"/>
      <c r="E13" s="142"/>
      <c r="F13" s="134"/>
      <c r="G13" s="134"/>
      <c r="H13" s="142"/>
      <c r="I13" s="142"/>
      <c r="J13" s="142"/>
      <c r="K13" s="143">
        <f>SUM(K5:K12)</f>
        <v>660869.1</v>
      </c>
      <c r="L13" s="144"/>
      <c r="M13" s="143">
        <f>SUM(M5:M12)</f>
        <v>943191.48005799996</v>
      </c>
      <c r="N13" s="144"/>
      <c r="O13" s="143">
        <f>SUM(O5:O12)</f>
        <v>0</v>
      </c>
      <c r="P13" s="144"/>
      <c r="Q13" s="143">
        <f>SUM(Q5:Q12)</f>
        <v>0</v>
      </c>
      <c r="R13" s="145">
        <f>SUM(R5:R12)</f>
        <v>1604060.5800580003</v>
      </c>
      <c r="S13" s="102"/>
      <c r="T13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tabSelected="1" zoomScaleNormal="100" workbookViewId="0">
      <selection activeCell="A28" sqref="A28:A29"/>
    </sheetView>
  </sheetViews>
  <sheetFormatPr defaultColWidth="9" defaultRowHeight="14.2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196" t="s">
        <v>58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</row>
    <row r="2" spans="1:16" ht="15" customHeight="1">
      <c r="A2" s="197" t="s">
        <v>59</v>
      </c>
      <c r="B2" s="198" t="s">
        <v>60</v>
      </c>
      <c r="C2" s="199" t="s">
        <v>47</v>
      </c>
      <c r="D2" s="199" t="s">
        <v>61</v>
      </c>
      <c r="E2" s="201" t="s">
        <v>62</v>
      </c>
      <c r="F2" s="198"/>
      <c r="G2" s="198" t="s">
        <v>63</v>
      </c>
      <c r="H2" s="198"/>
      <c r="I2" s="202" t="s">
        <v>64</v>
      </c>
      <c r="J2" s="203"/>
      <c r="K2" s="202" t="s">
        <v>65</v>
      </c>
      <c r="L2" s="203"/>
      <c r="M2" s="201" t="s">
        <v>66</v>
      </c>
      <c r="N2" s="198"/>
      <c r="O2" s="204" t="s">
        <v>67</v>
      </c>
    </row>
    <row r="3" spans="1:16" ht="15" customHeight="1">
      <c r="A3" s="197"/>
      <c r="B3" s="198"/>
      <c r="C3" s="200"/>
      <c r="D3" s="200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05"/>
    </row>
    <row r="4" spans="1:16" ht="15" customHeight="1">
      <c r="A4" s="194" t="s">
        <v>154</v>
      </c>
      <c r="B4" s="195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207" t="s">
        <v>71</v>
      </c>
      <c r="B5" s="173" t="s">
        <v>72</v>
      </c>
      <c r="C5" s="174" t="s">
        <v>73</v>
      </c>
      <c r="D5" s="175"/>
      <c r="E5" s="171"/>
      <c r="F5" s="172"/>
      <c r="G5" s="171"/>
      <c r="H5" s="172"/>
      <c r="I5" s="172"/>
      <c r="J5" s="172"/>
      <c r="K5" s="172"/>
      <c r="L5" s="172"/>
      <c r="M5" s="172"/>
      <c r="N5" s="172"/>
      <c r="O5" s="209" t="s">
        <v>138</v>
      </c>
    </row>
    <row r="6" spans="1:16" ht="15" customHeight="1">
      <c r="A6" s="208"/>
      <c r="B6" s="173" t="s">
        <v>74</v>
      </c>
      <c r="C6" s="174" t="s">
        <v>73</v>
      </c>
      <c r="D6" s="175"/>
      <c r="E6" s="171"/>
      <c r="F6" s="172"/>
      <c r="G6" s="171"/>
      <c r="H6" s="172"/>
      <c r="I6" s="172"/>
      <c r="J6" s="172"/>
      <c r="K6" s="172"/>
      <c r="L6" s="172"/>
      <c r="M6" s="172"/>
      <c r="N6" s="172"/>
      <c r="O6" s="210"/>
    </row>
    <row r="7" spans="1:16" ht="15" customHeight="1">
      <c r="A7" s="208"/>
      <c r="B7" s="173" t="s">
        <v>75</v>
      </c>
      <c r="C7" s="174" t="s">
        <v>73</v>
      </c>
      <c r="D7" s="175"/>
      <c r="E7" s="171"/>
      <c r="F7" s="172"/>
      <c r="G7" s="171"/>
      <c r="H7" s="172"/>
      <c r="I7" s="172"/>
      <c r="J7" s="172"/>
      <c r="K7" s="172"/>
      <c r="L7" s="172"/>
      <c r="M7" s="172"/>
      <c r="N7" s="172"/>
      <c r="O7" s="210"/>
      <c r="P7" s="108">
        <f>D6+D8+D10+D12</f>
        <v>0</v>
      </c>
    </row>
    <row r="8" spans="1:16" ht="15" customHeight="1">
      <c r="A8" s="208"/>
      <c r="B8" s="173" t="s">
        <v>76</v>
      </c>
      <c r="C8" s="174" t="s">
        <v>73</v>
      </c>
      <c r="D8" s="175"/>
      <c r="E8" s="171"/>
      <c r="F8" s="172"/>
      <c r="G8" s="171"/>
      <c r="H8" s="172"/>
      <c r="I8" s="172"/>
      <c r="J8" s="172"/>
      <c r="K8" s="172"/>
      <c r="L8" s="172"/>
      <c r="M8" s="172"/>
      <c r="N8" s="172"/>
      <c r="O8" s="210"/>
    </row>
    <row r="9" spans="1:16" ht="15" customHeight="1">
      <c r="A9" s="208"/>
      <c r="B9" s="173" t="s">
        <v>77</v>
      </c>
      <c r="C9" s="174" t="s">
        <v>73</v>
      </c>
      <c r="D9" s="175"/>
      <c r="E9" s="171"/>
      <c r="F9" s="172"/>
      <c r="G9" s="171"/>
      <c r="H9" s="172"/>
      <c r="I9" s="172"/>
      <c r="J9" s="172"/>
      <c r="K9" s="172"/>
      <c r="L9" s="172"/>
      <c r="M9" s="172"/>
      <c r="N9" s="172"/>
      <c r="O9" s="210"/>
    </row>
    <row r="10" spans="1:16" ht="15" customHeight="1">
      <c r="A10" s="208"/>
      <c r="B10" s="173" t="s">
        <v>78</v>
      </c>
      <c r="C10" s="174" t="s">
        <v>73</v>
      </c>
      <c r="D10" s="175"/>
      <c r="E10" s="171"/>
      <c r="F10" s="172"/>
      <c r="G10" s="171"/>
      <c r="H10" s="172"/>
      <c r="I10" s="172"/>
      <c r="J10" s="172"/>
      <c r="K10" s="172"/>
      <c r="L10" s="172"/>
      <c r="M10" s="172"/>
      <c r="N10" s="172"/>
      <c r="O10" s="210"/>
    </row>
    <row r="11" spans="1:16" ht="15" customHeight="1">
      <c r="A11" s="208"/>
      <c r="B11" s="173" t="s">
        <v>79</v>
      </c>
      <c r="C11" s="174" t="s">
        <v>73</v>
      </c>
      <c r="D11" s="175"/>
      <c r="E11" s="171"/>
      <c r="F11" s="172"/>
      <c r="G11" s="171"/>
      <c r="H11" s="172"/>
      <c r="I11" s="172"/>
      <c r="J11" s="172"/>
      <c r="K11" s="172"/>
      <c r="L11" s="172"/>
      <c r="M11" s="172"/>
      <c r="N11" s="172"/>
      <c r="O11" s="210"/>
    </row>
    <row r="12" spans="1:16" ht="15" customHeight="1">
      <c r="A12" s="208"/>
      <c r="B12" s="173" t="s">
        <v>80</v>
      </c>
      <c r="C12" s="174" t="s">
        <v>73</v>
      </c>
      <c r="D12" s="175"/>
      <c r="E12" s="171"/>
      <c r="F12" s="172"/>
      <c r="G12" s="171"/>
      <c r="H12" s="172"/>
      <c r="I12" s="172"/>
      <c r="J12" s="172"/>
      <c r="K12" s="172"/>
      <c r="L12" s="172"/>
      <c r="M12" s="172"/>
      <c r="N12" s="172"/>
      <c r="O12" s="210"/>
    </row>
    <row r="13" spans="1:16" ht="15" customHeight="1">
      <c r="A13" s="103" t="s">
        <v>81</v>
      </c>
      <c r="B13" s="104"/>
      <c r="C13" s="105"/>
      <c r="D13" s="148">
        <f>SUM(D5:D12)</f>
        <v>0</v>
      </c>
      <c r="E13" s="112"/>
      <c r="F13" s="106">
        <f>SUM(F5:F12)</f>
        <v>0</v>
      </c>
      <c r="G13" s="106"/>
      <c r="H13" s="106">
        <f>SUM(H5:H12)</f>
        <v>0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0</v>
      </c>
      <c r="O13" s="106"/>
    </row>
    <row r="14" spans="1:16" ht="15" customHeight="1">
      <c r="A14" s="211" t="s">
        <v>139</v>
      </c>
      <c r="B14" s="78" t="s">
        <v>82</v>
      </c>
      <c r="C14" s="79" t="s">
        <v>73</v>
      </c>
      <c r="D14" s="113">
        <v>28.9</v>
      </c>
      <c r="E14" s="158">
        <v>10855</v>
      </c>
      <c r="F14" s="114">
        <f>D14*E14</f>
        <v>313709.5</v>
      </c>
      <c r="G14" s="158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0">F14+H14+J14+L14</f>
        <v>515633.8</v>
      </c>
      <c r="O14" s="210"/>
    </row>
    <row r="15" spans="1:16" ht="15" customHeight="1">
      <c r="A15" s="211"/>
      <c r="B15" s="78" t="s">
        <v>83</v>
      </c>
      <c r="C15" s="79" t="s">
        <v>73</v>
      </c>
      <c r="D15" s="115">
        <v>12.4</v>
      </c>
      <c r="E15" s="158">
        <v>10855</v>
      </c>
      <c r="F15" s="114">
        <f>D15*E15</f>
        <v>134602</v>
      </c>
      <c r="G15" s="158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0"/>
        <v>221240.8</v>
      </c>
      <c r="O15" s="210"/>
    </row>
    <row r="16" spans="1:16" ht="15" customHeight="1">
      <c r="A16" s="211"/>
      <c r="B16" s="78" t="s">
        <v>84</v>
      </c>
      <c r="C16" s="79" t="s">
        <v>73</v>
      </c>
      <c r="D16" s="115">
        <v>9.9</v>
      </c>
      <c r="E16" s="158">
        <v>10855</v>
      </c>
      <c r="F16" s="114">
        <f>D16*E16</f>
        <v>107464.5</v>
      </c>
      <c r="G16" s="158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0"/>
        <v>176635.8</v>
      </c>
      <c r="O16" s="210"/>
    </row>
    <row r="17" spans="1:15" ht="15" customHeight="1">
      <c r="A17" s="212"/>
      <c r="B17" s="78" t="s">
        <v>85</v>
      </c>
      <c r="C17" s="79" t="s">
        <v>73</v>
      </c>
      <c r="D17" s="115">
        <v>8.3000000000000007</v>
      </c>
      <c r="E17" s="158">
        <v>10855</v>
      </c>
      <c r="F17" s="114">
        <f>D17*E17</f>
        <v>90096.500000000015</v>
      </c>
      <c r="G17" s="158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0"/>
        <v>148088.60000000003</v>
      </c>
      <c r="O17" s="213"/>
    </row>
    <row r="18" spans="1:15" ht="15" customHeight="1">
      <c r="A18" s="95" t="s">
        <v>81</v>
      </c>
      <c r="B18" s="81"/>
      <c r="C18" s="84"/>
      <c r="D18" s="149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137</v>
      </c>
      <c r="B20" s="169" t="s">
        <v>133</v>
      </c>
      <c r="C20" s="169" t="s">
        <v>132</v>
      </c>
      <c r="D20" s="170"/>
      <c r="E20" s="171"/>
      <c r="F20" s="172"/>
      <c r="G20" s="172"/>
      <c r="H20" s="172"/>
      <c r="I20" s="172"/>
      <c r="J20" s="172"/>
      <c r="K20" s="172"/>
      <c r="L20" s="172"/>
      <c r="M20" s="172"/>
      <c r="N20" s="172"/>
      <c r="O20" s="80"/>
    </row>
    <row r="21" spans="1:15" ht="15" customHeight="1">
      <c r="A21" s="214" t="s">
        <v>87</v>
      </c>
      <c r="B21" s="173" t="s">
        <v>88</v>
      </c>
      <c r="C21" s="174" t="s">
        <v>73</v>
      </c>
      <c r="D21" s="170"/>
      <c r="E21" s="172"/>
      <c r="F21" s="172"/>
      <c r="G21" s="171"/>
      <c r="H21" s="172"/>
      <c r="I21" s="172"/>
      <c r="J21" s="172"/>
      <c r="K21" s="172"/>
      <c r="L21" s="172"/>
      <c r="M21" s="172"/>
      <c r="N21" s="172"/>
      <c r="O21" s="80"/>
    </row>
    <row r="22" spans="1:15" ht="15" customHeight="1">
      <c r="A22" s="214"/>
      <c r="B22" s="173" t="s">
        <v>89</v>
      </c>
      <c r="C22" s="174" t="s">
        <v>73</v>
      </c>
      <c r="D22" s="170"/>
      <c r="E22" s="172"/>
      <c r="F22" s="172"/>
      <c r="G22" s="171"/>
      <c r="H22" s="172"/>
      <c r="I22" s="172"/>
      <c r="J22" s="172"/>
      <c r="K22" s="172"/>
      <c r="L22" s="172"/>
      <c r="M22" s="172"/>
      <c r="N22" s="172"/>
      <c r="O22" s="80"/>
    </row>
    <row r="23" spans="1:15" ht="15" customHeight="1">
      <c r="A23" s="214" t="s">
        <v>90</v>
      </c>
      <c r="B23" s="173" t="s">
        <v>88</v>
      </c>
      <c r="C23" s="174" t="s">
        <v>73</v>
      </c>
      <c r="D23" s="170"/>
      <c r="E23" s="172"/>
      <c r="F23" s="172"/>
      <c r="G23" s="171"/>
      <c r="H23" s="172"/>
      <c r="I23" s="172"/>
      <c r="J23" s="172"/>
      <c r="K23" s="172"/>
      <c r="L23" s="172"/>
      <c r="M23" s="172"/>
      <c r="N23" s="172"/>
      <c r="O23" s="80"/>
    </row>
    <row r="24" spans="1:15" ht="15" customHeight="1">
      <c r="A24" s="214"/>
      <c r="B24" s="173" t="s">
        <v>89</v>
      </c>
      <c r="C24" s="174" t="s">
        <v>73</v>
      </c>
      <c r="D24" s="170"/>
      <c r="E24" s="172"/>
      <c r="F24" s="172"/>
      <c r="G24" s="171"/>
      <c r="H24" s="172"/>
      <c r="I24" s="172"/>
      <c r="J24" s="172"/>
      <c r="K24" s="172"/>
      <c r="L24" s="172"/>
      <c r="M24" s="172"/>
      <c r="N24" s="172"/>
      <c r="O24" s="80"/>
    </row>
    <row r="25" spans="1:15" ht="15" customHeight="1">
      <c r="A25" s="124" t="s">
        <v>135</v>
      </c>
      <c r="B25" s="123" t="s">
        <v>136</v>
      </c>
      <c r="C25" s="123" t="s">
        <v>132</v>
      </c>
      <c r="D25" s="150">
        <v>0.2</v>
      </c>
      <c r="E25" s="158">
        <v>74983</v>
      </c>
      <c r="F25" s="117">
        <f t="shared" ref="F25:F27" si="1">D25*E25</f>
        <v>14996.6</v>
      </c>
      <c r="G25" s="80"/>
      <c r="H25" s="80"/>
      <c r="I25" s="80"/>
      <c r="J25" s="80"/>
      <c r="K25" s="80"/>
      <c r="L25" s="80"/>
      <c r="M25" s="80"/>
      <c r="N25" s="117">
        <f t="shared" ref="N25:N29" si="2">F25+H25+J25+L25</f>
        <v>14996.6</v>
      </c>
      <c r="O25" s="80"/>
    </row>
    <row r="26" spans="1:15" ht="15" customHeight="1">
      <c r="A26" s="206" t="s">
        <v>91</v>
      </c>
      <c r="B26" s="85" t="s">
        <v>92</v>
      </c>
      <c r="C26" s="86" t="s">
        <v>73</v>
      </c>
      <c r="D26" s="150">
        <v>16</v>
      </c>
      <c r="E26" s="80"/>
      <c r="F26" s="80">
        <f t="shared" ref="F26:F29" si="3">D26*E26</f>
        <v>0</v>
      </c>
      <c r="G26" s="158">
        <v>2084</v>
      </c>
      <c r="H26" s="80">
        <f t="shared" ref="H26:H27" si="4">D26*G26</f>
        <v>33344</v>
      </c>
      <c r="I26" s="80"/>
      <c r="J26" s="80"/>
      <c r="K26" s="80"/>
      <c r="L26" s="114"/>
      <c r="M26" s="80"/>
      <c r="N26" s="114">
        <f t="shared" si="2"/>
        <v>33344</v>
      </c>
      <c r="O26" s="80"/>
    </row>
    <row r="27" spans="1:15" ht="15" customHeight="1">
      <c r="A27" s="206"/>
      <c r="B27" s="85" t="s">
        <v>93</v>
      </c>
      <c r="C27" s="86" t="s">
        <v>73</v>
      </c>
      <c r="D27" s="150">
        <v>16</v>
      </c>
      <c r="E27" s="80"/>
      <c r="F27" s="80">
        <f t="shared" si="1"/>
        <v>0</v>
      </c>
      <c r="G27" s="158">
        <v>3232</v>
      </c>
      <c r="H27" s="80">
        <f t="shared" si="4"/>
        <v>51712</v>
      </c>
      <c r="I27" s="80"/>
      <c r="J27" s="80"/>
      <c r="K27" s="80"/>
      <c r="L27" s="114"/>
      <c r="M27" s="80"/>
      <c r="N27" s="114">
        <f t="shared" si="2"/>
        <v>51712</v>
      </c>
      <c r="O27" s="80"/>
    </row>
    <row r="28" spans="1:15" ht="15" customHeight="1">
      <c r="A28" s="206" t="s">
        <v>94</v>
      </c>
      <c r="B28" s="85" t="s">
        <v>92</v>
      </c>
      <c r="C28" s="86" t="s">
        <v>73</v>
      </c>
      <c r="D28" s="150">
        <v>2</v>
      </c>
      <c r="E28" s="80"/>
      <c r="F28" s="80">
        <f t="shared" si="3"/>
        <v>0</v>
      </c>
      <c r="G28" s="158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2"/>
        <v>4168</v>
      </c>
      <c r="O28" s="80"/>
    </row>
    <row r="29" spans="1:15" ht="15" customHeight="1">
      <c r="A29" s="206"/>
      <c r="B29" s="85" t="s">
        <v>95</v>
      </c>
      <c r="C29" s="86" t="s">
        <v>73</v>
      </c>
      <c r="D29" s="150">
        <v>2</v>
      </c>
      <c r="E29" s="80"/>
      <c r="F29" s="80">
        <f t="shared" si="3"/>
        <v>0</v>
      </c>
      <c r="G29" s="158">
        <v>4886</v>
      </c>
      <c r="H29" s="80">
        <f t="shared" ref="H29" si="5">D29*G29</f>
        <v>9772</v>
      </c>
      <c r="I29" s="80"/>
      <c r="J29" s="80"/>
      <c r="K29" s="80"/>
      <c r="L29" s="114"/>
      <c r="M29" s="80"/>
      <c r="N29" s="114">
        <f t="shared" si="2"/>
        <v>9772</v>
      </c>
      <c r="O29" s="80"/>
    </row>
    <row r="30" spans="1:15" ht="15" customHeight="1">
      <c r="A30" s="95" t="s">
        <v>81</v>
      </c>
      <c r="B30" s="87"/>
      <c r="C30" s="88"/>
      <c r="D30" s="151"/>
      <c r="E30" s="83"/>
      <c r="F30" s="83">
        <f>SUM(F19:F29)</f>
        <v>14996.6</v>
      </c>
      <c r="G30" s="83"/>
      <c r="H30" s="83">
        <f>SUM(H19:H29)</f>
        <v>98996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113992.6</v>
      </c>
      <c r="O30" s="83"/>
    </row>
    <row r="31" spans="1:15" ht="15" customHeight="1">
      <c r="A31" s="101" t="s">
        <v>96</v>
      </c>
      <c r="B31" s="78" t="s">
        <v>144</v>
      </c>
      <c r="C31" s="79" t="s">
        <v>73</v>
      </c>
      <c r="D31" s="152">
        <v>100</v>
      </c>
      <c r="E31" s="114"/>
      <c r="F31" s="114"/>
      <c r="G31" s="158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3"/>
      <c r="E32" s="90"/>
      <c r="F32" s="90"/>
      <c r="G32" s="90"/>
      <c r="H32" s="83">
        <f>SUM(H31:H31)</f>
        <v>428400</v>
      </c>
      <c r="I32" s="90"/>
      <c r="J32" s="83">
        <f t="shared" ref="J32:N32" si="6">SUM(J31:J31)</f>
        <v>0</v>
      </c>
      <c r="K32" s="83"/>
      <c r="L32" s="83">
        <f t="shared" si="6"/>
        <v>0</v>
      </c>
      <c r="M32" s="83"/>
      <c r="N32" s="83">
        <f t="shared" si="6"/>
        <v>428400</v>
      </c>
      <c r="O32" s="90"/>
    </row>
    <row r="33" spans="1:15" ht="15" customHeight="1">
      <c r="A33" s="95" t="s">
        <v>131</v>
      </c>
      <c r="B33" s="81"/>
      <c r="C33" s="82"/>
      <c r="D33" s="153"/>
      <c r="E33" s="91"/>
      <c r="F33" s="92">
        <f>F13+F18+F30+F32</f>
        <v>660869.1</v>
      </c>
      <c r="G33" s="92"/>
      <c r="H33" s="92">
        <f>H13+H18+H30+H32</f>
        <v>943122.5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1603991.6</v>
      </c>
      <c r="O33" s="91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9"/>
  <sheetViews>
    <sheetView showGridLines="0" zoomScaleNormal="100" workbookViewId="0">
      <selection activeCell="G30" sqref="G30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M020809012520101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M020809012520101</v>
      </c>
      <c r="E2" s="99">
        <f>'내역서(표준단가)'!E5</f>
        <v>0</v>
      </c>
      <c r="F2" s="107">
        <f>'내역서(표준단가)'!I5</f>
        <v>59.5</v>
      </c>
    </row>
    <row r="3" spans="1:6">
      <c r="A3" s="98" t="str">
        <f>'내역서(표준단가)'!A6</f>
        <v>E00000803071260401</v>
      </c>
      <c r="B3" s="99">
        <f>'내역서(표준단가)'!B6</f>
        <v>0</v>
      </c>
      <c r="C3" s="99" t="str">
        <f>'내역서(표준단가)'!C6</f>
        <v>E00000803071260401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0.97540000000000004</v>
      </c>
    </row>
    <row r="4" spans="1:6">
      <c r="A4" s="98" t="str">
        <f>'내역서(표준단가)'!A7</f>
        <v>M020411810170101</v>
      </c>
      <c r="B4" s="99">
        <f>'내역서(표준단가)'!B7</f>
        <v>0</v>
      </c>
      <c r="C4" s="99">
        <f>'내역서(표준단가)'!C7</f>
        <v>0</v>
      </c>
      <c r="D4" s="99" t="str">
        <f>'내역서(표준단가)'!D7</f>
        <v>M020411810170101</v>
      </c>
      <c r="E4" s="99">
        <f>'내역서(표준단가)'!E7</f>
        <v>0</v>
      </c>
      <c r="F4" s="107">
        <f>'내역서(표준단가)'!I7</f>
        <v>0.2</v>
      </c>
    </row>
    <row r="5" spans="1:6">
      <c r="A5" s="98" t="str">
        <f>'내역서(표준단가)'!A8</f>
        <v>E00000803061120802</v>
      </c>
      <c r="B5" s="99">
        <f>'내역서(표준단가)'!B8</f>
        <v>0</v>
      </c>
      <c r="C5" s="99" t="str">
        <f>'내역서(표준단가)'!C8</f>
        <v>E00000803061120802</v>
      </c>
      <c r="D5" s="99">
        <f>'내역서(표준단가)'!D8</f>
        <v>0</v>
      </c>
      <c r="E5" s="99">
        <f>'내역서(표준단가)'!E8</f>
        <v>0</v>
      </c>
      <c r="F5" s="107">
        <f>'내역서(표준단가)'!I8</f>
        <v>16</v>
      </c>
    </row>
    <row r="6" spans="1:6">
      <c r="A6" s="98" t="str">
        <f>'내역서(표준단가)'!A9</f>
        <v>E00000803061300701</v>
      </c>
      <c r="B6" s="99">
        <f>'내역서(표준단가)'!B9</f>
        <v>0</v>
      </c>
      <c r="C6" s="99" t="str">
        <f>'내역서(표준단가)'!C9</f>
        <v>E00000803061300701</v>
      </c>
      <c r="D6" s="99">
        <f>'내역서(표준단가)'!D9</f>
        <v>0</v>
      </c>
      <c r="E6" s="99">
        <f>'내역서(표준단가)'!E9</f>
        <v>0</v>
      </c>
      <c r="F6" s="107">
        <f>'내역서(표준단가)'!I9</f>
        <v>16</v>
      </c>
    </row>
    <row r="7" spans="1:6">
      <c r="A7" s="98" t="str">
        <f>'내역서(표준단가)'!A10</f>
        <v>E00000803061120802</v>
      </c>
      <c r="B7" s="99">
        <f>'내역서(표준단가)'!B10</f>
        <v>0</v>
      </c>
      <c r="C7" s="99" t="str">
        <f>'내역서(표준단가)'!C10</f>
        <v>E00000803061120802</v>
      </c>
      <c r="D7" s="99">
        <f>'내역서(표준단가)'!D10</f>
        <v>0</v>
      </c>
      <c r="E7" s="99">
        <f>'내역서(표준단가)'!E10</f>
        <v>0</v>
      </c>
      <c r="F7" s="107">
        <f>'내역서(표준단가)'!I10</f>
        <v>2</v>
      </c>
    </row>
    <row r="8" spans="1:6">
      <c r="A8" s="98" t="str">
        <f>'내역서(표준단가)'!A11</f>
        <v>E00000803061300401</v>
      </c>
      <c r="B8" s="99">
        <f>'내역서(표준단가)'!B11</f>
        <v>0</v>
      </c>
      <c r="C8" s="99" t="str">
        <f>'내역서(표준단가)'!C11</f>
        <v>E00000803061300401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2</v>
      </c>
    </row>
    <row r="9" spans="1:6">
      <c r="A9" s="98" t="str">
        <f>'내역서(표준단가)'!A12</f>
        <v>E00000801011510701</v>
      </c>
      <c r="B9" s="99">
        <f>'내역서(표준단가)'!B12</f>
        <v>0</v>
      </c>
      <c r="C9" s="99" t="str">
        <f>'내역서(표준단가)'!C12</f>
        <v>E00000801011510701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2026-05-26T01:38:32Z</dcterms:modified>
</cp:coreProperties>
</file>
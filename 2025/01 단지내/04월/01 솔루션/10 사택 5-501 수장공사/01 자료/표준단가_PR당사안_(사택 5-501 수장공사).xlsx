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02 사택 5-501 수장공사\01 자료\"/>
    </mc:Choice>
  </mc:AlternateContent>
  <xr:revisionPtr revIDLastSave="0" documentId="13_ncr:1_{BA4599E7-3A65-4182-A199-3D63C38FECF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D13" i="9" a="1"/>
  <c r="D13" i="9" s="1"/>
  <c r="N36" i="9"/>
  <c r="L36" i="9"/>
  <c r="J36" i="9"/>
  <c r="H36" i="9"/>
  <c r="N34" i="9"/>
  <c r="L34" i="9"/>
  <c r="J34" i="9"/>
  <c r="H34" i="9"/>
  <c r="F34" i="9"/>
  <c r="N24" i="9"/>
  <c r="L24" i="9"/>
  <c r="J24" i="9"/>
  <c r="H24" i="9"/>
  <c r="F24" i="9"/>
  <c r="D24" i="9"/>
  <c r="L14" i="9"/>
  <c r="J14" i="9"/>
  <c r="F14" i="9"/>
  <c r="D14" i="9"/>
  <c r="O5" i="4" a="1"/>
  <c r="O5" i="4" s="1"/>
  <c r="J21" i="11"/>
  <c r="J19" i="11"/>
  <c r="J29" i="1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1" l="1"/>
  <c r="J23" i="11"/>
  <c r="J26" i="11"/>
  <c r="J25" i="11"/>
  <c r="J27" i="11" s="1"/>
  <c r="F2" i="1" l="1"/>
  <c r="E2" i="1"/>
  <c r="D2" i="1"/>
  <c r="C2" i="1"/>
  <c r="B2" i="1"/>
  <c r="H35" i="9" l="1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1" i="9"/>
  <c r="F11" i="9"/>
  <c r="H9" i="9"/>
  <c r="F9" i="9"/>
  <c r="H7" i="9"/>
  <c r="F7" i="9"/>
  <c r="N7" i="9" s="1"/>
  <c r="H5" i="9"/>
  <c r="F5" i="9"/>
  <c r="N5" i="9" s="1"/>
  <c r="N11" i="9" l="1"/>
  <c r="N9" i="9"/>
  <c r="J37" i="9"/>
  <c r="N6" i="9"/>
  <c r="N8" i="9"/>
  <c r="N10" i="9"/>
  <c r="N12" i="9"/>
  <c r="N35" i="9"/>
  <c r="N20" i="9"/>
  <c r="N22" i="9"/>
  <c r="N26" i="9"/>
  <c r="N28" i="9"/>
  <c r="N30" i="9"/>
  <c r="N32" i="9"/>
  <c r="N21" i="9"/>
  <c r="N23" i="9"/>
  <c r="N27" i="9"/>
  <c r="N29" i="9"/>
  <c r="N31" i="9"/>
  <c r="N33" i="9"/>
  <c r="L37" i="9" l="1"/>
  <c r="F37" i="9"/>
  <c r="J18" i="4"/>
  <c r="J17" i="4"/>
  <c r="U15" i="4"/>
  <c r="S15" i="4"/>
  <c r="Q15" i="4"/>
  <c r="O15" i="4"/>
  <c r="A15" i="4"/>
  <c r="A12" i="1" s="1"/>
  <c r="A19" i="4"/>
  <c r="A16" i="4"/>
  <c r="A13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5" i="4" l="1"/>
  <c r="U16" i="4"/>
  <c r="S16" i="4"/>
  <c r="Q16" i="4"/>
  <c r="O16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6" i="4"/>
  <c r="V8" i="4"/>
  <c r="V10" i="4"/>
  <c r="V12" i="4"/>
  <c r="V13" i="4"/>
  <c r="V7" i="4"/>
  <c r="V9" i="4"/>
  <c r="V11" i="4"/>
  <c r="V14" i="4"/>
  <c r="V16" i="4"/>
  <c r="H13" i="9"/>
  <c r="H14" i="9" s="1"/>
  <c r="N13" i="9" l="1"/>
  <c r="N14" i="9" s="1"/>
  <c r="H37" i="9"/>
  <c r="N37" i="9" l="1"/>
  <c r="U19" i="4"/>
  <c r="S19" i="4"/>
  <c r="Q19" i="4"/>
  <c r="O19" i="4"/>
  <c r="U18" i="4"/>
  <c r="S18" i="4"/>
  <c r="Q18" i="4"/>
  <c r="O18" i="4"/>
  <c r="U17" i="4"/>
  <c r="S17" i="4"/>
  <c r="Q17" i="4"/>
  <c r="O17" i="4"/>
  <c r="V17" i="4" l="1"/>
  <c r="V18" i="4"/>
  <c r="V19" i="4"/>
  <c r="U20" i="4"/>
  <c r="Q20" i="4"/>
  <c r="S20" i="4" l="1"/>
  <c r="V20" i="4" l="1"/>
  <c r="O20" i="4" l="1"/>
  <c r="J18" i="11" s="1"/>
  <c r="J22" i="11" l="1"/>
  <c r="J28" i="11" s="1"/>
  <c r="J20" i="11" s="1"/>
  <c r="J30" i="11" s="1"/>
  <c r="M32" i="11" s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<sst xmlns="http://schemas.openxmlformats.org/spreadsheetml/2006/main" count="291" uniqueCount="214">
  <si>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</si>
  <si>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</si>
  <si>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</si>
  <si>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</si>
  <si>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</si>
  <si>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</si>
  <si>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</si>
  <si>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</si>
  <si>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</si>
  <si>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</si>
  <si>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</si>
  <si>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</si>
  <si>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</si>
  <si>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</si>
  <si>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</si>
  <si>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</si>
  <si>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</si>
  <si>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</si>
  <si>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</si>
  <si>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</si>
  <si>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</si>
  <si>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</si>
  <si>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</si>
  <si>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</si>
  <si>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</si>
  <si>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</si>
  <si>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</si>
  <si>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</si>
  <si>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</si>
  <si>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</si>
  <si>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</si>
  <si>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</si>
  <si>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</si>
  <si>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</si>
  <si>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</si>
  <si>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</si>
  <si>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</si>
  <si>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</si>
  <si>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</si>
  <si>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</si>
  <si>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</si>
  <si>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</si>
  <si>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</si>
  <si>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</si>
  <si>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</si>
  <si>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</si>
  <si>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</si>
  <si>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</si>
  <si>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</si>
  <si>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</si>
  <si>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</si>
  <si>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</si>
  <si>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</si>
  <si>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</si>
  <si>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</si>
  <si>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</si>
  <si>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</si>
  <si>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</si>
  <si>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</si>
  <si>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</si>
  <si>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</si>
  <si>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</si>
  <si>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</si>
  <si>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</si>
  <si>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</si>
  <si>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</si>
  <si>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</si>
  <si>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</si>
  <si>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</si>
  <si>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</si>
  <si>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</si>
  <si>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</si>
  <si>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</si>
  <si>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</si>
  <si>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</si>
  <si>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</si>
  <si>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</si>
  <si>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</si>
  <si>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</si>
  <si>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</si>
  <si>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</si>
  <si>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</si>
  <si>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</si>
  <si>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</si>
  <si>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</si>
  <si>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</si>
  <si>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</si>
  <si>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</si>
  <si>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</si>
  <si>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</si>
  <si>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</si>
  <si>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</si>
  <si>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</si>
  <si>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</si>
  <si>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</si>
  <si>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</si>
  <si>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</si>
  <si>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</si>
  <si>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</si>
  <si>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</si>
  <si>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</si>
  <si>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</si>
  <si>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</si>
  <si>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</si>
  <si>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</si>
  <si>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</si>
  <si>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</si>
  <si>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</si>
  <si>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</si>
  <si>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</si>
  <si>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</si>
  <si>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</si>
  <si>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</si>
  <si>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</si>
  <si>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</si>
  <si>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</si>
  <si>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</si>
  <si>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</si>
  <si>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</si>
  <si>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</si>
  <si>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</si>
  <si>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</si>
  <si>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</si>
  <si>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</si>
  <si>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</si>
  <si>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</si>
  <si>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</si>
  <si>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</si>
  <si>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</si>
  <si>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</si>
  <si>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사택 5-501 수장공사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</si>
  <si>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</si>
  <si>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</si>
  <si>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</si>
  <si>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</si>
  <si>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</si>
  <si>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</si>
  <si>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</si>
  <si>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</si>
  <si>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</si>
  <si>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</si>
  <si>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</si>
  <si>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</si>
  <si>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</si>
  <si>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</si>
  <si>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</si>
  <si>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</si>
  <si>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</si>
  <si>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</si>
  <si>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</si>
  <si>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</si>
  <si>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</si>
  <si>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</si>
  <si>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</si>
  <si>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</si>
  <si>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</si>
  <si>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</si>
  <si>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</si>
  <si>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</si>
  <si>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</si>
  <si>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</si>
  <si>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</si>
  <si>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</si>
  <si>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</si>
  <si>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</si>
  <si>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</si>
  <si>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</si>
  <si>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</si>
  <si>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</si>
  <si>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</si>
  <si>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</si>
  <si>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</si>
  <si>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</si>
  <si>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</si>
  <si>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</si>
  <si>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</si>
  <si>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</si>
  <si>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</si>
  <si>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</si>
  <si>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</si>
  <si>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</si>
  <si>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</si>
  <si>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</si>
  <si>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</si>
  <si>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</si>
  <si>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</si>
  <si>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</si>
  <si>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</si>
  <si>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</si>
  <si>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</si>
  <si>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</si>
  <si>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</si>
  <si>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</si>
  <si>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</si>
  <si>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</si>
  <si>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5-501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</si>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</sst>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Fill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82" fontId="17" fillId="0" borderId="2" xfId="1" applyNumberFormat="1" applyFont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6" fontId="29" fillId="7" borderId="19" xfId="11" applyNumberFormat="1" applyFont="1" applyFill="1" applyBorder="1" applyAlignment="1">
      <alignment horizontal="center" vertical="center"/>
    </xf>
    <xf numFmtId="176" fontId="29" fillId="7" borderId="19" xfId="11" applyFont="1" applyFill="1" applyBorder="1" applyAlignment="1">
      <alignment horizontal="center" vertical="center"/>
    </xf>
    <xf numFmtId="187" fontId="29" fillId="7" borderId="19" xfId="11" applyNumberFormat="1" applyFont="1" applyFill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right" vertical="center" wrapText="1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90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Border="1" applyAlignment="1">
      <alignment vertical="center"/>
    </xf>
    <xf numFmtId="0" fontId="32" fillId="0" borderId="32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/>
    </xf>
    <xf numFmtId="0" fontId="32" fillId="0" borderId="54" xfId="20" applyFont="1" applyBorder="1" applyAlignment="1">
      <alignment horizontal="center" vertical="center"/>
    </xf>
    <xf numFmtId="0" fontId="32" fillId="0" borderId="20" xfId="20" applyFont="1" applyBorder="1" applyAlignment="1">
      <alignment horizontal="center" vertical="center"/>
    </xf>
    <xf numFmtId="0" fontId="36" fillId="0" borderId="62" xfId="20" applyFont="1" applyBorder="1" applyAlignment="1">
      <alignment horizontal="center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Fill="1" applyBorder="1" applyAlignment="1">
      <alignment horizontal="right" vertical="center"/>
    </xf>
    <xf numFmtId="176" fontId="32" fillId="0" borderId="75" xfId="21" applyFont="1" applyFill="1" applyBorder="1" applyAlignment="1">
      <alignment horizontal="right" vertical="center"/>
    </xf>
    <xf numFmtId="176" fontId="32" fillId="0" borderId="76" xfId="21" applyFont="1" applyFill="1" applyBorder="1" applyAlignment="1">
      <alignment horizontal="right" vertical="center"/>
    </xf>
    <xf numFmtId="176" fontId="32" fillId="0" borderId="74" xfId="22" applyFont="1" applyFill="1" applyBorder="1" applyAlignment="1">
      <alignment horizontal="left" vertical="center"/>
    </xf>
    <xf numFmtId="176" fontId="32" fillId="0" borderId="77" xfId="22" applyFont="1" applyFill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22" xfId="21" applyFont="1" applyFill="1" applyBorder="1" applyAlignment="1">
      <alignment horizontal="right" vertical="center"/>
    </xf>
    <xf numFmtId="176" fontId="32" fillId="0" borderId="21" xfId="22" applyFont="1" applyFill="1" applyBorder="1" applyAlignment="1">
      <alignment horizontal="left" vertical="center"/>
    </xf>
    <xf numFmtId="176" fontId="32" fillId="0" borderId="61" xfId="22" applyFont="1" applyFill="1" applyBorder="1" applyAlignment="1">
      <alignment horizontal="lef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6" xfId="22" applyFont="1" applyFill="1" applyBorder="1" applyAlignment="1">
      <alignment horizontal="left" vertical="center"/>
    </xf>
    <xf numFmtId="176" fontId="32" fillId="0" borderId="38" xfId="22" applyFont="1" applyFill="1" applyBorder="1" applyAlignment="1">
      <alignment horizontal="left" vertical="center"/>
    </xf>
    <xf numFmtId="176" fontId="32" fillId="0" borderId="68" xfId="22" applyFont="1" applyFill="1" applyBorder="1" applyAlignment="1">
      <alignment horizontal="left" vertical="center"/>
    </xf>
    <xf numFmtId="176" fontId="32" fillId="0" borderId="72" xfId="22" applyFont="1" applyFill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0" fontId="36" fillId="0" borderId="62" xfId="20" applyFont="1" applyBorder="1" applyAlignment="1">
      <alignment horizontal="left" vertical="center" wrapText="1" indent="1"/>
    </xf>
    <xf numFmtId="0" fontId="36" fillId="0" borderId="63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 wrapText="1"/>
    </xf>
    <xf numFmtId="0" fontId="32" fillId="0" borderId="33" xfId="20" applyFont="1" applyBorder="1" applyAlignment="1">
      <alignment horizontal="center" vertical="center" wrapText="1"/>
    </xf>
    <xf numFmtId="0" fontId="32" fillId="0" borderId="53" xfId="20" applyFont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189" fontId="41" fillId="12" borderId="0" xfId="17" applyNumberFormat="1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D4B9425-3570-40B5-B62F-EF712168E22A}"/>
    <cellStyle name="쉼표 [0] 2 84" xfId="24" xr:uid="{B01AB6EB-C232-4F33-90FA-D6BF4CE4976D}"/>
    <cellStyle name="쉼표 [0] 3" xfId="14" xr:uid="{8F7BE219-40E1-4BBB-A9BD-02188B74B2A3}"/>
    <cellStyle name="쉼표 [0] 4" xfId="21" xr:uid="{78ED69AF-FA19-4E98-8F57-A184DF45FBAC}"/>
    <cellStyle name="쉼표 [0] 5" xfId="23" xr:uid="{7A9D6ABD-43C2-4FBA-9E89-9085F4EB088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CC23B15-F161-49BB-9E39-58378727F25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7C057D1-97B9-4D68-8E00-129966C86274}"/>
    <cellStyle name="표준_P456 공장 및 복지동 전면 유리창 청소건 라상혁님_1129(최종)" xfId="20" xr:uid="{ACA8349A-8F34-4A89-A201-2840D3F33FF0}"/>
    <cellStyle name="표준_S&amp;D_MAIN VALVE_최빈_2" xfId="17" xr:uid="{C3D51FF8-65B8-4EB4-9215-5A8214D722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3CF475-E121-44DE-9F14-E8BBDFEED3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3380-BBBF-47A5-B435-517FB9D97395}">
  <sheetPr>
    <tabColor rgb="FFFFFF00"/>
  </sheetPr>
  <dimension ref="A1:Q43"/>
  <sheetViews>
    <sheetView tabSelected="1" view="pageBreakPreview" topLeftCell="B15" zoomScale="85" zoomScaleNormal="85" zoomScaleSheetLayoutView="85" workbookViewId="0">
      <selection activeCell="J32" sqref="J32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49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1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2" t="s">
        <v>131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/>
    </row>
    <row r="4" spans="1:15" ht="16.5" customHeight="1" x14ac:dyDescent="0.3">
      <c r="A4" s="107" t="s">
        <v>132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196</v>
      </c>
      <c r="C5" s="168"/>
      <c r="D5" s="168"/>
      <c r="E5" s="168"/>
      <c r="F5" s="168"/>
      <c r="G5" s="113"/>
      <c r="H5" s="113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55" t="s">
        <v>133</v>
      </c>
      <c r="B7" s="256"/>
      <c r="C7" s="257"/>
      <c r="D7" s="169">
        <v>2025</v>
      </c>
      <c r="E7" s="120" t="s">
        <v>134</v>
      </c>
      <c r="F7" s="120">
        <v>3</v>
      </c>
      <c r="G7" s="120" t="s">
        <v>135</v>
      </c>
      <c r="H7" s="120">
        <v>10</v>
      </c>
      <c r="I7" s="120" t="s">
        <v>136</v>
      </c>
      <c r="J7" s="121"/>
      <c r="K7" s="258" t="s">
        <v>137</v>
      </c>
      <c r="L7" s="122" t="s">
        <v>138</v>
      </c>
      <c r="M7" s="122" t="s">
        <v>139</v>
      </c>
      <c r="N7" s="122" t="s">
        <v>140</v>
      </c>
      <c r="O7" s="123" t="s">
        <v>141</v>
      </c>
    </row>
    <row r="8" spans="1:15" ht="23.25" customHeight="1" x14ac:dyDescent="0.3">
      <c r="A8" s="261" t="s">
        <v>142</v>
      </c>
      <c r="B8" s="262"/>
      <c r="C8" s="263"/>
      <c r="D8" s="264" t="s">
        <v>143</v>
      </c>
      <c r="E8" s="265"/>
      <c r="F8" s="265"/>
      <c r="G8" s="266"/>
      <c r="H8" s="267" t="s">
        <v>144</v>
      </c>
      <c r="I8" s="265"/>
      <c r="J8" s="268"/>
      <c r="K8" s="259"/>
      <c r="L8" s="124" t="s">
        <v>145</v>
      </c>
      <c r="M8" s="124" t="s">
        <v>146</v>
      </c>
      <c r="N8" s="124" t="s">
        <v>147</v>
      </c>
      <c r="O8" s="125" t="s">
        <v>148</v>
      </c>
    </row>
    <row r="9" spans="1:15" ht="23.25" customHeight="1" x14ac:dyDescent="0.3">
      <c r="A9" s="261" t="s">
        <v>149</v>
      </c>
      <c r="B9" s="262"/>
      <c r="C9" s="263"/>
      <c r="D9" s="269" t="s">
        <v>150</v>
      </c>
      <c r="E9" s="270"/>
      <c r="F9" s="270"/>
      <c r="G9" s="270"/>
      <c r="H9" s="270"/>
      <c r="I9" s="270"/>
      <c r="J9" s="271"/>
      <c r="K9" s="259"/>
      <c r="L9" s="124" t="s">
        <v>151</v>
      </c>
      <c r="M9" s="272" t="s">
        <v>152</v>
      </c>
      <c r="N9" s="262"/>
      <c r="O9" s="263"/>
    </row>
    <row r="10" spans="1:15" ht="23.25" customHeight="1" thickBot="1" x14ac:dyDescent="0.35">
      <c r="A10" s="273" t="s">
        <v>153</v>
      </c>
      <c r="B10" s="274"/>
      <c r="C10" s="275"/>
      <c r="D10" s="276" t="s">
        <v>154</v>
      </c>
      <c r="E10" s="277"/>
      <c r="F10" s="277"/>
      <c r="G10" s="277"/>
      <c r="H10" s="277"/>
      <c r="I10" s="277"/>
      <c r="J10" s="278"/>
      <c r="K10" s="260"/>
      <c r="L10" s="126" t="s">
        <v>155</v>
      </c>
      <c r="M10" s="126" t="s">
        <v>156</v>
      </c>
      <c r="N10" s="126" t="s">
        <v>157</v>
      </c>
      <c r="O10" s="127" t="s">
        <v>158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48" t="s">
        <v>195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135" t="s">
        <v>159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1" t="str">
        <f>"견 적 금 액 : 一金"&amp;NUMBERSTRING(M32,1) &amp; "원정""(\"&amp; TEXT(M32,"#,###")&amp;"원) [VAT 별도]"</f>
        <v>견 적 금 액 : 一金삼백육십오만이천팔백오십원정"(\3,652,850원) [VAT 별도]</v>
      </c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2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3"/>
      <c r="L16" s="233"/>
      <c r="M16" s="233"/>
      <c r="N16" s="233"/>
      <c r="O16" s="234"/>
    </row>
    <row r="17" spans="1:17" ht="27.75" customHeight="1" thickBot="1" x14ac:dyDescent="0.35">
      <c r="A17" s="136" t="s">
        <v>160</v>
      </c>
      <c r="B17" s="241" t="s">
        <v>161</v>
      </c>
      <c r="C17" s="242"/>
      <c r="D17" s="242"/>
      <c r="E17" s="242"/>
      <c r="F17" s="242"/>
      <c r="G17" s="243"/>
      <c r="H17" s="137" t="s">
        <v>162</v>
      </c>
      <c r="I17" s="138" t="s">
        <v>163</v>
      </c>
      <c r="J17" s="244" t="s">
        <v>164</v>
      </c>
      <c r="K17" s="245"/>
      <c r="L17" s="245"/>
      <c r="M17" s="246"/>
      <c r="N17" s="241" t="s">
        <v>165</v>
      </c>
      <c r="O17" s="247"/>
    </row>
    <row r="18" spans="1:17" ht="28.5" customHeight="1" x14ac:dyDescent="0.3">
      <c r="A18" s="139">
        <v>1</v>
      </c>
      <c r="B18" s="235" t="s">
        <v>114</v>
      </c>
      <c r="C18" s="236"/>
      <c r="D18" s="236"/>
      <c r="E18" s="236"/>
      <c r="F18" s="236"/>
      <c r="G18" s="237"/>
      <c r="H18" s="170">
        <v>1</v>
      </c>
      <c r="I18" s="171" t="s">
        <v>6</v>
      </c>
      <c r="J18" s="238">
        <f>IFERROR(LOOKUP(2, 1/(TRIM('내역서(표준단가)'!O4:O100)&lt;&gt;""), '내역서(표준단가)'!O4:O100), "-")</f>
        <v>693177.755</v>
      </c>
      <c r="K18" s="238"/>
      <c r="L18" s="238"/>
      <c r="M18" s="238"/>
      <c r="N18" s="239"/>
      <c r="O18" s="240"/>
    </row>
    <row r="19" spans="1:17" ht="28.5" customHeight="1" x14ac:dyDescent="0.3">
      <c r="A19" s="140">
        <v>2</v>
      </c>
      <c r="B19" s="218" t="s">
        <v>115</v>
      </c>
      <c r="C19" s="219"/>
      <c r="D19" s="219"/>
      <c r="E19" s="219"/>
      <c r="F19" s="219"/>
      <c r="G19" s="220"/>
      <c r="H19" s="172">
        <v>1</v>
      </c>
      <c r="I19" s="172" t="s">
        <v>6</v>
      </c>
      <c r="J19" s="221">
        <f>IFERROR(LOOKUP(2, 1/(TRIM('내역서(표준단가)'!Q4:Q100)&lt;&gt;""), '내역서(표준단가)'!Q4:Q100), "-")</f>
        <v>2203753.71</v>
      </c>
      <c r="K19" s="222"/>
      <c r="L19" s="222"/>
      <c r="M19" s="223"/>
      <c r="N19" s="224"/>
      <c r="O19" s="225"/>
    </row>
    <row r="20" spans="1:17" ht="28.5" customHeight="1" x14ac:dyDescent="0.3">
      <c r="A20" s="140">
        <v>3</v>
      </c>
      <c r="B20" s="218" t="s">
        <v>166</v>
      </c>
      <c r="C20" s="219"/>
      <c r="D20" s="219"/>
      <c r="E20" s="219"/>
      <c r="F20" s="219"/>
      <c r="G20" s="220"/>
      <c r="H20" s="141">
        <v>1</v>
      </c>
      <c r="I20" s="141" t="s">
        <v>6</v>
      </c>
      <c r="J20" s="226">
        <f>IFERROR(SUM(J21:M29),"-")</f>
        <v>378215.0365160252</v>
      </c>
      <c r="K20" s="227"/>
      <c r="L20" s="227"/>
      <c r="M20" s="228"/>
      <c r="N20" s="229"/>
      <c r="O20" s="230"/>
      <c r="P20" s="142"/>
    </row>
    <row r="21" spans="1:17" ht="28.5" customHeight="1" x14ac:dyDescent="0.3">
      <c r="A21" s="139"/>
      <c r="B21" s="143"/>
      <c r="C21" s="210" t="s">
        <v>167</v>
      </c>
      <c r="D21" s="211"/>
      <c r="E21" s="211"/>
      <c r="F21" s="211"/>
      <c r="G21" s="212"/>
      <c r="H21" s="173">
        <v>1</v>
      </c>
      <c r="I21" s="173" t="s">
        <v>6</v>
      </c>
      <c r="J21" s="21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4"/>
      <c r="L21" s="214"/>
      <c r="M21" s="215"/>
      <c r="N21" s="216" t="s">
        <v>168</v>
      </c>
      <c r="O21" s="217"/>
    </row>
    <row r="22" spans="1:17" ht="28.5" customHeight="1" x14ac:dyDescent="0.3">
      <c r="A22" s="139"/>
      <c r="B22" s="143"/>
      <c r="C22" s="204" t="s">
        <v>169</v>
      </c>
      <c r="D22" s="205"/>
      <c r="E22" s="205"/>
      <c r="F22" s="205"/>
      <c r="G22" s="206"/>
      <c r="H22" s="144">
        <v>3.11</v>
      </c>
      <c r="I22" s="144" t="s">
        <v>170</v>
      </c>
      <c r="J22" s="207">
        <f>IFERROR((J18+J19)*H22%,"-")</f>
        <v>90094.568561499997</v>
      </c>
      <c r="K22" s="208"/>
      <c r="L22" s="208"/>
      <c r="M22" s="209"/>
      <c r="N22" s="200" t="s">
        <v>171</v>
      </c>
      <c r="O22" s="201"/>
    </row>
    <row r="23" spans="1:17" ht="28.5" customHeight="1" x14ac:dyDescent="0.3">
      <c r="A23" s="139"/>
      <c r="B23" s="143"/>
      <c r="C23" s="204" t="s">
        <v>172</v>
      </c>
      <c r="D23" s="205"/>
      <c r="E23" s="205"/>
      <c r="F23" s="205"/>
      <c r="G23" s="206"/>
      <c r="H23" s="144">
        <v>3.56</v>
      </c>
      <c r="I23" s="144" t="s">
        <v>173</v>
      </c>
      <c r="J23" s="207">
        <f>IFERROR(J19*H23%,"-")</f>
        <v>78453.632075999994</v>
      </c>
      <c r="K23" s="208"/>
      <c r="L23" s="208"/>
      <c r="M23" s="209"/>
      <c r="N23" s="200" t="s">
        <v>174</v>
      </c>
      <c r="O23" s="201"/>
    </row>
    <row r="24" spans="1:17" ht="28.5" customHeight="1" x14ac:dyDescent="0.3">
      <c r="A24" s="139"/>
      <c r="B24" s="143"/>
      <c r="C24" s="204" t="s">
        <v>175</v>
      </c>
      <c r="D24" s="205"/>
      <c r="E24" s="205"/>
      <c r="F24" s="205"/>
      <c r="G24" s="206"/>
      <c r="H24" s="144">
        <v>1.01</v>
      </c>
      <c r="I24" s="144" t="s">
        <v>173</v>
      </c>
      <c r="J24" s="207">
        <f>IFERROR(J19*H24%,"-")</f>
        <v>22257.912471</v>
      </c>
      <c r="K24" s="208"/>
      <c r="L24" s="208"/>
      <c r="M24" s="209"/>
      <c r="N24" s="200" t="s">
        <v>176</v>
      </c>
      <c r="O24" s="201"/>
    </row>
    <row r="25" spans="1:17" ht="28.5" customHeight="1" x14ac:dyDescent="0.3">
      <c r="A25" s="139"/>
      <c r="B25" s="143"/>
      <c r="C25" s="204" t="s">
        <v>177</v>
      </c>
      <c r="D25" s="205"/>
      <c r="E25" s="205"/>
      <c r="F25" s="205"/>
      <c r="G25" s="206"/>
      <c r="H25" s="145">
        <v>3.5449999999999999</v>
      </c>
      <c r="I25" s="144" t="s">
        <v>173</v>
      </c>
      <c r="J25" s="207">
        <f>IFERROR(J19*H25%,"-")</f>
        <v>78123.069019500006</v>
      </c>
      <c r="K25" s="208"/>
      <c r="L25" s="208"/>
      <c r="M25" s="209"/>
      <c r="N25" s="200" t="s">
        <v>178</v>
      </c>
      <c r="O25" s="201"/>
      <c r="Q25" s="142"/>
    </row>
    <row r="26" spans="1:17" ht="28.5" customHeight="1" x14ac:dyDescent="0.3">
      <c r="A26" s="139"/>
      <c r="B26" s="143"/>
      <c r="C26" s="204" t="s">
        <v>179</v>
      </c>
      <c r="D26" s="205"/>
      <c r="E26" s="205"/>
      <c r="F26" s="205"/>
      <c r="G26" s="206"/>
      <c r="H26" s="144">
        <v>4.5</v>
      </c>
      <c r="I26" s="144" t="s">
        <v>173</v>
      </c>
      <c r="J26" s="207">
        <f>IFERROR(J19*H26%,"-")</f>
        <v>99168.916949999999</v>
      </c>
      <c r="K26" s="208"/>
      <c r="L26" s="208"/>
      <c r="M26" s="209"/>
      <c r="N26" s="200" t="s">
        <v>180</v>
      </c>
      <c r="O26" s="201"/>
      <c r="Q26" s="146"/>
    </row>
    <row r="27" spans="1:17" ht="28.5" customHeight="1" x14ac:dyDescent="0.3">
      <c r="A27" s="139"/>
      <c r="B27" s="143"/>
      <c r="C27" s="194" t="s">
        <v>181</v>
      </c>
      <c r="D27" s="195"/>
      <c r="E27" s="195"/>
      <c r="F27" s="195"/>
      <c r="G27" s="196"/>
      <c r="H27" s="147">
        <v>12.95</v>
      </c>
      <c r="I27" s="148" t="s">
        <v>173</v>
      </c>
      <c r="J27" s="197">
        <f>IFERROR($H$27*J25%,"-")</f>
        <v>10116.93743802525</v>
      </c>
      <c r="K27" s="198"/>
      <c r="L27" s="198"/>
      <c r="M27" s="199"/>
      <c r="N27" s="200" t="s">
        <v>182</v>
      </c>
      <c r="O27" s="201"/>
    </row>
    <row r="28" spans="1:17" ht="28.5" customHeight="1" x14ac:dyDescent="0.3">
      <c r="A28" s="139"/>
      <c r="B28" s="143"/>
      <c r="C28" s="194" t="s">
        <v>183</v>
      </c>
      <c r="D28" s="195"/>
      <c r="E28" s="195"/>
      <c r="F28" s="195"/>
      <c r="G28" s="196"/>
      <c r="H28" s="147">
        <v>8.1000000000000003E-2</v>
      </c>
      <c r="I28" s="148" t="s">
        <v>173</v>
      </c>
      <c r="J28" s="197" t="str">
        <f>IFERROR(IF(SUM(J21:J27,J18:J19)&gt;=10000000,SUM(J21:J27,J18:J19)*H28%,"-"),"-")</f>
        <v>-</v>
      </c>
      <c r="K28" s="198"/>
      <c r="L28" s="198"/>
      <c r="M28" s="199"/>
      <c r="N28" s="202" t="s">
        <v>184</v>
      </c>
      <c r="O28" s="203"/>
    </row>
    <row r="29" spans="1:17" ht="28.5" customHeight="1" x14ac:dyDescent="0.3">
      <c r="A29" s="149"/>
      <c r="B29" s="150"/>
      <c r="C29" s="174" t="s">
        <v>185</v>
      </c>
      <c r="D29" s="175"/>
      <c r="E29" s="175"/>
      <c r="F29" s="175"/>
      <c r="G29" s="176"/>
      <c r="H29" s="151">
        <v>1</v>
      </c>
      <c r="I29" s="152" t="s">
        <v>186</v>
      </c>
      <c r="J29" s="177">
        <f>34*0</f>
        <v>0</v>
      </c>
      <c r="K29" s="178"/>
      <c r="L29" s="178"/>
      <c r="M29" s="179"/>
      <c r="N29" s="180" t="s">
        <v>187</v>
      </c>
      <c r="O29" s="181"/>
    </row>
    <row r="30" spans="1:17" ht="28.5" customHeight="1" x14ac:dyDescent="0.3">
      <c r="A30" s="149">
        <v>4</v>
      </c>
      <c r="B30" s="150"/>
      <c r="C30" s="174" t="s">
        <v>188</v>
      </c>
      <c r="D30" s="175"/>
      <c r="E30" s="175"/>
      <c r="F30" s="175"/>
      <c r="G30" s="176"/>
      <c r="H30" s="152">
        <v>5</v>
      </c>
      <c r="I30" s="153" t="s">
        <v>189</v>
      </c>
      <c r="J30" s="187">
        <f>IFERROR(IF(ISNUMBER(H30), SUM(J18:M20) * (H30 / 100), "-"), "-")</f>
        <v>163757.32507580126</v>
      </c>
      <c r="K30" s="188"/>
      <c r="L30" s="188"/>
      <c r="M30" s="189"/>
      <c r="N30" s="190" t="s">
        <v>190</v>
      </c>
      <c r="O30" s="191"/>
    </row>
    <row r="31" spans="1:17" ht="28.5" customHeight="1" thickBot="1" x14ac:dyDescent="0.35">
      <c r="A31" s="149">
        <v>5</v>
      </c>
      <c r="B31" s="150"/>
      <c r="C31" s="174" t="s">
        <v>191</v>
      </c>
      <c r="D31" s="175"/>
      <c r="E31" s="175"/>
      <c r="F31" s="175"/>
      <c r="G31" s="176"/>
      <c r="H31" s="152">
        <v>7.5</v>
      </c>
      <c r="I31" s="153" t="s">
        <v>173</v>
      </c>
      <c r="J31" s="177">
        <f>IFERROR(SUM(J18:M20, J30) * (H31 / 100), "-")-43971</f>
        <v>213946.78699438699</v>
      </c>
      <c r="K31" s="178"/>
      <c r="L31" s="178"/>
      <c r="M31" s="179"/>
      <c r="N31" s="192" t="s">
        <v>192</v>
      </c>
      <c r="O31" s="193"/>
      <c r="Q31" s="154"/>
    </row>
    <row r="32" spans="1:17" ht="28.5" customHeight="1" thickBot="1" x14ac:dyDescent="0.35">
      <c r="A32" s="182" t="s">
        <v>193</v>
      </c>
      <c r="B32" s="183"/>
      <c r="C32" s="183"/>
      <c r="D32" s="183"/>
      <c r="E32" s="183"/>
      <c r="F32" s="183"/>
      <c r="G32" s="183"/>
      <c r="H32" s="183"/>
      <c r="I32" s="184"/>
      <c r="J32" s="155"/>
      <c r="K32" s="156"/>
      <c r="L32" s="156"/>
      <c r="M32" s="157">
        <f>IFERROR(ROUNDDOWN(SUM(J18:M20)+J30+J31,0),"-")</f>
        <v>3652850</v>
      </c>
      <c r="N32" s="185"/>
      <c r="O32" s="186"/>
      <c r="P32" s="158"/>
    </row>
    <row r="33" spans="1:15" x14ac:dyDescent="0.3">
      <c r="A33" s="159" t="s">
        <v>194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4"/>
  <sheetViews>
    <sheetView showGridLines="0" zoomScaleNormal="100" workbookViewId="0">
      <selection activeCell="W35" sqref="W35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8.37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16"/>
      <c r="O1" s="14" t="s">
        <v>112</v>
      </c>
      <c r="Q1" s="14" t="s">
        <v>112</v>
      </c>
      <c r="S1" s="14" t="s">
        <v>112</v>
      </c>
      <c r="U1" s="14" t="s">
        <v>112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197</v>
      </c>
      <c r="G3" s="20"/>
      <c r="H3" s="20"/>
      <c r="I3" s="20"/>
      <c r="J3" s="288" t="s">
        <v>113</v>
      </c>
      <c r="K3" s="288"/>
      <c r="L3" s="288" t="s">
        <v>12</v>
      </c>
      <c r="M3" s="288" t="s">
        <v>5</v>
      </c>
      <c r="N3" s="284" t="s">
        <v>114</v>
      </c>
      <c r="O3" s="284"/>
      <c r="P3" s="284" t="s">
        <v>115</v>
      </c>
      <c r="Q3" s="284"/>
      <c r="R3" s="285" t="s">
        <v>116</v>
      </c>
      <c r="S3" s="285"/>
      <c r="T3" s="285" t="s">
        <v>198</v>
      </c>
      <c r="U3" s="285"/>
      <c r="V3" s="286" t="s">
        <v>117</v>
      </c>
      <c r="W3" s="282" t="s">
        <v>118</v>
      </c>
      <c r="X3" s="280" t="s">
        <v>7</v>
      </c>
    </row>
    <row r="4" spans="1:24" ht="19.899999999999999" customHeight="1" x14ac:dyDescent="0.3">
      <c r="A4" s="21" t="s">
        <v>119</v>
      </c>
      <c r="B4" s="22"/>
      <c r="C4" s="22"/>
      <c r="D4" s="22"/>
      <c r="E4" s="22"/>
      <c r="F4" s="23" t="s">
        <v>120</v>
      </c>
      <c r="G4" s="23" t="s">
        <v>121</v>
      </c>
      <c r="H4" s="23" t="s">
        <v>122</v>
      </c>
      <c r="I4" s="23" t="s">
        <v>123</v>
      </c>
      <c r="J4" s="24" t="s">
        <v>124</v>
      </c>
      <c r="K4" s="24" t="s">
        <v>125</v>
      </c>
      <c r="L4" s="289"/>
      <c r="M4" s="289"/>
      <c r="N4" s="25" t="s">
        <v>126</v>
      </c>
      <c r="O4" s="26" t="s">
        <v>127</v>
      </c>
      <c r="P4" s="25" t="s">
        <v>128</v>
      </c>
      <c r="Q4" s="26" t="s">
        <v>127</v>
      </c>
      <c r="R4" s="26" t="s">
        <v>129</v>
      </c>
      <c r="S4" s="26" t="s">
        <v>127</v>
      </c>
      <c r="T4" s="26" t="s">
        <v>129</v>
      </c>
      <c r="U4" s="26" t="s">
        <v>127</v>
      </c>
      <c r="V4" s="287"/>
      <c r="W4" s="283"/>
      <c r="X4" s="281"/>
    </row>
    <row r="5" spans="1:24" s="37" customFormat="1" ht="19.899999999999999" customHeight="1" x14ac:dyDescent="0.3">
      <c r="A5" s="27" t="str">
        <f t="shared" ref="A5:A19" si="0">F5&amp;G5&amp;H5&amp;I5</f>
        <v>D02641</v>
      </c>
      <c r="B5" s="28"/>
      <c r="C5" s="28"/>
      <c r="D5" s="28"/>
      <c r="E5" s="28"/>
      <c r="F5" s="30" t="s">
        <v>68</v>
      </c>
      <c r="G5" s="29"/>
      <c r="H5" s="29"/>
      <c r="I5" s="30"/>
      <c r="J5" s="31" t="s">
        <v>199</v>
      </c>
      <c r="K5" s="31" t="s">
        <v>69</v>
      </c>
      <c r="L5" s="31" t="s">
        <v>70</v>
      </c>
      <c r="M5" s="81">
        <v>120</v>
      </c>
      <c r="N5" s="32"/>
      <c r="O5" s="33" cm="1">
        <f t="array" ref="O5">SUM(N5:N5*M5*$O$2)</f>
        <v>0</v>
      </c>
      <c r="P5" s="82">
        <v>6691</v>
      </c>
      <c r="Q5" s="33">
        <f t="shared" ref="Q5:Q16" si="1">(P5*M5)*$Q$2</f>
        <v>670438.19999999995</v>
      </c>
      <c r="R5" s="34"/>
      <c r="S5" s="33">
        <f t="shared" ref="S5:S16" si="2">R5*M5*$S$2</f>
        <v>0</v>
      </c>
      <c r="T5" s="34"/>
      <c r="U5" s="33">
        <f t="shared" ref="U5:U16" si="3">T5*M5*$U$2</f>
        <v>0</v>
      </c>
      <c r="V5" s="34">
        <f t="shared" ref="V5:V16" si="4">SUM(O5+Q5)+S5+U5</f>
        <v>670438.19999999995</v>
      </c>
      <c r="W5" s="35"/>
      <c r="X5" s="36"/>
    </row>
    <row r="6" spans="1:24" s="37" customFormat="1" ht="19.899999999999999" customHeight="1" x14ac:dyDescent="0.3">
      <c r="A6" s="27" t="str">
        <f t="shared" si="0"/>
        <v>D02873</v>
      </c>
      <c r="B6" s="28"/>
      <c r="C6" s="28"/>
      <c r="D6" s="28"/>
      <c r="E6" s="28"/>
      <c r="F6" s="30" t="s">
        <v>71</v>
      </c>
      <c r="G6" s="29"/>
      <c r="H6" s="29"/>
      <c r="I6" s="30"/>
      <c r="J6" s="31" t="s">
        <v>72</v>
      </c>
      <c r="K6" s="31" t="s">
        <v>73</v>
      </c>
      <c r="L6" s="31" t="s">
        <v>70</v>
      </c>
      <c r="M6" s="81">
        <v>60</v>
      </c>
      <c r="N6" s="32"/>
      <c r="O6" s="33">
        <f t="shared" ref="O6:O16" si="5">SUM(N6:N6)*M6*$O$2</f>
        <v>0</v>
      </c>
      <c r="P6" s="82">
        <v>1618</v>
      </c>
      <c r="Q6" s="33">
        <f t="shared" si="1"/>
        <v>81061.8</v>
      </c>
      <c r="R6" s="34"/>
      <c r="S6" s="33">
        <f t="shared" si="2"/>
        <v>0</v>
      </c>
      <c r="T6" s="34"/>
      <c r="U6" s="33">
        <f t="shared" si="3"/>
        <v>0</v>
      </c>
      <c r="V6" s="34">
        <f t="shared" si="4"/>
        <v>81061.8</v>
      </c>
      <c r="W6" s="35"/>
      <c r="X6" s="36"/>
    </row>
    <row r="7" spans="1:24" s="37" customFormat="1" ht="19.899999999999999" customHeight="1" x14ac:dyDescent="0.3">
      <c r="A7" s="27" t="str">
        <f t="shared" si="0"/>
        <v>D02859</v>
      </c>
      <c r="B7" s="28"/>
      <c r="C7" s="28"/>
      <c r="D7" s="28"/>
      <c r="E7" s="28"/>
      <c r="F7" s="30" t="s">
        <v>74</v>
      </c>
      <c r="G7" s="29"/>
      <c r="H7" s="29"/>
      <c r="I7" s="30"/>
      <c r="J7" s="31" t="s">
        <v>75</v>
      </c>
      <c r="K7" s="31" t="s">
        <v>76</v>
      </c>
      <c r="L7" s="31" t="s">
        <v>70</v>
      </c>
      <c r="M7" s="81">
        <v>37</v>
      </c>
      <c r="N7" s="32"/>
      <c r="O7" s="33">
        <f t="shared" si="5"/>
        <v>0</v>
      </c>
      <c r="P7" s="82">
        <v>4855</v>
      </c>
      <c r="Q7" s="33">
        <f t="shared" si="1"/>
        <v>149995.22500000001</v>
      </c>
      <c r="R7" s="34"/>
      <c r="S7" s="33">
        <f t="shared" si="2"/>
        <v>0</v>
      </c>
      <c r="T7" s="34"/>
      <c r="U7" s="33">
        <f t="shared" si="3"/>
        <v>0</v>
      </c>
      <c r="V7" s="34">
        <f t="shared" si="4"/>
        <v>149995.22500000001</v>
      </c>
      <c r="W7" s="35"/>
      <c r="X7" s="36"/>
    </row>
    <row r="8" spans="1:24" s="37" customFormat="1" ht="19.899999999999999" customHeight="1" x14ac:dyDescent="0.3">
      <c r="A8" s="27" t="str">
        <f t="shared" si="0"/>
        <v>D02558</v>
      </c>
      <c r="B8" s="28"/>
      <c r="C8" s="28"/>
      <c r="D8" s="28"/>
      <c r="E8" s="28"/>
      <c r="F8" s="30" t="s">
        <v>77</v>
      </c>
      <c r="G8" s="29"/>
      <c r="H8" s="29"/>
      <c r="I8" s="30"/>
      <c r="J8" s="31" t="s">
        <v>78</v>
      </c>
      <c r="K8" s="31" t="s">
        <v>79</v>
      </c>
      <c r="L8" s="31" t="s">
        <v>70</v>
      </c>
      <c r="M8" s="81">
        <v>37</v>
      </c>
      <c r="N8" s="38"/>
      <c r="O8" s="33">
        <f t="shared" si="5"/>
        <v>0</v>
      </c>
      <c r="P8" s="82">
        <v>4453</v>
      </c>
      <c r="Q8" s="33">
        <f t="shared" si="1"/>
        <v>137575.435</v>
      </c>
      <c r="R8" s="34"/>
      <c r="S8" s="33">
        <f t="shared" si="2"/>
        <v>0</v>
      </c>
      <c r="T8" s="34"/>
      <c r="U8" s="33">
        <f t="shared" si="3"/>
        <v>0</v>
      </c>
      <c r="V8" s="34">
        <f t="shared" si="4"/>
        <v>137575.435</v>
      </c>
      <c r="W8" s="35"/>
      <c r="X8" s="36"/>
    </row>
    <row r="9" spans="1:24" s="37" customFormat="1" ht="19.899999999999999" customHeight="1" x14ac:dyDescent="0.3">
      <c r="A9" s="27" t="str">
        <f t="shared" si="0"/>
        <v>D02825</v>
      </c>
      <c r="B9" s="28"/>
      <c r="C9" s="28"/>
      <c r="D9" s="28"/>
      <c r="E9" s="28"/>
      <c r="F9" s="30" t="s">
        <v>80</v>
      </c>
      <c r="G9" s="29"/>
      <c r="H9" s="29"/>
      <c r="I9" s="30"/>
      <c r="J9" s="31" t="s">
        <v>81</v>
      </c>
      <c r="K9" s="31" t="s">
        <v>82</v>
      </c>
      <c r="L9" s="31" t="s">
        <v>70</v>
      </c>
      <c r="M9" s="81">
        <v>52</v>
      </c>
      <c r="N9" s="82">
        <v>528</v>
      </c>
      <c r="O9" s="33">
        <f t="shared" si="5"/>
        <v>22925.759999999998</v>
      </c>
      <c r="P9" s="82">
        <v>10367</v>
      </c>
      <c r="Q9" s="33">
        <f t="shared" si="1"/>
        <v>450135.13999999996</v>
      </c>
      <c r="R9" s="34"/>
      <c r="S9" s="33">
        <f t="shared" si="2"/>
        <v>0</v>
      </c>
      <c r="T9" s="34"/>
      <c r="U9" s="33">
        <f t="shared" si="3"/>
        <v>0</v>
      </c>
      <c r="V9" s="34">
        <f t="shared" si="4"/>
        <v>473060.89999999997</v>
      </c>
      <c r="W9" s="35"/>
      <c r="X9" s="36"/>
    </row>
    <row r="10" spans="1:24" s="37" customFormat="1" ht="19.899999999999999" customHeight="1" x14ac:dyDescent="0.3">
      <c r="A10" s="27" t="str">
        <f t="shared" si="0"/>
        <v>D02832</v>
      </c>
      <c r="B10" s="28"/>
      <c r="C10" s="28"/>
      <c r="D10" s="28"/>
      <c r="E10" s="28"/>
      <c r="F10" s="30" t="s">
        <v>83</v>
      </c>
      <c r="G10" s="29"/>
      <c r="H10" s="29"/>
      <c r="I10" s="30"/>
      <c r="J10" s="31" t="s">
        <v>84</v>
      </c>
      <c r="K10" s="31" t="s">
        <v>85</v>
      </c>
      <c r="L10" s="31" t="s">
        <v>70</v>
      </c>
      <c r="M10" s="81">
        <v>52</v>
      </c>
      <c r="N10" s="82">
        <v>461</v>
      </c>
      <c r="O10" s="33">
        <f t="shared" si="5"/>
        <v>20016.62</v>
      </c>
      <c r="P10" s="82">
        <v>6146</v>
      </c>
      <c r="Q10" s="33">
        <f t="shared" si="1"/>
        <v>266859.32</v>
      </c>
      <c r="R10" s="34"/>
      <c r="S10" s="33">
        <f t="shared" si="2"/>
        <v>0</v>
      </c>
      <c r="T10" s="34"/>
      <c r="U10" s="33">
        <f t="shared" si="3"/>
        <v>0</v>
      </c>
      <c r="V10" s="34">
        <f t="shared" si="4"/>
        <v>286875.94</v>
      </c>
      <c r="W10" s="35"/>
      <c r="X10" s="36"/>
    </row>
    <row r="11" spans="1:24" s="37" customFormat="1" ht="19.899999999999999" customHeight="1" x14ac:dyDescent="0.3">
      <c r="A11" s="27" t="str">
        <f t="shared" si="0"/>
        <v>D02830</v>
      </c>
      <c r="B11" s="28"/>
      <c r="C11" s="28"/>
      <c r="D11" s="28"/>
      <c r="E11" s="28"/>
      <c r="F11" s="30" t="s">
        <v>86</v>
      </c>
      <c r="G11" s="29"/>
      <c r="H11" s="29"/>
      <c r="I11" s="30"/>
      <c r="J11" s="31" t="s">
        <v>87</v>
      </c>
      <c r="K11" s="31" t="s">
        <v>88</v>
      </c>
      <c r="L11" s="31" t="s">
        <v>70</v>
      </c>
      <c r="M11" s="81">
        <v>11</v>
      </c>
      <c r="N11" s="38"/>
      <c r="O11" s="33">
        <f t="shared" si="5"/>
        <v>0</v>
      </c>
      <c r="P11" s="82">
        <v>10426</v>
      </c>
      <c r="Q11" s="33">
        <f t="shared" si="1"/>
        <v>95762.81</v>
      </c>
      <c r="R11" s="34"/>
      <c r="S11" s="33">
        <f t="shared" si="2"/>
        <v>0</v>
      </c>
      <c r="T11" s="34"/>
      <c r="U11" s="33">
        <f t="shared" si="3"/>
        <v>0</v>
      </c>
      <c r="V11" s="34">
        <f t="shared" si="4"/>
        <v>95762.81</v>
      </c>
      <c r="W11" s="35"/>
      <c r="X11" s="36"/>
    </row>
    <row r="12" spans="1:24" s="37" customFormat="1" ht="19.899999999999999" customHeight="1" x14ac:dyDescent="0.3">
      <c r="A12" s="27" t="str">
        <f t="shared" si="0"/>
        <v>D02836</v>
      </c>
      <c r="B12" s="28"/>
      <c r="C12" s="28"/>
      <c r="D12" s="28"/>
      <c r="E12" s="28"/>
      <c r="F12" s="30" t="s">
        <v>89</v>
      </c>
      <c r="G12" s="29"/>
      <c r="H12" s="29"/>
      <c r="I12" s="30"/>
      <c r="J12" s="31" t="s">
        <v>90</v>
      </c>
      <c r="K12" s="31" t="s">
        <v>91</v>
      </c>
      <c r="L12" s="31" t="s">
        <v>70</v>
      </c>
      <c r="M12" s="81">
        <v>11</v>
      </c>
      <c r="N12" s="82">
        <v>611</v>
      </c>
      <c r="O12" s="33">
        <f t="shared" si="5"/>
        <v>5612.0349999999999</v>
      </c>
      <c r="P12" s="82">
        <v>3735</v>
      </c>
      <c r="Q12" s="33">
        <f t="shared" si="1"/>
        <v>34305.974999999999</v>
      </c>
      <c r="R12" s="34"/>
      <c r="S12" s="33">
        <f t="shared" si="2"/>
        <v>0</v>
      </c>
      <c r="T12" s="34"/>
      <c r="U12" s="33">
        <f t="shared" si="3"/>
        <v>0</v>
      </c>
      <c r="V12" s="34">
        <f t="shared" si="4"/>
        <v>39918.009999999995</v>
      </c>
      <c r="W12" s="35"/>
      <c r="X12" s="36"/>
    </row>
    <row r="13" spans="1:24" s="37" customFormat="1" ht="19.899999999999999" customHeight="1" x14ac:dyDescent="0.3">
      <c r="A13" s="27" t="str">
        <f t="shared" si="0"/>
        <v>D02830</v>
      </c>
      <c r="B13" s="28"/>
      <c r="C13" s="28"/>
      <c r="D13" s="28"/>
      <c r="E13" s="28"/>
      <c r="F13" s="30" t="s">
        <v>86</v>
      </c>
      <c r="G13" s="29"/>
      <c r="H13" s="29"/>
      <c r="I13" s="30"/>
      <c r="J13" s="31" t="s">
        <v>87</v>
      </c>
      <c r="K13" s="31" t="s">
        <v>88</v>
      </c>
      <c r="L13" s="31" t="s">
        <v>70</v>
      </c>
      <c r="M13" s="81">
        <v>2</v>
      </c>
      <c r="N13" s="38"/>
      <c r="O13" s="33">
        <f t="shared" si="5"/>
        <v>0</v>
      </c>
      <c r="P13" s="82">
        <v>10426</v>
      </c>
      <c r="Q13" s="33">
        <f t="shared" si="1"/>
        <v>17411.419999999998</v>
      </c>
      <c r="R13" s="34"/>
      <c r="S13" s="33">
        <f t="shared" si="2"/>
        <v>0</v>
      </c>
      <c r="T13" s="34"/>
      <c r="U13" s="33">
        <f t="shared" si="3"/>
        <v>0</v>
      </c>
      <c r="V13" s="34">
        <f t="shared" si="4"/>
        <v>17411.419999999998</v>
      </c>
      <c r="W13" s="35"/>
      <c r="X13" s="36"/>
    </row>
    <row r="14" spans="1:24" s="37" customFormat="1" ht="19.899999999999999" customHeight="1" x14ac:dyDescent="0.3">
      <c r="A14" s="27" t="str">
        <f t="shared" si="0"/>
        <v>D02835</v>
      </c>
      <c r="B14" s="28"/>
      <c r="C14" s="28"/>
      <c r="D14" s="28"/>
      <c r="E14" s="28"/>
      <c r="F14" s="30" t="s">
        <v>92</v>
      </c>
      <c r="G14" s="29"/>
      <c r="H14" s="29"/>
      <c r="I14" s="30"/>
      <c r="J14" s="31" t="s">
        <v>93</v>
      </c>
      <c r="K14" s="31" t="s">
        <v>91</v>
      </c>
      <c r="L14" s="31" t="s">
        <v>70</v>
      </c>
      <c r="M14" s="81">
        <v>2</v>
      </c>
      <c r="N14" s="82">
        <v>502</v>
      </c>
      <c r="O14" s="33">
        <f t="shared" si="5"/>
        <v>838.33999999999992</v>
      </c>
      <c r="P14" s="82">
        <v>3073</v>
      </c>
      <c r="Q14" s="33">
        <f t="shared" si="1"/>
        <v>5131.91</v>
      </c>
      <c r="R14" s="34"/>
      <c r="S14" s="33">
        <f t="shared" si="2"/>
        <v>0</v>
      </c>
      <c r="T14" s="34"/>
      <c r="U14" s="33">
        <f t="shared" si="3"/>
        <v>0</v>
      </c>
      <c r="V14" s="34">
        <f t="shared" si="4"/>
        <v>5970.25</v>
      </c>
      <c r="W14" s="35"/>
      <c r="X14" s="36"/>
    </row>
    <row r="15" spans="1:24" s="37" customFormat="1" ht="19.899999999999999" customHeight="1" x14ac:dyDescent="0.3">
      <c r="A15" s="27" t="str">
        <f t="shared" ref="A15" si="6">F15&amp;G15&amp;H15&amp;I15</f>
        <v>M012003400500101</v>
      </c>
      <c r="B15" s="28"/>
      <c r="C15" s="28"/>
      <c r="D15" s="28"/>
      <c r="E15" s="28"/>
      <c r="F15" s="30"/>
      <c r="G15" s="29"/>
      <c r="H15" s="83" t="s">
        <v>100</v>
      </c>
      <c r="I15" s="30"/>
      <c r="J15" s="40" t="s">
        <v>101</v>
      </c>
      <c r="K15" s="40" t="s">
        <v>102</v>
      </c>
      <c r="L15" s="31" t="s">
        <v>70</v>
      </c>
      <c r="M15" s="84">
        <v>37</v>
      </c>
      <c r="N15" s="85">
        <v>15000</v>
      </c>
      <c r="O15" s="33">
        <f t="shared" ref="O15" si="7">SUM(N15:N15)*M15*$O$2</f>
        <v>463425</v>
      </c>
      <c r="P15" s="39"/>
      <c r="Q15" s="33">
        <f t="shared" ref="Q15" si="8">(P15*M15)*$Q$2</f>
        <v>0</v>
      </c>
      <c r="R15" s="34"/>
      <c r="S15" s="33">
        <f t="shared" ref="S15" si="9">R15*M15*$S$2</f>
        <v>0</v>
      </c>
      <c r="T15" s="34"/>
      <c r="U15" s="33">
        <f t="shared" ref="U15" si="10">T15*M15*$U$2</f>
        <v>0</v>
      </c>
      <c r="V15" s="34">
        <f t="shared" ref="V15" si="11">SUM(O15+Q15)+S15+U15</f>
        <v>463425</v>
      </c>
      <c r="W15" s="35"/>
      <c r="X15" s="36"/>
    </row>
    <row r="16" spans="1:24" s="37" customFormat="1" ht="19.899999999999999" customHeight="1" x14ac:dyDescent="0.3">
      <c r="A16" s="27" t="str">
        <f t="shared" si="0"/>
        <v>M010602702400101</v>
      </c>
      <c r="B16" s="28"/>
      <c r="C16" s="28"/>
      <c r="D16" s="28"/>
      <c r="E16" s="28"/>
      <c r="F16" s="30"/>
      <c r="G16" s="29"/>
      <c r="H16" s="83" t="s">
        <v>94</v>
      </c>
      <c r="I16" s="30"/>
      <c r="J16" s="40" t="s">
        <v>95</v>
      </c>
      <c r="K16" s="40" t="s">
        <v>96</v>
      </c>
      <c r="L16" s="40" t="s">
        <v>97</v>
      </c>
      <c r="M16" s="35">
        <v>4</v>
      </c>
      <c r="N16" s="85">
        <v>15000</v>
      </c>
      <c r="O16" s="33">
        <f t="shared" si="5"/>
        <v>50100</v>
      </c>
      <c r="P16" s="39"/>
      <c r="Q16" s="33">
        <f t="shared" si="1"/>
        <v>0</v>
      </c>
      <c r="R16" s="34"/>
      <c r="S16" s="33">
        <f t="shared" si="2"/>
        <v>0</v>
      </c>
      <c r="T16" s="34"/>
      <c r="U16" s="33">
        <f t="shared" si="3"/>
        <v>0</v>
      </c>
      <c r="V16" s="34">
        <f t="shared" si="4"/>
        <v>50100</v>
      </c>
      <c r="W16" s="35"/>
      <c r="X16" s="36"/>
    </row>
    <row r="17" spans="1:24" s="37" customFormat="1" ht="19.899999999999999" customHeight="1" x14ac:dyDescent="0.3">
      <c r="A17" s="27"/>
      <c r="B17" s="28"/>
      <c r="C17" s="28"/>
      <c r="D17" s="28"/>
      <c r="E17" s="28"/>
      <c r="F17" s="30"/>
      <c r="G17" s="29"/>
      <c r="H17" s="29"/>
      <c r="I17" s="30"/>
      <c r="J17" s="31" t="str">
        <f>"시중가_"&amp;K17&amp;")"</f>
        <v>시중가_합지벽지(LG하우시스 휘앙세))</v>
      </c>
      <c r="K17" s="31" t="s">
        <v>98</v>
      </c>
      <c r="L17" s="31" t="s">
        <v>70</v>
      </c>
      <c r="M17" s="81">
        <v>120</v>
      </c>
      <c r="N17" s="32">
        <v>1300</v>
      </c>
      <c r="O17" s="33">
        <f t="shared" ref="O17:O19" si="12">SUM(N17:N17)*M17*$O$2</f>
        <v>130260</v>
      </c>
      <c r="P17" s="39"/>
      <c r="Q17" s="33">
        <f t="shared" ref="Q17:Q19" si="13">(P17*M17)*$Q$2</f>
        <v>0</v>
      </c>
      <c r="R17" s="34"/>
      <c r="S17" s="33">
        <f t="shared" ref="S17:S19" si="14">R17*M17*$S$2</f>
        <v>0</v>
      </c>
      <c r="T17" s="34"/>
      <c r="U17" s="33">
        <f t="shared" ref="U17:U19" si="15">T17*M17*$U$2</f>
        <v>0</v>
      </c>
      <c r="V17" s="34">
        <f t="shared" ref="V17:V19" si="16">SUM(O17+Q17)+S17+U17</f>
        <v>130260</v>
      </c>
      <c r="W17" s="35"/>
      <c r="X17" s="36"/>
    </row>
    <row r="18" spans="1:24" s="37" customFormat="1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"시중가_"&amp;K18&amp;""</f>
        <v>시중가_청소, 실내건축 일위대가 적용</v>
      </c>
      <c r="K18" s="31" t="s">
        <v>99</v>
      </c>
      <c r="L18" s="31" t="s">
        <v>70</v>
      </c>
      <c r="M18" s="81">
        <v>45</v>
      </c>
      <c r="N18" s="32"/>
      <c r="O18" s="33">
        <f t="shared" si="12"/>
        <v>0</v>
      </c>
      <c r="P18" s="39">
        <v>7853</v>
      </c>
      <c r="Q18" s="33">
        <f t="shared" si="13"/>
        <v>295076.47499999998</v>
      </c>
      <c r="R18" s="34"/>
      <c r="S18" s="33">
        <f t="shared" si="14"/>
        <v>0</v>
      </c>
      <c r="T18" s="34"/>
      <c r="U18" s="33">
        <f t="shared" si="15"/>
        <v>0</v>
      </c>
      <c r="V18" s="34">
        <f t="shared" si="16"/>
        <v>295076.47499999998</v>
      </c>
      <c r="W18" s="35"/>
      <c r="X18" s="36"/>
    </row>
    <row r="19" spans="1:24" s="37" customFormat="1" ht="19.899999999999999" customHeight="1" x14ac:dyDescent="0.3">
      <c r="A19" s="27" t="str">
        <f t="shared" si="0"/>
        <v/>
      </c>
      <c r="B19" s="28"/>
      <c r="C19" s="28"/>
      <c r="D19" s="28"/>
      <c r="E19" s="28"/>
      <c r="F19" s="30"/>
      <c r="G19" s="29"/>
      <c r="H19" s="29"/>
      <c r="I19" s="30"/>
      <c r="J19" s="86"/>
      <c r="K19" s="86"/>
      <c r="L19" s="87"/>
      <c r="M19" s="81"/>
      <c r="N19" s="32"/>
      <c r="O19" s="33">
        <f t="shared" si="12"/>
        <v>0</v>
      </c>
      <c r="P19" s="39"/>
      <c r="Q19" s="33">
        <f t="shared" si="13"/>
        <v>0</v>
      </c>
      <c r="R19" s="34"/>
      <c r="S19" s="33">
        <f t="shared" si="14"/>
        <v>0</v>
      </c>
      <c r="T19" s="34"/>
      <c r="U19" s="33">
        <f t="shared" si="15"/>
        <v>0</v>
      </c>
      <c r="V19" s="34">
        <f t="shared" si="16"/>
        <v>0</v>
      </c>
      <c r="W19" s="41"/>
      <c r="X19" s="36"/>
    </row>
    <row r="20" spans="1:24" s="43" customFormat="1" ht="19.899999999999999" customHeight="1" x14ac:dyDescent="0.3">
      <c r="A20" s="42"/>
      <c r="B20" s="42"/>
      <c r="C20" s="42"/>
      <c r="D20" s="42"/>
      <c r="E20" s="42"/>
      <c r="O20" s="44">
        <f>SUM(O5:O19)</f>
        <v>693177.755</v>
      </c>
      <c r="P20" s="45"/>
      <c r="Q20" s="44">
        <f>SUM(Q5:Q19)</f>
        <v>2203753.71</v>
      </c>
      <c r="R20" s="45"/>
      <c r="S20" s="44">
        <f>SUM(S5:S19)</f>
        <v>0</v>
      </c>
      <c r="T20" s="45"/>
      <c r="U20" s="44">
        <f>SUM(U5:U19)</f>
        <v>0</v>
      </c>
      <c r="V20" s="46">
        <f>SUM(V5:V19)</f>
        <v>2896931.4649999999</v>
      </c>
      <c r="W20" s="47"/>
    </row>
    <row r="24" spans="1:24" x14ac:dyDescent="0.3">
      <c r="Q24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zoomScaleNormal="100" workbookViewId="0">
      <selection activeCell="D13" sqref="D13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302" t="s">
        <v>25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</row>
    <row r="2" spans="1:16" ht="12.95" customHeight="1" x14ac:dyDescent="0.3">
      <c r="A2" s="304" t="s">
        <v>26</v>
      </c>
      <c r="B2" s="305" t="s">
        <v>27</v>
      </c>
      <c r="C2" s="306" t="s">
        <v>12</v>
      </c>
      <c r="D2" s="306" t="s">
        <v>28</v>
      </c>
      <c r="E2" s="308" t="s">
        <v>29</v>
      </c>
      <c r="F2" s="305"/>
      <c r="G2" s="305" t="s">
        <v>30</v>
      </c>
      <c r="H2" s="305"/>
      <c r="I2" s="309" t="s">
        <v>31</v>
      </c>
      <c r="J2" s="310"/>
      <c r="K2" s="309" t="s">
        <v>200</v>
      </c>
      <c r="L2" s="310"/>
      <c r="M2" s="308" t="s">
        <v>32</v>
      </c>
      <c r="N2" s="305"/>
      <c r="O2" s="311" t="s">
        <v>33</v>
      </c>
    </row>
    <row r="3" spans="1:16" ht="12.95" customHeight="1" x14ac:dyDescent="0.3">
      <c r="A3" s="304"/>
      <c r="B3" s="305"/>
      <c r="C3" s="307"/>
      <c r="D3" s="307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312"/>
    </row>
    <row r="4" spans="1:16" ht="12.95" customHeight="1" x14ac:dyDescent="0.3">
      <c r="A4" s="300" t="s">
        <v>130</v>
      </c>
      <c r="B4" s="301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293" t="s">
        <v>37</v>
      </c>
      <c r="B5" s="54" t="s">
        <v>38</v>
      </c>
      <c r="C5" s="55" t="s">
        <v>39</v>
      </c>
      <c r="D5" s="56">
        <v>38</v>
      </c>
      <c r="E5" s="57">
        <v>1086</v>
      </c>
      <c r="F5" s="58">
        <f t="shared" ref="F5:F11" si="0">D5*E5</f>
        <v>41268</v>
      </c>
      <c r="G5" s="58">
        <v>5587</v>
      </c>
      <c r="H5" s="57">
        <f t="shared" ref="H5:H13" si="1">D5*G5</f>
        <v>212306</v>
      </c>
      <c r="I5" s="57"/>
      <c r="J5" s="57"/>
      <c r="K5" s="58"/>
      <c r="L5" s="58"/>
      <c r="M5" s="58"/>
      <c r="N5" s="58">
        <f>F5+H5+J5+L5</f>
        <v>253574</v>
      </c>
      <c r="O5" s="290" t="s">
        <v>201</v>
      </c>
    </row>
    <row r="6" spans="1:16" ht="12.95" customHeight="1" x14ac:dyDescent="0.3">
      <c r="A6" s="294"/>
      <c r="B6" s="99" t="s">
        <v>40</v>
      </c>
      <c r="C6" s="100" t="s">
        <v>39</v>
      </c>
      <c r="D6" s="101"/>
      <c r="E6" s="102"/>
      <c r="F6" s="102"/>
      <c r="G6" s="102"/>
      <c r="H6" s="102"/>
      <c r="I6" s="57"/>
      <c r="J6" s="57"/>
      <c r="K6" s="58"/>
      <c r="L6" s="58"/>
      <c r="M6" s="102"/>
      <c r="N6" s="102">
        <f t="shared" ref="N6:N13" si="2">F6+H6+J6+L6</f>
        <v>0</v>
      </c>
      <c r="O6" s="291"/>
    </row>
    <row r="7" spans="1:16" ht="12.95" customHeight="1" x14ac:dyDescent="0.3">
      <c r="A7" s="294"/>
      <c r="B7" s="54" t="s">
        <v>41</v>
      </c>
      <c r="C7" s="55" t="s">
        <v>39</v>
      </c>
      <c r="D7" s="56">
        <v>32</v>
      </c>
      <c r="E7" s="57">
        <v>1086</v>
      </c>
      <c r="F7" s="58">
        <f t="shared" si="0"/>
        <v>34752</v>
      </c>
      <c r="G7" s="58">
        <v>5587</v>
      </c>
      <c r="H7" s="57">
        <f t="shared" si="1"/>
        <v>178784</v>
      </c>
      <c r="I7" s="57"/>
      <c r="J7" s="57"/>
      <c r="K7" s="58"/>
      <c r="L7" s="58"/>
      <c r="M7" s="58"/>
      <c r="N7" s="58">
        <f t="shared" si="2"/>
        <v>213536</v>
      </c>
      <c r="O7" s="291"/>
    </row>
    <row r="8" spans="1:16" ht="12.95" customHeight="1" x14ac:dyDescent="0.3">
      <c r="A8" s="294"/>
      <c r="B8" s="99" t="s">
        <v>42</v>
      </c>
      <c r="C8" s="100" t="s">
        <v>39</v>
      </c>
      <c r="D8" s="101"/>
      <c r="E8" s="102"/>
      <c r="F8" s="102"/>
      <c r="G8" s="102"/>
      <c r="H8" s="102"/>
      <c r="I8" s="57"/>
      <c r="J8" s="57"/>
      <c r="K8" s="58"/>
      <c r="L8" s="58"/>
      <c r="M8" s="102"/>
      <c r="N8" s="102">
        <f t="shared" si="2"/>
        <v>0</v>
      </c>
      <c r="O8" s="291"/>
    </row>
    <row r="9" spans="1:16" ht="12.95" customHeight="1" x14ac:dyDescent="0.3">
      <c r="A9" s="294"/>
      <c r="B9" s="54" t="s">
        <v>43</v>
      </c>
      <c r="C9" s="55" t="s">
        <v>39</v>
      </c>
      <c r="D9" s="56">
        <v>25</v>
      </c>
      <c r="E9" s="57">
        <v>1086</v>
      </c>
      <c r="F9" s="58">
        <f t="shared" si="0"/>
        <v>27150</v>
      </c>
      <c r="G9" s="58">
        <v>5587</v>
      </c>
      <c r="H9" s="57">
        <f t="shared" si="1"/>
        <v>139675</v>
      </c>
      <c r="I9" s="57"/>
      <c r="J9" s="57"/>
      <c r="K9" s="58"/>
      <c r="L9" s="58"/>
      <c r="M9" s="58"/>
      <c r="N9" s="58">
        <f t="shared" si="2"/>
        <v>166825</v>
      </c>
      <c r="O9" s="291"/>
    </row>
    <row r="10" spans="1:16" ht="12.95" customHeight="1" x14ac:dyDescent="0.3">
      <c r="A10" s="294"/>
      <c r="B10" s="99" t="s">
        <v>44</v>
      </c>
      <c r="C10" s="100" t="s">
        <v>39</v>
      </c>
      <c r="D10" s="101"/>
      <c r="E10" s="102"/>
      <c r="F10" s="102"/>
      <c r="G10" s="102"/>
      <c r="H10" s="102"/>
      <c r="I10" s="57"/>
      <c r="J10" s="57"/>
      <c r="K10" s="58"/>
      <c r="L10" s="58"/>
      <c r="M10" s="102"/>
      <c r="N10" s="102">
        <f t="shared" si="2"/>
        <v>0</v>
      </c>
      <c r="O10" s="291"/>
    </row>
    <row r="11" spans="1:16" ht="12.95" customHeight="1" x14ac:dyDescent="0.3">
      <c r="A11" s="294"/>
      <c r="B11" s="54" t="s">
        <v>45</v>
      </c>
      <c r="C11" s="55" t="s">
        <v>39</v>
      </c>
      <c r="D11" s="56">
        <v>25</v>
      </c>
      <c r="E11" s="57">
        <v>1086</v>
      </c>
      <c r="F11" s="58">
        <f t="shared" si="0"/>
        <v>27150</v>
      </c>
      <c r="G11" s="58">
        <v>5587</v>
      </c>
      <c r="H11" s="57">
        <f t="shared" si="1"/>
        <v>139675</v>
      </c>
      <c r="I11" s="57"/>
      <c r="J11" s="57"/>
      <c r="K11" s="58"/>
      <c r="L11" s="58"/>
      <c r="M11" s="58"/>
      <c r="N11" s="58">
        <f t="shared" si="2"/>
        <v>166825</v>
      </c>
      <c r="O11" s="291"/>
    </row>
    <row r="12" spans="1:16" ht="12.95" customHeight="1" x14ac:dyDescent="0.3">
      <c r="A12" s="294"/>
      <c r="B12" s="99" t="s">
        <v>46</v>
      </c>
      <c r="C12" s="100" t="s">
        <v>39</v>
      </c>
      <c r="D12" s="101"/>
      <c r="E12" s="102"/>
      <c r="F12" s="102"/>
      <c r="G12" s="102"/>
      <c r="H12" s="102"/>
      <c r="I12" s="57"/>
      <c r="J12" s="57"/>
      <c r="K12" s="58"/>
      <c r="L12" s="58"/>
      <c r="M12" s="102"/>
      <c r="N12" s="102">
        <f t="shared" si="2"/>
        <v>0</v>
      </c>
      <c r="O12" s="291"/>
    </row>
    <row r="13" spans="1:16" ht="12.95" customHeight="1" x14ac:dyDescent="0.3">
      <c r="A13" s="295"/>
      <c r="B13" s="54" t="s">
        <v>111</v>
      </c>
      <c r="C13" s="55" t="s">
        <v>39</v>
      </c>
      <c r="D13" s="59" cm="1">
        <f t="array" ref="D13">SUM(D5:D12*50%)</f>
        <v>60</v>
      </c>
      <c r="E13" s="57"/>
      <c r="F13" s="58"/>
      <c r="G13" s="58">
        <v>1351</v>
      </c>
      <c r="H13" s="57">
        <f t="shared" si="1"/>
        <v>81060</v>
      </c>
      <c r="I13" s="57"/>
      <c r="J13" s="57"/>
      <c r="K13" s="58"/>
      <c r="L13" s="58"/>
      <c r="M13" s="58"/>
      <c r="N13" s="58">
        <f t="shared" si="2"/>
        <v>81060</v>
      </c>
      <c r="O13" s="292"/>
    </row>
    <row r="14" spans="1:16" ht="12.95" customHeight="1" x14ac:dyDescent="0.3">
      <c r="A14" s="90" t="s">
        <v>47</v>
      </c>
      <c r="B14" s="60"/>
      <c r="C14" s="61"/>
      <c r="D14" s="62">
        <f>SUM(D5:D12)</f>
        <v>120</v>
      </c>
      <c r="E14" s="63"/>
      <c r="F14" s="63">
        <f>SUM(F5:F13)</f>
        <v>130320</v>
      </c>
      <c r="G14" s="63"/>
      <c r="H14" s="63">
        <f>SUM(H5:H13)</f>
        <v>751500</v>
      </c>
      <c r="I14" s="63"/>
      <c r="J14" s="63">
        <f>SUM(J5:J13)</f>
        <v>0</v>
      </c>
      <c r="K14" s="63"/>
      <c r="L14" s="63">
        <f>SUM(L5:L13)</f>
        <v>0</v>
      </c>
      <c r="M14" s="63"/>
      <c r="N14" s="63">
        <f>SUM(N5:N13)</f>
        <v>881820</v>
      </c>
      <c r="O14" s="63"/>
      <c r="P14" s="64"/>
    </row>
    <row r="15" spans="1:16" ht="12.95" customHeight="1" x14ac:dyDescent="0.3">
      <c r="A15" s="297" t="s">
        <v>48</v>
      </c>
      <c r="B15" s="54" t="s">
        <v>49</v>
      </c>
      <c r="C15" s="55" t="s">
        <v>39</v>
      </c>
      <c r="D15" s="59">
        <v>13</v>
      </c>
      <c r="E15" s="57"/>
      <c r="F15" s="57"/>
      <c r="G15" s="57">
        <v>4054</v>
      </c>
      <c r="H15" s="58">
        <f t="shared" ref="H15:H18" si="3">D15*G15</f>
        <v>52702</v>
      </c>
      <c r="I15" s="57"/>
      <c r="J15" s="57"/>
      <c r="K15" s="57"/>
      <c r="L15" s="58"/>
      <c r="M15" s="57"/>
      <c r="N15" s="58">
        <f t="shared" ref="N15:N23" si="4">F15+H15+J15+L15</f>
        <v>52702</v>
      </c>
      <c r="O15" s="290" t="s">
        <v>107</v>
      </c>
    </row>
    <row r="16" spans="1:16" ht="12.95" customHeight="1" x14ac:dyDescent="0.3">
      <c r="A16" s="298"/>
      <c r="B16" s="54" t="s">
        <v>50</v>
      </c>
      <c r="C16" s="55" t="s">
        <v>39</v>
      </c>
      <c r="D16" s="65">
        <v>10</v>
      </c>
      <c r="E16" s="57"/>
      <c r="F16" s="57"/>
      <c r="G16" s="57">
        <v>4054</v>
      </c>
      <c r="H16" s="58">
        <f t="shared" si="3"/>
        <v>40540</v>
      </c>
      <c r="I16" s="57"/>
      <c r="J16" s="57"/>
      <c r="K16" s="57"/>
      <c r="L16" s="58"/>
      <c r="M16" s="57"/>
      <c r="N16" s="58">
        <f t="shared" si="4"/>
        <v>40540</v>
      </c>
      <c r="O16" s="291"/>
    </row>
    <row r="17" spans="1:15" ht="12.95" customHeight="1" x14ac:dyDescent="0.3">
      <c r="A17" s="298"/>
      <c r="B17" s="54" t="s">
        <v>51</v>
      </c>
      <c r="C17" s="55" t="s">
        <v>39</v>
      </c>
      <c r="D17" s="65">
        <v>7</v>
      </c>
      <c r="E17" s="57"/>
      <c r="F17" s="57"/>
      <c r="G17" s="57">
        <v>4054</v>
      </c>
      <c r="H17" s="58">
        <f t="shared" si="3"/>
        <v>28378</v>
      </c>
      <c r="I17" s="57"/>
      <c r="J17" s="57"/>
      <c r="K17" s="57"/>
      <c r="L17" s="58"/>
      <c r="M17" s="57"/>
      <c r="N17" s="58">
        <f t="shared" si="4"/>
        <v>28378</v>
      </c>
      <c r="O17" s="291"/>
    </row>
    <row r="18" spans="1:15" ht="12.95" customHeight="1" x14ac:dyDescent="0.3">
      <c r="A18" s="298"/>
      <c r="B18" s="54" t="s">
        <v>52</v>
      </c>
      <c r="C18" s="55" t="s">
        <v>39</v>
      </c>
      <c r="D18" s="65">
        <v>7</v>
      </c>
      <c r="E18" s="57"/>
      <c r="F18" s="57"/>
      <c r="G18" s="57">
        <v>4054</v>
      </c>
      <c r="H18" s="58">
        <f t="shared" si="3"/>
        <v>28378</v>
      </c>
      <c r="I18" s="57"/>
      <c r="J18" s="57"/>
      <c r="K18" s="57"/>
      <c r="L18" s="58"/>
      <c r="M18" s="57"/>
      <c r="N18" s="58">
        <f t="shared" si="4"/>
        <v>28378</v>
      </c>
      <c r="O18" s="291"/>
    </row>
    <row r="19" spans="1:15" ht="12.95" customHeight="1" x14ac:dyDescent="0.3">
      <c r="A19" s="298"/>
      <c r="B19" s="54" t="s">
        <v>202</v>
      </c>
      <c r="C19" s="55" t="s">
        <v>53</v>
      </c>
      <c r="D19" s="65">
        <v>4</v>
      </c>
      <c r="E19" s="58">
        <v>12525</v>
      </c>
      <c r="F19" s="58">
        <f>D19*E19</f>
        <v>50100</v>
      </c>
      <c r="G19" s="57"/>
      <c r="H19" s="58"/>
      <c r="I19" s="58"/>
      <c r="J19" s="58"/>
      <c r="K19" s="57"/>
      <c r="L19" s="58"/>
      <c r="M19" s="57"/>
      <c r="N19" s="58">
        <f t="shared" si="4"/>
        <v>50100</v>
      </c>
      <c r="O19" s="291"/>
    </row>
    <row r="20" spans="1:15" ht="12.95" customHeight="1" x14ac:dyDescent="0.3">
      <c r="A20" s="298"/>
      <c r="B20" s="54" t="s">
        <v>54</v>
      </c>
      <c r="C20" s="55" t="s">
        <v>39</v>
      </c>
      <c r="D20" s="59">
        <v>13</v>
      </c>
      <c r="E20" s="58">
        <v>12525</v>
      </c>
      <c r="F20" s="58">
        <f>D20*E20</f>
        <v>162825</v>
      </c>
      <c r="G20" s="57">
        <v>3718</v>
      </c>
      <c r="H20" s="58">
        <f>D20*G20</f>
        <v>48334</v>
      </c>
      <c r="I20" s="58"/>
      <c r="J20" s="58"/>
      <c r="K20" s="57"/>
      <c r="L20" s="58"/>
      <c r="M20" s="57"/>
      <c r="N20" s="58">
        <f t="shared" si="4"/>
        <v>211159</v>
      </c>
      <c r="O20" s="291"/>
    </row>
    <row r="21" spans="1:15" ht="12.95" customHeight="1" x14ac:dyDescent="0.3">
      <c r="A21" s="298"/>
      <c r="B21" s="54" t="s">
        <v>55</v>
      </c>
      <c r="C21" s="55" t="s">
        <v>39</v>
      </c>
      <c r="D21" s="65">
        <v>10</v>
      </c>
      <c r="E21" s="58">
        <v>12525</v>
      </c>
      <c r="F21" s="58">
        <f>D21*E21</f>
        <v>125250</v>
      </c>
      <c r="G21" s="57">
        <v>3718</v>
      </c>
      <c r="H21" s="58">
        <f>D21*G21</f>
        <v>37180</v>
      </c>
      <c r="I21" s="58"/>
      <c r="J21" s="58"/>
      <c r="K21" s="57"/>
      <c r="L21" s="58"/>
      <c r="M21" s="57"/>
      <c r="N21" s="58">
        <f t="shared" si="4"/>
        <v>162430</v>
      </c>
      <c r="O21" s="291"/>
    </row>
    <row r="22" spans="1:15" ht="12.95" customHeight="1" x14ac:dyDescent="0.3">
      <c r="A22" s="298"/>
      <c r="B22" s="54" t="s">
        <v>56</v>
      </c>
      <c r="C22" s="55" t="s">
        <v>39</v>
      </c>
      <c r="D22" s="65">
        <v>7</v>
      </c>
      <c r="E22" s="58">
        <v>12525</v>
      </c>
      <c r="F22" s="58">
        <f>D22*E22</f>
        <v>87675</v>
      </c>
      <c r="G22" s="57">
        <v>3718</v>
      </c>
      <c r="H22" s="58">
        <f>D22*G22</f>
        <v>26026</v>
      </c>
      <c r="I22" s="58"/>
      <c r="J22" s="58"/>
      <c r="K22" s="57"/>
      <c r="L22" s="58"/>
      <c r="M22" s="57"/>
      <c r="N22" s="58">
        <f t="shared" si="4"/>
        <v>113701</v>
      </c>
      <c r="O22" s="291"/>
    </row>
    <row r="23" spans="1:15" ht="12.95" customHeight="1" x14ac:dyDescent="0.3">
      <c r="A23" s="299"/>
      <c r="B23" s="54" t="s">
        <v>57</v>
      </c>
      <c r="C23" s="55" t="s">
        <v>39</v>
      </c>
      <c r="D23" s="65">
        <v>7</v>
      </c>
      <c r="E23" s="58">
        <v>12525</v>
      </c>
      <c r="F23" s="58">
        <f>D23*E23</f>
        <v>87675</v>
      </c>
      <c r="G23" s="57">
        <v>3718</v>
      </c>
      <c r="H23" s="58">
        <f>D23*G23</f>
        <v>26026</v>
      </c>
      <c r="I23" s="58"/>
      <c r="J23" s="58"/>
      <c r="K23" s="57"/>
      <c r="L23" s="58"/>
      <c r="M23" s="57"/>
      <c r="N23" s="58">
        <f t="shared" si="4"/>
        <v>113701</v>
      </c>
      <c r="O23" s="292"/>
    </row>
    <row r="24" spans="1:15" ht="12.95" customHeight="1" x14ac:dyDescent="0.3">
      <c r="A24" s="90" t="s">
        <v>47</v>
      </c>
      <c r="B24" s="60"/>
      <c r="C24" s="66"/>
      <c r="D24" s="66">
        <f>SUM(D20:D23)</f>
        <v>37</v>
      </c>
      <c r="E24" s="63"/>
      <c r="F24" s="63">
        <f>SUM(F15:F23)</f>
        <v>513525</v>
      </c>
      <c r="G24" s="63"/>
      <c r="H24" s="63">
        <f>SUM(H15:H23)</f>
        <v>287564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801089</v>
      </c>
      <c r="O24" s="63"/>
    </row>
    <row r="25" spans="1:15" ht="12.95" customHeight="1" x14ac:dyDescent="0.3">
      <c r="A25" s="88" t="s">
        <v>58</v>
      </c>
      <c r="B25" s="67"/>
      <c r="C25" s="68"/>
      <c r="D25" s="6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5" ht="12.95" customHeight="1" x14ac:dyDescent="0.3">
      <c r="A26" s="296" t="s">
        <v>203</v>
      </c>
      <c r="B26" s="67" t="s">
        <v>204</v>
      </c>
      <c r="C26" s="68" t="s">
        <v>39</v>
      </c>
      <c r="D26" s="69">
        <v>26</v>
      </c>
      <c r="E26" s="57">
        <v>441</v>
      </c>
      <c r="F26" s="57">
        <f>D26*E26</f>
        <v>11466</v>
      </c>
      <c r="G26" s="57">
        <v>8656</v>
      </c>
      <c r="H26" s="57">
        <f t="shared" ref="H26:H31" si="5">D26*G26</f>
        <v>225056</v>
      </c>
      <c r="I26" s="57"/>
      <c r="J26" s="57"/>
      <c r="K26" s="57"/>
      <c r="L26" s="58"/>
      <c r="M26" s="57"/>
      <c r="N26" s="58">
        <f t="shared" ref="N26:N33" si="6">F26+H26+J26+L26</f>
        <v>236522</v>
      </c>
      <c r="O26" s="290"/>
    </row>
    <row r="27" spans="1:15" ht="12.95" customHeight="1" x14ac:dyDescent="0.3">
      <c r="A27" s="296"/>
      <c r="B27" s="67" t="s">
        <v>59</v>
      </c>
      <c r="C27" s="68" t="s">
        <v>39</v>
      </c>
      <c r="D27" s="69">
        <v>26</v>
      </c>
      <c r="E27" s="57">
        <v>385</v>
      </c>
      <c r="F27" s="57">
        <f t="shared" ref="F27:F33" si="7">D27*E27</f>
        <v>10010</v>
      </c>
      <c r="G27" s="57">
        <v>5132</v>
      </c>
      <c r="H27" s="57">
        <f t="shared" si="5"/>
        <v>133432</v>
      </c>
      <c r="I27" s="57"/>
      <c r="J27" s="57"/>
      <c r="K27" s="57"/>
      <c r="L27" s="58"/>
      <c r="M27" s="57"/>
      <c r="N27" s="58">
        <f t="shared" si="6"/>
        <v>143442</v>
      </c>
      <c r="O27" s="291"/>
    </row>
    <row r="28" spans="1:15" ht="12.95" customHeight="1" x14ac:dyDescent="0.3">
      <c r="A28" s="296" t="s">
        <v>205</v>
      </c>
      <c r="B28" s="67" t="s">
        <v>204</v>
      </c>
      <c r="C28" s="68" t="s">
        <v>39</v>
      </c>
      <c r="D28" s="69">
        <v>26</v>
      </c>
      <c r="E28" s="57">
        <v>441</v>
      </c>
      <c r="F28" s="57">
        <f>D28*E28</f>
        <v>11466</v>
      </c>
      <c r="G28" s="57">
        <v>8656</v>
      </c>
      <c r="H28" s="57">
        <f t="shared" si="5"/>
        <v>225056</v>
      </c>
      <c r="I28" s="57"/>
      <c r="J28" s="57"/>
      <c r="K28" s="57"/>
      <c r="L28" s="58"/>
      <c r="M28" s="57"/>
      <c r="N28" s="58">
        <f t="shared" si="6"/>
        <v>236522</v>
      </c>
      <c r="O28" s="291"/>
    </row>
    <row r="29" spans="1:15" ht="12.95" customHeight="1" x14ac:dyDescent="0.3">
      <c r="A29" s="296"/>
      <c r="B29" s="67" t="s">
        <v>59</v>
      </c>
      <c r="C29" s="68" t="s">
        <v>39</v>
      </c>
      <c r="D29" s="69">
        <v>26</v>
      </c>
      <c r="E29" s="57">
        <v>385</v>
      </c>
      <c r="F29" s="57">
        <f t="shared" ref="F29:F31" si="8">D29*E29</f>
        <v>10010</v>
      </c>
      <c r="G29" s="57">
        <v>5132</v>
      </c>
      <c r="H29" s="57">
        <f t="shared" si="5"/>
        <v>133432</v>
      </c>
      <c r="I29" s="57"/>
      <c r="J29" s="57"/>
      <c r="K29" s="57"/>
      <c r="L29" s="58"/>
      <c r="M29" s="57"/>
      <c r="N29" s="58">
        <f t="shared" si="6"/>
        <v>143442</v>
      </c>
      <c r="O29" s="291"/>
    </row>
    <row r="30" spans="1:15" ht="12.95" customHeight="1" x14ac:dyDescent="0.3">
      <c r="A30" s="296" t="s">
        <v>206</v>
      </c>
      <c r="B30" s="67" t="s">
        <v>207</v>
      </c>
      <c r="C30" s="68" t="s">
        <v>39</v>
      </c>
      <c r="D30" s="69">
        <v>11</v>
      </c>
      <c r="E30" s="57"/>
      <c r="F30" s="57">
        <f t="shared" si="7"/>
        <v>0</v>
      </c>
      <c r="G30" s="57">
        <v>8706</v>
      </c>
      <c r="H30" s="57">
        <f t="shared" si="5"/>
        <v>95766</v>
      </c>
      <c r="I30" s="57"/>
      <c r="J30" s="57"/>
      <c r="K30" s="57"/>
      <c r="L30" s="58"/>
      <c r="M30" s="57"/>
      <c r="N30" s="58">
        <f t="shared" si="6"/>
        <v>95766</v>
      </c>
      <c r="O30" s="291"/>
    </row>
    <row r="31" spans="1:15" ht="12.95" customHeight="1" x14ac:dyDescent="0.3">
      <c r="A31" s="296"/>
      <c r="B31" s="67" t="s">
        <v>208</v>
      </c>
      <c r="C31" s="68" t="s">
        <v>39</v>
      </c>
      <c r="D31" s="69">
        <v>11</v>
      </c>
      <c r="E31" s="57">
        <v>510</v>
      </c>
      <c r="F31" s="57">
        <f t="shared" si="8"/>
        <v>5610</v>
      </c>
      <c r="G31" s="57">
        <v>3119</v>
      </c>
      <c r="H31" s="57">
        <f t="shared" si="5"/>
        <v>34309</v>
      </c>
      <c r="I31" s="57"/>
      <c r="J31" s="57"/>
      <c r="K31" s="57"/>
      <c r="L31" s="58"/>
      <c r="M31" s="57"/>
      <c r="N31" s="58">
        <f t="shared" si="6"/>
        <v>39919</v>
      </c>
      <c r="O31" s="291"/>
    </row>
    <row r="32" spans="1:15" ht="12.95" customHeight="1" x14ac:dyDescent="0.3">
      <c r="A32" s="296" t="s">
        <v>60</v>
      </c>
      <c r="B32" s="67" t="s">
        <v>207</v>
      </c>
      <c r="C32" s="68" t="s">
        <v>39</v>
      </c>
      <c r="D32" s="69">
        <v>2</v>
      </c>
      <c r="E32" s="57"/>
      <c r="F32" s="57">
        <f t="shared" si="7"/>
        <v>0</v>
      </c>
      <c r="G32" s="57">
        <v>8706</v>
      </c>
      <c r="H32" s="57">
        <f>D32*G32</f>
        <v>17412</v>
      </c>
      <c r="I32" s="57"/>
      <c r="J32" s="57"/>
      <c r="K32" s="57"/>
      <c r="L32" s="58"/>
      <c r="M32" s="57"/>
      <c r="N32" s="58">
        <f t="shared" si="6"/>
        <v>17412</v>
      </c>
      <c r="O32" s="291"/>
    </row>
    <row r="33" spans="1:15" ht="12.95" customHeight="1" x14ac:dyDescent="0.3">
      <c r="A33" s="296"/>
      <c r="B33" s="67" t="s">
        <v>209</v>
      </c>
      <c r="C33" s="68" t="s">
        <v>39</v>
      </c>
      <c r="D33" s="69">
        <v>2</v>
      </c>
      <c r="E33" s="57">
        <v>419</v>
      </c>
      <c r="F33" s="57">
        <f t="shared" si="7"/>
        <v>838</v>
      </c>
      <c r="G33" s="57">
        <v>2566</v>
      </c>
      <c r="H33" s="57">
        <f t="shared" ref="H33" si="9">D33*G33</f>
        <v>5132</v>
      </c>
      <c r="I33" s="57"/>
      <c r="J33" s="57"/>
      <c r="K33" s="57"/>
      <c r="L33" s="58"/>
      <c r="M33" s="57"/>
      <c r="N33" s="58">
        <f t="shared" si="6"/>
        <v>5970</v>
      </c>
      <c r="O33" s="292"/>
    </row>
    <row r="34" spans="1:15" ht="12.95" customHeight="1" x14ac:dyDescent="0.3">
      <c r="A34" s="90" t="s">
        <v>47</v>
      </c>
      <c r="B34" s="70"/>
      <c r="C34" s="71"/>
      <c r="D34" s="62"/>
      <c r="E34" s="63"/>
      <c r="F34" s="63">
        <f>SUM(F25:F33)</f>
        <v>49400</v>
      </c>
      <c r="G34" s="63"/>
      <c r="H34" s="63">
        <f>SUM(H25:H33)</f>
        <v>869595</v>
      </c>
      <c r="I34" s="63"/>
      <c r="J34" s="63">
        <f>SUM(J25:J33)</f>
        <v>0</v>
      </c>
      <c r="K34" s="63"/>
      <c r="L34" s="63">
        <f>SUM(L25:L33)</f>
        <v>0</v>
      </c>
      <c r="M34" s="63"/>
      <c r="N34" s="63">
        <f>SUM(N25:N33)</f>
        <v>918995</v>
      </c>
      <c r="O34" s="63"/>
    </row>
    <row r="35" spans="1:15" ht="12.95" customHeight="1" x14ac:dyDescent="0.3">
      <c r="A35" s="89" t="s">
        <v>61</v>
      </c>
      <c r="B35" s="54" t="s">
        <v>210</v>
      </c>
      <c r="C35" s="55" t="s">
        <v>39</v>
      </c>
      <c r="D35" s="72">
        <v>45</v>
      </c>
      <c r="E35" s="58"/>
      <c r="F35" s="58"/>
      <c r="G35" s="57">
        <v>6557</v>
      </c>
      <c r="H35" s="58">
        <f>D35*G35</f>
        <v>295065</v>
      </c>
      <c r="I35" s="58"/>
      <c r="J35" s="58"/>
      <c r="K35" s="58"/>
      <c r="L35" s="58"/>
      <c r="M35" s="58"/>
      <c r="N35" s="58">
        <f>F35+H35+J35+L35</f>
        <v>295065</v>
      </c>
      <c r="O35" s="73" t="s">
        <v>106</v>
      </c>
    </row>
    <row r="36" spans="1:15" ht="12.95" customHeight="1" x14ac:dyDescent="0.3">
      <c r="A36" s="91" t="s">
        <v>47</v>
      </c>
      <c r="B36" s="60"/>
      <c r="C36" s="61"/>
      <c r="D36" s="74"/>
      <c r="E36" s="75"/>
      <c r="F36" s="75"/>
      <c r="G36" s="75"/>
      <c r="H36" s="63">
        <f>SUM(H35:H35)</f>
        <v>295065</v>
      </c>
      <c r="I36" s="75"/>
      <c r="J36" s="63">
        <f>SUM(J35:J35)</f>
        <v>0</v>
      </c>
      <c r="K36" s="63"/>
      <c r="L36" s="63">
        <f>SUM(L35:L35)</f>
        <v>0</v>
      </c>
      <c r="M36" s="63"/>
      <c r="N36" s="63">
        <f>SUM(N35:N35)</f>
        <v>295065</v>
      </c>
      <c r="O36" s="75"/>
    </row>
    <row r="37" spans="1:15" ht="12.95" customHeight="1" x14ac:dyDescent="0.3">
      <c r="A37" s="92" t="s">
        <v>62</v>
      </c>
      <c r="B37" s="76"/>
      <c r="C37" s="77"/>
      <c r="D37" s="78"/>
      <c r="E37" s="79"/>
      <c r="F37" s="79">
        <f>F14+F24+F34+F36</f>
        <v>693245</v>
      </c>
      <c r="G37" s="79"/>
      <c r="H37" s="79">
        <f>H14+H24+H34+H36</f>
        <v>2203724</v>
      </c>
      <c r="I37" s="79"/>
      <c r="J37" s="79">
        <f>J14+J24+J34+J36</f>
        <v>0</v>
      </c>
      <c r="K37" s="79"/>
      <c r="L37" s="79">
        <f>L14+L24+L34+L36</f>
        <v>0</v>
      </c>
      <c r="M37" s="79"/>
      <c r="N37" s="79">
        <f>N14+N24+N34+N36</f>
        <v>2896969</v>
      </c>
      <c r="O37" s="79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26:A27"/>
    <mergeCell ref="O26:O33"/>
    <mergeCell ref="A28:A29"/>
    <mergeCell ref="A30:A31"/>
    <mergeCell ref="A32:A33"/>
    <mergeCell ref="A15:A2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13" t="s">
        <v>211</v>
      </c>
      <c r="B2" s="313"/>
      <c r="G2" s="2"/>
      <c r="L2" s="2"/>
      <c r="N2" s="2"/>
      <c r="O2" s="3"/>
      <c r="P2" s="3"/>
    </row>
    <row r="3" spans="1:16" s="1" customFormat="1" x14ac:dyDescent="0.3">
      <c r="A3" s="4" t="s">
        <v>63</v>
      </c>
      <c r="B3" s="5" t="s">
        <v>64</v>
      </c>
      <c r="C3" s="5" t="s">
        <v>65</v>
      </c>
      <c r="D3" s="5" t="s">
        <v>212</v>
      </c>
      <c r="E3" s="6" t="s">
        <v>66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213</v>
      </c>
      <c r="C4" s="8" t="s">
        <v>67</v>
      </c>
      <c r="D4" s="9">
        <v>1300</v>
      </c>
      <c r="E4" s="10" t="s">
        <v>110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G12" sqref="G12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8.1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5" t="s">
        <v>8</v>
      </c>
      <c r="B1" s="96" t="s">
        <v>9</v>
      </c>
      <c r="C1" s="96" t="s">
        <v>10</v>
      </c>
      <c r="D1" s="96" t="s">
        <v>11</v>
      </c>
      <c r="E1" s="96" t="s">
        <v>12</v>
      </c>
      <c r="F1" s="96" t="s">
        <v>5</v>
      </c>
      <c r="G1" s="96" t="s">
        <v>13</v>
      </c>
      <c r="H1" s="96" t="s">
        <v>14</v>
      </c>
      <c r="I1" s="96" t="s">
        <v>15</v>
      </c>
      <c r="J1" s="96" t="s">
        <v>16</v>
      </c>
      <c r="K1" s="96" t="s">
        <v>17</v>
      </c>
      <c r="L1" s="96" t="s">
        <v>18</v>
      </c>
      <c r="M1" s="96" t="s">
        <v>19</v>
      </c>
      <c r="N1" s="96" t="s">
        <v>20</v>
      </c>
      <c r="O1" s="96" t="s">
        <v>21</v>
      </c>
      <c r="P1" s="96" t="s">
        <v>22</v>
      </c>
      <c r="Q1" s="96" t="s">
        <v>23</v>
      </c>
      <c r="R1" s="96" t="s">
        <v>24</v>
      </c>
    </row>
    <row r="2" spans="1:18" x14ac:dyDescent="0.3">
      <c r="A2" s="16">
        <v>999999</v>
      </c>
      <c r="B2" s="15" t="s">
        <v>103</v>
      </c>
      <c r="C2" s="16" t="s">
        <v>109</v>
      </c>
      <c r="D2" s="16" t="s">
        <v>108</v>
      </c>
      <c r="E2" s="16" t="s">
        <v>70</v>
      </c>
      <c r="F2" s="93">
        <v>183</v>
      </c>
      <c r="G2" s="94">
        <v>1086</v>
      </c>
      <c r="H2" s="94"/>
      <c r="I2" s="94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103</v>
      </c>
      <c r="C3" s="16" t="s">
        <v>105</v>
      </c>
      <c r="D3" s="16" t="s">
        <v>104</v>
      </c>
      <c r="E3" s="16" t="s">
        <v>70</v>
      </c>
      <c r="F3" s="93">
        <v>45</v>
      </c>
      <c r="G3" s="94"/>
      <c r="H3" s="94"/>
      <c r="I3" s="94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3"/>
  <sheetViews>
    <sheetView showGridLines="0" zoomScaleNormal="100" workbookViewId="0">
      <selection activeCell="E26" sqref="E26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</row>
    <row r="2" spans="1:6" x14ac:dyDescent="0.3">
      <c r="A2" s="97" t="e">
        <v>#REF!</v>
      </c>
      <c r="B2" s="98" t="str">
        <f>'내역서(표준단가)'!F5</f>
        <v>D02641</v>
      </c>
      <c r="C2" s="98">
        <f>'내역서(표준단가)'!G5</f>
        <v>0</v>
      </c>
      <c r="D2" s="98">
        <f>'내역서(표준단가)'!H5</f>
        <v>0</v>
      </c>
      <c r="E2" s="98">
        <f>'내역서(표준단가)'!I5</f>
        <v>0</v>
      </c>
      <c r="F2" s="98">
        <f>'내역서(표준단가)'!M5</f>
        <v>120</v>
      </c>
    </row>
    <row r="3" spans="1:6" x14ac:dyDescent="0.3">
      <c r="A3" s="97" t="str">
        <f>'내역서(표준단가)'!A6</f>
        <v>D02873</v>
      </c>
      <c r="B3" s="98" t="str">
        <f>'내역서(표준단가)'!F6</f>
        <v>D02873</v>
      </c>
      <c r="C3" s="98">
        <f>'내역서(표준단가)'!G6</f>
        <v>0</v>
      </c>
      <c r="D3" s="98">
        <f>'내역서(표준단가)'!H6</f>
        <v>0</v>
      </c>
      <c r="E3" s="98">
        <f>'내역서(표준단가)'!I6</f>
        <v>0</v>
      </c>
      <c r="F3" s="98">
        <f>'내역서(표준단가)'!M6</f>
        <v>60</v>
      </c>
    </row>
    <row r="4" spans="1:6" x14ac:dyDescent="0.3">
      <c r="A4" s="97" t="str">
        <f>'내역서(표준단가)'!A7</f>
        <v>D02859</v>
      </c>
      <c r="B4" s="98" t="str">
        <f>'내역서(표준단가)'!F7</f>
        <v>D02859</v>
      </c>
      <c r="C4" s="98">
        <f>'내역서(표준단가)'!G7</f>
        <v>0</v>
      </c>
      <c r="D4" s="98">
        <f>'내역서(표준단가)'!H7</f>
        <v>0</v>
      </c>
      <c r="E4" s="98">
        <f>'내역서(표준단가)'!I7</f>
        <v>0</v>
      </c>
      <c r="F4" s="98">
        <f>'내역서(표준단가)'!M7</f>
        <v>37</v>
      </c>
    </row>
    <row r="5" spans="1:6" x14ac:dyDescent="0.3">
      <c r="A5" s="97" t="str">
        <f>'내역서(표준단가)'!A8</f>
        <v>D02558</v>
      </c>
      <c r="B5" s="98" t="str">
        <f>'내역서(표준단가)'!F8</f>
        <v>D02558</v>
      </c>
      <c r="C5" s="98">
        <f>'내역서(표준단가)'!G8</f>
        <v>0</v>
      </c>
      <c r="D5" s="98">
        <f>'내역서(표준단가)'!H8</f>
        <v>0</v>
      </c>
      <c r="E5" s="98">
        <f>'내역서(표준단가)'!I8</f>
        <v>0</v>
      </c>
      <c r="F5" s="98">
        <f>'내역서(표준단가)'!M8</f>
        <v>37</v>
      </c>
    </row>
    <row r="6" spans="1:6" x14ac:dyDescent="0.3">
      <c r="A6" s="97" t="str">
        <f>'내역서(표준단가)'!A9</f>
        <v>D02825</v>
      </c>
      <c r="B6" s="98" t="str">
        <f>'내역서(표준단가)'!F9</f>
        <v>D02825</v>
      </c>
      <c r="C6" s="98">
        <f>'내역서(표준단가)'!G9</f>
        <v>0</v>
      </c>
      <c r="D6" s="98">
        <f>'내역서(표준단가)'!H9</f>
        <v>0</v>
      </c>
      <c r="E6" s="98">
        <f>'내역서(표준단가)'!I9</f>
        <v>0</v>
      </c>
      <c r="F6" s="98">
        <f>'내역서(표준단가)'!M9</f>
        <v>52</v>
      </c>
    </row>
    <row r="7" spans="1:6" x14ac:dyDescent="0.3">
      <c r="A7" s="97" t="str">
        <f>'내역서(표준단가)'!A10</f>
        <v>D02832</v>
      </c>
      <c r="B7" s="98" t="str">
        <f>'내역서(표준단가)'!F10</f>
        <v>D02832</v>
      </c>
      <c r="C7" s="98">
        <f>'내역서(표준단가)'!G10</f>
        <v>0</v>
      </c>
      <c r="D7" s="98">
        <f>'내역서(표준단가)'!H10</f>
        <v>0</v>
      </c>
      <c r="E7" s="98">
        <f>'내역서(표준단가)'!I10</f>
        <v>0</v>
      </c>
      <c r="F7" s="98">
        <f>'내역서(표준단가)'!M10</f>
        <v>52</v>
      </c>
    </row>
    <row r="8" spans="1:6" x14ac:dyDescent="0.3">
      <c r="A8" s="97" t="str">
        <f>'내역서(표준단가)'!A11</f>
        <v>D02830</v>
      </c>
      <c r="B8" s="98" t="str">
        <f>'내역서(표준단가)'!F11</f>
        <v>D02830</v>
      </c>
      <c r="C8" s="98">
        <f>'내역서(표준단가)'!G11</f>
        <v>0</v>
      </c>
      <c r="D8" s="98">
        <f>'내역서(표준단가)'!H11</f>
        <v>0</v>
      </c>
      <c r="E8" s="98">
        <f>'내역서(표준단가)'!I11</f>
        <v>0</v>
      </c>
      <c r="F8" s="98">
        <f>'내역서(표준단가)'!M11</f>
        <v>11</v>
      </c>
    </row>
    <row r="9" spans="1:6" x14ac:dyDescent="0.3">
      <c r="A9" s="97" t="str">
        <f>'내역서(표준단가)'!A12</f>
        <v>D02836</v>
      </c>
      <c r="B9" s="98" t="str">
        <f>'내역서(표준단가)'!F12</f>
        <v>D02836</v>
      </c>
      <c r="C9" s="98">
        <f>'내역서(표준단가)'!G12</f>
        <v>0</v>
      </c>
      <c r="D9" s="98">
        <f>'내역서(표준단가)'!H12</f>
        <v>0</v>
      </c>
      <c r="E9" s="98">
        <f>'내역서(표준단가)'!I12</f>
        <v>0</v>
      </c>
      <c r="F9" s="98">
        <f>'내역서(표준단가)'!M12</f>
        <v>11</v>
      </c>
    </row>
    <row r="10" spans="1:6" x14ac:dyDescent="0.3">
      <c r="A10" s="97" t="str">
        <f>'내역서(표준단가)'!A13</f>
        <v>D02830</v>
      </c>
      <c r="B10" s="98" t="str">
        <f>'내역서(표준단가)'!F13</f>
        <v>D02830</v>
      </c>
      <c r="C10" s="98">
        <f>'내역서(표준단가)'!G13</f>
        <v>0</v>
      </c>
      <c r="D10" s="98">
        <f>'내역서(표준단가)'!H13</f>
        <v>0</v>
      </c>
      <c r="E10" s="98">
        <f>'내역서(표준단가)'!I13</f>
        <v>0</v>
      </c>
      <c r="F10" s="98">
        <f>'내역서(표준단가)'!M13</f>
        <v>2</v>
      </c>
    </row>
    <row r="11" spans="1:6" x14ac:dyDescent="0.3">
      <c r="A11" s="97" t="str">
        <f>'내역서(표준단가)'!A14</f>
        <v>D02835</v>
      </c>
      <c r="B11" s="98" t="str">
        <f>'내역서(표준단가)'!F14</f>
        <v>D02835</v>
      </c>
      <c r="C11" s="98">
        <f>'내역서(표준단가)'!G14</f>
        <v>0</v>
      </c>
      <c r="D11" s="98">
        <f>'내역서(표준단가)'!H14</f>
        <v>0</v>
      </c>
      <c r="E11" s="98">
        <f>'내역서(표준단가)'!I14</f>
        <v>0</v>
      </c>
      <c r="F11" s="98">
        <f>'내역서(표준단가)'!M14</f>
        <v>2</v>
      </c>
    </row>
    <row r="12" spans="1:6" x14ac:dyDescent="0.3">
      <c r="A12" s="97" t="str">
        <f>'내역서(표준단가)'!A15</f>
        <v>M012003400500101</v>
      </c>
      <c r="B12" s="98">
        <f>'내역서(표준단가)'!F15</f>
        <v>0</v>
      </c>
      <c r="C12" s="98">
        <f>'내역서(표준단가)'!G15</f>
        <v>0</v>
      </c>
      <c r="D12" s="98" t="str">
        <f>'내역서(표준단가)'!H15</f>
        <v>M012003400500101</v>
      </c>
      <c r="E12" s="98">
        <f>'내역서(표준단가)'!I15</f>
        <v>0</v>
      </c>
      <c r="F12" s="98">
        <f>'내역서(표준단가)'!M15</f>
        <v>37</v>
      </c>
    </row>
    <row r="13" spans="1:6" x14ac:dyDescent="0.3">
      <c r="A13" s="97" t="str">
        <f>'내역서(표준단가)'!A16</f>
        <v>M010602702400101</v>
      </c>
      <c r="B13" s="98">
        <f>'내역서(표준단가)'!F16</f>
        <v>0</v>
      </c>
      <c r="C13" s="98">
        <f>'내역서(표준단가)'!G16</f>
        <v>0</v>
      </c>
      <c r="D13" s="98" t="str">
        <f>'내역서(표준단가)'!H16</f>
        <v>M010602702400101</v>
      </c>
      <c r="E13" s="98">
        <f>'내역서(표준단가)'!I16</f>
        <v>0</v>
      </c>
      <c r="F13" s="98">
        <f>'내역서(표준단가)'!M16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2025-03-10T01:48:57Z</dcterms:modified>
</cp:coreProperties>
</file>
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30\06 작업폴더\01 사택 8-505 수장공사\"/>
    </mc:Choice>
  </mc:AlternateContent>
  <xr:revisionPtr revIDLastSave="0" documentId="13_ncr:1_{8EE7CC5D-A8EC-4586-A20B-9302A67CE711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2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<sst xmlns="http://schemas.openxmlformats.org/spreadsheetml/2006/main" count="240" uniqueCount="172">
  <si>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</si>
  <si>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</si>
  <si>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</si>
  <si>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</si>
  <si>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</si>
  <si>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</si>
  <si>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</si>
  <si>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</si>
  <si>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</si>
  <si>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</si>
  <si>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</si>
  <si>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</si>
  <si>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</si>
  <si>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</si>
  <si>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</si>
  <si>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</si>
  <si>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</si>
  <si>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</si>
  <si>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</si>
  <si>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</si>
  <si>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</si>
  <si>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</si>
  <si>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</si>
  <si>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</si>
  <si>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</si>
  <si>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</si>
  <si>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</si>
  <si>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</si>
  <si>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</si>
  <si>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</si>
  <si>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</si>
  <si>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</si>
  <si>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</si>
  <si>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</si>
  <si>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</si>
  <si>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</si>
  <si>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</si>
  <si>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</si>
  <si>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</si>
  <si>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</si>
  <si>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</si>
  <si>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</si>
  <si>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</si>
  <si>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</si>
  <si>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</si>
  <si>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</si>
  <si>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</si>
  <si>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</si>
  <si>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</si>
  <si>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</si>
  <si>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</si>
  <si>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</si>
  <si>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</si>
  <si>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</si>
  <si>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</si>
  <si>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</si>
  <si>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</si>
  <si>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</si>
  <si>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</si>
  <si>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</si>
  <si>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</si>
  <si>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</si>
  <si>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</si>
  <si>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</si>
  <si>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</si>
  <si>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</si>
  <si>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</si>
  <si>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</si>
  <si>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</si>
  <si>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</si>
  <si>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</si>
  <si>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</si>
  <si>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</si>
  <si>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</si>
  <si>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</si>
  <si>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</si>
  <si>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</si>
  <si>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</si>
  <si>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</si>
  <si>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</si>
  <si>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</si>
  <si>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</si>
  <si>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</si>
  <si>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</si>
  <si>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</si>
  <si>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</si>
  <si>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</si>
  <si>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</si>
  <si>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</si>
  <si>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</si>
  <si>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</si>
  <si>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</si>
  <si>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</si>
  <si>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</si>
  <si>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</si>
  <si>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</si>
  <si>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</si>
  <si>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</si>
  <si>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</si>
  <si>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</si>
  <si>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</si>
  <si>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</si>
  <si>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</si>
  <si>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</si>
  <si>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</si>
  <si>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</si>
  <si>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</si>
  <si>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</si>
  <si>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</si>
  <si>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</si>
  <si>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</si>
  <si>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</si>
  <si>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</si>
  <si>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</si>
  <si>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</si>
  <si>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</si>
  <si>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</si>
  <si>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</si>
  <si>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</si>
  <si>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</si>
  <si>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</si>
  <si>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</si>
  <si>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</si>
  <si>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</si>
  <si>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</si>
  <si>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</si>
  <si>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</si>
  <si>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</si>
  <si>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</si>
  <si>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</si>
  <si>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</si>
  <si>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</si>
  <si>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</si>
  <si>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</si>
  <si>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</si>
  <si>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</si>
  <si>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</si>
  <si>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</si>
  <si>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</si>
  <si>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</si>
  <si>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</si>
  <si>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</si>
  <si>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</si>
  <si>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</si>
  <si>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</si>
  <si>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</si>
  <si>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</si>
  <si>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</si>
  <si>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</si>
  <si>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</si>
  <si>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</si>
  <si>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</si>
  <si>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</si>
  <si>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</si>
  <si>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</si>
  <si>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</si>
  <si>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</si>
  <si>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</si>
  <si>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</si>
  <si>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</si>
  <si>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</si>
  <si>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</si>
  <si>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</si>
  <si>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</si>
  <si>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</si>
  <si>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</si>
  <si>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</si>
  <si>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</si>
  <si>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</si>
  <si>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공사명 : 사택 8-505 수장공사</t>
    <phoneticPr fontId="11" type="noConversion"/>
  </si>
  <si>
    <t xml:space="preserve"> 견적일 : 2025 년  09월  21일</t>
    <phoneticPr fontId="11" type="noConversion"/>
  </si>
  <si>
    <t>사택 8-505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</si>
</sst>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">
      <c r="A3" s="132"/>
      <c r="B3" s="132"/>
      <c r="C3" s="132"/>
      <c r="D3" s="132"/>
      <c r="E3" s="132"/>
      <c r="F3" s="132"/>
      <c r="G3" s="132"/>
      <c r="H3" s="132"/>
    </row>
    <row r="4" spans="1:9" ht="14.25" x14ac:dyDescent="0.2">
      <c r="A4" s="132"/>
      <c r="B4" s="132"/>
      <c r="C4" s="132"/>
      <c r="D4" s="132"/>
      <c r="E4" s="132"/>
      <c r="H4" s="132"/>
    </row>
    <row r="5" spans="1:9" ht="27" customHeight="1" x14ac:dyDescent="0.2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 x14ac:dyDescent="0.2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 x14ac:dyDescent="0.2">
      <c r="A7" s="173" t="s">
        <v>169</v>
      </c>
      <c r="B7" s="174"/>
      <c r="C7" s="175"/>
      <c r="D7" s="132"/>
      <c r="E7" s="10"/>
      <c r="F7" s="11" t="s">
        <v>43</v>
      </c>
      <c r="G7" s="9" t="s">
        <v>55</v>
      </c>
      <c r="H7" s="132"/>
    </row>
    <row r="8" spans="1:9" ht="27" customHeight="1" x14ac:dyDescent="0.2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 x14ac:dyDescent="0.2">
      <c r="A9" s="173" t="s">
        <v>170</v>
      </c>
      <c r="B9" s="174"/>
      <c r="C9" s="175"/>
      <c r="D9" s="132"/>
      <c r="E9" s="132"/>
      <c r="F9" s="8" t="s">
        <v>45</v>
      </c>
      <c r="G9" s="9" t="s">
        <v>57</v>
      </c>
      <c r="H9" s="132"/>
    </row>
    <row r="10" spans="1:9" ht="27" customHeight="1" x14ac:dyDescent="0.2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 x14ac:dyDescent="0.2">
      <c r="A11" s="171"/>
      <c r="B11" s="172"/>
      <c r="C11" s="172"/>
      <c r="D11" s="132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3495707.6123039997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4393201.3503040001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157306.84255367998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123922.83485617679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16048.007113874895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35306.646884270398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124447.19099802239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128720.79956390722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204072.99671369657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789825.31868362823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5183026.6689876281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topLeftCell="K1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51" t="s">
        <v>100</v>
      </c>
      <c r="Q1" s="151" t="s">
        <v>100</v>
      </c>
      <c r="S1" s="151" t="s">
        <v>100</v>
      </c>
      <c r="U1" s="151" t="s">
        <v>100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4"/>
      <c r="B3" s="155"/>
      <c r="C3" s="155"/>
      <c r="D3" s="155"/>
      <c r="E3" s="155"/>
      <c r="F3" s="155" t="s">
        <v>101</v>
      </c>
      <c r="G3" s="155"/>
      <c r="H3" s="155"/>
      <c r="I3" s="155"/>
      <c r="J3" s="187" t="s">
        <v>102</v>
      </c>
      <c r="K3" s="187"/>
      <c r="L3" s="185" t="s">
        <v>48</v>
      </c>
      <c r="M3" s="185" t="s">
        <v>5</v>
      </c>
      <c r="N3" s="181" t="s">
        <v>103</v>
      </c>
      <c r="O3" s="181"/>
      <c r="P3" s="181" t="s">
        <v>104</v>
      </c>
      <c r="Q3" s="181"/>
      <c r="R3" s="182" t="s">
        <v>105</v>
      </c>
      <c r="S3" s="182"/>
      <c r="T3" s="182" t="s">
        <v>106</v>
      </c>
      <c r="U3" s="182"/>
      <c r="V3" s="183" t="s">
        <v>107</v>
      </c>
      <c r="W3" s="179" t="s">
        <v>108</v>
      </c>
      <c r="X3" s="177" t="s">
        <v>46</v>
      </c>
    </row>
    <row r="4" spans="1:24" ht="19.899999999999999" customHeight="1" x14ac:dyDescent="0.3">
      <c r="A4" s="69" t="s">
        <v>109</v>
      </c>
      <c r="B4" s="152"/>
      <c r="C4" s="152"/>
      <c r="D4" s="152"/>
      <c r="E4" s="152"/>
      <c r="F4" s="70" t="s">
        <v>110</v>
      </c>
      <c r="G4" s="70" t="s">
        <v>111</v>
      </c>
      <c r="H4" s="70" t="s">
        <v>112</v>
      </c>
      <c r="I4" s="70" t="s">
        <v>113</v>
      </c>
      <c r="J4" s="148" t="s">
        <v>114</v>
      </c>
      <c r="K4" s="148" t="s">
        <v>115</v>
      </c>
      <c r="L4" s="186"/>
      <c r="M4" s="186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4"/>
      <c r="W4" s="180"/>
      <c r="X4" s="178"/>
    </row>
    <row r="5" spans="1:24" s="156" customFormat="1" ht="38.1" customHeight="1" x14ac:dyDescent="0.3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6" t="s">
        <v>156</v>
      </c>
      <c r="K5" s="146" t="s">
        <v>165</v>
      </c>
      <c r="L5" s="123" t="s">
        <v>164</v>
      </c>
      <c r="M5" s="145">
        <v>11.992000000000001</v>
      </c>
      <c r="N5" s="168">
        <v>20900</v>
      </c>
      <c r="O5" s="140">
        <f t="shared" ref="O5" si="1">SUM(N5:N5)*M5*$O$2</f>
        <v>209278.38800000001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209278.38800000001</v>
      </c>
      <c r="W5" s="122"/>
      <c r="X5" s="78"/>
    </row>
    <row r="6" spans="1:24" s="156" customFormat="1" ht="38.1" customHeight="1" x14ac:dyDescent="0.3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6" t="s">
        <v>122</v>
      </c>
      <c r="K6" s="146" t="s">
        <v>166</v>
      </c>
      <c r="L6" s="75" t="s">
        <v>121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 x14ac:dyDescent="0.3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6" t="s">
        <v>123</v>
      </c>
      <c r="K7" s="146" t="s">
        <v>167</v>
      </c>
      <c r="L7" s="75" t="s">
        <v>121</v>
      </c>
      <c r="M7" s="145">
        <v>1.7709999999999999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720280.68265999993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720280.68265999993</v>
      </c>
      <c r="W7" s="122"/>
      <c r="X7" s="78"/>
    </row>
    <row r="8" spans="1:24" s="156" customFormat="1" ht="38.1" customHeight="1" x14ac:dyDescent="0.3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6" t="s">
        <v>159</v>
      </c>
      <c r="K8" s="146" t="s">
        <v>160</v>
      </c>
      <c r="L8" s="123" t="s">
        <v>157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 x14ac:dyDescent="0.3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6" t="s">
        <v>125</v>
      </c>
      <c r="K9" s="146" t="s">
        <v>168</v>
      </c>
      <c r="L9" s="75" t="s">
        <v>121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 x14ac:dyDescent="0.3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150</v>
      </c>
      <c r="I10" s="103"/>
      <c r="J10" s="149" t="s">
        <v>149</v>
      </c>
      <c r="K10" s="149" t="s">
        <v>144</v>
      </c>
      <c r="L10" s="136" t="s">
        <v>143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 x14ac:dyDescent="0.3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6" t="s">
        <v>127</v>
      </c>
      <c r="K11" s="146" t="s">
        <v>128</v>
      </c>
      <c r="L11" s="123" t="s">
        <v>141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 x14ac:dyDescent="0.3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6" t="s">
        <v>131</v>
      </c>
      <c r="K12" s="146" t="s">
        <v>132</v>
      </c>
      <c r="L12" s="123" t="s">
        <v>129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 x14ac:dyDescent="0.3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145</v>
      </c>
      <c r="I13" s="103"/>
      <c r="J13" s="149" t="s">
        <v>146</v>
      </c>
      <c r="K13" s="149" t="s">
        <v>147</v>
      </c>
      <c r="L13" s="136" t="s">
        <v>143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 x14ac:dyDescent="0.3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6" t="s">
        <v>134</v>
      </c>
      <c r="K14" s="146" t="s">
        <v>135</v>
      </c>
      <c r="L14" s="123" t="s">
        <v>129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 x14ac:dyDescent="0.3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6" t="s">
        <v>137</v>
      </c>
      <c r="K15" s="146" t="s">
        <v>132</v>
      </c>
      <c r="L15" s="123" t="s">
        <v>129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 x14ac:dyDescent="0.3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6" t="s">
        <v>138</v>
      </c>
      <c r="K16" s="146" t="s">
        <v>135</v>
      </c>
      <c r="L16" s="123" t="s">
        <v>129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 x14ac:dyDescent="0.3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6" t="s">
        <v>140</v>
      </c>
      <c r="K17" s="146" t="s">
        <v>132</v>
      </c>
      <c r="L17" s="123" t="s">
        <v>129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 x14ac:dyDescent="0.3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9" t="s">
        <v>153</v>
      </c>
      <c r="K18" s="159" t="s">
        <v>162</v>
      </c>
      <c r="L18" s="160" t="s">
        <v>154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 x14ac:dyDescent="0.3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897493.73800000001</v>
      </c>
      <c r="P19" s="164"/>
      <c r="Q19" s="163">
        <f>SUM(Q5:Q18)</f>
        <v>3495707.6123039997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4393201.3503040001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abSelected="1" zoomScaleNormal="100" workbookViewId="0">
      <selection activeCell="A38" sqref="A38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198" t="s">
        <v>60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6" ht="15" customHeight="1" x14ac:dyDescent="0.3">
      <c r="A2" s="199" t="s">
        <v>61</v>
      </c>
      <c r="B2" s="200" t="s">
        <v>62</v>
      </c>
      <c r="C2" s="201" t="s">
        <v>48</v>
      </c>
      <c r="D2" s="201" t="s">
        <v>63</v>
      </c>
      <c r="E2" s="203" t="s">
        <v>64</v>
      </c>
      <c r="F2" s="200"/>
      <c r="G2" s="200" t="s">
        <v>65</v>
      </c>
      <c r="H2" s="200"/>
      <c r="I2" s="204" t="s">
        <v>66</v>
      </c>
      <c r="J2" s="205"/>
      <c r="K2" s="204" t="s">
        <v>67</v>
      </c>
      <c r="L2" s="205"/>
      <c r="M2" s="203" t="s">
        <v>68</v>
      </c>
      <c r="N2" s="200"/>
      <c r="O2" s="206" t="s">
        <v>69</v>
      </c>
    </row>
    <row r="3" spans="1:16" ht="15" customHeight="1" x14ac:dyDescent="0.3">
      <c r="A3" s="199"/>
      <c r="B3" s="200"/>
      <c r="C3" s="202"/>
      <c r="D3" s="202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207"/>
    </row>
    <row r="4" spans="1:16" ht="15" customHeight="1" x14ac:dyDescent="0.3">
      <c r="A4" s="196" t="s">
        <v>171</v>
      </c>
      <c r="B4" s="197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89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1" t="s">
        <v>151</v>
      </c>
    </row>
    <row r="6" spans="1:16" ht="15" customHeight="1" x14ac:dyDescent="0.3">
      <c r="A6" s="190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92"/>
    </row>
    <row r="7" spans="1:16" ht="15" customHeight="1" x14ac:dyDescent="0.3">
      <c r="A7" s="190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92"/>
      <c r="P7" s="120">
        <f>D6+D8+D10+D12</f>
        <v>62</v>
      </c>
    </row>
    <row r="8" spans="1:16" ht="15" customHeight="1" x14ac:dyDescent="0.3">
      <c r="A8" s="190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192"/>
    </row>
    <row r="9" spans="1:16" ht="15" customHeight="1" x14ac:dyDescent="0.3">
      <c r="A9" s="190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2"/>
    </row>
    <row r="10" spans="1:16" ht="15" customHeight="1" x14ac:dyDescent="0.3">
      <c r="A10" s="190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192"/>
    </row>
    <row r="11" spans="1:16" ht="15" customHeight="1" x14ac:dyDescent="0.3">
      <c r="A11" s="190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2"/>
    </row>
    <row r="12" spans="1:16" ht="15" customHeight="1" x14ac:dyDescent="0.3">
      <c r="A12" s="190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92"/>
    </row>
    <row r="13" spans="1:16" ht="15" customHeight="1" x14ac:dyDescent="0.3">
      <c r="A13" s="113" t="s">
        <v>83</v>
      </c>
      <c r="B13" s="114"/>
      <c r="C13" s="115"/>
      <c r="D13" s="116">
        <f>SUM(D5:D12)</f>
        <v>198</v>
      </c>
      <c r="E13" s="125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6" ht="15" customHeight="1" x14ac:dyDescent="0.3">
      <c r="A14" s="193" t="s">
        <v>152</v>
      </c>
      <c r="B14" s="82" t="s">
        <v>84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192"/>
    </row>
    <row r="15" spans="1:16" ht="15" customHeight="1" x14ac:dyDescent="0.3">
      <c r="A15" s="193"/>
      <c r="B15" s="82" t="s">
        <v>85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192"/>
    </row>
    <row r="16" spans="1:16" ht="15" customHeight="1" x14ac:dyDescent="0.3">
      <c r="A16" s="193"/>
      <c r="B16" s="82" t="s">
        <v>86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192"/>
    </row>
    <row r="17" spans="1:15" ht="15" customHeight="1" x14ac:dyDescent="0.3">
      <c r="A17" s="194"/>
      <c r="B17" s="82" t="s">
        <v>87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195"/>
    </row>
    <row r="18" spans="1:15" ht="15" customHeight="1" x14ac:dyDescent="0.3">
      <c r="A18" s="104" t="s">
        <v>83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 x14ac:dyDescent="0.3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9" t="s">
        <v>148</v>
      </c>
      <c r="B20" s="137" t="s">
        <v>144</v>
      </c>
      <c r="C20" s="137" t="s">
        <v>143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 x14ac:dyDescent="0.3">
      <c r="A21" s="188" t="s">
        <v>89</v>
      </c>
      <c r="B21" s="92" t="s">
        <v>90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 x14ac:dyDescent="0.3">
      <c r="A22" s="188"/>
      <c r="B22" s="92" t="s">
        <v>91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 x14ac:dyDescent="0.3">
      <c r="A23" s="188" t="s">
        <v>92</v>
      </c>
      <c r="B23" s="92" t="s">
        <v>90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 x14ac:dyDescent="0.3">
      <c r="A24" s="188"/>
      <c r="B24" s="92" t="s">
        <v>91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 x14ac:dyDescent="0.3">
      <c r="A25" s="138" t="s">
        <v>146</v>
      </c>
      <c r="B25" s="137" t="s">
        <v>147</v>
      </c>
      <c r="C25" s="137" t="s">
        <v>143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 x14ac:dyDescent="0.3">
      <c r="A26" s="188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 x14ac:dyDescent="0.3">
      <c r="A27" s="188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 x14ac:dyDescent="0.3">
      <c r="A28" s="188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 x14ac:dyDescent="0.3">
      <c r="A29" s="188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 x14ac:dyDescent="0.3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 x14ac:dyDescent="0.3">
      <c r="A31" s="111" t="s">
        <v>98</v>
      </c>
      <c r="B31" s="82" t="s">
        <v>161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99</v>
      </c>
    </row>
    <row r="32" spans="1:15" ht="15" customHeight="1" x14ac:dyDescent="0.3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2025-09-29T19:24:10Z</dcterms:modified>
</cp:coreProperties>
</file>
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 codeName="현재_통합_문서"/>
  <xr:revisionPtr revIDLastSave="0" documentId="13_ncr:1_{38060FE1-EE44-4AE7-8F2B-77D1AC2DBB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4" l="1"/>
  <c r="M6" i="4"/>
  <c r="H7" i="9"/>
  <c r="N7" i="9" s="1"/>
  <c r="H6" i="9"/>
  <c r="N6" i="9" s="1"/>
  <c r="F4" i="1" l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Q5" i="4" l="1"/>
  <c r="O5" i="4"/>
  <c r="M5" i="4"/>
  <c r="K5" i="4"/>
  <c r="A5" i="4"/>
  <c r="A2" i="1" s="1"/>
  <c r="R5" i="4" l="1"/>
  <c r="Q8" i="4"/>
  <c r="O8" i="4"/>
  <c r="M8" i="4"/>
  <c r="K8" i="4"/>
  <c r="A8" i="4"/>
  <c r="Q6" i="4"/>
  <c r="O6" i="4"/>
  <c r="K6" i="4"/>
  <c r="A6" i="4"/>
  <c r="A3" i="1" s="1"/>
  <c r="R8" i="4" l="1"/>
  <c r="R6" i="4"/>
  <c r="L8" i="9" l="1"/>
  <c r="J8" i="9"/>
  <c r="H5" i="9"/>
  <c r="F5" i="9"/>
  <c r="F8" i="9" l="1"/>
  <c r="H8" i="9"/>
  <c r="N5" i="9"/>
  <c r="N8" i="9" l="1"/>
  <c r="A7" i="4" l="1"/>
  <c r="A4" i="1" s="1"/>
  <c r="K7" i="4"/>
  <c r="O7" i="4"/>
  <c r="Q7" i="4"/>
  <c r="R7" i="4" l="1"/>
  <c r="M9" i="4" l="1"/>
  <c r="F17" i="5" s="1"/>
  <c r="F21" i="5" l="1"/>
  <c r="F22" i="5"/>
  <c r="Q9" i="4"/>
  <c r="K9" i="4"/>
  <c r="F16" i="5" s="1"/>
  <c r="F26" i="5" s="1"/>
  <c r="O9" i="4"/>
  <c r="F18" i="5" l="1"/>
  <c r="R9" i="4"/>
  <c r="F19" i="5" l="1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<sst xmlns="http://schemas.openxmlformats.org/spreadsheetml/2006/main" count="140" uniqueCount="112">
  <si>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</si>
  <si>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</si>
  <si>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</si>
  <si>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</si>
  <si>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</si>
  <si>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</si>
  <si>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</si>
  <si>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</si>
  <si>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</si>
  <si>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</si>
  <si>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</si>
  <si>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</si>
  <si>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</si>
  <si>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</si>
  <si>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</si>
  <si>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</si>
  <si>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</si>
  <si>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</si>
  <si>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</si>
  <si>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</si>
  <si>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</si>
  <si>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</si>
  <si>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</si>
  <si>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</si>
  <si>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</si>
  <si>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</si>
  <si>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</si>
  <si>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</si>
  <si>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</si>
  <si>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</si>
  <si>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</si>
  <si>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</si>
  <si>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</si>
  <si>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</si>
  <si>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</si>
  <si>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</si>
  <si>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</si>
  <si>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</si>
  <si>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</si>
  <si>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</si>
  <si>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</si>
  <si>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</si>
  <si>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</si>
  <si>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</si>
  <si>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</si>
  <si>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</si>
  <si>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</si>
  <si>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</si>
  <si>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</si>
  <si>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</si>
  <si>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</si>
  <si>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</si>
  <si>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</si>
  <si>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</si>
  <si>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</si>
  <si>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</si>
  <si>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</si>
  <si>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</si>
  <si>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</si>
  <si>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</si>
  <si>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</si>
  <si>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</si>
  <si>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</si>
  <si>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</si>
  <si>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</si>
  <si>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</si>
  <si>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</si>
  <si>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</si>
  <si>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</si>
  <si>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</si>
  <si>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</si>
  <si>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㎡</t>
    <phoneticPr fontId="13" type="noConversion"/>
  </si>
  <si>
    <t>소 계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</si>
  <si>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</si>
  <si>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</si>
  <si>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</si>
  <si>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</si>
  <si>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</si>
  <si>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</si>
  <si>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</si>
  <si>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</si>
  <si>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</si>
  <si>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</si>
  <si>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</si>
  <si>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</si>
  <si>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</si>
  <si>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</si>
  <si>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</si>
  <si>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</si>
  <si>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</si>
  <si>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</si>
  <si>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</si>
  <si>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</si>
  <si>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 (재료비+노무비)*3.11%</t>
    <phoneticPr fontId="13" type="noConversion"/>
  </si>
  <si>
    <t>M020853710050101</t>
  </si>
  <si>
    <t>아이리스</t>
  </si>
  <si>
    <t>R/L</t>
  </si>
  <si>
    <t> 노무비*4.75%</t>
    <phoneticPr fontId="13" type="noConversion"/>
  </si>
  <si>
    <t> 노무비*3.595%</t>
    <phoneticPr fontId="13" type="noConversion"/>
  </si>
  <si>
    <t xml:space="preserve"> 공사명 : 사택 7-205 도배보수</t>
    <phoneticPr fontId="11" type="noConversion"/>
  </si>
  <si>
    <t xml:space="preserve"> 견적일 : 2026년  08월  27일</t>
    <phoneticPr fontId="5" type="noConversion"/>
  </si>
  <si>
    <t>사택 7-205 도배보수</t>
    <phoneticPr fontId="5" type="noConversion"/>
  </si>
  <si>
    <t>거실 벽면, 3.6*2.3=8.28</t>
    <phoneticPr fontId="13" type="noConversion"/>
  </si>
  <si>
    <t>인</t>
    <phoneticPr fontId="13" type="noConversion"/>
  </si>
  <si>
    <t>보통인부, 최소인건비 적용</t>
    <phoneticPr fontId="13" type="noConversion"/>
  </si>
  <si>
    <t>특별인부, 최소인건비 적용</t>
    <phoneticPr fontId="13" type="noConversion"/>
  </si>
  <si>
    <t>인</t>
    <phoneticPr fontId="5" type="noConversion"/>
  </si>
  <si>
    <t>L003</t>
    <phoneticPr fontId="7" type="noConversion"/>
  </si>
  <si>
    <t>L002</t>
  </si>
  <si>
    <t>최소인건비 적용</t>
    <phoneticPr fontId="5" type="noConversion"/>
  </si>
  <si>
    <r>
      <t xml:space="preserve">합지벽지 1R/L=93㎝(고정)×17.75m=16.51㎡,
 </t>
    </r>
    <r>
      <rPr>
        <sz val="10"/>
        <color rgb="FFFF0000"/>
        <rFont val="LG스마트체 Regular"/>
        <family val="3"/>
        <charset val="129"/>
      </rPr>
      <t>소요량9/16.51=8.479R/L</t>
    </r>
    <phoneticPr fontId="5" type="noConversion"/>
  </si>
  <si>
    <t>최소 인건비 적용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</si>
</sst>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#,##0.000_ "/>
    <numFmt numFmtId="187" formatCode="0.000_ "/>
    <numFmt numFmtId="188" formatCode="0.0_);[Red]\(0.0\)"/>
    <numFmt numFmtId="189" formatCode="#,##0;\-#,##0;"/>
    <numFmt numFmtId="190" formatCode="0.000"/>
  </numFmts>
  <fonts count="3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9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9"/>
      <name val="LG스마트체 Regular"/>
      <family val="3"/>
      <charset val="129"/>
    </font>
    <font>
      <sz val="10"/>
      <color rgb="FF000000"/>
      <name val="Pretendard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7" fontId="16" fillId="0" borderId="1" xfId="1" applyNumberFormat="1" applyFont="1" applyBorder="1" applyAlignment="1">
      <alignment horizontal="center" vertical="center"/>
    </xf>
    <xf numFmtId="186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189" fontId="16" fillId="5" borderId="3" xfId="0" applyNumberFormat="1" applyFont="1" applyFill="1" applyBorder="1" applyAlignment="1">
      <alignment horizontal="right" vertical="center" wrapText="1"/>
    </xf>
    <xf numFmtId="189" fontId="16" fillId="6" borderId="3" xfId="1" applyNumberFormat="1" applyFont="1" applyFill="1" applyBorder="1" applyAlignment="1">
      <alignment horizontal="right" vertical="center" wrapText="1"/>
    </xf>
    <xf numFmtId="189" fontId="16" fillId="0" borderId="3" xfId="1" applyNumberFormat="1" applyFont="1" applyFill="1" applyBorder="1" applyAlignment="1">
      <alignment horizontal="right" vertical="center" wrapText="1"/>
    </xf>
    <xf numFmtId="189" fontId="16" fillId="5" borderId="3" xfId="0" applyNumberFormat="1" applyFont="1" applyFill="1" applyBorder="1" applyAlignment="1">
      <alignment horizontal="right" vertical="center"/>
    </xf>
    <xf numFmtId="190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1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1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16" fillId="0" borderId="3" xfId="1" applyNumberFormat="1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185" fontId="21" fillId="0" borderId="31" xfId="13" applyNumberFormat="1" applyFont="1" applyFill="1" applyBorder="1" applyAlignment="1">
      <alignment horizontal="center" vertical="center"/>
    </xf>
    <xf numFmtId="177" fontId="21" fillId="0" borderId="31" xfId="13" applyFont="1" applyFill="1" applyBorder="1" applyAlignment="1">
      <alignment horizontal="center" vertical="center"/>
    </xf>
    <xf numFmtId="180" fontId="19" fillId="0" borderId="16" xfId="6" applyNumberFormat="1" applyFont="1" applyBorder="1" applyAlignment="1">
      <alignment vertical="center"/>
    </xf>
    <xf numFmtId="188" fontId="22" fillId="10" borderId="31" xfId="13" applyNumberFormat="1" applyFont="1" applyFill="1" applyBorder="1" applyAlignment="1">
      <alignment horizontal="center" vertical="center" wrapText="1"/>
    </xf>
    <xf numFmtId="177" fontId="26" fillId="5" borderId="3" xfId="1" applyFont="1" applyFill="1" applyBorder="1" applyAlignment="1">
      <alignment horizontal="center" vertical="center"/>
    </xf>
    <xf numFmtId="177" fontId="27" fillId="5" borderId="3" xfId="1" applyFont="1" applyFill="1" applyBorder="1" applyAlignment="1">
      <alignment horizontal="right"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9" fillId="5" borderId="3" xfId="0" applyFont="1" applyFill="1" applyBorder="1" applyAlignment="1">
      <alignment horizontal="center" vertical="center"/>
    </xf>
    <xf numFmtId="0" fontId="27" fillId="5" borderId="3" xfId="0" applyFont="1" applyFill="1" applyBorder="1">
      <alignment vertical="center"/>
    </xf>
    <xf numFmtId="0" fontId="30" fillId="0" borderId="15" xfId="8" applyFont="1" applyBorder="1" applyAlignment="1">
      <alignment horizontal="center" vertical="center"/>
    </xf>
    <xf numFmtId="0" fontId="31" fillId="0" borderId="15" xfId="6" applyFont="1" applyBorder="1" applyAlignment="1">
      <alignment vertical="center"/>
    </xf>
    <xf numFmtId="0" fontId="30" fillId="0" borderId="15" xfId="6" applyFont="1" applyBorder="1" applyAlignment="1">
      <alignment horizontal="center" vertical="center"/>
    </xf>
    <xf numFmtId="178" fontId="31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horizontal="center" vertical="center"/>
    </xf>
    <xf numFmtId="178" fontId="31" fillId="5" borderId="15" xfId="5" applyFont="1" applyFill="1" applyBorder="1" applyAlignment="1">
      <alignment horizontal="right" vertical="center"/>
    </xf>
    <xf numFmtId="183" fontId="32" fillId="5" borderId="31" xfId="13" applyNumberFormat="1" applyFont="1" applyFill="1" applyBorder="1" applyAlignment="1">
      <alignment horizontal="right" vertical="center" wrapText="1"/>
    </xf>
    <xf numFmtId="188" fontId="32" fillId="0" borderId="31" xfId="13" applyNumberFormat="1" applyFont="1" applyFill="1" applyBorder="1" applyAlignment="1">
      <alignment horizontal="right" vertical="center"/>
    </xf>
    <xf numFmtId="49" fontId="16" fillId="0" borderId="6" xfId="0" applyNumberFormat="1" applyFont="1" applyBorder="1" applyAlignment="1">
      <alignment horizontal="center" vertical="center" wrapText="1"/>
    </xf>
    <xf numFmtId="0" fontId="16" fillId="6" borderId="38" xfId="0" applyFont="1" applyFill="1" applyBorder="1" applyAlignment="1">
      <alignment horizontal="center" vertical="center"/>
    </xf>
    <xf numFmtId="49" fontId="16" fillId="7" borderId="39" xfId="0" applyNumberFormat="1" applyFont="1" applyFill="1" applyBorder="1" applyAlignment="1">
      <alignment horizontal="center" vertical="center"/>
    </xf>
    <xf numFmtId="0" fontId="16" fillId="7" borderId="39" xfId="0" applyFont="1" applyFill="1" applyBorder="1" applyAlignment="1">
      <alignment horizontal="center" vertical="center"/>
    </xf>
    <xf numFmtId="49" fontId="33" fillId="7" borderId="3" xfId="0" applyNumberFormat="1" applyFont="1" applyFill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184" fontId="20" fillId="10" borderId="33" xfId="13" applyNumberFormat="1" applyFont="1" applyFill="1" applyBorder="1" applyAlignment="1">
      <alignment vertical="center"/>
    </xf>
    <xf numFmtId="184" fontId="22" fillId="10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14D477-7D2E-42F7-A5DC-0F92AD2C9762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7" zoomScale="85" zoomScaleNormal="85" workbookViewId="0">
      <selection activeCell="M16" sqref="M16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45" t="s">
        <v>6</v>
      </c>
      <c r="B2" s="145"/>
      <c r="C2" s="145"/>
      <c r="D2" s="145"/>
      <c r="E2" s="145"/>
      <c r="F2" s="145"/>
      <c r="G2" s="145"/>
      <c r="H2" s="2"/>
    </row>
    <row r="3" spans="1:9" ht="14.25">
      <c r="A3" s="92"/>
      <c r="B3" s="92"/>
      <c r="C3" s="92"/>
      <c r="D3" s="92"/>
      <c r="E3" s="92"/>
      <c r="F3" s="92"/>
      <c r="G3" s="92"/>
      <c r="H3" s="92"/>
    </row>
    <row r="4" spans="1:9" ht="14.25">
      <c r="A4" s="92"/>
      <c r="B4" s="92"/>
      <c r="C4" s="92"/>
      <c r="D4" s="92"/>
      <c r="E4" s="92"/>
      <c r="H4" s="92"/>
    </row>
    <row r="5" spans="1:9" ht="27" customHeight="1">
      <c r="A5" s="93" t="s">
        <v>47</v>
      </c>
      <c r="B5" s="4"/>
      <c r="C5" s="5"/>
      <c r="D5" s="92"/>
      <c r="E5" s="92"/>
      <c r="F5" s="6" t="s">
        <v>37</v>
      </c>
      <c r="G5" s="7" t="s">
        <v>50</v>
      </c>
      <c r="H5" s="92"/>
    </row>
    <row r="6" spans="1:9" ht="27" customHeight="1">
      <c r="A6" s="92"/>
      <c r="B6" s="92"/>
      <c r="C6" s="92"/>
      <c r="D6" s="92"/>
      <c r="E6" s="92"/>
      <c r="F6" s="8" t="s">
        <v>40</v>
      </c>
      <c r="G6" s="9" t="s">
        <v>51</v>
      </c>
      <c r="H6" s="92"/>
    </row>
    <row r="7" spans="1:9" ht="27" customHeight="1">
      <c r="A7" s="148" t="s">
        <v>99</v>
      </c>
      <c r="B7" s="149"/>
      <c r="C7" s="150"/>
      <c r="D7" s="92"/>
      <c r="E7" s="10"/>
      <c r="F7" s="11" t="s">
        <v>41</v>
      </c>
      <c r="G7" s="9" t="s">
        <v>52</v>
      </c>
      <c r="H7" s="92"/>
    </row>
    <row r="8" spans="1:9" ht="27" customHeight="1">
      <c r="A8" s="92"/>
      <c r="B8" s="92"/>
      <c r="C8" s="92"/>
      <c r="D8" s="92"/>
      <c r="E8" s="92"/>
      <c r="F8" s="8" t="s">
        <v>42</v>
      </c>
      <c r="G8" s="9" t="s">
        <v>53</v>
      </c>
      <c r="H8" s="92"/>
    </row>
    <row r="9" spans="1:9" ht="27" customHeight="1">
      <c r="A9" s="93" t="s">
        <v>100</v>
      </c>
      <c r="B9" s="126"/>
      <c r="C9" s="127"/>
      <c r="D9" s="92"/>
      <c r="E9" s="92"/>
      <c r="F9" s="8" t="s">
        <v>43</v>
      </c>
      <c r="G9" s="9" t="s">
        <v>54</v>
      </c>
      <c r="H9" s="92"/>
    </row>
    <row r="10" spans="1:9" ht="27" customHeight="1">
      <c r="A10" s="92"/>
      <c r="B10" s="92"/>
      <c r="C10" s="92"/>
      <c r="D10" s="92"/>
      <c r="E10" s="92"/>
      <c r="F10" s="12" t="s">
        <v>38</v>
      </c>
      <c r="G10" s="13" t="s">
        <v>55</v>
      </c>
      <c r="H10" s="92"/>
      <c r="I10" s="92"/>
    </row>
    <row r="11" spans="1:9" ht="27" customHeight="1">
      <c r="A11" s="146"/>
      <c r="B11" s="147"/>
      <c r="C11" s="147"/>
      <c r="D11" s="92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사십구만삼천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'내역서(표준단가)'!K9</f>
        <v>9511.0674999999992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'내역서(표준단가)'!M9</f>
        <v>395527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'내역서(표준단가)'!O9+'내역서(표준단가)'!Q9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405038.0675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30" t="s">
        <v>23</v>
      </c>
      <c r="C21" s="131" t="s">
        <v>97</v>
      </c>
      <c r="D21" s="132">
        <v>1</v>
      </c>
      <c r="E21" s="132" t="s">
        <v>24</v>
      </c>
      <c r="F21" s="133">
        <f>F17*4.75%</f>
        <v>18787.532500000001</v>
      </c>
      <c r="G21" s="35" t="s">
        <v>25</v>
      </c>
    </row>
    <row r="22" spans="1:7" ht="33" customHeight="1">
      <c r="A22" s="29"/>
      <c r="B22" s="134" t="s">
        <v>26</v>
      </c>
      <c r="C22" s="131" t="s">
        <v>98</v>
      </c>
      <c r="D22" s="135">
        <v>1</v>
      </c>
      <c r="E22" s="135" t="s">
        <v>24</v>
      </c>
      <c r="F22" s="136">
        <f>F17*3.595%</f>
        <v>14219.195650000001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1841.3858366750003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3994.8226999999997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14080.761199999999</v>
      </c>
      <c r="G25" s="35" t="s">
        <v>27</v>
      </c>
    </row>
    <row r="26" spans="1:7" ht="33" customHeight="1">
      <c r="A26" s="29"/>
      <c r="B26" s="42" t="s">
        <v>31</v>
      </c>
      <c r="C26" s="45" t="s">
        <v>93</v>
      </c>
      <c r="D26" s="30">
        <v>1</v>
      </c>
      <c r="E26" s="30" t="s">
        <v>24</v>
      </c>
      <c r="F26" s="43">
        <f>(F16+F17)*3.11%</f>
        <v>12596.68389925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23052.369089296251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88572.750875221245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493610.81837522122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493000</v>
      </c>
      <c r="G31" s="121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9"/>
  <sheetViews>
    <sheetView showGridLines="0" view="pageBreakPreview" topLeftCell="A2" zoomScaleNormal="80" zoomScaleSheetLayoutView="100" workbookViewId="0">
      <selection activeCell="G5" sqref="G5"/>
    </sheetView>
  </sheetViews>
  <sheetFormatPr defaultColWidth="9" defaultRowHeight="38.1" customHeight="1"/>
  <cols>
    <col min="1" max="1" width="22.625" style="116" bestFit="1" customWidth="1"/>
    <col min="2" max="2" width="9" style="105" hidden="1" customWidth="1"/>
    <col min="3" max="5" width="12.625" style="105" hidden="1" customWidth="1"/>
    <col min="6" max="6" width="8.125" style="101" bestFit="1" customWidth="1"/>
    <col min="7" max="7" width="37.5" style="101" bestFit="1" customWidth="1"/>
    <col min="8" max="8" width="5.25" style="105" bestFit="1" customWidth="1"/>
    <col min="9" max="9" width="8.25" style="105" customWidth="1"/>
    <col min="10" max="10" width="10.625" style="105" bestFit="1" customWidth="1"/>
    <col min="11" max="11" width="13.25" style="105" bestFit="1" customWidth="1"/>
    <col min="12" max="12" width="12" style="105" bestFit="1" customWidth="1"/>
    <col min="13" max="13" width="15.625" style="105" bestFit="1" customWidth="1"/>
    <col min="14" max="14" width="9" style="105" hidden="1" customWidth="1"/>
    <col min="15" max="15" width="8.75" style="105" hidden="1" customWidth="1"/>
    <col min="16" max="16" width="10.5" style="105" hidden="1" customWidth="1"/>
    <col min="17" max="17" width="8.75" style="105" hidden="1" customWidth="1"/>
    <col min="18" max="18" width="18.5" style="105" customWidth="1"/>
    <col min="19" max="19" width="10.75" style="62" customWidth="1"/>
    <col min="20" max="20" width="12.125" style="105" bestFit="1" customWidth="1"/>
    <col min="21" max="16384" width="9" style="105"/>
  </cols>
  <sheetData>
    <row r="1" spans="1:20" ht="19.899999999999999" customHeight="1">
      <c r="A1" s="151"/>
      <c r="B1" s="151"/>
      <c r="C1" s="151"/>
      <c r="D1" s="151"/>
      <c r="E1" s="151"/>
      <c r="J1" s="62"/>
      <c r="K1" s="104" t="s">
        <v>73</v>
      </c>
      <c r="M1" s="104" t="s">
        <v>73</v>
      </c>
      <c r="O1" s="104" t="s">
        <v>73</v>
      </c>
      <c r="Q1" s="104" t="s">
        <v>73</v>
      </c>
    </row>
    <row r="2" spans="1:20" ht="19.899999999999999" customHeight="1" thickBot="1">
      <c r="A2" s="151"/>
      <c r="B2" s="151"/>
      <c r="C2" s="151"/>
      <c r="D2" s="151"/>
      <c r="E2" s="15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06"/>
      <c r="B3" s="107" t="s">
        <v>74</v>
      </c>
      <c r="C3" s="107"/>
      <c r="D3" s="107"/>
      <c r="E3" s="107"/>
      <c r="F3" s="162" t="s">
        <v>75</v>
      </c>
      <c r="G3" s="162"/>
      <c r="H3" s="160" t="s">
        <v>46</v>
      </c>
      <c r="I3" s="160" t="s">
        <v>5</v>
      </c>
      <c r="J3" s="156" t="s">
        <v>76</v>
      </c>
      <c r="K3" s="156"/>
      <c r="L3" s="156" t="s">
        <v>77</v>
      </c>
      <c r="M3" s="156"/>
      <c r="N3" s="157" t="s">
        <v>78</v>
      </c>
      <c r="O3" s="157"/>
      <c r="P3" s="157" t="s">
        <v>79</v>
      </c>
      <c r="Q3" s="157"/>
      <c r="R3" s="158" t="s">
        <v>80</v>
      </c>
      <c r="S3" s="154" t="s">
        <v>81</v>
      </c>
      <c r="T3" s="152" t="s">
        <v>44</v>
      </c>
    </row>
    <row r="4" spans="1:20" ht="19.899999999999999" customHeight="1">
      <c r="A4" s="65" t="s">
        <v>82</v>
      </c>
      <c r="B4" s="66" t="s">
        <v>83</v>
      </c>
      <c r="C4" s="66" t="s">
        <v>84</v>
      </c>
      <c r="D4" s="66" t="s">
        <v>85</v>
      </c>
      <c r="E4" s="66" t="s">
        <v>86</v>
      </c>
      <c r="F4" s="102" t="s">
        <v>87</v>
      </c>
      <c r="G4" s="102" t="s">
        <v>88</v>
      </c>
      <c r="H4" s="161"/>
      <c r="I4" s="161"/>
      <c r="J4" s="67" t="s">
        <v>89</v>
      </c>
      <c r="K4" s="68" t="s">
        <v>90</v>
      </c>
      <c r="L4" s="67" t="s">
        <v>91</v>
      </c>
      <c r="M4" s="68" t="s">
        <v>90</v>
      </c>
      <c r="N4" s="68" t="s">
        <v>92</v>
      </c>
      <c r="O4" s="68" t="s">
        <v>90</v>
      </c>
      <c r="P4" s="68" t="s">
        <v>92</v>
      </c>
      <c r="Q4" s="68" t="s">
        <v>90</v>
      </c>
      <c r="R4" s="159"/>
      <c r="S4" s="155"/>
      <c r="T4" s="153"/>
    </row>
    <row r="5" spans="1:20" s="108" customFormat="1" ht="38.1" customHeight="1">
      <c r="A5" s="69" t="str">
        <f t="shared" ref="A5" si="0">B5&amp;C5&amp;D5&amp;E5</f>
        <v>M020853710050101</v>
      </c>
      <c r="B5" s="80"/>
      <c r="C5" s="70"/>
      <c r="D5" s="70" t="s">
        <v>94</v>
      </c>
      <c r="E5" s="80"/>
      <c r="F5" s="100" t="s">
        <v>95</v>
      </c>
      <c r="G5" s="118" t="s">
        <v>110</v>
      </c>
      <c r="H5" s="91" t="s">
        <v>96</v>
      </c>
      <c r="I5" s="117">
        <v>0.54500000000000004</v>
      </c>
      <c r="J5" s="123">
        <v>20900</v>
      </c>
      <c r="K5" s="96">
        <f t="shared" ref="K5" si="1">SUM(J5:J5)*I5*$K$2</f>
        <v>9511.0674999999992</v>
      </c>
      <c r="L5" s="95"/>
      <c r="M5" s="96">
        <f t="shared" ref="M5" si="2">(L5*I5)*$M$2</f>
        <v>0</v>
      </c>
      <c r="N5" s="97"/>
      <c r="O5" s="96">
        <f t="shared" ref="O5" si="3">N5*I5*$O$2</f>
        <v>0</v>
      </c>
      <c r="P5" s="97"/>
      <c r="Q5" s="96">
        <f t="shared" ref="Q5" si="4">P5*I5*$Q$2</f>
        <v>0</v>
      </c>
      <c r="R5" s="73">
        <f t="shared" ref="R5" si="5">SUM(K5+M5)+O5+Q5</f>
        <v>9511.0674999999992</v>
      </c>
      <c r="S5" s="90"/>
      <c r="T5" s="74"/>
    </row>
    <row r="6" spans="1:20" s="108" customFormat="1" ht="38.1" customHeight="1">
      <c r="A6" s="69" t="str">
        <f t="shared" ref="A6" si="6">B6&amp;C6&amp;D6&amp;E6</f>
        <v>L003</v>
      </c>
      <c r="B6" s="80"/>
      <c r="C6" s="70"/>
      <c r="D6" s="70"/>
      <c r="E6" s="143" t="s">
        <v>107</v>
      </c>
      <c r="F6" s="139"/>
      <c r="G6" s="118"/>
      <c r="H6" s="71" t="s">
        <v>106</v>
      </c>
      <c r="I6" s="117">
        <v>1</v>
      </c>
      <c r="J6" s="98"/>
      <c r="K6" s="96">
        <f t="shared" ref="K6" si="7">SUM(J6:J6)*I6*$K$2</f>
        <v>0</v>
      </c>
      <c r="L6" s="124">
        <v>224490</v>
      </c>
      <c r="M6" s="96">
        <f>I6*L6</f>
        <v>224490</v>
      </c>
      <c r="N6" s="97"/>
      <c r="O6" s="96">
        <f t="shared" ref="O6" si="8">N6*I6*$O$2</f>
        <v>0</v>
      </c>
      <c r="P6" s="97"/>
      <c r="Q6" s="96">
        <f t="shared" ref="Q6" si="9">P6*I6*$Q$2</f>
        <v>0</v>
      </c>
      <c r="R6" s="73">
        <f t="shared" ref="R6" si="10">SUM(K6+M6)+O6+Q6</f>
        <v>224490</v>
      </c>
      <c r="S6" s="90"/>
      <c r="T6" s="144" t="s">
        <v>111</v>
      </c>
    </row>
    <row r="7" spans="1:20" s="108" customFormat="1" ht="38.1" customHeight="1">
      <c r="A7" s="69" t="str">
        <f t="shared" ref="A7" si="11">B7&amp;C7&amp;D7&amp;E7</f>
        <v>L002</v>
      </c>
      <c r="B7" s="80"/>
      <c r="C7" s="70"/>
      <c r="D7" s="70"/>
      <c r="E7" s="143" t="s">
        <v>108</v>
      </c>
      <c r="F7" s="139"/>
      <c r="G7" s="118"/>
      <c r="H7" s="71" t="s">
        <v>106</v>
      </c>
      <c r="I7" s="117">
        <v>1</v>
      </c>
      <c r="J7" s="98"/>
      <c r="K7" s="96">
        <f t="shared" ref="K7" si="12">SUM(J7:J7)*I7*$K$2</f>
        <v>0</v>
      </c>
      <c r="L7" s="124">
        <v>171037</v>
      </c>
      <c r="M7" s="96">
        <f>I7*L7</f>
        <v>171037</v>
      </c>
      <c r="N7" s="97"/>
      <c r="O7" s="96">
        <f t="shared" ref="O7:O8" si="13">N7*I7*$O$2</f>
        <v>0</v>
      </c>
      <c r="P7" s="97"/>
      <c r="Q7" s="96">
        <f t="shared" ref="Q7:Q8" si="14">P7*I7*$Q$2</f>
        <v>0</v>
      </c>
      <c r="R7" s="73">
        <f t="shared" ref="R7:R8" si="15">SUM(K7+M7)+O7+Q7</f>
        <v>171037</v>
      </c>
      <c r="S7" s="90"/>
      <c r="T7" s="144" t="s">
        <v>111</v>
      </c>
    </row>
    <row r="8" spans="1:20" s="108" customFormat="1" ht="38.1" customHeight="1">
      <c r="A8" s="140" t="str">
        <f t="shared" ref="A8" si="16">B8&amp;C8&amp;D8&amp;E8</f>
        <v/>
      </c>
      <c r="B8" s="141"/>
      <c r="C8" s="142"/>
      <c r="D8" s="142"/>
      <c r="E8" s="141"/>
      <c r="F8" s="128"/>
      <c r="G8" s="71"/>
      <c r="H8" s="129"/>
      <c r="I8" s="99"/>
      <c r="J8" s="109"/>
      <c r="K8" s="72">
        <f t="shared" ref="K8" si="17">SUM(J8:J8)*I8*$K$2</f>
        <v>0</v>
      </c>
      <c r="L8" s="124"/>
      <c r="M8" s="72">
        <f t="shared" ref="M8" si="18">(L8*I8)*$M$2</f>
        <v>0</v>
      </c>
      <c r="N8" s="73"/>
      <c r="O8" s="72">
        <f t="shared" si="13"/>
        <v>0</v>
      </c>
      <c r="P8" s="73"/>
      <c r="Q8" s="72">
        <f t="shared" si="14"/>
        <v>0</v>
      </c>
      <c r="R8" s="73">
        <f t="shared" si="15"/>
        <v>0</v>
      </c>
      <c r="S8" s="90"/>
      <c r="T8" s="74"/>
    </row>
    <row r="9" spans="1:20" s="115" customFormat="1" ht="38.1" customHeight="1">
      <c r="A9" s="110"/>
      <c r="B9" s="111"/>
      <c r="C9" s="111"/>
      <c r="D9" s="111"/>
      <c r="E9" s="111"/>
      <c r="F9" s="103"/>
      <c r="G9" s="103"/>
      <c r="H9" s="111"/>
      <c r="I9" s="111"/>
      <c r="J9" s="111"/>
      <c r="K9" s="112">
        <f>SUM(K5:K8)</f>
        <v>9511.0674999999992</v>
      </c>
      <c r="L9" s="113"/>
      <c r="M9" s="112">
        <f>SUM(M5:M8)</f>
        <v>395527</v>
      </c>
      <c r="N9" s="113"/>
      <c r="O9" s="112">
        <f>SUM(O5:O8)</f>
        <v>0</v>
      </c>
      <c r="P9" s="113"/>
      <c r="Q9" s="112">
        <f>SUM(Q5:Q8)</f>
        <v>0</v>
      </c>
      <c r="R9" s="114">
        <f>SUM(R5:R8)</f>
        <v>405038.0675</v>
      </c>
      <c r="S9" s="84"/>
      <c r="T9" s="111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8"/>
  <sheetViews>
    <sheetView zoomScaleNormal="100" workbookViewId="0">
      <selection activeCell="E22" sqref="E22"/>
    </sheetView>
  </sheetViews>
  <sheetFormatPr defaultColWidth="9" defaultRowHeight="14.25"/>
  <cols>
    <col min="1" max="1" width="22.625" style="79" customWidth="1"/>
    <col min="2" max="2" width="27.625" style="79" customWidth="1"/>
    <col min="3" max="3" width="5.75" style="79" customWidth="1"/>
    <col min="4" max="4" width="6.75" style="79" bestFit="1" customWidth="1"/>
    <col min="5" max="8" width="20.625" style="79" customWidth="1"/>
    <col min="9" max="12" width="20.625" style="79" hidden="1" customWidth="1"/>
    <col min="13" max="14" width="20.625" style="79" customWidth="1"/>
    <col min="15" max="15" width="32.75" style="79" customWidth="1"/>
    <col min="16" max="16384" width="9" style="75"/>
  </cols>
  <sheetData>
    <row r="1" spans="1:15" ht="27" customHeight="1">
      <c r="A1" s="169" t="s">
        <v>57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</row>
    <row r="2" spans="1:15" ht="15" customHeight="1">
      <c r="A2" s="170" t="s">
        <v>58</v>
      </c>
      <c r="B2" s="171" t="s">
        <v>59</v>
      </c>
      <c r="C2" s="172" t="s">
        <v>46</v>
      </c>
      <c r="D2" s="172" t="s">
        <v>60</v>
      </c>
      <c r="E2" s="174" t="s">
        <v>61</v>
      </c>
      <c r="F2" s="171"/>
      <c r="G2" s="171" t="s">
        <v>62</v>
      </c>
      <c r="H2" s="171"/>
      <c r="I2" s="175" t="s">
        <v>63</v>
      </c>
      <c r="J2" s="176"/>
      <c r="K2" s="175" t="s">
        <v>64</v>
      </c>
      <c r="L2" s="176"/>
      <c r="M2" s="174" t="s">
        <v>65</v>
      </c>
      <c r="N2" s="171"/>
      <c r="O2" s="177" t="s">
        <v>66</v>
      </c>
    </row>
    <row r="3" spans="1:15" ht="15" customHeight="1">
      <c r="A3" s="170"/>
      <c r="B3" s="171"/>
      <c r="C3" s="173"/>
      <c r="D3" s="173"/>
      <c r="E3" s="94" t="s">
        <v>67</v>
      </c>
      <c r="F3" s="94" t="s">
        <v>68</v>
      </c>
      <c r="G3" s="76" t="s">
        <v>67</v>
      </c>
      <c r="H3" s="94" t="s">
        <v>69</v>
      </c>
      <c r="I3" s="94"/>
      <c r="J3" s="94"/>
      <c r="K3" s="76" t="s">
        <v>67</v>
      </c>
      <c r="L3" s="94" t="s">
        <v>69</v>
      </c>
      <c r="M3" s="76" t="s">
        <v>67</v>
      </c>
      <c r="N3" s="94" t="s">
        <v>69</v>
      </c>
      <c r="O3" s="178"/>
    </row>
    <row r="4" spans="1:15" ht="15" customHeight="1">
      <c r="A4" s="167" t="s">
        <v>101</v>
      </c>
      <c r="B4" s="168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ht="15" customHeight="1">
      <c r="A5" s="163" t="s">
        <v>70</v>
      </c>
      <c r="B5" s="119" t="s">
        <v>102</v>
      </c>
      <c r="C5" s="120" t="s">
        <v>71</v>
      </c>
      <c r="D5" s="138">
        <v>9</v>
      </c>
      <c r="E5" s="137">
        <v>1057</v>
      </c>
      <c r="F5" s="78">
        <f t="shared" ref="F5" si="0">D5*E5</f>
        <v>9513</v>
      </c>
      <c r="G5" s="125"/>
      <c r="H5" s="78">
        <f t="shared" ref="H5:H7" si="1">D5*G5</f>
        <v>0</v>
      </c>
      <c r="I5" s="78"/>
      <c r="J5" s="78"/>
      <c r="K5" s="78"/>
      <c r="L5" s="78"/>
      <c r="M5" s="78"/>
      <c r="N5" s="78">
        <f>F5+H5+J5+L5</f>
        <v>9513</v>
      </c>
      <c r="O5" s="165" t="s">
        <v>109</v>
      </c>
    </row>
    <row r="6" spans="1:15" ht="15" customHeight="1">
      <c r="A6" s="164"/>
      <c r="B6" s="119" t="s">
        <v>105</v>
      </c>
      <c r="C6" s="120" t="s">
        <v>103</v>
      </c>
      <c r="D6" s="138">
        <v>1</v>
      </c>
      <c r="E6" s="137"/>
      <c r="F6" s="78"/>
      <c r="G6" s="137">
        <v>224490</v>
      </c>
      <c r="H6" s="78">
        <f t="shared" si="1"/>
        <v>224490</v>
      </c>
      <c r="I6" s="78"/>
      <c r="J6" s="78"/>
      <c r="K6" s="78"/>
      <c r="L6" s="78"/>
      <c r="M6" s="78"/>
      <c r="N6" s="78">
        <f t="shared" ref="N6:N7" si="2">F6+H6+J6+L6</f>
        <v>224490</v>
      </c>
      <c r="O6" s="166"/>
    </row>
    <row r="7" spans="1:15" ht="15" customHeight="1">
      <c r="A7" s="164"/>
      <c r="B7" s="119" t="s">
        <v>104</v>
      </c>
      <c r="C7" s="120" t="s">
        <v>103</v>
      </c>
      <c r="D7" s="138">
        <v>1</v>
      </c>
      <c r="E7" s="137"/>
      <c r="F7" s="78"/>
      <c r="G7" s="137">
        <v>171037</v>
      </c>
      <c r="H7" s="78">
        <f t="shared" si="1"/>
        <v>171037</v>
      </c>
      <c r="I7" s="78"/>
      <c r="J7" s="78"/>
      <c r="K7" s="78"/>
      <c r="L7" s="78"/>
      <c r="M7" s="78"/>
      <c r="N7" s="78">
        <f t="shared" si="2"/>
        <v>171037</v>
      </c>
      <c r="O7" s="166"/>
    </row>
    <row r="8" spans="1:15" ht="15" customHeight="1">
      <c r="A8" s="85" t="s">
        <v>72</v>
      </c>
      <c r="B8" s="86"/>
      <c r="C8" s="87"/>
      <c r="D8" s="122"/>
      <c r="E8" s="88"/>
      <c r="F8" s="88">
        <f>SUM(F5:F7)</f>
        <v>9513</v>
      </c>
      <c r="G8" s="88"/>
      <c r="H8" s="88">
        <f>SUM(H5:H7)</f>
        <v>395527</v>
      </c>
      <c r="I8" s="88"/>
      <c r="J8" s="88">
        <f>SUM(J5:J7)</f>
        <v>0</v>
      </c>
      <c r="K8" s="88"/>
      <c r="L8" s="88">
        <f>SUM(L5:L7)</f>
        <v>0</v>
      </c>
      <c r="M8" s="88"/>
      <c r="N8" s="88">
        <f>SUM(N5:N7)</f>
        <v>405040</v>
      </c>
      <c r="O8" s="88"/>
    </row>
  </sheetData>
  <mergeCells count="14">
    <mergeCell ref="A5:A7"/>
    <mergeCell ref="O5:O7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4"/>
  <sheetViews>
    <sheetView showGridLines="0" zoomScaleNormal="100" workbookViewId="0">
      <selection activeCell="L31" sqref="L31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81" t="s">
        <v>0</v>
      </c>
      <c r="B1" s="81" t="s">
        <v>1</v>
      </c>
      <c r="C1" s="81" t="s">
        <v>2</v>
      </c>
      <c r="D1" s="81" t="s">
        <v>3</v>
      </c>
      <c r="E1" s="81" t="s">
        <v>4</v>
      </c>
      <c r="F1" s="81" t="s">
        <v>5</v>
      </c>
    </row>
    <row r="2" spans="1:6">
      <c r="A2" s="82" t="str">
        <f>'내역서(표준단가)'!A5</f>
        <v>M020853710050101</v>
      </c>
      <c r="B2" s="83">
        <f>'내역서(표준단가)'!B5</f>
        <v>0</v>
      </c>
      <c r="C2" s="83">
        <f>'내역서(표준단가)'!C5</f>
        <v>0</v>
      </c>
      <c r="D2" s="83" t="str">
        <f>'내역서(표준단가)'!D5</f>
        <v>M020853710050101</v>
      </c>
      <c r="E2" s="83">
        <f>'내역서(표준단가)'!E5</f>
        <v>0</v>
      </c>
      <c r="F2" s="89">
        <f>'내역서(표준단가)'!I5</f>
        <v>0.54500000000000004</v>
      </c>
    </row>
    <row r="3" spans="1:6">
      <c r="A3" s="82" t="str">
        <f>'내역서(표준단가)'!A6</f>
        <v>L003</v>
      </c>
      <c r="B3" s="83">
        <f>'내역서(표준단가)'!B6</f>
        <v>0</v>
      </c>
      <c r="C3" s="83">
        <f>'내역서(표준단가)'!C6</f>
        <v>0</v>
      </c>
      <c r="D3" s="83">
        <f>'내역서(표준단가)'!D6</f>
        <v>0</v>
      </c>
      <c r="E3" s="83" t="str">
        <f>'내역서(표준단가)'!E6</f>
        <v>L003</v>
      </c>
      <c r="F3" s="89">
        <f>'내역서(표준단가)'!I6</f>
        <v>1</v>
      </c>
    </row>
    <row r="4" spans="1:6">
      <c r="A4" s="82" t="str">
        <f>'내역서(표준단가)'!A7</f>
        <v>L002</v>
      </c>
      <c r="B4" s="83">
        <f>'내역서(표준단가)'!B7</f>
        <v>0</v>
      </c>
      <c r="C4" s="83">
        <f>'내역서(표준단가)'!C7</f>
        <v>0</v>
      </c>
      <c r="D4" s="83">
        <f>'내역서(표준단가)'!D7</f>
        <v>0</v>
      </c>
      <c r="E4" s="83" t="str">
        <f>'내역서(표준단가)'!E7</f>
        <v>L002</v>
      </c>
      <c r="F4" s="89">
        <f>'내역서(표준단가)'!I7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1,2,7동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2026-01-20T04:06:12Z</dcterms:created>
  <dcterms:modified xsi:type="dcterms:W3CDTF">2026-08-31T00:16:34Z</dcterms:modified>
</cp:coreProperties>
</file>
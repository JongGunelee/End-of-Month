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5 ◆증액◆ 사택 102동 어린이집 옥외 놀이터 보도블록 보수\"/>
    </mc:Choice>
  </mc:AlternateContent>
  <xr:revisionPtr revIDLastSave="0" documentId="13_ncr:1_{5EB7431F-450C-4754-B5D3-05A491D3F5E0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4" r:id="rId2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4" l="1"/>
  <c r="V7" i="4"/>
  <c r="V6" i="4"/>
  <c r="O8" i="4"/>
  <c r="O7" i="4"/>
  <c r="O6" i="4"/>
  <c r="Q5" i="4"/>
  <c r="U5" i="4"/>
  <c r="S5" i="4"/>
  <c r="O5" i="4"/>
  <c r="V5" i="4" l="1"/>
  <c r="A5" i="4"/>
  <c r="U9" i="4" l="1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<sst xmlns="http://schemas.openxmlformats.org/spreadsheetml/2006/main" count="112" uniqueCount="91">
  <si>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</si>
  <si>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</si>
  <si>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</si>
  <si>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</si>
  <si>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</si>
  <si>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</si>
  <si>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</si>
  <si>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</si>
  <si>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</si>
  <si>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</si>
  <si>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</si>
  <si>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</si>
  <si>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</si>
  <si>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</si>
  <si>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</si>
  <si>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</si>
  <si>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</si>
  <si>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</si>
  <si>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</si>
  <si>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</si>
  <si>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</si>
  <si>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</si>
  <si>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</si>
  <si>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</si>
  <si>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</si>
  <si>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</si>
  <si>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</si>
  <si>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</si>
  <si>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</si>
  <si>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</si>
  <si>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</si>
  <si>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</si>
  <si>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</si>
  <si>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</si>
  <si>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</si>
  <si>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</si>
  <si>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</si>
  <si>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</si>
  <si>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</si>
  <si>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</si>
  <si>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</si>
  <si>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</si>
  <si>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</si>
  <si>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</si>
  <si>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</si>
  <si>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</si>
  <si>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</si>
  <si>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</si>
  <si>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</si>
  <si>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</si>
  <si>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</si>
  <si>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</si>
  <si>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</si>
  <si>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</si>
  <si>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</si>
  <si>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</si>
  <si>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</si>
  <si>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</si>
  <si>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</si>
  <si>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</si>
  <si>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</si>
  <si>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</si>
  <si>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</si>
  <si>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</si>
  <si>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</si>
  <si>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</si>
  <si>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</si>
  <si>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</si>
  <si>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</si>
  <si>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</si>
  <si>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</si>
  <si>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</si>
  <si>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</si>
  <si>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</si>
  <si>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</si>
  <si>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 (재료비+노무비)*3.11%</t>
    <phoneticPr fontId="14" type="noConversion"/>
  </si>
  <si>
    <t>인</t>
    <phoneticPr fontId="6" type="noConversion"/>
  </si>
  <si>
    <t>작업내용</t>
    <phoneticPr fontId="6" type="noConversion"/>
  </si>
  <si>
    <t xml:space="preserve"> 공사명 : 사택 102동 어린이집 옥외 놀이터 보도블록 보수</t>
    <phoneticPr fontId="12" type="noConversion"/>
  </si>
  <si>
    <t>보도블록 보수</t>
    <phoneticPr fontId="6" type="noConversion"/>
  </si>
  <si>
    <t>시중노임단가, 특별인부 2인 (6일 작업)</t>
    <phoneticPr fontId="6" type="noConversion"/>
  </si>
  <si>
    <t>모래</t>
  </si>
  <si>
    <t>포</t>
  </si>
  <si>
    <t>레미탈</t>
  </si>
  <si>
    <t>벽돌</t>
  </si>
  <si>
    <t>장</t>
    <phoneticPr fontId="6" type="noConversion"/>
  </si>
  <si>
    <t>시중가</t>
    <phoneticPr fontId="6" type="noConversion"/>
  </si>
  <si>
    <t>1.시중가 : 작업 완료후 계산서 첨부 예정 (자재 추가 필요시도 동일)</t>
    <phoneticPr fontId="6" type="noConversion"/>
  </si>
  <si>
    <t xml:space="preserve"> 견적일 : 2025년  09월  18일</t>
    <phoneticPr fontId="12" type="noConversion"/>
  </si>
  <si>
    <t>증가 : 12인 --&gt; 15인</t>
    <phoneticPr fontId="6" type="noConversion"/>
  </si>
  <si>
    <t>증액전 계약액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</si>
</sst>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,##0;\-#,##0;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b/>
      <sz val="15"/>
      <color rgb="FF00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6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right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vertical="center" shrinkToFit="1"/>
    </xf>
    <xf numFmtId="0" fontId="13" fillId="4" borderId="1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4" borderId="1" xfId="6" applyFont="1" applyFill="1" applyBorder="1" applyAlignment="1">
      <alignment horizontal="center" vertical="center" shrinkToFit="1"/>
    </xf>
    <xf numFmtId="0" fontId="13" fillId="0" borderId="1" xfId="6" applyFont="1" applyBorder="1" applyAlignment="1">
      <alignment horizontal="center" vertical="center"/>
    </xf>
    <xf numFmtId="0" fontId="13" fillId="0" borderId="26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7" xfId="6" applyFont="1" applyBorder="1" applyAlignment="1">
      <alignment horizontal="center" vertical="center" shrinkToFit="1"/>
    </xf>
    <xf numFmtId="0" fontId="13" fillId="0" borderId="28" xfId="6" applyFont="1" applyBorder="1" applyAlignment="1">
      <alignment vertical="center" shrinkToFit="1"/>
    </xf>
    <xf numFmtId="0" fontId="22" fillId="0" borderId="6" xfId="6" applyFont="1" applyBorder="1" applyAlignment="1">
      <alignment vertical="center"/>
    </xf>
    <xf numFmtId="179" fontId="21" fillId="0" borderId="6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3" fillId="0" borderId="10" xfId="6" applyFont="1" applyBorder="1" applyAlignment="1">
      <alignment horizontal="center" vertical="center"/>
    </xf>
    <xf numFmtId="0" fontId="13" fillId="0" borderId="11" xfId="6" applyFont="1" applyBorder="1" applyAlignment="1">
      <alignment vertical="center"/>
    </xf>
    <xf numFmtId="0" fontId="23" fillId="0" borderId="11" xfId="6" applyFont="1" applyBorder="1" applyAlignment="1">
      <alignment vertical="center"/>
    </xf>
    <xf numFmtId="1" fontId="23" fillId="0" borderId="11" xfId="6" applyNumberFormat="1" applyFont="1" applyBorder="1" applyAlignment="1">
      <alignment horizontal="center" vertical="center"/>
    </xf>
    <xf numFmtId="180" fontId="23" fillId="0" borderId="11" xfId="7" applyFont="1" applyBorder="1" applyAlignment="1">
      <alignment horizontal="right" vertical="center"/>
    </xf>
    <xf numFmtId="0" fontId="23" fillId="0" borderId="12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4" xfId="6" applyFont="1" applyBorder="1" applyAlignment="1">
      <alignment horizontal="center" vertical="center"/>
    </xf>
    <xf numFmtId="0" fontId="23" fillId="0" borderId="14" xfId="3" applyFont="1" applyBorder="1" applyAlignment="1">
      <alignment horizontal="center" vertical="center"/>
    </xf>
    <xf numFmtId="1" fontId="23" fillId="0" borderId="14" xfId="6" applyNumberFormat="1" applyFont="1" applyBorder="1" applyAlignment="1">
      <alignment horizontal="center" vertical="center"/>
    </xf>
    <xf numFmtId="180" fontId="23" fillId="0" borderId="14" xfId="7" applyFont="1" applyBorder="1" applyAlignment="1">
      <alignment horizontal="right" vertical="center"/>
    </xf>
    <xf numFmtId="0" fontId="23" fillId="0" borderId="15" xfId="6" quotePrefix="1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0" fontId="13" fillId="7" borderId="14" xfId="6" applyFont="1" applyFill="1" applyBorder="1" applyAlignment="1">
      <alignment vertical="center"/>
    </xf>
    <xf numFmtId="1" fontId="13" fillId="7" borderId="14" xfId="6" applyNumberFormat="1" applyFont="1" applyFill="1" applyBorder="1" applyAlignment="1">
      <alignment horizontal="center" vertical="center"/>
    </xf>
    <xf numFmtId="180" fontId="13" fillId="7" borderId="14" xfId="7" applyFont="1" applyFill="1" applyBorder="1" applyAlignment="1">
      <alignment horizontal="right" vertical="center"/>
    </xf>
    <xf numFmtId="0" fontId="13" fillId="0" borderId="14" xfId="6" applyFont="1" applyBorder="1" applyAlignment="1">
      <alignment vertical="center"/>
    </xf>
    <xf numFmtId="0" fontId="23" fillId="0" borderId="14" xfId="6" applyFont="1" applyBorder="1" applyAlignment="1">
      <alignment vertical="center"/>
    </xf>
    <xf numFmtId="180" fontId="13" fillId="0" borderId="14" xfId="7" applyFont="1" applyFill="1" applyBorder="1" applyAlignment="1">
      <alignment horizontal="right" vertical="center"/>
    </xf>
    <xf numFmtId="0" fontId="23" fillId="0" borderId="14" xfId="8" applyFont="1" applyBorder="1" applyAlignment="1">
      <alignment horizontal="center" vertical="center"/>
    </xf>
    <xf numFmtId="178" fontId="23" fillId="0" borderId="14" xfId="5" applyFont="1" applyFill="1" applyBorder="1" applyAlignment="1">
      <alignment horizontal="right" vertical="center"/>
    </xf>
    <xf numFmtId="0" fontId="23" fillId="4" borderId="14" xfId="8" applyFont="1" applyFill="1" applyBorder="1" applyAlignment="1">
      <alignment horizontal="center" vertical="center"/>
    </xf>
    <xf numFmtId="0" fontId="23" fillId="4" borderId="14" xfId="6" applyFont="1" applyFill="1" applyBorder="1" applyAlignment="1">
      <alignment vertical="center"/>
    </xf>
    <xf numFmtId="0" fontId="23" fillId="4" borderId="14" xfId="6" applyFont="1" applyFill="1" applyBorder="1" applyAlignment="1">
      <alignment horizontal="center" vertical="center"/>
    </xf>
    <xf numFmtId="178" fontId="23" fillId="4" borderId="14" xfId="5" applyFont="1" applyFill="1" applyBorder="1" applyAlignment="1">
      <alignment horizontal="right" vertical="center"/>
    </xf>
    <xf numFmtId="0" fontId="23" fillId="4" borderId="15" xfId="6" applyFont="1" applyFill="1" applyBorder="1" applyAlignment="1">
      <alignment vertical="center"/>
    </xf>
    <xf numFmtId="0" fontId="23" fillId="0" borderId="14" xfId="3" applyFont="1" applyBorder="1" applyAlignment="1">
      <alignment horizontal="left" vertical="center"/>
    </xf>
    <xf numFmtId="9" fontId="13" fillId="7" borderId="14" xfId="3" applyNumberFormat="1" applyFont="1" applyFill="1" applyBorder="1" applyAlignment="1">
      <alignment horizontal="right" vertical="center"/>
    </xf>
    <xf numFmtId="1" fontId="13" fillId="7" borderId="14" xfId="9" applyNumberFormat="1" applyFont="1" applyFill="1" applyBorder="1" applyAlignment="1">
      <alignment horizontal="center" vertical="center"/>
    </xf>
    <xf numFmtId="177" fontId="13" fillId="7" borderId="14" xfId="7" applyNumberFormat="1" applyFont="1" applyFill="1" applyBorder="1" applyAlignment="1">
      <alignment horizontal="right" vertical="center"/>
    </xf>
    <xf numFmtId="9" fontId="23" fillId="0" borderId="14" xfId="3" applyNumberFormat="1" applyFont="1" applyBorder="1" applyAlignment="1">
      <alignment horizontal="right" vertical="center"/>
    </xf>
    <xf numFmtId="1" fontId="23" fillId="0" borderId="14" xfId="9" applyNumberFormat="1" applyFont="1" applyFill="1" applyBorder="1" applyAlignment="1">
      <alignment horizontal="center" vertical="center"/>
    </xf>
    <xf numFmtId="177" fontId="13" fillId="0" borderId="14" xfId="7" applyNumberFormat="1" applyFont="1" applyFill="1" applyBorder="1" applyAlignment="1">
      <alignment horizontal="right" vertical="center"/>
    </xf>
    <xf numFmtId="0" fontId="23" fillId="0" borderId="14" xfId="3" applyFont="1" applyBorder="1" applyAlignment="1">
      <alignment vertical="center"/>
    </xf>
    <xf numFmtId="180" fontId="23" fillId="4" borderId="14" xfId="7" applyFont="1" applyFill="1" applyBorder="1" applyAlignment="1">
      <alignment horizontal="right" vertical="center"/>
    </xf>
    <xf numFmtId="180" fontId="13" fillId="7" borderId="0" xfId="3" applyNumberFormat="1" applyFont="1" applyFill="1" applyAlignment="1">
      <alignment vertical="center"/>
    </xf>
    <xf numFmtId="0" fontId="13" fillId="0" borderId="16" xfId="6" applyFont="1" applyBorder="1" applyAlignment="1">
      <alignment horizontal="center" vertical="center" textRotation="255"/>
    </xf>
    <xf numFmtId="0" fontId="13" fillId="0" borderId="17" xfId="6" applyFont="1" applyBorder="1" applyAlignment="1">
      <alignment vertical="top"/>
    </xf>
    <xf numFmtId="0" fontId="23" fillId="0" borderId="18" xfId="6" applyFont="1" applyBorder="1" applyAlignment="1">
      <alignment vertical="center"/>
    </xf>
    <xf numFmtId="0" fontId="23" fillId="0" borderId="18" xfId="6" applyFont="1" applyBorder="1" applyAlignment="1">
      <alignment horizontal="right" vertical="center"/>
    </xf>
    <xf numFmtId="0" fontId="13" fillId="0" borderId="0" xfId="10" applyFont="1"/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2" borderId="0" xfId="2" applyNumberFormat="1" applyFont="1" applyFill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77" fontId="24" fillId="3" borderId="2" xfId="4" applyFont="1" applyFill="1" applyBorder="1" applyAlignment="1">
      <alignment horizontal="center" vertical="center"/>
    </xf>
    <xf numFmtId="178" fontId="24" fillId="3" borderId="2" xfId="5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49" fontId="20" fillId="6" borderId="2" xfId="0" applyNumberFormat="1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 wrapText="1"/>
    </xf>
    <xf numFmtId="177" fontId="20" fillId="0" borderId="2" xfId="1" applyFont="1" applyFill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82" fontId="20" fillId="4" borderId="2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49" fontId="25" fillId="6" borderId="2" xfId="0" applyNumberFormat="1" applyFont="1" applyFill="1" applyBorder="1" applyAlignment="1">
      <alignment horizontal="center" vertical="center" wrapText="1"/>
    </xf>
    <xf numFmtId="183" fontId="20" fillId="4" borderId="2" xfId="0" applyNumberFormat="1" applyFont="1" applyFill="1" applyBorder="1" applyAlignment="1">
      <alignment horizontal="right" vertical="center" wrapText="1"/>
    </xf>
    <xf numFmtId="183" fontId="20" fillId="0" borderId="2" xfId="0" applyNumberFormat="1" applyFont="1" applyBorder="1" applyAlignment="1">
      <alignment horizontal="right" vertical="center"/>
    </xf>
    <xf numFmtId="183" fontId="20" fillId="0" borderId="2" xfId="1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8" borderId="23" xfId="0" applyFont="1" applyFill="1" applyBorder="1">
      <alignment vertical="center"/>
    </xf>
    <xf numFmtId="0" fontId="24" fillId="8" borderId="20" xfId="0" applyFont="1" applyFill="1" applyBorder="1">
      <alignment vertical="center"/>
    </xf>
    <xf numFmtId="0" fontId="25" fillId="0" borderId="0" xfId="0" applyFont="1">
      <alignment vertical="center"/>
    </xf>
    <xf numFmtId="0" fontId="23" fillId="9" borderId="0" xfId="0" applyFont="1" applyFill="1">
      <alignment vertical="center"/>
    </xf>
    <xf numFmtId="0" fontId="23" fillId="0" borderId="0" xfId="0" applyFont="1">
      <alignment vertical="center"/>
    </xf>
    <xf numFmtId="177" fontId="23" fillId="9" borderId="0" xfId="0" applyNumberFormat="1" applyFont="1" applyFill="1">
      <alignment vertical="center"/>
    </xf>
    <xf numFmtId="0" fontId="24" fillId="4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9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49" fontId="26" fillId="10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177" fontId="20" fillId="5" borderId="2" xfId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49" fontId="26" fillId="10" borderId="5" xfId="0" applyNumberFormat="1" applyFont="1" applyFill="1" applyBorder="1" applyAlignment="1">
      <alignment horizontal="center" vertical="center" wrapText="1"/>
    </xf>
    <xf numFmtId="1" fontId="20" fillId="0" borderId="2" xfId="1" applyNumberFormat="1" applyFont="1" applyFill="1" applyBorder="1" applyAlignment="1">
      <alignment horizontal="center" vertical="center"/>
    </xf>
    <xf numFmtId="49" fontId="20" fillId="9" borderId="2" xfId="0" applyNumberFormat="1" applyFont="1" applyFill="1" applyBorder="1" applyAlignment="1">
      <alignment horizontal="center" vertical="center" wrapText="1"/>
    </xf>
    <xf numFmtId="1" fontId="28" fillId="9" borderId="2" xfId="1" applyNumberFormat="1" applyFont="1" applyFill="1" applyBorder="1" applyAlignment="1">
      <alignment horizontal="center" vertical="center"/>
    </xf>
    <xf numFmtId="182" fontId="28" fillId="4" borderId="2" xfId="1" applyNumberFormat="1" applyFont="1" applyFill="1" applyBorder="1" applyAlignment="1">
      <alignment horizontal="center" vertical="center"/>
    </xf>
    <xf numFmtId="180" fontId="23" fillId="0" borderId="19" xfId="6" applyNumberFormat="1" applyFont="1" applyBorder="1" applyAlignment="1">
      <alignment vertical="center"/>
    </xf>
    <xf numFmtId="0" fontId="29" fillId="0" borderId="0" xfId="0" applyFont="1" applyAlignment="1">
      <alignment vertical="center" wrapText="1"/>
    </xf>
    <xf numFmtId="177" fontId="30" fillId="0" borderId="15" xfId="1" applyFont="1" applyBorder="1" applyAlignment="1">
      <alignment vertical="center"/>
    </xf>
    <xf numFmtId="177" fontId="30" fillId="0" borderId="32" xfId="1" applyFont="1" applyBorder="1" applyAlignment="1">
      <alignment vertical="center"/>
    </xf>
    <xf numFmtId="0" fontId="31" fillId="0" borderId="0" xfId="3" applyFont="1"/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7" fontId="24" fillId="3" borderId="20" xfId="4" applyFont="1" applyFill="1" applyBorder="1" applyAlignment="1">
      <alignment horizontal="center" vertical="center"/>
    </xf>
    <xf numFmtId="178" fontId="24" fillId="3" borderId="20" xfId="5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24" fillId="3" borderId="2" xfId="3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176891</xdr:colOff>
      <xdr:row>11</xdr:row>
      <xdr:rowOff>0</xdr:rowOff>
    </xdr:from>
    <xdr:to>
      <xdr:col>10</xdr:col>
      <xdr:colOff>544285</xdr:colOff>
      <xdr:row>22</xdr:row>
      <xdr:rowOff>421822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A86F59D-13F0-FC4E-C72C-4501B8EAF0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8" t="11326" r="4330" b="11952"/>
        <a:stretch>
          <a:fillRect/>
        </a:stretch>
      </xdr:blipFill>
      <xdr:spPr>
        <a:xfrm rot="5400000">
          <a:off x="-74841" y="5177518"/>
          <a:ext cx="5660572" cy="2707822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680356</xdr:colOff>
      <xdr:row>10</xdr:row>
      <xdr:rowOff>449036</xdr:rowOff>
    </xdr:from>
    <xdr:to>
      <xdr:col>13</xdr:col>
      <xdr:colOff>72568</xdr:colOff>
      <xdr:row>22</xdr:row>
      <xdr:rowOff>367394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FCDB335-0A99-4F08-F982-A22FDE170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2" t="5585" r="2817" b="14132"/>
        <a:stretch>
          <a:fillRect/>
        </a:stretch>
      </xdr:blipFill>
      <xdr:spPr>
        <a:xfrm rot="5400000">
          <a:off x="2784926" y="5134430"/>
          <a:ext cx="5633358" cy="2712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17" t="s">
        <v>1</v>
      </c>
      <c r="B2" s="117"/>
      <c r="C2" s="117"/>
      <c r="D2" s="117"/>
      <c r="E2" s="117"/>
      <c r="F2" s="117"/>
      <c r="G2" s="117"/>
      <c r="H2" s="2"/>
    </row>
    <row r="3" spans="1:9" ht="14.25">
      <c r="A3" s="83"/>
      <c r="B3" s="83"/>
      <c r="C3" s="83"/>
      <c r="D3" s="83"/>
      <c r="E3" s="83"/>
      <c r="F3" s="83"/>
      <c r="G3" s="83"/>
      <c r="H3" s="83"/>
    </row>
    <row r="4" spans="1:9" ht="14.25">
      <c r="A4" s="83"/>
      <c r="B4" s="83"/>
      <c r="C4" s="83"/>
      <c r="D4" s="83"/>
      <c r="E4" s="83"/>
      <c r="H4" s="83"/>
    </row>
    <row r="5" spans="1:9" ht="27" customHeight="1">
      <c r="A5" s="84" t="s">
        <v>43</v>
      </c>
      <c r="B5" s="4"/>
      <c r="C5" s="5"/>
      <c r="D5" s="83"/>
      <c r="E5" s="83"/>
      <c r="F5" s="6" t="s">
        <v>33</v>
      </c>
      <c r="G5" s="7" t="s">
        <v>47</v>
      </c>
      <c r="H5" s="83"/>
    </row>
    <row r="6" spans="1:9" ht="27" customHeight="1">
      <c r="A6" s="83"/>
      <c r="B6" s="83"/>
      <c r="C6" s="83"/>
      <c r="D6" s="83"/>
      <c r="E6" s="83"/>
      <c r="F6" s="8" t="s">
        <v>36</v>
      </c>
      <c r="G6" s="9" t="s">
        <v>48</v>
      </c>
      <c r="H6" s="83"/>
    </row>
    <row r="7" spans="1:9" ht="27" customHeight="1">
      <c r="A7" s="120" t="s">
        <v>78</v>
      </c>
      <c r="B7" s="121"/>
      <c r="C7" s="122"/>
      <c r="D7" s="83"/>
      <c r="E7" s="10"/>
      <c r="F7" s="11" t="s">
        <v>37</v>
      </c>
      <c r="G7" s="9" t="s">
        <v>49</v>
      </c>
      <c r="H7" s="83"/>
    </row>
    <row r="8" spans="1:9" ht="27" customHeight="1">
      <c r="A8" s="83"/>
      <c r="B8" s="83"/>
      <c r="C8" s="83"/>
      <c r="D8" s="83"/>
      <c r="E8" s="83"/>
      <c r="F8" s="8" t="s">
        <v>38</v>
      </c>
      <c r="G8" s="9" t="s">
        <v>50</v>
      </c>
      <c r="H8" s="83"/>
    </row>
    <row r="9" spans="1:9" ht="27" customHeight="1">
      <c r="A9" s="120" t="s">
        <v>88</v>
      </c>
      <c r="B9" s="121"/>
      <c r="C9" s="122"/>
      <c r="D9" s="83"/>
      <c r="E9" s="83"/>
      <c r="F9" s="8" t="s">
        <v>39</v>
      </c>
      <c r="G9" s="9" t="s">
        <v>51</v>
      </c>
      <c r="H9" s="83"/>
    </row>
    <row r="10" spans="1:9" ht="27" customHeight="1">
      <c r="A10" s="83"/>
      <c r="B10" s="83"/>
      <c r="C10" s="83"/>
      <c r="D10" s="83"/>
      <c r="E10" s="83"/>
      <c r="F10" s="12" t="s">
        <v>34</v>
      </c>
      <c r="G10" s="13" t="s">
        <v>52</v>
      </c>
      <c r="H10" s="83"/>
      <c r="I10" s="83"/>
    </row>
    <row r="11" spans="1:9" ht="27" customHeight="1">
      <c r="A11" s="118"/>
      <c r="B11" s="119"/>
      <c r="C11" s="119"/>
      <c r="D11" s="83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사백삼십이만팔천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83"/>
      <c r="B13" s="83"/>
      <c r="C13" s="83"/>
      <c r="D13" s="83"/>
      <c r="E13" s="83"/>
      <c r="F13" s="83"/>
      <c r="G13" s="83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'내역서(표준단가)'!O9</f>
        <v>305000</v>
      </c>
      <c r="G16" s="34"/>
    </row>
    <row r="17" spans="1:9" ht="33" customHeight="1">
      <c r="A17" s="29"/>
      <c r="B17" s="30" t="s">
        <v>14</v>
      </c>
      <c r="C17" s="31"/>
      <c r="D17" s="32"/>
      <c r="E17" s="32"/>
      <c r="F17" s="33">
        <f>'내역서(표준단가)'!Q9</f>
        <v>3289815</v>
      </c>
      <c r="G17" s="35"/>
    </row>
    <row r="18" spans="1:9" ht="33" customHeight="1">
      <c r="A18" s="29"/>
      <c r="B18" s="30" t="s">
        <v>15</v>
      </c>
      <c r="C18" s="31"/>
      <c r="D18" s="32"/>
      <c r="E18" s="32"/>
      <c r="F18" s="33">
        <f>'내역서(표준단가)'!S9+'내역서(표준단가)'!U9</f>
        <v>0</v>
      </c>
      <c r="G18" s="35"/>
    </row>
    <row r="19" spans="1:9" ht="33" customHeight="1">
      <c r="A19" s="29"/>
      <c r="B19" s="36" t="s">
        <v>16</v>
      </c>
      <c r="C19" s="36"/>
      <c r="D19" s="37"/>
      <c r="E19" s="37"/>
      <c r="F19" s="38">
        <f>F16+F17+F18</f>
        <v>3594815</v>
      </c>
      <c r="G19" s="35"/>
    </row>
    <row r="20" spans="1:9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9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148041.67499999999</v>
      </c>
      <c r="G21" s="35" t="s">
        <v>21</v>
      </c>
    </row>
    <row r="22" spans="1:9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116623.94175000001</v>
      </c>
      <c r="G22" s="48" t="s">
        <v>23</v>
      </c>
    </row>
    <row r="23" spans="1:9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15102.800456625002</v>
      </c>
      <c r="G23" s="35" t="s">
        <v>23</v>
      </c>
    </row>
    <row r="24" spans="1:9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33227.131499999996</v>
      </c>
      <c r="G24" s="35" t="s">
        <v>23</v>
      </c>
    </row>
    <row r="25" spans="1:9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117117.414</v>
      </c>
      <c r="G25" s="35" t="s">
        <v>23</v>
      </c>
    </row>
    <row r="26" spans="1:9" ht="33" customHeight="1">
      <c r="A26" s="29"/>
      <c r="B26" s="42" t="s">
        <v>27</v>
      </c>
      <c r="C26" s="49" t="s">
        <v>75</v>
      </c>
      <c r="D26" s="30">
        <v>1</v>
      </c>
      <c r="E26" s="30" t="s">
        <v>20</v>
      </c>
      <c r="F26" s="43">
        <f>(F16+F17)*3.11%</f>
        <v>111798.74649999999</v>
      </c>
      <c r="G26" s="35" t="s">
        <v>21</v>
      </c>
    </row>
    <row r="27" spans="1:9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191586.33546033126</v>
      </c>
      <c r="G27" s="35"/>
    </row>
    <row r="28" spans="1:9" ht="33" customHeight="1">
      <c r="A28" s="29"/>
      <c r="B28" s="36" t="s">
        <v>28</v>
      </c>
      <c r="C28" s="50"/>
      <c r="D28" s="51"/>
      <c r="E28" s="37"/>
      <c r="F28" s="52">
        <f>F21+F22+F23+F24+F25+F26+F27</f>
        <v>733498.0446669563</v>
      </c>
      <c r="G28" s="35"/>
    </row>
    <row r="29" spans="1:9" ht="33" customHeight="1">
      <c r="A29" s="29"/>
      <c r="B29" s="40"/>
      <c r="C29" s="53"/>
      <c r="D29" s="54"/>
      <c r="E29" s="32"/>
      <c r="F29" s="55"/>
      <c r="G29" s="35"/>
    </row>
    <row r="30" spans="1:9" ht="33" customHeight="1">
      <c r="A30" s="29"/>
      <c r="B30" s="56"/>
      <c r="C30" s="53"/>
      <c r="D30" s="54"/>
      <c r="E30" s="32"/>
      <c r="F30" s="57">
        <f>F19+F28+F29</f>
        <v>4328313.0446669562</v>
      </c>
      <c r="G30" s="35"/>
    </row>
    <row r="31" spans="1:9" ht="33" customHeight="1">
      <c r="A31" s="29"/>
      <c r="B31" s="36" t="s">
        <v>29</v>
      </c>
      <c r="C31" s="36"/>
      <c r="D31" s="37"/>
      <c r="E31" s="37"/>
      <c r="F31" s="58">
        <f>ROUNDDOWN(F30,-3)</f>
        <v>4328000</v>
      </c>
      <c r="G31" s="114">
        <v>3525000</v>
      </c>
      <c r="H31" s="115" t="s">
        <v>90</v>
      </c>
      <c r="I31" s="116"/>
    </row>
    <row r="32" spans="1:9" ht="33" customHeight="1" thickBot="1">
      <c r="A32" s="59"/>
      <c r="B32" s="60" t="s">
        <v>30</v>
      </c>
      <c r="C32" s="61"/>
      <c r="D32" s="61"/>
      <c r="E32" s="61"/>
      <c r="F32" s="62"/>
      <c r="G32" s="112"/>
    </row>
    <row r="33" spans="2:2" ht="15.75">
      <c r="B33" s="63"/>
    </row>
    <row r="34" spans="2:2" ht="15.75">
      <c r="B34" s="63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topLeftCell="K1" zoomScaleNormal="100" workbookViewId="0">
      <pane ySplit="4" topLeftCell="A5" activePane="bottomLeft" state="frozen"/>
      <selection pane="bottomLeft" activeCell="M6" sqref="M6"/>
    </sheetView>
  </sheetViews>
  <sheetFormatPr defaultColWidth="9" defaultRowHeight="38.1" customHeight="1"/>
  <cols>
    <col min="1" max="1" width="16" style="99" customWidth="1"/>
    <col min="2" max="5" width="18.5" style="99" hidden="1" customWidth="1"/>
    <col min="6" max="9" width="15.625" style="64" hidden="1" customWidth="1"/>
    <col min="10" max="11" width="30.625" style="89" customWidth="1"/>
    <col min="12" max="12" width="5" style="64" bestFit="1" customWidth="1"/>
    <col min="13" max="13" width="7.875" style="64" bestFit="1" customWidth="1"/>
    <col min="14" max="14" width="10.25" style="64" bestFit="1" customWidth="1"/>
    <col min="15" max="15" width="13" style="64" customWidth="1"/>
    <col min="16" max="16" width="11.375" style="64" customWidth="1"/>
    <col min="17" max="17" width="13.875" style="64" customWidth="1"/>
    <col min="18" max="18" width="6.375" style="64" hidden="1" customWidth="1"/>
    <col min="19" max="19" width="8.25" style="64" hidden="1" customWidth="1"/>
    <col min="20" max="20" width="8.75" style="64" hidden="1" customWidth="1"/>
    <col min="21" max="21" width="8.25" style="64" hidden="1" customWidth="1"/>
    <col min="22" max="22" width="14.5" style="64" bestFit="1" customWidth="1"/>
    <col min="23" max="23" width="24" style="65" bestFit="1" customWidth="1"/>
    <col min="24" max="24" width="8.5" style="64" bestFit="1" customWidth="1"/>
    <col min="25" max="16384" width="9" style="64"/>
  </cols>
  <sheetData>
    <row r="1" spans="1:24" ht="19.899999999999999" customHeight="1">
      <c r="A1" s="124"/>
      <c r="B1" s="124"/>
      <c r="C1" s="124"/>
      <c r="D1" s="124"/>
      <c r="E1" s="124"/>
      <c r="F1" s="124"/>
      <c r="G1" s="124"/>
      <c r="H1" s="124"/>
      <c r="I1" s="124"/>
      <c r="N1" s="65"/>
      <c r="O1" s="92" t="s">
        <v>54</v>
      </c>
      <c r="Q1" s="92" t="s">
        <v>54</v>
      </c>
      <c r="S1" s="92" t="s">
        <v>54</v>
      </c>
      <c r="U1" s="92" t="s">
        <v>54</v>
      </c>
    </row>
    <row r="2" spans="1:24" ht="19.899999999999999" customHeight="1" thickBot="1">
      <c r="A2" s="124"/>
      <c r="B2" s="124"/>
      <c r="C2" s="124"/>
      <c r="D2" s="124"/>
      <c r="E2" s="124"/>
      <c r="F2" s="124"/>
      <c r="G2" s="124"/>
      <c r="H2" s="124"/>
      <c r="I2" s="124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20.100000000000001" customHeight="1">
      <c r="A3" s="93"/>
      <c r="B3" s="93"/>
      <c r="C3" s="93"/>
      <c r="D3" s="93"/>
      <c r="E3" s="93"/>
      <c r="F3" s="93" t="s">
        <v>55</v>
      </c>
      <c r="G3" s="94"/>
      <c r="H3" s="94"/>
      <c r="I3" s="94"/>
      <c r="J3" s="135" t="s">
        <v>56</v>
      </c>
      <c r="K3" s="135"/>
      <c r="L3" s="133" t="s">
        <v>42</v>
      </c>
      <c r="M3" s="133" t="s">
        <v>0</v>
      </c>
      <c r="N3" s="129" t="s">
        <v>57</v>
      </c>
      <c r="O3" s="129"/>
      <c r="P3" s="129" t="s">
        <v>58</v>
      </c>
      <c r="Q3" s="129"/>
      <c r="R3" s="130" t="s">
        <v>59</v>
      </c>
      <c r="S3" s="130"/>
      <c r="T3" s="130" t="s">
        <v>60</v>
      </c>
      <c r="U3" s="130"/>
      <c r="V3" s="131" t="s">
        <v>61</v>
      </c>
      <c r="W3" s="127" t="s">
        <v>62</v>
      </c>
      <c r="X3" s="125" t="s">
        <v>40</v>
      </c>
    </row>
    <row r="4" spans="1:24" ht="20.100000000000001" customHeight="1">
      <c r="A4" s="68" t="s">
        <v>63</v>
      </c>
      <c r="B4" s="69"/>
      <c r="C4" s="69"/>
      <c r="D4" s="69"/>
      <c r="E4" s="69"/>
      <c r="F4" s="70" t="s">
        <v>64</v>
      </c>
      <c r="G4" s="70" t="s">
        <v>65</v>
      </c>
      <c r="H4" s="70" t="s">
        <v>66</v>
      </c>
      <c r="I4" s="70" t="s">
        <v>67</v>
      </c>
      <c r="J4" s="90" t="s">
        <v>68</v>
      </c>
      <c r="K4" s="90" t="s">
        <v>69</v>
      </c>
      <c r="L4" s="134"/>
      <c r="M4" s="134"/>
      <c r="N4" s="71" t="s">
        <v>70</v>
      </c>
      <c r="O4" s="72" t="s">
        <v>71</v>
      </c>
      <c r="P4" s="71" t="s">
        <v>72</v>
      </c>
      <c r="Q4" s="72" t="s">
        <v>71</v>
      </c>
      <c r="R4" s="72" t="s">
        <v>73</v>
      </c>
      <c r="S4" s="72" t="s">
        <v>71</v>
      </c>
      <c r="T4" s="72" t="s">
        <v>73</v>
      </c>
      <c r="U4" s="72" t="s">
        <v>71</v>
      </c>
      <c r="V4" s="132"/>
      <c r="W4" s="128"/>
      <c r="X4" s="126"/>
    </row>
    <row r="5" spans="1:24" s="95" customFormat="1" ht="30" customHeight="1">
      <c r="A5" s="73" t="str">
        <f t="shared" ref="A5" si="0">F5&amp;G5&amp;H5&amp;I5</f>
        <v>L003</v>
      </c>
      <c r="B5" s="104"/>
      <c r="C5" s="104"/>
      <c r="D5" s="104"/>
      <c r="E5" s="104"/>
      <c r="F5" s="75"/>
      <c r="G5" s="79"/>
      <c r="H5" s="79"/>
      <c r="I5" s="85" t="s">
        <v>74</v>
      </c>
      <c r="J5" s="103" t="s">
        <v>79</v>
      </c>
      <c r="K5" s="103" t="s">
        <v>80</v>
      </c>
      <c r="L5" s="109" t="s">
        <v>76</v>
      </c>
      <c r="M5" s="110">
        <v>15</v>
      </c>
      <c r="N5" s="87"/>
      <c r="O5" s="105">
        <f t="shared" ref="O5" si="1">SUM(N5:N5)*M5*$O$2</f>
        <v>0</v>
      </c>
      <c r="P5" s="86">
        <v>219321</v>
      </c>
      <c r="Q5" s="105">
        <f t="shared" ref="Q5" si="2">M5*P5</f>
        <v>3289815</v>
      </c>
      <c r="R5" s="88"/>
      <c r="S5" s="105">
        <f t="shared" ref="S5" si="3">R5*M5*$S$2</f>
        <v>0</v>
      </c>
      <c r="T5" s="88"/>
      <c r="U5" s="105">
        <f t="shared" ref="U5" si="4">T5*M5*$U$2</f>
        <v>0</v>
      </c>
      <c r="V5" s="77">
        <f t="shared" ref="V5:V8" si="5">SUM(O5+Q5)+S5+U5</f>
        <v>3289815</v>
      </c>
      <c r="W5" s="111" t="s">
        <v>89</v>
      </c>
      <c r="X5" s="78"/>
    </row>
    <row r="6" spans="1:24" s="95" customFormat="1" ht="30" customHeight="1">
      <c r="A6" s="73">
        <v>999999</v>
      </c>
      <c r="B6" s="74"/>
      <c r="C6" s="74"/>
      <c r="D6" s="74"/>
      <c r="E6" s="74"/>
      <c r="F6" s="75"/>
      <c r="G6" s="79"/>
      <c r="H6" s="82"/>
      <c r="I6" s="85"/>
      <c r="J6" s="107" t="s">
        <v>86</v>
      </c>
      <c r="K6" s="103" t="s">
        <v>81</v>
      </c>
      <c r="L6" s="76" t="s">
        <v>82</v>
      </c>
      <c r="M6" s="108">
        <v>40</v>
      </c>
      <c r="N6" s="87">
        <v>5000</v>
      </c>
      <c r="O6" s="105">
        <f>N6*M6</f>
        <v>200000</v>
      </c>
      <c r="P6" s="86"/>
      <c r="Q6" s="105">
        <v>0</v>
      </c>
      <c r="R6" s="88"/>
      <c r="S6" s="105">
        <v>0</v>
      </c>
      <c r="T6" s="88"/>
      <c r="U6" s="105">
        <v>0</v>
      </c>
      <c r="V6" s="77">
        <f t="shared" si="5"/>
        <v>200000</v>
      </c>
      <c r="W6" s="80"/>
      <c r="X6" s="78"/>
    </row>
    <row r="7" spans="1:24" s="95" customFormat="1" ht="30" customHeight="1">
      <c r="A7" s="73">
        <v>999999</v>
      </c>
      <c r="B7" s="74"/>
      <c r="C7" s="74"/>
      <c r="D7" s="74"/>
      <c r="E7" s="74"/>
      <c r="F7" s="75"/>
      <c r="G7" s="79"/>
      <c r="H7" s="82"/>
      <c r="I7" s="85"/>
      <c r="J7" s="107" t="s">
        <v>86</v>
      </c>
      <c r="K7" s="103" t="s">
        <v>83</v>
      </c>
      <c r="L7" s="76" t="s">
        <v>82</v>
      </c>
      <c r="M7" s="108">
        <v>10</v>
      </c>
      <c r="N7" s="87">
        <v>6500</v>
      </c>
      <c r="O7" s="105">
        <f>N7*M7</f>
        <v>65000</v>
      </c>
      <c r="P7" s="86"/>
      <c r="Q7" s="105"/>
      <c r="R7" s="88"/>
      <c r="S7" s="105"/>
      <c r="T7" s="88"/>
      <c r="U7" s="105"/>
      <c r="V7" s="77">
        <f t="shared" si="5"/>
        <v>65000</v>
      </c>
      <c r="W7" s="80"/>
      <c r="X7" s="78"/>
    </row>
    <row r="8" spans="1:24" s="95" customFormat="1" ht="30" customHeight="1">
      <c r="A8" s="73">
        <v>999999</v>
      </c>
      <c r="B8" s="74"/>
      <c r="C8" s="74"/>
      <c r="D8" s="74"/>
      <c r="E8" s="74"/>
      <c r="F8" s="75"/>
      <c r="G8" s="79"/>
      <c r="H8" s="82"/>
      <c r="I8" s="85"/>
      <c r="J8" s="107" t="s">
        <v>86</v>
      </c>
      <c r="K8" s="103" t="s">
        <v>84</v>
      </c>
      <c r="L8" s="76" t="s">
        <v>85</v>
      </c>
      <c r="M8" s="108">
        <v>200</v>
      </c>
      <c r="N8" s="87">
        <v>200</v>
      </c>
      <c r="O8" s="105">
        <f>M8*N8</f>
        <v>40000</v>
      </c>
      <c r="P8" s="86"/>
      <c r="Q8" s="105"/>
      <c r="R8" s="88"/>
      <c r="S8" s="105"/>
      <c r="T8" s="88"/>
      <c r="U8" s="105"/>
      <c r="V8" s="77">
        <f t="shared" si="5"/>
        <v>40000</v>
      </c>
      <c r="W8" s="80"/>
      <c r="X8" s="78"/>
    </row>
    <row r="9" spans="1:24" s="97" customFormat="1" ht="20.100000000000001" customHeight="1">
      <c r="A9" s="96"/>
      <c r="B9" s="96"/>
      <c r="C9" s="96"/>
      <c r="D9" s="96"/>
      <c r="E9" s="96"/>
      <c r="J9" s="91"/>
      <c r="K9" s="91"/>
      <c r="O9" s="101">
        <f>SUM(O5:O8)</f>
        <v>305000</v>
      </c>
      <c r="Q9" s="101">
        <f>SUM(Q5:Q8)</f>
        <v>3289815</v>
      </c>
      <c r="S9" s="98">
        <f>SUM(S5:S8)</f>
        <v>0</v>
      </c>
      <c r="U9" s="98">
        <f>SUM(U5:U8)</f>
        <v>0</v>
      </c>
      <c r="V9" s="102">
        <f>SUM(V5:V8)</f>
        <v>3594815</v>
      </c>
      <c r="W9" s="81"/>
    </row>
    <row r="10" spans="1:24" ht="38.1" customHeight="1">
      <c r="J10" s="113" t="s">
        <v>77</v>
      </c>
      <c r="K10" s="106"/>
    </row>
    <row r="11" spans="1:24" ht="38.1" customHeight="1">
      <c r="J11" s="136" t="s">
        <v>87</v>
      </c>
      <c r="K11" s="136"/>
      <c r="L11" s="136"/>
      <c r="M11" s="136"/>
      <c r="N11" s="136"/>
    </row>
    <row r="12" spans="1:24" ht="38.1" customHeight="1">
      <c r="J12" s="123"/>
      <c r="K12" s="123"/>
    </row>
    <row r="13" spans="1:24" ht="38.1" customHeight="1">
      <c r="Q13" s="100"/>
    </row>
  </sheetData>
  <mergeCells count="14">
    <mergeCell ref="J12:K12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J11:N11"/>
  </mergeCells>
  <phoneticPr fontId="6" type="noConversion"/>
  <pageMargins left="0.7" right="0.7" top="0.75" bottom="0.75" header="0.3" footer="0.3"/>
  <pageSetup paperSize="9" scale="64" orientation="landscape" horizont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갑지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2025-09-04T07:59:33Z</cp:lastPrinted>
  <dcterms:created xsi:type="dcterms:W3CDTF">2020-09-15T23:52:51Z</dcterms:created>
  <dcterms:modified xsi:type="dcterms:W3CDTF">2025-11-08T04:49:10Z</dcterms:modified>
</cp:coreProperties>
</file>
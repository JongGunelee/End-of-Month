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1ABDD069-55A6-405E-8552-31DB6F470EF5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D13" i="9" l="1"/>
  <c r="P11" i="9"/>
  <c r="F10" i="10" l="1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10" i="9"/>
  <c r="F10" i="9"/>
  <c r="H9" i="9"/>
  <c r="F9" i="9"/>
  <c r="H8" i="9"/>
  <c r="F8" i="9"/>
  <c r="H7" i="9"/>
  <c r="F7" i="9"/>
  <c r="H5" i="9"/>
  <c r="F5" i="9"/>
  <c r="J28" i="9" l="1"/>
  <c r="L28" i="9"/>
  <c r="N22" i="9"/>
  <c r="N15" i="9"/>
  <c r="N17" i="9"/>
  <c r="N14" i="9"/>
  <c r="N9" i="9"/>
  <c r="N10" i="9"/>
  <c r="F25" i="9"/>
  <c r="H18" i="9"/>
  <c r="N23" i="9"/>
  <c r="N11" i="9"/>
  <c r="F13" i="9"/>
  <c r="N16" i="9"/>
  <c r="H25" i="9"/>
  <c r="H13" i="9"/>
  <c r="N8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F17" i="5" s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<sst xmlns="http://schemas.openxmlformats.org/spreadsheetml/2006/main" count="207" uniqueCount="156">
  <si>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</si>
  <si>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</si>
  <si>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</si>
  <si>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</si>
  <si>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</si>
  <si>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</si>
  <si>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</si>
  <si>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</si>
  <si>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</si>
  <si>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</si>
  <si>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</si>
  <si>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</si>
  <si>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</si>
  <si>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</si>
  <si>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</si>
  <si>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</si>
  <si>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</si>
  <si>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</si>
  <si>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</si>
  <si>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</si>
  <si>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</si>
  <si>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</si>
  <si>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</si>
  <si>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</si>
  <si>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</si>
  <si>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</si>
  <si>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</si>
  <si>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</si>
  <si>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</si>
  <si>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</si>
  <si>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</si>
  <si>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</si>
  <si>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</si>
  <si>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</si>
  <si>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</si>
  <si>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</si>
  <si>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</si>
  <si>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</si>
  <si>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</si>
  <si>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</si>
  <si>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</si>
  <si>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</si>
  <si>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</si>
  <si>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</si>
  <si>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</si>
  <si>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</si>
  <si>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</si>
  <si>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</si>
  <si>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</si>
  <si>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</si>
  <si>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</si>
  <si>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</si>
  <si>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</si>
  <si>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</si>
  <si>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</si>
  <si>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</si>
  <si>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</si>
  <si>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</si>
  <si>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</si>
  <si>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</si>
  <si>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</si>
  <si>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</si>
  <si>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</si>
  <si>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</si>
  <si>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</si>
  <si>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</si>
  <si>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</si>
  <si>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</si>
  <si>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</si>
  <si>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</si>
  <si>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</si>
  <si>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</si>
  <si>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</si>
  <si>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</si>
  <si>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</si>
  <si>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</si>
  <si>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</si>
  <si>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</si>
  <si>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</si>
  <si>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</si>
  <si>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</si>
  <si>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</si>
  <si>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</si>
  <si>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</si>
  <si>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</si>
  <si>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</si>
  <si>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</si>
  <si>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</si>
  <si>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</si>
  <si>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</si>
  <si>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</si>
  <si>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</si>
  <si>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</si>
  <si>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</si>
  <si>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</si>
  <si>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</si>
  <si>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</si>
  <si>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</si>
  <si>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</si>
  <si>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</si>
  <si>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</si>
  <si>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</si>
  <si>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</si>
  <si>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</si>
  <si>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</si>
  <si>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</si>
  <si>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</si>
  <si>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</si>
  <si>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</si>
  <si>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</si>
  <si>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</si>
  <si>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</si>
  <si>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</si>
  <si>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</si>
  <si>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</si>
  <si>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</si>
  <si>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</si>
  <si>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</si>
  <si>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</si>
  <si>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</si>
  <si>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</si>
  <si>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</si>
  <si>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</si>
  <si>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</si>
  <si>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</si>
  <si>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</si>
  <si>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</si>
  <si>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</si>
  <si>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</si>
  <si>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</si>
  <si>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</si>
  <si>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</si>
  <si>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</si>
  <si>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</si>
  <si>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</si>
  <si>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</si>
  <si>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</si>
  <si>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</si>
  <si>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</si>
  <si>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</si>
  <si>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</si>
  <si>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</si>
  <si>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</si>
  <si>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</si>
  <si>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</si>
  <si>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</si>
  <si>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</si>
  <si>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</si>
  <si>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</si>
  <si>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</si>
  <si>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</si>
  <si>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2026년  01월  13일</t>
    <phoneticPr fontId="11" type="noConversion"/>
  </si>
  <si>
    <t xml:space="preserve"> 공사명 : 사택 102-502 수장공사</t>
    <phoneticPr fontId="11" type="noConversion"/>
  </si>
  <si>
    <t>사택 102-502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</si>
  <si>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소요량204/16.51=112.356R/L</t>
    </r>
    <phoneticPr fontId="5" type="noConversion"/>
  </si>
  <si>
    <t>일당 시공량-천장 35㎡ 적산정보 500p 참조, 시공총량18/일당35=0.514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</si>
</sst>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4" fontId="24" fillId="6" borderId="30" xfId="13" applyNumberFormat="1" applyFont="1" applyFill="1" applyBorder="1" applyAlignment="1">
      <alignment horizontal="center" vertical="center"/>
    </xf>
    <xf numFmtId="177" fontId="24" fillId="6" borderId="30" xfId="13" applyFont="1" applyFill="1" applyBorder="1" applyAlignment="1">
      <alignment horizontal="center" vertical="center"/>
    </xf>
    <xf numFmtId="185" fontId="24" fillId="6" borderId="30" xfId="13" applyNumberFormat="1" applyFont="1" applyFill="1" applyBorder="1" applyAlignment="1">
      <alignment horizontal="center" vertical="center"/>
    </xf>
    <xf numFmtId="182" fontId="24" fillId="6" borderId="30" xfId="13" applyNumberFormat="1" applyFont="1" applyFill="1" applyBorder="1" applyAlignment="1">
      <alignment horizontal="right" vertical="center" wrapText="1"/>
    </xf>
    <xf numFmtId="185" fontId="20" fillId="0" borderId="0" xfId="0" applyNumberFormat="1" applyFo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152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151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사백육십오만오천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'내역서(표준단가)'!O14</f>
        <v>902877.48399999994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'내역서(표준단가)'!Q14</f>
        <v>3051887.203892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3954764.6878920002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137334.92417513998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108189.40137797142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14010.527478447299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30824.060759309199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108647.1844585552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122993.1817934412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178694.3241967432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700693.60423960746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4655458.2921316074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4655000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O20" sqref="O20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154</v>
      </c>
      <c r="L5" s="121" t="s">
        <v>148</v>
      </c>
      <c r="M5" s="140">
        <v>12.356</v>
      </c>
      <c r="N5" s="160">
        <v>20900</v>
      </c>
      <c r="O5" s="136">
        <f t="shared" ref="O5" si="1">SUM(N5:N5)*M5*$O$2</f>
        <v>215630.734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215630.734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149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155</v>
      </c>
      <c r="L7" s="74" t="s">
        <v>110</v>
      </c>
      <c r="M7" s="140">
        <v>0.51400000000000001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209048.14843999999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209048.14843999999</v>
      </c>
      <c r="W7" s="120"/>
      <c r="X7" s="77"/>
    </row>
    <row r="8" spans="1:24" s="150" customFormat="1" ht="38.1" customHeight="1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150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902877.48399999994</v>
      </c>
      <c r="P14" s="156"/>
      <c r="Q14" s="155">
        <f>SUM(Q5:Q13)</f>
        <v>3051887.203892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3954764.6878919997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28"/>
  <sheetViews>
    <sheetView zoomScaleNormal="100" workbookViewId="0">
      <selection activeCell="F37" sqref="F37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6" ht="27" customHeight="1">
      <c r="A1" s="185" t="s">
        <v>54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6" ht="15" customHeight="1">
      <c r="A2" s="186" t="s">
        <v>55</v>
      </c>
      <c r="B2" s="187" t="s">
        <v>56</v>
      </c>
      <c r="C2" s="188" t="s">
        <v>42</v>
      </c>
      <c r="D2" s="188" t="s">
        <v>57</v>
      </c>
      <c r="E2" s="190" t="s">
        <v>58</v>
      </c>
      <c r="F2" s="187"/>
      <c r="G2" s="187" t="s">
        <v>59</v>
      </c>
      <c r="H2" s="187"/>
      <c r="I2" s="191" t="s">
        <v>60</v>
      </c>
      <c r="J2" s="192"/>
      <c r="K2" s="191" t="s">
        <v>61</v>
      </c>
      <c r="L2" s="192"/>
      <c r="M2" s="190" t="s">
        <v>62</v>
      </c>
      <c r="N2" s="187"/>
      <c r="O2" s="193" t="s">
        <v>63</v>
      </c>
    </row>
    <row r="3" spans="1:16" ht="15" customHeight="1">
      <c r="A3" s="186"/>
      <c r="B3" s="187"/>
      <c r="C3" s="189"/>
      <c r="D3" s="189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4"/>
    </row>
    <row r="4" spans="1:16" ht="15" customHeight="1">
      <c r="A4" s="183" t="s">
        <v>153</v>
      </c>
      <c r="B4" s="1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6" ht="15" customHeight="1">
      <c r="A5" s="20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5" t="s">
        <v>129</v>
      </c>
    </row>
    <row r="6" spans="1:16" ht="15" customHeight="1">
      <c r="A6" s="202"/>
      <c r="B6" s="203" t="s">
        <v>70</v>
      </c>
      <c r="C6" s="204" t="s">
        <v>69</v>
      </c>
      <c r="D6" s="205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196"/>
    </row>
    <row r="7" spans="1:16" ht="15" customHeight="1">
      <c r="A7" s="20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ref="N6:N12" si="2">F7+H7+J7+L7</f>
        <v>376082.2</v>
      </c>
      <c r="O7" s="196"/>
    </row>
    <row r="8" spans="1:16" ht="15" customHeight="1">
      <c r="A8" s="202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96"/>
    </row>
    <row r="9" spans="1:16" ht="15" customHeight="1">
      <c r="A9" s="20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96"/>
    </row>
    <row r="10" spans="1:16" ht="15" customHeight="1">
      <c r="A10" s="202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96"/>
    </row>
    <row r="11" spans="1:16" ht="15" customHeight="1">
      <c r="A11" s="20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96"/>
      <c r="P11" s="207">
        <f>D8+D10</f>
        <v>18</v>
      </c>
    </row>
    <row r="12" spans="1:16" ht="15" customHeight="1">
      <c r="A12" s="202"/>
      <c r="B12" s="203" t="s">
        <v>76</v>
      </c>
      <c r="C12" s="204" t="s">
        <v>69</v>
      </c>
      <c r="D12" s="205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196"/>
    </row>
    <row r="13" spans="1:16" ht="15" customHeight="1">
      <c r="A13" s="109" t="s">
        <v>77</v>
      </c>
      <c r="B13" s="110"/>
      <c r="C13" s="111"/>
      <c r="D13" s="112">
        <f>SUM(D5:D12)</f>
        <v>204</v>
      </c>
      <c r="E13" s="113"/>
      <c r="F13" s="113">
        <f>SUM(F5:F12)</f>
        <v>215628</v>
      </c>
      <c r="G13" s="113"/>
      <c r="H13" s="113">
        <f>SUM(H5:H12)</f>
        <v>1853334.5999999999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2068962.5999999999</v>
      </c>
      <c r="O13" s="113"/>
    </row>
    <row r="14" spans="1:16" ht="15" customHeight="1">
      <c r="A14" s="197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96"/>
    </row>
    <row r="15" spans="1:16" ht="15" customHeight="1">
      <c r="A15" s="197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96"/>
    </row>
    <row r="16" spans="1:16" ht="15" customHeight="1">
      <c r="A16" s="197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96"/>
    </row>
    <row r="17" spans="1:15" ht="15" customHeight="1">
      <c r="A17" s="198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9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200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200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200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200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123</v>
      </c>
      <c r="B28" s="86"/>
      <c r="C28" s="87"/>
      <c r="D28" s="97"/>
      <c r="E28" s="99"/>
      <c r="F28" s="100">
        <f>F13+F18+F25+F27</f>
        <v>902874.9</v>
      </c>
      <c r="G28" s="100"/>
      <c r="H28" s="100">
        <f>H13+H18+H25+H27</f>
        <v>3051895.1799999997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3954770.0799999996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31" sqref="G31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12.356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0.51400000000000001</v>
      </c>
    </row>
    <row r="5" spans="1:6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2026-01-13T03:07:58Z</dcterms:modified>
</cp:coreProperties>
</file>
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50925\06 작업폴더\07 사택 104-202 거실 및 방 단열작업\"/>
    </mc:Choice>
  </mc:AlternateContent>
  <xr:revisionPtr revIDLastSave="0" documentId="13_ncr:1_{75ABDACD-CF93-4A14-A581-085EE67FFD8E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상세내역" sheetId="18" r:id="rId3"/>
    <sheet name="Upload" sheetId="1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E8" i="1"/>
  <c r="D8" i="1"/>
  <c r="C8" i="1"/>
  <c r="B8" i="1"/>
  <c r="A8" i="1"/>
  <c r="F7" i="1"/>
  <c r="E7" i="1"/>
  <c r="D7" i="1"/>
  <c r="C7" i="1"/>
  <c r="B7" i="1"/>
  <c r="A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L27" i="18"/>
  <c r="H25" i="18"/>
  <c r="F25" i="18"/>
  <c r="H24" i="18"/>
  <c r="F24" i="18"/>
  <c r="H23" i="18"/>
  <c r="F23" i="18"/>
  <c r="F22" i="18"/>
  <c r="N22" i="18" s="1"/>
  <c r="F21" i="18"/>
  <c r="N21" i="18" s="1"/>
  <c r="J26" i="18"/>
  <c r="J27" i="18" s="1"/>
  <c r="F26" i="18"/>
  <c r="H20" i="18"/>
  <c r="F20" i="18"/>
  <c r="H19" i="18"/>
  <c r="F19" i="18"/>
  <c r="H18" i="18"/>
  <c r="F18" i="18"/>
  <c r="F17" i="18"/>
  <c r="N17" i="18" s="1"/>
  <c r="F16" i="18"/>
  <c r="N16" i="18" s="1"/>
  <c r="H15" i="18"/>
  <c r="F15" i="18"/>
  <c r="H14" i="18"/>
  <c r="F14" i="18"/>
  <c r="H13" i="18"/>
  <c r="F13" i="18"/>
  <c r="N13" i="18" s="1"/>
  <c r="F12" i="18"/>
  <c r="N12" i="18" s="1"/>
  <c r="F11" i="18"/>
  <c r="N11" i="18" s="1"/>
  <c r="H10" i="18"/>
  <c r="F10" i="18"/>
  <c r="H9" i="18"/>
  <c r="F9" i="18"/>
  <c r="N9" i="18" s="1"/>
  <c r="H8" i="18"/>
  <c r="F8" i="18"/>
  <c r="N8" i="18" s="1"/>
  <c r="F7" i="18"/>
  <c r="N7" i="18" s="1"/>
  <c r="F6" i="18"/>
  <c r="N6" i="18" s="1"/>
  <c r="H5" i="18"/>
  <c r="F5" i="18"/>
  <c r="U11" i="4"/>
  <c r="O11" i="4"/>
  <c r="A11" i="4"/>
  <c r="U10" i="4"/>
  <c r="S10" i="4"/>
  <c r="Q10" i="4"/>
  <c r="O10" i="4"/>
  <c r="A10" i="4"/>
  <c r="U9" i="4"/>
  <c r="S9" i="4"/>
  <c r="Q9" i="4"/>
  <c r="O9" i="4"/>
  <c r="A9" i="4"/>
  <c r="A6" i="1" s="1"/>
  <c r="U8" i="4"/>
  <c r="S8" i="4"/>
  <c r="Q8" i="4"/>
  <c r="O8" i="4"/>
  <c r="A8" i="4"/>
  <c r="A5" i="1" s="1"/>
  <c r="U7" i="4"/>
  <c r="S7" i="4"/>
  <c r="Q7" i="4"/>
  <c r="O7" i="4"/>
  <c r="A7" i="4"/>
  <c r="A4" i="1" s="1"/>
  <c r="U6" i="4"/>
  <c r="S6" i="4"/>
  <c r="Q6" i="4"/>
  <c r="O6" i="4"/>
  <c r="A6" i="4"/>
  <c r="A3" i="1" s="1"/>
  <c r="U5" i="4"/>
  <c r="S5" i="4"/>
  <c r="Q5" i="4"/>
  <c r="O5" i="4"/>
  <c r="A5" i="4"/>
  <c r="H27" i="18" l="1"/>
  <c r="N26" i="18"/>
  <c r="N25" i="18"/>
  <c r="V5" i="4"/>
  <c r="N5" i="18"/>
  <c r="N10" i="18"/>
  <c r="N15" i="18"/>
  <c r="N20" i="18"/>
  <c r="F27" i="18"/>
  <c r="N24" i="18"/>
  <c r="N19" i="18"/>
  <c r="V11" i="4"/>
  <c r="V10" i="4"/>
  <c r="V9" i="4"/>
  <c r="V8" i="4"/>
  <c r="V7" i="4"/>
  <c r="V6" i="4"/>
  <c r="N18" i="18"/>
  <c r="N23" i="18"/>
  <c r="N14" i="18"/>
  <c r="N27" i="18" l="1"/>
  <c r="N4" i="18"/>
  <c r="F2" i="1" l="1"/>
  <c r="E2" i="1"/>
  <c r="D2" i="1"/>
  <c r="C2" i="1"/>
  <c r="B2" i="1"/>
  <c r="A2" i="1"/>
  <c r="U12" i="4" l="1"/>
  <c r="Q12" i="4"/>
  <c r="S12" i="4" l="1"/>
  <c r="V12" i="4" l="1"/>
  <c r="F18" i="5" l="1"/>
  <c r="O12" i="4" l="1"/>
  <c r="F17" i="5" l="1"/>
  <c r="F16" i="5"/>
  <c r="F26" i="5" l="1"/>
  <c r="F22" i="5"/>
  <c r="F23" i="5" s="1"/>
  <c r="F21" i="5"/>
  <c r="F25" i="5"/>
  <c r="F24" i="5"/>
  <c r="F19" i="5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<sst xmlns="http://schemas.openxmlformats.org/spreadsheetml/2006/main" count="213" uniqueCount="143">
  <si>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</si>
  <si>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</si>
  <si>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</si>
  <si>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</si>
  <si>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</si>
  <si>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</si>
  <si>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</si>
  <si>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</si>
  <si>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</si>
  <si>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</si>
  <si>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</si>
  <si>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</si>
  <si>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</si>
  <si>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</si>
  <si>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</si>
  <si>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</si>
  <si>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</si>
  <si>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</si>
  <si>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</si>
  <si>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</si>
  <si>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</si>
  <si>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</si>
  <si>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</si>
  <si>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</si>
  <si>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</si>
  <si>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</si>
  <si>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</si>
  <si>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</si>
  <si>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</si>
  <si>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</si>
  <si>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</si>
  <si>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</si>
  <si>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</si>
  <si>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</si>
  <si>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</si>
  <si>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</si>
  <si>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</si>
  <si>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</si>
  <si>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</si>
  <si>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</si>
  <si>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</si>
  <si>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</si>
  <si>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</si>
  <si>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</si>
  <si>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</si>
  <si>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</si>
  <si>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</si>
  <si>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>단위</t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</si>
  <si>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</si>
  <si>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</si>
  <si>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</si>
  <si>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</si>
  <si>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</si>
  <si>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</si>
  <si>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</si>
  <si>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</si>
  <si>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</si>
  <si>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</si>
  <si>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</si>
  <si>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TON</t>
  </si>
  <si>
    <t>m</t>
  </si>
  <si>
    <t>내 역 서</t>
    <phoneticPr fontId="18" type="noConversion"/>
  </si>
  <si>
    <t>품        명</t>
    <phoneticPr fontId="18" type="noConversion"/>
  </si>
  <si>
    <t>규      격</t>
  </si>
  <si>
    <t>수 량</t>
    <phoneticPr fontId="18" type="noConversion"/>
  </si>
  <si>
    <t xml:space="preserve">재    료   비   </t>
    <phoneticPr fontId="18" type="noConversion"/>
  </si>
  <si>
    <t>노   무   비</t>
    <phoneticPr fontId="18" type="noConversion"/>
  </si>
  <si>
    <t>기계경비</t>
    <phoneticPr fontId="18" type="noConversion"/>
  </si>
  <si>
    <t>기타경비</t>
    <phoneticPr fontId="18" type="noConversion"/>
  </si>
  <si>
    <t>합 계</t>
    <phoneticPr fontId="18" type="noConversion"/>
  </si>
  <si>
    <t>단   가</t>
    <phoneticPr fontId="18" type="noConversion"/>
  </si>
  <si>
    <t>금     액</t>
    <phoneticPr fontId="18" type="noConversion"/>
  </si>
  <si>
    <t>열반사 단열재</t>
    <phoneticPr fontId="12" type="noConversion"/>
  </si>
  <si>
    <t>단면접착, 6*1000*1000</t>
    <phoneticPr fontId="12" type="noConversion"/>
  </si>
  <si>
    <t>M2</t>
    <phoneticPr fontId="12" type="noConversion"/>
  </si>
  <si>
    <t>이보드</t>
    <phoneticPr fontId="12" type="noConversion"/>
  </si>
  <si>
    <t>이보드13t*2700*h:2400</t>
    <phoneticPr fontId="12" type="noConversion"/>
  </si>
  <si>
    <t>석고판 나사고정</t>
    <phoneticPr fontId="12" type="noConversion"/>
  </si>
  <si>
    <t>바탕용*2겹</t>
    <phoneticPr fontId="12" type="noConversion"/>
  </si>
  <si>
    <t>조이너 및 몰딩</t>
  </si>
  <si>
    <t>몰딩</t>
    <phoneticPr fontId="12" type="noConversion"/>
  </si>
  <si>
    <t>m</t>
    <phoneticPr fontId="12" type="noConversion"/>
  </si>
  <si>
    <t>혼합건설 폐기물, 운반비 포함</t>
    <phoneticPr fontId="12" type="noConversion"/>
  </si>
  <si>
    <t>TON</t>
    <phoneticPr fontId="12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</si>
  <si>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</si>
  <si>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</si>
  <si>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</si>
  <si>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</si>
  <si>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</si>
  <si>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</si>
  <si>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</si>
  <si>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</si>
  <si>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</si>
  <si>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</si>
  <si>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</si>
  <si>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</si>
  <si>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</si>
  <si>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</si>
  <si>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</si>
  <si>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</si>
  <si>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</si>
  <si>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</si>
  <si>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</si>
  <si>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</si>
  <si>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E00000801011510201</t>
  </si>
  <si>
    <t>건출물 현장정리</t>
  </si>
  <si>
    <t>(연면적 ㎡ 당)</t>
  </si>
  <si>
    <t>M020750510120102</t>
  </si>
  <si>
    <t>에너폴(태화론 TW-06, 6㎜×1M×50M단면-점착 대체)</t>
    <phoneticPr fontId="10" type="noConversion"/>
  </si>
  <si>
    <t>900 X 1800X40, 3호(비중0.020)</t>
  </si>
  <si>
    <t>매</t>
  </si>
  <si>
    <t>E00000803066520103</t>
  </si>
  <si>
    <t>석고판 설치(나사 고정)</t>
  </si>
  <si>
    <t>(일당)</t>
  </si>
  <si>
    <t>M020531910380101</t>
  </si>
  <si>
    <t>연질/러버베이스 적용 (합성수지류,걸레받이 대체)</t>
    <phoneticPr fontId="10" type="noConversion"/>
  </si>
  <si>
    <t>100h, 2.5t</t>
  </si>
  <si>
    <t>E00000803066520502</t>
  </si>
  <si>
    <t>걸레받이 설치, 종합적산정보 389p</t>
    <phoneticPr fontId="10" type="noConversion"/>
  </si>
  <si>
    <t>M020750510130102</t>
  </si>
  <si>
    <t>에너폴(이보드, 1000*1000*13T, 대체)</t>
    <phoneticPr fontId="10" type="noConversion"/>
  </si>
  <si>
    <t>900 X 1800X50, 3호(비중0.020)</t>
  </si>
  <si>
    <t>M020806810430101</t>
  </si>
  <si>
    <t>산업폐기물처리비=내부창호폐기물 적용(1세대)</t>
    <phoneticPr fontId="10" type="noConversion"/>
  </si>
  <si>
    <t>STEEL CONCORE PANEL 기준, (소운반비별도), 적용</t>
    <phoneticPr fontId="10" type="noConversion"/>
  </si>
  <si>
    <t>1.건축물 현장정리</t>
    <phoneticPr fontId="18" type="noConversion"/>
  </si>
  <si>
    <t>기존 단열재 철거 포함</t>
    <phoneticPr fontId="10" type="noConversion"/>
  </si>
  <si>
    <t>㎡</t>
    <phoneticPr fontId="18" type="noConversion"/>
  </si>
  <si>
    <t>사택 103-303 단열작업(거실+안방+작은방1,2, 열반사+이보드)</t>
    <phoneticPr fontId="18" type="noConversion"/>
  </si>
  <si>
    <t>2.거실</t>
    <phoneticPr fontId="12" type="noConversion"/>
  </si>
  <si>
    <t>3.안방</t>
    <phoneticPr fontId="12" type="noConversion"/>
  </si>
  <si>
    <t>5.작은방2</t>
    <phoneticPr fontId="12" type="noConversion"/>
  </si>
  <si>
    <t>4.작은방1</t>
    <phoneticPr fontId="12" type="noConversion"/>
  </si>
  <si>
    <t>6.폐기물 처리</t>
    <phoneticPr fontId="12" type="noConversion"/>
  </si>
  <si>
    <t>(전체면적8.5*h:2.5)-(창호면적 1.8*2.3*2창)=12.97</t>
    <phoneticPr fontId="10" type="noConversion"/>
  </si>
  <si>
    <t>(전체면적 4.55*h:2.5)=11.375</t>
    <phoneticPr fontId="10" type="noConversion"/>
  </si>
  <si>
    <t>(전체면적 3.5*h:2.5)=8.75</t>
    <phoneticPr fontId="10" type="noConversion"/>
  </si>
  <si>
    <t>중밀도섬유판(시공량 : 165m), 설치수량 48m, 38/165=0.2303</t>
    <phoneticPr fontId="10" type="noConversion"/>
  </si>
  <si>
    <t>바탕용(2겹) (시공량 : 30㎡),시공총량86/일당30=2.8667</t>
    <phoneticPr fontId="10" type="noConversion"/>
  </si>
  <si>
    <t xml:space="preserve"> 공사명 : 사택 104-202 단열작업(거실+안방,작은방1,2- 열반사+이보드)</t>
    <phoneticPr fontId="16" type="noConversion"/>
  </si>
  <si>
    <t xml:space="preserve"> 견적일 : 2025년  09월  24일</t>
    <phoneticPr fontId="16" type="noConversion"/>
  </si>
  <si>
    <t> (재료비+노무비)*3.11%</t>
    <phoneticPr fontId="18" type="noConversion"/>
  </si>
  <si>
    <t>철근콘크리트조·철골·철근콘크리트조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</si>
</sst>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0_);[Red]\(0\)"/>
    <numFmt numFmtId="186" formatCode="&quot;₩&quot;#,##0"/>
    <numFmt numFmtId="187" formatCode="0.00_);[Red]\(0.00\)"/>
    <numFmt numFmtId="188" formatCode="0.000"/>
    <numFmt numFmtId="189" formatCode="#,##0;\-#,##0;"/>
    <numFmt numFmtId="190" formatCode="0.000_);[Red]\(0.000\)"/>
    <numFmt numFmtId="191" formatCode="0.000_ "/>
  </numFmts>
  <fonts count="4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2"/>
      <charset val="129"/>
      <scheme val="minor"/>
    </font>
    <font>
      <sz val="8.5"/>
      <color rgb="FF000000"/>
      <name val="돋움"/>
      <family val="3"/>
      <charset val="129"/>
    </font>
    <font>
      <b/>
      <sz val="10"/>
      <color rgb="FF000000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sz val="9"/>
      <name val="굴림"/>
      <family val="3"/>
      <charset val="129"/>
    </font>
    <font>
      <b/>
      <sz val="16"/>
      <name val="굴림"/>
      <family val="3"/>
      <charset val="129"/>
    </font>
    <font>
      <sz val="8.5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1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89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0" xfId="3" applyFont="1"/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26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7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6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7" fillId="0" borderId="7" xfId="6" applyFont="1" applyBorder="1" applyAlignment="1">
      <alignment vertical="center"/>
    </xf>
    <xf numFmtId="179" fontId="26" fillId="0" borderId="7" xfId="6" applyNumberFormat="1" applyFont="1" applyBorder="1" applyAlignment="1">
      <alignment vertical="center"/>
    </xf>
    <xf numFmtId="0" fontId="26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8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8" fillId="0" borderId="12" xfId="6" applyFont="1" applyBorder="1" applyAlignment="1">
      <alignment vertical="center"/>
    </xf>
    <xf numFmtId="1" fontId="28" fillId="0" borderId="12" xfId="6" applyNumberFormat="1" applyFont="1" applyBorder="1" applyAlignment="1">
      <alignment horizontal="center" vertical="center"/>
    </xf>
    <xf numFmtId="180" fontId="28" fillId="0" borderId="12" xfId="7" applyFont="1" applyBorder="1" applyAlignment="1">
      <alignment horizontal="right" vertical="center"/>
    </xf>
    <xf numFmtId="0" fontId="28" fillId="0" borderId="13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0" fontId="28" fillId="0" borderId="15" xfId="6" applyFont="1" applyBorder="1" applyAlignment="1">
      <alignment horizontal="center" vertical="center"/>
    </xf>
    <xf numFmtId="0" fontId="28" fillId="0" borderId="15" xfId="3" applyFont="1" applyBorder="1" applyAlignment="1">
      <alignment horizontal="center" vertical="center"/>
    </xf>
    <xf numFmtId="1" fontId="28" fillId="0" borderId="15" xfId="6" applyNumberFormat="1" applyFont="1" applyBorder="1" applyAlignment="1">
      <alignment horizontal="center" vertical="center"/>
    </xf>
    <xf numFmtId="180" fontId="28" fillId="0" borderId="15" xfId="7" applyFont="1" applyBorder="1" applyAlignment="1">
      <alignment horizontal="right" vertical="center"/>
    </xf>
    <xf numFmtId="0" fontId="28" fillId="0" borderId="16" xfId="6" quotePrefix="1" applyFont="1" applyBorder="1" applyAlignment="1">
      <alignment vertical="center"/>
    </xf>
    <xf numFmtId="0" fontId="28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8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8" fillId="0" borderId="15" xfId="8" applyFont="1" applyBorder="1" applyAlignment="1">
      <alignment horizontal="center" vertical="center"/>
    </xf>
    <xf numFmtId="178" fontId="28" fillId="0" borderId="15" xfId="5" applyFont="1" applyFill="1" applyBorder="1" applyAlignment="1">
      <alignment horizontal="right" vertical="center"/>
    </xf>
    <xf numFmtId="0" fontId="28" fillId="5" borderId="15" xfId="8" applyFont="1" applyFill="1" applyBorder="1" applyAlignment="1">
      <alignment horizontal="center" vertical="center"/>
    </xf>
    <xf numFmtId="0" fontId="28" fillId="5" borderId="15" xfId="6" applyFont="1" applyFill="1" applyBorder="1" applyAlignment="1">
      <alignment vertical="center"/>
    </xf>
    <xf numFmtId="0" fontId="28" fillId="5" borderId="15" xfId="6" applyFont="1" applyFill="1" applyBorder="1" applyAlignment="1">
      <alignment horizontal="center" vertical="center"/>
    </xf>
    <xf numFmtId="178" fontId="28" fillId="5" borderId="15" xfId="5" applyFont="1" applyFill="1" applyBorder="1" applyAlignment="1">
      <alignment horizontal="right" vertical="center"/>
    </xf>
    <xf numFmtId="0" fontId="28" fillId="5" borderId="16" xfId="6" applyFont="1" applyFill="1" applyBorder="1" applyAlignment="1">
      <alignment vertical="center"/>
    </xf>
    <xf numFmtId="0" fontId="28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7" fontId="17" fillId="8" borderId="15" xfId="7" applyNumberFormat="1" applyFont="1" applyFill="1" applyBorder="1" applyAlignment="1">
      <alignment horizontal="right" vertical="center"/>
    </xf>
    <xf numFmtId="9" fontId="28" fillId="0" borderId="15" xfId="3" applyNumberFormat="1" applyFont="1" applyBorder="1" applyAlignment="1">
      <alignment horizontal="right" vertical="center"/>
    </xf>
    <xf numFmtId="1" fontId="28" fillId="0" borderId="15" xfId="9" applyNumberFormat="1" applyFont="1" applyFill="1" applyBorder="1" applyAlignment="1">
      <alignment horizontal="center" vertical="center"/>
    </xf>
    <xf numFmtId="177" fontId="17" fillId="0" borderId="15" xfId="7" applyNumberFormat="1" applyFont="1" applyFill="1" applyBorder="1" applyAlignment="1">
      <alignment horizontal="right" vertical="center"/>
    </xf>
    <xf numFmtId="0" fontId="28" fillId="0" borderId="15" xfId="3" applyFont="1" applyBorder="1" applyAlignment="1">
      <alignment vertical="center"/>
    </xf>
    <xf numFmtId="180" fontId="28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8" fillId="0" borderId="19" xfId="6" applyFont="1" applyBorder="1" applyAlignment="1">
      <alignment vertical="center"/>
    </xf>
    <xf numFmtId="0" fontId="28" fillId="0" borderId="19" xfId="6" applyFont="1" applyBorder="1" applyAlignment="1">
      <alignment horizontal="right" vertical="center"/>
    </xf>
    <xf numFmtId="0" fontId="28" fillId="0" borderId="20" xfId="6" applyFont="1" applyBorder="1" applyAlignment="1">
      <alignment vertical="center"/>
    </xf>
    <xf numFmtId="0" fontId="17" fillId="0" borderId="0" xfId="10" applyFont="1"/>
    <xf numFmtId="0" fontId="31" fillId="0" borderId="0" xfId="28" applyFont="1" applyAlignment="1">
      <alignment horizontal="right" vertical="center"/>
    </xf>
    <xf numFmtId="0" fontId="32" fillId="0" borderId="34" xfId="28" quotePrefix="1" applyFont="1" applyBorder="1" applyAlignment="1">
      <alignment horizontal="center" vertical="center"/>
    </xf>
    <xf numFmtId="0" fontId="32" fillId="0" borderId="36" xfId="28" quotePrefix="1" applyFont="1" applyBorder="1" applyAlignment="1">
      <alignment horizontal="center" vertical="center"/>
    </xf>
    <xf numFmtId="183" fontId="32" fillId="0" borderId="34" xfId="28" quotePrefix="1" applyNumberFormat="1" applyFont="1" applyBorder="1" applyAlignment="1">
      <alignment horizontal="center" vertical="center"/>
    </xf>
    <xf numFmtId="177" fontId="34" fillId="5" borderId="34" xfId="13" applyFont="1" applyFill="1" applyBorder="1" applyAlignment="1">
      <alignment vertical="center"/>
    </xf>
    <xf numFmtId="177" fontId="34" fillId="5" borderId="34" xfId="13" applyFont="1" applyFill="1" applyBorder="1" applyAlignment="1">
      <alignment horizontal="center" vertical="center"/>
    </xf>
    <xf numFmtId="186" fontId="33" fillId="10" borderId="34" xfId="13" applyNumberFormat="1" applyFont="1" applyFill="1" applyBorder="1" applyAlignment="1">
      <alignment horizontal="center" vertical="center"/>
    </xf>
    <xf numFmtId="0" fontId="33" fillId="10" borderId="34" xfId="28" applyFont="1" applyFill="1" applyBorder="1" applyAlignment="1">
      <alignment horizontal="center" vertical="center"/>
    </xf>
    <xf numFmtId="187" fontId="33" fillId="10" borderId="34" xfId="13" applyNumberFormat="1" applyFont="1" applyFill="1" applyBorder="1" applyAlignment="1">
      <alignment horizontal="center" vertical="center"/>
    </xf>
    <xf numFmtId="183" fontId="33" fillId="10" borderId="34" xfId="13" applyNumberFormat="1" applyFont="1" applyFill="1" applyBorder="1" applyAlignment="1">
      <alignment horizontal="right" vertical="center" wrapText="1"/>
    </xf>
    <xf numFmtId="183" fontId="33" fillId="10" borderId="34" xfId="13" applyNumberFormat="1" applyFont="1" applyFill="1" applyBorder="1" applyAlignment="1">
      <alignment vertical="center"/>
    </xf>
    <xf numFmtId="0" fontId="33" fillId="10" borderId="34" xfId="28" applyFont="1" applyFill="1" applyBorder="1" applyAlignment="1">
      <alignment horizontal="right" vertical="center"/>
    </xf>
    <xf numFmtId="0" fontId="30" fillId="0" borderId="0" xfId="30" applyFont="1">
      <alignment vertical="center"/>
    </xf>
    <xf numFmtId="0" fontId="35" fillId="0" borderId="0" xfId="0" applyFont="1">
      <alignment vertical="center"/>
    </xf>
    <xf numFmtId="181" fontId="26" fillId="0" borderId="0" xfId="1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9" fontId="29" fillId="0" borderId="0" xfId="0" applyNumberFormat="1" applyFont="1" applyAlignment="1">
      <alignment horizontal="center" vertical="center"/>
    </xf>
    <xf numFmtId="182" fontId="29" fillId="3" borderId="0" xfId="2" applyNumberFormat="1" applyFont="1" applyFill="1" applyAlignment="1">
      <alignment horizontal="center" vertical="center"/>
    </xf>
    <xf numFmtId="0" fontId="29" fillId="9" borderId="24" xfId="0" applyFont="1" applyFill="1" applyBorder="1">
      <alignment vertical="center"/>
    </xf>
    <xf numFmtId="0" fontId="29" fillId="9" borderId="21" xfId="0" applyFont="1" applyFill="1" applyBorder="1">
      <alignment vertical="center"/>
    </xf>
    <xf numFmtId="0" fontId="29" fillId="4" borderId="22" xfId="0" applyFont="1" applyFill="1" applyBorder="1" applyAlignment="1">
      <alignment horizontal="center" vertical="center"/>
    </xf>
    <xf numFmtId="0" fontId="29" fillId="4" borderId="6" xfId="0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177" fontId="29" fillId="4" borderId="3" xfId="4" applyFont="1" applyFill="1" applyBorder="1" applyAlignment="1">
      <alignment horizontal="center" vertical="center"/>
    </xf>
    <xf numFmtId="178" fontId="29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177" fontId="24" fillId="5" borderId="3" xfId="1" applyFont="1" applyFill="1" applyBorder="1" applyAlignment="1">
      <alignment horizontal="center" vertical="center" wrapText="1"/>
    </xf>
    <xf numFmtId="0" fontId="36" fillId="0" borderId="23" xfId="0" applyFont="1" applyBorder="1" applyAlignment="1">
      <alignment horizontal="center" vertical="center"/>
    </xf>
    <xf numFmtId="0" fontId="36" fillId="0" borderId="0" xfId="0" applyFont="1">
      <alignment vertical="center"/>
    </xf>
    <xf numFmtId="0" fontId="28" fillId="10" borderId="0" xfId="0" applyFont="1" applyFill="1">
      <alignment vertical="center"/>
    </xf>
    <xf numFmtId="0" fontId="28" fillId="0" borderId="0" xfId="0" applyFont="1">
      <alignment vertical="center"/>
    </xf>
    <xf numFmtId="177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7" fontId="17" fillId="0" borderId="0" xfId="0" applyNumberFormat="1" applyFont="1">
      <alignment vertical="center"/>
    </xf>
    <xf numFmtId="0" fontId="28" fillId="0" borderId="0" xfId="0" applyFont="1" applyAlignment="1">
      <alignment horizontal="center" vertical="center"/>
    </xf>
    <xf numFmtId="0" fontId="29" fillId="5" borderId="0" xfId="0" applyFont="1" applyFill="1">
      <alignment vertical="center"/>
    </xf>
    <xf numFmtId="184" fontId="32" fillId="10" borderId="36" xfId="13" applyNumberFormat="1" applyFont="1" applyFill="1" applyBorder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184" fontId="37" fillId="5" borderId="34" xfId="13" applyNumberFormat="1" applyFont="1" applyFill="1" applyBorder="1" applyAlignment="1">
      <alignment horizontal="center" vertical="center" wrapText="1"/>
    </xf>
    <xf numFmtId="185" fontId="31" fillId="0" borderId="0" xfId="28" applyNumberFormat="1" applyFont="1" applyAlignment="1">
      <alignment horizontal="right" vertical="center"/>
    </xf>
    <xf numFmtId="0" fontId="24" fillId="6" borderId="3" xfId="0" applyFont="1" applyFill="1" applyBorder="1" applyAlignment="1">
      <alignment horizontal="center" vertical="center"/>
    </xf>
    <xf numFmtId="49" fontId="24" fillId="7" borderId="3" xfId="0" applyNumberFormat="1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49" fontId="24" fillId="5" borderId="3" xfId="0" applyNumberFormat="1" applyFont="1" applyFill="1" applyBorder="1" applyAlignment="1">
      <alignment horizontal="center" vertical="center"/>
    </xf>
    <xf numFmtId="188" fontId="24" fillId="5" borderId="3" xfId="1" applyNumberFormat="1" applyFont="1" applyFill="1" applyBorder="1" applyAlignment="1">
      <alignment horizontal="center" vertical="center"/>
    </xf>
    <xf numFmtId="189" fontId="24" fillId="5" borderId="3" xfId="0" applyNumberFormat="1" applyFont="1" applyFill="1" applyBorder="1" applyAlignment="1">
      <alignment horizontal="right" vertical="center"/>
    </xf>
    <xf numFmtId="189" fontId="24" fillId="6" borderId="3" xfId="1" applyNumberFormat="1" applyFont="1" applyFill="1" applyBorder="1" applyAlignment="1">
      <alignment horizontal="right" vertical="center" wrapText="1"/>
    </xf>
    <xf numFmtId="189" fontId="24" fillId="5" borderId="3" xfId="1" applyNumberFormat="1" applyFont="1" applyFill="1" applyBorder="1" applyAlignment="1">
      <alignment horizontal="right" vertical="center"/>
    </xf>
    <xf numFmtId="189" fontId="24" fillId="0" borderId="3" xfId="1" applyNumberFormat="1" applyFont="1" applyFill="1" applyBorder="1" applyAlignment="1">
      <alignment horizontal="right" vertical="center" wrapText="1"/>
    </xf>
    <xf numFmtId="177" fontId="24" fillId="0" borderId="3" xfId="1" applyFont="1" applyFill="1" applyBorder="1" applyAlignment="1">
      <alignment vertical="center" wrapText="1"/>
    </xf>
    <xf numFmtId="190" fontId="24" fillId="5" borderId="3" xfId="1" applyNumberFormat="1" applyFont="1" applyFill="1" applyBorder="1" applyAlignment="1">
      <alignment vertical="center"/>
    </xf>
    <xf numFmtId="0" fontId="24" fillId="0" borderId="23" xfId="0" applyFont="1" applyBorder="1">
      <alignment vertical="center"/>
    </xf>
    <xf numFmtId="49" fontId="24" fillId="7" borderId="3" xfId="0" applyNumberFormat="1" applyFont="1" applyFill="1" applyBorder="1" applyAlignment="1">
      <alignment horizontal="center" vertical="center" wrapText="1"/>
    </xf>
    <xf numFmtId="189" fontId="24" fillId="5" borderId="3" xfId="0" applyNumberFormat="1" applyFont="1" applyFill="1" applyBorder="1" applyAlignment="1">
      <alignment horizontal="right" vertical="center" wrapText="1"/>
    </xf>
    <xf numFmtId="177" fontId="24" fillId="5" borderId="3" xfId="1" applyFont="1" applyFill="1" applyBorder="1" applyAlignment="1">
      <alignment vertical="center" wrapText="1"/>
    </xf>
    <xf numFmtId="0" fontId="36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 wrapText="1"/>
    </xf>
    <xf numFmtId="189" fontId="24" fillId="5" borderId="3" xfId="1" applyNumberFormat="1" applyFont="1" applyFill="1" applyBorder="1" applyAlignment="1">
      <alignment horizontal="right" vertical="center" wrapText="1"/>
    </xf>
    <xf numFmtId="0" fontId="24" fillId="6" borderId="3" xfId="0" applyFont="1" applyFill="1" applyBorder="1">
      <alignment vertical="center"/>
    </xf>
    <xf numFmtId="49" fontId="29" fillId="7" borderId="3" xfId="0" applyNumberFormat="1" applyFont="1" applyFill="1" applyBorder="1" applyAlignment="1">
      <alignment vertical="center" wrapText="1"/>
    </xf>
    <xf numFmtId="0" fontId="24" fillId="7" borderId="3" xfId="0" applyFont="1" applyFill="1" applyBorder="1">
      <alignment vertical="center"/>
    </xf>
    <xf numFmtId="49" fontId="24" fillId="7" borderId="3" xfId="0" applyNumberFormat="1" applyFont="1" applyFill="1" applyBorder="1" applyAlignment="1">
      <alignment vertical="center" wrapText="1"/>
    </xf>
    <xf numFmtId="49" fontId="24" fillId="5" borderId="3" xfId="1" applyNumberFormat="1" applyFont="1" applyFill="1" applyBorder="1" applyAlignment="1">
      <alignment horizontal="center" vertical="center"/>
    </xf>
    <xf numFmtId="184" fontId="29" fillId="5" borderId="34" xfId="13" applyNumberFormat="1" applyFont="1" applyFill="1" applyBorder="1" applyAlignment="1">
      <alignment vertical="center"/>
    </xf>
    <xf numFmtId="184" fontId="36" fillId="5" borderId="34" xfId="13" applyNumberFormat="1" applyFont="1" applyFill="1" applyBorder="1" applyAlignment="1">
      <alignment horizontal="center" vertical="center"/>
    </xf>
    <xf numFmtId="0" fontId="36" fillId="5" borderId="34" xfId="28" applyFont="1" applyFill="1" applyBorder="1" applyAlignment="1">
      <alignment horizontal="center" vertical="center"/>
    </xf>
    <xf numFmtId="185" fontId="36" fillId="5" borderId="34" xfId="13" applyNumberFormat="1" applyFont="1" applyFill="1" applyBorder="1" applyAlignment="1">
      <alignment horizontal="center" vertical="center"/>
    </xf>
    <xf numFmtId="183" fontId="36" fillId="5" borderId="34" xfId="13" applyNumberFormat="1" applyFont="1" applyFill="1" applyBorder="1" applyAlignment="1">
      <alignment horizontal="right" vertical="center" wrapText="1"/>
    </xf>
    <xf numFmtId="177" fontId="36" fillId="5" borderId="34" xfId="13" applyFont="1" applyFill="1" applyBorder="1" applyAlignment="1">
      <alignment vertical="center"/>
    </xf>
    <xf numFmtId="177" fontId="36" fillId="5" borderId="34" xfId="13" applyFont="1" applyFill="1" applyBorder="1">
      <alignment vertical="center"/>
    </xf>
    <xf numFmtId="183" fontId="36" fillId="5" borderId="34" xfId="28" applyNumberFormat="1" applyFont="1" applyFill="1" applyBorder="1" applyAlignment="1">
      <alignment horizontal="left" vertical="center" wrapText="1"/>
    </xf>
    <xf numFmtId="177" fontId="36" fillId="5" borderId="34" xfId="13" applyFont="1" applyFill="1" applyBorder="1" applyAlignment="1">
      <alignment horizontal="center" vertical="center"/>
    </xf>
    <xf numFmtId="0" fontId="39" fillId="0" borderId="0" xfId="28" applyFont="1" applyAlignment="1">
      <alignment horizontal="right" vertical="center"/>
    </xf>
    <xf numFmtId="0" fontId="29" fillId="5" borderId="34" xfId="3" applyFont="1" applyFill="1" applyBorder="1" applyAlignment="1">
      <alignment vertical="center"/>
    </xf>
    <xf numFmtId="0" fontId="36" fillId="0" borderId="34" xfId="3" applyFont="1" applyBorder="1" applyAlignment="1">
      <alignment horizontal="center" vertical="center"/>
    </xf>
    <xf numFmtId="177" fontId="36" fillId="0" borderId="34" xfId="13" applyFont="1" applyFill="1" applyBorder="1" applyAlignment="1">
      <alignment horizontal="center" vertical="center"/>
    </xf>
    <xf numFmtId="178" fontId="36" fillId="0" borderId="34" xfId="5" applyFont="1" applyFill="1" applyBorder="1" applyAlignment="1">
      <alignment vertical="center"/>
    </xf>
    <xf numFmtId="177" fontId="36" fillId="0" borderId="34" xfId="13" applyFont="1" applyFill="1" applyBorder="1" applyAlignment="1">
      <alignment vertical="center"/>
    </xf>
    <xf numFmtId="0" fontId="24" fillId="5" borderId="34" xfId="3" applyFont="1" applyFill="1" applyBorder="1" applyAlignment="1">
      <alignment vertical="center"/>
    </xf>
    <xf numFmtId="178" fontId="36" fillId="5" borderId="34" xfId="5" applyFont="1" applyFill="1" applyBorder="1" applyAlignment="1">
      <alignment vertical="center"/>
    </xf>
    <xf numFmtId="0" fontId="36" fillId="5" borderId="34" xfId="3" applyFont="1" applyFill="1" applyBorder="1" applyAlignment="1">
      <alignment horizontal="center" vertical="center"/>
    </xf>
    <xf numFmtId="0" fontId="36" fillId="5" borderId="34" xfId="29" applyNumberFormat="1" applyFont="1" applyFill="1" applyBorder="1" applyAlignment="1">
      <alignment horizontal="center" vertical="center"/>
    </xf>
    <xf numFmtId="0" fontId="29" fillId="10" borderId="34" xfId="3" applyFont="1" applyFill="1" applyBorder="1" applyAlignment="1">
      <alignment vertical="center"/>
    </xf>
    <xf numFmtId="191" fontId="24" fillId="0" borderId="1" xfId="1" applyNumberFormat="1" applyFont="1" applyBorder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7" fillId="0" borderId="0" xfId="6" applyFont="1" applyAlignment="1">
      <alignment vertical="center"/>
    </xf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9" borderId="4" xfId="0" applyFont="1" applyFill="1" applyBorder="1" applyAlignment="1">
      <alignment horizontal="center" vertical="center"/>
    </xf>
    <xf numFmtId="177" fontId="29" fillId="4" borderId="21" xfId="4" applyFont="1" applyFill="1" applyBorder="1" applyAlignment="1">
      <alignment horizontal="center" vertical="center"/>
    </xf>
    <xf numFmtId="178" fontId="29" fillId="4" borderId="21" xfId="5" applyFont="1" applyFill="1" applyBorder="1" applyAlignment="1">
      <alignment horizontal="center" vertical="center"/>
    </xf>
    <xf numFmtId="0" fontId="29" fillId="4" borderId="21" xfId="0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/>
    </xf>
    <xf numFmtId="0" fontId="29" fillId="4" borderId="21" xfId="3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184" fontId="32" fillId="5" borderId="36" xfId="13" applyNumberFormat="1" applyFont="1" applyFill="1" applyBorder="1" applyAlignment="1">
      <alignment vertical="center"/>
    </xf>
    <xf numFmtId="184" fontId="33" fillId="5" borderId="38" xfId="13" applyNumberFormat="1" applyFont="1" applyFill="1" applyBorder="1" applyAlignment="1">
      <alignment vertical="center"/>
    </xf>
    <xf numFmtId="0" fontId="38" fillId="0" borderId="33" xfId="19" applyFont="1" applyBorder="1" applyAlignment="1">
      <alignment horizontal="center" vertical="center"/>
    </xf>
    <xf numFmtId="0" fontId="32" fillId="0" borderId="34" xfId="28" quotePrefix="1" applyFont="1" applyBorder="1" applyAlignment="1">
      <alignment horizontal="center" vertical="center"/>
    </xf>
    <xf numFmtId="0" fontId="32" fillId="0" borderId="35" xfId="28" quotePrefix="1" applyFont="1" applyBorder="1" applyAlignment="1">
      <alignment horizontal="center" vertical="center"/>
    </xf>
    <xf numFmtId="0" fontId="32" fillId="0" borderId="39" xfId="28" quotePrefix="1" applyFont="1" applyBorder="1" applyAlignment="1">
      <alignment horizontal="center" vertical="center"/>
    </xf>
    <xf numFmtId="0" fontId="32" fillId="0" borderId="34" xfId="28" applyFont="1" applyBorder="1" applyAlignment="1">
      <alignment horizontal="center" vertical="center"/>
    </xf>
    <xf numFmtId="0" fontId="32" fillId="0" borderId="36" xfId="28" quotePrefix="1" applyFont="1" applyBorder="1" applyAlignment="1">
      <alignment horizontal="center" vertical="center"/>
    </xf>
    <xf numFmtId="0" fontId="32" fillId="0" borderId="37" xfId="28" quotePrefix="1" applyFont="1" applyBorder="1" applyAlignment="1">
      <alignment horizontal="center" vertical="center"/>
    </xf>
    <xf numFmtId="0" fontId="32" fillId="0" borderId="36" xfId="28" applyFont="1" applyBorder="1" applyAlignment="1">
      <alignment horizontal="center" vertical="center"/>
    </xf>
    <xf numFmtId="0" fontId="32" fillId="0" borderId="38" xfId="28" quotePrefix="1" applyFont="1" applyBorder="1" applyAlignment="1">
      <alignment horizontal="center" vertical="center"/>
    </xf>
  </cellXfs>
  <cellStyles count="31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5" zoomScale="85" zoomScaleNormal="85" workbookViewId="0">
      <selection activeCell="L24" sqref="L24"/>
    </sheetView>
  </sheetViews>
  <sheetFormatPr defaultColWidth="9" defaultRowHeight="13.5" x14ac:dyDescent="0.2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 x14ac:dyDescent="0.25">
      <c r="A2" s="158" t="s">
        <v>6</v>
      </c>
      <c r="B2" s="158"/>
      <c r="C2" s="158"/>
      <c r="D2" s="158"/>
      <c r="E2" s="158"/>
      <c r="F2" s="158"/>
      <c r="G2" s="158"/>
      <c r="H2" s="2"/>
    </row>
    <row r="3" spans="1:9" ht="14.25" x14ac:dyDescent="0.25">
      <c r="A3" s="5"/>
      <c r="B3" s="5"/>
      <c r="C3" s="5"/>
      <c r="D3" s="5"/>
      <c r="E3" s="5"/>
      <c r="F3" s="5"/>
      <c r="G3" s="5"/>
      <c r="H3" s="5"/>
    </row>
    <row r="4" spans="1:9" ht="14.25" x14ac:dyDescent="0.25">
      <c r="A4" s="5"/>
      <c r="B4" s="5"/>
      <c r="C4" s="5"/>
      <c r="D4" s="5"/>
      <c r="E4" s="5"/>
      <c r="H4" s="5"/>
    </row>
    <row r="5" spans="1:9" ht="27" customHeight="1" x14ac:dyDescent="0.25">
      <c r="A5" s="6" t="s">
        <v>48</v>
      </c>
      <c r="B5" s="7"/>
      <c r="C5" s="8"/>
      <c r="D5" s="5"/>
      <c r="E5" s="5"/>
      <c r="F5" s="9" t="s">
        <v>38</v>
      </c>
      <c r="G5" s="10" t="s">
        <v>52</v>
      </c>
      <c r="H5" s="5"/>
    </row>
    <row r="6" spans="1:9" ht="27" customHeight="1" x14ac:dyDescent="0.25">
      <c r="A6" s="5"/>
      <c r="B6" s="5"/>
      <c r="C6" s="5"/>
      <c r="D6" s="5"/>
      <c r="E6" s="5"/>
      <c r="F6" s="11" t="s">
        <v>41</v>
      </c>
      <c r="G6" s="12" t="s">
        <v>53</v>
      </c>
      <c r="H6" s="5"/>
    </row>
    <row r="7" spans="1:9" ht="27" customHeight="1" x14ac:dyDescent="0.25">
      <c r="A7" s="164" t="s">
        <v>139</v>
      </c>
      <c r="B7" s="165"/>
      <c r="C7" s="166"/>
      <c r="D7" s="5"/>
      <c r="E7" s="13"/>
      <c r="F7" s="14" t="s">
        <v>42</v>
      </c>
      <c r="G7" s="12" t="s">
        <v>54</v>
      </c>
      <c r="H7" s="5"/>
    </row>
    <row r="8" spans="1:9" ht="27" customHeight="1" x14ac:dyDescent="0.25">
      <c r="A8" s="5"/>
      <c r="B8" s="5"/>
      <c r="C8" s="5"/>
      <c r="D8" s="5"/>
      <c r="E8" s="5"/>
      <c r="F8" s="11" t="s">
        <v>43</v>
      </c>
      <c r="G8" s="12" t="s">
        <v>55</v>
      </c>
      <c r="H8" s="5"/>
    </row>
    <row r="9" spans="1:9" ht="27" customHeight="1" x14ac:dyDescent="0.25">
      <c r="A9" s="161" t="s">
        <v>140</v>
      </c>
      <c r="B9" s="162"/>
      <c r="C9" s="163"/>
      <c r="D9" s="5"/>
      <c r="E9" s="5"/>
      <c r="F9" s="11" t="s">
        <v>44</v>
      </c>
      <c r="G9" s="12" t="s">
        <v>56</v>
      </c>
      <c r="H9" s="5"/>
    </row>
    <row r="10" spans="1:9" ht="27" customHeight="1" x14ac:dyDescent="0.25">
      <c r="A10" s="5"/>
      <c r="B10" s="5"/>
      <c r="C10" s="5"/>
      <c r="D10" s="5"/>
      <c r="E10" s="5"/>
      <c r="F10" s="15" t="s">
        <v>39</v>
      </c>
      <c r="G10" s="16" t="s">
        <v>57</v>
      </c>
      <c r="H10" s="5"/>
      <c r="I10" s="5"/>
    </row>
    <row r="11" spans="1:9" ht="27" customHeight="1" x14ac:dyDescent="0.25">
      <c r="A11" s="159"/>
      <c r="B11" s="160"/>
      <c r="C11" s="160"/>
      <c r="D11" s="5"/>
      <c r="E11" s="17"/>
      <c r="F11" s="18" t="s">
        <v>40</v>
      </c>
      <c r="G11" s="19" t="s">
        <v>58</v>
      </c>
      <c r="H11" s="17"/>
    </row>
    <row r="12" spans="1:9" ht="18.75" thickBot="1" x14ac:dyDescent="0.3">
      <c r="A12" s="20" t="s">
        <v>7</v>
      </c>
      <c r="B12" s="20" t="str">
        <f>NUMBERSTRING(F31,1)</f>
        <v>삼백오만육천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 x14ac:dyDescent="0.3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 x14ac:dyDescent="0.3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 x14ac:dyDescent="0.25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 x14ac:dyDescent="0.25">
      <c r="A16" s="32"/>
      <c r="B16" s="33" t="s">
        <v>18</v>
      </c>
      <c r="C16" s="34"/>
      <c r="D16" s="35"/>
      <c r="E16" s="35"/>
      <c r="F16" s="36">
        <f>'내역서(표준단가)'!O12</f>
        <v>753654.3</v>
      </c>
      <c r="G16" s="37"/>
    </row>
    <row r="17" spans="1:9" ht="33" customHeight="1" x14ac:dyDescent="0.25">
      <c r="A17" s="32"/>
      <c r="B17" s="33" t="s">
        <v>19</v>
      </c>
      <c r="C17" s="34"/>
      <c r="D17" s="35"/>
      <c r="E17" s="35"/>
      <c r="F17" s="36">
        <f>'내역서(표준단가)'!Q12</f>
        <v>1867366.6428949998</v>
      </c>
      <c r="G17" s="38"/>
      <c r="H17" s="4"/>
      <c r="I17" s="4"/>
    </row>
    <row r="18" spans="1:9" ht="33" customHeight="1" x14ac:dyDescent="0.25">
      <c r="A18" s="32"/>
      <c r="B18" s="33" t="s">
        <v>20</v>
      </c>
      <c r="C18" s="34"/>
      <c r="D18" s="35"/>
      <c r="E18" s="35"/>
      <c r="F18" s="36">
        <f>'내역서(표준단가)'!S12+'내역서(표준단가)'!U12</f>
        <v>0</v>
      </c>
      <c r="G18" s="38"/>
      <c r="H18" s="4"/>
      <c r="I18" s="4"/>
    </row>
    <row r="19" spans="1:9" ht="33" customHeight="1" x14ac:dyDescent="0.25">
      <c r="A19" s="32"/>
      <c r="B19" s="39" t="s">
        <v>21</v>
      </c>
      <c r="C19" s="39"/>
      <c r="D19" s="40"/>
      <c r="E19" s="40"/>
      <c r="F19" s="41">
        <f>F16+F17+F18</f>
        <v>2621020.9428949999</v>
      </c>
      <c r="G19" s="38"/>
      <c r="H19" s="4"/>
      <c r="I19" s="4"/>
    </row>
    <row r="20" spans="1:9" ht="33" customHeight="1" x14ac:dyDescent="0.25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 x14ac:dyDescent="0.25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84031.498930274989</v>
      </c>
      <c r="G21" s="38" t="s">
        <v>26</v>
      </c>
      <c r="H21" s="4"/>
      <c r="I21" s="4"/>
    </row>
    <row r="22" spans="1:9" ht="33" customHeight="1" x14ac:dyDescent="0.25">
      <c r="A22" s="32"/>
      <c r="B22" s="47" t="s">
        <v>27</v>
      </c>
      <c r="C22" s="48" t="s">
        <v>49</v>
      </c>
      <c r="D22" s="49">
        <v>1</v>
      </c>
      <c r="E22" s="49" t="s">
        <v>25</v>
      </c>
      <c r="F22" s="50">
        <f>F17*3.545%</f>
        <v>66198.147490627744</v>
      </c>
      <c r="G22" s="51" t="s">
        <v>28</v>
      </c>
      <c r="H22" s="4"/>
      <c r="I22" s="4"/>
    </row>
    <row r="23" spans="1:9" ht="33" customHeight="1" x14ac:dyDescent="0.25">
      <c r="A23" s="32"/>
      <c r="B23" s="45" t="s">
        <v>29</v>
      </c>
      <c r="C23" s="43" t="s">
        <v>50</v>
      </c>
      <c r="D23" s="33">
        <v>1</v>
      </c>
      <c r="E23" s="33" t="s">
        <v>25</v>
      </c>
      <c r="F23" s="46">
        <f>F22*12.95%</f>
        <v>8572.6601000362934</v>
      </c>
      <c r="G23" s="38" t="s">
        <v>28</v>
      </c>
      <c r="H23" s="4"/>
      <c r="I23" s="4"/>
    </row>
    <row r="24" spans="1:9" ht="33" customHeight="1" x14ac:dyDescent="0.25">
      <c r="A24" s="32"/>
      <c r="B24" s="45" t="s">
        <v>30</v>
      </c>
      <c r="C24" s="43" t="s">
        <v>46</v>
      </c>
      <c r="D24" s="33">
        <v>1</v>
      </c>
      <c r="E24" s="33" t="s">
        <v>25</v>
      </c>
      <c r="F24" s="46">
        <f>F17*1.01%</f>
        <v>18860.403093239496</v>
      </c>
      <c r="G24" s="38" t="s">
        <v>28</v>
      </c>
      <c r="H24" s="4"/>
      <c r="I24" s="4"/>
    </row>
    <row r="25" spans="1:9" ht="33" customHeight="1" x14ac:dyDescent="0.25">
      <c r="A25" s="32"/>
      <c r="B25" s="45" t="s">
        <v>31</v>
      </c>
      <c r="C25" s="43" t="s">
        <v>51</v>
      </c>
      <c r="D25" s="33">
        <v>1</v>
      </c>
      <c r="E25" s="33" t="s">
        <v>25</v>
      </c>
      <c r="F25" s="46">
        <f>F17*3.56%</f>
        <v>66478.252487061996</v>
      </c>
      <c r="G25" s="38" t="s">
        <v>28</v>
      </c>
      <c r="H25" s="4"/>
      <c r="I25" s="4"/>
    </row>
    <row r="26" spans="1:9" ht="33" customHeight="1" x14ac:dyDescent="0.25">
      <c r="A26" s="32"/>
      <c r="B26" s="45" t="s">
        <v>32</v>
      </c>
      <c r="C26" s="52" t="s">
        <v>141</v>
      </c>
      <c r="D26" s="33">
        <v>1</v>
      </c>
      <c r="E26" s="33" t="s">
        <v>25</v>
      </c>
      <c r="F26" s="46">
        <f>(F16+F17)*3.11%</f>
        <v>81513.7513240345</v>
      </c>
      <c r="G26" s="38" t="s">
        <v>26</v>
      </c>
      <c r="H26" s="4"/>
      <c r="I26" s="4"/>
    </row>
    <row r="27" spans="1:9" ht="33" customHeight="1" x14ac:dyDescent="0.25">
      <c r="A27" s="32"/>
      <c r="B27" s="45" t="s">
        <v>36</v>
      </c>
      <c r="C27" s="52" t="s">
        <v>37</v>
      </c>
      <c r="D27" s="33">
        <v>1</v>
      </c>
      <c r="E27" s="33" t="s">
        <v>25</v>
      </c>
      <c r="F27" s="46">
        <f>SUM(F17+F21+F22+F23+F24+F25+F26)*5%</f>
        <v>109651.06781601373</v>
      </c>
      <c r="G27" s="38"/>
      <c r="H27" s="4"/>
      <c r="I27" s="4"/>
    </row>
    <row r="28" spans="1:9" ht="33" customHeight="1" x14ac:dyDescent="0.25">
      <c r="A28" s="32"/>
      <c r="B28" s="39" t="s">
        <v>33</v>
      </c>
      <c r="C28" s="53"/>
      <c r="D28" s="54"/>
      <c r="E28" s="40"/>
      <c r="F28" s="55">
        <f>F21+F22+F23+F24+F25+F26+F27</f>
        <v>435305.78124128876</v>
      </c>
      <c r="G28" s="38"/>
      <c r="H28" s="4"/>
      <c r="I28" s="4"/>
    </row>
    <row r="29" spans="1:9" ht="33" customHeight="1" x14ac:dyDescent="0.25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 x14ac:dyDescent="0.25">
      <c r="A30" s="32"/>
      <c r="B30" s="59"/>
      <c r="C30" s="56"/>
      <c r="D30" s="57"/>
      <c r="E30" s="35"/>
      <c r="F30" s="60">
        <f>F19+F28+F29</f>
        <v>3056326.7241362887</v>
      </c>
      <c r="G30" s="38"/>
      <c r="H30" s="4"/>
      <c r="I30" s="4"/>
    </row>
    <row r="31" spans="1:9" ht="33" customHeight="1" x14ac:dyDescent="0.25">
      <c r="A31" s="32"/>
      <c r="B31" s="39" t="s">
        <v>34</v>
      </c>
      <c r="C31" s="39"/>
      <c r="D31" s="40"/>
      <c r="E31" s="40"/>
      <c r="F31" s="61">
        <f>ROUNDDOWN(F30,-3)</f>
        <v>3056000</v>
      </c>
      <c r="G31" s="38"/>
      <c r="H31" s="4"/>
      <c r="I31" s="4"/>
    </row>
    <row r="32" spans="1:9" ht="33" customHeight="1" thickBot="1" x14ac:dyDescent="0.3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 x14ac:dyDescent="0.25">
      <c r="B33" s="67"/>
    </row>
    <row r="34" spans="2:2" s="4" customFormat="1" ht="15.75" x14ac:dyDescent="0.25">
      <c r="B34" s="67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8"/>
  <sheetViews>
    <sheetView showGridLines="0" zoomScale="90" zoomScaleNormal="90" workbookViewId="0">
      <selection activeCell="J33" sqref="J33"/>
    </sheetView>
  </sheetViews>
  <sheetFormatPr defaultColWidth="9" defaultRowHeight="12.75" x14ac:dyDescent="0.3"/>
  <cols>
    <col min="1" max="1" width="17.5" style="106" bestFit="1" customWidth="1"/>
    <col min="2" max="5" width="18.5" style="106" hidden="1" customWidth="1"/>
    <col min="6" max="9" width="15.625" style="84" hidden="1" customWidth="1"/>
    <col min="10" max="10" width="37.625" style="84" bestFit="1" customWidth="1"/>
    <col min="11" max="11" width="25" style="84" bestFit="1" customWidth="1"/>
    <col min="12" max="12" width="9.625" style="84" bestFit="1" customWidth="1"/>
    <col min="13" max="13" width="7.125" style="84" bestFit="1" customWidth="1"/>
    <col min="14" max="14" width="10.25" style="84" bestFit="1" customWidth="1"/>
    <col min="15" max="15" width="13.125" style="84" bestFit="1" customWidth="1"/>
    <col min="16" max="16" width="7.125" style="84" bestFit="1" customWidth="1"/>
    <col min="17" max="17" width="15.5" style="84" bestFit="1" customWidth="1"/>
    <col min="18" max="18" width="10.25" style="84" customWidth="1"/>
    <col min="19" max="19" width="11.75" style="84" customWidth="1"/>
    <col min="20" max="20" width="10" style="84" customWidth="1"/>
    <col min="21" max="21" width="11.75" style="84" customWidth="1"/>
    <col min="22" max="22" width="15.5" style="84" bestFit="1" customWidth="1"/>
    <col min="23" max="23" width="10.625" style="85" bestFit="1" customWidth="1"/>
    <col min="24" max="24" width="8.5" style="84" bestFit="1" customWidth="1"/>
    <col min="25" max="16384" width="9" style="84"/>
  </cols>
  <sheetData>
    <row r="1" spans="1:24" ht="19.899999999999999" customHeight="1" x14ac:dyDescent="0.3">
      <c r="A1" s="167"/>
      <c r="B1" s="167"/>
      <c r="C1" s="167"/>
      <c r="D1" s="167"/>
      <c r="E1" s="167"/>
      <c r="F1" s="167"/>
      <c r="G1" s="167"/>
      <c r="H1" s="167"/>
      <c r="I1" s="167"/>
      <c r="N1" s="85"/>
      <c r="O1" s="83" t="s">
        <v>84</v>
      </c>
      <c r="Q1" s="83" t="s">
        <v>84</v>
      </c>
      <c r="S1" s="83" t="s">
        <v>84</v>
      </c>
      <c r="U1" s="83" t="s">
        <v>84</v>
      </c>
    </row>
    <row r="2" spans="1:24" ht="19.899999999999999" customHeight="1" thickBot="1" x14ac:dyDescent="0.35">
      <c r="A2" s="167"/>
      <c r="B2" s="167"/>
      <c r="C2" s="167"/>
      <c r="D2" s="167"/>
      <c r="E2" s="167"/>
      <c r="F2" s="167"/>
      <c r="G2" s="167"/>
      <c r="H2" s="167"/>
      <c r="I2" s="167"/>
      <c r="N2" s="86"/>
      <c r="O2" s="87">
        <v>0.83499999999999996</v>
      </c>
      <c r="Q2" s="87">
        <v>0.83499999999999996</v>
      </c>
      <c r="S2" s="87">
        <v>0.83499999999999996</v>
      </c>
      <c r="U2" s="87">
        <v>0.83499999999999996</v>
      </c>
    </row>
    <row r="3" spans="1:24" ht="19.899999999999999" customHeight="1" x14ac:dyDescent="0.3">
      <c r="A3" s="88"/>
      <c r="B3" s="88"/>
      <c r="C3" s="88"/>
      <c r="D3" s="88"/>
      <c r="E3" s="88"/>
      <c r="F3" s="88" t="s">
        <v>85</v>
      </c>
      <c r="G3" s="89"/>
      <c r="H3" s="89"/>
      <c r="I3" s="89"/>
      <c r="J3" s="176" t="s">
        <v>86</v>
      </c>
      <c r="K3" s="176"/>
      <c r="L3" s="176" t="s">
        <v>47</v>
      </c>
      <c r="M3" s="176" t="s">
        <v>5</v>
      </c>
      <c r="N3" s="172" t="s">
        <v>87</v>
      </c>
      <c r="O3" s="172"/>
      <c r="P3" s="172" t="s">
        <v>88</v>
      </c>
      <c r="Q3" s="172"/>
      <c r="R3" s="173" t="s">
        <v>89</v>
      </c>
      <c r="S3" s="173"/>
      <c r="T3" s="173" t="s">
        <v>90</v>
      </c>
      <c r="U3" s="173"/>
      <c r="V3" s="174" t="s">
        <v>91</v>
      </c>
      <c r="W3" s="170" t="s">
        <v>92</v>
      </c>
      <c r="X3" s="168" t="s">
        <v>45</v>
      </c>
    </row>
    <row r="4" spans="1:24" ht="19.899999999999999" customHeight="1" x14ac:dyDescent="0.3">
      <c r="A4" s="90" t="s">
        <v>93</v>
      </c>
      <c r="B4" s="91"/>
      <c r="C4" s="91"/>
      <c r="D4" s="91"/>
      <c r="E4" s="91"/>
      <c r="F4" s="92" t="s">
        <v>94</v>
      </c>
      <c r="G4" s="92" t="s">
        <v>95</v>
      </c>
      <c r="H4" s="92" t="s">
        <v>96</v>
      </c>
      <c r="I4" s="92" t="s">
        <v>97</v>
      </c>
      <c r="J4" s="93" t="s">
        <v>98</v>
      </c>
      <c r="K4" s="93" t="s">
        <v>99</v>
      </c>
      <c r="L4" s="177"/>
      <c r="M4" s="177"/>
      <c r="N4" s="94" t="s">
        <v>100</v>
      </c>
      <c r="O4" s="95" t="s">
        <v>101</v>
      </c>
      <c r="P4" s="94" t="s">
        <v>102</v>
      </c>
      <c r="Q4" s="95" t="s">
        <v>101</v>
      </c>
      <c r="R4" s="95" t="s">
        <v>103</v>
      </c>
      <c r="S4" s="95" t="s">
        <v>101</v>
      </c>
      <c r="T4" s="95" t="s">
        <v>103</v>
      </c>
      <c r="U4" s="95" t="s">
        <v>101</v>
      </c>
      <c r="V4" s="175"/>
      <c r="W4" s="171"/>
      <c r="X4" s="169"/>
    </row>
    <row r="5" spans="1:24" s="99" customFormat="1" ht="38.1" customHeight="1" x14ac:dyDescent="0.3">
      <c r="A5" s="96" t="str">
        <f t="shared" ref="A5:A11" si="0">F5&amp;G5&amp;H5&amp;I5</f>
        <v>E00000801011510201</v>
      </c>
      <c r="B5" s="113"/>
      <c r="C5" s="113"/>
      <c r="D5" s="113"/>
      <c r="E5" s="113"/>
      <c r="F5" s="114"/>
      <c r="G5" s="115" t="s">
        <v>104</v>
      </c>
      <c r="H5" s="115"/>
      <c r="I5" s="114"/>
      <c r="J5" s="116" t="s">
        <v>105</v>
      </c>
      <c r="K5" s="116" t="s">
        <v>142</v>
      </c>
      <c r="L5" s="117" t="s">
        <v>106</v>
      </c>
      <c r="M5" s="118">
        <v>10</v>
      </c>
      <c r="N5" s="119"/>
      <c r="O5" s="120">
        <f t="shared" ref="O5:O11" si="1">SUM(N5:N5)*M5*$O$2</f>
        <v>0</v>
      </c>
      <c r="P5" s="121">
        <v>21520</v>
      </c>
      <c r="Q5" s="120">
        <f t="shared" ref="Q5:Q10" si="2">(P5*M5)*$Q$2</f>
        <v>179692</v>
      </c>
      <c r="R5" s="122"/>
      <c r="S5" s="120">
        <f t="shared" ref="S5:S10" si="3">R5*M5*$S$2</f>
        <v>0</v>
      </c>
      <c r="T5" s="122"/>
      <c r="U5" s="120">
        <f t="shared" ref="U5:U11" si="4">T5*M5*$U$2</f>
        <v>0</v>
      </c>
      <c r="V5" s="123">
        <f t="shared" ref="V5:V11" si="5">SUM(O5+Q5)+S5+U5</f>
        <v>179692</v>
      </c>
      <c r="W5" s="124"/>
      <c r="X5" s="125"/>
    </row>
    <row r="6" spans="1:24" s="99" customFormat="1" ht="38.1" customHeight="1" x14ac:dyDescent="0.3">
      <c r="A6" s="96" t="str">
        <f t="shared" si="0"/>
        <v>M020750510120102</v>
      </c>
      <c r="B6" s="113"/>
      <c r="C6" s="113"/>
      <c r="D6" s="113"/>
      <c r="E6" s="113"/>
      <c r="F6" s="126"/>
      <c r="G6" s="92"/>
      <c r="H6" s="115" t="s">
        <v>107</v>
      </c>
      <c r="I6" s="92"/>
      <c r="J6" s="116" t="s">
        <v>108</v>
      </c>
      <c r="K6" s="116" t="s">
        <v>109</v>
      </c>
      <c r="L6" s="117" t="s">
        <v>110</v>
      </c>
      <c r="M6" s="118">
        <v>43</v>
      </c>
      <c r="N6" s="121">
        <v>6400</v>
      </c>
      <c r="O6" s="120">
        <f t="shared" si="1"/>
        <v>229792</v>
      </c>
      <c r="P6" s="127"/>
      <c r="Q6" s="120">
        <f t="shared" si="2"/>
        <v>0</v>
      </c>
      <c r="R6" s="122"/>
      <c r="S6" s="120">
        <f t="shared" si="3"/>
        <v>0</v>
      </c>
      <c r="T6" s="122"/>
      <c r="U6" s="120">
        <f t="shared" si="4"/>
        <v>0</v>
      </c>
      <c r="V6" s="128">
        <f t="shared" si="5"/>
        <v>229792</v>
      </c>
      <c r="W6" s="124"/>
      <c r="X6" s="125"/>
    </row>
    <row r="7" spans="1:24" s="99" customFormat="1" ht="38.1" customHeight="1" x14ac:dyDescent="0.3">
      <c r="A7" s="96" t="str">
        <f t="shared" si="0"/>
        <v>E00000803066520103</v>
      </c>
      <c r="B7" s="113"/>
      <c r="C7" s="113"/>
      <c r="D7" s="113"/>
      <c r="E7" s="113"/>
      <c r="F7" s="114"/>
      <c r="G7" s="129" t="s">
        <v>111</v>
      </c>
      <c r="H7" s="115"/>
      <c r="I7" s="114"/>
      <c r="J7" s="116" t="s">
        <v>112</v>
      </c>
      <c r="K7" s="116" t="s">
        <v>138</v>
      </c>
      <c r="L7" s="130" t="s">
        <v>113</v>
      </c>
      <c r="M7" s="118">
        <v>2.8666999999999998</v>
      </c>
      <c r="N7" s="131"/>
      <c r="O7" s="120">
        <f t="shared" si="1"/>
        <v>0</v>
      </c>
      <c r="P7" s="121">
        <v>652621</v>
      </c>
      <c r="Q7" s="120">
        <f t="shared" si="2"/>
        <v>1562175.2982844999</v>
      </c>
      <c r="R7" s="122"/>
      <c r="S7" s="120">
        <f t="shared" si="3"/>
        <v>0</v>
      </c>
      <c r="T7" s="122"/>
      <c r="U7" s="120">
        <f t="shared" si="4"/>
        <v>0</v>
      </c>
      <c r="V7" s="123">
        <f t="shared" si="5"/>
        <v>1562175.2982844999</v>
      </c>
      <c r="W7" s="124"/>
      <c r="X7" s="125"/>
    </row>
    <row r="8" spans="1:24" s="99" customFormat="1" ht="38.1" customHeight="1" x14ac:dyDescent="0.3">
      <c r="A8" s="96" t="str">
        <f t="shared" si="0"/>
        <v>M020531910380101</v>
      </c>
      <c r="B8" s="113"/>
      <c r="C8" s="113"/>
      <c r="D8" s="113"/>
      <c r="E8" s="113"/>
      <c r="F8" s="126"/>
      <c r="G8" s="92"/>
      <c r="H8" s="115" t="s">
        <v>114</v>
      </c>
      <c r="I8" s="92"/>
      <c r="J8" s="116" t="s">
        <v>115</v>
      </c>
      <c r="K8" s="116" t="s">
        <v>116</v>
      </c>
      <c r="L8" s="117" t="s">
        <v>60</v>
      </c>
      <c r="M8" s="118">
        <v>38</v>
      </c>
      <c r="N8" s="131">
        <v>3510</v>
      </c>
      <c r="O8" s="120">
        <f t="shared" si="1"/>
        <v>111372.29999999999</v>
      </c>
      <c r="P8" s="127"/>
      <c r="Q8" s="120">
        <f t="shared" si="2"/>
        <v>0</v>
      </c>
      <c r="R8" s="122"/>
      <c r="S8" s="120">
        <f t="shared" si="3"/>
        <v>0</v>
      </c>
      <c r="T8" s="122"/>
      <c r="U8" s="120">
        <f t="shared" si="4"/>
        <v>0</v>
      </c>
      <c r="V8" s="128">
        <f t="shared" si="5"/>
        <v>111372.29999999999</v>
      </c>
      <c r="W8" s="124"/>
      <c r="X8" s="125"/>
    </row>
    <row r="9" spans="1:24" s="99" customFormat="1" ht="38.1" customHeight="1" x14ac:dyDescent="0.3">
      <c r="A9" s="96" t="str">
        <f t="shared" si="0"/>
        <v>E00000803066520502</v>
      </c>
      <c r="B9" s="113"/>
      <c r="C9" s="113"/>
      <c r="D9" s="113"/>
      <c r="E9" s="113"/>
      <c r="F9" s="126"/>
      <c r="G9" s="115" t="s">
        <v>117</v>
      </c>
      <c r="H9" s="92"/>
      <c r="I9" s="92"/>
      <c r="J9" s="116" t="s">
        <v>118</v>
      </c>
      <c r="K9" s="116" t="s">
        <v>137</v>
      </c>
      <c r="L9" s="117" t="s">
        <v>113</v>
      </c>
      <c r="M9" s="118">
        <v>0.2303</v>
      </c>
      <c r="N9" s="119"/>
      <c r="O9" s="120">
        <f t="shared" si="1"/>
        <v>0</v>
      </c>
      <c r="P9" s="121">
        <v>652621</v>
      </c>
      <c r="Q9" s="120">
        <f t="shared" si="2"/>
        <v>125499.34461049999</v>
      </c>
      <c r="R9" s="122"/>
      <c r="S9" s="120">
        <f t="shared" si="3"/>
        <v>0</v>
      </c>
      <c r="T9" s="122"/>
      <c r="U9" s="120">
        <f t="shared" si="4"/>
        <v>0</v>
      </c>
      <c r="V9" s="128">
        <f t="shared" si="5"/>
        <v>125499.34461049999</v>
      </c>
      <c r="W9" s="124"/>
      <c r="X9" s="125"/>
    </row>
    <row r="10" spans="1:24" s="99" customFormat="1" ht="38.1" customHeight="1" x14ac:dyDescent="0.3">
      <c r="A10" s="96" t="str">
        <f t="shared" si="0"/>
        <v>M020750510130102</v>
      </c>
      <c r="B10" s="113"/>
      <c r="C10" s="113"/>
      <c r="D10" s="113"/>
      <c r="E10" s="113"/>
      <c r="F10" s="126"/>
      <c r="G10" s="92"/>
      <c r="H10" s="115" t="s">
        <v>119</v>
      </c>
      <c r="I10" s="92"/>
      <c r="J10" s="116" t="s">
        <v>120</v>
      </c>
      <c r="K10" s="116" t="s">
        <v>121</v>
      </c>
      <c r="L10" s="117" t="s">
        <v>110</v>
      </c>
      <c r="M10" s="118">
        <v>43</v>
      </c>
      <c r="N10" s="121">
        <v>8000</v>
      </c>
      <c r="O10" s="120">
        <f t="shared" si="1"/>
        <v>287240</v>
      </c>
      <c r="P10" s="127"/>
      <c r="Q10" s="120">
        <f t="shared" si="2"/>
        <v>0</v>
      </c>
      <c r="R10" s="122"/>
      <c r="S10" s="120">
        <f t="shared" si="3"/>
        <v>0</v>
      </c>
      <c r="T10" s="122"/>
      <c r="U10" s="120">
        <f t="shared" si="4"/>
        <v>0</v>
      </c>
      <c r="V10" s="97">
        <f t="shared" si="5"/>
        <v>287240</v>
      </c>
      <c r="W10" s="124"/>
      <c r="X10" s="98"/>
    </row>
    <row r="11" spans="1:24" s="99" customFormat="1" ht="38.1" customHeight="1" x14ac:dyDescent="0.3">
      <c r="A11" s="96" t="str">
        <f t="shared" si="0"/>
        <v>M020806810430101</v>
      </c>
      <c r="B11" s="132"/>
      <c r="C11" s="132"/>
      <c r="D11" s="132"/>
      <c r="E11" s="132"/>
      <c r="F11" s="133"/>
      <c r="G11" s="134"/>
      <c r="H11" s="115" t="s">
        <v>122</v>
      </c>
      <c r="I11" s="135"/>
      <c r="J11" s="116" t="s">
        <v>123</v>
      </c>
      <c r="K11" s="116" t="s">
        <v>124</v>
      </c>
      <c r="L11" s="136" t="s">
        <v>59</v>
      </c>
      <c r="M11" s="118">
        <v>1</v>
      </c>
      <c r="N11" s="131">
        <v>150000</v>
      </c>
      <c r="O11" s="120">
        <f t="shared" si="1"/>
        <v>125250</v>
      </c>
      <c r="P11" s="127"/>
      <c r="Q11" s="120"/>
      <c r="R11" s="122"/>
      <c r="S11" s="120"/>
      <c r="T11" s="131"/>
      <c r="U11" s="120">
        <f t="shared" si="4"/>
        <v>0</v>
      </c>
      <c r="V11" s="123">
        <f t="shared" si="5"/>
        <v>125250</v>
      </c>
      <c r="W11" s="124"/>
      <c r="X11" s="125"/>
    </row>
    <row r="12" spans="1:24" s="101" customFormat="1" ht="19.899999999999999" customHeight="1" x14ac:dyDescent="0.3">
      <c r="A12" s="100"/>
      <c r="B12" s="100"/>
      <c r="C12" s="100"/>
      <c r="D12" s="100"/>
      <c r="E12" s="100"/>
      <c r="O12" s="102">
        <f>SUM(O5:O11)</f>
        <v>753654.3</v>
      </c>
      <c r="P12" s="103"/>
      <c r="Q12" s="102">
        <f>SUM(Q5:Q11)</f>
        <v>1867366.6428949998</v>
      </c>
      <c r="R12" s="103"/>
      <c r="S12" s="102">
        <f>SUM(S5:S11)</f>
        <v>0</v>
      </c>
      <c r="T12" s="103"/>
      <c r="U12" s="102">
        <f>SUM(U5:U11)</f>
        <v>0</v>
      </c>
      <c r="V12" s="104">
        <f>SUM(V5:V11)</f>
        <v>2621020.9428949999</v>
      </c>
      <c r="W12" s="105"/>
    </row>
    <row r="15" spans="1:24" x14ac:dyDescent="0.3">
      <c r="M15" s="112"/>
    </row>
    <row r="16" spans="1:24" x14ac:dyDescent="0.3">
      <c r="M16" s="112"/>
    </row>
    <row r="17" spans="13:13" x14ac:dyDescent="0.3">
      <c r="M17" s="112"/>
    </row>
    <row r="18" spans="13:13" x14ac:dyDescent="0.3">
      <c r="M18" s="112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D0E1-0F27-4051-AFDE-371CA709650B}">
  <sheetPr codeName="Sheet3">
    <pageSetUpPr fitToPage="1"/>
  </sheetPr>
  <dimension ref="A1:N27"/>
  <sheetViews>
    <sheetView zoomScaleNormal="100" workbookViewId="0">
      <selection activeCell="R20" sqref="R20"/>
    </sheetView>
  </sheetViews>
  <sheetFormatPr defaultColWidth="9" defaultRowHeight="16.5" x14ac:dyDescent="0.3"/>
  <cols>
    <col min="1" max="1" width="22.625" style="80" customWidth="1"/>
    <col min="2" max="2" width="27.625" style="80" customWidth="1"/>
    <col min="3" max="3" width="5.75" style="80" customWidth="1"/>
    <col min="4" max="4" width="5.25" style="80" customWidth="1"/>
    <col min="5" max="14" width="10.625" style="80" customWidth="1"/>
    <col min="15" max="16384" width="9" style="81"/>
  </cols>
  <sheetData>
    <row r="1" spans="1:14" s="68" customFormat="1" ht="26.25" customHeight="1" x14ac:dyDescent="0.3">
      <c r="A1" s="180" t="s">
        <v>61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</row>
    <row r="2" spans="1:14" s="68" customFormat="1" ht="20.100000000000001" customHeight="1" x14ac:dyDescent="0.3">
      <c r="A2" s="181" t="s">
        <v>62</v>
      </c>
      <c r="B2" s="181" t="s">
        <v>63</v>
      </c>
      <c r="C2" s="182" t="s">
        <v>47</v>
      </c>
      <c r="D2" s="182" t="s">
        <v>64</v>
      </c>
      <c r="E2" s="184" t="s">
        <v>65</v>
      </c>
      <c r="F2" s="181"/>
      <c r="G2" s="185" t="s">
        <v>66</v>
      </c>
      <c r="H2" s="186"/>
      <c r="I2" s="187" t="s">
        <v>67</v>
      </c>
      <c r="J2" s="186"/>
      <c r="K2" s="187" t="s">
        <v>68</v>
      </c>
      <c r="L2" s="186"/>
      <c r="M2" s="187" t="s">
        <v>69</v>
      </c>
      <c r="N2" s="188"/>
    </row>
    <row r="3" spans="1:14" s="68" customFormat="1" ht="20.100000000000001" customHeight="1" x14ac:dyDescent="0.3">
      <c r="A3" s="181"/>
      <c r="B3" s="181"/>
      <c r="C3" s="183"/>
      <c r="D3" s="183"/>
      <c r="E3" s="69" t="s">
        <v>70</v>
      </c>
      <c r="F3" s="69" t="s">
        <v>71</v>
      </c>
      <c r="G3" s="71" t="s">
        <v>70</v>
      </c>
      <c r="H3" s="70" t="s">
        <v>71</v>
      </c>
      <c r="I3" s="71" t="s">
        <v>70</v>
      </c>
      <c r="J3" s="70" t="s">
        <v>71</v>
      </c>
      <c r="K3" s="71" t="s">
        <v>70</v>
      </c>
      <c r="L3" s="70" t="s">
        <v>71</v>
      </c>
      <c r="M3" s="71" t="s">
        <v>70</v>
      </c>
      <c r="N3" s="69" t="s">
        <v>71</v>
      </c>
    </row>
    <row r="4" spans="1:14" s="68" customFormat="1" ht="20.100000000000001" customHeight="1" x14ac:dyDescent="0.3">
      <c r="A4" s="178" t="s">
        <v>128</v>
      </c>
      <c r="B4" s="179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3">
        <f>F4+H4+J4+L4</f>
        <v>0</v>
      </c>
    </row>
    <row r="5" spans="1:14" s="146" customFormat="1" ht="20.100000000000001" customHeight="1" x14ac:dyDescent="0.3">
      <c r="A5" s="137" t="s">
        <v>125</v>
      </c>
      <c r="B5" s="138" t="s">
        <v>126</v>
      </c>
      <c r="C5" s="139" t="s">
        <v>127</v>
      </c>
      <c r="D5" s="140">
        <v>10</v>
      </c>
      <c r="E5" s="141"/>
      <c r="F5" s="142">
        <f t="shared" ref="F5:F10" si="0">D5*E5</f>
        <v>0</v>
      </c>
      <c r="G5" s="143">
        <v>17969</v>
      </c>
      <c r="H5" s="141">
        <f>D5*G5</f>
        <v>179690</v>
      </c>
      <c r="I5" s="141"/>
      <c r="J5" s="144"/>
      <c r="K5" s="141"/>
      <c r="L5" s="144"/>
      <c r="M5" s="145"/>
      <c r="N5" s="145">
        <f>F5+H5+J5+L5</f>
        <v>179690</v>
      </c>
    </row>
    <row r="6" spans="1:14" s="146" customFormat="1" ht="20.100000000000001" customHeight="1" x14ac:dyDescent="0.3">
      <c r="A6" s="156" t="s">
        <v>129</v>
      </c>
      <c r="B6" s="111" t="s">
        <v>134</v>
      </c>
      <c r="C6" s="149"/>
      <c r="D6" s="140"/>
      <c r="E6" s="150"/>
      <c r="F6" s="151">
        <f t="shared" si="0"/>
        <v>0</v>
      </c>
      <c r="G6" s="142"/>
      <c r="H6" s="141"/>
      <c r="I6" s="151"/>
      <c r="J6" s="151"/>
      <c r="K6" s="151"/>
      <c r="L6" s="151"/>
      <c r="M6" s="149"/>
      <c r="N6" s="145">
        <f t="shared" ref="N6:N10" si="1">F6+H6+J6+L6</f>
        <v>0</v>
      </c>
    </row>
    <row r="7" spans="1:14" s="146" customFormat="1" ht="20.100000000000001" customHeight="1" x14ac:dyDescent="0.3">
      <c r="A7" s="152" t="s">
        <v>72</v>
      </c>
      <c r="B7" s="148" t="s">
        <v>73</v>
      </c>
      <c r="C7" s="148" t="s">
        <v>74</v>
      </c>
      <c r="D7" s="140">
        <v>13</v>
      </c>
      <c r="E7" s="142">
        <v>5344</v>
      </c>
      <c r="F7" s="142">
        <f t="shared" si="0"/>
        <v>69472</v>
      </c>
      <c r="G7" s="142"/>
      <c r="H7" s="141"/>
      <c r="I7" s="142"/>
      <c r="J7" s="142"/>
      <c r="K7" s="142"/>
      <c r="L7" s="142"/>
      <c r="M7" s="145"/>
      <c r="N7" s="145">
        <f t="shared" si="1"/>
        <v>69472</v>
      </c>
    </row>
    <row r="8" spans="1:14" s="146" customFormat="1" ht="20.100000000000001" customHeight="1" x14ac:dyDescent="0.3">
      <c r="A8" s="152" t="s">
        <v>75</v>
      </c>
      <c r="B8" s="148" t="s">
        <v>76</v>
      </c>
      <c r="C8" s="148" t="s">
        <v>74</v>
      </c>
      <c r="D8" s="140">
        <v>13</v>
      </c>
      <c r="E8" s="153">
        <v>6680</v>
      </c>
      <c r="F8" s="142">
        <f t="shared" si="0"/>
        <v>86840</v>
      </c>
      <c r="G8" s="142"/>
      <c r="H8" s="141">
        <f t="shared" ref="H8:H10" si="2">D8*G8</f>
        <v>0</v>
      </c>
      <c r="I8" s="142"/>
      <c r="J8" s="142"/>
      <c r="K8" s="142"/>
      <c r="L8" s="142"/>
      <c r="M8" s="145"/>
      <c r="N8" s="145">
        <f t="shared" si="1"/>
        <v>86840</v>
      </c>
    </row>
    <row r="9" spans="1:14" s="146" customFormat="1" ht="20.100000000000001" customHeight="1" x14ac:dyDescent="0.3">
      <c r="A9" s="152" t="s">
        <v>77</v>
      </c>
      <c r="B9" s="154" t="s">
        <v>78</v>
      </c>
      <c r="C9" s="154" t="s">
        <v>74</v>
      </c>
      <c r="D9" s="140">
        <v>26</v>
      </c>
      <c r="E9" s="142"/>
      <c r="F9" s="142">
        <f t="shared" si="0"/>
        <v>0</v>
      </c>
      <c r="G9" s="142">
        <v>18165</v>
      </c>
      <c r="H9" s="141">
        <f t="shared" si="2"/>
        <v>472290</v>
      </c>
      <c r="I9" s="142"/>
      <c r="J9" s="142"/>
      <c r="K9" s="142"/>
      <c r="L9" s="142"/>
      <c r="M9" s="145"/>
      <c r="N9" s="145">
        <f t="shared" si="1"/>
        <v>472290</v>
      </c>
    </row>
    <row r="10" spans="1:14" s="146" customFormat="1" ht="20.100000000000001" customHeight="1" x14ac:dyDescent="0.3">
      <c r="A10" s="152" t="s">
        <v>79</v>
      </c>
      <c r="B10" s="148" t="s">
        <v>80</v>
      </c>
      <c r="C10" s="149" t="s">
        <v>81</v>
      </c>
      <c r="D10" s="140">
        <v>12</v>
      </c>
      <c r="E10" s="153">
        <v>2931</v>
      </c>
      <c r="F10" s="142">
        <f t="shared" si="0"/>
        <v>35172</v>
      </c>
      <c r="G10" s="142">
        <v>3302</v>
      </c>
      <c r="H10" s="141">
        <f t="shared" si="2"/>
        <v>39624</v>
      </c>
      <c r="I10" s="142"/>
      <c r="J10" s="142"/>
      <c r="K10" s="142"/>
      <c r="L10" s="142"/>
      <c r="M10" s="145"/>
      <c r="N10" s="145">
        <f t="shared" si="1"/>
        <v>74796</v>
      </c>
    </row>
    <row r="11" spans="1:14" s="146" customFormat="1" ht="20.100000000000001" customHeight="1" x14ac:dyDescent="0.3">
      <c r="A11" s="147" t="s">
        <v>130</v>
      </c>
      <c r="B11" s="111" t="s">
        <v>135</v>
      </c>
      <c r="C11" s="149"/>
      <c r="D11" s="140"/>
      <c r="E11" s="150"/>
      <c r="F11" s="151">
        <f t="shared" ref="F11:F26" si="3">D11*E11</f>
        <v>0</v>
      </c>
      <c r="G11" s="142"/>
      <c r="H11" s="141"/>
      <c r="I11" s="151"/>
      <c r="J11" s="151"/>
      <c r="K11" s="151"/>
      <c r="L11" s="151"/>
      <c r="M11" s="149"/>
      <c r="N11" s="145">
        <f t="shared" ref="N11:N26" si="4">F11+H11+J11+L11</f>
        <v>0</v>
      </c>
    </row>
    <row r="12" spans="1:14" s="146" customFormat="1" ht="20.100000000000001" customHeight="1" x14ac:dyDescent="0.3">
      <c r="A12" s="152" t="s">
        <v>72</v>
      </c>
      <c r="B12" s="148" t="s">
        <v>73</v>
      </c>
      <c r="C12" s="148" t="s">
        <v>74</v>
      </c>
      <c r="D12" s="140">
        <v>12</v>
      </c>
      <c r="E12" s="142">
        <v>5344</v>
      </c>
      <c r="F12" s="142">
        <f t="shared" si="3"/>
        <v>64128</v>
      </c>
      <c r="G12" s="142"/>
      <c r="H12" s="141"/>
      <c r="I12" s="142"/>
      <c r="J12" s="142"/>
      <c r="K12" s="142"/>
      <c r="L12" s="142"/>
      <c r="M12" s="145"/>
      <c r="N12" s="145">
        <f t="shared" si="4"/>
        <v>64128</v>
      </c>
    </row>
    <row r="13" spans="1:14" s="146" customFormat="1" ht="20.100000000000001" customHeight="1" x14ac:dyDescent="0.3">
      <c r="A13" s="152" t="s">
        <v>75</v>
      </c>
      <c r="B13" s="148" t="s">
        <v>76</v>
      </c>
      <c r="C13" s="148" t="s">
        <v>74</v>
      </c>
      <c r="D13" s="140">
        <v>12</v>
      </c>
      <c r="E13" s="153">
        <v>6680</v>
      </c>
      <c r="F13" s="142">
        <f t="shared" si="3"/>
        <v>80160</v>
      </c>
      <c r="G13" s="142"/>
      <c r="H13" s="141">
        <f t="shared" ref="H13:H15" si="5">D13*G13</f>
        <v>0</v>
      </c>
      <c r="I13" s="142"/>
      <c r="J13" s="142"/>
      <c r="K13" s="142"/>
      <c r="L13" s="142"/>
      <c r="M13" s="145"/>
      <c r="N13" s="145">
        <f t="shared" si="4"/>
        <v>80160</v>
      </c>
    </row>
    <row r="14" spans="1:14" s="146" customFormat="1" ht="20.100000000000001" customHeight="1" x14ac:dyDescent="0.3">
      <c r="A14" s="152" t="s">
        <v>77</v>
      </c>
      <c r="B14" s="154" t="s">
        <v>78</v>
      </c>
      <c r="C14" s="154" t="s">
        <v>74</v>
      </c>
      <c r="D14" s="140">
        <v>24</v>
      </c>
      <c r="E14" s="142"/>
      <c r="F14" s="142">
        <f t="shared" si="3"/>
        <v>0</v>
      </c>
      <c r="G14" s="142">
        <v>18165</v>
      </c>
      <c r="H14" s="141">
        <f t="shared" si="5"/>
        <v>435960</v>
      </c>
      <c r="I14" s="142"/>
      <c r="J14" s="142"/>
      <c r="K14" s="142"/>
      <c r="L14" s="142"/>
      <c r="M14" s="145"/>
      <c r="N14" s="145">
        <f t="shared" si="4"/>
        <v>435960</v>
      </c>
    </row>
    <row r="15" spans="1:14" s="146" customFormat="1" ht="20.100000000000001" customHeight="1" x14ac:dyDescent="0.3">
      <c r="A15" s="152" t="s">
        <v>79</v>
      </c>
      <c r="B15" s="148" t="s">
        <v>80</v>
      </c>
      <c r="C15" s="149" t="s">
        <v>81</v>
      </c>
      <c r="D15" s="140">
        <v>8</v>
      </c>
      <c r="E15" s="153">
        <v>2931</v>
      </c>
      <c r="F15" s="142">
        <f t="shared" si="3"/>
        <v>23448</v>
      </c>
      <c r="G15" s="142">
        <v>3302</v>
      </c>
      <c r="H15" s="141">
        <f t="shared" si="5"/>
        <v>26416</v>
      </c>
      <c r="I15" s="142"/>
      <c r="J15" s="142"/>
      <c r="K15" s="142"/>
      <c r="L15" s="142"/>
      <c r="M15" s="145"/>
      <c r="N15" s="145">
        <f t="shared" si="4"/>
        <v>49864</v>
      </c>
    </row>
    <row r="16" spans="1:14" s="146" customFormat="1" ht="20.100000000000001" customHeight="1" x14ac:dyDescent="0.3">
      <c r="A16" s="147" t="s">
        <v>132</v>
      </c>
      <c r="B16" s="111" t="s">
        <v>136</v>
      </c>
      <c r="C16" s="149"/>
      <c r="D16" s="140"/>
      <c r="E16" s="150"/>
      <c r="F16" s="151">
        <f t="shared" si="3"/>
        <v>0</v>
      </c>
      <c r="G16" s="142"/>
      <c r="H16" s="141"/>
      <c r="I16" s="151"/>
      <c r="J16" s="151"/>
      <c r="K16" s="151"/>
      <c r="L16" s="151"/>
      <c r="M16" s="149"/>
      <c r="N16" s="145">
        <f t="shared" si="4"/>
        <v>0</v>
      </c>
    </row>
    <row r="17" spans="1:14" s="146" customFormat="1" ht="20.100000000000001" customHeight="1" x14ac:dyDescent="0.3">
      <c r="A17" s="152" t="s">
        <v>72</v>
      </c>
      <c r="B17" s="148" t="s">
        <v>73</v>
      </c>
      <c r="C17" s="148" t="s">
        <v>74</v>
      </c>
      <c r="D17" s="140">
        <v>9</v>
      </c>
      <c r="E17" s="142">
        <v>5344</v>
      </c>
      <c r="F17" s="142">
        <f t="shared" si="3"/>
        <v>48096</v>
      </c>
      <c r="G17" s="142"/>
      <c r="H17" s="141"/>
      <c r="I17" s="142"/>
      <c r="J17" s="142"/>
      <c r="K17" s="142"/>
      <c r="L17" s="142"/>
      <c r="M17" s="145"/>
      <c r="N17" s="145">
        <f t="shared" si="4"/>
        <v>48096</v>
      </c>
    </row>
    <row r="18" spans="1:14" s="146" customFormat="1" ht="20.100000000000001" customHeight="1" x14ac:dyDescent="0.3">
      <c r="A18" s="152" t="s">
        <v>75</v>
      </c>
      <c r="B18" s="148" t="s">
        <v>76</v>
      </c>
      <c r="C18" s="148" t="s">
        <v>74</v>
      </c>
      <c r="D18" s="140">
        <v>9</v>
      </c>
      <c r="E18" s="153">
        <v>6680</v>
      </c>
      <c r="F18" s="142">
        <f t="shared" si="3"/>
        <v>60120</v>
      </c>
      <c r="G18" s="142"/>
      <c r="H18" s="141">
        <f t="shared" ref="H18:H20" si="6">D18*G18</f>
        <v>0</v>
      </c>
      <c r="I18" s="142"/>
      <c r="J18" s="142"/>
      <c r="K18" s="142"/>
      <c r="L18" s="142"/>
      <c r="M18" s="145"/>
      <c r="N18" s="145">
        <f t="shared" si="4"/>
        <v>60120</v>
      </c>
    </row>
    <row r="19" spans="1:14" s="146" customFormat="1" ht="20.100000000000001" customHeight="1" x14ac:dyDescent="0.3">
      <c r="A19" s="152" t="s">
        <v>77</v>
      </c>
      <c r="B19" s="154" t="s">
        <v>78</v>
      </c>
      <c r="C19" s="154" t="s">
        <v>74</v>
      </c>
      <c r="D19" s="140">
        <v>18</v>
      </c>
      <c r="E19" s="142"/>
      <c r="F19" s="142">
        <f t="shared" si="3"/>
        <v>0</v>
      </c>
      <c r="G19" s="142">
        <v>18165</v>
      </c>
      <c r="H19" s="141">
        <f t="shared" si="6"/>
        <v>326970</v>
      </c>
      <c r="I19" s="142"/>
      <c r="J19" s="142"/>
      <c r="K19" s="142"/>
      <c r="L19" s="142"/>
      <c r="M19" s="145"/>
      <c r="N19" s="145">
        <f t="shared" si="4"/>
        <v>326970</v>
      </c>
    </row>
    <row r="20" spans="1:14" s="146" customFormat="1" ht="20.100000000000001" customHeight="1" x14ac:dyDescent="0.3">
      <c r="A20" s="152" t="s">
        <v>79</v>
      </c>
      <c r="B20" s="148" t="s">
        <v>80</v>
      </c>
      <c r="C20" s="149" t="s">
        <v>81</v>
      </c>
      <c r="D20" s="140">
        <v>9</v>
      </c>
      <c r="E20" s="153">
        <v>2931</v>
      </c>
      <c r="F20" s="142">
        <f t="shared" si="3"/>
        <v>26379</v>
      </c>
      <c r="G20" s="142">
        <v>3302</v>
      </c>
      <c r="H20" s="141">
        <f t="shared" si="6"/>
        <v>29718</v>
      </c>
      <c r="I20" s="142"/>
      <c r="J20" s="142"/>
      <c r="K20" s="142"/>
      <c r="L20" s="142"/>
      <c r="M20" s="145"/>
      <c r="N20" s="145">
        <f t="shared" si="4"/>
        <v>56097</v>
      </c>
    </row>
    <row r="21" spans="1:14" s="146" customFormat="1" ht="20.100000000000001" customHeight="1" x14ac:dyDescent="0.3">
      <c r="A21" s="147" t="s">
        <v>131</v>
      </c>
      <c r="B21" s="111" t="s">
        <v>136</v>
      </c>
      <c r="C21" s="149"/>
      <c r="D21" s="140"/>
      <c r="E21" s="150"/>
      <c r="F21" s="151">
        <f t="shared" ref="F21:F25" si="7">D21*E21</f>
        <v>0</v>
      </c>
      <c r="G21" s="142"/>
      <c r="H21" s="141"/>
      <c r="I21" s="151"/>
      <c r="J21" s="151"/>
      <c r="K21" s="151"/>
      <c r="L21" s="151"/>
      <c r="M21" s="149"/>
      <c r="N21" s="145">
        <f t="shared" ref="N21:N25" si="8">F21+H21+J21+L21</f>
        <v>0</v>
      </c>
    </row>
    <row r="22" spans="1:14" s="146" customFormat="1" ht="20.100000000000001" customHeight="1" x14ac:dyDescent="0.3">
      <c r="A22" s="152" t="s">
        <v>72</v>
      </c>
      <c r="B22" s="148" t="s">
        <v>73</v>
      </c>
      <c r="C22" s="148" t="s">
        <v>74</v>
      </c>
      <c r="D22" s="140">
        <v>9</v>
      </c>
      <c r="E22" s="142">
        <v>5344</v>
      </c>
      <c r="F22" s="142">
        <f t="shared" si="7"/>
        <v>48096</v>
      </c>
      <c r="G22" s="142"/>
      <c r="H22" s="141"/>
      <c r="I22" s="142"/>
      <c r="J22" s="142"/>
      <c r="K22" s="142"/>
      <c r="L22" s="142"/>
      <c r="M22" s="145"/>
      <c r="N22" s="145">
        <f t="shared" si="8"/>
        <v>48096</v>
      </c>
    </row>
    <row r="23" spans="1:14" s="146" customFormat="1" ht="20.100000000000001" customHeight="1" x14ac:dyDescent="0.3">
      <c r="A23" s="152" t="s">
        <v>75</v>
      </c>
      <c r="B23" s="148" t="s">
        <v>76</v>
      </c>
      <c r="C23" s="148" t="s">
        <v>74</v>
      </c>
      <c r="D23" s="140">
        <v>9</v>
      </c>
      <c r="E23" s="153">
        <v>6680</v>
      </c>
      <c r="F23" s="142">
        <f t="shared" si="7"/>
        <v>60120</v>
      </c>
      <c r="G23" s="142"/>
      <c r="H23" s="141">
        <f t="shared" ref="H23:H25" si="9">D23*G23</f>
        <v>0</v>
      </c>
      <c r="I23" s="142"/>
      <c r="J23" s="142"/>
      <c r="K23" s="142"/>
      <c r="L23" s="142"/>
      <c r="M23" s="145"/>
      <c r="N23" s="145">
        <f t="shared" si="8"/>
        <v>60120</v>
      </c>
    </row>
    <row r="24" spans="1:14" s="146" customFormat="1" ht="20.100000000000001" customHeight="1" x14ac:dyDescent="0.3">
      <c r="A24" s="152" t="s">
        <v>77</v>
      </c>
      <c r="B24" s="154" t="s">
        <v>78</v>
      </c>
      <c r="C24" s="154" t="s">
        <v>74</v>
      </c>
      <c r="D24" s="140">
        <v>18</v>
      </c>
      <c r="E24" s="142"/>
      <c r="F24" s="142">
        <f t="shared" si="7"/>
        <v>0</v>
      </c>
      <c r="G24" s="142">
        <v>18165</v>
      </c>
      <c r="H24" s="141">
        <f t="shared" si="9"/>
        <v>326970</v>
      </c>
      <c r="I24" s="142"/>
      <c r="J24" s="142"/>
      <c r="K24" s="142"/>
      <c r="L24" s="142"/>
      <c r="M24" s="145"/>
      <c r="N24" s="145">
        <f t="shared" si="8"/>
        <v>326970</v>
      </c>
    </row>
    <row r="25" spans="1:14" s="146" customFormat="1" ht="20.100000000000001" customHeight="1" x14ac:dyDescent="0.3">
      <c r="A25" s="152" t="s">
        <v>79</v>
      </c>
      <c r="B25" s="148" t="s">
        <v>80</v>
      </c>
      <c r="C25" s="149" t="s">
        <v>81</v>
      </c>
      <c r="D25" s="140">
        <v>9</v>
      </c>
      <c r="E25" s="153">
        <v>2931</v>
      </c>
      <c r="F25" s="142">
        <f t="shared" si="7"/>
        <v>26379</v>
      </c>
      <c r="G25" s="142">
        <v>3302</v>
      </c>
      <c r="H25" s="141">
        <f t="shared" si="9"/>
        <v>29718</v>
      </c>
      <c r="I25" s="142"/>
      <c r="J25" s="142"/>
      <c r="K25" s="142"/>
      <c r="L25" s="142"/>
      <c r="M25" s="145"/>
      <c r="N25" s="145">
        <f t="shared" si="8"/>
        <v>56097</v>
      </c>
    </row>
    <row r="26" spans="1:14" s="146" customFormat="1" ht="20.100000000000001" customHeight="1" x14ac:dyDescent="0.3">
      <c r="A26" s="147" t="s">
        <v>133</v>
      </c>
      <c r="B26" s="154" t="s">
        <v>82</v>
      </c>
      <c r="C26" s="154" t="s">
        <v>83</v>
      </c>
      <c r="D26" s="155">
        <v>1</v>
      </c>
      <c r="E26" s="142">
        <v>125250</v>
      </c>
      <c r="F26" s="142">
        <f t="shared" si="3"/>
        <v>125250</v>
      </c>
      <c r="G26" s="142"/>
      <c r="H26" s="141"/>
      <c r="I26" s="142"/>
      <c r="J26" s="142">
        <f>D26*I26</f>
        <v>0</v>
      </c>
      <c r="K26" s="142"/>
      <c r="L26" s="142"/>
      <c r="M26" s="145"/>
      <c r="N26" s="145">
        <f t="shared" si="4"/>
        <v>125250</v>
      </c>
    </row>
    <row r="27" spans="1:14" s="68" customFormat="1" ht="20.100000000000001" customHeight="1" x14ac:dyDescent="0.3">
      <c r="A27" s="107" t="s">
        <v>69</v>
      </c>
      <c r="B27" s="74"/>
      <c r="C27" s="75"/>
      <c r="D27" s="76"/>
      <c r="E27" s="77"/>
      <c r="F27" s="78">
        <f>SUM(F5:F26)</f>
        <v>753660</v>
      </c>
      <c r="G27" s="77"/>
      <c r="H27" s="78">
        <f>SUM(H5:H26)</f>
        <v>1867356</v>
      </c>
      <c r="I27" s="77"/>
      <c r="J27" s="78">
        <f>SUM(J5:J26)</f>
        <v>0</v>
      </c>
      <c r="K27" s="77"/>
      <c r="L27" s="78">
        <f>SUM(L5:L26)</f>
        <v>0</v>
      </c>
      <c r="M27" s="79"/>
      <c r="N27" s="78">
        <f>SUM(N5:N26)</f>
        <v>2621016</v>
      </c>
    </row>
  </sheetData>
  <mergeCells count="11">
    <mergeCell ref="A4:B4"/>
    <mergeCell ref="A1:N1"/>
    <mergeCell ref="A2:A3"/>
    <mergeCell ref="B2:B3"/>
    <mergeCell ref="C2:C3"/>
    <mergeCell ref="D2:D3"/>
    <mergeCell ref="E2:F2"/>
    <mergeCell ref="G2:H2"/>
    <mergeCell ref="I2:J2"/>
    <mergeCell ref="K2:L2"/>
    <mergeCell ref="M2:N2"/>
  </mergeCells>
  <phoneticPr fontId="10" type="noConversion"/>
  <pageMargins left="0.7" right="0.7" top="0.75" bottom="0.75" header="0.3" footer="0.3"/>
  <pageSetup paperSize="9" scale="6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8"/>
  <sheetViews>
    <sheetView showGridLines="0" zoomScaleNormal="100" workbookViewId="0">
      <selection activeCell="M26" sqref="M26"/>
    </sheetView>
  </sheetViews>
  <sheetFormatPr defaultColWidth="9" defaultRowHeight="16.5" x14ac:dyDescent="0.3"/>
  <cols>
    <col min="1" max="1" width="25.125" style="82" customWidth="1"/>
    <col min="2" max="2" width="16.25" style="82" customWidth="1"/>
    <col min="3" max="3" width="22.375" style="82" customWidth="1"/>
    <col min="4" max="4" width="24.125" style="82" customWidth="1"/>
    <col min="5" max="5" width="13" style="82" customWidth="1"/>
    <col min="6" max="6" width="7.5" style="82" customWidth="1"/>
    <col min="7" max="16384" width="9" style="81"/>
  </cols>
  <sheetData>
    <row r="1" spans="1:6" ht="18" customHeight="1" x14ac:dyDescent="0.3">
      <c r="A1" s="108" t="s">
        <v>0</v>
      </c>
      <c r="B1" s="108" t="s">
        <v>1</v>
      </c>
      <c r="C1" s="108" t="s">
        <v>2</v>
      </c>
      <c r="D1" s="108" t="s">
        <v>3</v>
      </c>
      <c r="E1" s="108" t="s">
        <v>4</v>
      </c>
      <c r="F1" s="108" t="s">
        <v>5</v>
      </c>
    </row>
    <row r="2" spans="1:6" x14ac:dyDescent="0.3">
      <c r="A2" s="109" t="str">
        <f>'내역서(표준단가)'!A5</f>
        <v>E00000801011510201</v>
      </c>
      <c r="B2" s="110">
        <f>'내역서(표준단가)'!F5</f>
        <v>0</v>
      </c>
      <c r="C2" s="110" t="str">
        <f>'내역서(표준단가)'!G5</f>
        <v>E00000801011510201</v>
      </c>
      <c r="D2" s="110">
        <f>'내역서(표준단가)'!H5</f>
        <v>0</v>
      </c>
      <c r="E2" s="110">
        <f>'내역서(표준단가)'!I5</f>
        <v>0</v>
      </c>
      <c r="F2" s="157">
        <f>'내역서(표준단가)'!M5</f>
        <v>10</v>
      </c>
    </row>
    <row r="3" spans="1:6" x14ac:dyDescent="0.3">
      <c r="A3" s="109" t="str">
        <f>'내역서(표준단가)'!A6</f>
        <v>M020750510120102</v>
      </c>
      <c r="B3" s="110">
        <f>'내역서(표준단가)'!F6</f>
        <v>0</v>
      </c>
      <c r="C3" s="110">
        <f>'내역서(표준단가)'!G6</f>
        <v>0</v>
      </c>
      <c r="D3" s="110" t="str">
        <f>'내역서(표준단가)'!H6</f>
        <v>M020750510120102</v>
      </c>
      <c r="E3" s="110">
        <f>'내역서(표준단가)'!I6</f>
        <v>0</v>
      </c>
      <c r="F3" s="157">
        <f>'내역서(표준단가)'!M6</f>
        <v>43</v>
      </c>
    </row>
    <row r="4" spans="1:6" x14ac:dyDescent="0.3">
      <c r="A4" s="109" t="str">
        <f>'내역서(표준단가)'!A7</f>
        <v>E00000803066520103</v>
      </c>
      <c r="B4" s="110">
        <f>'내역서(표준단가)'!F7</f>
        <v>0</v>
      </c>
      <c r="C4" s="110" t="str">
        <f>'내역서(표준단가)'!G7</f>
        <v>E00000803066520103</v>
      </c>
      <c r="D4" s="110">
        <f>'내역서(표준단가)'!H7</f>
        <v>0</v>
      </c>
      <c r="E4" s="110">
        <f>'내역서(표준단가)'!I7</f>
        <v>0</v>
      </c>
      <c r="F4" s="157">
        <f>'내역서(표준단가)'!M7</f>
        <v>2.8666999999999998</v>
      </c>
    </row>
    <row r="5" spans="1:6" x14ac:dyDescent="0.3">
      <c r="A5" s="109" t="str">
        <f>'내역서(표준단가)'!A8</f>
        <v>M020531910380101</v>
      </c>
      <c r="B5" s="110">
        <f>'내역서(표준단가)'!F8</f>
        <v>0</v>
      </c>
      <c r="C5" s="110">
        <f>'내역서(표준단가)'!G8</f>
        <v>0</v>
      </c>
      <c r="D5" s="110" t="str">
        <f>'내역서(표준단가)'!H8</f>
        <v>M020531910380101</v>
      </c>
      <c r="E5" s="110">
        <f>'내역서(표준단가)'!I8</f>
        <v>0</v>
      </c>
      <c r="F5" s="157">
        <f>'내역서(표준단가)'!M8</f>
        <v>38</v>
      </c>
    </row>
    <row r="6" spans="1:6" x14ac:dyDescent="0.3">
      <c r="A6" s="109" t="str">
        <f>'내역서(표준단가)'!A9</f>
        <v>E00000803066520502</v>
      </c>
      <c r="B6" s="110">
        <f>'내역서(표준단가)'!F9</f>
        <v>0</v>
      </c>
      <c r="C6" s="110" t="str">
        <f>'내역서(표준단가)'!G9</f>
        <v>E00000803066520502</v>
      </c>
      <c r="D6" s="110">
        <f>'내역서(표준단가)'!H9</f>
        <v>0</v>
      </c>
      <c r="E6" s="110">
        <f>'내역서(표준단가)'!I9</f>
        <v>0</v>
      </c>
      <c r="F6" s="157">
        <f>'내역서(표준단가)'!M9</f>
        <v>0.2303</v>
      </c>
    </row>
    <row r="7" spans="1:6" x14ac:dyDescent="0.3">
      <c r="A7" s="109" t="str">
        <f>'내역서(표준단가)'!A10</f>
        <v>M020750510130102</v>
      </c>
      <c r="B7" s="110">
        <f>'내역서(표준단가)'!F10</f>
        <v>0</v>
      </c>
      <c r="C7" s="110">
        <f>'내역서(표준단가)'!G10</f>
        <v>0</v>
      </c>
      <c r="D7" s="110" t="str">
        <f>'내역서(표준단가)'!H10</f>
        <v>M020750510130102</v>
      </c>
      <c r="E7" s="110">
        <f>'내역서(표준단가)'!I10</f>
        <v>0</v>
      </c>
      <c r="F7" s="157">
        <f>'내역서(표준단가)'!M10</f>
        <v>43</v>
      </c>
    </row>
    <row r="8" spans="1:6" x14ac:dyDescent="0.3">
      <c r="A8" s="109" t="str">
        <f>'내역서(표준단가)'!A11</f>
        <v>M020806810430101</v>
      </c>
      <c r="B8" s="110">
        <f>'내역서(표준단가)'!F11</f>
        <v>0</v>
      </c>
      <c r="C8" s="110">
        <f>'내역서(표준단가)'!G11</f>
        <v>0</v>
      </c>
      <c r="D8" s="110" t="str">
        <f>'내역서(표준단가)'!H11</f>
        <v>M020806810430101</v>
      </c>
      <c r="E8" s="110">
        <f>'내역서(표준단가)'!I11</f>
        <v>0</v>
      </c>
      <c r="F8" s="157">
        <f>'내역서(표준단가)'!M11</f>
        <v>1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상세내역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2025-09-25T06:07:31Z</dcterms:modified>
</cp:coreProperties>
</file>
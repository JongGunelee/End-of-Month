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D76BFE3-46E3-4B1E-9E0C-937561D2C023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A11" i="1"/>
  <c r="F10" i="1"/>
  <c r="E10" i="1"/>
  <c r="D10" i="1"/>
  <c r="C10" i="1"/>
  <c r="B10" i="1"/>
  <c r="F9" i="1"/>
  <c r="E9" i="1"/>
  <c r="D9" i="1"/>
  <c r="C9" i="1"/>
  <c r="B9" i="1"/>
  <c r="A9" i="1"/>
  <c r="F8" i="1"/>
  <c r="E8" i="1"/>
  <c r="D8" i="1"/>
  <c r="C8" i="1"/>
  <c r="B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7" i="4"/>
  <c r="S17" i="4"/>
  <c r="Q17" i="4"/>
  <c r="O17" i="4"/>
  <c r="A17" i="4"/>
  <c r="A14" i="1" s="1"/>
  <c r="U16" i="4"/>
  <c r="S16" i="4"/>
  <c r="Q16" i="4"/>
  <c r="O16" i="4"/>
  <c r="A16" i="4"/>
  <c r="A13" i="1" s="1"/>
  <c r="U15" i="4"/>
  <c r="S15" i="4"/>
  <c r="Q15" i="4"/>
  <c r="O15" i="4"/>
  <c r="V15" i="4" s="1"/>
  <c r="A15" i="4"/>
  <c r="A12" i="1" s="1"/>
  <c r="U14" i="4"/>
  <c r="S14" i="4"/>
  <c r="Q14" i="4"/>
  <c r="O14" i="4"/>
  <c r="A14" i="4"/>
  <c r="U13" i="4"/>
  <c r="S13" i="4"/>
  <c r="Q13" i="4"/>
  <c r="O13" i="4"/>
  <c r="A13" i="4"/>
  <c r="A10" i="1" s="1"/>
  <c r="U12" i="4"/>
  <c r="S12" i="4"/>
  <c r="O12" i="4"/>
  <c r="A12" i="4"/>
  <c r="U11" i="4"/>
  <c r="S11" i="4"/>
  <c r="Q11" i="4"/>
  <c r="O11" i="4"/>
  <c r="A11" i="4"/>
  <c r="A8" i="1" s="1"/>
  <c r="U10" i="4"/>
  <c r="S10" i="4"/>
  <c r="Q10" i="4"/>
  <c r="O10" i="4"/>
  <c r="V10" i="4" s="1"/>
  <c r="A10" i="4"/>
  <c r="O9" i="4"/>
  <c r="V9" i="4" s="1"/>
  <c r="A9" i="4"/>
  <c r="A6" i="1" s="1"/>
  <c r="U8" i="4"/>
  <c r="S8" i="4"/>
  <c r="Q8" i="4"/>
  <c r="O8" i="4"/>
  <c r="A8" i="4"/>
  <c r="A5" i="1" s="1"/>
  <c r="U7" i="4"/>
  <c r="S7" i="4"/>
  <c r="Q7" i="4"/>
  <c r="O7" i="4"/>
  <c r="V7" i="4" s="1"/>
  <c r="A7" i="4"/>
  <c r="A4" i="1" s="1"/>
  <c r="U6" i="4"/>
  <c r="S6" i="4"/>
  <c r="Q6" i="4"/>
  <c r="O6" i="4"/>
  <c r="A6" i="4"/>
  <c r="A3" i="1" s="1"/>
  <c r="U5" i="4"/>
  <c r="S5" i="4"/>
  <c r="S18" i="4" s="1"/>
  <c r="Q5" i="4"/>
  <c r="O5" i="4"/>
  <c r="A5" i="4"/>
  <c r="L29" i="9"/>
  <c r="J29" i="9"/>
  <c r="H28" i="9"/>
  <c r="H29" i="9" s="1"/>
  <c r="L27" i="9"/>
  <c r="J27" i="9"/>
  <c r="H26" i="9"/>
  <c r="F26" i="9"/>
  <c r="N26" i="9" s="1"/>
  <c r="N25" i="9"/>
  <c r="H25" i="9"/>
  <c r="F25" i="9"/>
  <c r="H24" i="9"/>
  <c r="N24" i="9" s="1"/>
  <c r="F24" i="9"/>
  <c r="H23" i="9"/>
  <c r="F23" i="9"/>
  <c r="N23" i="9" s="1"/>
  <c r="F22" i="9"/>
  <c r="N22" i="9" s="1"/>
  <c r="H20" i="9"/>
  <c r="N20" i="9" s="1"/>
  <c r="F20" i="9"/>
  <c r="H19" i="9"/>
  <c r="H27" i="9" s="1"/>
  <c r="F19" i="9"/>
  <c r="F27" i="9" s="1"/>
  <c r="D19" i="9"/>
  <c r="F17" i="9"/>
  <c r="N17" i="9" s="1"/>
  <c r="L15" i="9"/>
  <c r="J15" i="9"/>
  <c r="H15" i="9"/>
  <c r="D15" i="9"/>
  <c r="H14" i="9"/>
  <c r="F14" i="9"/>
  <c r="F15" i="9" s="1"/>
  <c r="H13" i="9"/>
  <c r="F13" i="9"/>
  <c r="N13" i="9" s="1"/>
  <c r="N12" i="9"/>
  <c r="H12" i="9"/>
  <c r="F12" i="9"/>
  <c r="L11" i="9"/>
  <c r="L30" i="9" s="1"/>
  <c r="J11" i="9"/>
  <c r="D11" i="9"/>
  <c r="N9" i="9"/>
  <c r="H9" i="9"/>
  <c r="F9" i="9"/>
  <c r="H7" i="9"/>
  <c r="F7" i="9"/>
  <c r="N7" i="9" s="1"/>
  <c r="D7" i="9"/>
  <c r="Q6" i="9"/>
  <c r="Q5" i="9"/>
  <c r="N5" i="9"/>
  <c r="H5" i="9"/>
  <c r="H11" i="9" s="1"/>
  <c r="H30" i="9" s="1"/>
  <c r="F5" i="9"/>
  <c r="J30" i="9" l="1"/>
  <c r="U18" i="4"/>
  <c r="V8" i="4"/>
  <c r="V16" i="4"/>
  <c r="O18" i="4"/>
  <c r="V12" i="4"/>
  <c r="V13" i="4"/>
  <c r="V17" i="4"/>
  <c r="V11" i="4"/>
  <c r="Q18" i="4"/>
  <c r="V6" i="4"/>
  <c r="V14" i="4"/>
  <c r="V5" i="4"/>
  <c r="V18" i="4" s="1"/>
  <c r="F11" i="9"/>
  <c r="F30" i="9" s="1"/>
  <c r="N11" i="9"/>
  <c r="N14" i="9"/>
  <c r="N15" i="9" s="1"/>
  <c r="N19" i="9"/>
  <c r="N27" i="9" s="1"/>
  <c r="N28" i="9"/>
  <c r="N29" i="9" s="1"/>
  <c r="N30" i="9" l="1"/>
  <c r="F2" i="1" l="1"/>
  <c r="E2" i="1"/>
  <c r="D2" i="1"/>
  <c r="C2" i="1"/>
  <c r="B2" i="1"/>
  <c r="A2" i="1" l="1"/>
  <c r="F17" i="5" l="1"/>
  <c r="F16" i="5" l="1"/>
  <c r="F26" i="5" s="1"/>
  <c r="F18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<sst xmlns="http://schemas.openxmlformats.org/spreadsheetml/2006/main" count="231" uniqueCount="168">
  <si>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</si>
  <si>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</si>
  <si>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</si>
  <si>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</si>
  <si>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</si>
  <si>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</si>
  <si>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</si>
  <si>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</si>
  <si>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</si>
  <si>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</si>
  <si>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</si>
  <si>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</si>
  <si>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</si>
  <si>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</si>
  <si>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</si>
  <si>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</si>
  <si>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</si>
  <si>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</si>
  <si>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</si>
  <si>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</si>
  <si>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</si>
  <si>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</si>
  <si>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</si>
  <si>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</si>
  <si>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</si>
  <si>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</si>
  <si>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</si>
  <si>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</si>
  <si>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</si>
  <si>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</si>
  <si>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</si>
  <si>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</si>
  <si>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</si>
  <si>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</si>
  <si>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</si>
  <si>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</si>
  <si>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</si>
  <si>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</si>
  <si>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</si>
  <si>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</si>
  <si>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</si>
  <si>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</si>
  <si>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</si>
  <si>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</si>
  <si>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</si>
  <si>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</si>
  <si>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</si>
  <si>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</si>
  <si>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</si>
  <si>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</si>
  <si>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</si>
  <si>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</si>
  <si>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</si>
  <si>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</si>
  <si>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</si>
  <si>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</si>
  <si>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</si>
  <si>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</si>
  <si>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</si>
  <si>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</si>
  <si>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</si>
  <si>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</si>
  <si>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</si>
  <si>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</si>
  <si>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</si>
  <si>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</si>
  <si>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</si>
  <si>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</si>
  <si>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</si>
  <si>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</si>
  <si>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</si>
  <si>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</si>
  <si>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</si>
  <si>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</si>
  <si>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</si>
  <si>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</si>
  <si>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</si>
  <si>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</si>
  <si>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</si>
  <si>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</si>
  <si>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</si>
  <si>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</si>
  <si>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</si>
  <si>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</si>
  <si>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</si>
  <si>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</si>
  <si>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</si>
  <si>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</si>
  <si>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</si>
  <si>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</si>
  <si>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</si>
  <si>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</si>
  <si>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</si>
  <si>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</si>
  <si>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</si>
  <si>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</si>
  <si>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</si>
  <si>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</si>
  <si>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</si>
  <si>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</si>
  <si>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</si>
  <si>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</si>
  <si>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</si>
  <si>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</si>
  <si>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</si>
  <si>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</si>
  <si>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</si>
  <si>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</si>
  <si>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</si>
  <si>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</si>
  <si>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</si>
  <si>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</si>
  <si>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</si>
  <si>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</si>
  <si>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</si>
  <si>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</si>
  <si>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</si>
  <si>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</si>
  <si>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</si>
  <si>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</si>
  <si>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</si>
  <si>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</si>
  <si>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</si>
  <si>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</si>
  <si>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</si>
  <si>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</si>
  <si>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</si>
  <si>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</si>
  <si>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</si>
  <si>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</si>
  <si>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</si>
  <si>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</si>
  <si>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</si>
  <si>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</si>
  <si>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</si>
  <si>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</si>
  <si>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</si>
  <si>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</si>
  <si>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</si>
  <si>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</si>
  <si>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</si>
  <si>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</si>
  <si>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</si>
  <si>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</si>
  <si>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</si>
  <si>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</si>
  <si>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</si>
  <si>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</si>
  <si>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</si>
  <si>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</si>
  <si>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</si>
  <si>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</si>
  <si>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</si>
  <si>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</si>
  <si>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</si>
  <si>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</si>
  <si>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</si>
  <si>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</si>
  <si>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</si>
  <si>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</si>
  <si>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 xml:space="preserve"> 공사명 : 사택 2-206 수장공사</t>
    <phoneticPr fontId="11" type="noConversion"/>
  </si>
  <si>
    <t xml:space="preserve"> 견적일 : 2026년  01월  13일</t>
    <phoneticPr fontId="11" type="noConversion"/>
  </si>
  <si>
    <t>사택 2-206 수장공사</t>
    <phoneticPr fontId="5" type="noConversion"/>
  </si>
  <si>
    <t>천정</t>
    <phoneticPr fontId="5" type="noConversion"/>
  </si>
  <si>
    <t>벽</t>
    <phoneticPr fontId="5" type="noConversion"/>
  </si>
  <si>
    <t xml:space="preserve">앞,뒤베란다 걸레받이 및 벽면 부분도색(벽면, 천정 곰팡이제거포함), 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</si>
  <si>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</t>
    </r>
    <r>
      <rPr>
        <sz val="10"/>
        <rFont val="LG스마트체 Regular"/>
        <family val="3"/>
        <charset val="129"/>
      </rPr>
      <t>/일당46=2.174</t>
    </r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</si>
  <si>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소요량100/16.51=6.0569R/L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</si>
</sst>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89" fontId="28" fillId="0" borderId="31" xfId="13" applyNumberFormat="1" applyFont="1" applyFill="1" applyBorder="1" applyAlignment="1">
      <alignment horizontal="center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186" fontId="20" fillId="0" borderId="0" xfId="0" applyNumberFormat="1" applyFont="1">
      <alignment vertical="center"/>
    </xf>
    <xf numFmtId="186" fontId="30" fillId="0" borderId="31" xfId="13" applyNumberFormat="1" applyFont="1" applyFill="1" applyBorder="1" applyAlignment="1">
      <alignment horizontal="center" vertical="center"/>
    </xf>
    <xf numFmtId="183" fontId="30" fillId="5" borderId="32" xfId="13" applyNumberFormat="1" applyFont="1" applyFill="1" applyBorder="1" applyAlignment="1">
      <alignment horizontal="center" vertical="center" wrapText="1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94" fontId="28" fillId="7" borderId="31" xfId="13" applyNumberFormat="1" applyFont="1" applyFill="1" applyBorder="1" applyAlignment="1">
      <alignment horizontal="center" vertical="center" wrapText="1"/>
    </xf>
    <xf numFmtId="183" fontId="30" fillId="5" borderId="36" xfId="13" applyNumberFormat="1" applyFont="1" applyFill="1" applyBorder="1" applyAlignment="1">
      <alignment horizontal="center" vertical="center" wrapText="1"/>
    </xf>
    <xf numFmtId="183" fontId="30" fillId="5" borderId="35" xfId="13" applyNumberFormat="1" applyFont="1" applyFill="1" applyBorder="1" applyAlignment="1">
      <alignment horizontal="center" vertical="center" wrapText="1"/>
    </xf>
    <xf numFmtId="193" fontId="29" fillId="0" borderId="3" xfId="1" applyNumberFormat="1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6" fontId="30" fillId="7" borderId="31" xfId="13" applyNumberFormat="1" applyFont="1" applyFill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L17" sqref="L1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7" t="s">
        <v>6</v>
      </c>
      <c r="B2" s="177"/>
      <c r="C2" s="177"/>
      <c r="D2" s="177"/>
      <c r="E2" s="177"/>
      <c r="F2" s="177"/>
      <c r="G2" s="177"/>
      <c r="H2" s="2"/>
    </row>
    <row r="3" spans="1:9" ht="13.5">
      <c r="A3" s="122"/>
      <c r="B3" s="122"/>
      <c r="C3" s="122"/>
      <c r="D3" s="122"/>
      <c r="E3" s="122"/>
      <c r="F3" s="122"/>
      <c r="G3" s="122"/>
      <c r="H3" s="122"/>
    </row>
    <row r="4" spans="1:9" ht="13.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80" t="s">
        <v>160</v>
      </c>
      <c r="B7" s="181"/>
      <c r="C7" s="182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80" t="s">
        <v>161</v>
      </c>
      <c r="B9" s="181"/>
      <c r="C9" s="182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78"/>
      <c r="B11" s="179"/>
      <c r="C11" s="179"/>
      <c r="D11" s="122"/>
      <c r="E11" s="14"/>
      <c r="F11" s="15" t="s">
        <v>40</v>
      </c>
      <c r="G11" s="16" t="s">
        <v>58</v>
      </c>
      <c r="H11" s="14"/>
    </row>
    <row r="12" spans="1:9" ht="19.5" thickBot="1">
      <c r="A12" s="17" t="s">
        <v>7</v>
      </c>
      <c r="B12" s="17" t="str">
        <f>NUMBERSTRING(F31,1)</f>
        <v>이백칠십팔만일천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'내역서(표준단가)'!O18</f>
        <v>561495.09034999995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'내역서(표준단가)'!Q18</f>
        <v>1804820.8935799997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2366315.9839299996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81216.94021109998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63980.900677410995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8285.5266377247244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18228.691025157998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64251.623811447986</v>
      </c>
      <c r="G25" s="35" t="s">
        <v>28</v>
      </c>
    </row>
    <row r="26" spans="1:7" ht="33" customHeight="1">
      <c r="A26" s="29"/>
      <c r="B26" s="42" t="s">
        <v>32</v>
      </c>
      <c r="C26" s="49" t="s">
        <v>147</v>
      </c>
      <c r="D26" s="30">
        <v>1</v>
      </c>
      <c r="E26" s="30" t="s">
        <v>25</v>
      </c>
      <c r="F26" s="43">
        <f>(F16+F17)*3.11%</f>
        <v>73592.42710022298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105718.85015215323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415274.95961521787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2781590.9435452176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2781000</v>
      </c>
      <c r="G31" s="158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L21" sqref="L21"/>
    </sheetView>
  </sheetViews>
  <sheetFormatPr defaultColWidth="9" defaultRowHeight="38.1" customHeight="1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>
      <c r="A1" s="183"/>
      <c r="B1" s="183"/>
      <c r="C1" s="183"/>
      <c r="D1" s="183"/>
      <c r="E1" s="183"/>
      <c r="F1" s="183"/>
      <c r="G1" s="183"/>
      <c r="H1" s="183"/>
      <c r="I1" s="183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>
      <c r="A2" s="183"/>
      <c r="B2" s="183"/>
      <c r="C2" s="183"/>
      <c r="D2" s="183"/>
      <c r="E2" s="183"/>
      <c r="F2" s="183"/>
      <c r="G2" s="183"/>
      <c r="H2" s="183"/>
      <c r="I2" s="18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194" t="s">
        <v>98</v>
      </c>
      <c r="K3" s="194"/>
      <c r="L3" s="192" t="s">
        <v>47</v>
      </c>
      <c r="M3" s="192" t="s">
        <v>5</v>
      </c>
      <c r="N3" s="188" t="s">
        <v>99</v>
      </c>
      <c r="O3" s="188"/>
      <c r="P3" s="188" t="s">
        <v>100</v>
      </c>
      <c r="Q3" s="188"/>
      <c r="R3" s="189" t="s">
        <v>101</v>
      </c>
      <c r="S3" s="189"/>
      <c r="T3" s="189" t="s">
        <v>102</v>
      </c>
      <c r="U3" s="189"/>
      <c r="V3" s="190" t="s">
        <v>103</v>
      </c>
      <c r="W3" s="186" t="s">
        <v>104</v>
      </c>
      <c r="X3" s="184" t="s">
        <v>45</v>
      </c>
    </row>
    <row r="4" spans="1:24" ht="19.899999999999999" customHeight="1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193"/>
      <c r="M4" s="193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1"/>
      <c r="W4" s="187"/>
      <c r="X4" s="185"/>
    </row>
    <row r="5" spans="1:24" s="140" customFormat="1" ht="38.1" customHeight="1">
      <c r="A5" s="73" t="str">
        <f t="shared" ref="A5:A17" si="0">F5&amp;G5&amp;H5&amp;I5</f>
        <v>M020853710050101</v>
      </c>
      <c r="B5" s="106"/>
      <c r="C5" s="106"/>
      <c r="D5" s="106"/>
      <c r="E5" s="106"/>
      <c r="F5" s="100"/>
      <c r="G5" s="74"/>
      <c r="H5" s="74" t="s">
        <v>148</v>
      </c>
      <c r="I5" s="100"/>
      <c r="J5" s="168" t="s">
        <v>149</v>
      </c>
      <c r="K5" s="169" t="s">
        <v>167</v>
      </c>
      <c r="L5" s="170" t="s">
        <v>157</v>
      </c>
      <c r="M5" s="160">
        <v>6.0568999999999997</v>
      </c>
      <c r="N5" s="150">
        <v>20900</v>
      </c>
      <c r="O5" s="128">
        <f t="shared" ref="O5:O17" si="1">SUM(N5:N5)*M5*$O$2</f>
        <v>105701.99034999999</v>
      </c>
      <c r="P5" s="127"/>
      <c r="Q5" s="128">
        <f t="shared" ref="Q5:Q17" si="2">(P5*M5)*$Q$2</f>
        <v>0</v>
      </c>
      <c r="R5" s="129"/>
      <c r="S5" s="128">
        <f t="shared" ref="S5:S17" si="3">R5*M5*$S$2</f>
        <v>0</v>
      </c>
      <c r="T5" s="129"/>
      <c r="U5" s="128">
        <f t="shared" ref="U5:U17" si="4">T5*M5*$U$2</f>
        <v>0</v>
      </c>
      <c r="V5" s="76">
        <f t="shared" ref="V5:V17" si="5">SUM(O5+Q5)+S5+U5</f>
        <v>105701.99034999999</v>
      </c>
      <c r="W5" s="117"/>
      <c r="X5" s="77"/>
    </row>
    <row r="6" spans="1:24" s="140" customFormat="1" ht="38.1" customHeight="1">
      <c r="A6" s="73" t="str">
        <f t="shared" si="0"/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68" t="s">
        <v>118</v>
      </c>
      <c r="K6" s="169" t="s">
        <v>166</v>
      </c>
      <c r="L6" s="168" t="s">
        <v>117</v>
      </c>
      <c r="M6" s="154">
        <v>2.1739999999999999</v>
      </c>
      <c r="N6" s="130"/>
      <c r="O6" s="128">
        <f t="shared" si="1"/>
        <v>0</v>
      </c>
      <c r="P6" s="127">
        <v>487076</v>
      </c>
      <c r="Q6" s="128">
        <f t="shared" si="2"/>
        <v>884184.19203999988</v>
      </c>
      <c r="R6" s="129"/>
      <c r="S6" s="128">
        <f t="shared" si="3"/>
        <v>0</v>
      </c>
      <c r="T6" s="129"/>
      <c r="U6" s="128">
        <f t="shared" si="4"/>
        <v>0</v>
      </c>
      <c r="V6" s="76">
        <f t="shared" si="5"/>
        <v>884184.19203999988</v>
      </c>
      <c r="W6" s="117"/>
      <c r="X6" s="77"/>
    </row>
    <row r="7" spans="1:24" s="140" customFormat="1" ht="38.1" customHeight="1">
      <c r="A7" s="73" t="str">
        <f t="shared" si="0"/>
        <v>M020809012520101</v>
      </c>
      <c r="B7" s="106"/>
      <c r="C7" s="106"/>
      <c r="D7" s="106"/>
      <c r="E7" s="106"/>
      <c r="F7" s="100"/>
      <c r="G7" s="74"/>
      <c r="H7" s="74" t="s">
        <v>151</v>
      </c>
      <c r="I7" s="100"/>
      <c r="J7" s="168" t="s">
        <v>152</v>
      </c>
      <c r="K7" s="168" t="s">
        <v>153</v>
      </c>
      <c r="L7" s="171" t="s">
        <v>150</v>
      </c>
      <c r="M7" s="154">
        <v>39.6</v>
      </c>
      <c r="N7" s="131">
        <v>13000</v>
      </c>
      <c r="O7" s="128">
        <f t="shared" si="1"/>
        <v>429858</v>
      </c>
      <c r="P7" s="127"/>
      <c r="Q7" s="128">
        <f t="shared" si="2"/>
        <v>0</v>
      </c>
      <c r="R7" s="129"/>
      <c r="S7" s="128">
        <f t="shared" si="3"/>
        <v>0</v>
      </c>
      <c r="T7" s="129"/>
      <c r="U7" s="128">
        <f t="shared" si="4"/>
        <v>0</v>
      </c>
      <c r="V7" s="76">
        <f t="shared" si="5"/>
        <v>429858</v>
      </c>
      <c r="W7" s="117"/>
      <c r="X7" s="77"/>
    </row>
    <row r="8" spans="1:24" s="140" customFormat="1" ht="38.1" customHeight="1">
      <c r="A8" s="73" t="str">
        <f t="shared" si="0"/>
        <v>E00000803071260401</v>
      </c>
      <c r="B8" s="106"/>
      <c r="C8" s="106"/>
      <c r="D8" s="106"/>
      <c r="E8" s="106"/>
      <c r="F8" s="100"/>
      <c r="G8" s="74" t="s">
        <v>119</v>
      </c>
      <c r="H8" s="74"/>
      <c r="I8" s="100"/>
      <c r="J8" s="168" t="s">
        <v>120</v>
      </c>
      <c r="K8" s="168" t="s">
        <v>158</v>
      </c>
      <c r="L8" s="168" t="s">
        <v>117</v>
      </c>
      <c r="M8" s="154">
        <v>0.64900000000000002</v>
      </c>
      <c r="N8" s="130"/>
      <c r="O8" s="128">
        <f t="shared" si="1"/>
        <v>0</v>
      </c>
      <c r="P8" s="127">
        <v>487076</v>
      </c>
      <c r="Q8" s="128">
        <f t="shared" si="2"/>
        <v>263953.79054000002</v>
      </c>
      <c r="R8" s="129"/>
      <c r="S8" s="128">
        <f t="shared" si="3"/>
        <v>0</v>
      </c>
      <c r="T8" s="129"/>
      <c r="U8" s="128">
        <f t="shared" si="4"/>
        <v>0</v>
      </c>
      <c r="V8" s="76">
        <f t="shared" si="5"/>
        <v>263953.79054000002</v>
      </c>
      <c r="W8" s="117"/>
      <c r="X8" s="77"/>
    </row>
    <row r="9" spans="1:24" s="140" customFormat="1" ht="38.1" customHeight="1">
      <c r="A9" s="73" t="str">
        <f t="shared" si="0"/>
        <v>M020412614110102</v>
      </c>
      <c r="B9" s="106"/>
      <c r="C9" s="106"/>
      <c r="D9" s="106"/>
      <c r="E9" s="106"/>
      <c r="F9" s="100"/>
      <c r="G9" s="74"/>
      <c r="H9" s="151" t="s">
        <v>145</v>
      </c>
      <c r="I9" s="100"/>
      <c r="J9" s="172" t="s">
        <v>144</v>
      </c>
      <c r="K9" s="172" t="s">
        <v>139</v>
      </c>
      <c r="L9" s="173" t="s">
        <v>138</v>
      </c>
      <c r="M9" s="226">
        <v>0.2</v>
      </c>
      <c r="N9" s="152">
        <v>65500</v>
      </c>
      <c r="O9" s="128">
        <f t="shared" si="1"/>
        <v>10938.5</v>
      </c>
      <c r="P9" s="127"/>
      <c r="Q9" s="128"/>
      <c r="R9" s="129"/>
      <c r="S9" s="128"/>
      <c r="T9" s="129"/>
      <c r="U9" s="128"/>
      <c r="V9" s="76">
        <f t="shared" si="5"/>
        <v>10938.5</v>
      </c>
      <c r="W9" s="117"/>
      <c r="X9" s="77"/>
    </row>
    <row r="10" spans="1:24" s="140" customFormat="1" ht="38.1" customHeight="1">
      <c r="A10" s="73" t="str">
        <f t="shared" si="0"/>
        <v>E00000803061120402</v>
      </c>
      <c r="B10" s="106"/>
      <c r="C10" s="106"/>
      <c r="D10" s="106"/>
      <c r="E10" s="106"/>
      <c r="F10" s="100"/>
      <c r="G10" s="74" t="s">
        <v>121</v>
      </c>
      <c r="H10" s="74"/>
      <c r="I10" s="100"/>
      <c r="J10" s="168" t="s">
        <v>122</v>
      </c>
      <c r="K10" s="169" t="s">
        <v>123</v>
      </c>
      <c r="L10" s="170" t="s">
        <v>136</v>
      </c>
      <c r="M10" s="160">
        <v>20</v>
      </c>
      <c r="N10" s="127"/>
      <c r="O10" s="128">
        <f t="shared" si="1"/>
        <v>0</v>
      </c>
      <c r="P10" s="127">
        <v>10432</v>
      </c>
      <c r="Q10" s="128">
        <f t="shared" si="2"/>
        <v>174214.39999999999</v>
      </c>
      <c r="R10" s="129"/>
      <c r="S10" s="128">
        <f t="shared" si="3"/>
        <v>0</v>
      </c>
      <c r="T10" s="129"/>
      <c r="U10" s="128">
        <f t="shared" si="4"/>
        <v>0</v>
      </c>
      <c r="V10" s="76">
        <f t="shared" si="5"/>
        <v>174214.39999999999</v>
      </c>
      <c r="W10" s="117"/>
      <c r="X10" s="77"/>
    </row>
    <row r="11" spans="1:24" s="140" customFormat="1" ht="38.1" customHeight="1">
      <c r="A11" s="73" t="str">
        <f t="shared" si="0"/>
        <v>E00000803061300201</v>
      </c>
      <c r="B11" s="106"/>
      <c r="C11" s="106"/>
      <c r="D11" s="106"/>
      <c r="E11" s="106"/>
      <c r="F11" s="100"/>
      <c r="G11" s="74" t="s">
        <v>125</v>
      </c>
      <c r="H11" s="74"/>
      <c r="I11" s="100"/>
      <c r="J11" s="168" t="s">
        <v>126</v>
      </c>
      <c r="K11" s="169" t="s">
        <v>127</v>
      </c>
      <c r="L11" s="170" t="s">
        <v>124</v>
      </c>
      <c r="M11" s="160">
        <v>17.399999999999999</v>
      </c>
      <c r="N11" s="127"/>
      <c r="O11" s="128">
        <f t="shared" si="1"/>
        <v>0</v>
      </c>
      <c r="P11" s="127">
        <v>6179</v>
      </c>
      <c r="Q11" s="128">
        <f t="shared" si="2"/>
        <v>89774.690999999992</v>
      </c>
      <c r="R11" s="129"/>
      <c r="S11" s="128">
        <f t="shared" si="3"/>
        <v>0</v>
      </c>
      <c r="T11" s="129"/>
      <c r="U11" s="128">
        <f t="shared" si="4"/>
        <v>0</v>
      </c>
      <c r="V11" s="76">
        <f t="shared" si="5"/>
        <v>89774.690999999992</v>
      </c>
      <c r="W11" s="117"/>
      <c r="X11" s="77"/>
    </row>
    <row r="12" spans="1:24" s="140" customFormat="1" ht="38.1" customHeight="1">
      <c r="A12" s="73" t="str">
        <f t="shared" si="0"/>
        <v>M020411810170101</v>
      </c>
      <c r="B12" s="106"/>
      <c r="C12" s="106"/>
      <c r="D12" s="106"/>
      <c r="E12" s="106"/>
      <c r="F12" s="100"/>
      <c r="G12" s="74"/>
      <c r="H12" s="151" t="s">
        <v>140</v>
      </c>
      <c r="I12" s="100"/>
      <c r="J12" s="172" t="s">
        <v>141</v>
      </c>
      <c r="K12" s="172" t="s">
        <v>142</v>
      </c>
      <c r="L12" s="173" t="s">
        <v>138</v>
      </c>
      <c r="M12" s="154">
        <v>0.2</v>
      </c>
      <c r="N12" s="152">
        <v>89800</v>
      </c>
      <c r="O12" s="128">
        <f t="shared" si="1"/>
        <v>14996.599999999999</v>
      </c>
      <c r="P12" s="127"/>
      <c r="Q12" s="128"/>
      <c r="R12" s="129"/>
      <c r="S12" s="128">
        <f t="shared" si="3"/>
        <v>0</v>
      </c>
      <c r="T12" s="129"/>
      <c r="U12" s="128">
        <f t="shared" si="4"/>
        <v>0</v>
      </c>
      <c r="V12" s="76">
        <f t="shared" si="5"/>
        <v>14996.599999999999</v>
      </c>
      <c r="W12" s="117"/>
      <c r="X12" s="77"/>
    </row>
    <row r="13" spans="1:24" s="140" customFormat="1" ht="38.1" customHeight="1">
      <c r="A13" s="73" t="str">
        <f t="shared" si="0"/>
        <v>E00000803061120802</v>
      </c>
      <c r="B13" s="106"/>
      <c r="C13" s="106"/>
      <c r="D13" s="106"/>
      <c r="E13" s="106"/>
      <c r="F13" s="100"/>
      <c r="G13" s="74" t="s">
        <v>128</v>
      </c>
      <c r="H13" s="74"/>
      <c r="I13" s="100"/>
      <c r="J13" s="168" t="s">
        <v>129</v>
      </c>
      <c r="K13" s="168" t="s">
        <v>130</v>
      </c>
      <c r="L13" s="171" t="s">
        <v>124</v>
      </c>
      <c r="M13" s="154">
        <v>10</v>
      </c>
      <c r="N13" s="141"/>
      <c r="O13" s="75">
        <f t="shared" si="1"/>
        <v>0</v>
      </c>
      <c r="P13" s="142">
        <v>2422</v>
      </c>
      <c r="Q13" s="75">
        <f t="shared" si="2"/>
        <v>20223.7</v>
      </c>
      <c r="R13" s="76"/>
      <c r="S13" s="75">
        <f t="shared" si="3"/>
        <v>0</v>
      </c>
      <c r="T13" s="76"/>
      <c r="U13" s="75">
        <f t="shared" si="4"/>
        <v>0</v>
      </c>
      <c r="V13" s="76">
        <f t="shared" si="5"/>
        <v>20223.7</v>
      </c>
      <c r="W13" s="117"/>
      <c r="X13" s="77"/>
    </row>
    <row r="14" spans="1:24" s="140" customFormat="1" ht="38.1" customHeight="1">
      <c r="A14" s="73" t="str">
        <f t="shared" si="0"/>
        <v>E00000803061300701</v>
      </c>
      <c r="B14" s="106"/>
      <c r="C14" s="106"/>
      <c r="D14" s="106"/>
      <c r="E14" s="106"/>
      <c r="F14" s="100"/>
      <c r="G14" s="74" t="s">
        <v>131</v>
      </c>
      <c r="H14" s="74"/>
      <c r="I14" s="100"/>
      <c r="J14" s="168" t="s">
        <v>132</v>
      </c>
      <c r="K14" s="168" t="s">
        <v>127</v>
      </c>
      <c r="L14" s="171" t="s">
        <v>124</v>
      </c>
      <c r="M14" s="154">
        <v>10</v>
      </c>
      <c r="N14" s="118"/>
      <c r="O14" s="75">
        <f t="shared" si="1"/>
        <v>0</v>
      </c>
      <c r="P14" s="142">
        <v>3756</v>
      </c>
      <c r="Q14" s="75">
        <f t="shared" si="2"/>
        <v>31362.6</v>
      </c>
      <c r="R14" s="76"/>
      <c r="S14" s="75">
        <f t="shared" si="3"/>
        <v>0</v>
      </c>
      <c r="T14" s="76"/>
      <c r="U14" s="75">
        <f t="shared" si="4"/>
        <v>0</v>
      </c>
      <c r="V14" s="76">
        <f t="shared" si="5"/>
        <v>31362.6</v>
      </c>
      <c r="W14" s="117"/>
      <c r="X14" s="77"/>
    </row>
    <row r="15" spans="1:24" s="140" customFormat="1" ht="38.1" customHeight="1">
      <c r="A15" s="73" t="str">
        <f t="shared" si="0"/>
        <v>E00000803061120802</v>
      </c>
      <c r="B15" s="106"/>
      <c r="C15" s="106"/>
      <c r="D15" s="106"/>
      <c r="E15" s="106"/>
      <c r="F15" s="100"/>
      <c r="G15" s="74" t="s">
        <v>128</v>
      </c>
      <c r="H15" s="74"/>
      <c r="I15" s="100"/>
      <c r="J15" s="168" t="s">
        <v>133</v>
      </c>
      <c r="K15" s="168" t="s">
        <v>130</v>
      </c>
      <c r="L15" s="171" t="s">
        <v>124</v>
      </c>
      <c r="M15" s="154">
        <v>2</v>
      </c>
      <c r="N15" s="141"/>
      <c r="O15" s="75">
        <f t="shared" si="1"/>
        <v>0</v>
      </c>
      <c r="P15" s="142">
        <v>2422</v>
      </c>
      <c r="Q15" s="75">
        <f t="shared" si="2"/>
        <v>4044.74</v>
      </c>
      <c r="R15" s="76"/>
      <c r="S15" s="75">
        <f t="shared" si="3"/>
        <v>0</v>
      </c>
      <c r="T15" s="76"/>
      <c r="U15" s="75">
        <f t="shared" si="4"/>
        <v>0</v>
      </c>
      <c r="V15" s="76">
        <f t="shared" si="5"/>
        <v>4044.74</v>
      </c>
      <c r="W15" s="117"/>
      <c r="X15" s="77"/>
    </row>
    <row r="16" spans="1:24" s="140" customFormat="1" ht="38.1" customHeight="1">
      <c r="A16" s="73" t="str">
        <f t="shared" si="0"/>
        <v>E00000803061300401</v>
      </c>
      <c r="B16" s="106"/>
      <c r="C16" s="106"/>
      <c r="D16" s="106"/>
      <c r="E16" s="106"/>
      <c r="F16" s="100"/>
      <c r="G16" s="74" t="s">
        <v>134</v>
      </c>
      <c r="H16" s="74"/>
      <c r="I16" s="100"/>
      <c r="J16" s="168" t="s">
        <v>135</v>
      </c>
      <c r="K16" s="168" t="s">
        <v>127</v>
      </c>
      <c r="L16" s="171" t="s">
        <v>124</v>
      </c>
      <c r="M16" s="154">
        <v>2</v>
      </c>
      <c r="N16" s="118"/>
      <c r="O16" s="75">
        <f t="shared" si="1"/>
        <v>0</v>
      </c>
      <c r="P16" s="142">
        <v>5677</v>
      </c>
      <c r="Q16" s="75">
        <f t="shared" si="2"/>
        <v>9480.59</v>
      </c>
      <c r="R16" s="76"/>
      <c r="S16" s="75">
        <f t="shared" si="3"/>
        <v>0</v>
      </c>
      <c r="T16" s="76"/>
      <c r="U16" s="75">
        <f t="shared" si="4"/>
        <v>0</v>
      </c>
      <c r="V16" s="76">
        <f t="shared" si="5"/>
        <v>9480.59</v>
      </c>
      <c r="W16" s="117"/>
      <c r="X16" s="77"/>
    </row>
    <row r="17" spans="1:24" s="140" customFormat="1" ht="38.1" customHeight="1">
      <c r="A17" s="73" t="str">
        <f t="shared" si="0"/>
        <v>E00000801011510701</v>
      </c>
      <c r="B17" s="106"/>
      <c r="C17" s="106"/>
      <c r="D17" s="106"/>
      <c r="E17" s="106"/>
      <c r="F17" s="100"/>
      <c r="G17" s="74" t="s">
        <v>156</v>
      </c>
      <c r="H17" s="74"/>
      <c r="I17" s="100"/>
      <c r="J17" s="174" t="s">
        <v>154</v>
      </c>
      <c r="K17" s="174" t="s">
        <v>159</v>
      </c>
      <c r="L17" s="175" t="s">
        <v>155</v>
      </c>
      <c r="M17" s="154">
        <v>79</v>
      </c>
      <c r="N17" s="141"/>
      <c r="O17" s="75">
        <f t="shared" si="1"/>
        <v>0</v>
      </c>
      <c r="P17" s="153">
        <v>4966</v>
      </c>
      <c r="Q17" s="75">
        <f t="shared" si="2"/>
        <v>327582.19</v>
      </c>
      <c r="R17" s="76"/>
      <c r="S17" s="75">
        <f t="shared" si="3"/>
        <v>0</v>
      </c>
      <c r="T17" s="76"/>
      <c r="U17" s="75">
        <f t="shared" si="4"/>
        <v>0</v>
      </c>
      <c r="V17" s="76">
        <f t="shared" si="5"/>
        <v>327582.19</v>
      </c>
      <c r="W17" s="117"/>
      <c r="X17" s="77"/>
    </row>
    <row r="18" spans="1:24" s="148" customFormat="1" ht="38.1" customHeight="1">
      <c r="A18" s="143"/>
      <c r="B18" s="144"/>
      <c r="C18" s="144"/>
      <c r="D18" s="144"/>
      <c r="E18" s="144"/>
      <c r="F18" s="144"/>
      <c r="G18" s="144"/>
      <c r="H18" s="144"/>
      <c r="I18" s="144"/>
      <c r="J18" s="134"/>
      <c r="K18" s="134"/>
      <c r="L18" s="144"/>
      <c r="M18" s="144"/>
      <c r="N18" s="144"/>
      <c r="O18" s="145">
        <f>SUM(O5:O17)</f>
        <v>561495.09034999995</v>
      </c>
      <c r="P18" s="146"/>
      <c r="Q18" s="145">
        <f>SUM(Q5:Q17)</f>
        <v>1804820.8935799997</v>
      </c>
      <c r="R18" s="146"/>
      <c r="S18" s="145">
        <f>SUM(S5:S17)</f>
        <v>0</v>
      </c>
      <c r="T18" s="146"/>
      <c r="U18" s="145">
        <f>SUM(U5:U17)</f>
        <v>0</v>
      </c>
      <c r="V18" s="147">
        <f>SUM(V5:V17)</f>
        <v>2366315.9839300001</v>
      </c>
      <c r="W18" s="109"/>
      <c r="X18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4"/>
  <sheetViews>
    <sheetView tabSelected="1" zoomScaleNormal="100" workbookViewId="0">
      <selection activeCell="H35" sqref="H35"/>
    </sheetView>
  </sheetViews>
  <sheetFormatPr defaultColWidth="9" defaultRowHeight="13.5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7" ht="27" customHeight="1">
      <c r="A1" s="197" t="s">
        <v>59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7" ht="15" customHeight="1">
      <c r="A2" s="198" t="s">
        <v>60</v>
      </c>
      <c r="B2" s="199" t="s">
        <v>61</v>
      </c>
      <c r="C2" s="200" t="s">
        <v>47</v>
      </c>
      <c r="D2" s="200" t="s">
        <v>62</v>
      </c>
      <c r="E2" s="202" t="s">
        <v>63</v>
      </c>
      <c r="F2" s="199"/>
      <c r="G2" s="199" t="s">
        <v>64</v>
      </c>
      <c r="H2" s="199"/>
      <c r="I2" s="203" t="s">
        <v>65</v>
      </c>
      <c r="J2" s="204"/>
      <c r="K2" s="203" t="s">
        <v>66</v>
      </c>
      <c r="L2" s="204"/>
      <c r="M2" s="202" t="s">
        <v>67</v>
      </c>
      <c r="N2" s="199"/>
      <c r="O2" s="205" t="s">
        <v>68</v>
      </c>
    </row>
    <row r="3" spans="1:17" ht="15" customHeight="1">
      <c r="A3" s="198"/>
      <c r="B3" s="199"/>
      <c r="C3" s="201"/>
      <c r="D3" s="201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06"/>
    </row>
    <row r="4" spans="1:17" ht="15" customHeight="1">
      <c r="A4" s="195" t="s">
        <v>162</v>
      </c>
      <c r="B4" s="19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7" ht="15" customHeight="1">
      <c r="A5" s="208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10"/>
      <c r="P5" s="78" t="s">
        <v>163</v>
      </c>
      <c r="Q5" s="218">
        <f>D6+D8+D10</f>
        <v>0</v>
      </c>
    </row>
    <row r="6" spans="1:17" ht="15" customHeight="1">
      <c r="A6" s="209"/>
      <c r="B6" s="221" t="s">
        <v>75</v>
      </c>
      <c r="C6" s="222" t="s">
        <v>74</v>
      </c>
      <c r="D6" s="228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1"/>
      <c r="P6" s="78" t="s">
        <v>164</v>
      </c>
      <c r="Q6" s="218">
        <f>D5+D7+D9</f>
        <v>99.7</v>
      </c>
    </row>
    <row r="7" spans="1:17" ht="15" customHeight="1">
      <c r="A7" s="209"/>
      <c r="B7" s="161" t="s">
        <v>76</v>
      </c>
      <c r="C7" s="162" t="s">
        <v>74</v>
      </c>
      <c r="D7" s="219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ref="N6:N10" si="2">F7+H7+J7+L7</f>
        <v>244453.43</v>
      </c>
      <c r="O7" s="211"/>
    </row>
    <row r="8" spans="1:17" ht="15" customHeight="1">
      <c r="A8" s="209"/>
      <c r="B8" s="214" t="s">
        <v>77</v>
      </c>
      <c r="C8" s="215" t="s">
        <v>74</v>
      </c>
      <c r="D8" s="22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1"/>
    </row>
    <row r="9" spans="1:17" ht="15" customHeight="1">
      <c r="A9" s="209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11"/>
    </row>
    <row r="10" spans="1:17" ht="15" customHeight="1">
      <c r="A10" s="209"/>
      <c r="B10" s="214" t="s">
        <v>79</v>
      </c>
      <c r="C10" s="215" t="s">
        <v>74</v>
      </c>
      <c r="D10" s="22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1"/>
    </row>
    <row r="11" spans="1:17" ht="15" customHeight="1">
      <c r="A11" s="110" t="s">
        <v>80</v>
      </c>
      <c r="B11" s="111"/>
      <c r="C11" s="112"/>
      <c r="D11" s="116">
        <f>SUM(D5:D10)</f>
        <v>99.7</v>
      </c>
      <c r="E11" s="113"/>
      <c r="F11" s="113">
        <f>SUM(F5:F10)</f>
        <v>105382.9</v>
      </c>
      <c r="G11" s="113"/>
      <c r="H11" s="113">
        <f>SUM(H5:H10)</f>
        <v>881338.03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986720.92999999993</v>
      </c>
      <c r="O11" s="113"/>
    </row>
    <row r="12" spans="1:17" ht="15" customHeight="1">
      <c r="A12" s="212" t="s">
        <v>146</v>
      </c>
      <c r="B12" s="81" t="s">
        <v>81</v>
      </c>
      <c r="C12" s="82" t="s">
        <v>74</v>
      </c>
      <c r="D12" s="165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11"/>
    </row>
    <row r="13" spans="1:17" ht="15" customHeight="1">
      <c r="A13" s="212"/>
      <c r="B13" s="81" t="s">
        <v>82</v>
      </c>
      <c r="C13" s="82" t="s">
        <v>74</v>
      </c>
      <c r="D13" s="166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11"/>
    </row>
    <row r="14" spans="1:17" ht="15" customHeight="1">
      <c r="A14" s="212"/>
      <c r="B14" s="81" t="s">
        <v>83</v>
      </c>
      <c r="C14" s="82" t="s">
        <v>74</v>
      </c>
      <c r="D14" s="166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11"/>
    </row>
    <row r="15" spans="1:17" ht="15" customHeight="1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7" ht="15" customHeight="1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>
      <c r="A17" s="176" t="s">
        <v>143</v>
      </c>
      <c r="B17" s="163" t="s">
        <v>139</v>
      </c>
      <c r="C17" s="163" t="s">
        <v>138</v>
      </c>
      <c r="D17" s="164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220" t="s">
        <v>165</v>
      </c>
    </row>
    <row r="18" spans="1:15" ht="15" customHeight="1">
      <c r="A18" s="213" t="s">
        <v>85</v>
      </c>
      <c r="B18" s="221" t="s">
        <v>86</v>
      </c>
      <c r="C18" s="222" t="s">
        <v>74</v>
      </c>
      <c r="D18" s="223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24"/>
    </row>
    <row r="19" spans="1:15" ht="15" customHeight="1">
      <c r="A19" s="213"/>
      <c r="B19" s="161" t="s">
        <v>87</v>
      </c>
      <c r="C19" s="162" t="s">
        <v>74</v>
      </c>
      <c r="D19" s="167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24"/>
    </row>
    <row r="20" spans="1:15" ht="15" customHeight="1">
      <c r="A20" s="207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24"/>
    </row>
    <row r="21" spans="1:15" ht="15" customHeight="1">
      <c r="A21" s="207"/>
      <c r="B21" s="214" t="s">
        <v>87</v>
      </c>
      <c r="C21" s="215" t="s">
        <v>74</v>
      </c>
      <c r="D21" s="216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24"/>
    </row>
    <row r="22" spans="1:15" ht="15" customHeight="1">
      <c r="A22" s="126" t="s">
        <v>141</v>
      </c>
      <c r="B22" s="125" t="s">
        <v>142</v>
      </c>
      <c r="C22" s="125" t="s">
        <v>138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225"/>
    </row>
    <row r="23" spans="1:15" ht="15" customHeight="1">
      <c r="A23" s="207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>
      <c r="A24" s="207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>
      <c r="A25" s="207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>
      <c r="A26" s="207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>
      <c r="A30" s="101" t="s">
        <v>137</v>
      </c>
      <c r="B30" s="84"/>
      <c r="C30" s="85"/>
      <c r="D30" s="95"/>
      <c r="E30" s="97"/>
      <c r="F30" s="98">
        <f>F11+F15+F27+F29</f>
        <v>562262.4</v>
      </c>
      <c r="G30" s="98"/>
      <c r="H30" s="98">
        <f>H11+H15+H27+H29</f>
        <v>1802765.2000000002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2365027.6</v>
      </c>
      <c r="O30" s="97"/>
    </row>
    <row r="34" spans="2:2">
      <c r="B34" s="159"/>
    </row>
  </sheetData>
  <mergeCells count="21">
    <mergeCell ref="A5:A10"/>
    <mergeCell ref="O5:O10"/>
    <mergeCell ref="A12:A14"/>
    <mergeCell ref="O12:O14"/>
    <mergeCell ref="O17:O22"/>
    <mergeCell ref="A18:A19"/>
    <mergeCell ref="A20:A21"/>
    <mergeCell ref="A23:A24"/>
    <mergeCell ref="A25:A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F28" sqref="F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6.0568999999999997</v>
      </c>
    </row>
    <row r="3" spans="1:6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>
      <c r="A4" s="104" t="str">
        <f>'내역서(표준단가)'!A7</f>
        <v>M020809012520101</v>
      </c>
      <c r="B4" s="105">
        <f>'내역서(표준단가)'!F7</f>
        <v>0</v>
      </c>
      <c r="C4" s="105">
        <f>'내역서(표준단가)'!G7</f>
        <v>0</v>
      </c>
      <c r="D4" s="105" t="str">
        <f>'내역서(표준단가)'!H7</f>
        <v>M020809012520101</v>
      </c>
      <c r="E4" s="105">
        <f>'내역서(표준단가)'!I7</f>
        <v>0</v>
      </c>
      <c r="F4" s="115">
        <f>'내역서(표준단가)'!M7</f>
        <v>39.6</v>
      </c>
    </row>
    <row r="5" spans="1:6">
      <c r="A5" s="104" t="str">
        <f>'내역서(표준단가)'!A8</f>
        <v>E00000803071260401</v>
      </c>
      <c r="B5" s="105">
        <f>'내역서(표준단가)'!F8</f>
        <v>0</v>
      </c>
      <c r="C5" s="105" t="str">
        <f>'내역서(표준단가)'!G8</f>
        <v>E00000803071260401</v>
      </c>
      <c r="D5" s="105">
        <f>'내역서(표준단가)'!H8</f>
        <v>0</v>
      </c>
      <c r="E5" s="105">
        <f>'내역서(표준단가)'!I8</f>
        <v>0</v>
      </c>
      <c r="F5" s="115">
        <f>'내역서(표준단가)'!M8</f>
        <v>0.64900000000000002</v>
      </c>
    </row>
    <row r="6" spans="1:6">
      <c r="A6" s="104" t="str">
        <f>'내역서(표준단가)'!A9</f>
        <v>M020412614110102</v>
      </c>
      <c r="B6" s="105">
        <f>'내역서(표준단가)'!F9</f>
        <v>0</v>
      </c>
      <c r="C6" s="105">
        <f>'내역서(표준단가)'!G9</f>
        <v>0</v>
      </c>
      <c r="D6" s="105" t="str">
        <f>'내역서(표준단가)'!H9</f>
        <v>M020412614110102</v>
      </c>
      <c r="E6" s="105">
        <f>'내역서(표준단가)'!I9</f>
        <v>0</v>
      </c>
      <c r="F6" s="115">
        <f>'내역서(표준단가)'!M9</f>
        <v>0.2</v>
      </c>
    </row>
    <row r="7" spans="1:6">
      <c r="A7" s="104" t="str">
        <f>'내역서(표준단가)'!A10</f>
        <v>E00000803061120402</v>
      </c>
      <c r="B7" s="105">
        <f>'내역서(표준단가)'!F10</f>
        <v>0</v>
      </c>
      <c r="C7" s="105" t="str">
        <f>'내역서(표준단가)'!G10</f>
        <v>E00000803061120402</v>
      </c>
      <c r="D7" s="105">
        <f>'내역서(표준단가)'!H10</f>
        <v>0</v>
      </c>
      <c r="E7" s="105">
        <f>'내역서(표준단가)'!I10</f>
        <v>0</v>
      </c>
      <c r="F7" s="115">
        <f>'내역서(표준단가)'!M10</f>
        <v>20</v>
      </c>
    </row>
    <row r="8" spans="1:6">
      <c r="A8" s="104" t="str">
        <f>'내역서(표준단가)'!A11</f>
        <v>E00000803061300201</v>
      </c>
      <c r="B8" s="105">
        <f>'내역서(표준단가)'!F11</f>
        <v>0</v>
      </c>
      <c r="C8" s="105" t="str">
        <f>'내역서(표준단가)'!G11</f>
        <v>E00000803061300201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17.399999999999999</v>
      </c>
    </row>
    <row r="9" spans="1:6">
      <c r="A9" s="104" t="str">
        <f>'내역서(표준단가)'!A12</f>
        <v>M020411810170101</v>
      </c>
      <c r="B9" s="105">
        <f>'내역서(표준단가)'!F12</f>
        <v>0</v>
      </c>
      <c r="C9" s="105">
        <f>'내역서(표준단가)'!G12</f>
        <v>0</v>
      </c>
      <c r="D9" s="105" t="str">
        <f>'내역서(표준단가)'!H12</f>
        <v>M020411810170101</v>
      </c>
      <c r="E9" s="105">
        <f>'내역서(표준단가)'!I12</f>
        <v>0</v>
      </c>
      <c r="F9" s="115">
        <f>'내역서(표준단가)'!M12</f>
        <v>0.2</v>
      </c>
    </row>
    <row r="10" spans="1:6">
      <c r="A10" s="104" t="str">
        <f>'내역서(표준단가)'!A13</f>
        <v>E00000803061120802</v>
      </c>
      <c r="B10" s="105">
        <f>'내역서(표준단가)'!F13</f>
        <v>0</v>
      </c>
      <c r="C10" s="105" t="str">
        <f>'내역서(표준단가)'!G13</f>
        <v>E00000803061120802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10</v>
      </c>
    </row>
    <row r="11" spans="1:6">
      <c r="A11" s="104" t="str">
        <f>'내역서(표준단가)'!A14</f>
        <v>E00000803061300701</v>
      </c>
      <c r="B11" s="105">
        <f>'내역서(표준단가)'!F14</f>
        <v>0</v>
      </c>
      <c r="C11" s="105" t="str">
        <f>'내역서(표준단가)'!G14</f>
        <v>E00000803061300701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>
      <c r="A12" s="104" t="str">
        <f>'내역서(표준단가)'!A15</f>
        <v>E00000803061120802</v>
      </c>
      <c r="B12" s="105">
        <f>'내역서(표준단가)'!F15</f>
        <v>0</v>
      </c>
      <c r="C12" s="105" t="str">
        <f>'내역서(표준단가)'!G15</f>
        <v>E00000803061120802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2</v>
      </c>
    </row>
    <row r="13" spans="1:6">
      <c r="A13" s="104" t="str">
        <f>'내역서(표준단가)'!A16</f>
        <v>E00000803061300401</v>
      </c>
      <c r="B13" s="105">
        <f>'내역서(표준단가)'!F16</f>
        <v>0</v>
      </c>
      <c r="C13" s="105" t="str">
        <f>'내역서(표준단가)'!G16</f>
        <v>E00000803061300401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>
      <c r="A14" s="104" t="str">
        <f>'내역서(표준단가)'!A17</f>
        <v>E00000801011510701</v>
      </c>
      <c r="B14" s="105">
        <f>'내역서(표준단가)'!F17</f>
        <v>0</v>
      </c>
      <c r="C14" s="105" t="str">
        <f>'내역서(표준단가)'!G17</f>
        <v>E00000801011510701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2026-01-13T05:16:45Z</dcterms:modified>
</cp:coreProperties>
</file>
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1 견적 작성\02 견적서\01 솔루션\241212\06 작업폴더\02 사택 7-403 수장공사\"/>
    </mc:Choice>
  </mc:AlternateContent>
  <xr:revisionPtr revIDLastSave="0" documentId="13_ncr:1_{E16CB012-20E5-4EAA-AD09-91245074FC77}" xr6:coauthVersionLast="47" xr6:coauthVersionMax="47" xr10:uidLastSave="{00000000-0000-0000-0000-000000000000}"/>
  <bookViews>
    <workbookView xWindow="2685" yWindow="2685" windowWidth="7500" windowHeight="11295" xr2:uid="{00000000-000D-0000-FFFF-FFFF00000000}"/>
  </bookViews>
  <sheets>
    <sheet name="갑지" sheetId="5" r:id="rId1"/>
    <sheet name="내역서(표준단가)" sheetId="4" r:id="rId2"/>
    <sheet name="상세내역" sheetId="9" r:id="rId3"/>
    <sheet name="시중가 근거서류" sheetId="10" r:id="rId4"/>
    <sheet name="Upload(시중가)" sheetId="6" r:id="rId5"/>
    <sheet name="Upload" sheetId="1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D11" i="9" l="1"/>
  <c r="F2" i="1" l="1"/>
  <c r="E2" i="1"/>
  <c r="D2" i="1"/>
  <c r="C2" i="1"/>
  <c r="B2" i="1"/>
  <c r="L35" i="9" l="1"/>
  <c r="J35" i="9"/>
  <c r="L32" i="9"/>
  <c r="J32" i="9"/>
  <c r="J30" i="9"/>
  <c r="J20" i="9"/>
  <c r="J12" i="9"/>
  <c r="H34" i="9"/>
  <c r="H31" i="9"/>
  <c r="H32" i="9" s="1"/>
  <c r="H24" i="9"/>
  <c r="F24" i="9"/>
  <c r="H23" i="9"/>
  <c r="F23" i="9"/>
  <c r="H19" i="9"/>
  <c r="F19" i="9"/>
  <c r="H18" i="9"/>
  <c r="F18" i="9"/>
  <c r="H17" i="9"/>
  <c r="F17" i="9"/>
  <c r="F16" i="9"/>
  <c r="N16" i="9" s="1"/>
  <c r="H15" i="9"/>
  <c r="N15" i="9" s="1"/>
  <c r="H14" i="9"/>
  <c r="N14" i="9" s="1"/>
  <c r="H13" i="9"/>
  <c r="N13" i="9" s="1"/>
  <c r="H10" i="9"/>
  <c r="F10" i="9"/>
  <c r="H9" i="9"/>
  <c r="F9" i="9"/>
  <c r="H8" i="9"/>
  <c r="F8" i="9"/>
  <c r="H7" i="9"/>
  <c r="F7" i="9"/>
  <c r="H6" i="9"/>
  <c r="F6" i="9"/>
  <c r="H5" i="9"/>
  <c r="F5" i="9"/>
  <c r="N6" i="9" l="1"/>
  <c r="N8" i="9"/>
  <c r="N10" i="9"/>
  <c r="N5" i="9"/>
  <c r="N7" i="9"/>
  <c r="N9" i="9"/>
  <c r="N31" i="9"/>
  <c r="N32" i="9" s="1"/>
  <c r="N17" i="9"/>
  <c r="N19" i="9"/>
  <c r="N24" i="9"/>
  <c r="F35" i="9"/>
  <c r="N18" i="9"/>
  <c r="N23" i="9"/>
  <c r="H20" i="9"/>
  <c r="H35" i="9"/>
  <c r="N34" i="9"/>
  <c r="H30" i="9"/>
  <c r="J36" i="9"/>
  <c r="L30" i="9"/>
  <c r="F12" i="9"/>
  <c r="F30" i="9"/>
  <c r="L12" i="9"/>
  <c r="L20" i="9"/>
  <c r="F20" i="9"/>
  <c r="F36" i="9" l="1"/>
  <c r="N35" i="9"/>
  <c r="Q14" i="4" l="1"/>
  <c r="J16" i="4"/>
  <c r="J15" i="4"/>
  <c r="U12" i="4"/>
  <c r="S12" i="4"/>
  <c r="Q12" i="4"/>
  <c r="O12" i="4"/>
  <c r="A12" i="4"/>
  <c r="A9" i="1" s="1"/>
  <c r="A17" i="4"/>
  <c r="A14" i="4"/>
  <c r="A11" i="1" s="1"/>
  <c r="A13" i="4"/>
  <c r="A10" i="1" s="1"/>
  <c r="A11" i="4"/>
  <c r="A8" i="1" s="1"/>
  <c r="A10" i="4"/>
  <c r="A7" i="1" s="1"/>
  <c r="A9" i="4"/>
  <c r="A6" i="1" s="1"/>
  <c r="A8" i="4"/>
  <c r="A5" i="1" s="1"/>
  <c r="A7" i="4"/>
  <c r="A4" i="1" s="1"/>
  <c r="A6" i="4"/>
  <c r="A3" i="1" s="1"/>
  <c r="A5" i="4"/>
  <c r="A2" i="1" s="1"/>
  <c r="V12" i="4" l="1"/>
  <c r="U13" i="4"/>
  <c r="S13" i="4"/>
  <c r="Q13" i="4"/>
  <c r="O13" i="4"/>
  <c r="U11" i="4"/>
  <c r="S11" i="4"/>
  <c r="Q11" i="4"/>
  <c r="O11" i="4"/>
  <c r="U10" i="4"/>
  <c r="S10" i="4"/>
  <c r="Q10" i="4"/>
  <c r="O10" i="4"/>
  <c r="U9" i="4"/>
  <c r="S9" i="4"/>
  <c r="Q9" i="4"/>
  <c r="O9" i="4"/>
  <c r="U8" i="4"/>
  <c r="S8" i="4"/>
  <c r="Q8" i="4"/>
  <c r="O8" i="4"/>
  <c r="U7" i="4"/>
  <c r="S7" i="4"/>
  <c r="Q7" i="4"/>
  <c r="O7" i="4"/>
  <c r="U6" i="4"/>
  <c r="S6" i="4"/>
  <c r="Q6" i="4"/>
  <c r="O6" i="4"/>
  <c r="U5" i="4"/>
  <c r="S5" i="4"/>
  <c r="Q5" i="4"/>
  <c r="O5" i="4"/>
  <c r="V5" i="4" l="1"/>
  <c r="V7" i="4"/>
  <c r="V9" i="4"/>
  <c r="V11" i="4"/>
  <c r="V6" i="4"/>
  <c r="V8" i="4"/>
  <c r="V10" i="4"/>
  <c r="V13" i="4"/>
  <c r="D20" i="9"/>
  <c r="D12" i="9"/>
  <c r="H11" i="9"/>
  <c r="N11" i="9" l="1"/>
  <c r="N12" i="9" s="1"/>
  <c r="H12" i="9"/>
  <c r="H36" i="9" s="1"/>
  <c r="N30" i="9"/>
  <c r="N20" i="9"/>
  <c r="N36" i="9" l="1"/>
  <c r="U17" i="4"/>
  <c r="S17" i="4"/>
  <c r="Q17" i="4"/>
  <c r="O17" i="4"/>
  <c r="U16" i="4"/>
  <c r="S16" i="4"/>
  <c r="Q16" i="4"/>
  <c r="O16" i="4"/>
  <c r="U15" i="4"/>
  <c r="S15" i="4"/>
  <c r="Q15" i="4"/>
  <c r="O15" i="4"/>
  <c r="U14" i="4"/>
  <c r="S14" i="4"/>
  <c r="O14" i="4"/>
  <c r="V14" i="4" l="1"/>
  <c r="V15" i="4"/>
  <c r="V16" i="4"/>
  <c r="V17" i="4"/>
  <c r="U18" i="4"/>
  <c r="Q18" i="4"/>
  <c r="S18" i="4" l="1"/>
  <c r="V18" i="4" l="1"/>
  <c r="F18" i="5" l="1"/>
  <c r="O18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<sst xmlns="http://schemas.openxmlformats.org/spreadsheetml/2006/main" count="268" uniqueCount="200">
  <si>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</si>
  <si>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</si>
  <si>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</si>
  <si>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</si>
  <si>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</si>
  <si>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</si>
  <si>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</si>
  <si>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</si>
  <si>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</si>
  <si>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</si>
  <si>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</si>
  <si>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</si>
  <si>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</si>
  <si>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</si>
  <si>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</si>
  <si>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</si>
  <si>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</si>
  <si>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</si>
  <si>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</si>
  <si>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</si>
  <si>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</si>
  <si>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</si>
  <si>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</si>
  <si>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</si>
  <si>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</si>
  <si>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</si>
  <si>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</si>
  <si>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</si>
  <si>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</si>
  <si>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</si>
  <si>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</si>
  <si>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</si>
  <si>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</si>
  <si>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</si>
  <si>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</si>
  <si>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</si>
  <si>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 (재료비+노무비)*2.93%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</si>
  <si>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</si>
  <si>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</si>
  <si>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</si>
  <si>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</si>
  <si>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</si>
  <si>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</si>
  <si>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</si>
  <si>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</si>
  <si>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</si>
  <si>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</si>
  <si>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</si>
  <si>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</si>
  <si>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</si>
  <si>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</si>
  <si>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</si>
  <si>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</si>
  <si>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</si>
  <si>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</si>
  <si>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</si>
  <si>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</si>
  <si>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</si>
  <si>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</si>
  <si>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</si>
  <si>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</si>
  <si>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</si>
  <si>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</si>
  <si>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</si>
  <si>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</si>
  <si>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</si>
  <si>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</si>
  <si>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</si>
  <si>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</si>
  <si>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</si>
  <si>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</si>
  <si>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</si>
  <si>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</si>
  <si>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</si>
  <si>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</si>
  <si>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</si>
  <si>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</si>
  <si>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</si>
  <si>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</si>
  <si>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</si>
  <si>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</si>
  <si>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</si>
  <si>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</si>
  <si>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</si>
  <si>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</si>
  <si>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</si>
  <si>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</si>
  <si>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</si>
  <si>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</si>
  <si>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</si>
  <si>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</si>
  <si>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</si>
  <si>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</si>
  <si>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</si>
  <si>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</si>
  <si>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</si>
  <si>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</si>
  <si>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소 계</t>
    <phoneticPr fontId="7" type="noConversion"/>
  </si>
  <si>
    <t>2.바닥재</t>
    <phoneticPr fontId="13" type="noConversion"/>
  </si>
  <si>
    <t>거실 바닥 철거</t>
    <phoneticPr fontId="13" type="noConversion"/>
  </si>
  <si>
    <t>방A 바닥 철거</t>
    <phoneticPr fontId="13" type="noConversion"/>
  </si>
  <si>
    <t>방B 바닥 철거</t>
    <phoneticPr fontId="13" type="noConversion"/>
  </si>
  <si>
    <t>접착제(부분접착)</t>
    <phoneticPr fontId="7" type="noConversion"/>
  </si>
  <si>
    <t>kg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</si>
  <si>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</si>
  <si>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</si>
  <si>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</si>
  <si>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</si>
  <si>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</si>
  <si>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</si>
  <si>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</si>
  <si>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</si>
  <si>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</si>
  <si>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</si>
  <si>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</si>
  <si>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</si>
  <si>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</si>
  <si>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</si>
  <si>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</si>
  <si>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인</t>
    <phoneticPr fontId="7" type="noConversion"/>
  </si>
  <si>
    <t>합 계</t>
    <phoneticPr fontId="7" type="noConversion"/>
  </si>
  <si>
    <t>■ 벽지 자재비 근거서류(999999)</t>
    <phoneticPr fontId="7" type="noConversion"/>
  </si>
  <si>
    <t>코드</t>
    <phoneticPr fontId="7" type="noConversion"/>
  </si>
  <si>
    <t>품목</t>
    <phoneticPr fontId="7" type="noConversion"/>
  </si>
  <si>
    <t>규격</t>
    <phoneticPr fontId="7" type="noConversion"/>
  </si>
  <si>
    <t>단가(m2)</t>
    <phoneticPr fontId="7" type="noConversion"/>
  </si>
  <si>
    <t>적용기준</t>
    <phoneticPr fontId="7" type="noConversion"/>
  </si>
  <si>
    <t>벽지(LG 휘앙세)</t>
    <phoneticPr fontId="7" type="noConversion"/>
  </si>
  <si>
    <t>장폭합지</t>
    <phoneticPr fontId="7" type="noConversion"/>
  </si>
  <si>
    <t>D02641</t>
  </si>
  <si>
    <t>제 1호표  도배바름(벽면)</t>
  </si>
  <si>
    <t>합판·석고보드면</t>
  </si>
  <si>
    <t>㎡</t>
  </si>
  <si>
    <t>D02642</t>
  </si>
  <si>
    <t>제 1호표  도배바름(천장)</t>
  </si>
  <si>
    <t>D02873</t>
  </si>
  <si>
    <t>제 6호표  건축물 구조체별 철거(벽)</t>
  </si>
  <si>
    <t>벽지떼어내기</t>
  </si>
  <si>
    <t>D02859</t>
  </si>
  <si>
    <t>제 3호표  건축물 구조체별 철거(바닥 및 수장부분)</t>
  </si>
  <si>
    <t>리노륨</t>
  </si>
  <si>
    <t>D02558</t>
  </si>
  <si>
    <t>제 3호표  PVC계 바닥재 설치(바닥 깔기)</t>
  </si>
  <si>
    <t>시트(부분접합 방식)</t>
  </si>
  <si>
    <t>D02825</t>
  </si>
  <si>
    <t>제 2호표  석고보드면 바탕만들기</t>
  </si>
  <si>
    <t>벽체(줄퍼티)</t>
  </si>
  <si>
    <t>D02832</t>
  </si>
  <si>
    <t>제 1호표  수성페인트 붓칠</t>
  </si>
  <si>
    <t>내벽</t>
  </si>
  <si>
    <t>M010602702400101</t>
  </si>
  <si>
    <t>IPALG 조인트용 접착제(TB-100)</t>
  </si>
  <si>
    <t>시트용 접착제,</t>
  </si>
  <si>
    <t>㎏</t>
  </si>
  <si>
    <t>인</t>
    <phoneticPr fontId="5" type="noConversion"/>
  </si>
  <si>
    <t>합지벽지(LG하우시스 휘앙세)</t>
    <phoneticPr fontId="5" type="noConversion"/>
  </si>
  <si>
    <t>청소, 실내건축 일위대가 적용</t>
    <phoneticPr fontId="5" type="noConversion"/>
  </si>
  <si>
    <t>M012003400500101</t>
  </si>
  <si>
    <t>진양륨펫트 72″</t>
  </si>
  <si>
    <t>주택용 바닥재 1.6T×1,830㎜</t>
  </si>
  <si>
    <t>영선,건축</t>
    <phoneticPr fontId="5" type="noConversion"/>
  </si>
  <si>
    <t>2023년 실내건축 일위대가 적용</t>
    <phoneticPr fontId="5" type="noConversion"/>
  </si>
  <si>
    <t>청소</t>
    <phoneticPr fontId="5" type="noConversion"/>
  </si>
  <si>
    <t>2023년 실내건축 일위대가</t>
    <phoneticPr fontId="7" type="noConversion"/>
  </si>
  <si>
    <t>광폭합지 벽지(LX하우시스, 휘앙세), 23년 11월 물가자료</t>
    <phoneticPr fontId="5" type="noConversion"/>
  </si>
  <si>
    <t>LX하우시스, 청맥 1.8T</t>
    <phoneticPr fontId="5" type="noConversion"/>
  </si>
  <si>
    <t>LX하우시스, 휘앙세 93*17.75, M2당</t>
    <phoneticPr fontId="5" type="noConversion"/>
  </si>
  <si>
    <t>합지벽지, 23년 11월 물가자료</t>
    <phoneticPr fontId="5" type="noConversion"/>
  </si>
  <si>
    <t>물가자료 2023.11</t>
  </si>
  <si>
    <t>벽지 떼어내기 50% 적용</t>
    <phoneticPr fontId="5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</si>
  <si>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</si>
  <si>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</si>
  <si>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</si>
  <si>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</si>
  <si>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</si>
  <si>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</si>
  <si>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</si>
  <si>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</si>
  <si>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</si>
  <si>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</si>
  <si>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</si>
  <si>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</si>
  <si>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</si>
  <si>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</si>
  <si>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</si>
  <si>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</si>
  <si>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</si>
  <si>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</si>
  <si>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</si>
  <si>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</si>
  <si>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L003</t>
    <phoneticPr fontId="5" type="noConversion"/>
  </si>
  <si>
    <t>특별인부</t>
    <phoneticPr fontId="5" type="noConversion"/>
  </si>
  <si>
    <t xml:space="preserve"> 공사명 : 사택 7-403 수장공사</t>
    <phoneticPr fontId="11" type="noConversion"/>
  </si>
  <si>
    <t xml:space="preserve"> 견적일 : 2024 년  12월  06일</t>
    <phoneticPr fontId="11" type="noConversion"/>
  </si>
  <si>
    <t>사택 7-403 수장공사</t>
    <phoneticPr fontId="13" type="noConversion"/>
  </si>
  <si>
    <t>도색(앞,뒤베란다 걸레받이(앞,뒤베란다 창고바닥포함))앞,뒤베란다 벽면 앙카볼트구멍 실리 마감처리(부분도장포함)  뒤베란다 벽면 크랙 전체보수</t>
    <phoneticPr fontId="5" type="noConversion"/>
  </si>
  <si>
    <t>5.도어보수</t>
    <phoneticPr fontId="7" type="noConversion"/>
  </si>
  <si>
    <t>도어보수(2개소)</t>
    <phoneticPr fontId="7" type="noConversion"/>
  </si>
  <si>
    <t>화장실 좌, 우 도어, 특별인부</t>
    <phoneticPr fontId="5" type="noConversion"/>
  </si>
  <si>
    <t>도어보수 화장실 좌,우 2개소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</si>
</sst>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#,###,###,###"/>
    <numFmt numFmtId="185" formatCode="#,##0_);[Red]\(#,##0\)"/>
    <numFmt numFmtId="186" formatCode="#,##0_ "/>
    <numFmt numFmtId="187" formatCode="&quot;₩&quot;#,##0"/>
    <numFmt numFmtId="188" formatCode="0_);[Red]\(0\)"/>
    <numFmt numFmtId="189" formatCode="###,###,###,##0"/>
  </numFmts>
  <fonts count="35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2"/>
      <scheme val="minor"/>
    </font>
    <font>
      <sz val="11"/>
      <color rgb="FF000000"/>
      <name val="맑은 고딕"/>
      <family val="2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sz val="9"/>
      <color rgb="FFFF0000"/>
      <name val="굴림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7F7F7"/>
      </patternFill>
    </fill>
  </fills>
  <borders count="4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9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0" xfId="3" applyFont="1"/>
    <xf numFmtId="0" fontId="21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1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2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1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2" fillId="0" borderId="7" xfId="6" applyFont="1" applyBorder="1" applyAlignment="1">
      <alignment vertical="center"/>
    </xf>
    <xf numFmtId="179" fontId="21" fillId="0" borderId="7" xfId="6" applyNumberFormat="1" applyFont="1" applyBorder="1" applyAlignment="1">
      <alignment vertical="center"/>
    </xf>
    <xf numFmtId="0" fontId="21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3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3" fillId="0" borderId="12" xfId="6" applyFont="1" applyBorder="1" applyAlignment="1">
      <alignment vertical="center"/>
    </xf>
    <xf numFmtId="1" fontId="23" fillId="0" borderId="12" xfId="6" applyNumberFormat="1" applyFont="1" applyBorder="1" applyAlignment="1">
      <alignment horizontal="center" vertical="center"/>
    </xf>
    <xf numFmtId="180" fontId="23" fillId="0" borderId="12" xfId="7" applyFont="1" applyBorder="1" applyAlignment="1">
      <alignment horizontal="right" vertical="center"/>
    </xf>
    <xf numFmtId="0" fontId="23" fillId="0" borderId="13" xfId="6" applyFont="1" applyBorder="1" applyAlignment="1">
      <alignment vertical="center"/>
    </xf>
    <xf numFmtId="0" fontId="23" fillId="0" borderId="14" xfId="6" applyFont="1" applyBorder="1" applyAlignment="1">
      <alignment horizontal="center" vertical="center"/>
    </xf>
    <xf numFmtId="0" fontId="23" fillId="0" borderId="15" xfId="6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1" fontId="23" fillId="0" borderId="15" xfId="6" applyNumberFormat="1" applyFont="1" applyBorder="1" applyAlignment="1">
      <alignment horizontal="center" vertical="center"/>
    </xf>
    <xf numFmtId="180" fontId="23" fillId="0" borderId="15" xfId="7" applyFont="1" applyBorder="1" applyAlignment="1">
      <alignment horizontal="right" vertical="center"/>
    </xf>
    <xf numFmtId="0" fontId="23" fillId="0" borderId="16" xfId="6" quotePrefix="1" applyFont="1" applyBorder="1" applyAlignment="1">
      <alignment vertical="center"/>
    </xf>
    <xf numFmtId="0" fontId="23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3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3" fillId="0" borderId="15" xfId="8" applyFont="1" applyBorder="1" applyAlignment="1">
      <alignment horizontal="center" vertical="center"/>
    </xf>
    <xf numFmtId="178" fontId="23" fillId="0" borderId="15" xfId="5" applyFont="1" applyFill="1" applyBorder="1" applyAlignment="1">
      <alignment horizontal="right" vertical="center"/>
    </xf>
    <xf numFmtId="0" fontId="23" fillId="5" borderId="15" xfId="8" applyFont="1" applyFill="1" applyBorder="1" applyAlignment="1">
      <alignment horizontal="center" vertical="center"/>
    </xf>
    <xf numFmtId="0" fontId="23" fillId="5" borderId="15" xfId="6" applyFont="1" applyFill="1" applyBorder="1" applyAlignment="1">
      <alignment vertical="center"/>
    </xf>
    <xf numFmtId="0" fontId="23" fillId="5" borderId="15" xfId="6" applyFont="1" applyFill="1" applyBorder="1" applyAlignment="1">
      <alignment horizontal="center" vertical="center"/>
    </xf>
    <xf numFmtId="178" fontId="23" fillId="5" borderId="15" xfId="5" applyFont="1" applyFill="1" applyBorder="1" applyAlignment="1">
      <alignment horizontal="right" vertical="center"/>
    </xf>
    <xf numFmtId="0" fontId="23" fillId="5" borderId="16" xfId="6" applyFont="1" applyFill="1" applyBorder="1" applyAlignment="1">
      <alignment vertical="center"/>
    </xf>
    <xf numFmtId="0" fontId="23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3" fillId="0" borderId="15" xfId="3" applyNumberFormat="1" applyFont="1" applyBorder="1" applyAlignment="1">
      <alignment horizontal="right" vertical="center"/>
    </xf>
    <xf numFmtId="1" fontId="23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3" fillId="0" borderId="15" xfId="3" applyFont="1" applyBorder="1" applyAlignment="1">
      <alignment vertical="center"/>
    </xf>
    <xf numFmtId="180" fontId="23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3" fillId="0" borderId="19" xfId="6" applyFont="1" applyBorder="1" applyAlignment="1">
      <alignment vertical="center"/>
    </xf>
    <xf numFmtId="0" fontId="23" fillId="0" borderId="19" xfId="6" applyFont="1" applyBorder="1" applyAlignment="1">
      <alignment horizontal="right" vertical="center"/>
    </xf>
    <xf numFmtId="0" fontId="23" fillId="0" borderId="20" xfId="6" applyFont="1" applyBorder="1" applyAlignment="1">
      <alignment vertical="center"/>
    </xf>
    <xf numFmtId="0" fontId="12" fillId="0" borderId="0" xfId="10" applyFont="1"/>
    <xf numFmtId="0" fontId="29" fillId="0" borderId="0" xfId="17" applyFont="1">
      <alignment vertical="center"/>
    </xf>
    <xf numFmtId="0" fontId="28" fillId="0" borderId="0" xfId="17" applyFont="1">
      <alignment vertical="center"/>
    </xf>
    <xf numFmtId="0" fontId="29" fillId="0" borderId="0" xfId="17" applyFont="1" applyAlignment="1">
      <alignment horizontal="center" vertical="center"/>
    </xf>
    <xf numFmtId="177" fontId="30" fillId="6" borderId="25" xfId="18" applyFont="1" applyFill="1" applyBorder="1" applyAlignment="1">
      <alignment horizontal="center" vertical="center"/>
    </xf>
    <xf numFmtId="177" fontId="30" fillId="6" borderId="41" xfId="18" applyFont="1" applyFill="1" applyBorder="1" applyAlignment="1">
      <alignment horizontal="center" vertical="center"/>
    </xf>
    <xf numFmtId="177" fontId="30" fillId="6" borderId="26" xfId="18" applyFont="1" applyFill="1" applyBorder="1" applyAlignment="1">
      <alignment horizontal="center" vertical="center"/>
    </xf>
    <xf numFmtId="0" fontId="25" fillId="12" borderId="28" xfId="18" applyNumberFormat="1" applyFont="1" applyFill="1" applyBorder="1" applyAlignment="1">
      <alignment horizontal="center" vertical="center"/>
    </xf>
    <xf numFmtId="177" fontId="25" fillId="0" borderId="42" xfId="18" applyFont="1" applyFill="1" applyBorder="1" applyAlignment="1">
      <alignment horizontal="center" vertical="center" shrinkToFit="1"/>
    </xf>
    <xf numFmtId="177" fontId="31" fillId="0" borderId="42" xfId="18" applyFont="1" applyBorder="1" applyAlignment="1">
      <alignment horizontal="center" vertical="center"/>
    </xf>
    <xf numFmtId="0" fontId="31" fillId="12" borderId="29" xfId="17" applyFont="1" applyFill="1" applyBorder="1">
      <alignment vertical="center"/>
    </xf>
    <xf numFmtId="0" fontId="27" fillId="0" borderId="0" xfId="0" applyFont="1">
      <alignment vertical="center"/>
    </xf>
    <xf numFmtId="0" fontId="32" fillId="5" borderId="35" xfId="15" applyFont="1" applyFill="1" applyBorder="1" applyAlignment="1">
      <alignment horizontal="center" vertical="center"/>
    </xf>
    <xf numFmtId="185" fontId="32" fillId="5" borderId="35" xfId="16" applyNumberFormat="1" applyFont="1" applyFill="1" applyBorder="1" applyAlignment="1">
      <alignment vertical="center"/>
    </xf>
    <xf numFmtId="0" fontId="26" fillId="0" borderId="0" xfId="0" applyFont="1" applyAlignment="1">
      <alignment horizontal="center" vertical="center"/>
    </xf>
    <xf numFmtId="181" fontId="21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2" fontId="24" fillId="3" borderId="0" xfId="2" applyNumberFormat="1" applyFont="1" applyFill="1" applyAlignment="1">
      <alignment horizontal="center" vertical="center"/>
    </xf>
    <xf numFmtId="0" fontId="24" fillId="9" borderId="24" xfId="0" applyFont="1" applyFill="1" applyBorder="1">
      <alignment vertical="center"/>
    </xf>
    <xf numFmtId="0" fontId="24" fillId="9" borderId="21" xfId="0" applyFont="1" applyFill="1" applyBorder="1">
      <alignment vertical="center"/>
    </xf>
    <xf numFmtId="0" fontId="24" fillId="4" borderId="22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177" fontId="24" fillId="4" borderId="3" xfId="4" applyFont="1" applyFill="1" applyBorder="1" applyAlignment="1">
      <alignment horizontal="center" vertical="center"/>
    </xf>
    <xf numFmtId="178" fontId="24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6" borderId="6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7" borderId="3" xfId="0" applyNumberFormat="1" applyFont="1" applyFill="1" applyBorder="1" applyAlignment="1">
      <alignment horizontal="center" vertical="center" wrapText="1"/>
    </xf>
    <xf numFmtId="49" fontId="19" fillId="5" borderId="3" xfId="0" applyNumberFormat="1" applyFont="1" applyFill="1" applyBorder="1" applyAlignment="1">
      <alignment horizontal="center" vertical="center" wrapText="1"/>
    </xf>
    <xf numFmtId="0" fontId="19" fillId="0" borderId="3" xfId="0" applyFont="1" applyBorder="1">
      <alignment vertical="center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183" fontId="19" fillId="5" borderId="3" xfId="1" applyNumberFormat="1" applyFont="1" applyFill="1" applyBorder="1" applyAlignment="1">
      <alignment horizontal="center" vertical="center"/>
    </xf>
    <xf numFmtId="0" fontId="19" fillId="5" borderId="3" xfId="0" applyFont="1" applyFill="1" applyBorder="1">
      <alignment vertical="center"/>
    </xf>
    <xf numFmtId="0" fontId="19" fillId="5" borderId="3" xfId="0" applyFont="1" applyFill="1" applyBorder="1" applyAlignment="1">
      <alignment horizontal="center"/>
    </xf>
    <xf numFmtId="184" fontId="19" fillId="5" borderId="3" xfId="0" applyNumberFormat="1" applyFont="1" applyFill="1" applyBorder="1" applyAlignment="1">
      <alignment horizontal="right" vertical="center" wrapText="1"/>
    </xf>
    <xf numFmtId="49" fontId="19" fillId="5" borderId="3" xfId="0" applyNumberFormat="1" applyFont="1" applyFill="1" applyBorder="1" applyAlignment="1">
      <alignment horizontal="center" vertical="center"/>
    </xf>
    <xf numFmtId="0" fontId="24" fillId="5" borderId="0" xfId="0" applyFont="1" applyFill="1">
      <alignment vertical="center"/>
    </xf>
    <xf numFmtId="177" fontId="19" fillId="0" borderId="0" xfId="0" applyNumberFormat="1" applyFont="1">
      <alignment vertical="center"/>
    </xf>
    <xf numFmtId="0" fontId="21" fillId="0" borderId="0" xfId="0" applyFont="1">
      <alignment vertical="center"/>
    </xf>
    <xf numFmtId="0" fontId="33" fillId="0" borderId="35" xfId="15" quotePrefix="1" applyFont="1" applyBorder="1" applyAlignment="1">
      <alignment horizontal="center" vertical="center"/>
    </xf>
    <xf numFmtId="185" fontId="33" fillId="0" borderId="35" xfId="15" quotePrefix="1" applyNumberFormat="1" applyFont="1" applyBorder="1" applyAlignment="1">
      <alignment horizontal="center" vertical="center"/>
    </xf>
    <xf numFmtId="177" fontId="32" fillId="0" borderId="35" xfId="13" applyFont="1" applyBorder="1" applyAlignment="1">
      <alignment vertical="center"/>
    </xf>
    <xf numFmtId="187" fontId="32" fillId="0" borderId="35" xfId="13" applyNumberFormat="1" applyFont="1" applyBorder="1" applyAlignment="1">
      <alignment horizontal="center" vertical="center"/>
    </xf>
    <xf numFmtId="177" fontId="32" fillId="0" borderId="35" xfId="13" applyFont="1" applyBorder="1" applyAlignment="1">
      <alignment horizontal="center" vertical="center"/>
    </xf>
    <xf numFmtId="188" fontId="32" fillId="0" borderId="35" xfId="13" applyNumberFormat="1" applyFont="1" applyBorder="1" applyAlignment="1">
      <alignment horizontal="center" vertical="center"/>
    </xf>
    <xf numFmtId="185" fontId="32" fillId="5" borderId="35" xfId="13" applyNumberFormat="1" applyFont="1" applyFill="1" applyBorder="1" applyAlignment="1">
      <alignment horizontal="right" vertical="center" wrapText="1"/>
    </xf>
    <xf numFmtId="185" fontId="32" fillId="0" borderId="35" xfId="13" applyNumberFormat="1" applyFont="1" applyBorder="1" applyAlignment="1">
      <alignment horizontal="right" vertical="center" wrapText="1"/>
    </xf>
    <xf numFmtId="188" fontId="32" fillId="10" borderId="35" xfId="13" applyNumberFormat="1" applyFont="1" applyFill="1" applyBorder="1" applyAlignment="1">
      <alignment horizontal="center" vertical="center"/>
    </xf>
    <xf numFmtId="187" fontId="32" fillId="11" borderId="35" xfId="13" applyNumberFormat="1" applyFont="1" applyFill="1" applyBorder="1" applyAlignment="1">
      <alignment horizontal="center" vertical="center"/>
    </xf>
    <xf numFmtId="177" fontId="32" fillId="11" borderId="35" xfId="13" applyFont="1" applyFill="1" applyBorder="1" applyAlignment="1">
      <alignment horizontal="center" vertical="center"/>
    </xf>
    <xf numFmtId="188" fontId="33" fillId="11" borderId="35" xfId="13" applyNumberFormat="1" applyFont="1" applyFill="1" applyBorder="1" applyAlignment="1">
      <alignment horizontal="center" vertical="center"/>
    </xf>
    <xf numFmtId="185" fontId="33" fillId="11" borderId="35" xfId="13" applyNumberFormat="1" applyFont="1" applyFill="1" applyBorder="1" applyAlignment="1">
      <alignment horizontal="right" vertical="center" wrapText="1"/>
    </xf>
    <xf numFmtId="188" fontId="21" fillId="0" borderId="0" xfId="0" applyNumberFormat="1" applyFont="1">
      <alignment vertical="center"/>
    </xf>
    <xf numFmtId="185" fontId="32" fillId="0" borderId="35" xfId="13" applyNumberFormat="1" applyFont="1" applyBorder="1" applyAlignment="1">
      <alignment horizontal="center" vertical="center" wrapText="1"/>
    </xf>
    <xf numFmtId="185" fontId="33" fillId="11" borderId="35" xfId="13" applyNumberFormat="1" applyFont="1" applyFill="1" applyBorder="1" applyAlignment="1">
      <alignment horizontal="center" vertical="center" wrapText="1"/>
    </xf>
    <xf numFmtId="187" fontId="32" fillId="5" borderId="35" xfId="13" applyNumberFormat="1" applyFont="1" applyFill="1" applyBorder="1" applyAlignment="1">
      <alignment horizontal="center" vertical="center"/>
    </xf>
    <xf numFmtId="177" fontId="32" fillId="5" borderId="35" xfId="13" applyFont="1" applyFill="1" applyBorder="1" applyAlignment="1">
      <alignment horizontal="center" vertical="center"/>
    </xf>
    <xf numFmtId="185" fontId="32" fillId="5" borderId="35" xfId="13" applyNumberFormat="1" applyFont="1" applyFill="1" applyBorder="1" applyAlignment="1">
      <alignment horizontal="center" vertical="center" wrapText="1"/>
    </xf>
    <xf numFmtId="187" fontId="33" fillId="11" borderId="35" xfId="13" applyNumberFormat="1" applyFont="1" applyFill="1" applyBorder="1" applyAlignment="1">
      <alignment horizontal="center" vertical="center"/>
    </xf>
    <xf numFmtId="177" fontId="33" fillId="11" borderId="35" xfId="13" applyFont="1" applyFill="1" applyBorder="1" applyAlignment="1">
      <alignment horizontal="center" vertical="center"/>
    </xf>
    <xf numFmtId="188" fontId="32" fillId="5" borderId="35" xfId="13" applyNumberFormat="1" applyFont="1" applyFill="1" applyBorder="1" applyAlignment="1">
      <alignment horizontal="center" vertical="center"/>
    </xf>
    <xf numFmtId="185" fontId="19" fillId="5" borderId="35" xfId="13" applyNumberFormat="1" applyFont="1" applyFill="1" applyBorder="1" applyAlignment="1">
      <alignment horizontal="center" vertical="center" wrapText="1"/>
    </xf>
    <xf numFmtId="188" fontId="32" fillId="11" borderId="35" xfId="13" applyNumberFormat="1" applyFont="1" applyFill="1" applyBorder="1" applyAlignment="1">
      <alignment horizontal="center" vertical="center"/>
    </xf>
    <xf numFmtId="185" fontId="32" fillId="11" borderId="35" xfId="13" applyNumberFormat="1" applyFont="1" applyFill="1" applyBorder="1" applyAlignment="1">
      <alignment horizontal="right" vertical="center" wrapText="1"/>
    </xf>
    <xf numFmtId="185" fontId="32" fillId="0" borderId="35" xfId="13" applyNumberFormat="1" applyFont="1" applyBorder="1" applyAlignment="1">
      <alignment vertical="center"/>
    </xf>
    <xf numFmtId="185" fontId="32" fillId="11" borderId="35" xfId="13" applyNumberFormat="1" applyFont="1" applyFill="1" applyBorder="1" applyAlignment="1">
      <alignment vertical="center" wrapText="1"/>
    </xf>
    <xf numFmtId="185" fontId="33" fillId="11" borderId="35" xfId="13" applyNumberFormat="1" applyFont="1" applyFill="1" applyBorder="1" applyAlignment="1">
      <alignment vertical="center" wrapText="1"/>
    </xf>
    <xf numFmtId="187" fontId="33" fillId="12" borderId="35" xfId="13" applyNumberFormat="1" applyFont="1" applyFill="1" applyBorder="1" applyAlignment="1">
      <alignment horizontal="center" vertical="center"/>
    </xf>
    <xf numFmtId="177" fontId="33" fillId="12" borderId="35" xfId="13" applyFont="1" applyFill="1" applyBorder="1" applyAlignment="1">
      <alignment horizontal="center" vertical="center"/>
    </xf>
    <xf numFmtId="188" fontId="33" fillId="12" borderId="35" xfId="13" applyNumberFormat="1" applyFont="1" applyFill="1" applyBorder="1" applyAlignment="1">
      <alignment horizontal="center" vertical="center"/>
    </xf>
    <xf numFmtId="185" fontId="33" fillId="12" borderId="35" xfId="13" applyNumberFormat="1" applyFont="1" applyFill="1" applyBorder="1" applyAlignment="1">
      <alignment vertical="center" wrapText="1"/>
    </xf>
    <xf numFmtId="0" fontId="21" fillId="0" borderId="0" xfId="15" applyFont="1">
      <alignment vertical="center"/>
    </xf>
    <xf numFmtId="183" fontId="19" fillId="0" borderId="3" xfId="1" applyNumberFormat="1" applyFont="1" applyBorder="1" applyAlignment="1">
      <alignment horizontal="center" vertical="center"/>
    </xf>
    <xf numFmtId="189" fontId="19" fillId="5" borderId="3" xfId="0" applyNumberFormat="1" applyFont="1" applyFill="1" applyBorder="1" applyAlignment="1">
      <alignment horizontal="right" vertical="center" wrapText="1"/>
    </xf>
    <xf numFmtId="0" fontId="19" fillId="0" borderId="23" xfId="0" applyFont="1" applyBorder="1" applyAlignment="1">
      <alignment horizontal="center" vertical="center"/>
    </xf>
    <xf numFmtId="49" fontId="19" fillId="7" borderId="3" xfId="0" applyNumberFormat="1" applyFont="1" applyFill="1" applyBorder="1" applyAlignment="1">
      <alignment horizontal="center" vertical="center"/>
    </xf>
    <xf numFmtId="177" fontId="19" fillId="5" borderId="3" xfId="1" applyFont="1" applyFill="1" applyBorder="1" applyAlignment="1">
      <alignment horizontal="center" vertical="center" wrapText="1"/>
    </xf>
    <xf numFmtId="184" fontId="19" fillId="13" borderId="3" xfId="0" applyNumberFormat="1" applyFont="1" applyFill="1" applyBorder="1" applyAlignment="1">
      <alignment horizontal="right" vertical="center" wrapText="1"/>
    </xf>
    <xf numFmtId="183" fontId="19" fillId="0" borderId="3" xfId="1" applyNumberFormat="1" applyFont="1" applyFill="1" applyBorder="1" applyAlignment="1">
      <alignment horizontal="center" vertical="center"/>
    </xf>
    <xf numFmtId="0" fontId="19" fillId="0" borderId="3" xfId="3" applyFont="1" applyBorder="1" applyAlignment="1">
      <alignment horizontal="left" vertical="center" shrinkToFit="1"/>
    </xf>
    <xf numFmtId="0" fontId="19" fillId="0" borderId="3" xfId="3" applyFont="1" applyBorder="1" applyAlignment="1">
      <alignment horizontal="center" vertical="center"/>
    </xf>
    <xf numFmtId="9" fontId="19" fillId="0" borderId="3" xfId="0" applyNumberFormat="1" applyFont="1" applyBorder="1" applyAlignment="1">
      <alignment horizontal="center" vertical="center"/>
    </xf>
    <xf numFmtId="0" fontId="19" fillId="12" borderId="0" xfId="0" applyFont="1" applyFill="1">
      <alignment vertical="center"/>
    </xf>
    <xf numFmtId="177" fontId="24" fillId="12" borderId="0" xfId="0" applyNumberFormat="1" applyFont="1" applyFill="1">
      <alignment vertical="center"/>
    </xf>
    <xf numFmtId="0" fontId="24" fillId="0" borderId="0" xfId="0" applyFont="1">
      <alignment vertical="center"/>
    </xf>
    <xf numFmtId="177" fontId="24" fillId="0" borderId="0" xfId="0" applyNumberFormat="1" applyFont="1">
      <alignment vertical="center"/>
    </xf>
    <xf numFmtId="0" fontId="24" fillId="0" borderId="36" xfId="13" applyNumberFormat="1" applyFont="1" applyBorder="1" applyAlignment="1">
      <alignment vertical="center"/>
    </xf>
    <xf numFmtId="0" fontId="24" fillId="0" borderId="39" xfId="13" applyNumberFormat="1" applyFont="1" applyBorder="1" applyAlignment="1">
      <alignment vertical="center"/>
    </xf>
    <xf numFmtId="0" fontId="24" fillId="11" borderId="35" xfId="13" applyNumberFormat="1" applyFont="1" applyFill="1" applyBorder="1" applyAlignment="1">
      <alignment horizontal="center" vertical="center"/>
    </xf>
    <xf numFmtId="0" fontId="24" fillId="11" borderId="40" xfId="13" applyNumberFormat="1" applyFont="1" applyFill="1" applyBorder="1" applyAlignment="1">
      <alignment horizontal="center" vertical="center"/>
    </xf>
    <xf numFmtId="0" fontId="19" fillId="5" borderId="35" xfId="15" applyFont="1" applyFill="1" applyBorder="1">
      <alignment vertical="center"/>
    </xf>
    <xf numFmtId="0" fontId="24" fillId="5" borderId="35" xfId="15" applyFont="1" applyFill="1" applyBorder="1">
      <alignment vertical="center"/>
    </xf>
    <xf numFmtId="0" fontId="24" fillId="12" borderId="35" xfId="13" applyNumberFormat="1" applyFont="1" applyFill="1" applyBorder="1" applyAlignment="1">
      <alignment horizontal="center" vertical="center"/>
    </xf>
    <xf numFmtId="183" fontId="19" fillId="0" borderId="0" xfId="1" applyNumberFormat="1" applyFont="1" applyFill="1" applyBorder="1" applyAlignment="1">
      <alignment horizontal="center" vertical="center"/>
    </xf>
    <xf numFmtId="177" fontId="19" fillId="0" borderId="0" xfId="1" applyFont="1" applyBorder="1">
      <alignment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49" fontId="19" fillId="2" borderId="33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185" fontId="19" fillId="0" borderId="36" xfId="13" applyNumberFormat="1" applyFont="1" applyBorder="1" applyAlignment="1">
      <alignment vertical="center" wrapText="1"/>
    </xf>
    <xf numFmtId="187" fontId="32" fillId="7" borderId="35" xfId="13" applyNumberFormat="1" applyFont="1" applyFill="1" applyBorder="1" applyAlignment="1">
      <alignment horizontal="center" vertical="center"/>
    </xf>
    <xf numFmtId="177" fontId="32" fillId="7" borderId="35" xfId="13" applyFont="1" applyFill="1" applyBorder="1" applyAlignment="1">
      <alignment horizontal="center" vertical="center"/>
    </xf>
    <xf numFmtId="185" fontId="32" fillId="7" borderId="35" xfId="13" applyNumberFormat="1" applyFont="1" applyFill="1" applyBorder="1" applyAlignment="1">
      <alignment horizontal="center" vertical="center" wrapText="1"/>
    </xf>
    <xf numFmtId="185" fontId="32" fillId="7" borderId="35" xfId="13" applyNumberFormat="1" applyFont="1" applyFill="1" applyBorder="1" applyAlignment="1">
      <alignment horizontal="right" vertical="center" wrapText="1"/>
    </xf>
    <xf numFmtId="0" fontId="18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177" fontId="24" fillId="4" borderId="21" xfId="4" applyFont="1" applyFill="1" applyBorder="1" applyAlignment="1">
      <alignment horizontal="center" vertical="center"/>
    </xf>
    <xf numFmtId="178" fontId="24" fillId="4" borderId="21" xfId="5" applyFont="1" applyFill="1" applyBorder="1" applyAlignment="1">
      <alignment horizontal="center" vertical="center"/>
    </xf>
    <xf numFmtId="0" fontId="24" fillId="4" borderId="21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185" fontId="19" fillId="0" borderId="36" xfId="13" applyNumberFormat="1" applyFont="1" applyBorder="1" applyAlignment="1">
      <alignment horizontal="center" vertical="center" wrapText="1"/>
    </xf>
    <xf numFmtId="185" fontId="19" fillId="0" borderId="40" xfId="13" applyNumberFormat="1" applyFont="1" applyBorder="1" applyAlignment="1">
      <alignment horizontal="center" vertical="center" wrapText="1"/>
    </xf>
    <xf numFmtId="185" fontId="19" fillId="0" borderId="39" xfId="13" applyNumberFormat="1" applyFont="1" applyBorder="1" applyAlignment="1">
      <alignment horizontal="center" vertical="center" wrapText="1"/>
    </xf>
    <xf numFmtId="0" fontId="24" fillId="0" borderId="36" xfId="13" applyNumberFormat="1" applyFont="1" applyBorder="1" applyAlignment="1">
      <alignment vertical="center"/>
    </xf>
    <xf numFmtId="0" fontId="24" fillId="0" borderId="40" xfId="13" applyNumberFormat="1" applyFont="1" applyBorder="1" applyAlignment="1">
      <alignment vertical="center"/>
    </xf>
    <xf numFmtId="0" fontId="24" fillId="0" borderId="39" xfId="13" applyNumberFormat="1" applyFont="1" applyBorder="1" applyAlignment="1">
      <alignment vertical="center"/>
    </xf>
    <xf numFmtId="0" fontId="24" fillId="0" borderId="35" xfId="13" applyNumberFormat="1" applyFont="1" applyBorder="1" applyAlignment="1">
      <alignment vertical="center"/>
    </xf>
    <xf numFmtId="0" fontId="24" fillId="10" borderId="36" xfId="13" applyNumberFormat="1" applyFont="1" applyFill="1" applyBorder="1" applyAlignment="1">
      <alignment vertical="center"/>
    </xf>
    <xf numFmtId="0" fontId="24" fillId="10" borderId="40" xfId="13" applyNumberFormat="1" applyFont="1" applyFill="1" applyBorder="1" applyAlignment="1">
      <alignment vertical="center"/>
    </xf>
    <xf numFmtId="0" fontId="34" fillId="0" borderId="40" xfId="0" applyFont="1" applyBorder="1" applyAlignment="1">
      <alignment horizontal="center" vertical="center" wrapText="1"/>
    </xf>
    <xf numFmtId="0" fontId="34" fillId="0" borderId="39" xfId="0" applyFont="1" applyBorder="1" applyAlignment="1">
      <alignment horizontal="center" vertical="center" wrapText="1"/>
    </xf>
    <xf numFmtId="186" fontId="24" fillId="0" borderId="37" xfId="13" applyNumberFormat="1" applyFont="1" applyBorder="1" applyAlignment="1">
      <alignment vertical="center"/>
    </xf>
    <xf numFmtId="186" fontId="33" fillId="0" borderId="38" xfId="13" applyNumberFormat="1" applyFont="1" applyBorder="1" applyAlignment="1">
      <alignment vertical="center"/>
    </xf>
    <xf numFmtId="0" fontId="24" fillId="0" borderId="34" xfId="15" applyFont="1" applyBorder="1" applyAlignment="1">
      <alignment horizontal="center" vertical="center"/>
    </xf>
    <xf numFmtId="0" fontId="22" fillId="0" borderId="34" xfId="15" applyFont="1" applyBorder="1" applyAlignment="1">
      <alignment horizontal="center" vertical="center"/>
    </xf>
    <xf numFmtId="0" fontId="24" fillId="0" borderId="35" xfId="15" quotePrefix="1" applyFont="1" applyBorder="1" applyAlignment="1">
      <alignment horizontal="center" vertical="center"/>
    </xf>
    <xf numFmtId="0" fontId="33" fillId="0" borderId="35" xfId="15" quotePrefix="1" applyFont="1" applyBorder="1" applyAlignment="1">
      <alignment horizontal="center" vertical="center"/>
    </xf>
    <xf numFmtId="0" fontId="33" fillId="0" borderId="36" xfId="15" quotePrefix="1" applyFont="1" applyBorder="1" applyAlignment="1">
      <alignment horizontal="center" vertical="center"/>
    </xf>
    <xf numFmtId="0" fontId="33" fillId="0" borderId="39" xfId="15" quotePrefix="1" applyFont="1" applyBorder="1" applyAlignment="1">
      <alignment horizontal="center" vertical="center"/>
    </xf>
    <xf numFmtId="0" fontId="33" fillId="0" borderId="35" xfId="15" applyFont="1" applyBorder="1" applyAlignment="1">
      <alignment horizontal="center" vertical="center"/>
    </xf>
    <xf numFmtId="0" fontId="33" fillId="0" borderId="37" xfId="15" quotePrefix="1" applyFont="1" applyBorder="1" applyAlignment="1">
      <alignment horizontal="center" vertical="center"/>
    </xf>
    <xf numFmtId="0" fontId="33" fillId="0" borderId="38" xfId="15" quotePrefix="1" applyFont="1" applyBorder="1" applyAlignment="1">
      <alignment horizontal="center" vertical="center"/>
    </xf>
    <xf numFmtId="0" fontId="33" fillId="0" borderId="36" xfId="15" applyFont="1" applyBorder="1" applyAlignment="1">
      <alignment horizontal="center" vertical="center"/>
    </xf>
    <xf numFmtId="0" fontId="33" fillId="0" borderId="39" xfId="15" applyFont="1" applyBorder="1" applyAlignment="1">
      <alignment horizontal="center" vertical="center"/>
    </xf>
    <xf numFmtId="0" fontId="28" fillId="0" borderId="34" xfId="17" applyFont="1" applyBorder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0</xdr:rowOff>
    </xdr:from>
    <xdr:to>
      <xdr:col>8</xdr:col>
      <xdr:colOff>57150</xdr:colOff>
      <xdr:row>15</xdr:row>
      <xdr:rowOff>152400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6210EEA-D7AD-43FD-8DCF-A46B3389021E}"/>
            </a:ext>
          </a:extLst>
        </xdr:cNvPr>
        <xdr:cNvSpPr/>
      </xdr:nvSpPr>
      <xdr:spPr>
        <a:xfrm>
          <a:off x="28575" y="1047750"/>
          <a:ext cx="5981700" cy="224790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청소 노무비 근거서류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2023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실내건축 일위대가 적용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0</xdr:colOff>
      <xdr:row>17</xdr:row>
      <xdr:rowOff>9525</xdr:rowOff>
    </xdr:from>
    <xdr:to>
      <xdr:col>8</xdr:col>
      <xdr:colOff>19049</xdr:colOff>
      <xdr:row>26</xdr:row>
      <xdr:rowOff>171450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DC775C9B-0E05-4F17-A96E-3045D7A29581}"/>
            </a:ext>
          </a:extLst>
        </xdr:cNvPr>
        <xdr:cNvSpPr/>
      </xdr:nvSpPr>
      <xdr:spPr>
        <a:xfrm>
          <a:off x="0" y="3571875"/>
          <a:ext cx="5972174" cy="20478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11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월 물가자료 벽지  자재비 근거서류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0</xdr:colOff>
      <xdr:row>6</xdr:row>
      <xdr:rowOff>200025</xdr:rowOff>
    </xdr:from>
    <xdr:to>
      <xdr:col>7</xdr:col>
      <xdr:colOff>405784</xdr:colOff>
      <xdr:row>14</xdr:row>
      <xdr:rowOff>47625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FC28C356-DBBA-40F7-B03E-9D2623D2B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7325"/>
          <a:ext cx="5673109" cy="1524000"/>
        </a:xfrm>
        <a:prstGeom prst="rect">
          <a:avLst/>
        </a:prstGeom>
      </xdr:spPr>
    </xdr:pic>
    <xdr:clientData/>
  </xdr:twoCellAnchor>
  <xdr:twoCellAnchor>
    <xdr:from>
      <xdr:col>6</xdr:col>
      <xdr:colOff>104775</xdr:colOff>
      <xdr:row>10</xdr:row>
      <xdr:rowOff>161924</xdr:rowOff>
    </xdr:from>
    <xdr:to>
      <xdr:col>6</xdr:col>
      <xdr:colOff>466725</xdr:colOff>
      <xdr:row>11</xdr:row>
      <xdr:rowOff>152400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D942C48B-B104-4DAC-B82C-C8A22C27EA6A}"/>
            </a:ext>
          </a:extLst>
        </xdr:cNvPr>
        <xdr:cNvSpPr/>
      </xdr:nvSpPr>
      <xdr:spPr>
        <a:xfrm flipV="1">
          <a:off x="4686300" y="2257424"/>
          <a:ext cx="361950" cy="20002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266699</xdr:colOff>
      <xdr:row>18</xdr:row>
      <xdr:rowOff>57150</xdr:rowOff>
    </xdr:from>
    <xdr:to>
      <xdr:col>7</xdr:col>
      <xdr:colOff>374925</xdr:colOff>
      <xdr:row>25</xdr:row>
      <xdr:rowOff>104775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76C4A0E-A04E-4CC9-B381-3127248A2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" y="3829050"/>
          <a:ext cx="5375551" cy="1514475"/>
        </a:xfrm>
        <a:prstGeom prst="rect">
          <a:avLst/>
        </a:prstGeom>
      </xdr:spPr>
    </xdr:pic>
    <xdr:clientData/>
  </xdr:twoCellAnchor>
  <xdr:twoCellAnchor>
    <xdr:from>
      <xdr:col>0</xdr:col>
      <xdr:colOff>266696</xdr:colOff>
      <xdr:row>22</xdr:row>
      <xdr:rowOff>123824</xdr:rowOff>
    </xdr:from>
    <xdr:to>
      <xdr:col>7</xdr:col>
      <xdr:colOff>295272</xdr:colOff>
      <xdr:row>23</xdr:row>
      <xdr:rowOff>95250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797346A4-6B10-4E39-A12E-9E60A7364C46}"/>
            </a:ext>
          </a:extLst>
        </xdr:cNvPr>
        <xdr:cNvSpPr/>
      </xdr:nvSpPr>
      <xdr:spPr>
        <a:xfrm flipH="1" flipV="1">
          <a:off x="266696" y="4733924"/>
          <a:ext cx="5295901" cy="18097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A7" sqref="A7:C7"/>
    </sheetView>
  </sheetViews>
  <sheetFormatPr defaultColWidth="9" defaultRowHeight="13.5" x14ac:dyDescent="0.2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" x14ac:dyDescent="0.25">
      <c r="A2" s="177" t="s">
        <v>6</v>
      </c>
      <c r="B2" s="177"/>
      <c r="C2" s="177"/>
      <c r="D2" s="177"/>
      <c r="E2" s="177"/>
      <c r="F2" s="177"/>
      <c r="G2" s="177"/>
      <c r="H2" s="2"/>
    </row>
    <row r="3" spans="1:9" ht="14.25" x14ac:dyDescent="0.25">
      <c r="A3" s="5"/>
      <c r="B3" s="5"/>
      <c r="C3" s="5"/>
      <c r="D3" s="5"/>
      <c r="E3" s="5"/>
      <c r="F3" s="5"/>
      <c r="G3" s="5"/>
      <c r="H3" s="5"/>
    </row>
    <row r="4" spans="1:9" ht="14.25" x14ac:dyDescent="0.25">
      <c r="A4" s="5"/>
      <c r="B4" s="5"/>
      <c r="C4" s="5"/>
      <c r="D4" s="5"/>
      <c r="E4" s="5"/>
      <c r="H4" s="5"/>
    </row>
    <row r="5" spans="1:9" ht="27" customHeight="1" x14ac:dyDescent="0.25">
      <c r="A5" s="6" t="s">
        <v>65</v>
      </c>
      <c r="B5" s="7"/>
      <c r="C5" s="8"/>
      <c r="D5" s="5"/>
      <c r="E5" s="5"/>
      <c r="F5" s="9" t="s">
        <v>39</v>
      </c>
      <c r="G5" s="10" t="s">
        <v>69</v>
      </c>
      <c r="H5" s="5"/>
    </row>
    <row r="6" spans="1:9" ht="27" customHeight="1" x14ac:dyDescent="0.25">
      <c r="A6" s="5"/>
      <c r="B6" s="5"/>
      <c r="C6" s="5"/>
      <c r="D6" s="5"/>
      <c r="E6" s="5"/>
      <c r="F6" s="11" t="s">
        <v>42</v>
      </c>
      <c r="G6" s="12" t="s">
        <v>70</v>
      </c>
      <c r="H6" s="5"/>
    </row>
    <row r="7" spans="1:9" ht="27" customHeight="1" x14ac:dyDescent="0.25">
      <c r="A7" s="180" t="s">
        <v>192</v>
      </c>
      <c r="B7" s="181"/>
      <c r="C7" s="182"/>
      <c r="D7" s="5"/>
      <c r="E7" s="13"/>
      <c r="F7" s="14" t="s">
        <v>43</v>
      </c>
      <c r="G7" s="12" t="s">
        <v>71</v>
      </c>
      <c r="H7" s="5"/>
    </row>
    <row r="8" spans="1:9" ht="27" customHeight="1" x14ac:dyDescent="0.25">
      <c r="A8" s="5"/>
      <c r="B8" s="5"/>
      <c r="C8" s="5"/>
      <c r="D8" s="5"/>
      <c r="E8" s="5"/>
      <c r="F8" s="11" t="s">
        <v>44</v>
      </c>
      <c r="G8" s="12" t="s">
        <v>72</v>
      </c>
      <c r="H8" s="5"/>
    </row>
    <row r="9" spans="1:9" ht="27" customHeight="1" x14ac:dyDescent="0.25">
      <c r="A9" s="180" t="s">
        <v>193</v>
      </c>
      <c r="B9" s="181"/>
      <c r="C9" s="182"/>
      <c r="D9" s="5"/>
      <c r="E9" s="5"/>
      <c r="F9" s="11" t="s">
        <v>45</v>
      </c>
      <c r="G9" s="12" t="s">
        <v>73</v>
      </c>
      <c r="H9" s="5"/>
    </row>
    <row r="10" spans="1:9" ht="27" customHeight="1" x14ac:dyDescent="0.25">
      <c r="A10" s="5"/>
      <c r="B10" s="5"/>
      <c r="C10" s="5"/>
      <c r="D10" s="5"/>
      <c r="E10" s="5"/>
      <c r="F10" s="15" t="s">
        <v>40</v>
      </c>
      <c r="G10" s="16" t="s">
        <v>74</v>
      </c>
      <c r="H10" s="5"/>
      <c r="I10" s="5"/>
    </row>
    <row r="11" spans="1:9" ht="27" customHeight="1" x14ac:dyDescent="0.25">
      <c r="A11" s="178"/>
      <c r="B11" s="179"/>
      <c r="C11" s="179"/>
      <c r="D11" s="5"/>
      <c r="E11" s="17"/>
      <c r="F11" s="18" t="s">
        <v>41</v>
      </c>
      <c r="G11" s="19" t="s">
        <v>75</v>
      </c>
      <c r="H11" s="17"/>
    </row>
    <row r="12" spans="1:9" ht="18.75" thickBot="1" x14ac:dyDescent="0.3">
      <c r="A12" s="20" t="s">
        <v>7</v>
      </c>
      <c r="B12" s="20" t="str">
        <f>NUMBERSTRING(F31,1)</f>
        <v>삼백삼십일만오천</v>
      </c>
      <c r="C12" s="21"/>
      <c r="D12" s="1" t="s">
        <v>8</v>
      </c>
      <c r="E12" s="1" t="s">
        <v>9</v>
      </c>
      <c r="F12" s="1" t="s">
        <v>9</v>
      </c>
      <c r="G12" s="1"/>
      <c r="H12" s="22"/>
    </row>
    <row r="13" spans="1:9" ht="15.75" thickTop="1" thickBot="1" x14ac:dyDescent="0.3">
      <c r="A13" s="5"/>
      <c r="B13" s="5"/>
      <c r="C13" s="5"/>
      <c r="D13" s="5"/>
      <c r="E13" s="5"/>
      <c r="F13" s="5"/>
      <c r="G13" s="5"/>
      <c r="H13" s="22"/>
    </row>
    <row r="14" spans="1:9" ht="33" customHeight="1" thickBot="1" x14ac:dyDescent="0.3">
      <c r="A14" s="23" t="s">
        <v>10</v>
      </c>
      <c r="B14" s="24" t="s">
        <v>11</v>
      </c>
      <c r="C14" s="24" t="s">
        <v>12</v>
      </c>
      <c r="D14" s="24" t="s">
        <v>13</v>
      </c>
      <c r="E14" s="24" t="s">
        <v>14</v>
      </c>
      <c r="F14" s="24" t="s">
        <v>15</v>
      </c>
      <c r="G14" s="25" t="s">
        <v>16</v>
      </c>
      <c r="H14" s="22"/>
    </row>
    <row r="15" spans="1:9" ht="33" customHeight="1" thickTop="1" x14ac:dyDescent="0.25">
      <c r="A15" s="26"/>
      <c r="B15" s="27" t="s">
        <v>17</v>
      </c>
      <c r="C15" s="28"/>
      <c r="D15" s="29"/>
      <c r="E15" s="29"/>
      <c r="F15" s="30"/>
      <c r="G15" s="31"/>
    </row>
    <row r="16" spans="1:9" ht="33" customHeight="1" x14ac:dyDescent="0.25">
      <c r="A16" s="32"/>
      <c r="B16" s="33" t="s">
        <v>18</v>
      </c>
      <c r="C16" s="34"/>
      <c r="D16" s="35"/>
      <c r="E16" s="35"/>
      <c r="F16" s="36">
        <f>'내역서(표준단가)'!O18</f>
        <v>672659.3</v>
      </c>
      <c r="G16" s="37"/>
    </row>
    <row r="17" spans="1:9" ht="33" customHeight="1" x14ac:dyDescent="0.25">
      <c r="A17" s="32"/>
      <c r="B17" s="33" t="s">
        <v>19</v>
      </c>
      <c r="C17" s="34"/>
      <c r="D17" s="35"/>
      <c r="E17" s="35"/>
      <c r="F17" s="36">
        <f>'내역서(표준단가)'!Q18</f>
        <v>2152639.9649999999</v>
      </c>
      <c r="G17" s="38"/>
      <c r="H17" s="4"/>
      <c r="I17" s="4"/>
    </row>
    <row r="18" spans="1:9" ht="33" customHeight="1" x14ac:dyDescent="0.25">
      <c r="A18" s="32"/>
      <c r="B18" s="33" t="s">
        <v>20</v>
      </c>
      <c r="C18" s="34"/>
      <c r="D18" s="35"/>
      <c r="E18" s="35"/>
      <c r="F18" s="36">
        <f>'내역서(표준단가)'!S18+'내역서(표준단가)'!U18</f>
        <v>0</v>
      </c>
      <c r="G18" s="38"/>
      <c r="H18" s="4"/>
      <c r="I18" s="4"/>
    </row>
    <row r="19" spans="1:9" ht="33" customHeight="1" x14ac:dyDescent="0.25">
      <c r="A19" s="32"/>
      <c r="B19" s="39" t="s">
        <v>21</v>
      </c>
      <c r="C19" s="39"/>
      <c r="D19" s="40"/>
      <c r="E19" s="40"/>
      <c r="F19" s="41">
        <f>F16+F17+F18</f>
        <v>2825299.2649999997</v>
      </c>
      <c r="G19" s="38"/>
      <c r="H19" s="4"/>
      <c r="I19" s="4"/>
    </row>
    <row r="20" spans="1:9" ht="33" customHeight="1" x14ac:dyDescent="0.25">
      <c r="A20" s="32"/>
      <c r="B20" s="42" t="s">
        <v>22</v>
      </c>
      <c r="C20" s="43"/>
      <c r="D20" s="35"/>
      <c r="E20" s="35"/>
      <c r="F20" s="44"/>
      <c r="G20" s="38"/>
      <c r="H20" s="4"/>
      <c r="I20" s="4"/>
    </row>
    <row r="21" spans="1:9" ht="33" customHeight="1" x14ac:dyDescent="0.25">
      <c r="A21" s="32"/>
      <c r="B21" s="45" t="s">
        <v>23</v>
      </c>
      <c r="C21" s="43" t="s">
        <v>24</v>
      </c>
      <c r="D21" s="33">
        <v>1</v>
      </c>
      <c r="E21" s="33" t="s">
        <v>25</v>
      </c>
      <c r="F21" s="46">
        <f>F17*4.5%</f>
        <v>96868.798424999986</v>
      </c>
      <c r="G21" s="38" t="s">
        <v>26</v>
      </c>
      <c r="H21" s="4"/>
      <c r="I21" s="4"/>
    </row>
    <row r="22" spans="1:9" ht="33" customHeight="1" x14ac:dyDescent="0.25">
      <c r="A22" s="32"/>
      <c r="B22" s="47" t="s">
        <v>27</v>
      </c>
      <c r="C22" s="48" t="s">
        <v>66</v>
      </c>
      <c r="D22" s="49">
        <v>1</v>
      </c>
      <c r="E22" s="49" t="s">
        <v>25</v>
      </c>
      <c r="F22" s="50">
        <f>F17*3.545%</f>
        <v>76311.08675925</v>
      </c>
      <c r="G22" s="51" t="s">
        <v>28</v>
      </c>
      <c r="H22" s="4"/>
      <c r="I22" s="4"/>
    </row>
    <row r="23" spans="1:9" ht="33" customHeight="1" x14ac:dyDescent="0.25">
      <c r="A23" s="32"/>
      <c r="B23" s="45" t="s">
        <v>29</v>
      </c>
      <c r="C23" s="43" t="s">
        <v>67</v>
      </c>
      <c r="D23" s="33">
        <v>1</v>
      </c>
      <c r="E23" s="33" t="s">
        <v>25</v>
      </c>
      <c r="F23" s="46">
        <f>F22*12.95%</f>
        <v>9882.2857353228756</v>
      </c>
      <c r="G23" s="38" t="s">
        <v>28</v>
      </c>
      <c r="H23" s="4"/>
      <c r="I23" s="4"/>
    </row>
    <row r="24" spans="1:9" ht="33" customHeight="1" x14ac:dyDescent="0.25">
      <c r="A24" s="32"/>
      <c r="B24" s="45" t="s">
        <v>30</v>
      </c>
      <c r="C24" s="43" t="s">
        <v>47</v>
      </c>
      <c r="D24" s="33">
        <v>1</v>
      </c>
      <c r="E24" s="33" t="s">
        <v>25</v>
      </c>
      <c r="F24" s="46">
        <f>F17*1.01%</f>
        <v>21741.663646499997</v>
      </c>
      <c r="G24" s="38" t="s">
        <v>28</v>
      </c>
      <c r="H24" s="4"/>
      <c r="I24" s="4"/>
    </row>
    <row r="25" spans="1:9" ht="33" customHeight="1" x14ac:dyDescent="0.25">
      <c r="A25" s="32"/>
      <c r="B25" s="45" t="s">
        <v>31</v>
      </c>
      <c r="C25" s="43" t="s">
        <v>68</v>
      </c>
      <c r="D25" s="33">
        <v>1</v>
      </c>
      <c r="E25" s="33" t="s">
        <v>25</v>
      </c>
      <c r="F25" s="46">
        <f>F17*3.56%</f>
        <v>76633.982753999997</v>
      </c>
      <c r="G25" s="38" t="s">
        <v>28</v>
      </c>
      <c r="H25" s="4"/>
      <c r="I25" s="4"/>
    </row>
    <row r="26" spans="1:9" ht="33" customHeight="1" x14ac:dyDescent="0.25">
      <c r="A26" s="32"/>
      <c r="B26" s="45" t="s">
        <v>32</v>
      </c>
      <c r="C26" s="52" t="s">
        <v>36</v>
      </c>
      <c r="D26" s="33">
        <v>1</v>
      </c>
      <c r="E26" s="33" t="s">
        <v>25</v>
      </c>
      <c r="F26" s="46">
        <f>(F16+F17)*2.93%</f>
        <v>82781.268464499997</v>
      </c>
      <c r="G26" s="38" t="s">
        <v>26</v>
      </c>
      <c r="H26" s="4"/>
      <c r="I26" s="4"/>
    </row>
    <row r="27" spans="1:9" ht="33" customHeight="1" x14ac:dyDescent="0.25">
      <c r="A27" s="32"/>
      <c r="B27" s="45" t="s">
        <v>37</v>
      </c>
      <c r="C27" s="52" t="s">
        <v>38</v>
      </c>
      <c r="D27" s="33">
        <v>1</v>
      </c>
      <c r="E27" s="33" t="s">
        <v>25</v>
      </c>
      <c r="F27" s="46">
        <f>SUM(F17+F21+F22+F23+F24+F25+F26)*5%</f>
        <v>125842.95253922867</v>
      </c>
      <c r="G27" s="38"/>
      <c r="H27" s="4"/>
      <c r="I27" s="4"/>
    </row>
    <row r="28" spans="1:9" ht="33" customHeight="1" x14ac:dyDescent="0.25">
      <c r="A28" s="32"/>
      <c r="B28" s="39" t="s">
        <v>33</v>
      </c>
      <c r="C28" s="53"/>
      <c r="D28" s="54"/>
      <c r="E28" s="40"/>
      <c r="F28" s="55">
        <f>F21+F22+F23+F24+F25+F26+F27</f>
        <v>490062.03832380153</v>
      </c>
      <c r="G28" s="38"/>
      <c r="H28" s="4"/>
      <c r="I28" s="4"/>
    </row>
    <row r="29" spans="1:9" ht="33" customHeight="1" x14ac:dyDescent="0.25">
      <c r="A29" s="32"/>
      <c r="B29" s="43"/>
      <c r="C29" s="56"/>
      <c r="D29" s="57"/>
      <c r="E29" s="35"/>
      <c r="F29" s="58"/>
      <c r="G29" s="38"/>
      <c r="H29" s="4"/>
      <c r="I29" s="4"/>
    </row>
    <row r="30" spans="1:9" ht="33" customHeight="1" x14ac:dyDescent="0.25">
      <c r="A30" s="32"/>
      <c r="B30" s="59"/>
      <c r="C30" s="56"/>
      <c r="D30" s="57"/>
      <c r="E30" s="35"/>
      <c r="F30" s="60">
        <f>F19+F28+F29</f>
        <v>3315361.3033238011</v>
      </c>
      <c r="G30" s="38"/>
      <c r="H30" s="4"/>
      <c r="I30" s="4"/>
    </row>
    <row r="31" spans="1:9" ht="33" customHeight="1" x14ac:dyDescent="0.25">
      <c r="A31" s="32"/>
      <c r="B31" s="39" t="s">
        <v>34</v>
      </c>
      <c r="C31" s="39"/>
      <c r="D31" s="40"/>
      <c r="E31" s="40"/>
      <c r="F31" s="61">
        <f>ROUNDDOWN(F30,-3)</f>
        <v>3315000</v>
      </c>
      <c r="G31" s="38"/>
      <c r="H31" s="4"/>
      <c r="I31" s="4"/>
    </row>
    <row r="32" spans="1:9" ht="33" customHeight="1" thickBot="1" x14ac:dyDescent="0.3">
      <c r="A32" s="62"/>
      <c r="B32" s="63" t="s">
        <v>35</v>
      </c>
      <c r="C32" s="64"/>
      <c r="D32" s="64"/>
      <c r="E32" s="64"/>
      <c r="F32" s="65"/>
      <c r="G32" s="66"/>
      <c r="H32" s="4"/>
      <c r="I32" s="4"/>
    </row>
    <row r="33" spans="2:2" s="4" customFormat="1" ht="15.75" x14ac:dyDescent="0.25">
      <c r="B33" s="67"/>
    </row>
    <row r="34" spans="2:2" s="4" customFormat="1" ht="15.75" x14ac:dyDescent="0.25">
      <c r="B34" s="67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22"/>
  <sheetViews>
    <sheetView showGridLines="0" zoomScale="70" zoomScaleNormal="70" workbookViewId="0">
      <selection activeCell="Q39" sqref="Q39"/>
    </sheetView>
  </sheetViews>
  <sheetFormatPr defaultColWidth="9" defaultRowHeight="12.75" x14ac:dyDescent="0.3"/>
  <cols>
    <col min="1" max="1" width="19.375" style="109" bestFit="1" customWidth="1"/>
    <col min="2" max="5" width="18.5" style="109" hidden="1" customWidth="1"/>
    <col min="6" max="6" width="60.25" style="84" hidden="1" customWidth="1"/>
    <col min="7" max="7" width="19.25" style="84" hidden="1" customWidth="1"/>
    <col min="8" max="8" width="16.625" style="84" hidden="1" customWidth="1"/>
    <col min="9" max="9" width="10.125" style="84" hidden="1" customWidth="1"/>
    <col min="10" max="10" width="38.125" style="84" bestFit="1" customWidth="1"/>
    <col min="11" max="11" width="26.375" style="84" bestFit="1" customWidth="1"/>
    <col min="12" max="12" width="5.25" style="84" bestFit="1" customWidth="1"/>
    <col min="13" max="13" width="7.125" style="84" bestFit="1" customWidth="1"/>
    <col min="14" max="14" width="10.25" style="84" bestFit="1" customWidth="1"/>
    <col min="15" max="15" width="13.125" style="84" bestFit="1" customWidth="1"/>
    <col min="16" max="16" width="10.25" style="84" bestFit="1" customWidth="1"/>
    <col min="17" max="17" width="15.5" style="84" bestFit="1" customWidth="1"/>
    <col min="18" max="18" width="6.375" style="84" hidden="1" customWidth="1"/>
    <col min="19" max="19" width="8.5" style="84" hidden="1" customWidth="1"/>
    <col min="20" max="20" width="6.375" style="84" hidden="1" customWidth="1"/>
    <col min="21" max="21" width="8.5" style="84" hidden="1" customWidth="1"/>
    <col min="22" max="22" width="15.5" style="84" bestFit="1" customWidth="1"/>
    <col min="23" max="23" width="10.625" style="85" bestFit="1" customWidth="1"/>
    <col min="24" max="24" width="8.5" style="84" bestFit="1" customWidth="1"/>
    <col min="25" max="16384" width="9" style="84"/>
  </cols>
  <sheetData>
    <row r="1" spans="1:24" ht="19.899999999999999" customHeight="1" x14ac:dyDescent="0.3">
      <c r="A1" s="183"/>
      <c r="B1" s="183"/>
      <c r="C1" s="183"/>
      <c r="D1" s="183"/>
      <c r="E1" s="183"/>
      <c r="F1" s="183"/>
      <c r="G1" s="183"/>
      <c r="H1" s="183"/>
      <c r="I1" s="183"/>
      <c r="N1" s="85"/>
      <c r="O1" s="83" t="s">
        <v>170</v>
      </c>
      <c r="Q1" s="83" t="s">
        <v>170</v>
      </c>
      <c r="S1" s="83" t="s">
        <v>170</v>
      </c>
      <c r="U1" s="83" t="s">
        <v>170</v>
      </c>
    </row>
    <row r="2" spans="1:24" ht="19.899999999999999" customHeight="1" thickBot="1" x14ac:dyDescent="0.35">
      <c r="A2" s="183"/>
      <c r="B2" s="183"/>
      <c r="C2" s="183"/>
      <c r="D2" s="183"/>
      <c r="E2" s="183"/>
      <c r="F2" s="183"/>
      <c r="G2" s="183"/>
      <c r="H2" s="183"/>
      <c r="I2" s="183"/>
      <c r="N2" s="86"/>
      <c r="O2" s="87">
        <v>0.83499999999999996</v>
      </c>
      <c r="Q2" s="87">
        <v>0.83499999999999996</v>
      </c>
      <c r="S2" s="87">
        <v>0.83499999999999996</v>
      </c>
      <c r="U2" s="87">
        <v>0.83499999999999996</v>
      </c>
    </row>
    <row r="3" spans="1:24" ht="19.899999999999999" customHeight="1" x14ac:dyDescent="0.3">
      <c r="A3" s="88"/>
      <c r="B3" s="88"/>
      <c r="C3" s="88"/>
      <c r="D3" s="88"/>
      <c r="E3" s="88"/>
      <c r="F3" s="88" t="s">
        <v>171</v>
      </c>
      <c r="G3" s="89"/>
      <c r="H3" s="89"/>
      <c r="I3" s="89"/>
      <c r="J3" s="192" t="s">
        <v>172</v>
      </c>
      <c r="K3" s="192"/>
      <c r="L3" s="192" t="s">
        <v>52</v>
      </c>
      <c r="M3" s="192" t="s">
        <v>5</v>
      </c>
      <c r="N3" s="188" t="s">
        <v>173</v>
      </c>
      <c r="O3" s="188"/>
      <c r="P3" s="188" t="s">
        <v>174</v>
      </c>
      <c r="Q3" s="188"/>
      <c r="R3" s="189" t="s">
        <v>175</v>
      </c>
      <c r="S3" s="189"/>
      <c r="T3" s="189" t="s">
        <v>176</v>
      </c>
      <c r="U3" s="189"/>
      <c r="V3" s="190" t="s">
        <v>177</v>
      </c>
      <c r="W3" s="186" t="s">
        <v>178</v>
      </c>
      <c r="X3" s="184" t="s">
        <v>46</v>
      </c>
    </row>
    <row r="4" spans="1:24" ht="19.899999999999999" customHeight="1" x14ac:dyDescent="0.3">
      <c r="A4" s="90" t="s">
        <v>179</v>
      </c>
      <c r="B4" s="91"/>
      <c r="C4" s="91"/>
      <c r="D4" s="91"/>
      <c r="E4" s="91"/>
      <c r="F4" s="92" t="s">
        <v>180</v>
      </c>
      <c r="G4" s="92" t="s">
        <v>181</v>
      </c>
      <c r="H4" s="92" t="s">
        <v>182</v>
      </c>
      <c r="I4" s="92" t="s">
        <v>183</v>
      </c>
      <c r="J4" s="93" t="s">
        <v>184</v>
      </c>
      <c r="K4" s="93" t="s">
        <v>185</v>
      </c>
      <c r="L4" s="193"/>
      <c r="M4" s="193"/>
      <c r="N4" s="94" t="s">
        <v>186</v>
      </c>
      <c r="O4" s="95" t="s">
        <v>187</v>
      </c>
      <c r="P4" s="94" t="s">
        <v>188</v>
      </c>
      <c r="Q4" s="95" t="s">
        <v>187</v>
      </c>
      <c r="R4" s="95" t="s">
        <v>189</v>
      </c>
      <c r="S4" s="95" t="s">
        <v>187</v>
      </c>
      <c r="T4" s="95" t="s">
        <v>189</v>
      </c>
      <c r="U4" s="95" t="s">
        <v>187</v>
      </c>
      <c r="V4" s="191"/>
      <c r="W4" s="187"/>
      <c r="X4" s="185"/>
    </row>
    <row r="5" spans="1:24" ht="19.899999999999999" customHeight="1" x14ac:dyDescent="0.3">
      <c r="A5" s="96" t="str">
        <f t="shared" ref="A5:A17" si="0">F5&amp;G5&amp;H5&amp;I5</f>
        <v>D02641</v>
      </c>
      <c r="B5" s="97"/>
      <c r="C5" s="97"/>
      <c r="D5" s="97"/>
      <c r="E5" s="97"/>
      <c r="F5" s="99" t="s">
        <v>129</v>
      </c>
      <c r="G5" s="98"/>
      <c r="H5" s="98"/>
      <c r="I5" s="99"/>
      <c r="J5" s="100" t="s">
        <v>130</v>
      </c>
      <c r="K5" s="100" t="s">
        <v>131</v>
      </c>
      <c r="L5" s="100" t="s">
        <v>132</v>
      </c>
      <c r="M5" s="145">
        <v>105</v>
      </c>
      <c r="N5" s="101"/>
      <c r="O5" s="102">
        <f t="shared" ref="O5:O13" si="1">SUM(N5:N5)*M5*$O$2</f>
        <v>0</v>
      </c>
      <c r="P5" s="146">
        <v>6691</v>
      </c>
      <c r="Q5" s="102">
        <f t="shared" ref="Q5:Q13" si="2">(P5*M5)*$Q$2</f>
        <v>586633.42499999993</v>
      </c>
      <c r="R5" s="103"/>
      <c r="S5" s="102">
        <f t="shared" ref="S5:S13" si="3">R5*M5*$S$2</f>
        <v>0</v>
      </c>
      <c r="T5" s="103"/>
      <c r="U5" s="102">
        <f t="shared" ref="U5:U13" si="4">T5*M5*$U$2</f>
        <v>0</v>
      </c>
      <c r="V5" s="103">
        <f t="shared" ref="V5:V13" si="5">SUM(O5+Q5)+S5+U5</f>
        <v>586633.42499999993</v>
      </c>
      <c r="W5" s="104"/>
      <c r="X5" s="147"/>
    </row>
    <row r="6" spans="1:24" ht="19.899999999999999" customHeight="1" x14ac:dyDescent="0.3">
      <c r="A6" s="96" t="str">
        <f t="shared" si="0"/>
        <v>D02642</v>
      </c>
      <c r="B6" s="97"/>
      <c r="C6" s="97"/>
      <c r="D6" s="97"/>
      <c r="E6" s="97"/>
      <c r="F6" s="99" t="s">
        <v>133</v>
      </c>
      <c r="G6" s="98"/>
      <c r="H6" s="98"/>
      <c r="I6" s="99"/>
      <c r="J6" s="100" t="s">
        <v>134</v>
      </c>
      <c r="K6" s="100" t="s">
        <v>131</v>
      </c>
      <c r="L6" s="100" t="s">
        <v>132</v>
      </c>
      <c r="M6" s="145">
        <v>61</v>
      </c>
      <c r="N6" s="101"/>
      <c r="O6" s="102">
        <f t="shared" si="1"/>
        <v>0</v>
      </c>
      <c r="P6" s="146">
        <v>8698</v>
      </c>
      <c r="Q6" s="102">
        <f t="shared" si="2"/>
        <v>443032.63</v>
      </c>
      <c r="R6" s="103"/>
      <c r="S6" s="102">
        <f t="shared" si="3"/>
        <v>0</v>
      </c>
      <c r="T6" s="103"/>
      <c r="U6" s="102">
        <f t="shared" si="4"/>
        <v>0</v>
      </c>
      <c r="V6" s="103">
        <f t="shared" si="5"/>
        <v>443032.63</v>
      </c>
      <c r="W6" s="104"/>
      <c r="X6" s="147"/>
    </row>
    <row r="7" spans="1:24" ht="19.899999999999999" customHeight="1" x14ac:dyDescent="0.3">
      <c r="A7" s="96" t="str">
        <f t="shared" si="0"/>
        <v>D02873</v>
      </c>
      <c r="B7" s="97"/>
      <c r="C7" s="97"/>
      <c r="D7" s="97"/>
      <c r="E7" s="97"/>
      <c r="F7" s="99" t="s">
        <v>135</v>
      </c>
      <c r="G7" s="98"/>
      <c r="H7" s="98"/>
      <c r="I7" s="99"/>
      <c r="J7" s="100" t="s">
        <v>136</v>
      </c>
      <c r="K7" s="100" t="s">
        <v>137</v>
      </c>
      <c r="L7" s="100" t="s">
        <v>132</v>
      </c>
      <c r="M7" s="145">
        <v>83</v>
      </c>
      <c r="N7" s="101"/>
      <c r="O7" s="102">
        <f t="shared" si="1"/>
        <v>0</v>
      </c>
      <c r="P7" s="146">
        <v>1618</v>
      </c>
      <c r="Q7" s="102">
        <f t="shared" si="2"/>
        <v>112135.48999999999</v>
      </c>
      <c r="R7" s="103"/>
      <c r="S7" s="102">
        <f t="shared" si="3"/>
        <v>0</v>
      </c>
      <c r="T7" s="103"/>
      <c r="U7" s="102">
        <f t="shared" si="4"/>
        <v>0</v>
      </c>
      <c r="V7" s="103">
        <f t="shared" si="5"/>
        <v>112135.48999999999</v>
      </c>
      <c r="W7" s="104"/>
      <c r="X7" s="147"/>
    </row>
    <row r="8" spans="1:24" ht="19.899999999999999" customHeight="1" x14ac:dyDescent="0.3">
      <c r="A8" s="96" t="str">
        <f t="shared" si="0"/>
        <v>D02859</v>
      </c>
      <c r="B8" s="97"/>
      <c r="C8" s="97"/>
      <c r="D8" s="97"/>
      <c r="E8" s="97"/>
      <c r="F8" s="99" t="s">
        <v>138</v>
      </c>
      <c r="G8" s="98"/>
      <c r="H8" s="98"/>
      <c r="I8" s="99"/>
      <c r="J8" s="100" t="s">
        <v>139</v>
      </c>
      <c r="K8" s="100" t="s">
        <v>140</v>
      </c>
      <c r="L8" s="100" t="s">
        <v>132</v>
      </c>
      <c r="M8" s="145">
        <v>34</v>
      </c>
      <c r="N8" s="101"/>
      <c r="O8" s="102">
        <f t="shared" si="1"/>
        <v>0</v>
      </c>
      <c r="P8" s="146">
        <v>4855</v>
      </c>
      <c r="Q8" s="102">
        <f t="shared" si="2"/>
        <v>137833.44999999998</v>
      </c>
      <c r="R8" s="103"/>
      <c r="S8" s="102">
        <f t="shared" si="3"/>
        <v>0</v>
      </c>
      <c r="T8" s="103"/>
      <c r="U8" s="102">
        <f t="shared" si="4"/>
        <v>0</v>
      </c>
      <c r="V8" s="103">
        <f t="shared" si="5"/>
        <v>137833.44999999998</v>
      </c>
      <c r="W8" s="104"/>
      <c r="X8" s="147"/>
    </row>
    <row r="9" spans="1:24" ht="19.899999999999999" customHeight="1" x14ac:dyDescent="0.3">
      <c r="A9" s="96" t="str">
        <f t="shared" si="0"/>
        <v>D02558</v>
      </c>
      <c r="B9" s="97"/>
      <c r="C9" s="97"/>
      <c r="D9" s="97"/>
      <c r="E9" s="97"/>
      <c r="F9" s="99" t="s">
        <v>141</v>
      </c>
      <c r="G9" s="98"/>
      <c r="H9" s="98"/>
      <c r="I9" s="99"/>
      <c r="J9" s="100" t="s">
        <v>142</v>
      </c>
      <c r="K9" s="100" t="s">
        <v>143</v>
      </c>
      <c r="L9" s="100" t="s">
        <v>132</v>
      </c>
      <c r="M9" s="145">
        <v>34</v>
      </c>
      <c r="N9" s="105"/>
      <c r="O9" s="102">
        <f t="shared" si="1"/>
        <v>0</v>
      </c>
      <c r="P9" s="146">
        <v>4453</v>
      </c>
      <c r="Q9" s="102">
        <f t="shared" si="2"/>
        <v>126420.67</v>
      </c>
      <c r="R9" s="103"/>
      <c r="S9" s="102">
        <f t="shared" si="3"/>
        <v>0</v>
      </c>
      <c r="T9" s="103"/>
      <c r="U9" s="102">
        <f t="shared" si="4"/>
        <v>0</v>
      </c>
      <c r="V9" s="103">
        <f t="shared" si="5"/>
        <v>126420.67</v>
      </c>
      <c r="W9" s="104"/>
      <c r="X9" s="147"/>
    </row>
    <row r="10" spans="1:24" ht="19.899999999999999" customHeight="1" x14ac:dyDescent="0.3">
      <c r="A10" s="96" t="str">
        <f t="shared" si="0"/>
        <v>D02825</v>
      </c>
      <c r="B10" s="97"/>
      <c r="C10" s="97"/>
      <c r="D10" s="97"/>
      <c r="E10" s="97"/>
      <c r="F10" s="99" t="s">
        <v>144</v>
      </c>
      <c r="G10" s="98"/>
      <c r="H10" s="98"/>
      <c r="I10" s="99"/>
      <c r="J10" s="100" t="s">
        <v>145</v>
      </c>
      <c r="K10" s="100" t="s">
        <v>146</v>
      </c>
      <c r="L10" s="100" t="s">
        <v>132</v>
      </c>
      <c r="M10" s="145">
        <v>20</v>
      </c>
      <c r="N10" s="146">
        <v>528</v>
      </c>
      <c r="O10" s="102">
        <f t="shared" si="1"/>
        <v>8817.6</v>
      </c>
      <c r="P10" s="146">
        <v>10367</v>
      </c>
      <c r="Q10" s="102">
        <f t="shared" si="2"/>
        <v>173128.9</v>
      </c>
      <c r="R10" s="103"/>
      <c r="S10" s="102">
        <f t="shared" si="3"/>
        <v>0</v>
      </c>
      <c r="T10" s="103"/>
      <c r="U10" s="102">
        <f t="shared" si="4"/>
        <v>0</v>
      </c>
      <c r="V10" s="103">
        <f t="shared" si="5"/>
        <v>181946.5</v>
      </c>
      <c r="W10" s="104"/>
      <c r="X10" s="147"/>
    </row>
    <row r="11" spans="1:24" ht="19.899999999999999" customHeight="1" x14ac:dyDescent="0.3">
      <c r="A11" s="96" t="str">
        <f t="shared" si="0"/>
        <v>D02832</v>
      </c>
      <c r="B11" s="97"/>
      <c r="C11" s="97"/>
      <c r="D11" s="97"/>
      <c r="E11" s="97"/>
      <c r="F11" s="99" t="s">
        <v>147</v>
      </c>
      <c r="G11" s="98"/>
      <c r="H11" s="98"/>
      <c r="I11" s="99"/>
      <c r="J11" s="100" t="s">
        <v>148</v>
      </c>
      <c r="K11" s="100" t="s">
        <v>149</v>
      </c>
      <c r="L11" s="100" t="s">
        <v>132</v>
      </c>
      <c r="M11" s="145">
        <v>20</v>
      </c>
      <c r="N11" s="146">
        <v>461</v>
      </c>
      <c r="O11" s="102">
        <f t="shared" si="1"/>
        <v>7698.7</v>
      </c>
      <c r="P11" s="146">
        <v>6146</v>
      </c>
      <c r="Q11" s="102">
        <f t="shared" si="2"/>
        <v>102638.2</v>
      </c>
      <c r="R11" s="103"/>
      <c r="S11" s="102">
        <f t="shared" si="3"/>
        <v>0</v>
      </c>
      <c r="T11" s="103"/>
      <c r="U11" s="102">
        <f t="shared" si="4"/>
        <v>0</v>
      </c>
      <c r="V11" s="103">
        <f t="shared" si="5"/>
        <v>110336.9</v>
      </c>
      <c r="W11" s="104"/>
      <c r="X11" s="147"/>
    </row>
    <row r="12" spans="1:24" ht="19.899999999999999" customHeight="1" x14ac:dyDescent="0.3">
      <c r="A12" s="96" t="str">
        <f t="shared" ref="A12" si="6">F12&amp;G12&amp;H12&amp;I12</f>
        <v>M012003400500101</v>
      </c>
      <c r="B12" s="97"/>
      <c r="C12" s="97"/>
      <c r="D12" s="97"/>
      <c r="E12" s="97"/>
      <c r="F12" s="99"/>
      <c r="G12" s="98"/>
      <c r="H12" s="148" t="s">
        <v>157</v>
      </c>
      <c r="I12" s="99"/>
      <c r="J12" s="108" t="s">
        <v>158</v>
      </c>
      <c r="K12" s="108" t="s">
        <v>159</v>
      </c>
      <c r="L12" s="100" t="s">
        <v>132</v>
      </c>
      <c r="M12" s="145">
        <v>34</v>
      </c>
      <c r="N12" s="149">
        <v>15000</v>
      </c>
      <c r="O12" s="102">
        <f t="shared" ref="O12" si="7">SUM(N12:N12)*M12*$O$2</f>
        <v>425850</v>
      </c>
      <c r="P12" s="107"/>
      <c r="Q12" s="102">
        <f t="shared" ref="Q12" si="8">(P12*M12)*$Q$2</f>
        <v>0</v>
      </c>
      <c r="R12" s="103"/>
      <c r="S12" s="102">
        <f t="shared" ref="S12" si="9">R12*M12*$S$2</f>
        <v>0</v>
      </c>
      <c r="T12" s="103"/>
      <c r="U12" s="102">
        <f t="shared" ref="U12" si="10">T12*M12*$U$2</f>
        <v>0</v>
      </c>
      <c r="V12" s="103">
        <f t="shared" ref="V12" si="11">SUM(O12+Q12)+S12+U12</f>
        <v>425850</v>
      </c>
      <c r="W12" s="104"/>
      <c r="X12" s="147"/>
    </row>
    <row r="13" spans="1:24" ht="19.899999999999999" customHeight="1" x14ac:dyDescent="0.3">
      <c r="A13" s="96" t="str">
        <f t="shared" si="0"/>
        <v>M010602702400101</v>
      </c>
      <c r="B13" s="97"/>
      <c r="C13" s="97"/>
      <c r="D13" s="97"/>
      <c r="E13" s="97"/>
      <c r="F13" s="99"/>
      <c r="G13" s="98"/>
      <c r="H13" s="148" t="s">
        <v>150</v>
      </c>
      <c r="I13" s="99"/>
      <c r="J13" s="108" t="s">
        <v>151</v>
      </c>
      <c r="K13" s="108" t="s">
        <v>152</v>
      </c>
      <c r="L13" s="108" t="s">
        <v>153</v>
      </c>
      <c r="M13" s="145">
        <v>4</v>
      </c>
      <c r="N13" s="149">
        <v>15000</v>
      </c>
      <c r="O13" s="102">
        <f t="shared" si="1"/>
        <v>50100</v>
      </c>
      <c r="P13" s="107"/>
      <c r="Q13" s="102">
        <f t="shared" si="2"/>
        <v>0</v>
      </c>
      <c r="R13" s="103"/>
      <c r="S13" s="102">
        <f t="shared" si="3"/>
        <v>0</v>
      </c>
      <c r="T13" s="103"/>
      <c r="U13" s="102">
        <f t="shared" si="4"/>
        <v>0</v>
      </c>
      <c r="V13" s="103">
        <f t="shared" si="5"/>
        <v>50100</v>
      </c>
      <c r="W13" s="104"/>
      <c r="X13" s="147"/>
    </row>
    <row r="14" spans="1:24" ht="19.899999999999999" customHeight="1" x14ac:dyDescent="0.2">
      <c r="A14" s="96" t="str">
        <f t="shared" si="0"/>
        <v>L003</v>
      </c>
      <c r="B14" s="97"/>
      <c r="C14" s="97"/>
      <c r="D14" s="97"/>
      <c r="E14" s="97"/>
      <c r="F14" s="99"/>
      <c r="G14" s="98"/>
      <c r="H14" s="98"/>
      <c r="I14" s="99" t="s">
        <v>190</v>
      </c>
      <c r="J14" s="100" t="s">
        <v>199</v>
      </c>
      <c r="K14" s="100" t="s">
        <v>191</v>
      </c>
      <c r="L14" s="106" t="s">
        <v>154</v>
      </c>
      <c r="M14" s="151">
        <v>1</v>
      </c>
      <c r="N14" s="101"/>
      <c r="O14" s="102">
        <f t="shared" ref="O14:O17" si="12">SUM(N14:N14)*M14*$O$2</f>
        <v>0</v>
      </c>
      <c r="P14" s="150">
        <v>208527</v>
      </c>
      <c r="Q14" s="102">
        <f t="shared" ref="Q14" si="13">M14*P14</f>
        <v>208527</v>
      </c>
      <c r="R14" s="103"/>
      <c r="S14" s="102">
        <f t="shared" ref="S14:S17" si="14">R14*M14*$S$2</f>
        <v>0</v>
      </c>
      <c r="T14" s="103"/>
      <c r="U14" s="102">
        <f t="shared" ref="U14:U17" si="15">T14*M14*$U$2</f>
        <v>0</v>
      </c>
      <c r="V14" s="103">
        <f t="shared" ref="V14:V17" si="16">SUM(O14+Q14)+S14+U14</f>
        <v>208527</v>
      </c>
      <c r="W14" s="104"/>
      <c r="X14" s="147"/>
    </row>
    <row r="15" spans="1:24" ht="19.899999999999999" customHeight="1" x14ac:dyDescent="0.3">
      <c r="A15" s="96"/>
      <c r="B15" s="97"/>
      <c r="C15" s="97"/>
      <c r="D15" s="97"/>
      <c r="E15" s="97"/>
      <c r="F15" s="99"/>
      <c r="G15" s="98"/>
      <c r="H15" s="98"/>
      <c r="I15" s="99"/>
      <c r="J15" s="100" t="str">
        <f>"시중가_"&amp;K15&amp;")"</f>
        <v>시중가_합지벽지(LG하우시스 휘앙세))</v>
      </c>
      <c r="K15" s="100" t="s">
        <v>155</v>
      </c>
      <c r="L15" s="100" t="s">
        <v>132</v>
      </c>
      <c r="M15" s="151">
        <v>166</v>
      </c>
      <c r="N15" s="101">
        <v>1300</v>
      </c>
      <c r="O15" s="102">
        <f t="shared" si="12"/>
        <v>180193</v>
      </c>
      <c r="P15" s="107"/>
      <c r="Q15" s="102">
        <f t="shared" ref="Q15:Q17" si="17">(P15*M15)*$Q$2</f>
        <v>0</v>
      </c>
      <c r="R15" s="103"/>
      <c r="S15" s="102">
        <f t="shared" si="14"/>
        <v>0</v>
      </c>
      <c r="T15" s="103"/>
      <c r="U15" s="102">
        <f t="shared" si="15"/>
        <v>0</v>
      </c>
      <c r="V15" s="103">
        <f t="shared" si="16"/>
        <v>180193</v>
      </c>
      <c r="W15" s="104"/>
      <c r="X15" s="147"/>
    </row>
    <row r="16" spans="1:24" ht="19.899999999999999" customHeight="1" x14ac:dyDescent="0.3">
      <c r="A16" s="96"/>
      <c r="B16" s="97"/>
      <c r="C16" s="97"/>
      <c r="D16" s="97"/>
      <c r="E16" s="97"/>
      <c r="F16" s="99"/>
      <c r="G16" s="98"/>
      <c r="H16" s="98"/>
      <c r="I16" s="99"/>
      <c r="J16" s="100" t="str">
        <f>"시중가_"&amp;K16&amp;""</f>
        <v>시중가_청소, 실내건축 일위대가 적용</v>
      </c>
      <c r="K16" s="100" t="s">
        <v>156</v>
      </c>
      <c r="L16" s="100" t="s">
        <v>132</v>
      </c>
      <c r="M16" s="151">
        <v>40</v>
      </c>
      <c r="N16" s="101"/>
      <c r="O16" s="102">
        <f t="shared" si="12"/>
        <v>0</v>
      </c>
      <c r="P16" s="107">
        <v>7853</v>
      </c>
      <c r="Q16" s="102">
        <f t="shared" si="17"/>
        <v>262290.2</v>
      </c>
      <c r="R16" s="103"/>
      <c r="S16" s="102">
        <f t="shared" si="14"/>
        <v>0</v>
      </c>
      <c r="T16" s="103"/>
      <c r="U16" s="102">
        <f t="shared" si="15"/>
        <v>0</v>
      </c>
      <c r="V16" s="103">
        <f t="shared" si="16"/>
        <v>262290.2</v>
      </c>
      <c r="W16" s="104"/>
      <c r="X16" s="147"/>
    </row>
    <row r="17" spans="1:24" ht="19.899999999999999" customHeight="1" x14ac:dyDescent="0.3">
      <c r="A17" s="96" t="str">
        <f t="shared" si="0"/>
        <v/>
      </c>
      <c r="B17" s="97"/>
      <c r="C17" s="97"/>
      <c r="D17" s="97"/>
      <c r="E17" s="97"/>
      <c r="F17" s="99"/>
      <c r="G17" s="98"/>
      <c r="H17" s="98"/>
      <c r="I17" s="99"/>
      <c r="J17" s="152"/>
      <c r="K17" s="152"/>
      <c r="L17" s="153"/>
      <c r="M17" s="151"/>
      <c r="N17" s="101"/>
      <c r="O17" s="102">
        <f t="shared" si="12"/>
        <v>0</v>
      </c>
      <c r="P17" s="107"/>
      <c r="Q17" s="102">
        <f t="shared" si="17"/>
        <v>0</v>
      </c>
      <c r="R17" s="103"/>
      <c r="S17" s="102">
        <f t="shared" si="14"/>
        <v>0</v>
      </c>
      <c r="T17" s="103"/>
      <c r="U17" s="102">
        <f t="shared" si="15"/>
        <v>0</v>
      </c>
      <c r="V17" s="103">
        <f t="shared" si="16"/>
        <v>0</v>
      </c>
      <c r="W17" s="154"/>
      <c r="X17" s="147"/>
    </row>
    <row r="18" spans="1:24" ht="19.899999999999999" customHeight="1" x14ac:dyDescent="0.3">
      <c r="A18" s="155"/>
      <c r="B18" s="155"/>
      <c r="C18" s="155"/>
      <c r="D18" s="155"/>
      <c r="E18" s="155"/>
      <c r="O18" s="156">
        <f>SUM(O5:O17)</f>
        <v>672659.3</v>
      </c>
      <c r="P18" s="157"/>
      <c r="Q18" s="156">
        <f>SUM(Q5:Q17)</f>
        <v>2152639.9649999999</v>
      </c>
      <c r="R18" s="157"/>
      <c r="S18" s="156">
        <f>SUM(S5:S17)</f>
        <v>0</v>
      </c>
      <c r="T18" s="157"/>
      <c r="U18" s="156">
        <f>SUM(U5:U17)</f>
        <v>0</v>
      </c>
      <c r="V18" s="158">
        <f>SUM(V5:V17)</f>
        <v>2825299.2649999997</v>
      </c>
    </row>
    <row r="22" spans="1:24" x14ac:dyDescent="0.3">
      <c r="Q22" s="110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6"/>
  <sheetViews>
    <sheetView zoomScale="90" zoomScaleNormal="90" workbookViewId="0">
      <selection activeCell="P35" sqref="P35"/>
    </sheetView>
  </sheetViews>
  <sheetFormatPr defaultColWidth="9" defaultRowHeight="14.25" x14ac:dyDescent="0.3"/>
  <cols>
    <col min="1" max="1" width="22.625" style="144" customWidth="1"/>
    <col min="2" max="2" width="27.625" style="144" customWidth="1"/>
    <col min="3" max="3" width="5.75" style="144" customWidth="1"/>
    <col min="4" max="4" width="5.25" style="144" customWidth="1"/>
    <col min="5" max="8" width="20.625" style="144" customWidth="1"/>
    <col min="9" max="12" width="20.625" style="144" hidden="1" customWidth="1"/>
    <col min="13" max="14" width="20.625" style="144" customWidth="1"/>
    <col min="15" max="15" width="32.75" style="144" customWidth="1"/>
    <col min="16" max="16384" width="9" style="111"/>
  </cols>
  <sheetData>
    <row r="1" spans="1:16" ht="27" customHeight="1" x14ac:dyDescent="0.3">
      <c r="A1" s="207" t="s">
        <v>76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</row>
    <row r="2" spans="1:16" ht="12.95" customHeight="1" x14ac:dyDescent="0.3">
      <c r="A2" s="209" t="s">
        <v>77</v>
      </c>
      <c r="B2" s="210" t="s">
        <v>78</v>
      </c>
      <c r="C2" s="211" t="s">
        <v>52</v>
      </c>
      <c r="D2" s="211" t="s">
        <v>79</v>
      </c>
      <c r="E2" s="213" t="s">
        <v>80</v>
      </c>
      <c r="F2" s="210"/>
      <c r="G2" s="210" t="s">
        <v>81</v>
      </c>
      <c r="H2" s="210"/>
      <c r="I2" s="214" t="s">
        <v>82</v>
      </c>
      <c r="J2" s="215"/>
      <c r="K2" s="214" t="s">
        <v>83</v>
      </c>
      <c r="L2" s="215"/>
      <c r="M2" s="213" t="s">
        <v>84</v>
      </c>
      <c r="N2" s="210"/>
      <c r="O2" s="216" t="s">
        <v>85</v>
      </c>
    </row>
    <row r="3" spans="1:16" ht="12.95" customHeight="1" x14ac:dyDescent="0.3">
      <c r="A3" s="209"/>
      <c r="B3" s="210"/>
      <c r="C3" s="212"/>
      <c r="D3" s="212"/>
      <c r="E3" s="112" t="s">
        <v>86</v>
      </c>
      <c r="F3" s="112" t="s">
        <v>87</v>
      </c>
      <c r="G3" s="113" t="s">
        <v>86</v>
      </c>
      <c r="H3" s="112" t="s">
        <v>88</v>
      </c>
      <c r="I3" s="112"/>
      <c r="J3" s="112"/>
      <c r="K3" s="113" t="s">
        <v>86</v>
      </c>
      <c r="L3" s="112" t="s">
        <v>88</v>
      </c>
      <c r="M3" s="113" t="s">
        <v>86</v>
      </c>
      <c r="N3" s="112" t="s">
        <v>88</v>
      </c>
      <c r="O3" s="217"/>
    </row>
    <row r="4" spans="1:16" ht="12.95" customHeight="1" x14ac:dyDescent="0.3">
      <c r="A4" s="205" t="s">
        <v>194</v>
      </c>
      <c r="B4" s="206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</row>
    <row r="5" spans="1:16" ht="12.95" customHeight="1" x14ac:dyDescent="0.3">
      <c r="A5" s="197" t="s">
        <v>89</v>
      </c>
      <c r="B5" s="115" t="s">
        <v>90</v>
      </c>
      <c r="C5" s="116" t="s">
        <v>91</v>
      </c>
      <c r="D5" s="117">
        <v>55</v>
      </c>
      <c r="E5" s="118">
        <v>1086</v>
      </c>
      <c r="F5" s="119">
        <f t="shared" ref="F5:F10" si="0">D5*E5</f>
        <v>59730</v>
      </c>
      <c r="G5" s="119">
        <v>5587</v>
      </c>
      <c r="H5" s="118">
        <f t="shared" ref="H5:H11" si="1">D5*G5</f>
        <v>307285</v>
      </c>
      <c r="I5" s="118"/>
      <c r="J5" s="118"/>
      <c r="K5" s="119"/>
      <c r="L5" s="119"/>
      <c r="M5" s="119"/>
      <c r="N5" s="119">
        <f>F5+H5+J5+L5</f>
        <v>367015</v>
      </c>
      <c r="O5" s="194" t="s">
        <v>164</v>
      </c>
    </row>
    <row r="6" spans="1:16" ht="12.95" customHeight="1" x14ac:dyDescent="0.3">
      <c r="A6" s="198"/>
      <c r="B6" s="115" t="s">
        <v>92</v>
      </c>
      <c r="C6" s="116" t="s">
        <v>91</v>
      </c>
      <c r="D6" s="117">
        <v>37</v>
      </c>
      <c r="E6" s="118">
        <v>1086</v>
      </c>
      <c r="F6" s="119">
        <f t="shared" si="0"/>
        <v>40182</v>
      </c>
      <c r="G6" s="119">
        <v>7263</v>
      </c>
      <c r="H6" s="118">
        <f t="shared" si="1"/>
        <v>268731</v>
      </c>
      <c r="I6" s="118"/>
      <c r="J6" s="118"/>
      <c r="K6" s="119"/>
      <c r="L6" s="119"/>
      <c r="M6" s="119"/>
      <c r="N6" s="119">
        <f t="shared" ref="N6:N11" si="2">F6+H6+J6+L6</f>
        <v>308913</v>
      </c>
      <c r="O6" s="195"/>
    </row>
    <row r="7" spans="1:16" ht="12.95" customHeight="1" x14ac:dyDescent="0.3">
      <c r="A7" s="198"/>
      <c r="B7" s="115" t="s">
        <v>93</v>
      </c>
      <c r="C7" s="116" t="s">
        <v>91</v>
      </c>
      <c r="D7" s="117">
        <v>30</v>
      </c>
      <c r="E7" s="118">
        <v>1086</v>
      </c>
      <c r="F7" s="119">
        <f t="shared" si="0"/>
        <v>32580</v>
      </c>
      <c r="G7" s="119">
        <v>5587</v>
      </c>
      <c r="H7" s="118">
        <f t="shared" si="1"/>
        <v>167610</v>
      </c>
      <c r="I7" s="118"/>
      <c r="J7" s="118"/>
      <c r="K7" s="119"/>
      <c r="L7" s="119"/>
      <c r="M7" s="119"/>
      <c r="N7" s="119">
        <f t="shared" si="2"/>
        <v>200190</v>
      </c>
      <c r="O7" s="195"/>
    </row>
    <row r="8" spans="1:16" ht="12.95" customHeight="1" x14ac:dyDescent="0.3">
      <c r="A8" s="198"/>
      <c r="B8" s="115" t="s">
        <v>94</v>
      </c>
      <c r="C8" s="116" t="s">
        <v>91</v>
      </c>
      <c r="D8" s="117">
        <v>12</v>
      </c>
      <c r="E8" s="118">
        <v>1086</v>
      </c>
      <c r="F8" s="119">
        <f t="shared" si="0"/>
        <v>13032</v>
      </c>
      <c r="G8" s="119">
        <v>7263</v>
      </c>
      <c r="H8" s="118">
        <f t="shared" si="1"/>
        <v>87156</v>
      </c>
      <c r="I8" s="118"/>
      <c r="J8" s="118"/>
      <c r="K8" s="119"/>
      <c r="L8" s="119"/>
      <c r="M8" s="119"/>
      <c r="N8" s="119">
        <f t="shared" si="2"/>
        <v>100188</v>
      </c>
      <c r="O8" s="195"/>
    </row>
    <row r="9" spans="1:16" ht="12.95" customHeight="1" x14ac:dyDescent="0.3">
      <c r="A9" s="198"/>
      <c r="B9" s="115" t="s">
        <v>95</v>
      </c>
      <c r="C9" s="116" t="s">
        <v>91</v>
      </c>
      <c r="D9" s="117">
        <v>20</v>
      </c>
      <c r="E9" s="118">
        <v>1086</v>
      </c>
      <c r="F9" s="119">
        <f t="shared" si="0"/>
        <v>21720</v>
      </c>
      <c r="G9" s="119">
        <v>5587</v>
      </c>
      <c r="H9" s="118">
        <f t="shared" si="1"/>
        <v>111740</v>
      </c>
      <c r="I9" s="118"/>
      <c r="J9" s="118"/>
      <c r="K9" s="119"/>
      <c r="L9" s="119"/>
      <c r="M9" s="119"/>
      <c r="N9" s="119">
        <f t="shared" si="2"/>
        <v>133460</v>
      </c>
      <c r="O9" s="195"/>
    </row>
    <row r="10" spans="1:16" ht="12.95" customHeight="1" x14ac:dyDescent="0.3">
      <c r="A10" s="198"/>
      <c r="B10" s="115" t="s">
        <v>96</v>
      </c>
      <c r="C10" s="116" t="s">
        <v>91</v>
      </c>
      <c r="D10" s="117">
        <v>12</v>
      </c>
      <c r="E10" s="118">
        <v>1086</v>
      </c>
      <c r="F10" s="119">
        <f t="shared" si="0"/>
        <v>13032</v>
      </c>
      <c r="G10" s="119">
        <v>7263</v>
      </c>
      <c r="H10" s="118">
        <f t="shared" si="1"/>
        <v>87156</v>
      </c>
      <c r="I10" s="118"/>
      <c r="J10" s="118"/>
      <c r="K10" s="119"/>
      <c r="L10" s="119"/>
      <c r="M10" s="119"/>
      <c r="N10" s="119">
        <f t="shared" si="2"/>
        <v>100188</v>
      </c>
      <c r="O10" s="195"/>
    </row>
    <row r="11" spans="1:16" ht="12.95" customHeight="1" x14ac:dyDescent="0.3">
      <c r="A11" s="199"/>
      <c r="B11" s="115" t="s">
        <v>169</v>
      </c>
      <c r="C11" s="116" t="s">
        <v>91</v>
      </c>
      <c r="D11" s="120">
        <f>SUM(D5:D10)*50%</f>
        <v>83</v>
      </c>
      <c r="E11" s="118"/>
      <c r="F11" s="119"/>
      <c r="G11" s="119">
        <v>1351</v>
      </c>
      <c r="H11" s="118">
        <f t="shared" si="1"/>
        <v>112133</v>
      </c>
      <c r="I11" s="118"/>
      <c r="J11" s="118"/>
      <c r="K11" s="119"/>
      <c r="L11" s="119"/>
      <c r="M11" s="119"/>
      <c r="N11" s="119">
        <f t="shared" si="2"/>
        <v>112133</v>
      </c>
      <c r="O11" s="196"/>
    </row>
    <row r="12" spans="1:16" ht="12.95" customHeight="1" x14ac:dyDescent="0.3">
      <c r="A12" s="161" t="s">
        <v>97</v>
      </c>
      <c r="B12" s="121"/>
      <c r="C12" s="122"/>
      <c r="D12" s="123">
        <f>SUM(D5:D10)</f>
        <v>166</v>
      </c>
      <c r="E12" s="124"/>
      <c r="F12" s="124">
        <f>SUM(F5:F11)</f>
        <v>180276</v>
      </c>
      <c r="G12" s="124"/>
      <c r="H12" s="124">
        <f>SUM(H5:H11)</f>
        <v>1141811</v>
      </c>
      <c r="I12" s="124"/>
      <c r="J12" s="124">
        <f>SUM(J5:J11)</f>
        <v>0</v>
      </c>
      <c r="K12" s="124"/>
      <c r="L12" s="124">
        <f>SUM(L5:L11)</f>
        <v>0</v>
      </c>
      <c r="M12" s="124"/>
      <c r="N12" s="124">
        <f>SUM(N5:N11)</f>
        <v>1322087</v>
      </c>
      <c r="O12" s="124"/>
      <c r="P12" s="125"/>
    </row>
    <row r="13" spans="1:16" ht="12.95" customHeight="1" x14ac:dyDescent="0.3">
      <c r="A13" s="201" t="s">
        <v>98</v>
      </c>
      <c r="B13" s="115" t="s">
        <v>99</v>
      </c>
      <c r="C13" s="116" t="s">
        <v>91</v>
      </c>
      <c r="D13" s="120">
        <v>18</v>
      </c>
      <c r="E13" s="118"/>
      <c r="F13" s="118"/>
      <c r="G13" s="118">
        <v>4054</v>
      </c>
      <c r="H13" s="119">
        <f t="shared" ref="H13:H15" si="3">D13*G13</f>
        <v>72972</v>
      </c>
      <c r="I13" s="118"/>
      <c r="J13" s="118"/>
      <c r="K13" s="118"/>
      <c r="L13" s="119"/>
      <c r="M13" s="118"/>
      <c r="N13" s="119">
        <f t="shared" ref="N13:N19" si="4">F13+H13+J13+L13</f>
        <v>72972</v>
      </c>
      <c r="O13" s="194" t="s">
        <v>165</v>
      </c>
    </row>
    <row r="14" spans="1:16" ht="12.95" customHeight="1" x14ac:dyDescent="0.3">
      <c r="A14" s="202"/>
      <c r="B14" s="115" t="s">
        <v>100</v>
      </c>
      <c r="C14" s="116" t="s">
        <v>91</v>
      </c>
      <c r="D14" s="126">
        <v>9</v>
      </c>
      <c r="E14" s="118"/>
      <c r="F14" s="118"/>
      <c r="G14" s="118">
        <v>4054</v>
      </c>
      <c r="H14" s="119">
        <f t="shared" si="3"/>
        <v>36486</v>
      </c>
      <c r="I14" s="118"/>
      <c r="J14" s="118"/>
      <c r="K14" s="118"/>
      <c r="L14" s="119"/>
      <c r="M14" s="118"/>
      <c r="N14" s="119">
        <f t="shared" si="4"/>
        <v>36486</v>
      </c>
      <c r="O14" s="195"/>
    </row>
    <row r="15" spans="1:16" ht="12.95" customHeight="1" x14ac:dyDescent="0.3">
      <c r="A15" s="202"/>
      <c r="B15" s="115" t="s">
        <v>101</v>
      </c>
      <c r="C15" s="116" t="s">
        <v>91</v>
      </c>
      <c r="D15" s="126">
        <v>7</v>
      </c>
      <c r="E15" s="118"/>
      <c r="F15" s="118"/>
      <c r="G15" s="118">
        <v>4054</v>
      </c>
      <c r="H15" s="119">
        <f t="shared" si="3"/>
        <v>28378</v>
      </c>
      <c r="I15" s="118"/>
      <c r="J15" s="118"/>
      <c r="K15" s="118"/>
      <c r="L15" s="119"/>
      <c r="M15" s="118"/>
      <c r="N15" s="119">
        <f t="shared" si="4"/>
        <v>28378</v>
      </c>
      <c r="O15" s="195"/>
    </row>
    <row r="16" spans="1:16" ht="12.95" customHeight="1" x14ac:dyDescent="0.3">
      <c r="A16" s="202"/>
      <c r="B16" s="115" t="s">
        <v>102</v>
      </c>
      <c r="C16" s="116" t="s">
        <v>103</v>
      </c>
      <c r="D16" s="126">
        <v>4</v>
      </c>
      <c r="E16" s="119">
        <v>12525</v>
      </c>
      <c r="F16" s="119">
        <f>D16*E16</f>
        <v>50100</v>
      </c>
      <c r="G16" s="118"/>
      <c r="H16" s="119"/>
      <c r="I16" s="119"/>
      <c r="J16" s="119"/>
      <c r="K16" s="118"/>
      <c r="L16" s="119"/>
      <c r="M16" s="118"/>
      <c r="N16" s="119">
        <f t="shared" si="4"/>
        <v>50100</v>
      </c>
      <c r="O16" s="195"/>
    </row>
    <row r="17" spans="1:15" ht="12.95" customHeight="1" x14ac:dyDescent="0.3">
      <c r="A17" s="202"/>
      <c r="B17" s="115" t="s">
        <v>104</v>
      </c>
      <c r="C17" s="116" t="s">
        <v>91</v>
      </c>
      <c r="D17" s="120">
        <v>18</v>
      </c>
      <c r="E17" s="119">
        <v>12525</v>
      </c>
      <c r="F17" s="119">
        <f>D17*E17</f>
        <v>225450</v>
      </c>
      <c r="G17" s="118">
        <v>3718</v>
      </c>
      <c r="H17" s="119">
        <f>D17*G17</f>
        <v>66924</v>
      </c>
      <c r="I17" s="119"/>
      <c r="J17" s="119"/>
      <c r="K17" s="118"/>
      <c r="L17" s="119"/>
      <c r="M17" s="118"/>
      <c r="N17" s="119">
        <f t="shared" si="4"/>
        <v>292374</v>
      </c>
      <c r="O17" s="195"/>
    </row>
    <row r="18" spans="1:15" ht="12.95" customHeight="1" x14ac:dyDescent="0.3">
      <c r="A18" s="202"/>
      <c r="B18" s="115" t="s">
        <v>105</v>
      </c>
      <c r="C18" s="116" t="s">
        <v>91</v>
      </c>
      <c r="D18" s="126">
        <v>9</v>
      </c>
      <c r="E18" s="119">
        <v>12525</v>
      </c>
      <c r="F18" s="119">
        <f>D18*E18</f>
        <v>112725</v>
      </c>
      <c r="G18" s="118">
        <v>3718</v>
      </c>
      <c r="H18" s="119">
        <f>D18*G18</f>
        <v>33462</v>
      </c>
      <c r="I18" s="119"/>
      <c r="J18" s="119"/>
      <c r="K18" s="118"/>
      <c r="L18" s="119"/>
      <c r="M18" s="118"/>
      <c r="N18" s="119">
        <f t="shared" si="4"/>
        <v>146187</v>
      </c>
      <c r="O18" s="195"/>
    </row>
    <row r="19" spans="1:15" ht="12.95" customHeight="1" x14ac:dyDescent="0.3">
      <c r="A19" s="202"/>
      <c r="B19" s="115" t="s">
        <v>106</v>
      </c>
      <c r="C19" s="116" t="s">
        <v>91</v>
      </c>
      <c r="D19" s="126">
        <v>7</v>
      </c>
      <c r="E19" s="119">
        <v>12525</v>
      </c>
      <c r="F19" s="119">
        <f>D19*E19</f>
        <v>87675</v>
      </c>
      <c r="G19" s="118">
        <v>3718</v>
      </c>
      <c r="H19" s="119">
        <f>D19*G19</f>
        <v>26026</v>
      </c>
      <c r="I19" s="119"/>
      <c r="J19" s="119"/>
      <c r="K19" s="118"/>
      <c r="L19" s="119"/>
      <c r="M19" s="118"/>
      <c r="N19" s="119">
        <f t="shared" si="4"/>
        <v>113701</v>
      </c>
      <c r="O19" s="195"/>
    </row>
    <row r="20" spans="1:15" ht="12.95" customHeight="1" x14ac:dyDescent="0.3">
      <c r="A20" s="161" t="s">
        <v>97</v>
      </c>
      <c r="B20" s="121"/>
      <c r="C20" s="127"/>
      <c r="D20" s="127">
        <f>SUM(D17:D19)</f>
        <v>34</v>
      </c>
      <c r="E20" s="124"/>
      <c r="F20" s="124">
        <f>SUM(F13:F19)</f>
        <v>475950</v>
      </c>
      <c r="G20" s="124"/>
      <c r="H20" s="124">
        <f>SUM(H13:H19)</f>
        <v>264248</v>
      </c>
      <c r="I20" s="124"/>
      <c r="J20" s="124">
        <f>SUM(J13:J19)</f>
        <v>0</v>
      </c>
      <c r="K20" s="124"/>
      <c r="L20" s="124">
        <f>SUM(L13:L19)</f>
        <v>0</v>
      </c>
      <c r="M20" s="124"/>
      <c r="N20" s="124">
        <f>SUM(N13:N19)</f>
        <v>740198</v>
      </c>
      <c r="O20" s="124"/>
    </row>
    <row r="21" spans="1:15" ht="12.95" customHeight="1" x14ac:dyDescent="0.3">
      <c r="A21" s="159" t="s">
        <v>107</v>
      </c>
      <c r="B21" s="128"/>
      <c r="C21" s="129"/>
      <c r="D21" s="130"/>
      <c r="E21" s="118"/>
      <c r="F21" s="118"/>
      <c r="G21" s="118"/>
      <c r="H21" s="118"/>
      <c r="I21" s="118"/>
      <c r="J21" s="118"/>
      <c r="K21" s="118"/>
      <c r="L21" s="118"/>
      <c r="M21" s="118"/>
      <c r="N21" s="118"/>
      <c r="O21" s="118"/>
    </row>
    <row r="22" spans="1:15" ht="12.95" customHeight="1" x14ac:dyDescent="0.3">
      <c r="A22" s="200" t="s">
        <v>108</v>
      </c>
      <c r="B22" s="173" t="s">
        <v>109</v>
      </c>
      <c r="C22" s="174" t="s">
        <v>91</v>
      </c>
      <c r="D22" s="175"/>
      <c r="E22" s="176"/>
      <c r="F22" s="176"/>
      <c r="G22" s="176"/>
      <c r="H22" s="176"/>
      <c r="I22" s="176"/>
      <c r="J22" s="176"/>
      <c r="K22" s="176"/>
      <c r="L22" s="176"/>
      <c r="M22" s="176"/>
      <c r="N22" s="176"/>
      <c r="O22" s="172"/>
    </row>
    <row r="23" spans="1:15" ht="12.95" customHeight="1" x14ac:dyDescent="0.3">
      <c r="A23" s="200"/>
      <c r="B23" s="128" t="s">
        <v>110</v>
      </c>
      <c r="C23" s="129" t="s">
        <v>91</v>
      </c>
      <c r="D23" s="130">
        <v>20</v>
      </c>
      <c r="E23" s="118">
        <v>385</v>
      </c>
      <c r="F23" s="118">
        <f t="shared" ref="F23" si="5">D23*E23</f>
        <v>7700</v>
      </c>
      <c r="G23" s="118">
        <v>5132</v>
      </c>
      <c r="H23" s="118">
        <f t="shared" ref="H23:H24" si="6">D23*G23</f>
        <v>102640</v>
      </c>
      <c r="I23" s="118"/>
      <c r="J23" s="118"/>
      <c r="K23" s="118"/>
      <c r="L23" s="119"/>
      <c r="M23" s="118"/>
      <c r="N23" s="119">
        <f t="shared" ref="N23:N24" si="7">F23+H23+J23+L23</f>
        <v>110340</v>
      </c>
      <c r="O23" s="203" t="s">
        <v>195</v>
      </c>
    </row>
    <row r="24" spans="1:15" ht="12.95" customHeight="1" x14ac:dyDescent="0.3">
      <c r="A24" s="200" t="s">
        <v>111</v>
      </c>
      <c r="B24" s="128" t="s">
        <v>109</v>
      </c>
      <c r="C24" s="129" t="s">
        <v>91</v>
      </c>
      <c r="D24" s="130">
        <v>20</v>
      </c>
      <c r="E24" s="118">
        <v>441</v>
      </c>
      <c r="F24" s="118">
        <f>D24*E24</f>
        <v>8820</v>
      </c>
      <c r="G24" s="118">
        <v>8656</v>
      </c>
      <c r="H24" s="118">
        <f t="shared" si="6"/>
        <v>173120</v>
      </c>
      <c r="I24" s="118"/>
      <c r="J24" s="118"/>
      <c r="K24" s="118"/>
      <c r="L24" s="119"/>
      <c r="M24" s="118"/>
      <c r="N24" s="119">
        <f t="shared" si="7"/>
        <v>181940</v>
      </c>
      <c r="O24" s="203"/>
    </row>
    <row r="25" spans="1:15" ht="12.95" customHeight="1" x14ac:dyDescent="0.3">
      <c r="A25" s="200"/>
      <c r="B25" s="173" t="s">
        <v>110</v>
      </c>
      <c r="C25" s="174" t="s">
        <v>91</v>
      </c>
      <c r="D25" s="175"/>
      <c r="E25" s="176"/>
      <c r="F25" s="176"/>
      <c r="G25" s="176"/>
      <c r="H25" s="176"/>
      <c r="I25" s="176"/>
      <c r="J25" s="176"/>
      <c r="K25" s="176"/>
      <c r="L25" s="176"/>
      <c r="M25" s="176"/>
      <c r="N25" s="176"/>
      <c r="O25" s="203"/>
    </row>
    <row r="26" spans="1:15" ht="12.95" customHeight="1" x14ac:dyDescent="0.3">
      <c r="A26" s="200" t="s">
        <v>112</v>
      </c>
      <c r="B26" s="173" t="s">
        <v>113</v>
      </c>
      <c r="C26" s="174" t="s">
        <v>91</v>
      </c>
      <c r="D26" s="175"/>
      <c r="E26" s="176"/>
      <c r="F26" s="176"/>
      <c r="G26" s="176"/>
      <c r="H26" s="176"/>
      <c r="I26" s="176"/>
      <c r="J26" s="176"/>
      <c r="K26" s="176"/>
      <c r="L26" s="176"/>
      <c r="M26" s="176"/>
      <c r="N26" s="176"/>
      <c r="O26" s="203"/>
    </row>
    <row r="27" spans="1:15" ht="12.95" customHeight="1" x14ac:dyDescent="0.3">
      <c r="A27" s="200"/>
      <c r="B27" s="173" t="s">
        <v>114</v>
      </c>
      <c r="C27" s="174" t="s">
        <v>91</v>
      </c>
      <c r="D27" s="175"/>
      <c r="E27" s="176"/>
      <c r="F27" s="176"/>
      <c r="G27" s="176"/>
      <c r="H27" s="176"/>
      <c r="I27" s="176"/>
      <c r="J27" s="176"/>
      <c r="K27" s="176"/>
      <c r="L27" s="176"/>
      <c r="M27" s="176"/>
      <c r="N27" s="176"/>
      <c r="O27" s="203"/>
    </row>
    <row r="28" spans="1:15" ht="12.95" customHeight="1" x14ac:dyDescent="0.3">
      <c r="A28" s="200" t="s">
        <v>115</v>
      </c>
      <c r="B28" s="173" t="s">
        <v>113</v>
      </c>
      <c r="C28" s="174" t="s">
        <v>91</v>
      </c>
      <c r="D28" s="175"/>
      <c r="E28" s="176"/>
      <c r="F28" s="176"/>
      <c r="G28" s="176"/>
      <c r="H28" s="176"/>
      <c r="I28" s="176"/>
      <c r="J28" s="176"/>
      <c r="K28" s="176"/>
      <c r="L28" s="176"/>
      <c r="M28" s="176"/>
      <c r="N28" s="176"/>
      <c r="O28" s="203"/>
    </row>
    <row r="29" spans="1:15" ht="12.95" customHeight="1" x14ac:dyDescent="0.3">
      <c r="A29" s="200"/>
      <c r="B29" s="173" t="s">
        <v>116</v>
      </c>
      <c r="C29" s="174" t="s">
        <v>91</v>
      </c>
      <c r="D29" s="175"/>
      <c r="E29" s="176"/>
      <c r="F29" s="176"/>
      <c r="G29" s="176"/>
      <c r="H29" s="176"/>
      <c r="I29" s="176"/>
      <c r="J29" s="176"/>
      <c r="K29" s="176"/>
      <c r="L29" s="176"/>
      <c r="M29" s="176"/>
      <c r="N29" s="176"/>
      <c r="O29" s="204"/>
    </row>
    <row r="30" spans="1:15" ht="12.95" customHeight="1" x14ac:dyDescent="0.3">
      <c r="A30" s="161" t="s">
        <v>97</v>
      </c>
      <c r="B30" s="131"/>
      <c r="C30" s="132"/>
      <c r="D30" s="123"/>
      <c r="E30" s="124"/>
      <c r="F30" s="124">
        <f>SUM(F21:F29)</f>
        <v>16520</v>
      </c>
      <c r="G30" s="124"/>
      <c r="H30" s="124">
        <f>SUM(H21:H29)</f>
        <v>275760</v>
      </c>
      <c r="I30" s="124"/>
      <c r="J30" s="124">
        <f>SUM(J21:J29)</f>
        <v>0</v>
      </c>
      <c r="K30" s="124"/>
      <c r="L30" s="124">
        <f>SUM(L21:L29)</f>
        <v>0</v>
      </c>
      <c r="M30" s="124"/>
      <c r="N30" s="124">
        <f>SUM(N21:N29)</f>
        <v>292280</v>
      </c>
      <c r="O30" s="124"/>
    </row>
    <row r="31" spans="1:15" ht="12.95" customHeight="1" x14ac:dyDescent="0.3">
      <c r="A31" s="160" t="s">
        <v>117</v>
      </c>
      <c r="B31" s="115" t="s">
        <v>118</v>
      </c>
      <c r="C31" s="116" t="s">
        <v>91</v>
      </c>
      <c r="D31" s="133">
        <v>40</v>
      </c>
      <c r="E31" s="119"/>
      <c r="F31" s="119"/>
      <c r="G31" s="118">
        <v>6557</v>
      </c>
      <c r="H31" s="119">
        <f>D31*G31</f>
        <v>262280</v>
      </c>
      <c r="I31" s="119"/>
      <c r="J31" s="119"/>
      <c r="K31" s="119"/>
      <c r="L31" s="119"/>
      <c r="M31" s="119"/>
      <c r="N31" s="119">
        <f>F31+H31+J31+L31</f>
        <v>262280</v>
      </c>
      <c r="O31" s="134" t="s">
        <v>163</v>
      </c>
    </row>
    <row r="32" spans="1:15" ht="12.95" customHeight="1" x14ac:dyDescent="0.3">
      <c r="A32" s="162" t="s">
        <v>97</v>
      </c>
      <c r="B32" s="121"/>
      <c r="C32" s="122"/>
      <c r="D32" s="135"/>
      <c r="E32" s="136"/>
      <c r="F32" s="136"/>
      <c r="G32" s="136"/>
      <c r="H32" s="124">
        <f>SUM(H31:H31)</f>
        <v>262280</v>
      </c>
      <c r="I32" s="136"/>
      <c r="J32" s="124">
        <f t="shared" ref="J32:N32" si="8">SUM(J31:J31)</f>
        <v>0</v>
      </c>
      <c r="K32" s="124"/>
      <c r="L32" s="124">
        <f t="shared" si="8"/>
        <v>0</v>
      </c>
      <c r="M32" s="124"/>
      <c r="N32" s="124">
        <f t="shared" si="8"/>
        <v>262280</v>
      </c>
      <c r="O32" s="136"/>
    </row>
    <row r="33" spans="1:15" ht="12.95" customHeight="1" x14ac:dyDescent="0.3">
      <c r="A33" s="164" t="s">
        <v>196</v>
      </c>
      <c r="B33" s="79"/>
      <c r="C33" s="79"/>
      <c r="D33" s="79"/>
      <c r="E33" s="80"/>
      <c r="F33" s="80"/>
      <c r="G33" s="80"/>
      <c r="H33" s="80"/>
      <c r="I33" s="137"/>
      <c r="J33" s="137"/>
      <c r="K33" s="137"/>
      <c r="L33" s="137"/>
      <c r="M33" s="137"/>
      <c r="N33" s="137"/>
      <c r="O33" s="137"/>
    </row>
    <row r="34" spans="1:15" ht="12.95" customHeight="1" x14ac:dyDescent="0.3">
      <c r="A34" s="163" t="s">
        <v>197</v>
      </c>
      <c r="B34" s="79" t="s">
        <v>198</v>
      </c>
      <c r="C34" s="79" t="s">
        <v>119</v>
      </c>
      <c r="D34" s="79">
        <v>1</v>
      </c>
      <c r="E34" s="80"/>
      <c r="F34" s="80"/>
      <c r="G34" s="80">
        <v>208527</v>
      </c>
      <c r="H34" s="80">
        <f t="shared" ref="H34" si="9">D34*G34</f>
        <v>208527</v>
      </c>
      <c r="I34" s="137"/>
      <c r="J34" s="137"/>
      <c r="K34" s="137"/>
      <c r="L34" s="137"/>
      <c r="M34" s="137"/>
      <c r="N34" s="119">
        <f t="shared" ref="N34" si="10">F34+H34+J34+L34</f>
        <v>208527</v>
      </c>
      <c r="O34" s="137"/>
    </row>
    <row r="35" spans="1:15" ht="12.95" customHeight="1" x14ac:dyDescent="0.3">
      <c r="A35" s="161" t="s">
        <v>97</v>
      </c>
      <c r="B35" s="121"/>
      <c r="C35" s="122"/>
      <c r="D35" s="135"/>
      <c r="E35" s="138"/>
      <c r="F35" s="139">
        <f>SUM(F34:F34)</f>
        <v>0</v>
      </c>
      <c r="G35" s="139"/>
      <c r="H35" s="139">
        <f>SUM(H34:H34)</f>
        <v>208527</v>
      </c>
      <c r="I35" s="138"/>
      <c r="J35" s="139">
        <f>SUM(J34:J34)</f>
        <v>0</v>
      </c>
      <c r="K35" s="138"/>
      <c r="L35" s="139">
        <f>SUM(L34:L34)</f>
        <v>0</v>
      </c>
      <c r="M35" s="138"/>
      <c r="N35" s="139">
        <f>SUM(N34:N34)</f>
        <v>208527</v>
      </c>
      <c r="O35" s="138"/>
    </row>
    <row r="36" spans="1:15" ht="12.95" customHeight="1" x14ac:dyDescent="0.3">
      <c r="A36" s="165" t="s">
        <v>120</v>
      </c>
      <c r="B36" s="140"/>
      <c r="C36" s="141"/>
      <c r="D36" s="142"/>
      <c r="E36" s="143"/>
      <c r="F36" s="143">
        <f>F12+F20+F30+F32+F35</f>
        <v>672746</v>
      </c>
      <c r="G36" s="143"/>
      <c r="H36" s="143">
        <f>H12+H20+H30+H32+H35</f>
        <v>2152626</v>
      </c>
      <c r="I36" s="143"/>
      <c r="J36" s="143" t="e">
        <f>J13+J20+J30+J32+#REF!+#REF!+#REF!+J35+#REF!</f>
        <v>#REF!</v>
      </c>
      <c r="K36" s="143"/>
      <c r="L36" s="143"/>
      <c r="M36" s="143"/>
      <c r="N36" s="143">
        <f>N12+N20+N30+N32+N35</f>
        <v>2825372</v>
      </c>
      <c r="O36" s="143"/>
    </row>
  </sheetData>
  <mergeCells count="21"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6:A27"/>
    <mergeCell ref="A28:A29"/>
    <mergeCell ref="A13:A19"/>
    <mergeCell ref="O23:O29"/>
    <mergeCell ref="A4:B4"/>
    <mergeCell ref="O5:O11"/>
    <mergeCell ref="A5:A11"/>
    <mergeCell ref="O13:O19"/>
    <mergeCell ref="A22:A23"/>
    <mergeCell ref="A24:A25"/>
  </mergeCells>
  <phoneticPr fontId="5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BB3E-E95A-48FA-B743-92D18A972F02}">
  <sheetPr codeName="Sheet4"/>
  <dimension ref="A2:P4"/>
  <sheetViews>
    <sheetView topLeftCell="A8" workbookViewId="0">
      <selection activeCell="E4" sqref="E4"/>
    </sheetView>
  </sheetViews>
  <sheetFormatPr defaultColWidth="9" defaultRowHeight="16.5" x14ac:dyDescent="0.3"/>
  <cols>
    <col min="1" max="4" width="9" style="78"/>
    <col min="5" max="5" width="15.125" style="78" customWidth="1"/>
    <col min="6" max="16384" width="9" style="78"/>
  </cols>
  <sheetData>
    <row r="2" spans="1:16" s="68" customFormat="1" x14ac:dyDescent="0.3">
      <c r="A2" s="218" t="s">
        <v>121</v>
      </c>
      <c r="B2" s="218"/>
      <c r="G2" s="69"/>
      <c r="L2" s="69"/>
      <c r="N2" s="69"/>
      <c r="O2" s="70"/>
      <c r="P2" s="70"/>
    </row>
    <row r="3" spans="1:16" s="68" customFormat="1" x14ac:dyDescent="0.3">
      <c r="A3" s="71" t="s">
        <v>122</v>
      </c>
      <c r="B3" s="72" t="s">
        <v>123</v>
      </c>
      <c r="C3" s="72" t="s">
        <v>124</v>
      </c>
      <c r="D3" s="72" t="s">
        <v>125</v>
      </c>
      <c r="E3" s="73" t="s">
        <v>126</v>
      </c>
      <c r="G3" s="69"/>
      <c r="L3" s="69"/>
      <c r="N3" s="69"/>
      <c r="O3" s="70"/>
      <c r="P3" s="70"/>
    </row>
    <row r="4" spans="1:16" s="68" customFormat="1" x14ac:dyDescent="0.3">
      <c r="A4" s="74">
        <v>999999</v>
      </c>
      <c r="B4" s="75" t="s">
        <v>127</v>
      </c>
      <c r="C4" s="75" t="s">
        <v>128</v>
      </c>
      <c r="D4" s="76">
        <v>1300</v>
      </c>
      <c r="E4" s="77" t="s">
        <v>168</v>
      </c>
      <c r="G4" s="69"/>
      <c r="L4" s="69"/>
      <c r="N4" s="69"/>
      <c r="O4" s="70"/>
      <c r="P4" s="70"/>
    </row>
  </sheetData>
  <mergeCells count="1">
    <mergeCell ref="A2:B2"/>
  </mergeCells>
  <phoneticPr fontId="5" type="noConversion"/>
  <pageMargins left="0.7" right="0.7" top="0.75" bottom="0.75" header="0.3" footer="0.3"/>
  <pageSetup paperSize="9" orientation="landscape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5"/>
  <sheetViews>
    <sheetView workbookViewId="0">
      <selection activeCell="I22" sqref="I22"/>
    </sheetView>
  </sheetViews>
  <sheetFormatPr defaultColWidth="9" defaultRowHeight="16.5" x14ac:dyDescent="0.3"/>
  <cols>
    <col min="1" max="1" width="11.125" style="78" customWidth="1"/>
    <col min="2" max="2" width="13.375" style="78" customWidth="1"/>
    <col min="3" max="3" width="38.75" style="78" customWidth="1"/>
    <col min="4" max="4" width="28.75" style="78" customWidth="1"/>
    <col min="5" max="5" width="5" style="78" customWidth="1"/>
    <col min="6" max="6" width="7.875" style="78" customWidth="1"/>
    <col min="7" max="7" width="10" style="78" customWidth="1"/>
    <col min="8" max="8" width="11.875" style="78" customWidth="1"/>
    <col min="9" max="9" width="10" style="78" customWidth="1"/>
    <col min="10" max="10" width="11.875" style="78" customWidth="1"/>
    <col min="11" max="11" width="10" style="78" customWidth="1"/>
    <col min="12" max="12" width="11.875" style="78" customWidth="1"/>
    <col min="13" max="13" width="10" style="78" customWidth="1"/>
    <col min="14" max="14" width="11.875" style="78" customWidth="1"/>
    <col min="15" max="15" width="9.125" style="78" customWidth="1"/>
    <col min="16" max="16" width="11.5" style="78" customWidth="1"/>
    <col min="17" max="17" width="11.75" style="78" customWidth="1"/>
    <col min="18" max="18" width="17.875" style="78" customWidth="1"/>
    <col min="19" max="16384" width="9" style="78"/>
  </cols>
  <sheetData>
    <row r="1" spans="1:18" ht="18" customHeight="1" x14ac:dyDescent="0.3">
      <c r="A1" s="168" t="s">
        <v>48</v>
      </c>
      <c r="B1" s="169" t="s">
        <v>49</v>
      </c>
      <c r="C1" s="169" t="s">
        <v>50</v>
      </c>
      <c r="D1" s="169" t="s">
        <v>51</v>
      </c>
      <c r="E1" s="169" t="s">
        <v>52</v>
      </c>
      <c r="F1" s="169" t="s">
        <v>5</v>
      </c>
      <c r="G1" s="169" t="s">
        <v>53</v>
      </c>
      <c r="H1" s="169" t="s">
        <v>54</v>
      </c>
      <c r="I1" s="169" t="s">
        <v>55</v>
      </c>
      <c r="J1" s="169" t="s">
        <v>56</v>
      </c>
      <c r="K1" s="169" t="s">
        <v>57</v>
      </c>
      <c r="L1" s="169" t="s">
        <v>58</v>
      </c>
      <c r="M1" s="169" t="s">
        <v>59</v>
      </c>
      <c r="N1" s="169" t="s">
        <v>60</v>
      </c>
      <c r="O1" s="169" t="s">
        <v>61</v>
      </c>
      <c r="P1" s="169" t="s">
        <v>62</v>
      </c>
      <c r="Q1" s="169" t="s">
        <v>63</v>
      </c>
      <c r="R1" s="169" t="s">
        <v>64</v>
      </c>
    </row>
    <row r="2" spans="1:18" x14ac:dyDescent="0.3">
      <c r="A2" s="85">
        <v>999999</v>
      </c>
      <c r="B2" s="84" t="s">
        <v>160</v>
      </c>
      <c r="C2" s="85" t="s">
        <v>167</v>
      </c>
      <c r="D2" s="85" t="s">
        <v>166</v>
      </c>
      <c r="E2" s="85" t="s">
        <v>132</v>
      </c>
      <c r="F2" s="166">
        <v>166</v>
      </c>
      <c r="G2" s="167">
        <v>1086</v>
      </c>
      <c r="H2" s="167"/>
      <c r="I2" s="167"/>
      <c r="J2" s="84"/>
      <c r="K2" s="84"/>
      <c r="L2" s="84"/>
      <c r="M2" s="84"/>
      <c r="N2" s="84"/>
      <c r="O2" s="84"/>
      <c r="P2" s="84"/>
      <c r="Q2" s="84"/>
      <c r="R2" s="84"/>
    </row>
    <row r="3" spans="1:18" x14ac:dyDescent="0.3">
      <c r="A3" s="85">
        <v>999999</v>
      </c>
      <c r="B3" s="84" t="s">
        <v>160</v>
      </c>
      <c r="C3" s="85" t="s">
        <v>162</v>
      </c>
      <c r="D3" s="85" t="s">
        <v>161</v>
      </c>
      <c r="E3" s="85" t="s">
        <v>132</v>
      </c>
      <c r="F3" s="166">
        <v>40</v>
      </c>
      <c r="G3" s="167"/>
      <c r="H3" s="167"/>
      <c r="I3" s="167">
        <v>6557</v>
      </c>
      <c r="J3" s="84"/>
      <c r="K3" s="84"/>
      <c r="L3" s="84"/>
      <c r="M3" s="84"/>
      <c r="N3" s="84"/>
      <c r="O3" s="84"/>
      <c r="P3" s="84"/>
      <c r="Q3" s="84"/>
      <c r="R3" s="84"/>
    </row>
    <row r="4" spans="1:18" x14ac:dyDescent="0.3">
      <c r="D4" s="81"/>
    </row>
    <row r="5" spans="1:18" x14ac:dyDescent="0.3">
      <c r="D5" s="81"/>
    </row>
  </sheetData>
  <phoneticPr fontId="5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1"/>
  <sheetViews>
    <sheetView showGridLines="0" zoomScaleNormal="100" workbookViewId="0">
      <selection activeCell="E23" sqref="E23"/>
    </sheetView>
  </sheetViews>
  <sheetFormatPr defaultColWidth="9" defaultRowHeight="16.5" x14ac:dyDescent="0.3"/>
  <cols>
    <col min="1" max="1" width="25.125" style="82" customWidth="1"/>
    <col min="2" max="2" width="16.25" style="82" customWidth="1"/>
    <col min="3" max="3" width="22.375" style="82" customWidth="1"/>
    <col min="4" max="4" width="24.125" style="82" customWidth="1"/>
    <col min="5" max="5" width="13" style="82" customWidth="1"/>
    <col min="6" max="6" width="7.5" style="82" customWidth="1"/>
    <col min="7" max="16384" width="9" style="78"/>
  </cols>
  <sheetData>
    <row r="1" spans="1:6" ht="18" customHeight="1" x14ac:dyDescent="0.3">
      <c r="A1" s="168" t="s">
        <v>0</v>
      </c>
      <c r="B1" s="168" t="s">
        <v>1</v>
      </c>
      <c r="C1" s="168" t="s">
        <v>2</v>
      </c>
      <c r="D1" s="168" t="s">
        <v>3</v>
      </c>
      <c r="E1" s="168" t="s">
        <v>4</v>
      </c>
      <c r="F1" s="168" t="s">
        <v>5</v>
      </c>
    </row>
    <row r="2" spans="1:6" x14ac:dyDescent="0.3">
      <c r="A2" s="170" t="str">
        <f>'내역서(표준단가)'!A5</f>
        <v>D02641</v>
      </c>
      <c r="B2" s="171" t="str">
        <f>'내역서(표준단가)'!F5</f>
        <v>D02641</v>
      </c>
      <c r="C2" s="171">
        <f>'내역서(표준단가)'!G5</f>
        <v>0</v>
      </c>
      <c r="D2" s="171">
        <f>'내역서(표준단가)'!H5</f>
        <v>0</v>
      </c>
      <c r="E2" s="171">
        <f>'내역서(표준단가)'!I5</f>
        <v>0</v>
      </c>
      <c r="F2" s="171">
        <f>'내역서(표준단가)'!M5</f>
        <v>105</v>
      </c>
    </row>
    <row r="3" spans="1:6" x14ac:dyDescent="0.3">
      <c r="A3" s="170" t="str">
        <f>'내역서(표준단가)'!A6</f>
        <v>D02642</v>
      </c>
      <c r="B3" s="171" t="str">
        <f>'내역서(표준단가)'!F6</f>
        <v>D02642</v>
      </c>
      <c r="C3" s="171">
        <f>'내역서(표준단가)'!G6</f>
        <v>0</v>
      </c>
      <c r="D3" s="171">
        <f>'내역서(표준단가)'!H6</f>
        <v>0</v>
      </c>
      <c r="E3" s="171">
        <f>'내역서(표준단가)'!I6</f>
        <v>0</v>
      </c>
      <c r="F3" s="171">
        <f>'내역서(표준단가)'!M6</f>
        <v>61</v>
      </c>
    </row>
    <row r="4" spans="1:6" x14ac:dyDescent="0.3">
      <c r="A4" s="170" t="str">
        <f>'내역서(표준단가)'!A7</f>
        <v>D02873</v>
      </c>
      <c r="B4" s="171" t="str">
        <f>'내역서(표준단가)'!F7</f>
        <v>D02873</v>
      </c>
      <c r="C4" s="171">
        <f>'내역서(표준단가)'!G7</f>
        <v>0</v>
      </c>
      <c r="D4" s="171">
        <f>'내역서(표준단가)'!H7</f>
        <v>0</v>
      </c>
      <c r="E4" s="171">
        <f>'내역서(표준단가)'!I7</f>
        <v>0</v>
      </c>
      <c r="F4" s="171">
        <f>'내역서(표준단가)'!M7</f>
        <v>83</v>
      </c>
    </row>
    <row r="5" spans="1:6" x14ac:dyDescent="0.3">
      <c r="A5" s="170" t="str">
        <f>'내역서(표준단가)'!A8</f>
        <v>D02859</v>
      </c>
      <c r="B5" s="171" t="str">
        <f>'내역서(표준단가)'!F8</f>
        <v>D02859</v>
      </c>
      <c r="C5" s="171">
        <f>'내역서(표준단가)'!G8</f>
        <v>0</v>
      </c>
      <c r="D5" s="171">
        <f>'내역서(표준단가)'!H8</f>
        <v>0</v>
      </c>
      <c r="E5" s="171">
        <f>'내역서(표준단가)'!I8</f>
        <v>0</v>
      </c>
      <c r="F5" s="171">
        <f>'내역서(표준단가)'!M8</f>
        <v>34</v>
      </c>
    </row>
    <row r="6" spans="1:6" x14ac:dyDescent="0.3">
      <c r="A6" s="170" t="str">
        <f>'내역서(표준단가)'!A9</f>
        <v>D02558</v>
      </c>
      <c r="B6" s="171" t="str">
        <f>'내역서(표준단가)'!F9</f>
        <v>D02558</v>
      </c>
      <c r="C6" s="171">
        <f>'내역서(표준단가)'!G9</f>
        <v>0</v>
      </c>
      <c r="D6" s="171">
        <f>'내역서(표준단가)'!H9</f>
        <v>0</v>
      </c>
      <c r="E6" s="171">
        <f>'내역서(표준단가)'!I9</f>
        <v>0</v>
      </c>
      <c r="F6" s="171">
        <f>'내역서(표준단가)'!M9</f>
        <v>34</v>
      </c>
    </row>
    <row r="7" spans="1:6" x14ac:dyDescent="0.3">
      <c r="A7" s="170" t="str">
        <f>'내역서(표준단가)'!A10</f>
        <v>D02825</v>
      </c>
      <c r="B7" s="171" t="str">
        <f>'내역서(표준단가)'!F10</f>
        <v>D02825</v>
      </c>
      <c r="C7" s="171">
        <f>'내역서(표준단가)'!G10</f>
        <v>0</v>
      </c>
      <c r="D7" s="171">
        <f>'내역서(표준단가)'!H10</f>
        <v>0</v>
      </c>
      <c r="E7" s="171">
        <f>'내역서(표준단가)'!I10</f>
        <v>0</v>
      </c>
      <c r="F7" s="171">
        <f>'내역서(표준단가)'!M10</f>
        <v>20</v>
      </c>
    </row>
    <row r="8" spans="1:6" x14ac:dyDescent="0.3">
      <c r="A8" s="170" t="str">
        <f>'내역서(표준단가)'!A11</f>
        <v>D02832</v>
      </c>
      <c r="B8" s="171" t="str">
        <f>'내역서(표준단가)'!F11</f>
        <v>D02832</v>
      </c>
      <c r="C8" s="171">
        <f>'내역서(표준단가)'!G11</f>
        <v>0</v>
      </c>
      <c r="D8" s="171">
        <f>'내역서(표준단가)'!H11</f>
        <v>0</v>
      </c>
      <c r="E8" s="171">
        <f>'내역서(표준단가)'!I11</f>
        <v>0</v>
      </c>
      <c r="F8" s="171">
        <f>'내역서(표준단가)'!M11</f>
        <v>20</v>
      </c>
    </row>
    <row r="9" spans="1:6" x14ac:dyDescent="0.3">
      <c r="A9" s="170" t="str">
        <f>'내역서(표준단가)'!A12</f>
        <v>M012003400500101</v>
      </c>
      <c r="B9" s="171">
        <f>'내역서(표준단가)'!F12</f>
        <v>0</v>
      </c>
      <c r="C9" s="171">
        <f>'내역서(표준단가)'!G12</f>
        <v>0</v>
      </c>
      <c r="D9" s="171" t="str">
        <f>'내역서(표준단가)'!H12</f>
        <v>M012003400500101</v>
      </c>
      <c r="E9" s="171">
        <f>'내역서(표준단가)'!I12</f>
        <v>0</v>
      </c>
      <c r="F9" s="171">
        <f>'내역서(표준단가)'!M12</f>
        <v>34</v>
      </c>
    </row>
    <row r="10" spans="1:6" x14ac:dyDescent="0.3">
      <c r="A10" s="170" t="str">
        <f>'내역서(표준단가)'!A13</f>
        <v>M010602702400101</v>
      </c>
      <c r="B10" s="171">
        <f>'내역서(표준단가)'!F13</f>
        <v>0</v>
      </c>
      <c r="C10" s="171">
        <f>'내역서(표준단가)'!G13</f>
        <v>0</v>
      </c>
      <c r="D10" s="171" t="str">
        <f>'내역서(표준단가)'!H13</f>
        <v>M010602702400101</v>
      </c>
      <c r="E10" s="171">
        <f>'내역서(표준단가)'!I13</f>
        <v>0</v>
      </c>
      <c r="F10" s="171">
        <f>'내역서(표준단가)'!M13</f>
        <v>4</v>
      </c>
    </row>
    <row r="11" spans="1:6" x14ac:dyDescent="0.3">
      <c r="A11" s="170" t="str">
        <f>'내역서(표준단가)'!A14</f>
        <v>L003</v>
      </c>
      <c r="B11" s="171">
        <f>'내역서(표준단가)'!F14</f>
        <v>0</v>
      </c>
      <c r="C11" s="171">
        <f>'내역서(표준단가)'!G14</f>
        <v>0</v>
      </c>
      <c r="D11" s="171">
        <f>'내역서(표준단가)'!H14</f>
        <v>0</v>
      </c>
      <c r="E11" s="171" t="str">
        <f>'내역서(표준단가)'!I14</f>
        <v>L003</v>
      </c>
      <c r="F11" s="171">
        <f>'내역서(표준단가)'!M14</f>
        <v>1</v>
      </c>
    </row>
  </sheetData>
  <phoneticPr fontId="5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갑지</vt:lpstr>
      <vt:lpstr>내역서(표준단가)</vt:lpstr>
      <vt:lpstr>상세내역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2024-12-12T02:57:00Z</dcterms:modified>
</cp:coreProperties>
</file>
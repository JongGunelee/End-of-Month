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837FE288-3E8F-460B-AA10-4E03598D3E28}" xr6:coauthVersionLast="47" xr6:coauthVersionMax="47" xr10:uidLastSave="{00000000-0000-0000-0000-000000000000}"/>
  <bookViews>
    <workbookView xWindow="1170" yWindow="0" windowWidth="14610" windowHeight="16305" activeTab="1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9" l="1"/>
  <c r="F11" i="9"/>
  <c r="N11" i="9" s="1"/>
  <c r="H9" i="9"/>
  <c r="F9" i="9"/>
  <c r="H7" i="9"/>
  <c r="F7" i="9"/>
  <c r="N7" i="9" s="1"/>
  <c r="Q6" i="9"/>
  <c r="Q5" i="9"/>
  <c r="H5" i="9"/>
  <c r="N5" i="9" s="1"/>
  <c r="F5" i="9"/>
  <c r="N9" i="9" l="1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12" i="4"/>
  <c r="O12" i="4"/>
  <c r="M12" i="4"/>
  <c r="K12" i="4"/>
  <c r="A12" i="4"/>
  <c r="A9" i="10" s="1"/>
  <c r="Q7" i="4"/>
  <c r="O7" i="4"/>
  <c r="M7" i="4"/>
  <c r="K7" i="4"/>
  <c r="A7" i="4"/>
  <c r="A4" i="10" s="1"/>
  <c r="Q6" i="4"/>
  <c r="O6" i="4"/>
  <c r="M6" i="4"/>
  <c r="K6" i="4"/>
  <c r="A6" i="4"/>
  <c r="A3" i="10" s="1"/>
  <c r="R6" i="4" l="1"/>
  <c r="R12" i="4"/>
  <c r="R7" i="4"/>
  <c r="F20" i="9" l="1"/>
  <c r="N20" i="9" s="1"/>
  <c r="K9" i="4"/>
  <c r="R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J28" i="9" l="1"/>
  <c r="L28" i="9"/>
  <c r="N22" i="9"/>
  <c r="N15" i="9"/>
  <c r="N17" i="9"/>
  <c r="N14" i="9"/>
  <c r="F25" i="9"/>
  <c r="H18" i="9"/>
  <c r="N23" i="9"/>
  <c r="F13" i="9"/>
  <c r="N16" i="9"/>
  <c r="H25" i="9"/>
  <c r="H13" i="9"/>
  <c r="N24" i="9"/>
  <c r="N21" i="9"/>
  <c r="N27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Q11" i="4" l="1"/>
  <c r="O11" i="4"/>
  <c r="M11" i="4"/>
  <c r="K11" i="4"/>
  <c r="Q10" i="4"/>
  <c r="O10" i="4"/>
  <c r="M10" i="4"/>
  <c r="K10" i="4"/>
  <c r="Q8" i="4"/>
  <c r="O8" i="4"/>
  <c r="M8" i="4"/>
  <c r="K8" i="4"/>
  <c r="M13" i="4" l="1"/>
  <c r="F17" i="5" s="1"/>
  <c r="R8" i="4"/>
  <c r="R11" i="4"/>
  <c r="R10" i="4"/>
  <c r="F21" i="5" l="1"/>
  <c r="F22" i="5"/>
  <c r="Q13" i="4"/>
  <c r="K13" i="4"/>
  <c r="F16" i="5" s="1"/>
  <c r="F26" i="5" s="1"/>
  <c r="O13" i="4"/>
  <c r="F18" i="5" l="1"/>
  <c r="R13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<sst xmlns="http://schemas.openxmlformats.org/spreadsheetml/2006/main" count="205" uniqueCount="156">
  <si>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</si>
  <si>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</si>
  <si>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</si>
  <si>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</si>
  <si>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</si>
  <si>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</si>
  <si>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</si>
  <si>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</si>
  <si>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</si>
  <si>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</si>
  <si>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</si>
  <si>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</si>
  <si>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</si>
  <si>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</si>
  <si>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</si>
  <si>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</si>
  <si>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</si>
  <si>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</si>
  <si>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</si>
  <si>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</si>
  <si>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</si>
  <si>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</si>
  <si>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</si>
  <si>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</si>
  <si>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</si>
  <si>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</si>
  <si>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</si>
  <si>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</si>
  <si>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</si>
  <si>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</si>
  <si>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</si>
  <si>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</si>
  <si>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</si>
  <si>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</si>
  <si>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</si>
  <si>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</si>
  <si>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</si>
  <si>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</si>
  <si>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</si>
  <si>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</si>
  <si>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</si>
  <si>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</si>
  <si>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</si>
  <si>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</si>
  <si>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</si>
  <si>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</si>
  <si>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</si>
  <si>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</si>
  <si>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</si>
  <si>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</si>
  <si>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</si>
  <si>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</si>
  <si>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</si>
  <si>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</si>
  <si>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</si>
  <si>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</si>
  <si>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</si>
  <si>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</si>
  <si>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</si>
  <si>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</si>
  <si>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</si>
  <si>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</si>
  <si>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</si>
  <si>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</si>
  <si>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</si>
  <si>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</si>
  <si>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</si>
  <si>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</si>
  <si>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</si>
  <si>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</si>
  <si>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</si>
  <si>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</si>
  <si>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</si>
  <si>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</si>
  <si>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</si>
  <si>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</si>
  <si>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</si>
  <si>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</si>
  <si>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</si>
  <si>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</si>
  <si>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</si>
  <si>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</si>
  <si>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</si>
  <si>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</si>
  <si>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</si>
  <si>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</si>
  <si>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</si>
  <si>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</si>
  <si>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</si>
  <si>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</si>
  <si>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</si>
  <si>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</si>
  <si>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</si>
  <si>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</si>
  <si>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</si>
  <si>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</si>
  <si>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</si>
  <si>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</si>
  <si>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</si>
  <si>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</si>
  <si>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</si>
  <si>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</si>
  <si>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</si>
  <si>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</si>
  <si>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</si>
  <si>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</si>
  <si>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</si>
  <si>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</si>
  <si>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</si>
  <si>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</si>
  <si>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</si>
  <si>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</si>
  <si>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</si>
  <si>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</si>
  <si>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</si>
  <si>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</si>
  <si>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</si>
  <si>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</si>
  <si>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</si>
  <si>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</si>
  <si>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</si>
  <si>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</si>
  <si>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</si>
  <si>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</si>
  <si>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</si>
  <si>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</si>
  <si>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</si>
  <si>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</si>
  <si>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</si>
  <si>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</si>
  <si>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</si>
  <si>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</si>
  <si>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</si>
  <si>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</si>
  <si>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</si>
  <si>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</si>
  <si>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</si>
  <si>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</si>
  <si>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</si>
  <si>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</si>
  <si>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</si>
  <si>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</si>
  <si>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</si>
  <si>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</si>
  <si>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</si>
  <si>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</si>
  <si>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</si>
  <si>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</si>
  <si>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</si>
  <si>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</si>
  <si>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</si>
  <si>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</si>
  <si>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소요량186/16.51=11.2658R/L</t>
    </r>
    <phoneticPr fontId="5" type="noConversion"/>
  </si>
  <si>
    <t xml:space="preserve"> 견적일 : 2026년  03월  24일</t>
    <phoneticPr fontId="5" type="noConversion"/>
  </si>
  <si>
    <t xml:space="preserve"> 공사명 : 사택 101-104 수장작업</t>
    <phoneticPr fontId="11" type="noConversion"/>
  </si>
  <si>
    <t>사택 101-104 수장작업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</si>
</sst>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"/>
    <numFmt numFmtId="189" formatCode="0.000_ "/>
    <numFmt numFmtId="190" formatCode="#,##0;\-#,##0;"/>
    <numFmt numFmtId="191" formatCode="0.000"/>
    <numFmt numFmtId="192" formatCode="0.0_);[Red]\(0.0\)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8" fontId="16" fillId="6" borderId="37" xfId="1" applyNumberFormat="1" applyFont="1" applyFill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6" fontId="16" fillId="4" borderId="2" xfId="0" applyNumberFormat="1" applyFont="1" applyFill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49" fontId="21" fillId="4" borderId="2" xfId="0" applyNumberFormat="1" applyFont="1" applyFill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90" fontId="16" fillId="4" borderId="2" xfId="0" applyNumberFormat="1" applyFont="1" applyFill="1" applyBorder="1" applyAlignment="1">
      <alignment horizontal="right" vertical="center" wrapText="1"/>
    </xf>
    <xf numFmtId="190" fontId="16" fillId="5" borderId="2" xfId="1" applyNumberFormat="1" applyFont="1" applyFill="1" applyBorder="1" applyAlignment="1">
      <alignment horizontal="right" vertical="center" wrapText="1"/>
    </xf>
    <xf numFmtId="190" fontId="16" fillId="0" borderId="2" xfId="1" applyNumberFormat="1" applyFont="1" applyFill="1" applyBorder="1" applyAlignment="1">
      <alignment horizontal="right" vertical="center" wrapText="1"/>
    </xf>
    <xf numFmtId="190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right" vertical="center" wrapText="1"/>
    </xf>
    <xf numFmtId="191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0" fontId="21" fillId="6" borderId="2" xfId="0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192" fontId="21" fillId="0" borderId="30" xfId="13" applyNumberFormat="1" applyFont="1" applyBorder="1" applyAlignment="1">
      <alignment horizontal="center" vertical="center"/>
    </xf>
    <xf numFmtId="192" fontId="21" fillId="9" borderId="30" xfId="13" applyNumberFormat="1" applyFont="1" applyFill="1" applyBorder="1" applyAlignment="1">
      <alignment horizontal="center" vertical="center"/>
    </xf>
    <xf numFmtId="192" fontId="22" fillId="7" borderId="30" xfId="13" applyNumberFormat="1" applyFont="1" applyFill="1" applyBorder="1" applyAlignment="1">
      <alignment horizontal="center" vertical="center"/>
    </xf>
    <xf numFmtId="192" fontId="21" fillId="0" borderId="30" xfId="13" applyNumberFormat="1" applyFont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 wrapText="1"/>
    </xf>
    <xf numFmtId="192" fontId="21" fillId="4" borderId="30" xfId="13" applyNumberFormat="1" applyFont="1" applyFill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/>
    </xf>
    <xf numFmtId="192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2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177" fontId="25" fillId="4" borderId="2" xfId="1" applyFont="1" applyFill="1" applyBorder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182" fontId="27" fillId="0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184" fontId="21" fillId="13" borderId="30" xfId="13" applyNumberFormat="1" applyFont="1" applyFill="1" applyBorder="1" applyAlignment="1">
      <alignment horizontal="center" vertical="center"/>
    </xf>
    <xf numFmtId="177" fontId="21" fillId="13" borderId="30" xfId="13" applyFont="1" applyFill="1" applyBorder="1" applyAlignment="1">
      <alignment horizontal="center" vertical="center"/>
    </xf>
    <xf numFmtId="192" fontId="21" fillId="13" borderId="30" xfId="13" applyNumberFormat="1" applyFont="1" applyFill="1" applyBorder="1" applyAlignment="1">
      <alignment horizontal="center" vertical="center"/>
    </xf>
    <xf numFmtId="182" fontId="27" fillId="13" borderId="30" xfId="13" applyNumberFormat="1" applyFont="1" applyFill="1" applyBorder="1" applyAlignment="1">
      <alignment horizontal="right" vertical="center" wrapText="1"/>
    </xf>
    <xf numFmtId="182" fontId="21" fillId="13" borderId="30" xfId="13" applyNumberFormat="1" applyFont="1" applyFill="1" applyBorder="1" applyAlignment="1">
      <alignment horizontal="right" vertical="center" wrapText="1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6" zoomScale="85" zoomScaleNormal="85" workbookViewId="0">
      <selection activeCell="F31" sqref="F31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95" t="s">
        <v>1</v>
      </c>
      <c r="B2" s="195"/>
      <c r="C2" s="195"/>
      <c r="D2" s="195"/>
      <c r="E2" s="195"/>
      <c r="F2" s="195"/>
      <c r="G2" s="195"/>
      <c r="H2" s="2"/>
    </row>
    <row r="3" spans="1:9" ht="14.25">
      <c r="A3" s="115"/>
      <c r="B3" s="115"/>
      <c r="C3" s="115"/>
      <c r="D3" s="115"/>
      <c r="E3" s="115"/>
      <c r="F3" s="115"/>
      <c r="G3" s="115"/>
      <c r="H3" s="115"/>
    </row>
    <row r="4" spans="1:9" ht="14.25">
      <c r="A4" s="115"/>
      <c r="B4" s="115"/>
      <c r="C4" s="115"/>
      <c r="D4" s="115"/>
      <c r="E4" s="115"/>
      <c r="H4" s="115"/>
    </row>
    <row r="5" spans="1:9" ht="27" customHeight="1">
      <c r="A5" s="116" t="s">
        <v>42</v>
      </c>
      <c r="B5" s="4"/>
      <c r="C5" s="5"/>
      <c r="D5" s="115"/>
      <c r="E5" s="115"/>
      <c r="F5" s="6" t="s">
        <v>32</v>
      </c>
      <c r="G5" s="7" t="s">
        <v>45</v>
      </c>
      <c r="H5" s="115"/>
    </row>
    <row r="6" spans="1:9" ht="27" customHeight="1">
      <c r="A6" s="115"/>
      <c r="B6" s="115"/>
      <c r="C6" s="115"/>
      <c r="D6" s="115"/>
      <c r="E6" s="115"/>
      <c r="F6" s="8" t="s">
        <v>35</v>
      </c>
      <c r="G6" s="9" t="s">
        <v>46</v>
      </c>
      <c r="H6" s="115"/>
    </row>
    <row r="7" spans="1:9" ht="27" customHeight="1">
      <c r="A7" s="198" t="s">
        <v>154</v>
      </c>
      <c r="B7" s="199"/>
      <c r="C7" s="200"/>
      <c r="D7" s="115"/>
      <c r="E7" s="10"/>
      <c r="F7" s="11" t="s">
        <v>36</v>
      </c>
      <c r="G7" s="9" t="s">
        <v>47</v>
      </c>
      <c r="H7" s="115"/>
    </row>
    <row r="8" spans="1:9" ht="27" customHeight="1">
      <c r="A8" s="115"/>
      <c r="B8" s="115"/>
      <c r="C8" s="115"/>
      <c r="D8" s="115"/>
      <c r="E8" s="115"/>
      <c r="F8" s="8" t="s">
        <v>37</v>
      </c>
      <c r="G8" s="9" t="s">
        <v>48</v>
      </c>
      <c r="H8" s="115"/>
    </row>
    <row r="9" spans="1:9" ht="27" customHeight="1">
      <c r="A9" s="116" t="s">
        <v>153</v>
      </c>
      <c r="B9" s="153"/>
      <c r="C9" s="154"/>
      <c r="D9" s="115"/>
      <c r="E9" s="115"/>
      <c r="F9" s="8" t="s">
        <v>38</v>
      </c>
      <c r="G9" s="9" t="s">
        <v>49</v>
      </c>
      <c r="H9" s="115"/>
    </row>
    <row r="10" spans="1:9" ht="27" customHeight="1">
      <c r="A10" s="115"/>
      <c r="B10" s="115"/>
      <c r="C10" s="115"/>
      <c r="D10" s="115"/>
      <c r="E10" s="115"/>
      <c r="F10" s="12" t="s">
        <v>33</v>
      </c>
      <c r="G10" s="13" t="s">
        <v>50</v>
      </c>
      <c r="H10" s="115"/>
      <c r="I10" s="115"/>
    </row>
    <row r="11" spans="1:9" ht="27" customHeight="1">
      <c r="A11" s="196"/>
      <c r="B11" s="197"/>
      <c r="C11" s="197"/>
      <c r="D11" s="115"/>
      <c r="E11" s="14"/>
      <c r="F11" s="15" t="s">
        <v>34</v>
      </c>
      <c r="G11" s="16" t="s">
        <v>51</v>
      </c>
      <c r="H11" s="14"/>
    </row>
    <row r="12" spans="1:9" ht="18.75" thickBot="1">
      <c r="A12" s="17" t="s">
        <v>2</v>
      </c>
      <c r="B12" s="17" t="str">
        <f>NUMBERSTRING(F31,1)</f>
        <v>사백오십사만일천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15"/>
      <c r="B13" s="115"/>
      <c r="C13" s="115"/>
      <c r="D13" s="115"/>
      <c r="E13" s="115"/>
      <c r="F13" s="115"/>
      <c r="G13" s="115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'내역서(표준단가)'!K13</f>
        <v>883851.85869999998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'내역서(표준단가)'!M13</f>
        <v>2966699.8602739996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3850551.7189739998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63" t="s">
        <v>18</v>
      </c>
      <c r="C21" s="164" t="s">
        <v>150</v>
      </c>
      <c r="D21" s="165">
        <v>1</v>
      </c>
      <c r="E21" s="165" t="s">
        <v>19</v>
      </c>
      <c r="F21" s="166">
        <f>F17*4.75%</f>
        <v>140918.24336301498</v>
      </c>
      <c r="G21" s="35" t="s">
        <v>20</v>
      </c>
    </row>
    <row r="22" spans="1:7" ht="33" customHeight="1">
      <c r="A22" s="29"/>
      <c r="B22" s="167" t="s">
        <v>21</v>
      </c>
      <c r="C22" s="164" t="s">
        <v>151</v>
      </c>
      <c r="D22" s="168">
        <v>1</v>
      </c>
      <c r="E22" s="168" t="s">
        <v>19</v>
      </c>
      <c r="F22" s="169">
        <f>F17*3.595%</f>
        <v>106652.85997685029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13811.545367002112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29963.668588767396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105614.51502575439</v>
      </c>
      <c r="G25" s="35" t="s">
        <v>22</v>
      </c>
    </row>
    <row r="26" spans="1:7" ht="33" customHeight="1">
      <c r="A26" s="29"/>
      <c r="B26" s="42" t="s">
        <v>26</v>
      </c>
      <c r="C26" s="45" t="s">
        <v>128</v>
      </c>
      <c r="D26" s="30">
        <v>1</v>
      </c>
      <c r="E26" s="30" t="s">
        <v>19</v>
      </c>
      <c r="F26" s="43">
        <f>(F16+F17)*3.11%</f>
        <v>119752.15846009139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174170.64255277402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690883.63333425461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4541435.3523082547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4541000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3"/>
  <sheetViews>
    <sheetView showGridLines="0" tabSelected="1" zoomScale="80" zoomScaleNormal="80" workbookViewId="0">
      <pane ySplit="4" topLeftCell="A5" activePane="bottomLeft" state="frozen"/>
      <selection pane="bottomLeft" activeCell="A16" sqref="A16"/>
    </sheetView>
  </sheetViews>
  <sheetFormatPr defaultColWidth="9" defaultRowHeight="38.1" customHeight="1"/>
  <cols>
    <col min="1" max="1" width="22.625" style="142" bestFit="1" customWidth="1"/>
    <col min="2" max="2" width="9" style="131" hidden="1" customWidth="1"/>
    <col min="3" max="5" width="12.625" style="131" hidden="1" customWidth="1"/>
    <col min="6" max="7" width="30.625" style="127" customWidth="1"/>
    <col min="8" max="8" width="11.375" style="131" bestFit="1" customWidth="1"/>
    <col min="9" max="9" width="8.25" style="131" customWidth="1"/>
    <col min="10" max="10" width="10.625" style="131" bestFit="1" customWidth="1"/>
    <col min="11" max="11" width="13.25" style="131" bestFit="1" customWidth="1"/>
    <col min="12" max="12" width="12" style="131" bestFit="1" customWidth="1"/>
    <col min="13" max="13" width="15.625" style="131" bestFit="1" customWidth="1"/>
    <col min="14" max="14" width="9" style="131" customWidth="1"/>
    <col min="15" max="15" width="8.75" style="131" bestFit="1" customWidth="1"/>
    <col min="16" max="16" width="10.5" style="131" customWidth="1"/>
    <col min="17" max="17" width="8.75" style="131" bestFit="1" customWidth="1"/>
    <col min="18" max="18" width="15.625" style="131" bestFit="1" customWidth="1"/>
    <col min="19" max="19" width="10.625" style="61" bestFit="1" customWidth="1"/>
    <col min="20" max="20" width="8.5" style="131" bestFit="1" customWidth="1"/>
    <col min="21" max="16384" width="9" style="131"/>
  </cols>
  <sheetData>
    <row r="1" spans="1:20" ht="19.899999999999999" customHeight="1">
      <c r="A1" s="201"/>
      <c r="B1" s="201"/>
      <c r="C1" s="201"/>
      <c r="D1" s="201"/>
      <c r="E1" s="201"/>
      <c r="J1" s="61"/>
      <c r="K1" s="130" t="s">
        <v>87</v>
      </c>
      <c r="M1" s="130" t="s">
        <v>87</v>
      </c>
      <c r="O1" s="130" t="s">
        <v>87</v>
      </c>
      <c r="Q1" s="130" t="s">
        <v>87</v>
      </c>
    </row>
    <row r="2" spans="1:20" ht="19.899999999999999" customHeight="1" thickBot="1">
      <c r="A2" s="201"/>
      <c r="B2" s="201"/>
      <c r="C2" s="201"/>
      <c r="D2" s="201"/>
      <c r="E2" s="201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32"/>
      <c r="B3" s="133" t="s">
        <v>88</v>
      </c>
      <c r="C3" s="133"/>
      <c r="D3" s="133"/>
      <c r="E3" s="133"/>
      <c r="F3" s="212" t="s">
        <v>89</v>
      </c>
      <c r="G3" s="212"/>
      <c r="H3" s="210" t="s">
        <v>41</v>
      </c>
      <c r="I3" s="210" t="s">
        <v>0</v>
      </c>
      <c r="J3" s="206" t="s">
        <v>90</v>
      </c>
      <c r="K3" s="206"/>
      <c r="L3" s="206" t="s">
        <v>91</v>
      </c>
      <c r="M3" s="206"/>
      <c r="N3" s="207" t="s">
        <v>92</v>
      </c>
      <c r="O3" s="207"/>
      <c r="P3" s="207" t="s">
        <v>93</v>
      </c>
      <c r="Q3" s="207"/>
      <c r="R3" s="208" t="s">
        <v>94</v>
      </c>
      <c r="S3" s="204" t="s">
        <v>95</v>
      </c>
      <c r="T3" s="202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8" t="s">
        <v>101</v>
      </c>
      <c r="G4" s="128" t="s">
        <v>102</v>
      </c>
      <c r="H4" s="211"/>
      <c r="I4" s="211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209"/>
      <c r="S4" s="205"/>
      <c r="T4" s="203"/>
    </row>
    <row r="5" spans="1:20" s="134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129</v>
      </c>
      <c r="E5" s="94"/>
      <c r="F5" s="126" t="s">
        <v>130</v>
      </c>
      <c r="G5" s="126" t="s">
        <v>152</v>
      </c>
      <c r="H5" s="110" t="s">
        <v>143</v>
      </c>
      <c r="I5" s="125">
        <v>11.2658</v>
      </c>
      <c r="J5" s="156">
        <v>20900</v>
      </c>
      <c r="K5" s="121">
        <f t="shared" ref="K5" si="1">SUM(J5:J5)*I5*$K$2</f>
        <v>196605.10869999998</v>
      </c>
      <c r="L5" s="120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2">
        <f t="shared" ref="R5" si="5">SUM(K5+M5)+O5+Q5</f>
        <v>196605.10869999998</v>
      </c>
      <c r="S5" s="109"/>
      <c r="T5" s="73"/>
    </row>
    <row r="6" spans="1:20" s="134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6" t="s">
        <v>109</v>
      </c>
      <c r="G6" s="126" t="s">
        <v>144</v>
      </c>
      <c r="H6" s="70" t="s">
        <v>108</v>
      </c>
      <c r="I6" s="125">
        <v>4.0430000000000001</v>
      </c>
      <c r="J6" s="123"/>
      <c r="K6" s="121">
        <f t="shared" ref="K6" si="7">SUM(J6:J6)*I6*$K$2</f>
        <v>0</v>
      </c>
      <c r="L6" s="157">
        <v>510462</v>
      </c>
      <c r="M6" s="121">
        <f t="shared" ref="M6" si="8">(L6*I6)*$M$2</f>
        <v>1723271.21811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2">
        <f t="shared" ref="R6" si="11">SUM(K6+M6)+O6+Q6</f>
        <v>1723271.21811</v>
      </c>
      <c r="S6" s="109"/>
      <c r="T6" s="73"/>
    </row>
    <row r="7" spans="1:20" s="134" customFormat="1" ht="38.1" customHeight="1">
      <c r="A7" s="68" t="str">
        <f t="shared" ref="A7" si="12">B7&amp;C7&amp;D7&amp;E7</f>
        <v>M020809012520101</v>
      </c>
      <c r="B7" s="94"/>
      <c r="C7" s="69"/>
      <c r="D7" s="69" t="s">
        <v>132</v>
      </c>
      <c r="E7" s="94"/>
      <c r="F7" s="126" t="s">
        <v>133</v>
      </c>
      <c r="G7" s="126" t="s">
        <v>134</v>
      </c>
      <c r="H7" s="110" t="s">
        <v>131</v>
      </c>
      <c r="I7" s="125">
        <v>61.8</v>
      </c>
      <c r="J7" s="124">
        <v>13000</v>
      </c>
      <c r="K7" s="121">
        <f t="shared" ref="K7:K11" si="13">SUM(J7:J7)*I7*$K$2</f>
        <v>670839</v>
      </c>
      <c r="L7" s="120"/>
      <c r="M7" s="121">
        <f t="shared" ref="M7:M12" si="14">(L7*I7)*$M$2</f>
        <v>0</v>
      </c>
      <c r="N7" s="122"/>
      <c r="O7" s="121">
        <f t="shared" ref="O7:O12" si="15">N7*I7*$O$2</f>
        <v>0</v>
      </c>
      <c r="P7" s="122"/>
      <c r="Q7" s="121">
        <f t="shared" ref="Q7:Q12" si="16">P7*I7*$Q$2</f>
        <v>0</v>
      </c>
      <c r="R7" s="72">
        <f t="shared" ref="R7:R12" si="17">SUM(K7+M7)+O7+Q7</f>
        <v>670839</v>
      </c>
      <c r="S7" s="109"/>
      <c r="T7" s="73"/>
    </row>
    <row r="8" spans="1:20" s="134" customFormat="1" ht="38.1" customHeight="1">
      <c r="A8" s="68" t="str">
        <f t="shared" ref="A8:A12" si="18">B8&amp;C8&amp;D8&amp;E8</f>
        <v>E00000803071260401</v>
      </c>
      <c r="B8" s="94"/>
      <c r="C8" s="69" t="s">
        <v>110</v>
      </c>
      <c r="D8" s="69"/>
      <c r="E8" s="94"/>
      <c r="F8" s="126" t="s">
        <v>111</v>
      </c>
      <c r="G8" s="126" t="s">
        <v>145</v>
      </c>
      <c r="H8" s="70" t="s">
        <v>108</v>
      </c>
      <c r="I8" s="125">
        <v>1.0132000000000001</v>
      </c>
      <c r="J8" s="123"/>
      <c r="K8" s="121">
        <f t="shared" si="13"/>
        <v>0</v>
      </c>
      <c r="L8" s="157">
        <v>510462</v>
      </c>
      <c r="M8" s="121">
        <f t="shared" si="14"/>
        <v>431862.08216400002</v>
      </c>
      <c r="N8" s="122"/>
      <c r="O8" s="121">
        <f t="shared" si="15"/>
        <v>0</v>
      </c>
      <c r="P8" s="122"/>
      <c r="Q8" s="121">
        <f t="shared" si="16"/>
        <v>0</v>
      </c>
      <c r="R8" s="72">
        <f t="shared" si="17"/>
        <v>431862.08216400002</v>
      </c>
      <c r="S8" s="109"/>
      <c r="T8" s="73"/>
    </row>
    <row r="9" spans="1:20" s="134" customFormat="1" ht="38.1" customHeight="1">
      <c r="A9" s="68" t="str">
        <f t="shared" si="18"/>
        <v>M020412614110102</v>
      </c>
      <c r="B9" s="94"/>
      <c r="C9" s="69"/>
      <c r="D9" s="143" t="s">
        <v>125</v>
      </c>
      <c r="E9" s="94"/>
      <c r="F9" s="144" t="s">
        <v>124</v>
      </c>
      <c r="G9" s="144" t="s">
        <v>122</v>
      </c>
      <c r="H9" s="118" t="s">
        <v>121</v>
      </c>
      <c r="I9" s="125">
        <v>0.3</v>
      </c>
      <c r="J9" s="156">
        <v>65500</v>
      </c>
      <c r="K9" s="121">
        <f t="shared" si="13"/>
        <v>16407.75</v>
      </c>
      <c r="L9" s="120"/>
      <c r="M9" s="121"/>
      <c r="N9" s="122"/>
      <c r="O9" s="121"/>
      <c r="P9" s="122"/>
      <c r="Q9" s="121"/>
      <c r="R9" s="72">
        <f t="shared" si="17"/>
        <v>16407.75</v>
      </c>
      <c r="S9" s="109"/>
      <c r="T9" s="73"/>
    </row>
    <row r="10" spans="1:20" s="134" customFormat="1" ht="38.1" customHeight="1">
      <c r="A10" s="68" t="str">
        <f t="shared" si="18"/>
        <v>E00000803061120402</v>
      </c>
      <c r="B10" s="94"/>
      <c r="C10" s="69" t="s">
        <v>112</v>
      </c>
      <c r="D10" s="69"/>
      <c r="E10" s="94"/>
      <c r="F10" s="126" t="s">
        <v>113</v>
      </c>
      <c r="G10" s="126" t="s">
        <v>114</v>
      </c>
      <c r="H10" s="110" t="s">
        <v>119</v>
      </c>
      <c r="I10" s="125">
        <v>28</v>
      </c>
      <c r="J10" s="111"/>
      <c r="K10" s="71">
        <f t="shared" si="13"/>
        <v>0</v>
      </c>
      <c r="L10" s="158">
        <v>10752</v>
      </c>
      <c r="M10" s="71">
        <f t="shared" si="14"/>
        <v>251381.75999999998</v>
      </c>
      <c r="N10" s="72"/>
      <c r="O10" s="71">
        <f t="shared" si="15"/>
        <v>0</v>
      </c>
      <c r="P10" s="72"/>
      <c r="Q10" s="71">
        <f t="shared" si="16"/>
        <v>0</v>
      </c>
      <c r="R10" s="72">
        <f t="shared" si="17"/>
        <v>251381.75999999998</v>
      </c>
      <c r="S10" s="109"/>
      <c r="T10" s="73"/>
    </row>
    <row r="11" spans="1:20" s="134" customFormat="1" ht="38.1" customHeight="1">
      <c r="A11" s="68" t="str">
        <f t="shared" si="18"/>
        <v>E00000803061300201</v>
      </c>
      <c r="B11" s="94"/>
      <c r="C11" s="69" t="s">
        <v>116</v>
      </c>
      <c r="D11" s="69"/>
      <c r="E11" s="94"/>
      <c r="F11" s="126" t="s">
        <v>117</v>
      </c>
      <c r="G11" s="126" t="s">
        <v>118</v>
      </c>
      <c r="H11" s="110" t="s">
        <v>115</v>
      </c>
      <c r="I11" s="125">
        <v>28</v>
      </c>
      <c r="J11" s="111"/>
      <c r="K11" s="71">
        <f t="shared" si="13"/>
        <v>0</v>
      </c>
      <c r="L11" s="157">
        <v>6368</v>
      </c>
      <c r="M11" s="71">
        <f t="shared" si="14"/>
        <v>148883.84</v>
      </c>
      <c r="N11" s="72"/>
      <c r="O11" s="71">
        <f t="shared" si="15"/>
        <v>0</v>
      </c>
      <c r="P11" s="72"/>
      <c r="Q11" s="71">
        <f t="shared" si="16"/>
        <v>0</v>
      </c>
      <c r="R11" s="72">
        <f t="shared" si="17"/>
        <v>148883.84</v>
      </c>
      <c r="S11" s="109"/>
      <c r="T11" s="73"/>
    </row>
    <row r="12" spans="1:20" s="134" customFormat="1" ht="38.1" customHeight="1">
      <c r="A12" s="68" t="str">
        <f t="shared" si="18"/>
        <v>E00000801011510701</v>
      </c>
      <c r="B12" s="94"/>
      <c r="C12" s="69" t="s">
        <v>142</v>
      </c>
      <c r="D12" s="69"/>
      <c r="E12" s="94"/>
      <c r="F12" s="159" t="s">
        <v>148</v>
      </c>
      <c r="G12" s="70" t="s">
        <v>135</v>
      </c>
      <c r="H12" s="160" t="s">
        <v>149</v>
      </c>
      <c r="I12" s="125">
        <v>96</v>
      </c>
      <c r="J12" s="135"/>
      <c r="K12" s="71">
        <f t="shared" ref="K12" si="19">SUM(J12:J12)*I12*$K$2</f>
        <v>0</v>
      </c>
      <c r="L12" s="157">
        <v>5131</v>
      </c>
      <c r="M12" s="71">
        <f t="shared" si="14"/>
        <v>411300.95999999996</v>
      </c>
      <c r="N12" s="72"/>
      <c r="O12" s="71">
        <f t="shared" si="15"/>
        <v>0</v>
      </c>
      <c r="P12" s="72"/>
      <c r="Q12" s="71">
        <f t="shared" si="16"/>
        <v>0</v>
      </c>
      <c r="R12" s="72">
        <f t="shared" si="17"/>
        <v>411300.95999999996</v>
      </c>
      <c r="S12" s="109"/>
      <c r="T12" s="73"/>
    </row>
    <row r="13" spans="1:20" s="141" customFormat="1" ht="38.1" customHeight="1">
      <c r="A13" s="136"/>
      <c r="B13" s="137"/>
      <c r="C13" s="137"/>
      <c r="D13" s="137"/>
      <c r="E13" s="137"/>
      <c r="F13" s="129"/>
      <c r="G13" s="129"/>
      <c r="H13" s="137"/>
      <c r="I13" s="137"/>
      <c r="J13" s="137"/>
      <c r="K13" s="138">
        <f>SUM(K5:K12)</f>
        <v>883851.85869999998</v>
      </c>
      <c r="L13" s="139"/>
      <c r="M13" s="138">
        <f>SUM(M5:M12)</f>
        <v>2966699.8602739996</v>
      </c>
      <c r="N13" s="139"/>
      <c r="O13" s="138">
        <f>SUM(O5:O12)</f>
        <v>0</v>
      </c>
      <c r="P13" s="139"/>
      <c r="Q13" s="138">
        <f>SUM(Q5:Q12)</f>
        <v>0</v>
      </c>
      <c r="R13" s="140">
        <f>SUM(R5:R12)</f>
        <v>3850551.7189739998</v>
      </c>
      <c r="S13" s="99"/>
      <c r="T13" s="13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zoomScaleNormal="100" workbookViewId="0">
      <selection activeCell="D14" sqref="D14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5.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177" t="s">
        <v>52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</row>
    <row r="2" spans="1:17" ht="15" customHeight="1">
      <c r="A2" s="178" t="s">
        <v>53</v>
      </c>
      <c r="B2" s="179" t="s">
        <v>54</v>
      </c>
      <c r="C2" s="180" t="s">
        <v>41</v>
      </c>
      <c r="D2" s="180" t="s">
        <v>55</v>
      </c>
      <c r="E2" s="182" t="s">
        <v>56</v>
      </c>
      <c r="F2" s="179"/>
      <c r="G2" s="179" t="s">
        <v>57</v>
      </c>
      <c r="H2" s="179"/>
      <c r="I2" s="183" t="s">
        <v>58</v>
      </c>
      <c r="J2" s="184"/>
      <c r="K2" s="183" t="s">
        <v>59</v>
      </c>
      <c r="L2" s="184"/>
      <c r="M2" s="182" t="s">
        <v>60</v>
      </c>
      <c r="N2" s="179"/>
      <c r="O2" s="185" t="s">
        <v>61</v>
      </c>
    </row>
    <row r="3" spans="1:17" ht="15" customHeight="1">
      <c r="A3" s="178"/>
      <c r="B3" s="179"/>
      <c r="C3" s="181"/>
      <c r="D3" s="181"/>
      <c r="E3" s="117" t="s">
        <v>62</v>
      </c>
      <c r="F3" s="117" t="s">
        <v>63</v>
      </c>
      <c r="G3" s="75" t="s">
        <v>62</v>
      </c>
      <c r="H3" s="117" t="s">
        <v>64</v>
      </c>
      <c r="I3" s="117"/>
      <c r="J3" s="117"/>
      <c r="K3" s="75" t="s">
        <v>62</v>
      </c>
      <c r="L3" s="117" t="s">
        <v>64</v>
      </c>
      <c r="M3" s="75" t="s">
        <v>62</v>
      </c>
      <c r="N3" s="117" t="s">
        <v>64</v>
      </c>
      <c r="O3" s="186"/>
    </row>
    <row r="4" spans="1:17" ht="15" customHeight="1">
      <c r="A4" s="175" t="s">
        <v>155</v>
      </c>
      <c r="B4" s="1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193" t="s">
        <v>65</v>
      </c>
      <c r="B5" s="77" t="s">
        <v>66</v>
      </c>
      <c r="C5" s="78" t="s">
        <v>67</v>
      </c>
      <c r="D5" s="145">
        <v>85</v>
      </c>
      <c r="E5" s="161">
        <v>1057</v>
      </c>
      <c r="F5" s="79">
        <f t="shared" ref="F5:F11" si="0">D5*E5</f>
        <v>89845</v>
      </c>
      <c r="G5" s="161">
        <v>9266</v>
      </c>
      <c r="H5" s="79">
        <f t="shared" ref="H5:H11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187" t="s">
        <v>126</v>
      </c>
      <c r="P5" s="74" t="s">
        <v>146</v>
      </c>
      <c r="Q5" s="155">
        <f>D5+D7+D9+D11</f>
        <v>186</v>
      </c>
    </row>
    <row r="6" spans="1:17" ht="15" customHeight="1">
      <c r="A6" s="194"/>
      <c r="B6" s="170" t="s">
        <v>68</v>
      </c>
      <c r="C6" s="171" t="s">
        <v>67</v>
      </c>
      <c r="D6" s="172"/>
      <c r="E6" s="173"/>
      <c r="F6" s="174"/>
      <c r="G6" s="173"/>
      <c r="H6" s="174"/>
      <c r="I6" s="174"/>
      <c r="J6" s="174"/>
      <c r="K6" s="174"/>
      <c r="L6" s="174"/>
      <c r="M6" s="174"/>
      <c r="N6" s="174"/>
      <c r="O6" s="188"/>
      <c r="P6" s="74" t="s">
        <v>147</v>
      </c>
      <c r="Q6" s="155">
        <f>D6+D8+D10+D12</f>
        <v>0</v>
      </c>
    </row>
    <row r="7" spans="1:17" ht="15" customHeight="1">
      <c r="A7" s="194"/>
      <c r="B7" s="77" t="s">
        <v>69</v>
      </c>
      <c r="C7" s="78" t="s">
        <v>67</v>
      </c>
      <c r="D7" s="145">
        <v>38</v>
      </c>
      <c r="E7" s="161">
        <v>1057</v>
      </c>
      <c r="F7" s="79">
        <f t="shared" si="0"/>
        <v>40166</v>
      </c>
      <c r="G7" s="161">
        <v>9266</v>
      </c>
      <c r="H7" s="79">
        <f t="shared" si="1"/>
        <v>352108</v>
      </c>
      <c r="I7" s="79"/>
      <c r="J7" s="79"/>
      <c r="K7" s="79"/>
      <c r="L7" s="79"/>
      <c r="M7" s="79"/>
      <c r="N7" s="79">
        <f t="shared" ref="N7:N11" si="2">F7+H7+J7+L7</f>
        <v>392274</v>
      </c>
      <c r="O7" s="188"/>
    </row>
    <row r="8" spans="1:17" ht="15" customHeight="1">
      <c r="A8" s="194"/>
      <c r="B8" s="170" t="s">
        <v>70</v>
      </c>
      <c r="C8" s="171" t="s">
        <v>67</v>
      </c>
      <c r="D8" s="172"/>
      <c r="E8" s="173"/>
      <c r="F8" s="174"/>
      <c r="G8" s="173"/>
      <c r="H8" s="174"/>
      <c r="I8" s="174"/>
      <c r="J8" s="174"/>
      <c r="K8" s="174"/>
      <c r="L8" s="174"/>
      <c r="M8" s="174"/>
      <c r="N8" s="174"/>
      <c r="O8" s="188"/>
    </row>
    <row r="9" spans="1:17" ht="15" customHeight="1">
      <c r="A9" s="194"/>
      <c r="B9" s="77" t="s">
        <v>71</v>
      </c>
      <c r="C9" s="78" t="s">
        <v>67</v>
      </c>
      <c r="D9" s="145">
        <v>32</v>
      </c>
      <c r="E9" s="161">
        <v>1057</v>
      </c>
      <c r="F9" s="79">
        <f t="shared" si="0"/>
        <v>33824</v>
      </c>
      <c r="G9" s="161">
        <v>9266</v>
      </c>
      <c r="H9" s="79">
        <f t="shared" si="1"/>
        <v>296512</v>
      </c>
      <c r="I9" s="79"/>
      <c r="J9" s="79"/>
      <c r="K9" s="79"/>
      <c r="L9" s="79"/>
      <c r="M9" s="79"/>
      <c r="N9" s="79">
        <f t="shared" si="2"/>
        <v>330336</v>
      </c>
      <c r="O9" s="188"/>
    </row>
    <row r="10" spans="1:17" ht="15" customHeight="1">
      <c r="A10" s="194"/>
      <c r="B10" s="170" t="s">
        <v>72</v>
      </c>
      <c r="C10" s="171" t="s">
        <v>67</v>
      </c>
      <c r="D10" s="172"/>
      <c r="E10" s="173"/>
      <c r="F10" s="174"/>
      <c r="G10" s="173"/>
      <c r="H10" s="174"/>
      <c r="I10" s="174"/>
      <c r="J10" s="174"/>
      <c r="K10" s="174"/>
      <c r="L10" s="174"/>
      <c r="M10" s="174"/>
      <c r="N10" s="174"/>
      <c r="O10" s="188"/>
    </row>
    <row r="11" spans="1:17" ht="15" customHeight="1">
      <c r="A11" s="194"/>
      <c r="B11" s="77" t="s">
        <v>73</v>
      </c>
      <c r="C11" s="78" t="s">
        <v>67</v>
      </c>
      <c r="D11" s="145">
        <v>31</v>
      </c>
      <c r="E11" s="161">
        <v>1057</v>
      </c>
      <c r="F11" s="79">
        <f t="shared" si="0"/>
        <v>32767</v>
      </c>
      <c r="G11" s="161">
        <v>9266</v>
      </c>
      <c r="H11" s="79">
        <f t="shared" si="1"/>
        <v>287246</v>
      </c>
      <c r="I11" s="79"/>
      <c r="J11" s="79"/>
      <c r="K11" s="79"/>
      <c r="L11" s="79"/>
      <c r="M11" s="79"/>
      <c r="N11" s="79">
        <f t="shared" si="2"/>
        <v>320013</v>
      </c>
      <c r="O11" s="188"/>
    </row>
    <row r="12" spans="1:17" ht="15" customHeight="1">
      <c r="A12" s="194"/>
      <c r="B12" s="170" t="s">
        <v>74</v>
      </c>
      <c r="C12" s="171" t="s">
        <v>67</v>
      </c>
      <c r="D12" s="172"/>
      <c r="E12" s="173"/>
      <c r="F12" s="174"/>
      <c r="G12" s="173"/>
      <c r="H12" s="174"/>
      <c r="I12" s="174"/>
      <c r="J12" s="174"/>
      <c r="K12" s="174"/>
      <c r="L12" s="174"/>
      <c r="M12" s="174"/>
      <c r="N12" s="174"/>
      <c r="O12" s="188"/>
    </row>
    <row r="13" spans="1:17" ht="15" customHeight="1">
      <c r="A13" s="100" t="s">
        <v>75</v>
      </c>
      <c r="B13" s="101"/>
      <c r="C13" s="102"/>
      <c r="D13" s="147"/>
      <c r="E13" s="103"/>
      <c r="F13" s="103">
        <f>SUM(F5:F12)</f>
        <v>196602</v>
      </c>
      <c r="G13" s="103"/>
      <c r="H13" s="103">
        <f>SUM(H5:H12)</f>
        <v>1723476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1920078</v>
      </c>
      <c r="O13" s="103"/>
    </row>
    <row r="14" spans="1:17" ht="15" customHeight="1">
      <c r="A14" s="189" t="s">
        <v>127</v>
      </c>
      <c r="B14" s="77" t="s">
        <v>76</v>
      </c>
      <c r="C14" s="78" t="s">
        <v>67</v>
      </c>
      <c r="D14" s="146">
        <v>33.200000000000003</v>
      </c>
      <c r="E14" s="161">
        <v>10855</v>
      </c>
      <c r="F14" s="112">
        <f>D14*E14</f>
        <v>360386.00000000006</v>
      </c>
      <c r="G14" s="161">
        <v>6987</v>
      </c>
      <c r="H14" s="112">
        <f>D14*G14</f>
        <v>231968.40000000002</v>
      </c>
      <c r="I14" s="112"/>
      <c r="J14" s="112"/>
      <c r="K14" s="79"/>
      <c r="L14" s="112"/>
      <c r="M14" s="79"/>
      <c r="N14" s="112">
        <f t="shared" ref="N14:N17" si="3">F14+H14+J14+L14</f>
        <v>592354.40000000014</v>
      </c>
      <c r="O14" s="188"/>
    </row>
    <row r="15" spans="1:17" ht="15" customHeight="1">
      <c r="A15" s="189"/>
      <c r="B15" s="77" t="s">
        <v>77</v>
      </c>
      <c r="C15" s="78" t="s">
        <v>67</v>
      </c>
      <c r="D15" s="148">
        <v>11.7</v>
      </c>
      <c r="E15" s="161">
        <v>10855</v>
      </c>
      <c r="F15" s="112">
        <f>D15*E15</f>
        <v>127003.49999999999</v>
      </c>
      <c r="G15" s="161">
        <v>6987</v>
      </c>
      <c r="H15" s="112">
        <f>D15*G15</f>
        <v>81747.899999999994</v>
      </c>
      <c r="I15" s="112"/>
      <c r="J15" s="112"/>
      <c r="K15" s="79"/>
      <c r="L15" s="112"/>
      <c r="M15" s="79"/>
      <c r="N15" s="112">
        <f t="shared" si="3"/>
        <v>208751.39999999997</v>
      </c>
      <c r="O15" s="188"/>
    </row>
    <row r="16" spans="1:17" ht="15" customHeight="1">
      <c r="A16" s="189"/>
      <c r="B16" s="77" t="s">
        <v>78</v>
      </c>
      <c r="C16" s="78" t="s">
        <v>67</v>
      </c>
      <c r="D16" s="148">
        <v>8.5</v>
      </c>
      <c r="E16" s="161">
        <v>10855</v>
      </c>
      <c r="F16" s="112">
        <f>D16*E16</f>
        <v>92267.5</v>
      </c>
      <c r="G16" s="161">
        <v>6987</v>
      </c>
      <c r="H16" s="112">
        <f>D16*G16</f>
        <v>59389.5</v>
      </c>
      <c r="I16" s="112"/>
      <c r="J16" s="112"/>
      <c r="K16" s="79"/>
      <c r="L16" s="112"/>
      <c r="M16" s="79"/>
      <c r="N16" s="112">
        <f t="shared" si="3"/>
        <v>151657</v>
      </c>
      <c r="O16" s="188"/>
    </row>
    <row r="17" spans="1:15" ht="15" customHeight="1">
      <c r="A17" s="190"/>
      <c r="B17" s="77" t="s">
        <v>79</v>
      </c>
      <c r="C17" s="78" t="s">
        <v>67</v>
      </c>
      <c r="D17" s="148">
        <v>8.4</v>
      </c>
      <c r="E17" s="161">
        <v>10855</v>
      </c>
      <c r="F17" s="112">
        <f>D17*E17</f>
        <v>91182</v>
      </c>
      <c r="G17" s="161">
        <v>6987</v>
      </c>
      <c r="H17" s="112">
        <f>D17*G17</f>
        <v>58690.8</v>
      </c>
      <c r="I17" s="112"/>
      <c r="J17" s="112"/>
      <c r="K17" s="79"/>
      <c r="L17" s="112"/>
      <c r="M17" s="79"/>
      <c r="N17" s="112">
        <f t="shared" si="3"/>
        <v>149872.79999999999</v>
      </c>
      <c r="O17" s="191"/>
    </row>
    <row r="18" spans="1:15" ht="15" customHeight="1">
      <c r="A18" s="95" t="s">
        <v>75</v>
      </c>
      <c r="B18" s="80"/>
      <c r="C18" s="83"/>
      <c r="D18" s="149">
        <f>SUM(D14:D17)</f>
        <v>61.800000000000004</v>
      </c>
      <c r="E18" s="82"/>
      <c r="F18" s="82">
        <f>SUM(F14:F17)</f>
        <v>670839</v>
      </c>
      <c r="G18" s="82"/>
      <c r="H18" s="82">
        <f>SUM(H14:H17)</f>
        <v>431796.60000000003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1102635.6000000001</v>
      </c>
      <c r="O18" s="82"/>
    </row>
    <row r="19" spans="1:15" ht="15" customHeight="1">
      <c r="A19" s="97" t="s">
        <v>80</v>
      </c>
      <c r="B19" s="84"/>
      <c r="C19" s="85"/>
      <c r="D19" s="15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3" t="s">
        <v>123</v>
      </c>
      <c r="B20" s="119" t="s">
        <v>122</v>
      </c>
      <c r="C20" s="119" t="s">
        <v>121</v>
      </c>
      <c r="D20" s="150">
        <v>0.3</v>
      </c>
      <c r="E20" s="161">
        <v>54693</v>
      </c>
      <c r="F20" s="112">
        <f>D20*E20</f>
        <v>16407.899999999998</v>
      </c>
      <c r="G20" s="79"/>
      <c r="H20" s="79"/>
      <c r="I20" s="79"/>
      <c r="J20" s="79"/>
      <c r="K20" s="79"/>
      <c r="L20" s="79"/>
      <c r="M20" s="79"/>
      <c r="N20" s="114">
        <f t="shared" ref="N20:N24" si="4">F20+H20+J20+L20</f>
        <v>16407.899999999998</v>
      </c>
      <c r="O20" s="79"/>
    </row>
    <row r="21" spans="1:15" ht="15" customHeight="1">
      <c r="A21" s="192" t="s">
        <v>81</v>
      </c>
      <c r="B21" s="84" t="s">
        <v>82</v>
      </c>
      <c r="C21" s="85" t="s">
        <v>67</v>
      </c>
      <c r="D21" s="150">
        <v>17</v>
      </c>
      <c r="E21" s="114"/>
      <c r="F21" s="114">
        <f>D21*E21</f>
        <v>0</v>
      </c>
      <c r="G21" s="162">
        <v>8978</v>
      </c>
      <c r="H21" s="114">
        <f t="shared" ref="H21:H24" si="5">D21*G21</f>
        <v>152626</v>
      </c>
      <c r="I21" s="114"/>
      <c r="J21" s="114"/>
      <c r="K21" s="114"/>
      <c r="L21" s="114"/>
      <c r="M21" s="114"/>
      <c r="N21" s="114">
        <f t="shared" si="4"/>
        <v>152626</v>
      </c>
      <c r="O21" s="79"/>
    </row>
    <row r="22" spans="1:15" ht="15" customHeight="1">
      <c r="A22" s="192"/>
      <c r="B22" s="84" t="s">
        <v>83</v>
      </c>
      <c r="C22" s="85" t="s">
        <v>67</v>
      </c>
      <c r="D22" s="150">
        <v>17</v>
      </c>
      <c r="E22" s="114"/>
      <c r="F22" s="114">
        <f t="shared" ref="F22" si="6">D22*E22</f>
        <v>0</v>
      </c>
      <c r="G22" s="162">
        <v>5317</v>
      </c>
      <c r="H22" s="114">
        <f t="shared" si="5"/>
        <v>90389</v>
      </c>
      <c r="I22" s="114"/>
      <c r="J22" s="114"/>
      <c r="K22" s="114"/>
      <c r="L22" s="114"/>
      <c r="M22" s="114"/>
      <c r="N22" s="114">
        <f t="shared" si="4"/>
        <v>90389</v>
      </c>
      <c r="O22" s="79"/>
    </row>
    <row r="23" spans="1:15" ht="15" customHeight="1">
      <c r="A23" s="192" t="s">
        <v>84</v>
      </c>
      <c r="B23" s="84" t="s">
        <v>82</v>
      </c>
      <c r="C23" s="85" t="s">
        <v>67</v>
      </c>
      <c r="D23" s="150">
        <v>11</v>
      </c>
      <c r="E23" s="114"/>
      <c r="F23" s="114">
        <f>D23*E23</f>
        <v>0</v>
      </c>
      <c r="G23" s="162">
        <v>8978</v>
      </c>
      <c r="H23" s="114">
        <f t="shared" si="5"/>
        <v>98758</v>
      </c>
      <c r="I23" s="114"/>
      <c r="J23" s="114"/>
      <c r="K23" s="114"/>
      <c r="L23" s="114"/>
      <c r="M23" s="114"/>
      <c r="N23" s="114">
        <f t="shared" si="4"/>
        <v>98758</v>
      </c>
      <c r="O23" s="79"/>
    </row>
    <row r="24" spans="1:15" ht="15" customHeight="1">
      <c r="A24" s="192"/>
      <c r="B24" s="84" t="s">
        <v>83</v>
      </c>
      <c r="C24" s="85" t="s">
        <v>67</v>
      </c>
      <c r="D24" s="150">
        <v>11</v>
      </c>
      <c r="E24" s="114"/>
      <c r="F24" s="114">
        <f t="shared" ref="F24" si="7">D24*E24</f>
        <v>0</v>
      </c>
      <c r="G24" s="162">
        <v>5317</v>
      </c>
      <c r="H24" s="114">
        <f t="shared" si="5"/>
        <v>58487</v>
      </c>
      <c r="I24" s="114"/>
      <c r="J24" s="114"/>
      <c r="K24" s="114"/>
      <c r="L24" s="114"/>
      <c r="M24" s="114"/>
      <c r="N24" s="114">
        <f t="shared" si="4"/>
        <v>58487</v>
      </c>
      <c r="O24" s="79"/>
    </row>
    <row r="25" spans="1:15" ht="15" customHeight="1">
      <c r="A25" s="95" t="s">
        <v>75</v>
      </c>
      <c r="B25" s="86"/>
      <c r="C25" s="87"/>
      <c r="D25" s="151"/>
      <c r="E25" s="82"/>
      <c r="F25" s="82">
        <f>SUM(F19:F24)</f>
        <v>16407.899999999998</v>
      </c>
      <c r="G25" s="82"/>
      <c r="H25" s="82">
        <f>SUM(H19:H24)</f>
        <v>400260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416667.9</v>
      </c>
      <c r="O25" s="82"/>
    </row>
    <row r="26" spans="1:15" ht="15" customHeight="1">
      <c r="A26" s="98" t="s">
        <v>85</v>
      </c>
      <c r="B26" s="77" t="s">
        <v>136</v>
      </c>
      <c r="C26" s="78" t="s">
        <v>67</v>
      </c>
      <c r="D26" s="152">
        <v>96</v>
      </c>
      <c r="E26" s="112"/>
      <c r="F26" s="112"/>
      <c r="G26" s="161">
        <v>4284</v>
      </c>
      <c r="H26" s="112">
        <f>D26*G26</f>
        <v>411264</v>
      </c>
      <c r="I26" s="112"/>
      <c r="J26" s="112"/>
      <c r="K26" s="112"/>
      <c r="L26" s="112"/>
      <c r="M26" s="112"/>
      <c r="N26" s="112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8">SUM(J26:J26)</f>
        <v>0</v>
      </c>
      <c r="K27" s="82"/>
      <c r="L27" s="82">
        <f t="shared" si="8"/>
        <v>0</v>
      </c>
      <c r="M27" s="82"/>
      <c r="N27" s="82">
        <f t="shared" si="8"/>
        <v>411264</v>
      </c>
      <c r="O27" s="90"/>
    </row>
    <row r="28" spans="1:15" ht="15" customHeight="1">
      <c r="A28" s="95" t="s">
        <v>120</v>
      </c>
      <c r="B28" s="80"/>
      <c r="C28" s="81"/>
      <c r="D28" s="89"/>
      <c r="E28" s="91"/>
      <c r="F28" s="92">
        <f>F13+F18+F25+F27</f>
        <v>883848.9</v>
      </c>
      <c r="G28" s="92"/>
      <c r="H28" s="92">
        <f>H13+H18+H25+H27</f>
        <v>2966796.6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3850645.5</v>
      </c>
      <c r="O28" s="91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A4" sqref="A4:XFD4"/>
    </sheetView>
  </sheetViews>
  <sheetFormatPr defaultColWidth="9" defaultRowHeight="14.2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137</v>
      </c>
      <c r="B1" s="104" t="s">
        <v>138</v>
      </c>
      <c r="C1" s="104" t="s">
        <v>139</v>
      </c>
      <c r="D1" s="104" t="s">
        <v>140</v>
      </c>
      <c r="E1" s="104" t="s">
        <v>141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11.2658</v>
      </c>
    </row>
    <row r="3" spans="1:6" ht="14.25" customHeight="1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4.0430000000000001</v>
      </c>
    </row>
    <row r="4" spans="1:6">
      <c r="A4" s="105" t="str">
        <f>'내역서(표준단가)'!A7</f>
        <v>M020809012520101</v>
      </c>
      <c r="B4" s="106">
        <f>'내역서(표준단가)'!B7</f>
        <v>0</v>
      </c>
      <c r="C4" s="106">
        <f>'내역서(표준단가)'!C7</f>
        <v>0</v>
      </c>
      <c r="D4" s="106" t="str">
        <f>'내역서(표준단가)'!D7</f>
        <v>M020809012520101</v>
      </c>
      <c r="E4" s="106">
        <f>'내역서(표준단가)'!E7</f>
        <v>0</v>
      </c>
      <c r="F4" s="107">
        <f>'내역서(표준단가)'!I7</f>
        <v>61.8</v>
      </c>
    </row>
    <row r="5" spans="1:6">
      <c r="A5" s="105" t="str">
        <f>'내역서(표준단가)'!A8</f>
        <v>E00000803071260401</v>
      </c>
      <c r="B5" s="106">
        <f>'내역서(표준단가)'!B8</f>
        <v>0</v>
      </c>
      <c r="C5" s="106" t="str">
        <f>'내역서(표준단가)'!C8</f>
        <v>E00000803071260401</v>
      </c>
      <c r="D5" s="106">
        <f>'내역서(표준단가)'!D8</f>
        <v>0</v>
      </c>
      <c r="E5" s="106">
        <f>'내역서(표준단가)'!E8</f>
        <v>0</v>
      </c>
      <c r="F5" s="107">
        <f>'내역서(표준단가)'!I8</f>
        <v>1.0132000000000001</v>
      </c>
    </row>
    <row r="6" spans="1:6">
      <c r="A6" s="105" t="str">
        <f>'내역서(표준단가)'!A9</f>
        <v>M020412614110102</v>
      </c>
      <c r="B6" s="106">
        <f>'내역서(표준단가)'!B9</f>
        <v>0</v>
      </c>
      <c r="C6" s="106">
        <f>'내역서(표준단가)'!C9</f>
        <v>0</v>
      </c>
      <c r="D6" s="106" t="str">
        <f>'내역서(표준단가)'!D9</f>
        <v>M020412614110102</v>
      </c>
      <c r="E6" s="106">
        <f>'내역서(표준단가)'!E9</f>
        <v>0</v>
      </c>
      <c r="F6" s="107">
        <f>'내역서(표준단가)'!I9</f>
        <v>0.3</v>
      </c>
    </row>
    <row r="7" spans="1:6">
      <c r="A7" s="105" t="str">
        <f>'내역서(표준단가)'!A10</f>
        <v>E00000803061120402</v>
      </c>
      <c r="B7" s="106">
        <f>'내역서(표준단가)'!B10</f>
        <v>0</v>
      </c>
      <c r="C7" s="106" t="str">
        <f>'내역서(표준단가)'!C10</f>
        <v>E00000803061120402</v>
      </c>
      <c r="D7" s="106">
        <f>'내역서(표준단가)'!D10</f>
        <v>0</v>
      </c>
      <c r="E7" s="106">
        <f>'내역서(표준단가)'!E10</f>
        <v>0</v>
      </c>
      <c r="F7" s="107">
        <f>'내역서(표준단가)'!I10</f>
        <v>28</v>
      </c>
    </row>
    <row r="8" spans="1:6">
      <c r="A8" s="105" t="str">
        <f>'내역서(표준단가)'!A11</f>
        <v>E00000803061300201</v>
      </c>
      <c r="B8" s="106">
        <f>'내역서(표준단가)'!B11</f>
        <v>0</v>
      </c>
      <c r="C8" s="106" t="str">
        <f>'내역서(표준단가)'!C11</f>
        <v>E00000803061300201</v>
      </c>
      <c r="D8" s="106">
        <f>'내역서(표준단가)'!D11</f>
        <v>0</v>
      </c>
      <c r="E8" s="106">
        <f>'내역서(표준단가)'!E11</f>
        <v>0</v>
      </c>
      <c r="F8" s="107">
        <f>'내역서(표준단가)'!I11</f>
        <v>28</v>
      </c>
    </row>
    <row r="9" spans="1:6">
      <c r="A9" s="105" t="str">
        <f>'내역서(표준단가)'!A12</f>
        <v>E00000801011510701</v>
      </c>
      <c r="B9" s="106">
        <f>'내역서(표준단가)'!B12</f>
        <v>0</v>
      </c>
      <c r="C9" s="106" t="str">
        <f>'내역서(표준단가)'!C12</f>
        <v>E00000801011510701</v>
      </c>
      <c r="D9" s="106">
        <f>'내역서(표준단가)'!D12</f>
        <v>0</v>
      </c>
      <c r="E9" s="106">
        <f>'내역서(표준단가)'!E12</f>
        <v>0</v>
      </c>
      <c r="F9" s="107">
        <f>'내역서(표준단가)'!I12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2026-06-01T00:32:48Z</dcterms:modified>
</cp:coreProperties>
</file>
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212\06 작업폴더\03 사택 7-403외 1세대 LED등기구 교체\01 자료\"/>
    </mc:Choice>
  </mc:AlternateContent>
  <xr:revisionPtr revIDLastSave="0" documentId="13_ncr:1_{67011E4A-BC34-4010-9D70-FC3FB7FB7C5C}" xr6:coauthVersionLast="47" xr6:coauthVersionMax="47" xr10:uidLastSave="{00000000-0000-0000-0000-000000000000}"/>
  <bookViews>
    <workbookView xWindow="2685" yWindow="2685" windowWidth="7500" windowHeight="11295" tabRatio="868" xr2:uid="{00000000-000D-0000-FFFF-FFFF00000000}"/>
  </bookViews>
  <sheets>
    <sheet name="PR당사안" sheetId="28" r:id="rId1"/>
    <sheet name="내역서(표준단가)" sheetId="26" r:id="rId2"/>
    <sheet name="시중가 증빙" sheetId="27" r:id="rId3"/>
    <sheet name="내역서업로드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74" i="26" l="1"/>
  <c r="O2274" i="26"/>
  <c r="V2274" i="26" s="1"/>
  <c r="V2269" i="26"/>
  <c r="V2268" i="26"/>
  <c r="Q2269" i="26"/>
  <c r="Q2268" i="26"/>
  <c r="V7" i="26"/>
  <c r="V6" i="26"/>
  <c r="J21" i="28"/>
  <c r="J19" i="28"/>
  <c r="J18" i="28"/>
  <c r="J29" i="28"/>
  <c r="J22" i="28" l="1"/>
  <c r="J24" i="28"/>
  <c r="J23" i="28"/>
  <c r="J26" i="28"/>
  <c r="J25" i="28"/>
  <c r="J27" i="28" s="1"/>
  <c r="O6" i="26"/>
  <c r="O7" i="26"/>
  <c r="V8" i="26"/>
  <c r="O1478" i="26"/>
  <c r="O1479" i="26"/>
  <c r="O1480" i="26"/>
  <c r="O1481" i="26"/>
  <c r="O1482" i="26"/>
  <c r="O1483" i="26"/>
  <c r="O1484" i="26"/>
  <c r="O1485" i="26"/>
  <c r="O1486" i="26"/>
  <c r="O1487" i="26"/>
  <c r="O1488" i="26"/>
  <c r="O1489" i="26"/>
  <c r="Q2165" i="26"/>
  <c r="V2165" i="26" s="1"/>
  <c r="Q2166" i="26"/>
  <c r="V2166" i="26" s="1"/>
  <c r="Q2167" i="26"/>
  <c r="V2167" i="26" s="1"/>
  <c r="Q2168" i="26"/>
  <c r="V2168" i="26" s="1"/>
  <c r="Q2169" i="26"/>
  <c r="V2169" i="26" s="1"/>
  <c r="Q2170" i="26"/>
  <c r="V2170" i="26" s="1"/>
  <c r="Q2171" i="26"/>
  <c r="V2171" i="26" s="1"/>
  <c r="Q2172" i="26"/>
  <c r="V2172" i="26" s="1"/>
  <c r="Q2173" i="26"/>
  <c r="V2173" i="26" s="1"/>
  <c r="Q2174" i="26"/>
  <c r="V2174" i="26" s="1"/>
  <c r="Q2175" i="26"/>
  <c r="V2175" i="26" s="1"/>
  <c r="Q2176" i="26"/>
  <c r="V2176" i="26" s="1"/>
  <c r="Q2177" i="26"/>
  <c r="V2177" i="26" s="1"/>
  <c r="Q2178" i="26"/>
  <c r="V2178" i="26" s="1"/>
  <c r="Q2179" i="26"/>
  <c r="V2179" i="26" s="1"/>
  <c r="Q2180" i="26"/>
  <c r="V2180" i="26" s="1"/>
  <c r="Q2181" i="26"/>
  <c r="V2181" i="26" s="1"/>
  <c r="Q2182" i="26"/>
  <c r="V2182" i="26" s="1"/>
  <c r="Q2183" i="26"/>
  <c r="V2183" i="26" s="1"/>
  <c r="Q2184" i="26"/>
  <c r="V2184" i="26" s="1"/>
  <c r="Q2185" i="26"/>
  <c r="V2185" i="26" s="1"/>
  <c r="Q2186" i="26"/>
  <c r="V2186" i="26" s="1"/>
  <c r="Q2187" i="26"/>
  <c r="V2187" i="26" s="1"/>
  <c r="Q2188" i="26"/>
  <c r="V2188" i="26" s="1"/>
  <c r="Q2189" i="26"/>
  <c r="V2189" i="26" s="1"/>
  <c r="Q2190" i="26"/>
  <c r="V2190" i="26" s="1"/>
  <c r="Q2191" i="26"/>
  <c r="V2191" i="26" s="1"/>
  <c r="Q2192" i="26"/>
  <c r="V2192" i="26" s="1"/>
  <c r="Q2193" i="26"/>
  <c r="V2193" i="26" s="1"/>
  <c r="Q2194" i="26"/>
  <c r="V2194" i="26" s="1"/>
  <c r="Q2195" i="26"/>
  <c r="V2195" i="26" s="1"/>
  <c r="Q2196" i="26"/>
  <c r="V2196" i="26" s="1"/>
  <c r="Q2197" i="26"/>
  <c r="V2197" i="26" s="1"/>
  <c r="Q2198" i="26"/>
  <c r="V2198" i="26" s="1"/>
  <c r="Q2199" i="26"/>
  <c r="V2199" i="26" s="1"/>
  <c r="Q2200" i="26"/>
  <c r="V2200" i="26" s="1"/>
  <c r="Q2201" i="26"/>
  <c r="V2201" i="26" s="1"/>
  <c r="Q2202" i="26"/>
  <c r="V2202" i="26" s="1"/>
  <c r="Q2203" i="26"/>
  <c r="V2203" i="26" s="1"/>
  <c r="Q2204" i="26"/>
  <c r="V2204" i="26" s="1"/>
  <c r="Q2205" i="26"/>
  <c r="V2205" i="26" s="1"/>
  <c r="Q2206" i="26"/>
  <c r="V2206" i="26" s="1"/>
  <c r="Q2207" i="26"/>
  <c r="V2207" i="26" s="1"/>
  <c r="Q2208" i="26"/>
  <c r="V2208" i="26" s="1"/>
  <c r="Q2209" i="26"/>
  <c r="V2209" i="26" s="1"/>
  <c r="Q2210" i="26"/>
  <c r="V2210" i="26" s="1"/>
  <c r="Q2211" i="26"/>
  <c r="V2211" i="26" s="1"/>
  <c r="Q2212" i="26"/>
  <c r="V2212" i="26" s="1"/>
  <c r="Q2213" i="26"/>
  <c r="V2213" i="26" s="1"/>
  <c r="Q2214" i="26"/>
  <c r="V2214" i="26" s="1"/>
  <c r="Q2215" i="26"/>
  <c r="V2215" i="26" s="1"/>
  <c r="Q2216" i="26"/>
  <c r="V2216" i="26" s="1"/>
  <c r="Q2217" i="26"/>
  <c r="V2217" i="26" s="1"/>
  <c r="Q2218" i="26"/>
  <c r="V2218" i="26" s="1"/>
  <c r="Q2219" i="26"/>
  <c r="V2219" i="26" s="1"/>
  <c r="Q2220" i="26"/>
  <c r="V2220" i="26" s="1"/>
  <c r="Q2221" i="26"/>
  <c r="V2221" i="26" s="1"/>
  <c r="Q2222" i="26"/>
  <c r="V2222" i="26" s="1"/>
  <c r="Q2223" i="26"/>
  <c r="V2223" i="26" s="1"/>
  <c r="Q2224" i="26"/>
  <c r="V2224" i="26" s="1"/>
  <c r="Q2225" i="26"/>
  <c r="V2225" i="26" s="1"/>
  <c r="Q2226" i="26"/>
  <c r="V2226" i="26" s="1"/>
  <c r="Q2227" i="26"/>
  <c r="V2227" i="26" s="1"/>
  <c r="Q2228" i="26"/>
  <c r="V2228" i="26" s="1"/>
  <c r="Q2229" i="26"/>
  <c r="V2229" i="26" s="1"/>
  <c r="Q2230" i="26"/>
  <c r="V2230" i="26" s="1"/>
  <c r="Q2231" i="26"/>
  <c r="V2231" i="26" s="1"/>
  <c r="Q2232" i="26"/>
  <c r="V2232" i="26" s="1"/>
  <c r="Q2233" i="26"/>
  <c r="V2233" i="26" s="1"/>
  <c r="Q2234" i="26"/>
  <c r="V2234" i="26" s="1"/>
  <c r="Q2235" i="26"/>
  <c r="V2235" i="26" s="1"/>
  <c r="Q2236" i="26"/>
  <c r="V2236" i="26" s="1"/>
  <c r="Q2237" i="26"/>
  <c r="V2237" i="26" s="1"/>
  <c r="Q2238" i="26"/>
  <c r="V2238" i="26" s="1"/>
  <c r="Q2239" i="26"/>
  <c r="V2239" i="26" s="1"/>
  <c r="Q2240" i="26"/>
  <c r="V2240" i="26" s="1"/>
  <c r="Q2241" i="26"/>
  <c r="V2241" i="26" s="1"/>
  <c r="Q2242" i="26"/>
  <c r="V2242" i="26" s="1"/>
  <c r="Q2243" i="26"/>
  <c r="V2243" i="26" s="1"/>
  <c r="Q2244" i="26"/>
  <c r="V2244" i="26" s="1"/>
  <c r="Q2245" i="26"/>
  <c r="V2245" i="26" s="1"/>
  <c r="Q2246" i="26"/>
  <c r="V2246" i="26" s="1"/>
  <c r="Q2247" i="26"/>
  <c r="V2247" i="26" s="1"/>
  <c r="Q2248" i="26"/>
  <c r="V2248" i="26" s="1"/>
  <c r="Q2249" i="26"/>
  <c r="V2249" i="26" s="1"/>
  <c r="Q2250" i="26"/>
  <c r="V2250" i="26" s="1"/>
  <c r="Q2251" i="26"/>
  <c r="V2251" i="26" s="1"/>
  <c r="Q2252" i="26"/>
  <c r="V2252" i="26" s="1"/>
  <c r="Q2253" i="26"/>
  <c r="V2253" i="26" s="1"/>
  <c r="Q2254" i="26"/>
  <c r="V2254" i="26" s="1"/>
  <c r="Q2255" i="26"/>
  <c r="V2255" i="26" s="1"/>
  <c r="Q2256" i="26"/>
  <c r="V2256" i="26" s="1"/>
  <c r="Q2257" i="26"/>
  <c r="V2257" i="26" s="1"/>
  <c r="Q2258" i="26"/>
  <c r="V2258" i="26" s="1"/>
  <c r="Q2259" i="26"/>
  <c r="V2259" i="26" s="1"/>
  <c r="Q2260" i="26"/>
  <c r="V2260" i="26" s="1"/>
  <c r="Q2261" i="26"/>
  <c r="V2261" i="26" s="1"/>
  <c r="Q2262" i="26"/>
  <c r="V2262" i="26" s="1"/>
  <c r="Q2263" i="26"/>
  <c r="V2263" i="26" s="1"/>
  <c r="Q2264" i="26"/>
  <c r="V2264" i="26" s="1"/>
  <c r="Q2265" i="26"/>
  <c r="V2265" i="26" s="1"/>
  <c r="Q2161" i="26"/>
  <c r="V2161" i="26" s="1"/>
  <c r="Q2162" i="26"/>
  <c r="V2162" i="26" s="1"/>
  <c r="Q2163" i="26"/>
  <c r="V2163" i="26" s="1"/>
  <c r="Q2164" i="26"/>
  <c r="V2164" i="26" s="1"/>
  <c r="Q2149" i="26"/>
  <c r="V2149" i="26" s="1"/>
  <c r="Q2150" i="26"/>
  <c r="V2150" i="26" s="1"/>
  <c r="Q2151" i="26"/>
  <c r="V2151" i="26" s="1"/>
  <c r="Q2152" i="26"/>
  <c r="V2152" i="26" s="1"/>
  <c r="Q2153" i="26"/>
  <c r="V2153" i="26" s="1"/>
  <c r="Q2154" i="26"/>
  <c r="V2154" i="26" s="1"/>
  <c r="Q2155" i="26"/>
  <c r="V2155" i="26" s="1"/>
  <c r="Q2156" i="26"/>
  <c r="V2156" i="26" s="1"/>
  <c r="Q2157" i="26"/>
  <c r="V2157" i="26" s="1"/>
  <c r="Q2158" i="26"/>
  <c r="V2158" i="26" s="1"/>
  <c r="Q2159" i="26"/>
  <c r="V2159" i="26" s="1"/>
  <c r="Q2160" i="26"/>
  <c r="V2160" i="26" s="1"/>
  <c r="Q1809" i="26"/>
  <c r="V1809" i="26" s="1"/>
  <c r="O1095" i="26"/>
  <c r="V1095" i="26" s="1"/>
  <c r="O1096" i="26"/>
  <c r="V1096" i="26" s="1"/>
  <c r="O1097" i="26"/>
  <c r="V1097" i="26" s="1"/>
  <c r="O1098" i="26"/>
  <c r="V1098" i="26" s="1"/>
  <c r="O1079" i="26"/>
  <c r="V1079" i="26" s="1"/>
  <c r="O1080" i="26"/>
  <c r="V1080" i="26" s="1"/>
  <c r="O1081" i="26"/>
  <c r="V1081" i="26" s="1"/>
  <c r="O1082" i="26"/>
  <c r="V1082" i="26" s="1"/>
  <c r="O1083" i="26"/>
  <c r="V1083" i="26" s="1"/>
  <c r="O1084" i="26"/>
  <c r="V1084" i="26" s="1"/>
  <c r="O1085" i="26"/>
  <c r="V1085" i="26" s="1"/>
  <c r="O1086" i="26"/>
  <c r="V1086" i="26" s="1"/>
  <c r="O1087" i="26"/>
  <c r="V1087" i="26" s="1"/>
  <c r="O1088" i="26"/>
  <c r="V1088" i="26" s="1"/>
  <c r="O1089" i="26"/>
  <c r="V1089" i="26" s="1"/>
  <c r="O1090" i="26"/>
  <c r="V1090" i="26" s="1"/>
  <c r="O1091" i="26"/>
  <c r="V1091" i="26" s="1"/>
  <c r="O1092" i="26"/>
  <c r="V1092" i="26" s="1"/>
  <c r="O1093" i="26"/>
  <c r="V1093" i="26" s="1"/>
  <c r="O1094" i="26"/>
  <c r="V1094" i="26" s="1"/>
  <c r="O1069" i="26"/>
  <c r="V1069" i="26" s="1"/>
  <c r="O1070" i="26"/>
  <c r="V1070" i="26" s="1"/>
  <c r="O1071" i="26"/>
  <c r="V1071" i="26" s="1"/>
  <c r="O1072" i="26"/>
  <c r="V1072" i="26" s="1"/>
  <c r="O1073" i="26"/>
  <c r="V1073" i="26" s="1"/>
  <c r="O1074" i="26"/>
  <c r="V1074" i="26" s="1"/>
  <c r="O1075" i="26"/>
  <c r="V1075" i="26" s="1"/>
  <c r="O1076" i="26"/>
  <c r="V1076" i="26" s="1"/>
  <c r="O1077" i="26"/>
  <c r="V1077" i="26" s="1"/>
  <c r="O1078" i="26"/>
  <c r="V1078" i="26" s="1"/>
  <c r="O922" i="26"/>
  <c r="V922" i="26" s="1"/>
  <c r="O923" i="26"/>
  <c r="V923" i="26" s="1"/>
  <c r="O924" i="26"/>
  <c r="V924" i="26" s="1"/>
  <c r="O925" i="26"/>
  <c r="V925" i="26" s="1"/>
  <c r="O926" i="26"/>
  <c r="V926" i="26" s="1"/>
  <c r="O927" i="26"/>
  <c r="V927" i="26" s="1"/>
  <c r="O928" i="26"/>
  <c r="V928" i="26" s="1"/>
  <c r="O929" i="26"/>
  <c r="V929" i="26" s="1"/>
  <c r="O930" i="26"/>
  <c r="V930" i="26" s="1"/>
  <c r="O931" i="26"/>
  <c r="V931" i="26" s="1"/>
  <c r="O932" i="26"/>
  <c r="V932" i="26" s="1"/>
  <c r="O933" i="26"/>
  <c r="V933" i="26" s="1"/>
  <c r="O934" i="26"/>
  <c r="V934" i="26" s="1"/>
  <c r="O935" i="26"/>
  <c r="V935" i="26" s="1"/>
  <c r="O936" i="26"/>
  <c r="V936" i="26" s="1"/>
  <c r="O937" i="26"/>
  <c r="V937" i="26" s="1"/>
  <c r="O938" i="26"/>
  <c r="V938" i="26" s="1"/>
  <c r="O939" i="26"/>
  <c r="V939" i="26" s="1"/>
  <c r="O940" i="26"/>
  <c r="V940" i="26" s="1"/>
  <c r="O941" i="26"/>
  <c r="V941" i="26" s="1"/>
  <c r="O942" i="26"/>
  <c r="V942" i="26" s="1"/>
  <c r="O943" i="26"/>
  <c r="V943" i="26" s="1"/>
  <c r="O944" i="26"/>
  <c r="V944" i="26" s="1"/>
  <c r="O945" i="26"/>
  <c r="V945" i="26" s="1"/>
  <c r="O946" i="26"/>
  <c r="V946" i="26" s="1"/>
  <c r="O947" i="26"/>
  <c r="V947" i="26" s="1"/>
  <c r="O948" i="26"/>
  <c r="V948" i="26" s="1"/>
  <c r="O949" i="26"/>
  <c r="V949" i="26" s="1"/>
  <c r="O950" i="26"/>
  <c r="V950" i="26" s="1"/>
  <c r="O951" i="26"/>
  <c r="V951" i="26" s="1"/>
  <c r="O952" i="26"/>
  <c r="V952" i="26" s="1"/>
  <c r="O953" i="26"/>
  <c r="V953" i="26" s="1"/>
  <c r="O954" i="26"/>
  <c r="V954" i="26" s="1"/>
  <c r="O955" i="26"/>
  <c r="V955" i="26" s="1"/>
  <c r="O956" i="26"/>
  <c r="V956" i="26" s="1"/>
  <c r="O957" i="26"/>
  <c r="V957" i="26" s="1"/>
  <c r="O958" i="26"/>
  <c r="V958" i="26" s="1"/>
  <c r="O959" i="26"/>
  <c r="V959" i="26" s="1"/>
  <c r="O960" i="26"/>
  <c r="V960" i="26" s="1"/>
  <c r="O961" i="26"/>
  <c r="V961" i="26" s="1"/>
  <c r="O962" i="26"/>
  <c r="V962" i="26" s="1"/>
  <c r="O963" i="26"/>
  <c r="V963" i="26" s="1"/>
  <c r="O964" i="26"/>
  <c r="V964" i="26" s="1"/>
  <c r="O965" i="26"/>
  <c r="V965" i="26" s="1"/>
  <c r="O966" i="26"/>
  <c r="V966" i="26" s="1"/>
  <c r="O967" i="26"/>
  <c r="V967" i="26" s="1"/>
  <c r="O968" i="26"/>
  <c r="V968" i="26" s="1"/>
  <c r="O969" i="26"/>
  <c r="V969" i="26" s="1"/>
  <c r="O970" i="26"/>
  <c r="V970" i="26" s="1"/>
  <c r="O971" i="26"/>
  <c r="V971" i="26" s="1"/>
  <c r="O972" i="26"/>
  <c r="V972" i="26" s="1"/>
  <c r="O973" i="26"/>
  <c r="V973" i="26" s="1"/>
  <c r="O974" i="26"/>
  <c r="V974" i="26" s="1"/>
  <c r="O975" i="26"/>
  <c r="V975" i="26" s="1"/>
  <c r="O976" i="26"/>
  <c r="V976" i="26" s="1"/>
  <c r="O977" i="26"/>
  <c r="V977" i="26" s="1"/>
  <c r="O978" i="26"/>
  <c r="V978" i="26" s="1"/>
  <c r="O979" i="26"/>
  <c r="V979" i="26" s="1"/>
  <c r="O980" i="26"/>
  <c r="V980" i="26" s="1"/>
  <c r="O981" i="26"/>
  <c r="V981" i="26" s="1"/>
  <c r="O982" i="26"/>
  <c r="V982" i="26" s="1"/>
  <c r="O983" i="26"/>
  <c r="V983" i="26" s="1"/>
  <c r="O984" i="26"/>
  <c r="V984" i="26" s="1"/>
  <c r="O985" i="26"/>
  <c r="V985" i="26" s="1"/>
  <c r="O986" i="26"/>
  <c r="V986" i="26" s="1"/>
  <c r="O987" i="26"/>
  <c r="V987" i="26" s="1"/>
  <c r="O988" i="26"/>
  <c r="V988" i="26" s="1"/>
  <c r="O989" i="26"/>
  <c r="V989" i="26" s="1"/>
  <c r="O990" i="26"/>
  <c r="V990" i="26" s="1"/>
  <c r="O991" i="26"/>
  <c r="V991" i="26" s="1"/>
  <c r="O992" i="26"/>
  <c r="V992" i="26" s="1"/>
  <c r="O993" i="26"/>
  <c r="V993" i="26" s="1"/>
  <c r="O994" i="26"/>
  <c r="V994" i="26" s="1"/>
  <c r="O995" i="26"/>
  <c r="V995" i="26" s="1"/>
  <c r="O996" i="26"/>
  <c r="V996" i="26" s="1"/>
  <c r="O997" i="26"/>
  <c r="V997" i="26" s="1"/>
  <c r="O998" i="26"/>
  <c r="V998" i="26" s="1"/>
  <c r="O999" i="26"/>
  <c r="V999" i="26" s="1"/>
  <c r="O1000" i="26"/>
  <c r="V1000" i="26" s="1"/>
  <c r="O1001" i="26"/>
  <c r="V1001" i="26" s="1"/>
  <c r="O1002" i="26"/>
  <c r="V1002" i="26" s="1"/>
  <c r="O1003" i="26"/>
  <c r="V1003" i="26" s="1"/>
  <c r="O1004" i="26"/>
  <c r="V1004" i="26" s="1"/>
  <c r="O1005" i="26"/>
  <c r="V1005" i="26" s="1"/>
  <c r="O1006" i="26"/>
  <c r="V1006" i="26" s="1"/>
  <c r="O1007" i="26"/>
  <c r="V1007" i="26" s="1"/>
  <c r="O1008" i="26"/>
  <c r="V1008" i="26" s="1"/>
  <c r="O1009" i="26"/>
  <c r="V1009" i="26" s="1"/>
  <c r="O1010" i="26"/>
  <c r="V1010" i="26" s="1"/>
  <c r="O1011" i="26"/>
  <c r="V1011" i="26" s="1"/>
  <c r="O1012" i="26"/>
  <c r="V1012" i="26" s="1"/>
  <c r="O1013" i="26"/>
  <c r="V1013" i="26" s="1"/>
  <c r="O1014" i="26"/>
  <c r="V1014" i="26" s="1"/>
  <c r="O1015" i="26"/>
  <c r="V1015" i="26" s="1"/>
  <c r="O1016" i="26"/>
  <c r="V1016" i="26" s="1"/>
  <c r="O1017" i="26"/>
  <c r="V1017" i="26" s="1"/>
  <c r="O1018" i="26"/>
  <c r="V1018" i="26" s="1"/>
  <c r="O1019" i="26"/>
  <c r="V1019" i="26" s="1"/>
  <c r="O1020" i="26"/>
  <c r="V1020" i="26" s="1"/>
  <c r="O1021" i="26"/>
  <c r="V1021" i="26" s="1"/>
  <c r="O1022" i="26"/>
  <c r="V1022" i="26" s="1"/>
  <c r="O1023" i="26"/>
  <c r="V1023" i="26" s="1"/>
  <c r="O1024" i="26"/>
  <c r="V1024" i="26" s="1"/>
  <c r="O1025" i="26"/>
  <c r="V1025" i="26" s="1"/>
  <c r="O1026" i="26"/>
  <c r="V1026" i="26" s="1"/>
  <c r="O1027" i="26"/>
  <c r="V1027" i="26" s="1"/>
  <c r="O1028" i="26"/>
  <c r="V1028" i="26" s="1"/>
  <c r="O1029" i="26"/>
  <c r="V1029" i="26" s="1"/>
  <c r="O1030" i="26"/>
  <c r="V1030" i="26" s="1"/>
  <c r="O1031" i="26"/>
  <c r="V1031" i="26" s="1"/>
  <c r="O1032" i="26"/>
  <c r="V1032" i="26" s="1"/>
  <c r="O1033" i="26"/>
  <c r="V1033" i="26" s="1"/>
  <c r="O1034" i="26"/>
  <c r="V1034" i="26" s="1"/>
  <c r="O1035" i="26"/>
  <c r="V1035" i="26" s="1"/>
  <c r="O1036" i="26"/>
  <c r="V1036" i="26" s="1"/>
  <c r="O1037" i="26"/>
  <c r="V1037" i="26" s="1"/>
  <c r="O1038" i="26"/>
  <c r="V1038" i="26" s="1"/>
  <c r="O1039" i="26"/>
  <c r="V1039" i="26" s="1"/>
  <c r="O1040" i="26"/>
  <c r="V1040" i="26" s="1"/>
  <c r="O1041" i="26"/>
  <c r="V1041" i="26" s="1"/>
  <c r="O1042" i="26"/>
  <c r="V1042" i="26" s="1"/>
  <c r="O1043" i="26"/>
  <c r="V1043" i="26" s="1"/>
  <c r="O1044" i="26"/>
  <c r="V1044" i="26" s="1"/>
  <c r="O1045" i="26"/>
  <c r="V1045" i="26" s="1"/>
  <c r="O1046" i="26"/>
  <c r="V1046" i="26" s="1"/>
  <c r="O1047" i="26"/>
  <c r="V1047" i="26" s="1"/>
  <c r="O1048" i="26"/>
  <c r="V1048" i="26" s="1"/>
  <c r="O1049" i="26"/>
  <c r="V1049" i="26" s="1"/>
  <c r="O1050" i="26"/>
  <c r="V1050" i="26" s="1"/>
  <c r="O1051" i="26"/>
  <c r="V1051" i="26" s="1"/>
  <c r="O1052" i="26"/>
  <c r="V1052" i="26" s="1"/>
  <c r="O1053" i="26"/>
  <c r="V1053" i="26" s="1"/>
  <c r="O1054" i="26"/>
  <c r="V1054" i="26" s="1"/>
  <c r="O1055" i="26"/>
  <c r="V1055" i="26" s="1"/>
  <c r="O1056" i="26"/>
  <c r="V1056" i="26" s="1"/>
  <c r="O1057" i="26"/>
  <c r="V1057" i="26" s="1"/>
  <c r="O1058" i="26"/>
  <c r="V1058" i="26" s="1"/>
  <c r="O1059" i="26"/>
  <c r="V1059" i="26" s="1"/>
  <c r="O1060" i="26"/>
  <c r="V1060" i="26" s="1"/>
  <c r="O1061" i="26"/>
  <c r="V1061" i="26" s="1"/>
  <c r="O1062" i="26"/>
  <c r="V1062" i="26" s="1"/>
  <c r="O1063" i="26"/>
  <c r="V1063" i="26" s="1"/>
  <c r="O1064" i="26"/>
  <c r="V1064" i="26" s="1"/>
  <c r="O1065" i="26"/>
  <c r="V1065" i="26" s="1"/>
  <c r="O1066" i="26"/>
  <c r="V1066" i="26" s="1"/>
  <c r="O1067" i="26"/>
  <c r="V1067" i="26" s="1"/>
  <c r="O1068" i="26"/>
  <c r="V1068" i="26" s="1"/>
  <c r="O1330" i="26"/>
  <c r="V1330" i="26" s="1"/>
  <c r="O1331" i="26"/>
  <c r="V1331" i="26" s="1"/>
  <c r="O1332" i="26"/>
  <c r="V1332" i="26" s="1"/>
  <c r="O1333" i="26"/>
  <c r="V1333" i="26" s="1"/>
  <c r="O1334" i="26"/>
  <c r="V1334" i="26" s="1"/>
  <c r="O1335" i="26"/>
  <c r="V1335" i="26" s="1"/>
  <c r="O1336" i="26"/>
  <c r="V1336" i="26" s="1"/>
  <c r="O1337" i="26"/>
  <c r="V1337" i="26" s="1"/>
  <c r="O1338" i="26"/>
  <c r="V1338" i="26" s="1"/>
  <c r="O1339" i="26"/>
  <c r="V1339" i="26" s="1"/>
  <c r="O1340" i="26"/>
  <c r="V1340" i="26" s="1"/>
  <c r="O1341" i="26"/>
  <c r="V1341" i="26" s="1"/>
  <c r="O1342" i="26"/>
  <c r="V1342" i="26" s="1"/>
  <c r="O1343" i="26"/>
  <c r="V1343" i="26" s="1"/>
  <c r="O1344" i="26"/>
  <c r="V1344" i="26" s="1"/>
  <c r="O1345" i="26"/>
  <c r="V1345" i="26" s="1"/>
  <c r="O1346" i="26"/>
  <c r="V1346" i="26" s="1"/>
  <c r="O1347" i="26"/>
  <c r="V1347" i="26" s="1"/>
  <c r="O1348" i="26"/>
  <c r="V1348" i="26" s="1"/>
  <c r="O1349" i="26"/>
  <c r="V1349" i="26" s="1"/>
  <c r="O1350" i="26"/>
  <c r="V1350" i="26" s="1"/>
  <c r="O1351" i="26"/>
  <c r="V1351" i="26" s="1"/>
  <c r="O1352" i="26"/>
  <c r="V1352" i="26" s="1"/>
  <c r="O1353" i="26"/>
  <c r="V1353" i="26" s="1"/>
  <c r="O1354" i="26"/>
  <c r="V1354" i="26" s="1"/>
  <c r="O1355" i="26"/>
  <c r="V1355" i="26" s="1"/>
  <c r="O1356" i="26"/>
  <c r="V1356" i="26" s="1"/>
  <c r="O1357" i="26"/>
  <c r="V1357" i="26" s="1"/>
  <c r="O1358" i="26"/>
  <c r="V1358" i="26" s="1"/>
  <c r="O1359" i="26"/>
  <c r="V1359" i="26" s="1"/>
  <c r="O1360" i="26"/>
  <c r="V1360" i="26" s="1"/>
  <c r="O1361" i="26"/>
  <c r="V1361" i="26" s="1"/>
  <c r="O1362" i="26"/>
  <c r="V1362" i="26" s="1"/>
  <c r="O1363" i="26"/>
  <c r="V1363" i="26" s="1"/>
  <c r="O1364" i="26"/>
  <c r="V1364" i="26" s="1"/>
  <c r="O1365" i="26"/>
  <c r="V1365" i="26" s="1"/>
  <c r="O1366" i="26"/>
  <c r="V1366" i="26" s="1"/>
  <c r="O1367" i="26"/>
  <c r="V1367" i="26" s="1"/>
  <c r="O1368" i="26"/>
  <c r="V1368" i="26" s="1"/>
  <c r="O1369" i="26"/>
  <c r="V1369" i="26" s="1"/>
  <c r="O1370" i="26"/>
  <c r="V1370" i="26" s="1"/>
  <c r="O1371" i="26"/>
  <c r="V1371" i="26" s="1"/>
  <c r="O1372" i="26"/>
  <c r="V1372" i="26" s="1"/>
  <c r="O1373" i="26"/>
  <c r="V1373" i="26" s="1"/>
  <c r="O1374" i="26"/>
  <c r="V1374" i="26" s="1"/>
  <c r="O1375" i="26"/>
  <c r="V1375" i="26" s="1"/>
  <c r="O1376" i="26"/>
  <c r="V1376" i="26" s="1"/>
  <c r="O1377" i="26"/>
  <c r="V1377" i="26" s="1"/>
  <c r="O1378" i="26"/>
  <c r="V1378" i="26" s="1"/>
  <c r="O1379" i="26"/>
  <c r="V1379" i="26" s="1"/>
  <c r="O1380" i="26"/>
  <c r="V1380" i="26" s="1"/>
  <c r="O1381" i="26"/>
  <c r="V1381" i="26" s="1"/>
  <c r="O1382" i="26"/>
  <c r="V1382" i="26" s="1"/>
  <c r="O1383" i="26"/>
  <c r="V1383" i="26" s="1"/>
  <c r="O1384" i="26"/>
  <c r="V1384" i="26" s="1"/>
  <c r="O1385" i="26"/>
  <c r="V1385" i="26" s="1"/>
  <c r="O1386" i="26"/>
  <c r="V1386" i="26" s="1"/>
  <c r="O1387" i="26"/>
  <c r="V1387" i="26" s="1"/>
  <c r="O1388" i="26"/>
  <c r="V1388" i="26" s="1"/>
  <c r="O1389" i="26"/>
  <c r="V1389" i="26" s="1"/>
  <c r="O1390" i="26"/>
  <c r="V1390" i="26" s="1"/>
  <c r="O1391" i="26"/>
  <c r="V1391" i="26" s="1"/>
  <c r="O1392" i="26"/>
  <c r="V1392" i="26" s="1"/>
  <c r="O1393" i="26"/>
  <c r="V1393" i="26" s="1"/>
  <c r="O1394" i="26"/>
  <c r="V1394" i="26" s="1"/>
  <c r="O1395" i="26"/>
  <c r="V1395" i="26" s="1"/>
  <c r="O1396" i="26"/>
  <c r="V1396" i="26" s="1"/>
  <c r="O1397" i="26"/>
  <c r="V1397" i="26" s="1"/>
  <c r="O1398" i="26"/>
  <c r="V1398" i="26" s="1"/>
  <c r="O1399" i="26"/>
  <c r="V1399" i="26" s="1"/>
  <c r="O1400" i="26"/>
  <c r="V1400" i="26" s="1"/>
  <c r="O1401" i="26"/>
  <c r="V1401" i="26" s="1"/>
  <c r="O1402" i="26"/>
  <c r="V1402" i="26" s="1"/>
  <c r="O1403" i="26"/>
  <c r="V1403" i="26" s="1"/>
  <c r="O1404" i="26"/>
  <c r="V1404" i="26" s="1"/>
  <c r="O1405" i="26"/>
  <c r="V1405" i="26" s="1"/>
  <c r="O1406" i="26"/>
  <c r="V1406" i="26" s="1"/>
  <c r="O1407" i="26"/>
  <c r="V1407" i="26" s="1"/>
  <c r="O1408" i="26"/>
  <c r="V1408" i="26" s="1"/>
  <c r="O1409" i="26"/>
  <c r="V1409" i="26" s="1"/>
  <c r="O1410" i="26"/>
  <c r="V1410" i="26" s="1"/>
  <c r="O1411" i="26"/>
  <c r="V1411" i="26" s="1"/>
  <c r="O1412" i="26"/>
  <c r="V1412" i="26" s="1"/>
  <c r="O1413" i="26"/>
  <c r="V1413" i="26" s="1"/>
  <c r="O1414" i="26"/>
  <c r="V1414" i="26" s="1"/>
  <c r="O1415" i="26"/>
  <c r="V1415" i="26" s="1"/>
  <c r="O1416" i="26"/>
  <c r="V1416" i="26" s="1"/>
  <c r="O1417" i="26"/>
  <c r="V1417" i="26" s="1"/>
  <c r="O1418" i="26"/>
  <c r="V1418" i="26" s="1"/>
  <c r="O1419" i="26"/>
  <c r="V1419" i="26" s="1"/>
  <c r="O41" i="26"/>
  <c r="O42" i="26"/>
  <c r="O43" i="26"/>
  <c r="O44" i="26"/>
  <c r="O45" i="26"/>
  <c r="O46" i="26"/>
  <c r="O40" i="26"/>
  <c r="Q40" i="26"/>
  <c r="Q41" i="26"/>
  <c r="Q42" i="26"/>
  <c r="Q43" i="26"/>
  <c r="Q44" i="26"/>
  <c r="Q45" i="26"/>
  <c r="Q46" i="26"/>
  <c r="Q47" i="26"/>
  <c r="Q48" i="26"/>
  <c r="Q49" i="26"/>
  <c r="Q50" i="26"/>
  <c r="Q2112" i="26"/>
  <c r="V2112" i="26" s="1"/>
  <c r="Q2113" i="26"/>
  <c r="V2113" i="26" s="1"/>
  <c r="Q2114" i="26"/>
  <c r="V2114" i="26" s="1"/>
  <c r="Q2115" i="26"/>
  <c r="V2115" i="26" s="1"/>
  <c r="Q2116" i="26"/>
  <c r="V2116" i="26" s="1"/>
  <c r="Q2117" i="26"/>
  <c r="V2117" i="26" s="1"/>
  <c r="Q2118" i="26"/>
  <c r="V2118" i="26" s="1"/>
  <c r="Q2119" i="26"/>
  <c r="V2119" i="26" s="1"/>
  <c r="Q2120" i="26"/>
  <c r="V2120" i="26" s="1"/>
  <c r="Q2121" i="26"/>
  <c r="V2121" i="26" s="1"/>
  <c r="Q2122" i="26"/>
  <c r="V2122" i="26" s="1"/>
  <c r="Q2123" i="26"/>
  <c r="V2123" i="26" s="1"/>
  <c r="Q2124" i="26"/>
  <c r="V2124" i="26" s="1"/>
  <c r="Q2125" i="26"/>
  <c r="V2125" i="26" s="1"/>
  <c r="Q2126" i="26"/>
  <c r="V2126" i="26" s="1"/>
  <c r="Q2127" i="26"/>
  <c r="V2127" i="26" s="1"/>
  <c r="Q2128" i="26"/>
  <c r="V2128" i="26" s="1"/>
  <c r="Q2129" i="26"/>
  <c r="V2129" i="26" s="1"/>
  <c r="Q2130" i="26"/>
  <c r="V2130" i="26" s="1"/>
  <c r="Q2131" i="26"/>
  <c r="V2131" i="26" s="1"/>
  <c r="Q2132" i="26"/>
  <c r="V2132" i="26" s="1"/>
  <c r="Q2133" i="26"/>
  <c r="V2133" i="26" s="1"/>
  <c r="Q2134" i="26"/>
  <c r="V2134" i="26" s="1"/>
  <c r="Q2135" i="26"/>
  <c r="V2135" i="26" s="1"/>
  <c r="Q2136" i="26"/>
  <c r="V2136" i="26" s="1"/>
  <c r="Q2137" i="26"/>
  <c r="V2137" i="26" s="1"/>
  <c r="Q2138" i="26"/>
  <c r="V2138" i="26" s="1"/>
  <c r="Q2139" i="26"/>
  <c r="V2139" i="26" s="1"/>
  <c r="Q2140" i="26"/>
  <c r="V2140" i="26" s="1"/>
  <c r="Q2141" i="26"/>
  <c r="V2141" i="26" s="1"/>
  <c r="Q2142" i="26"/>
  <c r="V2142" i="26" s="1"/>
  <c r="Q2143" i="26"/>
  <c r="V2143" i="26" s="1"/>
  <c r="Q2144" i="26"/>
  <c r="V2144" i="26" s="1"/>
  <c r="Q2145" i="26"/>
  <c r="V2145" i="26" s="1"/>
  <c r="Q2146" i="26"/>
  <c r="V2146" i="26" s="1"/>
  <c r="Q2147" i="26"/>
  <c r="V2147" i="26" s="1"/>
  <c r="Q2148" i="26"/>
  <c r="V2148" i="26" s="1"/>
  <c r="Q2107" i="26"/>
  <c r="V2107" i="26" s="1"/>
  <c r="Q2108" i="26"/>
  <c r="V2108" i="26" s="1"/>
  <c r="Q2109" i="26"/>
  <c r="V2109" i="26" s="1"/>
  <c r="Q2110" i="26"/>
  <c r="V2110" i="26" s="1"/>
  <c r="Q2111" i="26"/>
  <c r="V2111" i="26" s="1"/>
  <c r="Q2106" i="26"/>
  <c r="V2106" i="26" s="1"/>
  <c r="Q2101" i="26"/>
  <c r="V2101" i="26" s="1"/>
  <c r="Q2102" i="26"/>
  <c r="V2102" i="26" s="1"/>
  <c r="Q2103" i="26"/>
  <c r="V2103" i="26" s="1"/>
  <c r="Q2104" i="26"/>
  <c r="V2104" i="26" s="1"/>
  <c r="Q2105" i="26"/>
  <c r="V2105" i="26" s="1"/>
  <c r="Q1842" i="26"/>
  <c r="V1842" i="26" s="1"/>
  <c r="Q1843" i="26"/>
  <c r="V1843" i="26" s="1"/>
  <c r="Q1844" i="26"/>
  <c r="V1844" i="26" s="1"/>
  <c r="Q1845" i="26"/>
  <c r="V1845" i="26" s="1"/>
  <c r="Q1846" i="26"/>
  <c r="V1846" i="26" s="1"/>
  <c r="Q1847" i="26"/>
  <c r="V1847" i="26" s="1"/>
  <c r="Q1848" i="26"/>
  <c r="V1848" i="26" s="1"/>
  <c r="Q1849" i="26"/>
  <c r="V1849" i="26" s="1"/>
  <c r="Q1850" i="26"/>
  <c r="V1850" i="26" s="1"/>
  <c r="Q1851" i="26"/>
  <c r="V1851" i="26" s="1"/>
  <c r="Q1852" i="26"/>
  <c r="V1852" i="26" s="1"/>
  <c r="Q1853" i="26"/>
  <c r="V1853" i="26" s="1"/>
  <c r="Q1854" i="26"/>
  <c r="V1854" i="26" s="1"/>
  <c r="Q1855" i="26"/>
  <c r="V1855" i="26" s="1"/>
  <c r="Q1856" i="26"/>
  <c r="V1856" i="26" s="1"/>
  <c r="Q1857" i="26"/>
  <c r="V1857" i="26" s="1"/>
  <c r="Q1858" i="26"/>
  <c r="V1858" i="26" s="1"/>
  <c r="Q1859" i="26"/>
  <c r="V1859" i="26" s="1"/>
  <c r="Q1860" i="26"/>
  <c r="V1860" i="26" s="1"/>
  <c r="Q1861" i="26"/>
  <c r="V1861" i="26" s="1"/>
  <c r="Q1862" i="26"/>
  <c r="V1862" i="26" s="1"/>
  <c r="Q1863" i="26"/>
  <c r="V1863" i="26" s="1"/>
  <c r="Q1864" i="26"/>
  <c r="V1864" i="26" s="1"/>
  <c r="Q1865" i="26"/>
  <c r="V1865" i="26" s="1"/>
  <c r="Q1866" i="26"/>
  <c r="V1866" i="26" s="1"/>
  <c r="Q1867" i="26"/>
  <c r="V1867" i="26" s="1"/>
  <c r="Q1868" i="26"/>
  <c r="V1868" i="26" s="1"/>
  <c r="Q1869" i="26"/>
  <c r="V1869" i="26" s="1"/>
  <c r="Q1870" i="26"/>
  <c r="V1870" i="26" s="1"/>
  <c r="Q1871" i="26"/>
  <c r="V1871" i="26" s="1"/>
  <c r="Q1872" i="26"/>
  <c r="V1872" i="26" s="1"/>
  <c r="Q1873" i="26"/>
  <c r="V1873" i="26" s="1"/>
  <c r="Q1874" i="26"/>
  <c r="V1874" i="26" s="1"/>
  <c r="Q1875" i="26"/>
  <c r="V1875" i="26" s="1"/>
  <c r="Q1876" i="26"/>
  <c r="V1876" i="26" s="1"/>
  <c r="Q1877" i="26"/>
  <c r="V1877" i="26" s="1"/>
  <c r="Q1878" i="26"/>
  <c r="V1878" i="26" s="1"/>
  <c r="Q1879" i="26"/>
  <c r="V1879" i="26" s="1"/>
  <c r="Q1880" i="26"/>
  <c r="V1880" i="26" s="1"/>
  <c r="Q1881" i="26"/>
  <c r="V1881" i="26" s="1"/>
  <c r="Q1882" i="26"/>
  <c r="V1882" i="26" s="1"/>
  <c r="Q1883" i="26"/>
  <c r="V1883" i="26" s="1"/>
  <c r="Q1884" i="26"/>
  <c r="V1884" i="26" s="1"/>
  <c r="Q1885" i="26"/>
  <c r="V1885" i="26" s="1"/>
  <c r="Q1886" i="26"/>
  <c r="V1886" i="26" s="1"/>
  <c r="Q1887" i="26"/>
  <c r="V1887" i="26" s="1"/>
  <c r="Q1888" i="26"/>
  <c r="V1888" i="26" s="1"/>
  <c r="Q1889" i="26"/>
  <c r="V1889" i="26" s="1"/>
  <c r="Q1890" i="26"/>
  <c r="V1890" i="26" s="1"/>
  <c r="Q1891" i="26"/>
  <c r="V1891" i="26" s="1"/>
  <c r="Q1892" i="26"/>
  <c r="V1892" i="26" s="1"/>
  <c r="Q1893" i="26"/>
  <c r="V1893" i="26" s="1"/>
  <c r="Q1894" i="26"/>
  <c r="V1894" i="26" s="1"/>
  <c r="Q1895" i="26"/>
  <c r="V1895" i="26" s="1"/>
  <c r="Q1896" i="26"/>
  <c r="V1896" i="26" s="1"/>
  <c r="Q1897" i="26"/>
  <c r="V1897" i="26" s="1"/>
  <c r="Q1898" i="26"/>
  <c r="V1898" i="26" s="1"/>
  <c r="Q1899" i="26"/>
  <c r="V1899" i="26" s="1"/>
  <c r="Q1900" i="26"/>
  <c r="V1900" i="26" s="1"/>
  <c r="Q1901" i="26"/>
  <c r="V1901" i="26" s="1"/>
  <c r="Q1902" i="26"/>
  <c r="V1902" i="26" s="1"/>
  <c r="Q1903" i="26"/>
  <c r="V1903" i="26" s="1"/>
  <c r="Q1823" i="26"/>
  <c r="V1823" i="26" s="1"/>
  <c r="Q1824" i="26"/>
  <c r="V1824" i="26" s="1"/>
  <c r="Q1825" i="26"/>
  <c r="V1825" i="26" s="1"/>
  <c r="Q1826" i="26"/>
  <c r="V1826" i="26" s="1"/>
  <c r="Q1827" i="26"/>
  <c r="V1827" i="26" s="1"/>
  <c r="Q1828" i="26"/>
  <c r="V1828" i="26" s="1"/>
  <c r="Q1829" i="26"/>
  <c r="V1829" i="26" s="1"/>
  <c r="Q1830" i="26"/>
  <c r="V1830" i="26" s="1"/>
  <c r="Q1831" i="26"/>
  <c r="V1831" i="26" s="1"/>
  <c r="Q1832" i="26"/>
  <c r="V1832" i="26" s="1"/>
  <c r="Q1833" i="26"/>
  <c r="V1833" i="26" s="1"/>
  <c r="Q1834" i="26"/>
  <c r="V1834" i="26" s="1"/>
  <c r="Q1835" i="26"/>
  <c r="V1835" i="26" s="1"/>
  <c r="Q1836" i="26"/>
  <c r="V1836" i="26" s="1"/>
  <c r="Q1837" i="26"/>
  <c r="V1837" i="26" s="1"/>
  <c r="Q1838" i="26"/>
  <c r="V1838" i="26" s="1"/>
  <c r="Q1839" i="26"/>
  <c r="V1839" i="26" s="1"/>
  <c r="Q1840" i="26"/>
  <c r="V1840" i="26" s="1"/>
  <c r="Q1841" i="26"/>
  <c r="V1841" i="26" s="1"/>
  <c r="Q2020" i="26"/>
  <c r="Q2021" i="26"/>
  <c r="Q2022" i="26"/>
  <c r="Q2023" i="26"/>
  <c r="Q2024" i="26"/>
  <c r="Q2025" i="26"/>
  <c r="Q2026" i="26"/>
  <c r="Q2027" i="26"/>
  <c r="Q2028" i="26"/>
  <c r="Q2029" i="26"/>
  <c r="Q2030" i="26"/>
  <c r="Q2031" i="26"/>
  <c r="Q2032" i="26"/>
  <c r="Q2033" i="26"/>
  <c r="Q2034" i="26"/>
  <c r="Q2035" i="26"/>
  <c r="Q2036" i="26"/>
  <c r="Q2037" i="26"/>
  <c r="Q2038" i="26"/>
  <c r="Q2039" i="26"/>
  <c r="Q2040" i="26"/>
  <c r="Q2041" i="26"/>
  <c r="Q2042" i="26"/>
  <c r="Q2043" i="26"/>
  <c r="Q2044" i="26"/>
  <c r="Q2045" i="26"/>
  <c r="Q2046" i="26"/>
  <c r="Q2047" i="26"/>
  <c r="Q2048" i="26"/>
  <c r="Q2049" i="26"/>
  <c r="Q2050" i="26"/>
  <c r="Q2051" i="26"/>
  <c r="Q2052" i="26"/>
  <c r="Q2053" i="26"/>
  <c r="Q2054" i="26"/>
  <c r="Q2055" i="26"/>
  <c r="Q2056" i="26"/>
  <c r="Q2057" i="26"/>
  <c r="Q2058" i="26"/>
  <c r="Q2059" i="26"/>
  <c r="Q2060" i="26"/>
  <c r="Q2061" i="26"/>
  <c r="Q2062" i="26"/>
  <c r="Q2063" i="26"/>
  <c r="Q2064" i="26"/>
  <c r="Q2065" i="26"/>
  <c r="Q2066" i="26"/>
  <c r="Q2067" i="26"/>
  <c r="Q2068" i="26"/>
  <c r="Q2069" i="26"/>
  <c r="Q2070" i="26"/>
  <c r="Q2071" i="26"/>
  <c r="Q2072" i="26"/>
  <c r="Q2073" i="26"/>
  <c r="Q2074" i="26"/>
  <c r="Q2075" i="26"/>
  <c r="Q2076" i="26"/>
  <c r="Q2077" i="26"/>
  <c r="Q2078" i="26"/>
  <c r="Q2079" i="26"/>
  <c r="Q2080" i="26"/>
  <c r="Q2081" i="26"/>
  <c r="Q2082" i="26"/>
  <c r="Q2083" i="26"/>
  <c r="Q2084" i="26"/>
  <c r="Q2085" i="26"/>
  <c r="Q2086" i="26"/>
  <c r="Q2087" i="26"/>
  <c r="Q2088" i="26"/>
  <c r="Q2089" i="26"/>
  <c r="Q2090" i="26"/>
  <c r="Q2091" i="26"/>
  <c r="Q2092" i="26"/>
  <c r="Q2093" i="26"/>
  <c r="Q2094" i="26"/>
  <c r="Q2095" i="26"/>
  <c r="Q2096" i="26"/>
  <c r="Q2097" i="26"/>
  <c r="Q2098" i="26"/>
  <c r="V2098" i="26" s="1"/>
  <c r="Q2099" i="26"/>
  <c r="V2099" i="26" s="1"/>
  <c r="Q2100" i="26"/>
  <c r="V2100" i="26" s="1"/>
  <c r="J28" i="28" l="1"/>
  <c r="J20" i="28" s="1"/>
  <c r="V43" i="26"/>
  <c r="V44" i="26"/>
  <c r="V42" i="26"/>
  <c r="V41" i="26"/>
  <c r="V40" i="26"/>
  <c r="O1560" i="26"/>
  <c r="V1560" i="26" s="1"/>
  <c r="O1559" i="26"/>
  <c r="V1559" i="26" s="1"/>
  <c r="J30" i="28" l="1"/>
  <c r="J31" i="28" s="1"/>
  <c r="J3" i="26"/>
  <c r="M32" i="28" l="1"/>
  <c r="B15" i="28" s="1"/>
  <c r="Q2266" i="26"/>
  <c r="V2266" i="26" s="1"/>
  <c r="V907" i="26" l="1"/>
  <c r="Q906" i="26"/>
  <c r="V906" i="26" s="1"/>
  <c r="Q807" i="26"/>
  <c r="Q808" i="26"/>
  <c r="Q809" i="26"/>
  <c r="Q810" i="26"/>
  <c r="O807" i="26"/>
  <c r="O808" i="26"/>
  <c r="O809" i="26"/>
  <c r="O810" i="26"/>
  <c r="Q897" i="26"/>
  <c r="Q898" i="26"/>
  <c r="Q899" i="26"/>
  <c r="Q900" i="26"/>
  <c r="Q901" i="26"/>
  <c r="Q902" i="26"/>
  <c r="Q903" i="26"/>
  <c r="Q904" i="26"/>
  <c r="Q905" i="26"/>
  <c r="Q908" i="26"/>
  <c r="Q909" i="26"/>
  <c r="Q910" i="26"/>
  <c r="Q911" i="26"/>
  <c r="Q912" i="26"/>
  <c r="Q913" i="26"/>
  <c r="Q914" i="26"/>
  <c r="Q915" i="26"/>
  <c r="Q916" i="26"/>
  <c r="Q917" i="26"/>
  <c r="Q918" i="26"/>
  <c r="Q919" i="26"/>
  <c r="Q920" i="26"/>
  <c r="Q921" i="26"/>
  <c r="O897" i="26"/>
  <c r="O898" i="26"/>
  <c r="O899" i="26"/>
  <c r="O900" i="26"/>
  <c r="O901" i="26"/>
  <c r="O902" i="26"/>
  <c r="O903" i="26"/>
  <c r="O904" i="26"/>
  <c r="O905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Q892" i="26"/>
  <c r="Q893" i="26"/>
  <c r="Q894" i="26"/>
  <c r="Q895" i="26"/>
  <c r="Q896" i="26"/>
  <c r="O892" i="26"/>
  <c r="O893" i="26"/>
  <c r="O894" i="26"/>
  <c r="O895" i="26"/>
  <c r="O896" i="26"/>
  <c r="Q880" i="26"/>
  <c r="Q881" i="26"/>
  <c r="Q882" i="26"/>
  <c r="Q883" i="26"/>
  <c r="Q884" i="26"/>
  <c r="Q885" i="26"/>
  <c r="Q886" i="26"/>
  <c r="Q887" i="26"/>
  <c r="Q888" i="26"/>
  <c r="Q889" i="26"/>
  <c r="Q890" i="26"/>
  <c r="Q891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S730" i="26"/>
  <c r="S729" i="26"/>
  <c r="S728" i="26"/>
  <c r="S727" i="26"/>
  <c r="O733" i="26"/>
  <c r="Q241" i="26"/>
  <c r="Q242" i="26"/>
  <c r="Q243" i="26"/>
  <c r="Q244" i="26"/>
  <c r="Q245" i="26"/>
  <c r="Q246" i="26"/>
  <c r="Q247" i="26"/>
  <c r="Q248" i="26"/>
  <c r="Q249" i="26"/>
  <c r="O240" i="26"/>
  <c r="O241" i="26"/>
  <c r="O242" i="26"/>
  <c r="O243" i="26"/>
  <c r="O244" i="26"/>
  <c r="O245" i="26"/>
  <c r="O246" i="26"/>
  <c r="O247" i="26"/>
  <c r="O248" i="26"/>
  <c r="Q412" i="26"/>
  <c r="Q413" i="26"/>
  <c r="Q414" i="26"/>
  <c r="Q415" i="26"/>
  <c r="Q416" i="26"/>
  <c r="Q417" i="26"/>
  <c r="Q418" i="26"/>
  <c r="Q419" i="26"/>
  <c r="Q420" i="26"/>
  <c r="Q421" i="26"/>
  <c r="O412" i="26"/>
  <c r="O413" i="26"/>
  <c r="O414" i="26"/>
  <c r="O415" i="26"/>
  <c r="O416" i="26"/>
  <c r="O417" i="26"/>
  <c r="O418" i="26"/>
  <c r="O419" i="26"/>
  <c r="O420" i="26"/>
  <c r="O421" i="26"/>
  <c r="Q54" i="26"/>
  <c r="Q55" i="26"/>
  <c r="Q56" i="26"/>
  <c r="Q57" i="26"/>
  <c r="Q58" i="26"/>
  <c r="Q59" i="26"/>
  <c r="Q60" i="26"/>
  <c r="Q61" i="26"/>
  <c r="Q62" i="26"/>
  <c r="V45" i="26"/>
  <c r="V46" i="26"/>
  <c r="O47" i="26"/>
  <c r="V47" i="26" s="1"/>
  <c r="O48" i="26"/>
  <c r="V48" i="26" s="1"/>
  <c r="O49" i="26"/>
  <c r="V49" i="26" s="1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Q51" i="26"/>
  <c r="Q52" i="26"/>
  <c r="Q53" i="26"/>
  <c r="Q154" i="26"/>
  <c r="Q155" i="26"/>
  <c r="Q156" i="26"/>
  <c r="Q157" i="26"/>
  <c r="Q158" i="26"/>
  <c r="Q159" i="26"/>
  <c r="Q160" i="26"/>
  <c r="Q161" i="26"/>
  <c r="Q162" i="26"/>
  <c r="Q163" i="26"/>
  <c r="Q164" i="26"/>
  <c r="O154" i="26"/>
  <c r="O155" i="26"/>
  <c r="O156" i="26"/>
  <c r="O157" i="26"/>
  <c r="O158" i="26"/>
  <c r="O159" i="26"/>
  <c r="O160" i="26"/>
  <c r="O161" i="26"/>
  <c r="O162" i="26"/>
  <c r="O163" i="26"/>
  <c r="V888" i="26" l="1"/>
  <c r="V880" i="26"/>
  <c r="V885" i="26"/>
  <c r="V882" i="26"/>
  <c r="V914" i="26"/>
  <c r="V911" i="26"/>
  <c r="V908" i="26"/>
  <c r="V905" i="26"/>
  <c r="V920" i="26"/>
  <c r="V919" i="26"/>
  <c r="V902" i="26"/>
  <c r="V912" i="26"/>
  <c r="V889" i="26"/>
  <c r="V916" i="26"/>
  <c r="V901" i="26"/>
  <c r="V915" i="26"/>
  <c r="V921" i="26"/>
  <c r="V909" i="26"/>
  <c r="V808" i="26"/>
  <c r="V807" i="26"/>
  <c r="V910" i="26"/>
  <c r="V904" i="26"/>
  <c r="V917" i="26"/>
  <c r="V903" i="26"/>
  <c r="V918" i="26"/>
  <c r="V900" i="26"/>
  <c r="V913" i="26"/>
  <c r="V883" i="26"/>
  <c r="V891" i="26"/>
  <c r="V810" i="26"/>
  <c r="V809" i="26"/>
  <c r="V897" i="26"/>
  <c r="V893" i="26"/>
  <c r="V884" i="26"/>
  <c r="V890" i="26"/>
  <c r="V887" i="26"/>
  <c r="V881" i="26"/>
  <c r="V894" i="26"/>
  <c r="V892" i="26"/>
  <c r="V899" i="26"/>
  <c r="V895" i="26"/>
  <c r="V886" i="26"/>
  <c r="V898" i="26"/>
  <c r="V896" i="26"/>
  <c r="V244" i="26"/>
  <c r="V245" i="26"/>
  <c r="V242" i="26"/>
  <c r="V243" i="26"/>
  <c r="V248" i="26"/>
  <c r="V247" i="26"/>
  <c r="V246" i="26"/>
  <c r="V419" i="26"/>
  <c r="V241" i="26"/>
  <c r="V420" i="26"/>
  <c r="V417" i="26"/>
  <c r="V416" i="26"/>
  <c r="V412" i="26"/>
  <c r="V414" i="26"/>
  <c r="V421" i="26"/>
  <c r="V418" i="26"/>
  <c r="V415" i="26"/>
  <c r="V413" i="26"/>
  <c r="V59" i="26"/>
  <c r="V58" i="26"/>
  <c r="V57" i="26"/>
  <c r="V55" i="26"/>
  <c r="V56" i="26"/>
  <c r="V62" i="26"/>
  <c r="V61" i="26"/>
  <c r="V60" i="26"/>
  <c r="V50" i="26"/>
  <c r="V52" i="26"/>
  <c r="V54" i="26"/>
  <c r="V53" i="26"/>
  <c r="V51" i="26"/>
  <c r="V162" i="26"/>
  <c r="V157" i="26"/>
  <c r="V161" i="26"/>
  <c r="V155" i="26"/>
  <c r="V154" i="26"/>
  <c r="V158" i="26"/>
  <c r="V159" i="26"/>
  <c r="V156" i="26"/>
  <c r="V163" i="26"/>
  <c r="V160" i="26"/>
  <c r="Q1793" i="26" l="1"/>
  <c r="V1793" i="26" s="1"/>
  <c r="O1249" i="26"/>
  <c r="V1249" i="26" s="1"/>
  <c r="O1250" i="26"/>
  <c r="V1250" i="26" s="1"/>
  <c r="O1251" i="26"/>
  <c r="V1251" i="26" s="1"/>
  <c r="O1252" i="26"/>
  <c r="V1252" i="26" s="1"/>
  <c r="O1253" i="26"/>
  <c r="V1253" i="26" s="1"/>
  <c r="O1254" i="26"/>
  <c r="V1254" i="26" s="1"/>
  <c r="O1255" i="26"/>
  <c r="V1255" i="26" s="1"/>
  <c r="O1256" i="26"/>
  <c r="V1256" i="26" s="1"/>
  <c r="O1257" i="26"/>
  <c r="V1257" i="26" s="1"/>
  <c r="O1258" i="26"/>
  <c r="V1258" i="26" s="1"/>
  <c r="O1259" i="26"/>
  <c r="V1259" i="26" s="1"/>
  <c r="O1260" i="26"/>
  <c r="V1260" i="26" s="1"/>
  <c r="O1261" i="26"/>
  <c r="V1261" i="26" s="1"/>
  <c r="O1262" i="26"/>
  <c r="V1262" i="26" s="1"/>
  <c r="O1263" i="26"/>
  <c r="V1263" i="26" s="1"/>
  <c r="O1264" i="26"/>
  <c r="V1264" i="26" s="1"/>
  <c r="O1265" i="26"/>
  <c r="V1265" i="26" s="1"/>
  <c r="O1266" i="26"/>
  <c r="V1266" i="26" s="1"/>
  <c r="O1267" i="26"/>
  <c r="V1267" i="26" s="1"/>
  <c r="O1268" i="26"/>
  <c r="V1268" i="26" s="1"/>
  <c r="O1269" i="26"/>
  <c r="V1269" i="26" s="1"/>
  <c r="O1270" i="26"/>
  <c r="V1270" i="26" s="1"/>
  <c r="O1271" i="26"/>
  <c r="V1271" i="26" s="1"/>
  <c r="O1272" i="26"/>
  <c r="V1272" i="26" s="1"/>
  <c r="O1273" i="26"/>
  <c r="V1273" i="26" s="1"/>
  <c r="O1274" i="26"/>
  <c r="V1274" i="26" s="1"/>
  <c r="O1275" i="26"/>
  <c r="V1275" i="26" s="1"/>
  <c r="O1276" i="26"/>
  <c r="V1276" i="26" s="1"/>
  <c r="O1277" i="26"/>
  <c r="V1277" i="26" s="1"/>
  <c r="O1278" i="26"/>
  <c r="V1278" i="26" s="1"/>
  <c r="O1279" i="26"/>
  <c r="V1279" i="26" s="1"/>
  <c r="O1280" i="26"/>
  <c r="V1280" i="26" s="1"/>
  <c r="O1281" i="26"/>
  <c r="V1281" i="26" s="1"/>
  <c r="O1282" i="26"/>
  <c r="V1282" i="26" s="1"/>
  <c r="O1283" i="26"/>
  <c r="V1283" i="26" s="1"/>
  <c r="O1284" i="26"/>
  <c r="V1284" i="26" s="1"/>
  <c r="O1285" i="26"/>
  <c r="V1285" i="26" s="1"/>
  <c r="O1286" i="26"/>
  <c r="V1286" i="26" s="1"/>
  <c r="O1287" i="26"/>
  <c r="V1287" i="26" s="1"/>
  <c r="O1288" i="26"/>
  <c r="V1288" i="26" s="1"/>
  <c r="O1289" i="26"/>
  <c r="V1289" i="26" s="1"/>
  <c r="O1290" i="26"/>
  <c r="V1290" i="26" s="1"/>
  <c r="O1291" i="26"/>
  <c r="V1291" i="26" s="1"/>
  <c r="O1292" i="26"/>
  <c r="V1292" i="26" s="1"/>
  <c r="O1293" i="26"/>
  <c r="V1293" i="26" s="1"/>
  <c r="O1294" i="26"/>
  <c r="V1294" i="26" s="1"/>
  <c r="O1295" i="26"/>
  <c r="V1295" i="26" s="1"/>
  <c r="O1296" i="26"/>
  <c r="V1296" i="26" s="1"/>
  <c r="O1297" i="26"/>
  <c r="V1297" i="26" s="1"/>
  <c r="O1298" i="26"/>
  <c r="V1298" i="26" s="1"/>
  <c r="O1299" i="26"/>
  <c r="V1299" i="26" s="1"/>
  <c r="O1300" i="26"/>
  <c r="V1300" i="26" s="1"/>
  <c r="O1301" i="26"/>
  <c r="V1301" i="26" s="1"/>
  <c r="O1302" i="26"/>
  <c r="V1302" i="26" s="1"/>
  <c r="O1303" i="26"/>
  <c r="V1303" i="26" s="1"/>
  <c r="O1304" i="26"/>
  <c r="V1304" i="26" s="1"/>
  <c r="O1305" i="26"/>
  <c r="V1305" i="26" s="1"/>
  <c r="O1306" i="26"/>
  <c r="V1306" i="26" s="1"/>
  <c r="O1307" i="26"/>
  <c r="V1307" i="26" s="1"/>
  <c r="O1308" i="26"/>
  <c r="V1308" i="26" s="1"/>
  <c r="O1309" i="26"/>
  <c r="V1309" i="26" s="1"/>
  <c r="O1310" i="26"/>
  <c r="V1310" i="26" s="1"/>
  <c r="O1311" i="26"/>
  <c r="V1311" i="26" s="1"/>
  <c r="O1312" i="26"/>
  <c r="V1312" i="26" s="1"/>
  <c r="O1313" i="26"/>
  <c r="V1313" i="26" s="1"/>
  <c r="O1314" i="26"/>
  <c r="V1314" i="26" s="1"/>
  <c r="O1315" i="26"/>
  <c r="V1315" i="26" s="1"/>
  <c r="O1316" i="26"/>
  <c r="V1316" i="26" s="1"/>
  <c r="O1317" i="26"/>
  <c r="V1317" i="26" s="1"/>
  <c r="O1318" i="26"/>
  <c r="V1318" i="26" s="1"/>
  <c r="O1319" i="26"/>
  <c r="V1319" i="26" s="1"/>
  <c r="O1320" i="26"/>
  <c r="V1320" i="26" s="1"/>
  <c r="O1321" i="26"/>
  <c r="V1321" i="26" s="1"/>
  <c r="O1322" i="26"/>
  <c r="V1322" i="26" s="1"/>
  <c r="O1323" i="26"/>
  <c r="V1323" i="26" s="1"/>
  <c r="O1324" i="26"/>
  <c r="V1324" i="26" s="1"/>
  <c r="O1325" i="26"/>
  <c r="V1325" i="26" s="1"/>
  <c r="O1326" i="26"/>
  <c r="V1326" i="26" s="1"/>
  <c r="O1327" i="26"/>
  <c r="V1327" i="26" s="1"/>
  <c r="O1328" i="26"/>
  <c r="V1328" i="26" s="1"/>
  <c r="O1329" i="26"/>
  <c r="V1329" i="26" s="1"/>
  <c r="O1420" i="26"/>
  <c r="V1420" i="26" s="1"/>
  <c r="O1421" i="26"/>
  <c r="V1421" i="26" s="1"/>
  <c r="O1422" i="26"/>
  <c r="V1422" i="26" s="1"/>
  <c r="O1423" i="26"/>
  <c r="V1423" i="26" s="1"/>
  <c r="O1424" i="26"/>
  <c r="V1424" i="26" s="1"/>
  <c r="O1425" i="26"/>
  <c r="V1425" i="26" s="1"/>
  <c r="O1426" i="26"/>
  <c r="V1426" i="26" s="1"/>
  <c r="O1427" i="26"/>
  <c r="V1427" i="26" s="1"/>
  <c r="O1428" i="26"/>
  <c r="V1428" i="26" s="1"/>
  <c r="O1429" i="26"/>
  <c r="V1429" i="26" s="1"/>
  <c r="O1430" i="26"/>
  <c r="V1430" i="26" s="1"/>
  <c r="O1431" i="26"/>
  <c r="V1431" i="26" s="1"/>
  <c r="O1432" i="26"/>
  <c r="V1432" i="26" s="1"/>
  <c r="O1433" i="26"/>
  <c r="V1433" i="26" s="1"/>
  <c r="O1434" i="26"/>
  <c r="V1434" i="26" s="1"/>
  <c r="O1435" i="26"/>
  <c r="V1435" i="26" s="1"/>
  <c r="O1436" i="26"/>
  <c r="V1436" i="26" s="1"/>
  <c r="O1437" i="26"/>
  <c r="V1437" i="26" s="1"/>
  <c r="O1438" i="26"/>
  <c r="V1438" i="26" s="1"/>
  <c r="O1439" i="26"/>
  <c r="V1439" i="26" s="1"/>
  <c r="O1440" i="26"/>
  <c r="V1440" i="26" s="1"/>
  <c r="O1441" i="26"/>
  <c r="V1441" i="26" s="1"/>
  <c r="O1442" i="26"/>
  <c r="V1442" i="26" s="1"/>
  <c r="O1443" i="26"/>
  <c r="V1443" i="26" s="1"/>
  <c r="O1444" i="26"/>
  <c r="V1444" i="26" s="1"/>
  <c r="O1445" i="26"/>
  <c r="V1445" i="26" s="1"/>
  <c r="O1446" i="26"/>
  <c r="V1446" i="26" s="1"/>
  <c r="O1447" i="26"/>
  <c r="V1447" i="26" s="1"/>
  <c r="O1448" i="26"/>
  <c r="V1448" i="26" s="1"/>
  <c r="O1449" i="26"/>
  <c r="V1449" i="26" s="1"/>
  <c r="O1450" i="26"/>
  <c r="V1450" i="26" s="1"/>
  <c r="O1451" i="26"/>
  <c r="V1451" i="26" s="1"/>
  <c r="O1452" i="26"/>
  <c r="V1452" i="26" s="1"/>
  <c r="O1453" i="26"/>
  <c r="V1453" i="26" s="1"/>
  <c r="O1454" i="26"/>
  <c r="V1454" i="26" s="1"/>
  <c r="O1455" i="26"/>
  <c r="V1455" i="26" s="1"/>
  <c r="O1456" i="26"/>
  <c r="V1456" i="26" s="1"/>
  <c r="O1457" i="26"/>
  <c r="V1457" i="26" s="1"/>
  <c r="O1458" i="26"/>
  <c r="V1458" i="26" s="1"/>
  <c r="O1459" i="26"/>
  <c r="V1459" i="26" s="1"/>
  <c r="O1460" i="26"/>
  <c r="V1460" i="26" s="1"/>
  <c r="O1461" i="26"/>
  <c r="V1461" i="26" s="1"/>
  <c r="O1462" i="26"/>
  <c r="V1462" i="26" s="1"/>
  <c r="O1463" i="26"/>
  <c r="V1463" i="26" s="1"/>
  <c r="O1464" i="26"/>
  <c r="V1464" i="26" s="1"/>
  <c r="O1465" i="26"/>
  <c r="V1465" i="26" s="1"/>
  <c r="O1466" i="26"/>
  <c r="V1466" i="26" s="1"/>
  <c r="O1467" i="26"/>
  <c r="V1467" i="26" s="1"/>
  <c r="O1468" i="26"/>
  <c r="V1468" i="26" s="1"/>
  <c r="O1469" i="26"/>
  <c r="V1469" i="26" s="1"/>
  <c r="O1470" i="26"/>
  <c r="V1470" i="26" s="1"/>
  <c r="O1471" i="26"/>
  <c r="V1471" i="26" s="1"/>
  <c r="O1472" i="26"/>
  <c r="V1472" i="26" s="1"/>
  <c r="O1473" i="26"/>
  <c r="V1473" i="26" s="1"/>
  <c r="O1474" i="26"/>
  <c r="V1474" i="26" s="1"/>
  <c r="O1475" i="26"/>
  <c r="V1475" i="26" s="1"/>
  <c r="O1476" i="26"/>
  <c r="V1476" i="26" s="1"/>
  <c r="O1477" i="26"/>
  <c r="V1477" i="26" s="1"/>
  <c r="O1490" i="26"/>
  <c r="V1490" i="26" s="1"/>
  <c r="O1491" i="26"/>
  <c r="V1491" i="26" s="1"/>
  <c r="O1492" i="26"/>
  <c r="V1492" i="26" s="1"/>
  <c r="O1493" i="26"/>
  <c r="V1493" i="26" s="1"/>
  <c r="O1494" i="26"/>
  <c r="V1494" i="26" s="1"/>
  <c r="O1495" i="26"/>
  <c r="V1495" i="26" s="1"/>
  <c r="O1496" i="26"/>
  <c r="V1496" i="26" s="1"/>
  <c r="O1497" i="26"/>
  <c r="V1497" i="26" s="1"/>
  <c r="O1498" i="26"/>
  <c r="V1498" i="26" s="1"/>
  <c r="O1499" i="26"/>
  <c r="V1499" i="26" s="1"/>
  <c r="O1500" i="26"/>
  <c r="V1500" i="26" s="1"/>
  <c r="O1501" i="26"/>
  <c r="V1501" i="26" s="1"/>
  <c r="O1502" i="26"/>
  <c r="V1502" i="26" s="1"/>
  <c r="O1503" i="26"/>
  <c r="V1503" i="26" s="1"/>
  <c r="O1504" i="26"/>
  <c r="V1504" i="26" s="1"/>
  <c r="O1505" i="26"/>
  <c r="V1505" i="26" s="1"/>
  <c r="O1506" i="26"/>
  <c r="V1506" i="26" s="1"/>
  <c r="O1507" i="26"/>
  <c r="V1507" i="26" s="1"/>
  <c r="O1508" i="26"/>
  <c r="V1508" i="26" s="1"/>
  <c r="O1509" i="26"/>
  <c r="V1509" i="26" s="1"/>
  <c r="O1510" i="26"/>
  <c r="V1510" i="26" s="1"/>
  <c r="O1511" i="26"/>
  <c r="V1511" i="26" s="1"/>
  <c r="O1512" i="26"/>
  <c r="V1512" i="26" s="1"/>
  <c r="O1513" i="26"/>
  <c r="V1513" i="26" s="1"/>
  <c r="O1514" i="26"/>
  <c r="V1514" i="26" s="1"/>
  <c r="O1515" i="26"/>
  <c r="V1515" i="26" s="1"/>
  <c r="O1516" i="26"/>
  <c r="V1516" i="26" s="1"/>
  <c r="O1517" i="26"/>
  <c r="V1517" i="26" s="1"/>
  <c r="O1518" i="26"/>
  <c r="V1518" i="26" s="1"/>
  <c r="O1519" i="26"/>
  <c r="V1519" i="26" s="1"/>
  <c r="O1520" i="26"/>
  <c r="V1520" i="26" s="1"/>
  <c r="O1521" i="26"/>
  <c r="V1521" i="26" s="1"/>
  <c r="O1522" i="26"/>
  <c r="V1522" i="26" s="1"/>
  <c r="O1523" i="26"/>
  <c r="V1523" i="26" s="1"/>
  <c r="O1524" i="26"/>
  <c r="V1524" i="26" s="1"/>
  <c r="O1525" i="26"/>
  <c r="V1525" i="26" s="1"/>
  <c r="O1526" i="26"/>
  <c r="V1526" i="26" s="1"/>
  <c r="O1527" i="26"/>
  <c r="V1527" i="26" s="1"/>
  <c r="O1528" i="26"/>
  <c r="V1528" i="26" s="1"/>
  <c r="O1529" i="26"/>
  <c r="V1529" i="26" s="1"/>
  <c r="O1530" i="26"/>
  <c r="V1530" i="26" s="1"/>
  <c r="O1531" i="26"/>
  <c r="V1531" i="26" s="1"/>
  <c r="O1532" i="26"/>
  <c r="V1532" i="26" s="1"/>
  <c r="O1533" i="26"/>
  <c r="V1533" i="26" s="1"/>
  <c r="O1534" i="26"/>
  <c r="V1534" i="26" s="1"/>
  <c r="O1535" i="26"/>
  <c r="V1535" i="26" s="1"/>
  <c r="O1536" i="26"/>
  <c r="V1536" i="26" s="1"/>
  <c r="O1537" i="26"/>
  <c r="V1537" i="26" s="1"/>
  <c r="O1538" i="26"/>
  <c r="V1538" i="26" s="1"/>
  <c r="O1539" i="26"/>
  <c r="V1539" i="26" s="1"/>
  <c r="O1540" i="26"/>
  <c r="V1540" i="26" s="1"/>
  <c r="O1541" i="26"/>
  <c r="V1541" i="26" s="1"/>
  <c r="O1542" i="26"/>
  <c r="V1542" i="26" s="1"/>
  <c r="O1543" i="26"/>
  <c r="V1543" i="26" s="1"/>
  <c r="O1544" i="26"/>
  <c r="V1544" i="26" s="1"/>
  <c r="O1545" i="26"/>
  <c r="V1545" i="26" s="1"/>
  <c r="O1546" i="26"/>
  <c r="V1546" i="26" s="1"/>
  <c r="O1547" i="26"/>
  <c r="V1547" i="26" s="1"/>
  <c r="O1548" i="26"/>
  <c r="V1548" i="26" s="1"/>
  <c r="O1549" i="26"/>
  <c r="V1549" i="26" s="1"/>
  <c r="O1550" i="26"/>
  <c r="V1550" i="26" s="1"/>
  <c r="O1551" i="26"/>
  <c r="V1551" i="26" s="1"/>
  <c r="O1552" i="26"/>
  <c r="V1552" i="26" s="1"/>
  <c r="O1553" i="26"/>
  <c r="V1553" i="26" s="1"/>
  <c r="O1554" i="26"/>
  <c r="V1554" i="26" s="1"/>
  <c r="O1555" i="26"/>
  <c r="V1555" i="26" s="1"/>
  <c r="O1556" i="26"/>
  <c r="V1556" i="26" s="1"/>
  <c r="O1557" i="26"/>
  <c r="V1557" i="26" s="1"/>
  <c r="O1558" i="26"/>
  <c r="V1558" i="26" s="1"/>
  <c r="O1561" i="26"/>
  <c r="V1561" i="26" s="1"/>
  <c r="O1562" i="26"/>
  <c r="V1562" i="26" s="1"/>
  <c r="O1563" i="26"/>
  <c r="V1563" i="26" s="1"/>
  <c r="O1564" i="26"/>
  <c r="V1564" i="26" s="1"/>
  <c r="O1565" i="26"/>
  <c r="V1565" i="26" s="1"/>
  <c r="O1566" i="26"/>
  <c r="V1566" i="26" s="1"/>
  <c r="O1567" i="26"/>
  <c r="V1567" i="26" s="1"/>
  <c r="O1568" i="26"/>
  <c r="V1568" i="26" s="1"/>
  <c r="O1569" i="26"/>
  <c r="V1569" i="26" s="1"/>
  <c r="O1570" i="26"/>
  <c r="V1570" i="26" s="1"/>
  <c r="O1571" i="26"/>
  <c r="V1571" i="26" s="1"/>
  <c r="O1572" i="26"/>
  <c r="V1572" i="26" s="1"/>
  <c r="O1573" i="26"/>
  <c r="V1573" i="26" s="1"/>
  <c r="O1574" i="26"/>
  <c r="V1574" i="26" s="1"/>
  <c r="O1575" i="26"/>
  <c r="V1575" i="26" s="1"/>
  <c r="O1576" i="26"/>
  <c r="V1576" i="26" s="1"/>
  <c r="O1577" i="26"/>
  <c r="V1577" i="26" s="1"/>
  <c r="O1192" i="26" l="1"/>
  <c r="V1192" i="26" s="1"/>
  <c r="O1193" i="26"/>
  <c r="V1193" i="26" s="1"/>
  <c r="O1194" i="26"/>
  <c r="V1194" i="26" s="1"/>
  <c r="O1195" i="26"/>
  <c r="V1195" i="26" s="1"/>
  <c r="O1196" i="26"/>
  <c r="V1196" i="26" s="1"/>
  <c r="O1197" i="26"/>
  <c r="V1197" i="26" s="1"/>
  <c r="O1198" i="26"/>
  <c r="V1198" i="26" s="1"/>
  <c r="O1199" i="26"/>
  <c r="V1199" i="26" s="1"/>
  <c r="O1200" i="26"/>
  <c r="V1200" i="26" s="1"/>
  <c r="O1201" i="26"/>
  <c r="V1201" i="26" s="1"/>
  <c r="O1202" i="26"/>
  <c r="V1202" i="26" s="1"/>
  <c r="O1203" i="26"/>
  <c r="V1203" i="26" s="1"/>
  <c r="O1204" i="26"/>
  <c r="V1204" i="26" s="1"/>
  <c r="O1205" i="26"/>
  <c r="V1205" i="26" s="1"/>
  <c r="O1206" i="26"/>
  <c r="V1206" i="26" s="1"/>
  <c r="O1207" i="26"/>
  <c r="V1207" i="26" s="1"/>
  <c r="O1208" i="26"/>
  <c r="V1208" i="26" s="1"/>
  <c r="O1209" i="26"/>
  <c r="V1209" i="26" s="1"/>
  <c r="O1210" i="26"/>
  <c r="V1210" i="26" s="1"/>
  <c r="O1211" i="26"/>
  <c r="V1211" i="26" s="1"/>
  <c r="O1212" i="26"/>
  <c r="V1212" i="26" s="1"/>
  <c r="O1213" i="26"/>
  <c r="V1213" i="26" s="1"/>
  <c r="O1214" i="26"/>
  <c r="V1214" i="26" s="1"/>
  <c r="O1215" i="26"/>
  <c r="V1215" i="26" s="1"/>
  <c r="O1216" i="26"/>
  <c r="V1216" i="26" s="1"/>
  <c r="O1217" i="26"/>
  <c r="V1217" i="26" s="1"/>
  <c r="O1218" i="26"/>
  <c r="V1218" i="26" s="1"/>
  <c r="O1219" i="26"/>
  <c r="V1219" i="26" s="1"/>
  <c r="O1220" i="26"/>
  <c r="V1220" i="26" s="1"/>
  <c r="O1221" i="26"/>
  <c r="V1221" i="26" s="1"/>
  <c r="O1222" i="26"/>
  <c r="V1222" i="26" s="1"/>
  <c r="O1223" i="26"/>
  <c r="V1223" i="26" s="1"/>
  <c r="O1224" i="26"/>
  <c r="V1224" i="26" s="1"/>
  <c r="O1225" i="26"/>
  <c r="V1225" i="26" s="1"/>
  <c r="O1226" i="26"/>
  <c r="V1226" i="26" s="1"/>
  <c r="O1227" i="26"/>
  <c r="V1227" i="26" s="1"/>
  <c r="O1228" i="26"/>
  <c r="V1228" i="26" s="1"/>
  <c r="O1229" i="26"/>
  <c r="V1229" i="26" s="1"/>
  <c r="O1230" i="26"/>
  <c r="V1230" i="26" s="1"/>
  <c r="O1231" i="26"/>
  <c r="V1231" i="26" s="1"/>
  <c r="O1232" i="26"/>
  <c r="V1232" i="26" s="1"/>
  <c r="O1233" i="26"/>
  <c r="V1233" i="26" s="1"/>
  <c r="O1234" i="26"/>
  <c r="V1234" i="26" s="1"/>
  <c r="O1235" i="26"/>
  <c r="V1235" i="26" s="1"/>
  <c r="O1236" i="26"/>
  <c r="V1236" i="26" s="1"/>
  <c r="O1237" i="26"/>
  <c r="V1237" i="26" s="1"/>
  <c r="O1238" i="26"/>
  <c r="V1238" i="26" s="1"/>
  <c r="O1239" i="26"/>
  <c r="V1239" i="26" s="1"/>
  <c r="O1240" i="26"/>
  <c r="V1240" i="26" s="1"/>
  <c r="O1241" i="26"/>
  <c r="V1241" i="26" s="1"/>
  <c r="O1242" i="26"/>
  <c r="V1242" i="26" s="1"/>
  <c r="O1243" i="26"/>
  <c r="V1243" i="26" s="1"/>
  <c r="O1244" i="26"/>
  <c r="V1244" i="26" s="1"/>
  <c r="O1245" i="26"/>
  <c r="V1245" i="26" s="1"/>
  <c r="O1246" i="26"/>
  <c r="V1246" i="26" s="1"/>
  <c r="O1247" i="26"/>
  <c r="V1247" i="26" s="1"/>
  <c r="O1248" i="26"/>
  <c r="V1248" i="26" s="1"/>
  <c r="O1191" i="26"/>
  <c r="V1191" i="26" s="1"/>
  <c r="O1167" i="26"/>
  <c r="V1167" i="26" s="1"/>
  <c r="O1168" i="26"/>
  <c r="V1168" i="26" s="1"/>
  <c r="O1169" i="26"/>
  <c r="V1169" i="26" s="1"/>
  <c r="O1170" i="26"/>
  <c r="V1170" i="26" s="1"/>
  <c r="O1171" i="26"/>
  <c r="V1171" i="26" s="1"/>
  <c r="O1172" i="26"/>
  <c r="V1172" i="26" s="1"/>
  <c r="O1173" i="26"/>
  <c r="V1173" i="26" s="1"/>
  <c r="O1174" i="26"/>
  <c r="V1174" i="26" s="1"/>
  <c r="O1175" i="26"/>
  <c r="V1175" i="26" s="1"/>
  <c r="O1176" i="26"/>
  <c r="V1176" i="26" s="1"/>
  <c r="O1177" i="26"/>
  <c r="V1177" i="26" s="1"/>
  <c r="O1178" i="26"/>
  <c r="V1178" i="26" s="1"/>
  <c r="O1179" i="26"/>
  <c r="V1179" i="26" s="1"/>
  <c r="O1180" i="26"/>
  <c r="V1180" i="26" s="1"/>
  <c r="O1181" i="26"/>
  <c r="V1181" i="26" s="1"/>
  <c r="O1182" i="26"/>
  <c r="V1182" i="26" s="1"/>
  <c r="O1183" i="26"/>
  <c r="V1183" i="26" s="1"/>
  <c r="O1184" i="26"/>
  <c r="V1184" i="26" s="1"/>
  <c r="O1185" i="26"/>
  <c r="V1185" i="26" s="1"/>
  <c r="O1186" i="26"/>
  <c r="V1186" i="26" s="1"/>
  <c r="O1187" i="26"/>
  <c r="V1187" i="26" s="1"/>
  <c r="O1188" i="26"/>
  <c r="V1188" i="26" s="1"/>
  <c r="O1189" i="26"/>
  <c r="V1189" i="26" s="1"/>
  <c r="O1190" i="26"/>
  <c r="V1190" i="26" s="1"/>
  <c r="O1100" i="26"/>
  <c r="V1100" i="26" s="1"/>
  <c r="O1101" i="26"/>
  <c r="V1101" i="26" s="1"/>
  <c r="O1102" i="26"/>
  <c r="V1102" i="26" s="1"/>
  <c r="O1103" i="26"/>
  <c r="V1103" i="26" s="1"/>
  <c r="O1104" i="26"/>
  <c r="V1104" i="26" s="1"/>
  <c r="O1105" i="26"/>
  <c r="V1105" i="26" s="1"/>
  <c r="O1106" i="26"/>
  <c r="V1106" i="26" s="1"/>
  <c r="O1107" i="26"/>
  <c r="V1107" i="26" s="1"/>
  <c r="O1108" i="26"/>
  <c r="V1108" i="26" s="1"/>
  <c r="O1109" i="26"/>
  <c r="V1109" i="26" s="1"/>
  <c r="O1110" i="26"/>
  <c r="V1110" i="26" s="1"/>
  <c r="O1111" i="26"/>
  <c r="V1111" i="26" s="1"/>
  <c r="O1112" i="26"/>
  <c r="V1112" i="26" s="1"/>
  <c r="O1113" i="26"/>
  <c r="V1113" i="26" s="1"/>
  <c r="O1114" i="26"/>
  <c r="V1114" i="26" s="1"/>
  <c r="O1115" i="26"/>
  <c r="V1115" i="26" s="1"/>
  <c r="O1116" i="26"/>
  <c r="V1116" i="26" s="1"/>
  <c r="O1117" i="26"/>
  <c r="V1117" i="26" s="1"/>
  <c r="O1118" i="26"/>
  <c r="V1118" i="26" s="1"/>
  <c r="O1119" i="26"/>
  <c r="V1119" i="26" s="1"/>
  <c r="O1120" i="26"/>
  <c r="V1120" i="26" s="1"/>
  <c r="O1121" i="26"/>
  <c r="V1121" i="26" s="1"/>
  <c r="O1122" i="26"/>
  <c r="V1122" i="26" s="1"/>
  <c r="O1123" i="26"/>
  <c r="V1123" i="26" s="1"/>
  <c r="O1124" i="26"/>
  <c r="V1124" i="26" s="1"/>
  <c r="O1125" i="26"/>
  <c r="V1125" i="26" s="1"/>
  <c r="O1126" i="26"/>
  <c r="V1126" i="26" s="1"/>
  <c r="O1127" i="26"/>
  <c r="V1127" i="26" s="1"/>
  <c r="O1128" i="26"/>
  <c r="V1128" i="26" s="1"/>
  <c r="O1129" i="26"/>
  <c r="V1129" i="26" s="1"/>
  <c r="O1130" i="26"/>
  <c r="V1130" i="26" s="1"/>
  <c r="O1131" i="26"/>
  <c r="V1131" i="26" s="1"/>
  <c r="O1132" i="26"/>
  <c r="V1132" i="26" s="1"/>
  <c r="O1133" i="26"/>
  <c r="V1133" i="26" s="1"/>
  <c r="O1134" i="26"/>
  <c r="V1134" i="26" s="1"/>
  <c r="O1135" i="26"/>
  <c r="V1135" i="26" s="1"/>
  <c r="O1136" i="26"/>
  <c r="V1136" i="26" s="1"/>
  <c r="O1137" i="26"/>
  <c r="V1137" i="26" s="1"/>
  <c r="O1138" i="26"/>
  <c r="V1138" i="26" s="1"/>
  <c r="O1139" i="26"/>
  <c r="V1139" i="26" s="1"/>
  <c r="O1140" i="26"/>
  <c r="V1140" i="26" s="1"/>
  <c r="O1141" i="26"/>
  <c r="V1141" i="26" s="1"/>
  <c r="O1142" i="26"/>
  <c r="V1142" i="26" s="1"/>
  <c r="O1143" i="26"/>
  <c r="V1143" i="26" s="1"/>
  <c r="O1144" i="26"/>
  <c r="V1144" i="26" s="1"/>
  <c r="O1145" i="26"/>
  <c r="V1145" i="26" s="1"/>
  <c r="O1146" i="26"/>
  <c r="V1146" i="26" s="1"/>
  <c r="O1147" i="26"/>
  <c r="V1147" i="26" s="1"/>
  <c r="O1148" i="26"/>
  <c r="V1148" i="26" s="1"/>
  <c r="O1149" i="26"/>
  <c r="V1149" i="26" s="1"/>
  <c r="O1150" i="26"/>
  <c r="V1150" i="26" s="1"/>
  <c r="O1151" i="26"/>
  <c r="V1151" i="26" s="1"/>
  <c r="O1152" i="26"/>
  <c r="V1152" i="26" s="1"/>
  <c r="O1153" i="26"/>
  <c r="V1153" i="26" s="1"/>
  <c r="O1154" i="26"/>
  <c r="V1154" i="26" s="1"/>
  <c r="O1155" i="26"/>
  <c r="V1155" i="26" s="1"/>
  <c r="O1156" i="26"/>
  <c r="V1156" i="26" s="1"/>
  <c r="O1157" i="26"/>
  <c r="V1157" i="26" s="1"/>
  <c r="O1158" i="26"/>
  <c r="V1158" i="26" s="1"/>
  <c r="O1159" i="26"/>
  <c r="V1159" i="26" s="1"/>
  <c r="O1160" i="26"/>
  <c r="V1160" i="26" s="1"/>
  <c r="O1161" i="26"/>
  <c r="V1161" i="26" s="1"/>
  <c r="O1162" i="26"/>
  <c r="V1162" i="26" s="1"/>
  <c r="O1163" i="26"/>
  <c r="V1163" i="26" s="1"/>
  <c r="O1164" i="26"/>
  <c r="V1164" i="26" s="1"/>
  <c r="O1165" i="26"/>
  <c r="V1165" i="26" s="1"/>
  <c r="O1166" i="26"/>
  <c r="V1166" i="26" s="1"/>
  <c r="O1099" i="26"/>
  <c r="V1099" i="26" s="1"/>
  <c r="V2097" i="26" l="1"/>
  <c r="V2095" i="26"/>
  <c r="V2096" i="26"/>
  <c r="V2094" i="26"/>
  <c r="O1590" i="26" l="1"/>
  <c r="V1590" i="26" s="1"/>
  <c r="O1591" i="26"/>
  <c r="V1591" i="26" s="1"/>
  <c r="O1592" i="26"/>
  <c r="V1592" i="26" s="1"/>
  <c r="O1593" i="26"/>
  <c r="V1593" i="26" s="1"/>
  <c r="O1594" i="26"/>
  <c r="V1594" i="26" s="1"/>
  <c r="O1595" i="26"/>
  <c r="V1595" i="26" s="1"/>
  <c r="O1596" i="26"/>
  <c r="V1596" i="26" s="1"/>
  <c r="O1597" i="26"/>
  <c r="V1597" i="26" s="1"/>
  <c r="O1598" i="26"/>
  <c r="V1598" i="26" s="1"/>
  <c r="O1599" i="26"/>
  <c r="V1599" i="26" s="1"/>
  <c r="O1600" i="26"/>
  <c r="V1600" i="26" s="1"/>
  <c r="O1601" i="26"/>
  <c r="V1601" i="26" s="1"/>
  <c r="O1602" i="26"/>
  <c r="V1602" i="26" s="1"/>
  <c r="O1603" i="26"/>
  <c r="V1603" i="26" s="1"/>
  <c r="O1604" i="26"/>
  <c r="V1604" i="26" s="1"/>
  <c r="O1605" i="26"/>
  <c r="V1605" i="26" s="1"/>
  <c r="O1606" i="26"/>
  <c r="V1606" i="26" s="1"/>
  <c r="O1607" i="26"/>
  <c r="V1607" i="26" s="1"/>
  <c r="O1608" i="26"/>
  <c r="V1608" i="26" s="1"/>
  <c r="O1609" i="26"/>
  <c r="V1609" i="26" s="1"/>
  <c r="O1610" i="26"/>
  <c r="V1610" i="26" s="1"/>
  <c r="O1611" i="26"/>
  <c r="V1611" i="26" s="1"/>
  <c r="O1612" i="26"/>
  <c r="V1612" i="26" s="1"/>
  <c r="O1613" i="26"/>
  <c r="V1613" i="26" s="1"/>
  <c r="O1614" i="26"/>
  <c r="V1614" i="26" s="1"/>
  <c r="O1615" i="26"/>
  <c r="V1615" i="26" s="1"/>
  <c r="O1616" i="26"/>
  <c r="V1616" i="26" s="1"/>
  <c r="O1578" i="26"/>
  <c r="V1578" i="26" s="1"/>
  <c r="O1579" i="26"/>
  <c r="V1579" i="26" s="1"/>
  <c r="O1580" i="26"/>
  <c r="V1580" i="26" s="1"/>
  <c r="O1581" i="26"/>
  <c r="V1581" i="26" s="1"/>
  <c r="O1582" i="26"/>
  <c r="V1582" i="26" s="1"/>
  <c r="O1583" i="26"/>
  <c r="V1583" i="26" s="1"/>
  <c r="O1584" i="26"/>
  <c r="V1584" i="26" s="1"/>
  <c r="O1585" i="26"/>
  <c r="V1585" i="26" s="1"/>
  <c r="O1586" i="26"/>
  <c r="V1586" i="26" s="1"/>
  <c r="O1587" i="26"/>
  <c r="V1587" i="26" s="1"/>
  <c r="O1588" i="26"/>
  <c r="V1588" i="26" s="1"/>
  <c r="O1589" i="26"/>
  <c r="V1589" i="26" s="1"/>
  <c r="V2066" i="26"/>
  <c r="V2067" i="26"/>
  <c r="V2068" i="26"/>
  <c r="V2069" i="26"/>
  <c r="V2070" i="26"/>
  <c r="V2071" i="26"/>
  <c r="V2072" i="26"/>
  <c r="V2073" i="26"/>
  <c r="V2074" i="26"/>
  <c r="V2075" i="26"/>
  <c r="V2076" i="26"/>
  <c r="V2077" i="26"/>
  <c r="V2078" i="26"/>
  <c r="V2079" i="26"/>
  <c r="V2080" i="26"/>
  <c r="V2081" i="26"/>
  <c r="V2082" i="26"/>
  <c r="V2083" i="26"/>
  <c r="V2084" i="26"/>
  <c r="V2085" i="26"/>
  <c r="V2086" i="26"/>
  <c r="V2087" i="26"/>
  <c r="V2088" i="26"/>
  <c r="V2089" i="26"/>
  <c r="V2090" i="26"/>
  <c r="V2091" i="26"/>
  <c r="V2092" i="26"/>
  <c r="V2093" i="26"/>
  <c r="Q1922" i="26" l="1"/>
  <c r="V1922" i="26" s="1"/>
  <c r="Q1923" i="26"/>
  <c r="V1923" i="26" s="1"/>
  <c r="Q1924" i="26"/>
  <c r="V1924" i="26" s="1"/>
  <c r="Q1925" i="26"/>
  <c r="V1925" i="26" s="1"/>
  <c r="Q1926" i="26"/>
  <c r="V1926" i="26" s="1"/>
  <c r="Q1927" i="26"/>
  <c r="V1927" i="26" s="1"/>
  <c r="Q1928" i="26"/>
  <c r="V1928" i="26" s="1"/>
  <c r="Q1929" i="26"/>
  <c r="V1929" i="26" s="1"/>
  <c r="Q1930" i="26"/>
  <c r="V1930" i="26" s="1"/>
  <c r="Q1931" i="26"/>
  <c r="V1931" i="26" s="1"/>
  <c r="Q1932" i="26"/>
  <c r="V1932" i="26" s="1"/>
  <c r="Q1933" i="26"/>
  <c r="V1933" i="26" s="1"/>
  <c r="Q1934" i="26"/>
  <c r="V1934" i="26" s="1"/>
  <c r="Q1935" i="26"/>
  <c r="V1935" i="26" s="1"/>
  <c r="Q1936" i="26"/>
  <c r="V1936" i="26" s="1"/>
  <c r="Q1937" i="26"/>
  <c r="V1937" i="26" s="1"/>
  <c r="Q1938" i="26"/>
  <c r="V1938" i="26" s="1"/>
  <c r="Q1939" i="26"/>
  <c r="V1939" i="26" s="1"/>
  <c r="Q1940" i="26"/>
  <c r="V1940" i="26" s="1"/>
  <c r="Q1941" i="26"/>
  <c r="V1941" i="26" s="1"/>
  <c r="Q1942" i="26"/>
  <c r="V1942" i="26" s="1"/>
  <c r="Q1943" i="26"/>
  <c r="V1943" i="26" s="1"/>
  <c r="Q1944" i="26"/>
  <c r="V1944" i="26" s="1"/>
  <c r="Q1945" i="26"/>
  <c r="V1945" i="26" s="1"/>
  <c r="Q1946" i="26"/>
  <c r="V1946" i="26" s="1"/>
  <c r="Q1947" i="26"/>
  <c r="V1947" i="26" s="1"/>
  <c r="Q1948" i="26"/>
  <c r="V1948" i="26" s="1"/>
  <c r="Q1949" i="26"/>
  <c r="V1949" i="26" s="1"/>
  <c r="Q1950" i="26"/>
  <c r="V1950" i="26" s="1"/>
  <c r="Q1951" i="26"/>
  <c r="V1951" i="26" s="1"/>
  <c r="Q1952" i="26"/>
  <c r="V1952" i="26" s="1"/>
  <c r="Q1953" i="26"/>
  <c r="V1953" i="26" s="1"/>
  <c r="Q1954" i="26"/>
  <c r="V1954" i="26" s="1"/>
  <c r="Q1955" i="26"/>
  <c r="V1955" i="26" s="1"/>
  <c r="Q1956" i="26"/>
  <c r="V1956" i="26" s="1"/>
  <c r="Q1957" i="26"/>
  <c r="V1957" i="26" s="1"/>
  <c r="Q1958" i="26"/>
  <c r="V1958" i="26" s="1"/>
  <c r="Q1959" i="26"/>
  <c r="V1959" i="26" s="1"/>
  <c r="Q1960" i="26"/>
  <c r="V1960" i="26" s="1"/>
  <c r="Q1961" i="26"/>
  <c r="V1961" i="26" s="1"/>
  <c r="Q1962" i="26"/>
  <c r="V1962" i="26" s="1"/>
  <c r="Q1963" i="26"/>
  <c r="V1963" i="26" s="1"/>
  <c r="Q1964" i="26"/>
  <c r="V1964" i="26" s="1"/>
  <c r="Q1965" i="26"/>
  <c r="V1965" i="26" s="1"/>
  <c r="Q1966" i="26"/>
  <c r="V1966" i="26" s="1"/>
  <c r="Q1967" i="26"/>
  <c r="V1967" i="26" s="1"/>
  <c r="Q1968" i="26"/>
  <c r="V1968" i="26" s="1"/>
  <c r="Q1969" i="26"/>
  <c r="V1969" i="26" s="1"/>
  <c r="Q1970" i="26"/>
  <c r="V1970" i="26" s="1"/>
  <c r="Q1971" i="26"/>
  <c r="V1971" i="26" s="1"/>
  <c r="Q1972" i="26"/>
  <c r="V1972" i="26" s="1"/>
  <c r="Q1973" i="26"/>
  <c r="V1973" i="26" s="1"/>
  <c r="Q1974" i="26"/>
  <c r="V1974" i="26" s="1"/>
  <c r="Q1975" i="26"/>
  <c r="V1975" i="26" s="1"/>
  <c r="Q1976" i="26"/>
  <c r="V1976" i="26" s="1"/>
  <c r="Q1977" i="26"/>
  <c r="V1977" i="26" s="1"/>
  <c r="Q1978" i="26"/>
  <c r="V1978" i="26" s="1"/>
  <c r="Q1979" i="26"/>
  <c r="V1979" i="26" s="1"/>
  <c r="Q1980" i="26"/>
  <c r="V1980" i="26" s="1"/>
  <c r="Q1981" i="26"/>
  <c r="V1981" i="26" s="1"/>
  <c r="Q1982" i="26"/>
  <c r="V1982" i="26" s="1"/>
  <c r="Q1983" i="26"/>
  <c r="V1983" i="26" s="1"/>
  <c r="Q1984" i="26"/>
  <c r="V1984" i="26" s="1"/>
  <c r="Q1985" i="26"/>
  <c r="V1985" i="26" s="1"/>
  <c r="Q1986" i="26"/>
  <c r="V1986" i="26" s="1"/>
  <c r="Q1987" i="26"/>
  <c r="V1987" i="26" s="1"/>
  <c r="Q1988" i="26"/>
  <c r="V1988" i="26" s="1"/>
  <c r="Q1989" i="26"/>
  <c r="V1989" i="26" s="1"/>
  <c r="Q1990" i="26"/>
  <c r="V1990" i="26" s="1"/>
  <c r="Q1991" i="26"/>
  <c r="V1991" i="26" s="1"/>
  <c r="Q1992" i="26"/>
  <c r="V1992" i="26" s="1"/>
  <c r="Q1993" i="26"/>
  <c r="V1993" i="26" s="1"/>
  <c r="Q1994" i="26"/>
  <c r="V1994" i="26" s="1"/>
  <c r="Q1995" i="26"/>
  <c r="V1995" i="26" s="1"/>
  <c r="Q1996" i="26"/>
  <c r="V1996" i="26" s="1"/>
  <c r="Q1997" i="26"/>
  <c r="V1997" i="26" s="1"/>
  <c r="Q1998" i="26"/>
  <c r="V1998" i="26" s="1"/>
  <c r="Q1999" i="26"/>
  <c r="V1999" i="26" s="1"/>
  <c r="Q2000" i="26"/>
  <c r="V2000" i="26" s="1"/>
  <c r="Q2001" i="26"/>
  <c r="V2001" i="26" s="1"/>
  <c r="Q2002" i="26"/>
  <c r="V2002" i="26" s="1"/>
  <c r="Q2003" i="26"/>
  <c r="V2003" i="26" s="1"/>
  <c r="Q2004" i="26"/>
  <c r="V2004" i="26" s="1"/>
  <c r="Q2005" i="26"/>
  <c r="V2005" i="26" s="1"/>
  <c r="Q2006" i="26"/>
  <c r="V2006" i="26" s="1"/>
  <c r="Q2007" i="26"/>
  <c r="V2007" i="26" s="1"/>
  <c r="Q2008" i="26"/>
  <c r="V2008" i="26" s="1"/>
  <c r="Q2009" i="26"/>
  <c r="V2009" i="26" s="1"/>
  <c r="Q2010" i="26"/>
  <c r="V2010" i="26" s="1"/>
  <c r="Q2011" i="26"/>
  <c r="V2011" i="26" s="1"/>
  <c r="Q2012" i="26"/>
  <c r="V2012" i="26" s="1"/>
  <c r="Q2013" i="26"/>
  <c r="V2013" i="26" s="1"/>
  <c r="Q2014" i="26"/>
  <c r="V2014" i="26" s="1"/>
  <c r="Q2015" i="26"/>
  <c r="V2015" i="26" s="1"/>
  <c r="Q2016" i="26"/>
  <c r="V2016" i="26" s="1"/>
  <c r="Q2017" i="26"/>
  <c r="V2017" i="26" s="1"/>
  <c r="Q2018" i="26"/>
  <c r="V2018" i="26" s="1"/>
  <c r="Q2019" i="26"/>
  <c r="V2019" i="26" s="1"/>
  <c r="V2020" i="26"/>
  <c r="V2021" i="26"/>
  <c r="V2022" i="26"/>
  <c r="V2023" i="26"/>
  <c r="V2024" i="26"/>
  <c r="V2025" i="26"/>
  <c r="V2026" i="26"/>
  <c r="V2027" i="26"/>
  <c r="V2028" i="26"/>
  <c r="V2029" i="26"/>
  <c r="V2030" i="26"/>
  <c r="V2031" i="26"/>
  <c r="V2032" i="26"/>
  <c r="V2033" i="26"/>
  <c r="V2034" i="26"/>
  <c r="V2035" i="26"/>
  <c r="V2036" i="26"/>
  <c r="V2037" i="26"/>
  <c r="V2038" i="26"/>
  <c r="V2039" i="26"/>
  <c r="V2040" i="26"/>
  <c r="V2041" i="26"/>
  <c r="V2042" i="26"/>
  <c r="V2044" i="26"/>
  <c r="V2045" i="26"/>
  <c r="V2046" i="26"/>
  <c r="V2047" i="26"/>
  <c r="V2048" i="26"/>
  <c r="V2049" i="26"/>
  <c r="V2050" i="26"/>
  <c r="V2051" i="26"/>
  <c r="V2052" i="26"/>
  <c r="V2053" i="26"/>
  <c r="V2054" i="26"/>
  <c r="V2055" i="26"/>
  <c r="V2056" i="26"/>
  <c r="V2057" i="26"/>
  <c r="V2058" i="26"/>
  <c r="V2059" i="26"/>
  <c r="V2060" i="26"/>
  <c r="V2061" i="26"/>
  <c r="V2062" i="26"/>
  <c r="V2063" i="26"/>
  <c r="V2064" i="26"/>
  <c r="V2065" i="26"/>
  <c r="Q1729" i="26" l="1"/>
  <c r="Q1730" i="26"/>
  <c r="Q1731" i="26"/>
  <c r="Q1732" i="26"/>
  <c r="Q1733" i="26"/>
  <c r="Q1734" i="26"/>
  <c r="Q1735" i="26"/>
  <c r="Q1736" i="26"/>
  <c r="Q1737" i="26"/>
  <c r="Q1738" i="26"/>
  <c r="Q1739" i="26"/>
  <c r="Q1740" i="26"/>
  <c r="Q1741" i="26"/>
  <c r="Q1742" i="26"/>
  <c r="Q1743" i="26"/>
  <c r="Q1744" i="26"/>
  <c r="Q1745" i="26"/>
  <c r="Q1746" i="26"/>
  <c r="Q1747" i="26"/>
  <c r="Q1748" i="26"/>
  <c r="Q1749" i="26"/>
  <c r="Q1750" i="26"/>
  <c r="Q1751" i="26"/>
  <c r="Q1752" i="26"/>
  <c r="Q1753" i="26"/>
  <c r="Q1754" i="26"/>
  <c r="Q1755" i="26"/>
  <c r="Q1756" i="26"/>
  <c r="Q1757" i="26"/>
  <c r="Q1758" i="26"/>
  <c r="Q1759" i="26"/>
  <c r="Q1760" i="26"/>
  <c r="Q1761" i="26"/>
  <c r="Q1762" i="26"/>
  <c r="Q1763" i="26"/>
  <c r="Q1764" i="26"/>
  <c r="Q1765" i="26"/>
  <c r="Q1766" i="26"/>
  <c r="Q1767" i="26"/>
  <c r="Q1768" i="26"/>
  <c r="Q1769" i="26"/>
  <c r="Q1770" i="26"/>
  <c r="Q1771" i="26"/>
  <c r="Q1772" i="26"/>
  <c r="Q1773" i="26"/>
  <c r="Q1774" i="26"/>
  <c r="Q1775" i="26"/>
  <c r="Q1776" i="26"/>
  <c r="Q1777" i="26"/>
  <c r="Q1778" i="26"/>
  <c r="Q1779" i="26"/>
  <c r="Q1780" i="26"/>
  <c r="Q1781" i="26"/>
  <c r="Q1782" i="26"/>
  <c r="Q1783" i="26"/>
  <c r="Q1784" i="26"/>
  <c r="Q1785" i="26"/>
  <c r="Q1786" i="26"/>
  <c r="Q1787" i="26"/>
  <c r="Q1788" i="26"/>
  <c r="Q1789" i="26"/>
  <c r="Q1790" i="26"/>
  <c r="Q1791" i="26"/>
  <c r="Q1792" i="26"/>
  <c r="Q1794" i="26"/>
  <c r="Q1795" i="26"/>
  <c r="Q1796" i="26"/>
  <c r="Q1797" i="26"/>
  <c r="Q1798" i="26"/>
  <c r="Q1799" i="26"/>
  <c r="Q1800" i="26"/>
  <c r="Q1801" i="26"/>
  <c r="Q1802" i="26"/>
  <c r="Q1803" i="26"/>
  <c r="Q1804" i="26"/>
  <c r="Q1805" i="26"/>
  <c r="Q1806" i="26"/>
  <c r="Q1807" i="26"/>
  <c r="Q1808" i="26"/>
  <c r="Q1810" i="26"/>
  <c r="Q1811" i="26"/>
  <c r="Q1812" i="26"/>
  <c r="Q1813" i="26"/>
  <c r="Q1814" i="26"/>
  <c r="Q1815" i="26"/>
  <c r="Q1816" i="26"/>
  <c r="Q1817" i="26"/>
  <c r="Q1818" i="26"/>
  <c r="Q1819" i="26"/>
  <c r="Q1820" i="26"/>
  <c r="Q1821" i="26"/>
  <c r="Q1822" i="26"/>
  <c r="Q1904" i="26"/>
  <c r="Q1905" i="26"/>
  <c r="Q1906" i="26"/>
  <c r="Q1907" i="26"/>
  <c r="Q1908" i="26"/>
  <c r="Q1909" i="26"/>
  <c r="Q1910" i="26"/>
  <c r="Q1911" i="26"/>
  <c r="Q1912" i="26"/>
  <c r="Q1913" i="26"/>
  <c r="Q1914" i="26"/>
  <c r="Q1915" i="26"/>
  <c r="Q1916" i="26"/>
  <c r="Q1917" i="26"/>
  <c r="Q1918" i="26"/>
  <c r="Q1919" i="26"/>
  <c r="Q1920" i="26"/>
  <c r="Q1921" i="26"/>
  <c r="Q2267" i="26"/>
  <c r="O1635" i="26" l="1"/>
  <c r="V1635" i="26" s="1"/>
  <c r="O1636" i="26"/>
  <c r="V1636" i="26" s="1"/>
  <c r="O1637" i="26"/>
  <c r="V1637" i="26" s="1"/>
  <c r="O1638" i="26"/>
  <c r="V1638" i="26" s="1"/>
  <c r="O1639" i="26"/>
  <c r="V1639" i="26" s="1"/>
  <c r="O1640" i="26"/>
  <c r="V1640" i="26" s="1"/>
  <c r="O1641" i="26"/>
  <c r="V1641" i="26" s="1"/>
  <c r="O1642" i="26"/>
  <c r="V1642" i="26" s="1"/>
  <c r="O1643" i="26"/>
  <c r="V1643" i="26" s="1"/>
  <c r="O1644" i="26"/>
  <c r="V1644" i="26" s="1"/>
  <c r="O1645" i="26"/>
  <c r="V1645" i="26" s="1"/>
  <c r="O1646" i="26"/>
  <c r="V1646" i="26" s="1"/>
  <c r="O1647" i="26"/>
  <c r="V1647" i="26" s="1"/>
  <c r="O1648" i="26"/>
  <c r="V1648" i="26" s="1"/>
  <c r="O1649" i="26"/>
  <c r="V1649" i="26" s="1"/>
  <c r="O1650" i="26"/>
  <c r="V1650" i="26" s="1"/>
  <c r="O1651" i="26"/>
  <c r="V1651" i="26" s="1"/>
  <c r="O1652" i="26"/>
  <c r="V1652" i="26" s="1"/>
  <c r="O1653" i="26"/>
  <c r="V1653" i="26" s="1"/>
  <c r="O1654" i="26"/>
  <c r="V1654" i="26" s="1"/>
  <c r="O1655" i="26"/>
  <c r="V1655" i="26" s="1"/>
  <c r="O1656" i="26"/>
  <c r="V1656" i="26" s="1"/>
  <c r="O1657" i="26"/>
  <c r="V1657" i="26" s="1"/>
  <c r="O1658" i="26"/>
  <c r="V1658" i="26" s="1"/>
  <c r="O1659" i="26"/>
  <c r="V1659" i="26" s="1"/>
  <c r="O1660" i="26"/>
  <c r="V1660" i="26" s="1"/>
  <c r="O1661" i="26"/>
  <c r="V1661" i="26" s="1"/>
  <c r="O1662" i="26"/>
  <c r="V1662" i="26" s="1"/>
  <c r="O1663" i="26"/>
  <c r="V1663" i="26" s="1"/>
  <c r="O1664" i="26"/>
  <c r="V1664" i="26" s="1"/>
  <c r="O1665" i="26"/>
  <c r="V1665" i="26" s="1"/>
  <c r="O1666" i="26"/>
  <c r="V1666" i="26" s="1"/>
  <c r="O1667" i="26"/>
  <c r="V1667" i="26" s="1"/>
  <c r="O1668" i="26"/>
  <c r="V1668" i="26" s="1"/>
  <c r="O1669" i="26"/>
  <c r="V1669" i="26" s="1"/>
  <c r="O1670" i="26"/>
  <c r="V1670" i="26" s="1"/>
  <c r="O1671" i="26"/>
  <c r="V1671" i="26" s="1"/>
  <c r="O1672" i="26"/>
  <c r="V1672" i="26" s="1"/>
  <c r="O1673" i="26"/>
  <c r="V1673" i="26" s="1"/>
  <c r="O1674" i="26"/>
  <c r="V1674" i="26" s="1"/>
  <c r="O1675" i="26"/>
  <c r="V1675" i="26" s="1"/>
  <c r="O1676" i="26"/>
  <c r="V1676" i="26" s="1"/>
  <c r="O1677" i="26"/>
  <c r="V1677" i="26" s="1"/>
  <c r="O1678" i="26"/>
  <c r="V1678" i="26" s="1"/>
  <c r="O1679" i="26"/>
  <c r="V1679" i="26" s="1"/>
  <c r="O1680" i="26"/>
  <c r="V1680" i="26" s="1"/>
  <c r="O1681" i="26"/>
  <c r="V1681" i="26" s="1"/>
  <c r="O1682" i="26"/>
  <c r="V1682" i="26" s="1"/>
  <c r="O1683" i="26"/>
  <c r="V1683" i="26" s="1"/>
  <c r="O1684" i="26"/>
  <c r="V1684" i="26" s="1"/>
  <c r="O1685" i="26"/>
  <c r="V1685" i="26" s="1"/>
  <c r="O1686" i="26"/>
  <c r="V1686" i="26" s="1"/>
  <c r="O1687" i="26"/>
  <c r="V1687" i="26" s="1"/>
  <c r="O1688" i="26"/>
  <c r="V1688" i="26" s="1"/>
  <c r="O1689" i="26"/>
  <c r="V1689" i="26" s="1"/>
  <c r="O1690" i="26"/>
  <c r="V1690" i="26" s="1"/>
  <c r="O1691" i="26"/>
  <c r="V1691" i="26" s="1"/>
  <c r="O1692" i="26"/>
  <c r="V1692" i="26" s="1"/>
  <c r="O1693" i="26"/>
  <c r="V1693" i="26" s="1"/>
  <c r="O1694" i="26"/>
  <c r="V1694" i="26" s="1"/>
  <c r="O1695" i="26"/>
  <c r="V1695" i="26" s="1"/>
  <c r="O1696" i="26"/>
  <c r="V1696" i="26" s="1"/>
  <c r="O1697" i="26"/>
  <c r="V1697" i="26" s="1"/>
  <c r="O1698" i="26"/>
  <c r="V1698" i="26" s="1"/>
  <c r="O1699" i="26"/>
  <c r="V1699" i="26" s="1"/>
  <c r="O1700" i="26"/>
  <c r="V1700" i="26" s="1"/>
  <c r="O1701" i="26"/>
  <c r="V1701" i="26" s="1"/>
  <c r="O1702" i="26"/>
  <c r="V1702" i="26" s="1"/>
  <c r="O1703" i="26"/>
  <c r="V1703" i="26" s="1"/>
  <c r="O1704" i="26"/>
  <c r="V1704" i="26" s="1"/>
  <c r="O1705" i="26"/>
  <c r="V1705" i="26" s="1"/>
  <c r="O1706" i="26"/>
  <c r="V1706" i="26" s="1"/>
  <c r="O1707" i="26"/>
  <c r="V1707" i="26" s="1"/>
  <c r="O1708" i="26"/>
  <c r="V1708" i="26" s="1"/>
  <c r="O1709" i="26"/>
  <c r="V1709" i="26" s="1"/>
  <c r="O1710" i="26"/>
  <c r="V1710" i="26" s="1"/>
  <c r="O1711" i="26"/>
  <c r="V1711" i="26" s="1"/>
  <c r="O1712" i="26"/>
  <c r="V1712" i="26" s="1"/>
  <c r="O1713" i="26"/>
  <c r="V1713" i="26" s="1"/>
  <c r="O1714" i="26"/>
  <c r="V1714" i="26" s="1"/>
  <c r="O1715" i="26"/>
  <c r="V1715" i="26" s="1"/>
  <c r="O1716" i="26"/>
  <c r="V1716" i="26" s="1"/>
  <c r="O1717" i="26"/>
  <c r="V1717" i="26" s="1"/>
  <c r="O1718" i="26"/>
  <c r="V1718" i="26" s="1"/>
  <c r="O1719" i="26"/>
  <c r="V1719" i="26" s="1"/>
  <c r="O1720" i="26"/>
  <c r="V1720" i="26" s="1"/>
  <c r="O1721" i="26"/>
  <c r="V1721" i="26" s="1"/>
  <c r="O1722" i="26"/>
  <c r="V1722" i="26" s="1"/>
  <c r="O1723" i="26"/>
  <c r="V1723" i="26" s="1"/>
  <c r="O1724" i="26"/>
  <c r="V1724" i="26" s="1"/>
  <c r="O1725" i="26"/>
  <c r="V1725" i="26" s="1"/>
  <c r="O1726" i="26"/>
  <c r="V1726" i="26" s="1"/>
  <c r="O1727" i="26"/>
  <c r="V1727" i="26" s="1"/>
  <c r="O1728" i="26"/>
  <c r="V1728" i="26" s="1"/>
  <c r="V1729" i="26"/>
  <c r="V1730" i="26"/>
  <c r="V1731" i="26"/>
  <c r="V1732" i="26"/>
  <c r="V1733" i="26"/>
  <c r="V1734" i="26"/>
  <c r="V1735" i="26"/>
  <c r="V1736" i="26"/>
  <c r="V1737" i="26"/>
  <c r="V1738" i="26"/>
  <c r="V1739" i="26"/>
  <c r="V1740" i="26"/>
  <c r="V1741" i="26"/>
  <c r="V1742" i="26"/>
  <c r="V1743" i="26"/>
  <c r="V1744" i="26"/>
  <c r="V1745" i="26"/>
  <c r="V1746" i="26"/>
  <c r="V1747" i="26"/>
  <c r="V1748" i="26"/>
  <c r="V1749" i="26"/>
  <c r="V1750" i="26"/>
  <c r="V1751" i="26"/>
  <c r="V1752" i="26"/>
  <c r="V1753" i="26"/>
  <c r="V1754" i="26"/>
  <c r="V1755" i="26"/>
  <c r="V1756" i="26"/>
  <c r="V1757" i="26"/>
  <c r="V1758" i="26"/>
  <c r="V1759" i="26"/>
  <c r="V1760" i="26"/>
  <c r="V1761" i="26"/>
  <c r="V1762" i="26"/>
  <c r="V1763" i="26"/>
  <c r="V1764" i="26"/>
  <c r="V1765" i="26"/>
  <c r="V1766" i="26"/>
  <c r="V1767" i="26"/>
  <c r="V1768" i="26"/>
  <c r="V1769" i="26"/>
  <c r="V1770" i="26"/>
  <c r="V1771" i="26"/>
  <c r="V1772" i="26"/>
  <c r="V1773" i="26"/>
  <c r="V1774" i="26"/>
  <c r="V1775" i="26"/>
  <c r="V1776" i="26"/>
  <c r="V1777" i="26"/>
  <c r="V1778" i="26"/>
  <c r="V1779" i="26"/>
  <c r="V1780" i="26"/>
  <c r="V1781" i="26"/>
  <c r="V1782" i="26"/>
  <c r="V1783" i="26"/>
  <c r="V1784" i="26"/>
  <c r="V1785" i="26"/>
  <c r="V1786" i="26"/>
  <c r="V1787" i="26"/>
  <c r="V1788" i="26"/>
  <c r="V1789" i="26"/>
  <c r="V1790" i="26"/>
  <c r="V1791" i="26"/>
  <c r="V1792" i="26"/>
  <c r="V1794" i="26"/>
  <c r="V1795" i="26"/>
  <c r="V1796" i="26"/>
  <c r="V1797" i="26"/>
  <c r="V1798" i="26"/>
  <c r="V1799" i="26"/>
  <c r="V1800" i="26"/>
  <c r="V1801" i="26"/>
  <c r="V1802" i="26"/>
  <c r="V1803" i="26"/>
  <c r="V1804" i="26"/>
  <c r="V1805" i="26"/>
  <c r="V1806" i="26"/>
  <c r="V1807" i="26"/>
  <c r="V1808" i="26"/>
  <c r="V1810" i="26"/>
  <c r="V1811" i="26"/>
  <c r="V1812" i="26"/>
  <c r="V1813" i="26"/>
  <c r="V1814" i="26"/>
  <c r="V1815" i="26"/>
  <c r="V1816" i="26"/>
  <c r="V1817" i="26"/>
  <c r="V1818" i="26"/>
  <c r="V1819" i="26"/>
  <c r="V1820" i="26"/>
  <c r="V1821" i="26"/>
  <c r="V1822" i="26"/>
  <c r="V1904" i="26"/>
  <c r="V1905" i="26"/>
  <c r="V1906" i="26"/>
  <c r="V1907" i="26"/>
  <c r="V1908" i="26"/>
  <c r="V1909" i="26"/>
  <c r="V1910" i="26"/>
  <c r="V1911" i="26"/>
  <c r="V1912" i="26"/>
  <c r="V1913" i="26"/>
  <c r="V1914" i="26"/>
  <c r="V1915" i="26"/>
  <c r="V1916" i="26"/>
  <c r="V1917" i="26"/>
  <c r="V1918" i="26"/>
  <c r="V1919" i="26"/>
  <c r="V1920" i="26"/>
  <c r="V1921" i="26"/>
  <c r="O2267" i="26"/>
  <c r="V2267" i="26" s="1"/>
  <c r="O1624" i="26"/>
  <c r="V1624" i="26" s="1"/>
  <c r="O1625" i="26"/>
  <c r="V1625" i="26" s="1"/>
  <c r="O1626" i="26"/>
  <c r="V1626" i="26" s="1"/>
  <c r="O1627" i="26"/>
  <c r="V1627" i="26" s="1"/>
  <c r="O1628" i="26"/>
  <c r="V1628" i="26" s="1"/>
  <c r="O1629" i="26"/>
  <c r="V1629" i="26" s="1"/>
  <c r="O1630" i="26"/>
  <c r="V1630" i="26" s="1"/>
  <c r="O1631" i="26"/>
  <c r="V1631" i="26" s="1"/>
  <c r="O1632" i="26"/>
  <c r="V1632" i="26" s="1"/>
  <c r="O1633" i="26"/>
  <c r="V1633" i="26" s="1"/>
  <c r="O1634" i="26"/>
  <c r="V1634" i="26" s="1"/>
  <c r="O1617" i="26"/>
  <c r="V1617" i="26" s="1"/>
  <c r="O1618" i="26"/>
  <c r="V1618" i="26" s="1"/>
  <c r="O1619" i="26"/>
  <c r="V1619" i="26" s="1"/>
  <c r="O1620" i="26"/>
  <c r="V1620" i="26" s="1"/>
  <c r="O1621" i="26"/>
  <c r="V1621" i="26" s="1"/>
  <c r="O1622" i="26"/>
  <c r="V1622" i="26" s="1"/>
  <c r="O1623" i="26"/>
  <c r="V1623" i="26" s="1"/>
  <c r="Q2270" i="26"/>
  <c r="V2270" i="26" s="1"/>
  <c r="Q2271" i="26"/>
  <c r="V2271" i="26" s="1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Q83" i="26"/>
  <c r="Q84" i="26"/>
  <c r="Q85" i="26"/>
  <c r="Q86" i="26"/>
  <c r="Q87" i="26"/>
  <c r="Q88" i="26"/>
  <c r="Q89" i="26"/>
  <c r="Q90" i="26"/>
  <c r="Q91" i="26"/>
  <c r="Q92" i="26"/>
  <c r="Q93" i="26"/>
  <c r="Q94" i="26"/>
  <c r="Q95" i="26"/>
  <c r="Q96" i="26"/>
  <c r="Q97" i="26"/>
  <c r="Q98" i="26"/>
  <c r="Q99" i="26"/>
  <c r="Q100" i="26"/>
  <c r="Q101" i="26"/>
  <c r="Q102" i="26"/>
  <c r="Q103" i="26"/>
  <c r="Q104" i="26"/>
  <c r="Q105" i="26"/>
  <c r="Q106" i="26"/>
  <c r="Q107" i="26"/>
  <c r="Q108" i="26"/>
  <c r="Q109" i="26"/>
  <c r="Q110" i="26"/>
  <c r="Q111" i="26"/>
  <c r="Q112" i="26"/>
  <c r="Q113" i="26"/>
  <c r="Q114" i="26"/>
  <c r="Q115" i="26"/>
  <c r="Q116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30" i="26"/>
  <c r="Q131" i="26"/>
  <c r="Q132" i="26"/>
  <c r="Q133" i="26"/>
  <c r="Q134" i="26"/>
  <c r="Q135" i="26"/>
  <c r="Q136" i="26"/>
  <c r="Q137" i="26"/>
  <c r="Q138" i="26"/>
  <c r="Q139" i="26"/>
  <c r="Q140" i="26"/>
  <c r="Q141" i="26"/>
  <c r="Q142" i="26"/>
  <c r="Q143" i="26"/>
  <c r="Q144" i="26"/>
  <c r="Q145" i="26"/>
  <c r="Q146" i="26"/>
  <c r="Q147" i="26"/>
  <c r="Q148" i="26"/>
  <c r="Q149" i="26"/>
  <c r="Q150" i="26"/>
  <c r="Q151" i="26"/>
  <c r="Q152" i="26"/>
  <c r="Q153" i="26"/>
  <c r="Q165" i="26"/>
  <c r="Q166" i="26"/>
  <c r="Q167" i="26"/>
  <c r="Q168" i="26"/>
  <c r="Q169" i="26"/>
  <c r="Q170" i="26"/>
  <c r="Q171" i="26"/>
  <c r="Q172" i="26"/>
  <c r="Q173" i="26"/>
  <c r="Q174" i="26"/>
  <c r="Q175" i="26"/>
  <c r="Q176" i="26"/>
  <c r="Q177" i="26"/>
  <c r="Q178" i="26"/>
  <c r="Q179" i="26"/>
  <c r="Q180" i="26"/>
  <c r="Q181" i="26"/>
  <c r="Q182" i="26"/>
  <c r="Q183" i="26"/>
  <c r="Q184" i="26"/>
  <c r="Q185" i="26"/>
  <c r="Q186" i="26"/>
  <c r="Q187" i="26"/>
  <c r="Q188" i="26"/>
  <c r="Q189" i="26"/>
  <c r="Q190" i="26"/>
  <c r="Q191" i="26"/>
  <c r="Q192" i="26"/>
  <c r="Q193" i="26"/>
  <c r="Q194" i="26"/>
  <c r="Q195" i="26"/>
  <c r="Q196" i="26"/>
  <c r="Q197" i="26"/>
  <c r="Q198" i="26"/>
  <c r="Q199" i="26"/>
  <c r="Q200" i="26"/>
  <c r="Q201" i="26"/>
  <c r="Q202" i="26"/>
  <c r="Q203" i="26"/>
  <c r="Q204" i="26"/>
  <c r="Q205" i="26"/>
  <c r="Q206" i="26"/>
  <c r="Q207" i="26"/>
  <c r="Q208" i="26"/>
  <c r="Q209" i="26"/>
  <c r="Q210" i="26"/>
  <c r="Q211" i="26"/>
  <c r="Q212" i="26"/>
  <c r="Q213" i="26"/>
  <c r="Q214" i="26"/>
  <c r="Q215" i="26"/>
  <c r="Q216" i="26"/>
  <c r="Q217" i="26"/>
  <c r="Q218" i="26"/>
  <c r="Q219" i="26"/>
  <c r="Q220" i="26"/>
  <c r="Q221" i="26"/>
  <c r="Q222" i="26"/>
  <c r="Q223" i="26"/>
  <c r="Q224" i="26"/>
  <c r="Q225" i="26"/>
  <c r="Q226" i="26"/>
  <c r="Q227" i="26"/>
  <c r="Q228" i="26"/>
  <c r="Q229" i="26"/>
  <c r="Q230" i="26"/>
  <c r="Q231" i="26"/>
  <c r="Q232" i="26"/>
  <c r="Q233" i="26"/>
  <c r="Q234" i="26"/>
  <c r="Q235" i="26"/>
  <c r="Q236" i="26"/>
  <c r="Q237" i="26"/>
  <c r="Q238" i="26"/>
  <c r="Q239" i="26"/>
  <c r="Q240" i="26"/>
  <c r="Q250" i="26"/>
  <c r="Q251" i="26"/>
  <c r="Q252" i="26"/>
  <c r="Q253" i="26"/>
  <c r="Q254" i="26"/>
  <c r="Q255" i="26"/>
  <c r="Q256" i="26"/>
  <c r="Q257" i="26"/>
  <c r="Q258" i="26"/>
  <c r="Q259" i="26"/>
  <c r="Q260" i="26"/>
  <c r="Q261" i="26"/>
  <c r="Q262" i="26"/>
  <c r="Q263" i="26"/>
  <c r="Q264" i="26"/>
  <c r="Q265" i="26"/>
  <c r="Q266" i="26"/>
  <c r="Q267" i="26"/>
  <c r="Q268" i="26"/>
  <c r="Q269" i="26"/>
  <c r="Q270" i="26"/>
  <c r="Q271" i="26"/>
  <c r="Q272" i="26"/>
  <c r="Q273" i="26"/>
  <c r="Q274" i="26"/>
  <c r="Q275" i="26"/>
  <c r="Q276" i="26"/>
  <c r="Q277" i="26"/>
  <c r="Q278" i="26"/>
  <c r="Q279" i="26"/>
  <c r="Q280" i="26"/>
  <c r="Q281" i="26"/>
  <c r="Q282" i="26"/>
  <c r="Q283" i="26"/>
  <c r="Q284" i="26"/>
  <c r="Q285" i="26"/>
  <c r="Q286" i="26"/>
  <c r="Q287" i="26"/>
  <c r="Q288" i="26"/>
  <c r="Q289" i="26"/>
  <c r="Q290" i="26"/>
  <c r="Q291" i="26"/>
  <c r="Q292" i="26"/>
  <c r="Q293" i="26"/>
  <c r="Q294" i="26"/>
  <c r="Q295" i="26"/>
  <c r="Q296" i="26"/>
  <c r="Q297" i="26"/>
  <c r="Q298" i="26"/>
  <c r="Q299" i="26"/>
  <c r="Q300" i="26"/>
  <c r="Q301" i="26"/>
  <c r="Q302" i="26"/>
  <c r="Q303" i="26"/>
  <c r="Q304" i="26"/>
  <c r="Q305" i="26"/>
  <c r="Q306" i="26"/>
  <c r="Q307" i="26"/>
  <c r="Q308" i="26"/>
  <c r="Q309" i="26"/>
  <c r="Q310" i="26"/>
  <c r="Q311" i="26"/>
  <c r="Q312" i="26"/>
  <c r="Q313" i="26"/>
  <c r="Q314" i="26"/>
  <c r="Q315" i="26"/>
  <c r="Q316" i="26"/>
  <c r="Q317" i="26"/>
  <c r="Q318" i="26"/>
  <c r="Q319" i="26"/>
  <c r="Q320" i="26"/>
  <c r="Q321" i="26"/>
  <c r="Q322" i="26"/>
  <c r="Q323" i="26"/>
  <c r="Q324" i="26"/>
  <c r="Q325" i="26"/>
  <c r="Q326" i="26"/>
  <c r="Q327" i="26"/>
  <c r="Q328" i="26"/>
  <c r="Q329" i="26"/>
  <c r="Q330" i="26"/>
  <c r="Q331" i="26"/>
  <c r="Q332" i="26"/>
  <c r="Q333" i="26"/>
  <c r="Q334" i="26"/>
  <c r="Q335" i="26"/>
  <c r="Q336" i="26"/>
  <c r="Q337" i="26"/>
  <c r="Q338" i="26"/>
  <c r="Q339" i="26"/>
  <c r="Q340" i="26"/>
  <c r="Q341" i="26"/>
  <c r="Q342" i="26"/>
  <c r="Q343" i="26"/>
  <c r="Q344" i="26"/>
  <c r="Q345" i="26"/>
  <c r="Q346" i="26"/>
  <c r="Q347" i="26"/>
  <c r="Q348" i="26"/>
  <c r="Q349" i="26"/>
  <c r="Q350" i="26"/>
  <c r="Q351" i="26"/>
  <c r="Q352" i="26"/>
  <c r="Q353" i="26"/>
  <c r="Q354" i="26"/>
  <c r="Q355" i="26"/>
  <c r="Q356" i="26"/>
  <c r="Q357" i="26"/>
  <c r="Q358" i="26"/>
  <c r="Q359" i="26"/>
  <c r="Q360" i="26"/>
  <c r="Q361" i="26"/>
  <c r="Q362" i="26"/>
  <c r="Q363" i="26"/>
  <c r="Q364" i="26"/>
  <c r="Q365" i="26"/>
  <c r="Q366" i="26"/>
  <c r="Q367" i="26"/>
  <c r="Q368" i="26"/>
  <c r="Q369" i="26"/>
  <c r="Q370" i="26"/>
  <c r="Q371" i="26"/>
  <c r="Q372" i="26"/>
  <c r="Q373" i="26"/>
  <c r="Q374" i="26"/>
  <c r="Q375" i="26"/>
  <c r="Q376" i="26"/>
  <c r="Q377" i="26"/>
  <c r="Q378" i="26"/>
  <c r="Q379" i="26"/>
  <c r="Q380" i="26"/>
  <c r="Q381" i="26"/>
  <c r="Q382" i="26"/>
  <c r="Q383" i="26"/>
  <c r="Q384" i="26"/>
  <c r="Q385" i="26"/>
  <c r="Q386" i="26"/>
  <c r="Q387" i="26"/>
  <c r="Q388" i="26"/>
  <c r="Q389" i="26"/>
  <c r="Q390" i="26"/>
  <c r="Q391" i="26"/>
  <c r="Q392" i="26"/>
  <c r="Q393" i="26"/>
  <c r="Q394" i="26"/>
  <c r="Q395" i="26"/>
  <c r="Q396" i="26"/>
  <c r="Q397" i="26"/>
  <c r="Q398" i="26"/>
  <c r="Q399" i="26"/>
  <c r="Q400" i="26"/>
  <c r="Q401" i="26"/>
  <c r="Q402" i="26"/>
  <c r="Q403" i="26"/>
  <c r="Q404" i="26"/>
  <c r="Q405" i="26"/>
  <c r="Q406" i="26"/>
  <c r="Q407" i="26"/>
  <c r="Q408" i="26"/>
  <c r="Q409" i="26"/>
  <c r="Q410" i="26"/>
  <c r="Q411" i="26"/>
  <c r="Q422" i="26"/>
  <c r="Q423" i="26"/>
  <c r="Q424" i="26"/>
  <c r="Q425" i="26"/>
  <c r="Q426" i="26"/>
  <c r="Q427" i="26"/>
  <c r="Q428" i="26"/>
  <c r="Q429" i="26"/>
  <c r="Q430" i="26"/>
  <c r="Q431" i="26"/>
  <c r="Q432" i="26"/>
  <c r="Q433" i="26"/>
  <c r="Q434" i="26"/>
  <c r="Q435" i="26"/>
  <c r="Q436" i="26"/>
  <c r="Q437" i="26"/>
  <c r="Q438" i="26"/>
  <c r="Q439" i="26"/>
  <c r="Q440" i="26"/>
  <c r="Q441" i="26"/>
  <c r="Q442" i="26"/>
  <c r="Q443" i="26"/>
  <c r="Q444" i="26"/>
  <c r="Q445" i="26"/>
  <c r="Q446" i="26"/>
  <c r="Q447" i="26"/>
  <c r="Q448" i="26"/>
  <c r="Q449" i="26"/>
  <c r="Q450" i="26"/>
  <c r="Q451" i="26"/>
  <c r="Q452" i="26"/>
  <c r="Q453" i="26"/>
  <c r="Q454" i="26"/>
  <c r="Q455" i="26"/>
  <c r="Q456" i="26"/>
  <c r="Q457" i="26"/>
  <c r="Q458" i="26"/>
  <c r="Q459" i="26"/>
  <c r="Q460" i="26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Q536" i="26"/>
  <c r="Q537" i="26"/>
  <c r="Q538" i="26"/>
  <c r="Q539" i="26"/>
  <c r="Q540" i="26"/>
  <c r="Q541" i="26"/>
  <c r="Q542" i="26"/>
  <c r="Q543" i="26"/>
  <c r="Q544" i="26"/>
  <c r="Q545" i="26"/>
  <c r="Q546" i="26"/>
  <c r="Q547" i="26"/>
  <c r="Q548" i="26"/>
  <c r="Q549" i="26"/>
  <c r="Q550" i="26"/>
  <c r="Q551" i="26"/>
  <c r="Q552" i="26"/>
  <c r="Q553" i="26"/>
  <c r="Q554" i="26"/>
  <c r="Q555" i="26"/>
  <c r="Q556" i="26"/>
  <c r="Q557" i="26"/>
  <c r="Q558" i="26"/>
  <c r="Q559" i="26"/>
  <c r="Q560" i="26"/>
  <c r="Q561" i="26"/>
  <c r="Q562" i="26"/>
  <c r="Q563" i="26"/>
  <c r="Q564" i="26"/>
  <c r="Q565" i="26"/>
  <c r="Q566" i="26"/>
  <c r="Q567" i="26"/>
  <c r="Q568" i="26"/>
  <c r="Q569" i="26"/>
  <c r="Q570" i="26"/>
  <c r="Q571" i="26"/>
  <c r="Q572" i="26"/>
  <c r="Q573" i="26"/>
  <c r="Q574" i="26"/>
  <c r="Q575" i="26"/>
  <c r="Q576" i="26"/>
  <c r="Q577" i="26"/>
  <c r="Q578" i="26"/>
  <c r="Q579" i="26"/>
  <c r="Q580" i="26"/>
  <c r="Q581" i="26"/>
  <c r="Q582" i="26"/>
  <c r="Q583" i="26"/>
  <c r="Q584" i="26"/>
  <c r="Q585" i="26"/>
  <c r="Q586" i="26"/>
  <c r="Q587" i="26"/>
  <c r="Q588" i="26"/>
  <c r="Q589" i="26"/>
  <c r="Q590" i="26"/>
  <c r="Q591" i="26"/>
  <c r="Q592" i="26"/>
  <c r="Q593" i="26"/>
  <c r="Q594" i="26"/>
  <c r="Q595" i="26"/>
  <c r="Q596" i="26"/>
  <c r="Q597" i="26"/>
  <c r="Q598" i="26"/>
  <c r="Q599" i="26"/>
  <c r="Q600" i="26"/>
  <c r="Q601" i="26"/>
  <c r="Q602" i="26"/>
  <c r="Q603" i="26"/>
  <c r="Q604" i="26"/>
  <c r="Q605" i="26"/>
  <c r="Q606" i="26"/>
  <c r="Q607" i="26"/>
  <c r="Q608" i="26"/>
  <c r="Q609" i="26"/>
  <c r="Q610" i="26"/>
  <c r="Q611" i="26"/>
  <c r="Q612" i="26"/>
  <c r="Q613" i="26"/>
  <c r="Q614" i="26"/>
  <c r="Q615" i="26"/>
  <c r="Q616" i="26"/>
  <c r="Q617" i="26"/>
  <c r="Q618" i="26"/>
  <c r="Q619" i="26"/>
  <c r="Q620" i="26"/>
  <c r="Q621" i="26"/>
  <c r="Q622" i="26"/>
  <c r="Q623" i="26"/>
  <c r="Q624" i="26"/>
  <c r="Q625" i="26"/>
  <c r="Q626" i="26"/>
  <c r="Q627" i="26"/>
  <c r="Q628" i="26"/>
  <c r="Q629" i="26"/>
  <c r="Q630" i="26"/>
  <c r="Q631" i="26"/>
  <c r="Q632" i="26"/>
  <c r="Q633" i="26"/>
  <c r="Q634" i="26"/>
  <c r="Q635" i="26"/>
  <c r="Q636" i="26"/>
  <c r="Q637" i="26"/>
  <c r="Q638" i="26"/>
  <c r="Q639" i="26"/>
  <c r="Q640" i="26"/>
  <c r="Q641" i="26"/>
  <c r="Q642" i="26"/>
  <c r="Q643" i="26"/>
  <c r="Q644" i="26"/>
  <c r="Q645" i="26"/>
  <c r="Q646" i="26"/>
  <c r="Q647" i="26"/>
  <c r="Q648" i="26"/>
  <c r="Q649" i="26"/>
  <c r="Q650" i="26"/>
  <c r="Q651" i="26"/>
  <c r="Q652" i="26"/>
  <c r="Q653" i="26"/>
  <c r="Q654" i="26"/>
  <c r="Q655" i="26"/>
  <c r="Q656" i="26"/>
  <c r="Q657" i="26"/>
  <c r="Q658" i="26"/>
  <c r="Q659" i="26"/>
  <c r="Q660" i="26"/>
  <c r="Q661" i="26"/>
  <c r="Q662" i="26"/>
  <c r="Q663" i="26"/>
  <c r="Q664" i="26"/>
  <c r="Q665" i="26"/>
  <c r="Q666" i="26"/>
  <c r="Q667" i="26"/>
  <c r="Q668" i="26"/>
  <c r="Q669" i="26"/>
  <c r="Q670" i="26"/>
  <c r="Q671" i="26"/>
  <c r="Q672" i="26"/>
  <c r="Q673" i="26"/>
  <c r="Q674" i="26"/>
  <c r="Q675" i="26"/>
  <c r="Q676" i="26"/>
  <c r="Q677" i="26"/>
  <c r="Q678" i="26"/>
  <c r="Q679" i="26"/>
  <c r="Q680" i="26"/>
  <c r="Q681" i="26"/>
  <c r="Q682" i="26"/>
  <c r="Q683" i="26"/>
  <c r="Q684" i="26"/>
  <c r="Q685" i="26"/>
  <c r="Q686" i="26"/>
  <c r="Q687" i="26"/>
  <c r="Q688" i="26"/>
  <c r="Q689" i="26"/>
  <c r="Q690" i="26"/>
  <c r="Q691" i="26"/>
  <c r="Q692" i="26"/>
  <c r="Q693" i="26"/>
  <c r="Q694" i="26"/>
  <c r="Q695" i="26"/>
  <c r="Q696" i="26"/>
  <c r="Q697" i="26"/>
  <c r="Q698" i="26"/>
  <c r="Q699" i="26"/>
  <c r="Q700" i="26"/>
  <c r="Q701" i="26"/>
  <c r="Q702" i="26"/>
  <c r="Q703" i="26"/>
  <c r="Q704" i="26"/>
  <c r="Q705" i="26"/>
  <c r="Q706" i="26"/>
  <c r="Q707" i="26"/>
  <c r="Q708" i="26"/>
  <c r="Q709" i="26"/>
  <c r="Q710" i="26"/>
  <c r="Q711" i="26"/>
  <c r="Q712" i="26"/>
  <c r="Q713" i="26"/>
  <c r="Q714" i="26"/>
  <c r="Q715" i="26"/>
  <c r="Q716" i="26"/>
  <c r="Q717" i="26"/>
  <c r="Q718" i="26"/>
  <c r="Q719" i="26"/>
  <c r="Q720" i="26"/>
  <c r="Q721" i="26"/>
  <c r="Q722" i="26"/>
  <c r="Q723" i="26"/>
  <c r="Q724" i="26"/>
  <c r="Q725" i="26"/>
  <c r="Q726" i="26"/>
  <c r="Q727" i="26"/>
  <c r="Q728" i="26"/>
  <c r="Q729" i="26"/>
  <c r="Q730" i="26"/>
  <c r="Q731" i="26"/>
  <c r="Q732" i="26"/>
  <c r="Q733" i="26"/>
  <c r="Q734" i="26"/>
  <c r="Q735" i="26"/>
  <c r="Q736" i="26"/>
  <c r="Q737" i="26"/>
  <c r="Q738" i="26"/>
  <c r="Q739" i="26"/>
  <c r="Q740" i="26"/>
  <c r="Q741" i="26"/>
  <c r="Q742" i="26"/>
  <c r="Q743" i="26"/>
  <c r="Q744" i="26"/>
  <c r="Q745" i="26"/>
  <c r="Q746" i="26"/>
  <c r="Q747" i="26"/>
  <c r="Q748" i="26"/>
  <c r="Q749" i="26"/>
  <c r="Q750" i="26"/>
  <c r="Q751" i="26"/>
  <c r="Q752" i="26"/>
  <c r="Q753" i="26"/>
  <c r="Q754" i="26"/>
  <c r="Q755" i="26"/>
  <c r="Q756" i="26"/>
  <c r="Q757" i="26"/>
  <c r="Q758" i="26"/>
  <c r="Q759" i="26"/>
  <c r="Q760" i="26"/>
  <c r="Q761" i="26"/>
  <c r="Q762" i="26"/>
  <c r="Q763" i="26"/>
  <c r="Q764" i="26"/>
  <c r="Q765" i="26"/>
  <c r="Q766" i="26"/>
  <c r="Q767" i="26"/>
  <c r="Q768" i="26"/>
  <c r="Q769" i="26"/>
  <c r="Q770" i="26"/>
  <c r="Q771" i="26"/>
  <c r="Q772" i="26"/>
  <c r="Q773" i="26"/>
  <c r="Q774" i="26"/>
  <c r="Q775" i="26"/>
  <c r="Q776" i="26"/>
  <c r="Q777" i="26"/>
  <c r="Q778" i="26"/>
  <c r="Q779" i="26"/>
  <c r="Q780" i="26"/>
  <c r="Q781" i="26"/>
  <c r="Q782" i="26"/>
  <c r="Q783" i="26"/>
  <c r="Q784" i="26"/>
  <c r="Q785" i="26"/>
  <c r="Q786" i="26"/>
  <c r="Q787" i="26"/>
  <c r="Q788" i="26"/>
  <c r="Q789" i="26"/>
  <c r="Q790" i="26"/>
  <c r="Q791" i="26"/>
  <c r="Q792" i="26"/>
  <c r="Q793" i="26"/>
  <c r="Q794" i="26"/>
  <c r="Q795" i="26"/>
  <c r="Q796" i="26"/>
  <c r="Q797" i="26"/>
  <c r="Q798" i="26"/>
  <c r="Q799" i="26"/>
  <c r="Q800" i="26"/>
  <c r="Q801" i="26"/>
  <c r="Q802" i="26"/>
  <c r="Q803" i="26"/>
  <c r="Q804" i="26"/>
  <c r="Q805" i="26"/>
  <c r="Q806" i="26"/>
  <c r="Q811" i="26"/>
  <c r="Q812" i="26"/>
  <c r="Q813" i="26"/>
  <c r="Q814" i="26"/>
  <c r="Q815" i="26"/>
  <c r="Q816" i="26"/>
  <c r="Q817" i="26"/>
  <c r="Q818" i="26"/>
  <c r="Q819" i="26"/>
  <c r="Q820" i="26"/>
  <c r="Q821" i="26"/>
  <c r="Q822" i="26"/>
  <c r="Q823" i="26"/>
  <c r="Q824" i="26"/>
  <c r="Q825" i="26"/>
  <c r="Q826" i="26"/>
  <c r="Q827" i="26"/>
  <c r="Q828" i="26"/>
  <c r="Q829" i="26"/>
  <c r="Q830" i="26"/>
  <c r="Q831" i="26"/>
  <c r="Q832" i="26"/>
  <c r="Q833" i="26"/>
  <c r="Q834" i="26"/>
  <c r="Q835" i="26"/>
  <c r="Q836" i="26"/>
  <c r="Q837" i="26"/>
  <c r="Q838" i="26"/>
  <c r="Q839" i="26"/>
  <c r="Q840" i="26"/>
  <c r="Q841" i="26"/>
  <c r="Q842" i="26"/>
  <c r="Q843" i="26"/>
  <c r="Q844" i="26"/>
  <c r="Q845" i="26"/>
  <c r="Q846" i="26"/>
  <c r="Q847" i="26"/>
  <c r="Q848" i="26"/>
  <c r="Q849" i="26"/>
  <c r="Q850" i="26"/>
  <c r="Q851" i="26"/>
  <c r="Q852" i="26"/>
  <c r="Q853" i="26"/>
  <c r="Q854" i="26"/>
  <c r="Q855" i="26"/>
  <c r="Q856" i="26"/>
  <c r="Q857" i="26"/>
  <c r="Q858" i="26"/>
  <c r="Q859" i="26"/>
  <c r="Q860" i="26"/>
  <c r="Q861" i="26"/>
  <c r="Q862" i="26"/>
  <c r="Q863" i="26"/>
  <c r="Q864" i="26"/>
  <c r="Q865" i="26"/>
  <c r="Q866" i="26"/>
  <c r="Q867" i="26"/>
  <c r="Q868" i="26"/>
  <c r="Q869" i="26"/>
  <c r="Q870" i="26"/>
  <c r="Q871" i="26"/>
  <c r="Q872" i="26"/>
  <c r="Q873" i="26"/>
  <c r="Q874" i="26"/>
  <c r="Q875" i="26"/>
  <c r="Q876" i="26"/>
  <c r="Q877" i="26"/>
  <c r="Q878" i="26"/>
  <c r="Q879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64" i="26"/>
  <c r="V164" i="26" s="1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9" i="26"/>
  <c r="V249" i="26" s="1"/>
  <c r="O250" i="26"/>
  <c r="O251" i="26"/>
  <c r="O252" i="26"/>
  <c r="O253" i="26"/>
  <c r="O254" i="26"/>
  <c r="O255" i="26"/>
  <c r="O256" i="26"/>
  <c r="O257" i="26"/>
  <c r="O258" i="26"/>
  <c r="O259" i="26"/>
  <c r="O260" i="26"/>
  <c r="O261" i="26"/>
  <c r="O262" i="26"/>
  <c r="O263" i="26"/>
  <c r="O264" i="26"/>
  <c r="O265" i="26"/>
  <c r="O266" i="26"/>
  <c r="O267" i="26"/>
  <c r="O268" i="26"/>
  <c r="O269" i="26"/>
  <c r="O270" i="26"/>
  <c r="O271" i="26"/>
  <c r="O272" i="26"/>
  <c r="O273" i="26"/>
  <c r="O274" i="26"/>
  <c r="O275" i="26"/>
  <c r="O276" i="26"/>
  <c r="O277" i="26"/>
  <c r="O278" i="26"/>
  <c r="O279" i="26"/>
  <c r="O280" i="26"/>
  <c r="O281" i="26"/>
  <c r="O282" i="26"/>
  <c r="O283" i="26"/>
  <c r="O284" i="26"/>
  <c r="O285" i="26"/>
  <c r="O286" i="26"/>
  <c r="O287" i="26"/>
  <c r="O288" i="26"/>
  <c r="O289" i="26"/>
  <c r="O290" i="26"/>
  <c r="O291" i="26"/>
  <c r="O292" i="26"/>
  <c r="O293" i="26"/>
  <c r="O294" i="26"/>
  <c r="O295" i="26"/>
  <c r="O296" i="26"/>
  <c r="O297" i="26"/>
  <c r="O298" i="26"/>
  <c r="O299" i="26"/>
  <c r="O300" i="26"/>
  <c r="O301" i="26"/>
  <c r="O302" i="26"/>
  <c r="O303" i="26"/>
  <c r="O304" i="26"/>
  <c r="O305" i="26"/>
  <c r="O306" i="26"/>
  <c r="O307" i="26"/>
  <c r="O308" i="26"/>
  <c r="O309" i="26"/>
  <c r="O310" i="26"/>
  <c r="O311" i="26"/>
  <c r="O312" i="26"/>
  <c r="O313" i="26"/>
  <c r="O314" i="26"/>
  <c r="O315" i="26"/>
  <c r="O316" i="26"/>
  <c r="O317" i="26"/>
  <c r="O318" i="26"/>
  <c r="O319" i="26"/>
  <c r="O320" i="26"/>
  <c r="O321" i="26"/>
  <c r="O322" i="26"/>
  <c r="O323" i="26"/>
  <c r="O324" i="26"/>
  <c r="O325" i="26"/>
  <c r="O326" i="26"/>
  <c r="O327" i="26"/>
  <c r="O328" i="26"/>
  <c r="O329" i="26"/>
  <c r="O330" i="26"/>
  <c r="O331" i="26"/>
  <c r="O332" i="26"/>
  <c r="O333" i="26"/>
  <c r="O334" i="26"/>
  <c r="O335" i="26"/>
  <c r="O336" i="26"/>
  <c r="O337" i="26"/>
  <c r="O338" i="26"/>
  <c r="O339" i="26"/>
  <c r="O340" i="26"/>
  <c r="O341" i="26"/>
  <c r="O342" i="26"/>
  <c r="O343" i="26"/>
  <c r="O344" i="26"/>
  <c r="O345" i="26"/>
  <c r="O346" i="26"/>
  <c r="O347" i="26"/>
  <c r="O348" i="26"/>
  <c r="O349" i="26"/>
  <c r="O350" i="26"/>
  <c r="O351" i="26"/>
  <c r="O352" i="26"/>
  <c r="O353" i="26"/>
  <c r="O354" i="26"/>
  <c r="O355" i="26"/>
  <c r="O356" i="26"/>
  <c r="O357" i="26"/>
  <c r="O358" i="26"/>
  <c r="O359" i="26"/>
  <c r="O360" i="26"/>
  <c r="O361" i="26"/>
  <c r="O362" i="26"/>
  <c r="O363" i="26"/>
  <c r="O364" i="26"/>
  <c r="O365" i="26"/>
  <c r="O366" i="26"/>
  <c r="O367" i="26"/>
  <c r="O368" i="26"/>
  <c r="O369" i="26"/>
  <c r="O370" i="26"/>
  <c r="O371" i="26"/>
  <c r="O372" i="26"/>
  <c r="O373" i="26"/>
  <c r="O374" i="26"/>
  <c r="O375" i="26"/>
  <c r="O376" i="26"/>
  <c r="O377" i="26"/>
  <c r="O378" i="26"/>
  <c r="O379" i="26"/>
  <c r="O380" i="26"/>
  <c r="O381" i="26"/>
  <c r="O382" i="26"/>
  <c r="O383" i="26"/>
  <c r="O384" i="26"/>
  <c r="O385" i="26"/>
  <c r="O386" i="26"/>
  <c r="O387" i="26"/>
  <c r="O388" i="26"/>
  <c r="O389" i="26"/>
  <c r="O390" i="26"/>
  <c r="O391" i="26"/>
  <c r="O392" i="26"/>
  <c r="O393" i="26"/>
  <c r="O394" i="26"/>
  <c r="O395" i="26"/>
  <c r="O396" i="26"/>
  <c r="O397" i="26"/>
  <c r="O398" i="26"/>
  <c r="O399" i="26"/>
  <c r="O400" i="26"/>
  <c r="O401" i="26"/>
  <c r="O402" i="26"/>
  <c r="O403" i="26"/>
  <c r="O404" i="26"/>
  <c r="O405" i="26"/>
  <c r="O406" i="26"/>
  <c r="O407" i="26"/>
  <c r="O408" i="26"/>
  <c r="O409" i="26"/>
  <c r="O410" i="26"/>
  <c r="O411" i="26"/>
  <c r="O422" i="26"/>
  <c r="O423" i="26"/>
  <c r="O424" i="26"/>
  <c r="O425" i="26"/>
  <c r="O426" i="26"/>
  <c r="O427" i="26"/>
  <c r="O428" i="26"/>
  <c r="O429" i="26"/>
  <c r="O430" i="26"/>
  <c r="O431" i="26"/>
  <c r="O432" i="26"/>
  <c r="O433" i="26"/>
  <c r="O434" i="26"/>
  <c r="O435" i="26"/>
  <c r="O436" i="26"/>
  <c r="O437" i="26"/>
  <c r="O438" i="26"/>
  <c r="O439" i="26"/>
  <c r="O440" i="26"/>
  <c r="O441" i="26"/>
  <c r="O442" i="26"/>
  <c r="O443" i="26"/>
  <c r="O444" i="26"/>
  <c r="O445" i="26"/>
  <c r="O446" i="26"/>
  <c r="O447" i="26"/>
  <c r="O448" i="26"/>
  <c r="O449" i="26"/>
  <c r="O450" i="26"/>
  <c r="O451" i="26"/>
  <c r="O452" i="26"/>
  <c r="O453" i="26"/>
  <c r="O454" i="26"/>
  <c r="O455" i="26"/>
  <c r="O456" i="26"/>
  <c r="O457" i="26"/>
  <c r="O458" i="26"/>
  <c r="O459" i="26"/>
  <c r="O460" i="26"/>
  <c r="O461" i="26"/>
  <c r="O462" i="26"/>
  <c r="O463" i="26"/>
  <c r="O464" i="26"/>
  <c r="O465" i="26"/>
  <c r="O466" i="26"/>
  <c r="O467" i="26"/>
  <c r="O468" i="26"/>
  <c r="O469" i="26"/>
  <c r="O470" i="26"/>
  <c r="O471" i="26"/>
  <c r="O472" i="26"/>
  <c r="O473" i="26"/>
  <c r="O474" i="26"/>
  <c r="O475" i="26"/>
  <c r="O476" i="26"/>
  <c r="O477" i="26"/>
  <c r="O478" i="26"/>
  <c r="O479" i="26"/>
  <c r="O480" i="26"/>
  <c r="O481" i="26"/>
  <c r="O482" i="26"/>
  <c r="O483" i="26"/>
  <c r="O484" i="26"/>
  <c r="O485" i="26"/>
  <c r="O486" i="26"/>
  <c r="O487" i="26"/>
  <c r="O488" i="26"/>
  <c r="O489" i="26"/>
  <c r="O490" i="26"/>
  <c r="O491" i="26"/>
  <c r="O492" i="26"/>
  <c r="O493" i="26"/>
  <c r="O494" i="26"/>
  <c r="O495" i="26"/>
  <c r="O496" i="26"/>
  <c r="O497" i="26"/>
  <c r="O498" i="26"/>
  <c r="O499" i="26"/>
  <c r="O500" i="26"/>
  <c r="O501" i="26"/>
  <c r="O502" i="26"/>
  <c r="O503" i="26"/>
  <c r="O504" i="26"/>
  <c r="O505" i="26"/>
  <c r="O506" i="26"/>
  <c r="O507" i="26"/>
  <c r="O508" i="26"/>
  <c r="O509" i="26"/>
  <c r="O510" i="26"/>
  <c r="O511" i="26"/>
  <c r="O512" i="26"/>
  <c r="O513" i="26"/>
  <c r="O514" i="26"/>
  <c r="O515" i="26"/>
  <c r="O516" i="26"/>
  <c r="O517" i="26"/>
  <c r="O518" i="26"/>
  <c r="O519" i="26"/>
  <c r="O520" i="26"/>
  <c r="O521" i="26"/>
  <c r="O522" i="26"/>
  <c r="O523" i="26"/>
  <c r="O524" i="26"/>
  <c r="O525" i="26"/>
  <c r="O526" i="26"/>
  <c r="O527" i="26"/>
  <c r="O528" i="26"/>
  <c r="O529" i="26"/>
  <c r="O530" i="26"/>
  <c r="O531" i="26"/>
  <c r="O532" i="26"/>
  <c r="O533" i="26"/>
  <c r="O534" i="26"/>
  <c r="O535" i="26"/>
  <c r="O536" i="26"/>
  <c r="O537" i="26"/>
  <c r="O538" i="26"/>
  <c r="O539" i="26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11" i="26"/>
  <c r="O812" i="26"/>
  <c r="V812" i="26" s="1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V811" i="26" l="1"/>
  <c r="V813" i="26"/>
  <c r="V319" i="26"/>
  <c r="V307" i="26"/>
  <c r="V295" i="26"/>
  <c r="V283" i="26"/>
  <c r="V271" i="26"/>
  <c r="V259" i="26"/>
  <c r="V324" i="26"/>
  <c r="V312" i="26"/>
  <c r="V300" i="26"/>
  <c r="V288" i="26"/>
  <c r="V276" i="26"/>
  <c r="V264" i="26"/>
  <c r="V252" i="26"/>
  <c r="V329" i="26"/>
  <c r="V317" i="26"/>
  <c r="V305" i="26"/>
  <c r="V293" i="26"/>
  <c r="V281" i="26"/>
  <c r="V269" i="26"/>
  <c r="V257" i="26"/>
  <c r="V322" i="26"/>
  <c r="V310" i="26"/>
  <c r="V298" i="26"/>
  <c r="V286" i="26"/>
  <c r="V274" i="26"/>
  <c r="V262" i="26"/>
  <c r="V250" i="26"/>
  <c r="V320" i="26"/>
  <c r="V308" i="26"/>
  <c r="V296" i="26"/>
  <c r="V284" i="26"/>
  <c r="V272" i="26"/>
  <c r="V260" i="26"/>
  <c r="V318" i="26"/>
  <c r="V306" i="26"/>
  <c r="V294" i="26"/>
  <c r="V282" i="26"/>
  <c r="V270" i="26"/>
  <c r="V258" i="26"/>
  <c r="V328" i="26"/>
  <c r="V316" i="26"/>
  <c r="V304" i="26"/>
  <c r="V292" i="26"/>
  <c r="V280" i="26"/>
  <c r="V268" i="26"/>
  <c r="V256" i="26"/>
  <c r="V323" i="26"/>
  <c r="V311" i="26"/>
  <c r="V299" i="26"/>
  <c r="V287" i="26"/>
  <c r="V275" i="26"/>
  <c r="V263" i="26"/>
  <c r="V251" i="26"/>
  <c r="V327" i="26"/>
  <c r="V315" i="26"/>
  <c r="V303" i="26"/>
  <c r="V291" i="26"/>
  <c r="V279" i="26"/>
  <c r="V267" i="26"/>
  <c r="V255" i="26"/>
  <c r="V321" i="26"/>
  <c r="V309" i="26"/>
  <c r="V297" i="26"/>
  <c r="V285" i="26"/>
  <c r="V273" i="26"/>
  <c r="V261" i="26"/>
  <c r="V326" i="26"/>
  <c r="V314" i="26"/>
  <c r="V302" i="26"/>
  <c r="V290" i="26"/>
  <c r="V278" i="26"/>
  <c r="V266" i="26"/>
  <c r="V254" i="26"/>
  <c r="V325" i="26"/>
  <c r="V313" i="26"/>
  <c r="V301" i="26"/>
  <c r="V289" i="26"/>
  <c r="V277" i="26"/>
  <c r="V265" i="26"/>
  <c r="V253" i="26"/>
  <c r="V64" i="26"/>
  <c r="V63" i="26"/>
  <c r="V165" i="26"/>
  <c r="V137" i="26"/>
  <c r="V125" i="26"/>
  <c r="V113" i="26"/>
  <c r="V101" i="26"/>
  <c r="V89" i="26"/>
  <c r="V77" i="26"/>
  <c r="V65" i="26"/>
  <c r="V30" i="26"/>
  <c r="V18" i="26"/>
  <c r="V839" i="26"/>
  <c r="V827" i="26"/>
  <c r="V815" i="26"/>
  <c r="V787" i="26"/>
  <c r="V775" i="26"/>
  <c r="V763" i="26"/>
  <c r="V751" i="26"/>
  <c r="V739" i="26"/>
  <c r="V727" i="26"/>
  <c r="V715" i="26"/>
  <c r="V703" i="26"/>
  <c r="V691" i="26"/>
  <c r="V679" i="26"/>
  <c r="V667" i="26"/>
  <c r="V643" i="26"/>
  <c r="V631" i="26"/>
  <c r="V619" i="26"/>
  <c r="V607" i="26"/>
  <c r="V595" i="26"/>
  <c r="V583" i="26"/>
  <c r="V571" i="26"/>
  <c r="V559" i="26"/>
  <c r="V547" i="26"/>
  <c r="V535" i="26"/>
  <c r="V523" i="26"/>
  <c r="V499" i="26"/>
  <c r="V487" i="26"/>
  <c r="V463" i="26"/>
  <c r="V451" i="26"/>
  <c r="V439" i="26"/>
  <c r="V427" i="26"/>
  <c r="V405" i="26"/>
  <c r="V393" i="26"/>
  <c r="V381" i="26"/>
  <c r="V369" i="26"/>
  <c r="V345" i="26"/>
  <c r="V333" i="26"/>
  <c r="V231" i="26"/>
  <c r="V219" i="26"/>
  <c r="V207" i="26"/>
  <c r="V195" i="26"/>
  <c r="V171" i="26"/>
  <c r="V149" i="26"/>
  <c r="V875" i="26"/>
  <c r="V863" i="26"/>
  <c r="V851" i="26"/>
  <c r="V475" i="26"/>
  <c r="V872" i="26"/>
  <c r="V848" i="26"/>
  <c r="V824" i="26"/>
  <c r="V784" i="26"/>
  <c r="V760" i="26"/>
  <c r="V736" i="26"/>
  <c r="V700" i="26"/>
  <c r="V676" i="26"/>
  <c r="V640" i="26"/>
  <c r="V604" i="26"/>
  <c r="V580" i="26"/>
  <c r="V556" i="26"/>
  <c r="V532" i="26"/>
  <c r="V508" i="26"/>
  <c r="V484" i="26"/>
  <c r="V460" i="26"/>
  <c r="V436" i="26"/>
  <c r="V402" i="26"/>
  <c r="V378" i="26"/>
  <c r="V354" i="26"/>
  <c r="V330" i="26"/>
  <c r="V240" i="26"/>
  <c r="V228" i="26"/>
  <c r="V216" i="26"/>
  <c r="V204" i="26"/>
  <c r="V192" i="26"/>
  <c r="V180" i="26"/>
  <c r="V168" i="26"/>
  <c r="V146" i="26"/>
  <c r="V134" i="26"/>
  <c r="V122" i="26"/>
  <c r="V110" i="26"/>
  <c r="V98" i="26"/>
  <c r="V74" i="26"/>
  <c r="V39" i="26"/>
  <c r="V27" i="26"/>
  <c r="V860" i="26"/>
  <c r="V836" i="26"/>
  <c r="V796" i="26"/>
  <c r="V772" i="26"/>
  <c r="V748" i="26"/>
  <c r="V724" i="26"/>
  <c r="V712" i="26"/>
  <c r="V688" i="26"/>
  <c r="V664" i="26"/>
  <c r="V652" i="26"/>
  <c r="V628" i="26"/>
  <c r="V616" i="26"/>
  <c r="V592" i="26"/>
  <c r="V568" i="26"/>
  <c r="V544" i="26"/>
  <c r="V520" i="26"/>
  <c r="V496" i="26"/>
  <c r="V472" i="26"/>
  <c r="V448" i="26"/>
  <c r="V424" i="26"/>
  <c r="V390" i="26"/>
  <c r="V366" i="26"/>
  <c r="V342" i="26"/>
  <c r="V86" i="26"/>
  <c r="V15" i="26"/>
  <c r="V743" i="26"/>
  <c r="V719" i="26"/>
  <c r="V707" i="26"/>
  <c r="V695" i="26"/>
  <c r="V683" i="26"/>
  <c r="V671" i="26"/>
  <c r="V659" i="26"/>
  <c r="V647" i="26"/>
  <c r="V635" i="26"/>
  <c r="V623" i="26"/>
  <c r="V611" i="26"/>
  <c r="V587" i="26"/>
  <c r="V575" i="26"/>
  <c r="V563" i="26"/>
  <c r="V551" i="26"/>
  <c r="V539" i="26"/>
  <c r="V527" i="26"/>
  <c r="V515" i="26"/>
  <c r="V503" i="26"/>
  <c r="V491" i="26"/>
  <c r="V479" i="26"/>
  <c r="V467" i="26"/>
  <c r="V455" i="26"/>
  <c r="V443" i="26"/>
  <c r="V431" i="26"/>
  <c r="V409" i="26"/>
  <c r="V397" i="26"/>
  <c r="V385" i="26"/>
  <c r="V373" i="26"/>
  <c r="V361" i="26"/>
  <c r="V349" i="26"/>
  <c r="V337" i="26"/>
  <c r="V235" i="26"/>
  <c r="V223" i="26"/>
  <c r="V211" i="26"/>
  <c r="V199" i="26"/>
  <c r="V187" i="26"/>
  <c r="V175" i="26"/>
  <c r="V153" i="26"/>
  <c r="V141" i="26"/>
  <c r="V129" i="26"/>
  <c r="V117" i="26"/>
  <c r="V105" i="26"/>
  <c r="V93" i="26"/>
  <c r="V81" i="26"/>
  <c r="V69" i="26"/>
  <c r="V34" i="26"/>
  <c r="V22" i="26"/>
  <c r="V10" i="26"/>
  <c r="V731" i="26"/>
  <c r="V599" i="26"/>
  <c r="V450" i="26"/>
  <c r="V870" i="26"/>
  <c r="V858" i="26"/>
  <c r="V846" i="26"/>
  <c r="V834" i="26"/>
  <c r="V822" i="26"/>
  <c r="V806" i="26"/>
  <c r="V794" i="26"/>
  <c r="V782" i="26"/>
  <c r="V770" i="26"/>
  <c r="V758" i="26"/>
  <c r="V746" i="26"/>
  <c r="V734" i="26"/>
  <c r="V722" i="26"/>
  <c r="V710" i="26"/>
  <c r="V698" i="26"/>
  <c r="V686" i="26"/>
  <c r="V674" i="26"/>
  <c r="V662" i="26"/>
  <c r="V650" i="26"/>
  <c r="V638" i="26"/>
  <c r="V626" i="26"/>
  <c r="V614" i="26"/>
  <c r="V602" i="26"/>
  <c r="V590" i="26"/>
  <c r="V578" i="26"/>
  <c r="V566" i="26"/>
  <c r="V554" i="26"/>
  <c r="V542" i="26"/>
  <c r="V530" i="26"/>
  <c r="V518" i="26"/>
  <c r="V506" i="26"/>
  <c r="V494" i="26"/>
  <c r="V482" i="26"/>
  <c r="V470" i="26"/>
  <c r="V458" i="26"/>
  <c r="V446" i="26"/>
  <c r="V434" i="26"/>
  <c r="V422" i="26"/>
  <c r="V400" i="26"/>
  <c r="V388" i="26"/>
  <c r="V376" i="26"/>
  <c r="V364" i="26"/>
  <c r="V352" i="26"/>
  <c r="V340" i="26"/>
  <c r="V238" i="26"/>
  <c r="V226" i="26"/>
  <c r="V214" i="26"/>
  <c r="V202" i="26"/>
  <c r="V190" i="26"/>
  <c r="V178" i="26"/>
  <c r="V166" i="26"/>
  <c r="V144" i="26"/>
  <c r="V132" i="26"/>
  <c r="V120" i="26"/>
  <c r="V108" i="26"/>
  <c r="V96" i="26"/>
  <c r="V84" i="26"/>
  <c r="V72" i="26"/>
  <c r="V37" i="26"/>
  <c r="V25" i="26"/>
  <c r="V13" i="26"/>
  <c r="V845" i="26"/>
  <c r="V637" i="26"/>
  <c r="V625" i="26"/>
  <c r="V613" i="26"/>
  <c r="V601" i="26"/>
  <c r="V589" i="26"/>
  <c r="V577" i="26"/>
  <c r="V565" i="26"/>
  <c r="V553" i="26"/>
  <c r="V541" i="26"/>
  <c r="V529" i="26"/>
  <c r="V517" i="26"/>
  <c r="V505" i="26"/>
  <c r="V493" i="26"/>
  <c r="V481" i="26"/>
  <c r="V469" i="26"/>
  <c r="V457" i="26"/>
  <c r="V445" i="26"/>
  <c r="V433" i="26"/>
  <c r="V411" i="26"/>
  <c r="V399" i="26"/>
  <c r="V387" i="26"/>
  <c r="V375" i="26"/>
  <c r="V363" i="26"/>
  <c r="V351" i="26"/>
  <c r="V339" i="26"/>
  <c r="V237" i="26"/>
  <c r="V225" i="26"/>
  <c r="V213" i="26"/>
  <c r="V201" i="26"/>
  <c r="V189" i="26"/>
  <c r="V177" i="26"/>
  <c r="V143" i="26"/>
  <c r="V131" i="26"/>
  <c r="V119" i="26"/>
  <c r="V107" i="26"/>
  <c r="V95" i="26"/>
  <c r="V83" i="26"/>
  <c r="V71" i="26"/>
  <c r="V36" i="26"/>
  <c r="V24" i="26"/>
  <c r="V12" i="26"/>
  <c r="V869" i="26"/>
  <c r="V857" i="26"/>
  <c r="V833" i="26"/>
  <c r="V821" i="26"/>
  <c r="V805" i="26"/>
  <c r="V793" i="26"/>
  <c r="V781" i="26"/>
  <c r="V769" i="26"/>
  <c r="V757" i="26"/>
  <c r="V745" i="26"/>
  <c r="V733" i="26"/>
  <c r="V721" i="26"/>
  <c r="V709" i="26"/>
  <c r="V697" i="26"/>
  <c r="V685" i="26"/>
  <c r="V673" i="26"/>
  <c r="V661" i="26"/>
  <c r="V649" i="26"/>
  <c r="V868" i="26"/>
  <c r="V856" i="26"/>
  <c r="V844" i="26"/>
  <c r="V832" i="26"/>
  <c r="V820" i="26"/>
  <c r="V804" i="26"/>
  <c r="V792" i="26"/>
  <c r="V780" i="26"/>
  <c r="V768" i="26"/>
  <c r="V756" i="26"/>
  <c r="V744" i="26"/>
  <c r="V732" i="26"/>
  <c r="V720" i="26"/>
  <c r="V708" i="26"/>
  <c r="V696" i="26"/>
  <c r="V684" i="26"/>
  <c r="V672" i="26"/>
  <c r="V660" i="26"/>
  <c r="V648" i="26"/>
  <c r="V636" i="26"/>
  <c r="V624" i="26"/>
  <c r="V612" i="26"/>
  <c r="V600" i="26"/>
  <c r="V588" i="26"/>
  <c r="V576" i="26"/>
  <c r="V564" i="26"/>
  <c r="V552" i="26"/>
  <c r="V540" i="26"/>
  <c r="V528" i="26"/>
  <c r="V516" i="26"/>
  <c r="V504" i="26"/>
  <c r="V492" i="26"/>
  <c r="V480" i="26"/>
  <c r="V468" i="26"/>
  <c r="V456" i="26"/>
  <c r="V444" i="26"/>
  <c r="V432" i="26"/>
  <c r="V410" i="26"/>
  <c r="V398" i="26"/>
  <c r="V386" i="26"/>
  <c r="V374" i="26"/>
  <c r="V362" i="26"/>
  <c r="V350" i="26"/>
  <c r="V338" i="26"/>
  <c r="V236" i="26"/>
  <c r="V224" i="26"/>
  <c r="V212" i="26"/>
  <c r="V200" i="26"/>
  <c r="V188" i="26"/>
  <c r="V176" i="26"/>
  <c r="V142" i="26"/>
  <c r="V130" i="26"/>
  <c r="V118" i="26"/>
  <c r="V106" i="26"/>
  <c r="V94" i="26"/>
  <c r="V82" i="26"/>
  <c r="V70" i="26"/>
  <c r="V35" i="26"/>
  <c r="V23" i="26"/>
  <c r="V11" i="26"/>
  <c r="V876" i="26"/>
  <c r="V864" i="26"/>
  <c r="V852" i="26"/>
  <c r="V840" i="26"/>
  <c r="V828" i="26"/>
  <c r="V816" i="26"/>
  <c r="V800" i="26"/>
  <c r="V788" i="26"/>
  <c r="V776" i="26"/>
  <c r="V764" i="26"/>
  <c r="V752" i="26"/>
  <c r="V740" i="26"/>
  <c r="V728" i="26"/>
  <c r="V716" i="26"/>
  <c r="V704" i="26"/>
  <c r="V692" i="26"/>
  <c r="V680" i="26"/>
  <c r="V668" i="26"/>
  <c r="V656" i="26"/>
  <c r="V644" i="26"/>
  <c r="V632" i="26"/>
  <c r="V620" i="26"/>
  <c r="V608" i="26"/>
  <c r="V596" i="26"/>
  <c r="V584" i="26"/>
  <c r="V572" i="26"/>
  <c r="V560" i="26"/>
  <c r="V548" i="26"/>
  <c r="V536" i="26"/>
  <c r="V524" i="26"/>
  <c r="V512" i="26"/>
  <c r="V500" i="26"/>
  <c r="V488" i="26"/>
  <c r="V476" i="26"/>
  <c r="V464" i="26"/>
  <c r="V452" i="26"/>
  <c r="V440" i="26"/>
  <c r="V428" i="26"/>
  <c r="V406" i="26"/>
  <c r="V394" i="26"/>
  <c r="V382" i="26"/>
  <c r="V370" i="26"/>
  <c r="V358" i="26"/>
  <c r="V346" i="26"/>
  <c r="V334" i="26"/>
  <c r="V232" i="26"/>
  <c r="V220" i="26"/>
  <c r="V208" i="26"/>
  <c r="V196" i="26"/>
  <c r="V184" i="26"/>
  <c r="V172" i="26"/>
  <c r="V150" i="26"/>
  <c r="V138" i="26"/>
  <c r="V126" i="26"/>
  <c r="V114" i="26"/>
  <c r="V102" i="26"/>
  <c r="V90" i="26"/>
  <c r="V78" i="26"/>
  <c r="V66" i="26"/>
  <c r="V31" i="26"/>
  <c r="V19" i="26"/>
  <c r="V878" i="26"/>
  <c r="V866" i="26"/>
  <c r="V854" i="26"/>
  <c r="V842" i="26"/>
  <c r="V830" i="26"/>
  <c r="V818" i="26"/>
  <c r="V802" i="26"/>
  <c r="V790" i="26"/>
  <c r="V778" i="26"/>
  <c r="V766" i="26"/>
  <c r="V754" i="26"/>
  <c r="V742" i="26"/>
  <c r="V730" i="26"/>
  <c r="V718" i="26"/>
  <c r="V706" i="26"/>
  <c r="V694" i="26"/>
  <c r="V682" i="26"/>
  <c r="V670" i="26"/>
  <c r="V658" i="26"/>
  <c r="V646" i="26"/>
  <c r="V634" i="26"/>
  <c r="V622" i="26"/>
  <c r="V610" i="26"/>
  <c r="V598" i="26"/>
  <c r="V586" i="26"/>
  <c r="V574" i="26"/>
  <c r="V562" i="26"/>
  <c r="V550" i="26"/>
  <c r="V538" i="26"/>
  <c r="V526" i="26"/>
  <c r="V514" i="26"/>
  <c r="V502" i="26"/>
  <c r="V490" i="26"/>
  <c r="V478" i="26"/>
  <c r="V466" i="26"/>
  <c r="V454" i="26"/>
  <c r="V442" i="26"/>
  <c r="V430" i="26"/>
  <c r="V408" i="26"/>
  <c r="V396" i="26"/>
  <c r="V384" i="26"/>
  <c r="V372" i="26"/>
  <c r="V360" i="26"/>
  <c r="V348" i="26"/>
  <c r="V336" i="26"/>
  <c r="V234" i="26"/>
  <c r="V222" i="26"/>
  <c r="V210" i="26"/>
  <c r="V198" i="26"/>
  <c r="V186" i="26"/>
  <c r="V174" i="26"/>
  <c r="V152" i="26"/>
  <c r="V140" i="26"/>
  <c r="V128" i="26"/>
  <c r="V116" i="26"/>
  <c r="V104" i="26"/>
  <c r="V92" i="26"/>
  <c r="V80" i="26"/>
  <c r="V68" i="26"/>
  <c r="V33" i="26"/>
  <c r="V21" i="26"/>
  <c r="V9" i="26"/>
  <c r="V877" i="26"/>
  <c r="V865" i="26"/>
  <c r="V853" i="26"/>
  <c r="V841" i="26"/>
  <c r="V829" i="26"/>
  <c r="V817" i="26"/>
  <c r="V801" i="26"/>
  <c r="V789" i="26"/>
  <c r="V777" i="26"/>
  <c r="V765" i="26"/>
  <c r="V753" i="26"/>
  <c r="V741" i="26"/>
  <c r="V729" i="26"/>
  <c r="V717" i="26"/>
  <c r="V705" i="26"/>
  <c r="V693" i="26"/>
  <c r="V681" i="26"/>
  <c r="V669" i="26"/>
  <c r="V657" i="26"/>
  <c r="V645" i="26"/>
  <c r="V633" i="26"/>
  <c r="V621" i="26"/>
  <c r="V609" i="26"/>
  <c r="V597" i="26"/>
  <c r="V585" i="26"/>
  <c r="V573" i="26"/>
  <c r="V561" i="26"/>
  <c r="V549" i="26"/>
  <c r="V537" i="26"/>
  <c r="V525" i="26"/>
  <c r="V513" i="26"/>
  <c r="V501" i="26"/>
  <c r="V489" i="26"/>
  <c r="V477" i="26"/>
  <c r="V465" i="26"/>
  <c r="V453" i="26"/>
  <c r="V441" i="26"/>
  <c r="V429" i="26"/>
  <c r="V407" i="26"/>
  <c r="V395" i="26"/>
  <c r="V383" i="26"/>
  <c r="V371" i="26"/>
  <c r="V359" i="26"/>
  <c r="V347" i="26"/>
  <c r="V335" i="26"/>
  <c r="V233" i="26"/>
  <c r="V221" i="26"/>
  <c r="V209" i="26"/>
  <c r="V197" i="26"/>
  <c r="V185" i="26"/>
  <c r="V173" i="26"/>
  <c r="V151" i="26"/>
  <c r="V139" i="26"/>
  <c r="V127" i="26"/>
  <c r="V115" i="26"/>
  <c r="V103" i="26"/>
  <c r="V91" i="26"/>
  <c r="V79" i="26"/>
  <c r="V67" i="26"/>
  <c r="V32" i="26"/>
  <c r="V20" i="26"/>
  <c r="V862" i="26"/>
  <c r="V838" i="26"/>
  <c r="V814" i="26"/>
  <c r="V786" i="26"/>
  <c r="V762" i="26"/>
  <c r="V738" i="26"/>
  <c r="V714" i="26"/>
  <c r="V690" i="26"/>
  <c r="V666" i="26"/>
  <c r="V642" i="26"/>
  <c r="V618" i="26"/>
  <c r="V594" i="26"/>
  <c r="V582" i="26"/>
  <c r="V558" i="26"/>
  <c r="V534" i="26"/>
  <c r="V510" i="26"/>
  <c r="V498" i="26"/>
  <c r="V474" i="26"/>
  <c r="V426" i="26"/>
  <c r="V392" i="26"/>
  <c r="V368" i="26"/>
  <c r="V344" i="26"/>
  <c r="V218" i="26"/>
  <c r="V194" i="26"/>
  <c r="V170" i="26"/>
  <c r="V136" i="26"/>
  <c r="V112" i="26"/>
  <c r="V100" i="26"/>
  <c r="V76" i="26"/>
  <c r="V29" i="26"/>
  <c r="V874" i="26"/>
  <c r="V850" i="26"/>
  <c r="V826" i="26"/>
  <c r="V798" i="26"/>
  <c r="V774" i="26"/>
  <c r="V750" i="26"/>
  <c r="V726" i="26"/>
  <c r="V702" i="26"/>
  <c r="V678" i="26"/>
  <c r="V654" i="26"/>
  <c r="V630" i="26"/>
  <c r="V606" i="26"/>
  <c r="V570" i="26"/>
  <c r="V546" i="26"/>
  <c r="V522" i="26"/>
  <c r="V486" i="26"/>
  <c r="V462" i="26"/>
  <c r="V438" i="26"/>
  <c r="V404" i="26"/>
  <c r="V380" i="26"/>
  <c r="V356" i="26"/>
  <c r="V332" i="26"/>
  <c r="V230" i="26"/>
  <c r="V206" i="26"/>
  <c r="V182" i="26"/>
  <c r="V148" i="26"/>
  <c r="V124" i="26"/>
  <c r="V88" i="26"/>
  <c r="V17" i="26"/>
  <c r="V779" i="26"/>
  <c r="V879" i="26"/>
  <c r="V867" i="26"/>
  <c r="V855" i="26"/>
  <c r="V843" i="26"/>
  <c r="V831" i="26"/>
  <c r="V819" i="26"/>
  <c r="V803" i="26"/>
  <c r="V791" i="26"/>
  <c r="V767" i="26"/>
  <c r="V755" i="26"/>
  <c r="V873" i="26"/>
  <c r="V861" i="26"/>
  <c r="V849" i="26"/>
  <c r="V837" i="26"/>
  <c r="V825" i="26"/>
  <c r="V797" i="26"/>
  <c r="V785" i="26"/>
  <c r="V773" i="26"/>
  <c r="V761" i="26"/>
  <c r="V749" i="26"/>
  <c r="V737" i="26"/>
  <c r="V725" i="26"/>
  <c r="V713" i="26"/>
  <c r="V701" i="26"/>
  <c r="V689" i="26"/>
  <c r="V677" i="26"/>
  <c r="V665" i="26"/>
  <c r="V653" i="26"/>
  <c r="V641" i="26"/>
  <c r="V629" i="26"/>
  <c r="V617" i="26"/>
  <c r="V605" i="26"/>
  <c r="V593" i="26"/>
  <c r="V581" i="26"/>
  <c r="V569" i="26"/>
  <c r="V557" i="26"/>
  <c r="V545" i="26"/>
  <c r="V533" i="26"/>
  <c r="V521" i="26"/>
  <c r="V509" i="26"/>
  <c r="V497" i="26"/>
  <c r="V485" i="26"/>
  <c r="V473" i="26"/>
  <c r="V461" i="26"/>
  <c r="V449" i="26"/>
  <c r="V437" i="26"/>
  <c r="V425" i="26"/>
  <c r="V403" i="26"/>
  <c r="V391" i="26"/>
  <c r="V379" i="26"/>
  <c r="V367" i="26"/>
  <c r="V355" i="26"/>
  <c r="V343" i="26"/>
  <c r="V331" i="26"/>
  <c r="V229" i="26"/>
  <c r="V217" i="26"/>
  <c r="V205" i="26"/>
  <c r="V193" i="26"/>
  <c r="V181" i="26"/>
  <c r="V169" i="26"/>
  <c r="V147" i="26"/>
  <c r="V135" i="26"/>
  <c r="V123" i="26"/>
  <c r="V111" i="26"/>
  <c r="V99" i="26"/>
  <c r="V87" i="26"/>
  <c r="V75" i="26"/>
  <c r="V28" i="26"/>
  <c r="V16" i="26"/>
  <c r="V859" i="26"/>
  <c r="V835" i="26"/>
  <c r="V823" i="26"/>
  <c r="V795" i="26"/>
  <c r="V771" i="26"/>
  <c r="V735" i="26"/>
  <c r="V711" i="26"/>
  <c r="V687" i="26"/>
  <c r="V663" i="26"/>
  <c r="V639" i="26"/>
  <c r="V615" i="26"/>
  <c r="V591" i="26"/>
  <c r="V567" i="26"/>
  <c r="V543" i="26"/>
  <c r="V519" i="26"/>
  <c r="V495" i="26"/>
  <c r="V471" i="26"/>
  <c r="V447" i="26"/>
  <c r="V389" i="26"/>
  <c r="V133" i="26"/>
  <c r="V799" i="26"/>
  <c r="V655" i="26"/>
  <c r="V511" i="26"/>
  <c r="V357" i="26"/>
  <c r="V183" i="26"/>
  <c r="V871" i="26"/>
  <c r="V847" i="26"/>
  <c r="V783" i="26"/>
  <c r="V759" i="26"/>
  <c r="V747" i="26"/>
  <c r="V723" i="26"/>
  <c r="V699" i="26"/>
  <c r="V675" i="26"/>
  <c r="V651" i="26"/>
  <c r="V627" i="26"/>
  <c r="V603" i="26"/>
  <c r="V579" i="26"/>
  <c r="V555" i="26"/>
  <c r="V531" i="26"/>
  <c r="V507" i="26"/>
  <c r="V483" i="26"/>
  <c r="V459" i="26"/>
  <c r="V435" i="26"/>
  <c r="V423" i="26"/>
  <c r="V401" i="26"/>
  <c r="V377" i="26"/>
  <c r="V365" i="26"/>
  <c r="V353" i="26"/>
  <c r="V341" i="26"/>
  <c r="V239" i="26"/>
  <c r="V227" i="26"/>
  <c r="V215" i="26"/>
  <c r="V203" i="26"/>
  <c r="V191" i="26"/>
  <c r="V179" i="26"/>
  <c r="V167" i="26"/>
  <c r="V145" i="26"/>
  <c r="V121" i="26"/>
  <c r="V109" i="26"/>
  <c r="V97" i="26"/>
  <c r="V85" i="26"/>
  <c r="V73" i="26"/>
  <c r="V38" i="26"/>
  <c r="V26" i="26"/>
  <c r="V14" i="26"/>
  <c r="M101" i="21" l="1"/>
  <c r="K101" i="21"/>
  <c r="E4" i="23" l="1"/>
  <c r="C5" i="23"/>
  <c r="B3" i="21" l="1"/>
  <c r="G101" i="21" l="1"/>
  <c r="I101" i="21"/>
  <c r="V2275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<sst xmlns="http://schemas.openxmlformats.org/spreadsheetml/2006/main" count="11452" uniqueCount="5221">
  <si>
    <t>m</t>
  </si>
  <si>
    <t>식</t>
    <phoneticPr fontId="12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</si>
  <si>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</si>
  <si>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</si>
  <si>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6" type="noConversion"/>
  </si>
  <si>
    <t>기준</t>
    <phoneticPr fontId="6" type="noConversion"/>
  </si>
  <si>
    <t>비고</t>
    <phoneticPr fontId="6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</si>
  <si>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</si>
  <si>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</si>
  <si>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</si>
  <si>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</si>
  <si>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</si>
  <si>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</si>
  <si>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</si>
  <si>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</si>
  <si>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</si>
  <si>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</si>
  <si>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</si>
  <si>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</si>
  <si>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8" type="noConversion"/>
  </si>
  <si>
    <t>개</t>
  </si>
  <si>
    <t>D00005</t>
  </si>
  <si>
    <t>D00006</t>
  </si>
  <si>
    <t>D00007</t>
  </si>
  <si>
    <t>D00045</t>
  </si>
  <si>
    <t>D00046</t>
  </si>
  <si>
    <t>D00047</t>
  </si>
  <si>
    <t>D00048</t>
  </si>
  <si>
    <t>D00049</t>
  </si>
  <si>
    <t>D00050</t>
  </si>
  <si>
    <t>D00051</t>
  </si>
  <si>
    <t>D00052</t>
  </si>
  <si>
    <t>D00053</t>
  </si>
  <si>
    <t>D00054</t>
  </si>
  <si>
    <t>D00066</t>
  </si>
  <si>
    <t>D00067</t>
  </si>
  <si>
    <t>D00068</t>
  </si>
  <si>
    <t>D00069</t>
  </si>
  <si>
    <t>D00070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</si>
  <si>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</si>
  <si>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</si>
  <si>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</si>
  <si>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</si>
  <si>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</si>
  <si>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</si>
  <si>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</si>
  <si>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</si>
  <si>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</si>
  <si>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</si>
  <si>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</si>
  <si>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</si>
  <si>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</si>
  <si>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</si>
  <si>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</si>
  <si>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</si>
  <si>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</si>
  <si>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</si>
  <si>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</si>
  <si>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</si>
  <si>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</si>
  <si>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</si>
  <si>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</si>
  <si>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D00118</t>
  </si>
  <si>
    <t>D00119</t>
  </si>
  <si>
    <t>D00120</t>
  </si>
  <si>
    <t>D00121</t>
  </si>
  <si>
    <t>D00122</t>
  </si>
  <si>
    <t>D00123</t>
  </si>
  <si>
    <t>D00124</t>
  </si>
  <si>
    <t>D00125</t>
  </si>
  <si>
    <t>D00126</t>
  </si>
  <si>
    <t>D00127</t>
  </si>
  <si>
    <t>D00128</t>
  </si>
  <si>
    <t>D00129</t>
  </si>
  <si>
    <t>D00130</t>
  </si>
  <si>
    <t>D00131</t>
  </si>
  <si>
    <t>D00132</t>
  </si>
  <si>
    <t>D00133</t>
  </si>
  <si>
    <t>D00134</t>
  </si>
  <si>
    <t>D00135</t>
  </si>
  <si>
    <t>D00136</t>
  </si>
  <si>
    <t>D00137</t>
  </si>
  <si>
    <t>D00138</t>
  </si>
  <si>
    <t>D00139</t>
  </si>
  <si>
    <t>D00140</t>
  </si>
  <si>
    <t>D00141</t>
  </si>
  <si>
    <t>D00142</t>
  </si>
  <si>
    <t>D00143</t>
  </si>
  <si>
    <t>D00144</t>
  </si>
  <si>
    <t>D00145</t>
  </si>
  <si>
    <t>D00146</t>
  </si>
  <si>
    <t>D00156</t>
  </si>
  <si>
    <t>D00157</t>
  </si>
  <si>
    <t>D00158</t>
  </si>
  <si>
    <t>D00159</t>
  </si>
  <si>
    <t>D00160</t>
  </si>
  <si>
    <t>D00161</t>
  </si>
  <si>
    <t>D00162</t>
  </si>
  <si>
    <t>D00163</t>
  </si>
  <si>
    <t>D00164</t>
  </si>
  <si>
    <t>D00165</t>
  </si>
  <si>
    <t>D00166</t>
  </si>
  <si>
    <t>D00167</t>
  </si>
  <si>
    <t>D00168</t>
  </si>
  <si>
    <t>D00169</t>
  </si>
  <si>
    <t>D00170</t>
  </si>
  <si>
    <t>D00171</t>
  </si>
  <si>
    <t>D00172</t>
  </si>
  <si>
    <t>D00173</t>
  </si>
  <si>
    <t>D00174</t>
  </si>
  <si>
    <t>D00175</t>
  </si>
  <si>
    <t>D00176</t>
  </si>
  <si>
    <t>D00177</t>
  </si>
  <si>
    <t>D00178</t>
  </si>
  <si>
    <t>D00179</t>
  </si>
  <si>
    <t>D00180</t>
  </si>
  <si>
    <t>D00181</t>
  </si>
  <si>
    <t>D00182</t>
  </si>
  <si>
    <t>D00183</t>
  </si>
  <si>
    <t>D00184</t>
  </si>
  <si>
    <t>D00185</t>
  </si>
  <si>
    <t>D00186</t>
  </si>
  <si>
    <t>D00187</t>
  </si>
  <si>
    <t>D00188</t>
  </si>
  <si>
    <t>D00189</t>
  </si>
  <si>
    <t>D00190</t>
  </si>
  <si>
    <t>D00191</t>
  </si>
  <si>
    <t>D00192</t>
  </si>
  <si>
    <t>D00193</t>
  </si>
  <si>
    <t>D00194</t>
  </si>
  <si>
    <t>D00195</t>
  </si>
  <si>
    <t>D00196</t>
  </si>
  <si>
    <t>D00197</t>
  </si>
  <si>
    <t>D00198</t>
  </si>
  <si>
    <t>D00199</t>
  </si>
  <si>
    <t>D00200</t>
  </si>
  <si>
    <t>D00201</t>
  </si>
  <si>
    <t>D00202</t>
  </si>
  <si>
    <t>D00203</t>
  </si>
  <si>
    <t>D00204</t>
  </si>
  <si>
    <t>D00205</t>
  </si>
  <si>
    <t>D00206</t>
  </si>
  <si>
    <t>D00207</t>
  </si>
  <si>
    <t>D00208</t>
  </si>
  <si>
    <t>D00209</t>
  </si>
  <si>
    <t>D00210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</si>
  <si>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</si>
  <si>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</si>
  <si>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</si>
  <si>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</si>
  <si>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</si>
  <si>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</si>
  <si>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</si>
  <si>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</si>
  <si>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</si>
  <si>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</si>
  <si>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</si>
  <si>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</si>
  <si>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</si>
  <si>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</si>
  <si>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</si>
  <si>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</si>
  <si>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</si>
  <si>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</si>
  <si>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</si>
  <si>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</si>
  <si>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</si>
  <si>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</si>
  <si>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</si>
  <si>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</si>
  <si>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</si>
  <si>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</si>
  <si>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</si>
  <si>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</si>
  <si>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</si>
  <si>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</si>
  <si>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</si>
  <si>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</si>
  <si>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</si>
  <si>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</si>
  <si>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</si>
  <si>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</si>
  <si>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</si>
  <si>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</si>
  <si>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</si>
  <si>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</si>
  <si>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</si>
  <si>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</si>
  <si>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</si>
  <si>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</si>
  <si>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</si>
  <si>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</si>
  <si>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</si>
  <si>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</si>
  <si>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</si>
  <si>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</si>
  <si>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</si>
  <si>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</si>
  <si>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</si>
  <si>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</si>
  <si>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</si>
  <si>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</si>
  <si>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</si>
  <si>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</si>
  <si>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</si>
  <si>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D00320</t>
  </si>
  <si>
    <t>D00321</t>
  </si>
  <si>
    <t>D00322</t>
  </si>
  <si>
    <t>D00323</t>
  </si>
  <si>
    <t>D00324</t>
  </si>
  <si>
    <t>D00325</t>
  </si>
  <si>
    <t>D00326</t>
  </si>
  <si>
    <t>D00327</t>
  </si>
  <si>
    <t>D00328</t>
  </si>
  <si>
    <t>D00329</t>
  </si>
  <si>
    <t>D00330</t>
  </si>
  <si>
    <t>D00331</t>
  </si>
  <si>
    <t>D00332</t>
  </si>
  <si>
    <t>D00333</t>
  </si>
  <si>
    <t>D00334</t>
  </si>
  <si>
    <t>D00335</t>
  </si>
  <si>
    <t>D00336</t>
  </si>
  <si>
    <t>D00337</t>
  </si>
  <si>
    <t>D00338</t>
  </si>
  <si>
    <t>D00339</t>
  </si>
  <si>
    <t>D00340</t>
  </si>
  <si>
    <t>D00341</t>
  </si>
  <si>
    <t>D00342</t>
  </si>
  <si>
    <t>D00343</t>
  </si>
  <si>
    <t>D00344</t>
  </si>
  <si>
    <t>D00345</t>
  </si>
  <si>
    <t>D00346</t>
  </si>
  <si>
    <t>D00347</t>
  </si>
  <si>
    <t>D00348</t>
  </si>
  <si>
    <t>D00349</t>
  </si>
  <si>
    <t>D00350</t>
  </si>
  <si>
    <t>D00351</t>
  </si>
  <si>
    <t>D00352</t>
  </si>
  <si>
    <t>D00353</t>
  </si>
  <si>
    <t>D00354</t>
  </si>
  <si>
    <t>D00355</t>
  </si>
  <si>
    <t>D00356</t>
  </si>
  <si>
    <t>D00357</t>
  </si>
  <si>
    <t>D00358</t>
  </si>
  <si>
    <t>D00359</t>
  </si>
  <si>
    <t>D00360</t>
  </si>
  <si>
    <t>D00361</t>
  </si>
  <si>
    <t>D00362</t>
  </si>
  <si>
    <t>D00363</t>
  </si>
  <si>
    <t>D00364</t>
  </si>
  <si>
    <t>D00365</t>
  </si>
  <si>
    <t>D00366</t>
  </si>
  <si>
    <t>D00367</t>
  </si>
  <si>
    <t>D00368</t>
  </si>
  <si>
    <t>D00369</t>
  </si>
  <si>
    <t>D00373</t>
  </si>
  <si>
    <t>D00374</t>
  </si>
  <si>
    <t>D00375</t>
  </si>
  <si>
    <t>D00389</t>
  </si>
  <si>
    <t>D00390</t>
  </si>
  <si>
    <t>D00391</t>
  </si>
  <si>
    <t>D00392</t>
  </si>
  <si>
    <t>D00393</t>
  </si>
  <si>
    <t>D00394</t>
  </si>
  <si>
    <t>D00395</t>
  </si>
  <si>
    <t>D00396</t>
  </si>
  <si>
    <t>D00397</t>
  </si>
  <si>
    <t>D00398</t>
  </si>
  <si>
    <t>D00399</t>
  </si>
  <si>
    <t>D00400</t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</si>
  <si>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</si>
  <si>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</si>
  <si>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</si>
  <si>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</si>
  <si>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</si>
  <si>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</si>
  <si>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</si>
  <si>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</si>
  <si>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</si>
  <si>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D00410</t>
  </si>
  <si>
    <t>D00411</t>
  </si>
  <si>
    <t>D00412</t>
  </si>
  <si>
    <t>D00413</t>
  </si>
  <si>
    <t>D00414</t>
  </si>
  <si>
    <t>D00415</t>
  </si>
  <si>
    <t>D00416</t>
  </si>
  <si>
    <t>D00417</t>
  </si>
  <si>
    <t>D00418</t>
  </si>
  <si>
    <t>D00419</t>
  </si>
  <si>
    <t>D00420</t>
  </si>
  <si>
    <t>D00421</t>
  </si>
  <si>
    <t>D00422</t>
  </si>
  <si>
    <t>D00423</t>
  </si>
  <si>
    <t>D00424</t>
  </si>
  <si>
    <t>D00425</t>
  </si>
  <si>
    <t>D00426</t>
  </si>
  <si>
    <t>D00427</t>
  </si>
  <si>
    <t>D00428</t>
  </si>
  <si>
    <t>D00429</t>
  </si>
  <si>
    <t>D00430</t>
  </si>
  <si>
    <t>D00431</t>
  </si>
  <si>
    <t>D00432</t>
  </si>
  <si>
    <t>D00433</t>
  </si>
  <si>
    <t>D00434</t>
  </si>
  <si>
    <t>D00435</t>
  </si>
  <si>
    <t>D00436</t>
  </si>
  <si>
    <t>D00437</t>
  </si>
  <si>
    <t>D00438</t>
  </si>
  <si>
    <t>D00439</t>
  </si>
  <si>
    <t>D00440</t>
  </si>
  <si>
    <t>D00441</t>
  </si>
  <si>
    <t>D00442</t>
  </si>
  <si>
    <t>D00443</t>
  </si>
  <si>
    <t>D00444</t>
  </si>
  <si>
    <t>D00445</t>
  </si>
  <si>
    <t>D00446</t>
  </si>
  <si>
    <t>D00447</t>
  </si>
  <si>
    <t>D00448</t>
  </si>
  <si>
    <t>D00449</t>
  </si>
  <si>
    <t>D00450</t>
  </si>
  <si>
    <t>D00451</t>
  </si>
  <si>
    <t>D00452</t>
  </si>
  <si>
    <t>D00453</t>
  </si>
  <si>
    <t>D00454</t>
  </si>
  <si>
    <t>D00455</t>
  </si>
  <si>
    <t>D00456</t>
  </si>
  <si>
    <t>D00457</t>
  </si>
  <si>
    <t>D00458</t>
  </si>
  <si>
    <t>D00459</t>
  </si>
  <si>
    <t>D00460</t>
  </si>
  <si>
    <t>D00461</t>
  </si>
  <si>
    <t>D00462</t>
  </si>
  <si>
    <t>D00463</t>
  </si>
  <si>
    <t>D00464</t>
  </si>
  <si>
    <t>D00465</t>
  </si>
  <si>
    <t>D00466</t>
  </si>
  <si>
    <t>D00467</t>
  </si>
  <si>
    <t>D00468</t>
  </si>
  <si>
    <t>D00469</t>
  </si>
  <si>
    <t>D00470</t>
  </si>
  <si>
    <t>D00471</t>
  </si>
  <si>
    <t>D00472</t>
  </si>
  <si>
    <t>D00473</t>
  </si>
  <si>
    <t>D00474</t>
  </si>
  <si>
    <t>D00475</t>
  </si>
  <si>
    <t>D00476</t>
  </si>
  <si>
    <t>D00477</t>
  </si>
  <si>
    <t>D00478</t>
  </si>
  <si>
    <t>D00479</t>
  </si>
  <si>
    <t>D00480</t>
  </si>
  <si>
    <t>D00481</t>
  </si>
  <si>
    <t>D00482</t>
  </si>
  <si>
    <t>D00483</t>
  </si>
  <si>
    <t>D00484</t>
  </si>
  <si>
    <t>D00485</t>
  </si>
  <si>
    <t>D00486</t>
  </si>
  <si>
    <t>D00487</t>
  </si>
  <si>
    <t>D00488</t>
  </si>
  <si>
    <t>D00489</t>
  </si>
  <si>
    <t>D00490</t>
  </si>
  <si>
    <t>D00491</t>
  </si>
  <si>
    <t>D00492</t>
  </si>
  <si>
    <t>D00493</t>
  </si>
  <si>
    <t>D00494</t>
  </si>
  <si>
    <t>D00495</t>
  </si>
  <si>
    <t>D00496</t>
  </si>
  <si>
    <t>D00497</t>
  </si>
  <si>
    <t>D00498</t>
  </si>
  <si>
    <t>D00499</t>
  </si>
  <si>
    <t>D00500</t>
  </si>
  <si>
    <t>D00501</t>
  </si>
  <si>
    <t>D00502</t>
  </si>
  <si>
    <t>D00503</t>
  </si>
  <si>
    <t>D00504</t>
  </si>
  <si>
    <t>D00505</t>
  </si>
  <si>
    <t>D00506</t>
  </si>
  <si>
    <t>D00507</t>
  </si>
  <si>
    <t>D00508</t>
  </si>
  <si>
    <t>D00509</t>
  </si>
  <si>
    <t>D00510</t>
  </si>
  <si>
    <t>D00511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</si>
  <si>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</si>
  <si>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</si>
  <si>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</si>
  <si>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</si>
  <si>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</si>
  <si>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</si>
  <si>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</si>
  <si>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</si>
  <si>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</si>
  <si>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</si>
  <si>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</si>
  <si>
    <t>D00523</t>
  </si>
  <si>
    <t>D00524</t>
  </si>
  <si>
    <t>D00525</t>
  </si>
  <si>
    <t>D00526</t>
  </si>
  <si>
    <t>D00527</t>
  </si>
  <si>
    <t>D00528</t>
  </si>
  <si>
    <t>D00529</t>
  </si>
  <si>
    <t>D00530</t>
  </si>
  <si>
    <t>D00531</t>
  </si>
  <si>
    <t>D00532</t>
  </si>
  <si>
    <t>D00533</t>
  </si>
  <si>
    <t>D00866</t>
  </si>
  <si>
    <t>D00867</t>
  </si>
  <si>
    <t>D00868</t>
  </si>
  <si>
    <t>D00869</t>
  </si>
  <si>
    <t>D00870</t>
  </si>
  <si>
    <t>D00871</t>
  </si>
  <si>
    <t>D00872</t>
  </si>
  <si>
    <t>D00873</t>
  </si>
  <si>
    <t>D00874</t>
  </si>
  <si>
    <t>D00875</t>
  </si>
  <si>
    <t>D00876</t>
  </si>
  <si>
    <t>D00877</t>
  </si>
  <si>
    <t>D00878</t>
  </si>
  <si>
    <t>D00879</t>
  </si>
  <si>
    <t>D00880</t>
  </si>
  <si>
    <t>D00881</t>
  </si>
  <si>
    <t>D00882</t>
  </si>
  <si>
    <t>D00883</t>
  </si>
  <si>
    <t>D00884</t>
  </si>
  <si>
    <t>D00885</t>
  </si>
  <si>
    <t>D00886</t>
  </si>
  <si>
    <t>D00887</t>
  </si>
  <si>
    <t>D00888</t>
  </si>
  <si>
    <t>D00889</t>
  </si>
  <si>
    <t>D00890</t>
  </si>
  <si>
    <t>D00891</t>
  </si>
  <si>
    <t>D00892</t>
  </si>
  <si>
    <t>D00893</t>
  </si>
  <si>
    <t>D00894</t>
  </si>
  <si>
    <t>D00895</t>
  </si>
  <si>
    <t>D00896</t>
  </si>
  <si>
    <t>D00897</t>
  </si>
  <si>
    <t>D00898</t>
  </si>
  <si>
    <t>D00899</t>
  </si>
  <si>
    <t>D00900</t>
  </si>
  <si>
    <t>D00901</t>
  </si>
  <si>
    <t>D00902</t>
  </si>
  <si>
    <t>D00903</t>
  </si>
  <si>
    <t>D00904</t>
  </si>
  <si>
    <t>D00905</t>
  </si>
  <si>
    <t>D00906</t>
  </si>
  <si>
    <t>D00907</t>
  </si>
  <si>
    <t>D00908</t>
  </si>
  <si>
    <t>D00909</t>
  </si>
  <si>
    <t>D00910</t>
  </si>
  <si>
    <t>D00911</t>
  </si>
  <si>
    <t>D00912</t>
  </si>
  <si>
    <t>D00913</t>
  </si>
  <si>
    <t>D00914</t>
  </si>
  <si>
    <t>D00915</t>
  </si>
  <si>
    <t>D00916</t>
  </si>
  <si>
    <t>D00917</t>
  </si>
  <si>
    <t>D00918</t>
  </si>
  <si>
    <t>D00919</t>
  </si>
  <si>
    <t>D00920</t>
  </si>
  <si>
    <t>D00921</t>
  </si>
  <si>
    <t>D00922</t>
  </si>
  <si>
    <t>D00923</t>
  </si>
  <si>
    <t>D00924</t>
  </si>
  <si>
    <t>D00925</t>
  </si>
  <si>
    <t>D00926</t>
  </si>
  <si>
    <t>D00927</t>
  </si>
  <si>
    <t>D00928</t>
  </si>
  <si>
    <t>D00929</t>
  </si>
  <si>
    <t>D00930</t>
  </si>
  <si>
    <t>D00931</t>
  </si>
  <si>
    <t>D00932</t>
  </si>
  <si>
    <t>D00933</t>
  </si>
  <si>
    <t>D00934</t>
  </si>
  <si>
    <t>D00935</t>
  </si>
  <si>
    <t>D00936</t>
  </si>
  <si>
    <t>D00937</t>
  </si>
  <si>
    <t>D00938</t>
  </si>
  <si>
    <t>D00939</t>
  </si>
  <si>
    <t>D00940</t>
  </si>
  <si>
    <t>D00941</t>
  </si>
  <si>
    <t>D00955</t>
  </si>
  <si>
    <t>D00956</t>
  </si>
  <si>
    <t>D00957</t>
  </si>
  <si>
    <t>D00958</t>
  </si>
  <si>
    <t>D00959</t>
  </si>
  <si>
    <t>D00960</t>
  </si>
  <si>
    <t>D00961</t>
  </si>
  <si>
    <t>D00971</t>
  </si>
  <si>
    <t>D00972</t>
  </si>
  <si>
    <t>D00973</t>
  </si>
  <si>
    <t>D00974</t>
  </si>
  <si>
    <t>D00975</t>
  </si>
  <si>
    <t>D00976</t>
  </si>
  <si>
    <t>D00977</t>
  </si>
  <si>
    <t>D00978</t>
  </si>
  <si>
    <t>D00979</t>
  </si>
  <si>
    <t>D00985</t>
  </si>
  <si>
    <t>D00986</t>
  </si>
  <si>
    <t>D00987</t>
  </si>
  <si>
    <t>D00988</t>
  </si>
  <si>
    <t>D00989</t>
  </si>
  <si>
    <t>D00990</t>
  </si>
  <si>
    <t>D00991</t>
  </si>
  <si>
    <t>D00992</t>
  </si>
  <si>
    <t>D00993</t>
  </si>
  <si>
    <t>D00994</t>
  </si>
  <si>
    <t>D00995</t>
  </si>
  <si>
    <t>D00996</t>
  </si>
  <si>
    <t>D00998</t>
  </si>
  <si>
    <t>D00999</t>
  </si>
  <si>
    <t>D01000</t>
  </si>
  <si>
    <t>D01001</t>
  </si>
  <si>
    <t>D01002</t>
  </si>
  <si>
    <t>D01003</t>
  </si>
  <si>
    <t>D01004</t>
  </si>
  <si>
    <t>D01005</t>
  </si>
  <si>
    <t>D01006</t>
  </si>
  <si>
    <t>D01007</t>
  </si>
  <si>
    <t>D01008</t>
  </si>
  <si>
    <t>D01009</t>
  </si>
  <si>
    <t>D01010</t>
  </si>
  <si>
    <t>D01011</t>
  </si>
  <si>
    <t>D01012</t>
  </si>
  <si>
    <t>D01013</t>
  </si>
  <si>
    <t>D01014</t>
  </si>
  <si>
    <t>D01015</t>
  </si>
  <si>
    <t>D01016</t>
  </si>
  <si>
    <t>D01017</t>
  </si>
  <si>
    <t>D01018</t>
  </si>
  <si>
    <t>D01019</t>
  </si>
  <si>
    <t>D01020</t>
  </si>
  <si>
    <t>D01021</t>
  </si>
  <si>
    <t>D01022</t>
  </si>
  <si>
    <t>D01024</t>
  </si>
  <si>
    <t>D01025</t>
  </si>
  <si>
    <t>D01026</t>
  </si>
  <si>
    <t>D01027</t>
  </si>
  <si>
    <t>D01028</t>
  </si>
  <si>
    <t>D01029</t>
  </si>
  <si>
    <t>D01030</t>
  </si>
  <si>
    <t>D01031</t>
  </si>
  <si>
    <t>D01032</t>
  </si>
  <si>
    <t>D01033</t>
  </si>
  <si>
    <t>D01034</t>
  </si>
  <si>
    <t>D01035</t>
  </si>
  <si>
    <t>D01036</t>
  </si>
  <si>
    <t>D01037</t>
  </si>
  <si>
    <t>D01038</t>
  </si>
  <si>
    <t>D01039</t>
  </si>
  <si>
    <t>D01040</t>
  </si>
  <si>
    <t>D01041</t>
  </si>
  <si>
    <t>D01042</t>
  </si>
  <si>
    <t>D01043</t>
  </si>
  <si>
    <t>D01049</t>
  </si>
  <si>
    <t>D01050</t>
  </si>
  <si>
    <t>D01051</t>
  </si>
  <si>
    <t>D01052</t>
  </si>
  <si>
    <t>D01053</t>
  </si>
  <si>
    <t>D01054</t>
  </si>
  <si>
    <t>D01055</t>
  </si>
  <si>
    <t>D01056</t>
  </si>
  <si>
    <t>D01057</t>
  </si>
  <si>
    <t>D01058</t>
  </si>
  <si>
    <t>D01059</t>
  </si>
  <si>
    <t>D01060</t>
  </si>
  <si>
    <t>D01061</t>
  </si>
  <si>
    <t>D01062</t>
  </si>
  <si>
    <t>D01063</t>
  </si>
  <si>
    <t>D01064</t>
  </si>
  <si>
    <t>D01065</t>
  </si>
  <si>
    <t>D01066</t>
  </si>
  <si>
    <t>D01067</t>
  </si>
  <si>
    <t>D01068</t>
  </si>
  <si>
    <t>D01069</t>
  </si>
  <si>
    <t>D01070</t>
  </si>
  <si>
    <t>D01073</t>
  </si>
  <si>
    <t>D01075</t>
  </si>
  <si>
    <t>D01076</t>
  </si>
  <si>
    <t>D01077</t>
  </si>
  <si>
    <t>D01078</t>
  </si>
  <si>
    <t>D01079</t>
  </si>
  <si>
    <t>D01080</t>
  </si>
  <si>
    <t>D01081</t>
  </si>
  <si>
    <t>D01082</t>
  </si>
  <si>
    <t>D01083</t>
  </si>
  <si>
    <t>D01085</t>
  </si>
  <si>
    <t>D01086</t>
  </si>
  <si>
    <t>D01087</t>
  </si>
  <si>
    <t>D01088</t>
  </si>
  <si>
    <t>D01089</t>
  </si>
  <si>
    <t>D01090</t>
  </si>
  <si>
    <t>D01095</t>
  </si>
  <si>
    <t>D01096</t>
  </si>
  <si>
    <t>D01097</t>
  </si>
  <si>
    <t>D01098</t>
  </si>
  <si>
    <t>D01099</t>
  </si>
  <si>
    <t>D01100</t>
  </si>
  <si>
    <t>D01101</t>
  </si>
  <si>
    <t>D01102</t>
  </si>
  <si>
    <t>D01103</t>
  </si>
  <si>
    <t>D01104</t>
  </si>
  <si>
    <t>D01105</t>
  </si>
  <si>
    <t>D01106</t>
  </si>
  <si>
    <t>D01107</t>
  </si>
  <si>
    <t>D01108</t>
  </si>
  <si>
    <t>D01109</t>
  </si>
  <si>
    <t>D01110</t>
  </si>
  <si>
    <t>D01111</t>
  </si>
  <si>
    <t>D01112</t>
  </si>
  <si>
    <t>D01113</t>
  </si>
  <si>
    <t>D01114</t>
  </si>
  <si>
    <t>D01115</t>
  </si>
  <si>
    <t>D01116</t>
  </si>
  <si>
    <t>D01120</t>
  </si>
  <si>
    <t>D01121</t>
  </si>
  <si>
    <t>D01123</t>
  </si>
  <si>
    <t>D01124</t>
  </si>
  <si>
    <t>D01125</t>
  </si>
  <si>
    <t>D01126</t>
  </si>
  <si>
    <t>D01127</t>
  </si>
  <si>
    <t>D01131</t>
  </si>
  <si>
    <t>D01132</t>
  </si>
  <si>
    <t>D01133</t>
  </si>
  <si>
    <t>D01134</t>
  </si>
  <si>
    <t>D01135</t>
  </si>
  <si>
    <t>D01136</t>
  </si>
  <si>
    <t>D01176</t>
  </si>
  <si>
    <t>D01177</t>
  </si>
  <si>
    <t>D01178</t>
  </si>
  <si>
    <t>D01179</t>
  </si>
  <si>
    <t>D01180</t>
  </si>
  <si>
    <t>D01181</t>
  </si>
  <si>
    <t>D01182</t>
  </si>
  <si>
    <t>D01183</t>
  </si>
  <si>
    <t>D01184</t>
  </si>
  <si>
    <t>D01185</t>
  </si>
  <si>
    <t>D01186</t>
  </si>
  <si>
    <t>D01187</t>
  </si>
  <si>
    <t>D01188</t>
  </si>
  <si>
    <t>D01189</t>
  </si>
  <si>
    <t>D01190</t>
  </si>
  <si>
    <t>D01191</t>
  </si>
  <si>
    <t>D01192</t>
  </si>
  <si>
    <t>D01193</t>
  </si>
  <si>
    <t>D01194</t>
  </si>
  <si>
    <t>D01195</t>
  </si>
  <si>
    <t>D01196</t>
  </si>
  <si>
    <t>D01197</t>
  </si>
  <si>
    <t>D01198</t>
  </si>
  <si>
    <t>D01199</t>
  </si>
  <si>
    <t>D01200</t>
  </si>
  <si>
    <t>D01201</t>
  </si>
  <si>
    <t>D01223</t>
  </si>
  <si>
    <t>D01224</t>
  </si>
  <si>
    <t>D01225</t>
  </si>
  <si>
    <t>D01226</t>
  </si>
  <si>
    <t>D01227</t>
  </si>
  <si>
    <t>D01228</t>
  </si>
  <si>
    <t>D01229</t>
  </si>
  <si>
    <t>D01230</t>
  </si>
  <si>
    <t>D01231</t>
  </si>
  <si>
    <t>D01232</t>
  </si>
  <si>
    <t>D01233</t>
  </si>
  <si>
    <t>D01234</t>
  </si>
  <si>
    <t>D01251</t>
  </si>
  <si>
    <t>D01252</t>
  </si>
  <si>
    <t>D01253</t>
  </si>
  <si>
    <t>D01254</t>
  </si>
  <si>
    <t>D01255</t>
  </si>
  <si>
    <t>D01256</t>
  </si>
  <si>
    <t>D01263</t>
  </si>
  <si>
    <t>D01264</t>
  </si>
  <si>
    <t>D01265</t>
  </si>
  <si>
    <t>D01266</t>
  </si>
  <si>
    <t>D01267</t>
  </si>
  <si>
    <t>D01268</t>
  </si>
  <si>
    <t>D01269</t>
  </si>
  <si>
    <t>D01270</t>
  </si>
  <si>
    <t>D01271</t>
  </si>
  <si>
    <t>D01329</t>
  </si>
  <si>
    <t>D01330</t>
  </si>
  <si>
    <t>D01331</t>
  </si>
  <si>
    <t>D01332</t>
  </si>
  <si>
    <t>D01333</t>
  </si>
  <si>
    <t>D01334</t>
  </si>
  <si>
    <t>D01335</t>
  </si>
  <si>
    <t>D01336</t>
  </si>
  <si>
    <t>D01352</t>
  </si>
  <si>
    <t>D01353</t>
  </si>
  <si>
    <t>D01354</t>
  </si>
  <si>
    <t>D01355</t>
  </si>
  <si>
    <t>D01356</t>
  </si>
  <si>
    <t>D01357</t>
  </si>
  <si>
    <t>D01358</t>
  </si>
  <si>
    <t>D01359</t>
  </si>
  <si>
    <t>D01360</t>
  </si>
  <si>
    <t>D01362</t>
  </si>
  <si>
    <t>D01363</t>
  </si>
  <si>
    <t>D01364</t>
  </si>
  <si>
    <t>D01365</t>
  </si>
  <si>
    <t>D01366</t>
  </si>
  <si>
    <t>D01367</t>
  </si>
  <si>
    <t>D01368</t>
  </si>
  <si>
    <t>D01369</t>
  </si>
  <si>
    <t>D01374</t>
  </si>
  <si>
    <t>D01375</t>
  </si>
  <si>
    <t>D01376</t>
  </si>
  <si>
    <t>·</t>
  </si>
  <si>
    <t>D03341</t>
  </si>
  <si>
    <t>D05779</t>
  </si>
  <si>
    <t>D05852</t>
  </si>
  <si>
    <t>D05853</t>
  </si>
  <si>
    <t>D05854</t>
  </si>
  <si>
    <t>D05855</t>
  </si>
  <si>
    <t>D05856</t>
  </si>
  <si>
    <t>D05857</t>
  </si>
  <si>
    <t>D05858</t>
  </si>
  <si>
    <t>D05859</t>
  </si>
  <si>
    <t>D05860</t>
  </si>
  <si>
    <t>D05861</t>
  </si>
  <si>
    <t>D05862</t>
  </si>
  <si>
    <t>D05863</t>
  </si>
  <si>
    <t>D05864</t>
  </si>
  <si>
    <t>D05865</t>
  </si>
  <si>
    <t>D05866</t>
  </si>
  <si>
    <t>D05867</t>
  </si>
  <si>
    <t>D05868</t>
  </si>
  <si>
    <t>D05869</t>
  </si>
  <si>
    <t>D05870</t>
  </si>
  <si>
    <t>D05871</t>
  </si>
  <si>
    <t>D05872</t>
  </si>
  <si>
    <t>D05873</t>
  </si>
  <si>
    <t>D05874</t>
  </si>
  <si>
    <t>D05875</t>
  </si>
  <si>
    <t>D05876</t>
  </si>
  <si>
    <t>D05877</t>
  </si>
  <si>
    <t>D05878</t>
  </si>
  <si>
    <t>D05879</t>
  </si>
  <si>
    <t>D05880</t>
  </si>
  <si>
    <t>D05881</t>
  </si>
  <si>
    <t>D05885</t>
  </si>
  <si>
    <t>D05886</t>
  </si>
  <si>
    <t>D05887</t>
  </si>
  <si>
    <t>D05888</t>
  </si>
  <si>
    <t>D05889</t>
  </si>
  <si>
    <t>D05890</t>
  </si>
  <si>
    <t>D05891</t>
  </si>
  <si>
    <t>D05892</t>
  </si>
  <si>
    <t>D05893</t>
  </si>
  <si>
    <t>D05894</t>
  </si>
  <si>
    <t>D05895</t>
  </si>
  <si>
    <t>D05896</t>
  </si>
  <si>
    <t>D05897</t>
  </si>
  <si>
    <t>D05898</t>
  </si>
  <si>
    <t>D05899</t>
  </si>
  <si>
    <t>D05900</t>
  </si>
  <si>
    <t>D05901</t>
  </si>
  <si>
    <t>F-GV</t>
  </si>
  <si>
    <t>HFIX</t>
  </si>
  <si>
    <t>2.5SQ</t>
  </si>
  <si>
    <t>4SQ</t>
  </si>
  <si>
    <t>6SQ</t>
  </si>
  <si>
    <t>VCT</t>
  </si>
  <si>
    <t>450/700 KIV</t>
  </si>
  <si>
    <t>6C, 1.5SQ</t>
  </si>
  <si>
    <t>6C, 2.5SQ</t>
  </si>
  <si>
    <t>6C, 4SQ</t>
  </si>
  <si>
    <t>6C, 6SQ</t>
  </si>
  <si>
    <t>6C, 1.0SQ</t>
  </si>
  <si>
    <t>6C, 10SQ</t>
  </si>
  <si>
    <t>ES-10, 50m</t>
  </si>
  <si>
    <t>ES-12, 50m</t>
  </si>
  <si>
    <t>ES-16, 50m</t>
  </si>
  <si>
    <t>ES-22, 50m</t>
  </si>
  <si>
    <t>ES-28, 30m</t>
  </si>
  <si>
    <t>ES-36, 30m</t>
  </si>
  <si>
    <t>ES-42, 20m</t>
  </si>
  <si>
    <t>ES-54, 20m</t>
  </si>
  <si>
    <t>ES-70, 10m</t>
  </si>
  <si>
    <t>SW-16, 16.0, 21.0</t>
  </si>
  <si>
    <t>SW-22, 21.0, 26.0</t>
  </si>
  <si>
    <t>SW-28, 27.5, 33.0</t>
  </si>
  <si>
    <t>SW-36, 35.5, 42.0</t>
  </si>
  <si>
    <t>SW-42, 40.5, 47.5</t>
  </si>
  <si>
    <t>SW-54, 52.0, 59.0</t>
  </si>
  <si>
    <t>SW-70, 64.0, 73.0</t>
  </si>
  <si>
    <t>SW-82, 79.0, 88.0</t>
  </si>
  <si>
    <t>SW-104, 103.0, 113.0</t>
  </si>
  <si>
    <t>GW-16, 16.0, 21.0</t>
  </si>
  <si>
    <t>GW-22, 21.0, 26.5</t>
  </si>
  <si>
    <t>GW-28, 27.5, 33.0</t>
  </si>
  <si>
    <t>GW-36, 35.5, 42.0</t>
  </si>
  <si>
    <t>GW-42, 40.5, 47.5</t>
  </si>
  <si>
    <t>GW-54, 52.0, 59.0</t>
  </si>
  <si>
    <t>GW-70, 64.0, 73.0</t>
  </si>
  <si>
    <t>GW-82, 79.0, 88.0</t>
  </si>
  <si>
    <t>SF-16, 16.0, 19.0</t>
  </si>
  <si>
    <t>SF-22, 21.0, 24.0</t>
  </si>
  <si>
    <t>SF-28, 27.5, 30.5</t>
  </si>
  <si>
    <t>SF-36, 35.5, 39.0</t>
  </si>
  <si>
    <t>SF-42, 40.5, 44.5</t>
  </si>
  <si>
    <t>SF-54, 52.0, 56.0</t>
  </si>
  <si>
    <t>SF-70, 64.0, 69.0</t>
  </si>
  <si>
    <t>SF-82, 79.0, 84.0</t>
  </si>
  <si>
    <t>RACE WAY BODY</t>
  </si>
  <si>
    <t>40×40,</t>
  </si>
  <si>
    <t>JOINT BOX</t>
  </si>
  <si>
    <t>70×40,</t>
  </si>
  <si>
    <t>110×50,</t>
  </si>
  <si>
    <t>100×100×50×1.0</t>
  </si>
  <si>
    <t>100×100×75×1.0</t>
  </si>
  <si>
    <t>100×100×100×1.0</t>
  </si>
  <si>
    <t>150×150×100×1.0</t>
  </si>
  <si>
    <t>150×150×150×1.0</t>
  </si>
  <si>
    <t>200×200×100×1.0</t>
  </si>
  <si>
    <t>200×200×150×1.0</t>
  </si>
  <si>
    <t>200×200×200×1.0</t>
  </si>
  <si>
    <t>250×250×100×1.0</t>
  </si>
  <si>
    <t>250×250×150×1.0</t>
  </si>
  <si>
    <t>250×250×200×1.0</t>
  </si>
  <si>
    <t>300×300×100×1.0</t>
  </si>
  <si>
    <t>300×300×150×1.0</t>
  </si>
  <si>
    <t>300×300×200×1.0</t>
  </si>
  <si>
    <t>300×300×300×1.0</t>
  </si>
  <si>
    <t>400×400×150×1.0</t>
  </si>
  <si>
    <t>400×400×200×1.0</t>
  </si>
  <si>
    <t>400×400×300×1.0</t>
  </si>
  <si>
    <t>500×500×200×1.0</t>
  </si>
  <si>
    <t>500×500×300×1.0</t>
  </si>
  <si>
    <t>600×600×300×1.0</t>
  </si>
  <si>
    <t>600×600×400×1.0</t>
  </si>
  <si>
    <t>STRAIGHT, W150×100H</t>
  </si>
  <si>
    <t>STRAIGHT, W200×100H</t>
  </si>
  <si>
    <t>STRAIGHT, W300×100H</t>
  </si>
  <si>
    <t>STRAIGHT, W400×100H</t>
  </si>
  <si>
    <t>STRAIGHT, W500×100H</t>
  </si>
  <si>
    <t>STRAIGHT, W600×100H</t>
  </si>
  <si>
    <t>STRAIGHT, W700×100H</t>
  </si>
  <si>
    <t>STRAIGHT, W800×100H</t>
  </si>
  <si>
    <t>STRAIGHT, W900×100H</t>
  </si>
  <si>
    <t>H/ELBOW, W150×100H</t>
  </si>
  <si>
    <t>H/ELBOW, W200×100H</t>
  </si>
  <si>
    <t>H/ELBOW, W300×100H</t>
  </si>
  <si>
    <t>H/ELBOW, W400×100H</t>
  </si>
  <si>
    <t>H/ELBOW, W500×100H</t>
  </si>
  <si>
    <t>H/ELBOW, W600×100H</t>
  </si>
  <si>
    <t>H/ELBOW, W700×100H</t>
  </si>
  <si>
    <t>H/ELBOW, W800×100H</t>
  </si>
  <si>
    <t>H/ELBOW, W900×100H</t>
  </si>
  <si>
    <t>V/ELBOW, W150×100H</t>
  </si>
  <si>
    <t>V/ELBOW, W200×100H</t>
  </si>
  <si>
    <t>V/ELBOW, W300×100H</t>
  </si>
  <si>
    <t>V/ELBOW, W400×100H</t>
  </si>
  <si>
    <t>V/ELBOW, W500×100H</t>
  </si>
  <si>
    <t>V/ELBOW, W600×100H</t>
  </si>
  <si>
    <t>V/ELBOW, W700×100H</t>
  </si>
  <si>
    <t>V/ELBOW, W800×100H</t>
  </si>
  <si>
    <t>V/ELBOW, W900×100H</t>
  </si>
  <si>
    <t>H/TEE, W150×100H</t>
  </si>
  <si>
    <t>H/TEE, W200×100H</t>
  </si>
  <si>
    <t>H/TEE, W300×100H</t>
  </si>
  <si>
    <t>H/TEE, W400×100H</t>
  </si>
  <si>
    <t>H/TEE, W500×100H</t>
  </si>
  <si>
    <t>H/TEE, W600×100H</t>
  </si>
  <si>
    <t>H/TEE, W700×100H</t>
  </si>
  <si>
    <t>H/TEE, W800×100H</t>
  </si>
  <si>
    <t>H/TEE, W900×100H</t>
  </si>
  <si>
    <t>V/TEE, W150×100H</t>
  </si>
  <si>
    <t>V/TEE, W200×100H</t>
  </si>
  <si>
    <t>V/TEE, W300×100H</t>
  </si>
  <si>
    <t>V/TEE, W400×100H</t>
  </si>
  <si>
    <t>V/TEE, W500×100H</t>
  </si>
  <si>
    <t>V/TEE, W600×100H</t>
  </si>
  <si>
    <t>V/TEE, W700×100H</t>
  </si>
  <si>
    <t>V/TEE, W800×100H</t>
  </si>
  <si>
    <t>V/TEE, W900×100H</t>
  </si>
  <si>
    <t>H/CROSS, W150×100H</t>
  </si>
  <si>
    <t>H/CROSS, W200×100H</t>
  </si>
  <si>
    <t>H/CROSS, W300×100H</t>
  </si>
  <si>
    <t>H/CROSS, W400×100H</t>
  </si>
  <si>
    <t>H/CROSS, W500×100H</t>
  </si>
  <si>
    <t>H/CROSS, W600×100H</t>
  </si>
  <si>
    <t>H/CROSS, W700×100H</t>
  </si>
  <si>
    <t>H/CROSS, W800×100H</t>
  </si>
  <si>
    <t>H/CROSS, W900×100H</t>
  </si>
  <si>
    <t>REDUCER, W150×100H</t>
  </si>
  <si>
    <t>REDUCER, W200×100H</t>
  </si>
  <si>
    <t>REDUCER, W300×100H</t>
  </si>
  <si>
    <t>REDUCER, W400×100H</t>
  </si>
  <si>
    <t>REDUCER, W500×100H</t>
  </si>
  <si>
    <t>REDUCER, W600×100H</t>
  </si>
  <si>
    <t>REDUCER, W700×100H</t>
  </si>
  <si>
    <t>REDUCER, W800×100H</t>
  </si>
  <si>
    <t>REDUCER, W900×100H</t>
  </si>
  <si>
    <t>STRAIGHT, W1000×100H</t>
  </si>
  <si>
    <t>STRAIGHT, W1200×100H</t>
  </si>
  <si>
    <t>H/ELBOW, W1000×100H</t>
  </si>
  <si>
    <t>H/ELBOW, W1200×100H</t>
  </si>
  <si>
    <t>V/ELBOW, W1000×100H</t>
  </si>
  <si>
    <t>V/ELBOW, W1200×100H</t>
  </si>
  <si>
    <t>H/TEE, W1000×100H</t>
  </si>
  <si>
    <t>H/TEE, W1200×100H</t>
  </si>
  <si>
    <t>V/TEE, W1000×100H</t>
  </si>
  <si>
    <t>V/TEE, W1200×100H</t>
  </si>
  <si>
    <t>H/CROSS, W1000×100H</t>
  </si>
  <si>
    <t>H/CROSS, W1200×100H</t>
  </si>
  <si>
    <t>REDUCER, W1000×100H</t>
  </si>
  <si>
    <t>REDUCER, W1200×100H</t>
  </si>
  <si>
    <t>1P, 3P, 10, KVAR</t>
  </si>
  <si>
    <t>1P, 3P, 15, KVAR</t>
  </si>
  <si>
    <t>1P, 3P, 20, KVAR</t>
  </si>
  <si>
    <t>1P, 3P, 25, KVAR</t>
  </si>
  <si>
    <t>200×300×150, 1.2T</t>
  </si>
  <si>
    <t>300×400×180, 1.2T</t>
  </si>
  <si>
    <t>400×500×200, 1.2T</t>
  </si>
  <si>
    <t>500×600×200, 1.2T</t>
  </si>
  <si>
    <t>600×800×250, 1.2T</t>
  </si>
  <si>
    <t>600×900×250, 1.2T</t>
  </si>
  <si>
    <t>700×900×250, 1.2T</t>
  </si>
  <si>
    <t>700×1,000×250, 1.2T</t>
  </si>
  <si>
    <t>400×500×150, 1.0T</t>
  </si>
  <si>
    <t>500×400×150, 1.0T</t>
  </si>
  <si>
    <t>400×500×200, 1.0T</t>
  </si>
  <si>
    <t>500×400×200, 1.0T</t>
  </si>
  <si>
    <t>450×550×150, 1.0T</t>
  </si>
  <si>
    <t>450×550×200, 1.0T</t>
  </si>
  <si>
    <t>500×600×150, 1.0T</t>
  </si>
  <si>
    <t>600×500×150, 1.0T</t>
  </si>
  <si>
    <t>500×600×220, 1.0T</t>
  </si>
  <si>
    <t>600×500×220, 1.0T</t>
  </si>
  <si>
    <t>500×700×150, 1.0T</t>
  </si>
  <si>
    <t>500×700×250, 1.0T</t>
  </si>
  <si>
    <t>550×600×150, 1.0T</t>
  </si>
  <si>
    <t>600×700×250, 1.2T</t>
  </si>
  <si>
    <t>500×600×320, 1.6T</t>
  </si>
  <si>
    <t>600×800×350, 1.6T</t>
  </si>
  <si>
    <t>600×1,000×350, 1.6T</t>
  </si>
  <si>
    <t>600×1,200×350, 1.6T</t>
  </si>
  <si>
    <t>700×1,300×400, 1.6T</t>
  </si>
  <si>
    <t>700×1,500×400, 1.6T</t>
  </si>
  <si>
    <t>3P4W 220/380V 5(2.5)A</t>
  </si>
  <si>
    <t>3P 20A</t>
  </si>
  <si>
    <t>3P 30A</t>
  </si>
  <si>
    <t>3P 50A</t>
  </si>
  <si>
    <t>4P 20A</t>
  </si>
  <si>
    <t>4P 30A</t>
  </si>
  <si>
    <t>4P 50A</t>
  </si>
  <si>
    <t>6A 250V</t>
  </si>
  <si>
    <t>50w (HK-EGR-50), 1200×300</t>
  </si>
  <si>
    <t>50w (HK-EGS-50), 600×600</t>
  </si>
  <si>
    <t>40w (HK-RW-40W)</t>
  </si>
  <si>
    <t>15w (HK-15)</t>
  </si>
  <si>
    <t>FL20SEX-D/18, 18W</t>
  </si>
  <si>
    <t>FHF32SSEX-D, 32W</t>
  </si>
  <si>
    <t>FLR40EX-D, 40W</t>
  </si>
  <si>
    <t>FPX13EX-D,</t>
  </si>
  <si>
    <t>FPL32EX-D,</t>
  </si>
  <si>
    <t>FPL36EX-D,</t>
  </si>
  <si>
    <t>FPL55EX-D,</t>
  </si>
  <si>
    <t>MH 175W</t>
  </si>
  <si>
    <t>MH 250W</t>
  </si>
  <si>
    <t>MH 400W</t>
  </si>
  <si>
    <t>MH 1000W</t>
  </si>
  <si>
    <t>ESP 30-12, 12V 30AH</t>
  </si>
  <si>
    <t>ESP 40-12, 12V 40AH</t>
  </si>
  <si>
    <t>ESP 65-12, 12V 65AH</t>
  </si>
  <si>
    <t>ESP 100-12, 12V 100AH</t>
  </si>
  <si>
    <t>ESP 120-12, 12V 120AH</t>
  </si>
  <si>
    <t>ESP 130-12, 12V 130AH</t>
  </si>
  <si>
    <t>ESP 150-12, 12V 150AH</t>
  </si>
  <si>
    <t>ESP 200-12, 12V 200AH</t>
  </si>
  <si>
    <t>E10410005001011002</t>
  </si>
  <si>
    <t>E10410005001011005</t>
  </si>
  <si>
    <t>E10410015001001003</t>
  </si>
  <si>
    <t>12V 고율 방전용 무보수 완전 밀폐형 축전지</t>
  </si>
  <si>
    <t>대</t>
  </si>
  <si>
    <t>본</t>
  </si>
  <si>
    <t>조</t>
  </si>
  <si>
    <t>면</t>
  </si>
  <si>
    <t>콘크리트기초(가로등기초)</t>
  </si>
  <si>
    <t>DY-400B3(직각형), 400×800×600×800</t>
  </si>
  <si>
    <t>DY-400B2(직각형), 400×750×575×700</t>
  </si>
  <si>
    <t>DY-400B1(직각형), 400×700×550×600</t>
  </si>
  <si>
    <t>DY-400A3(정방형), 400×800×800×800</t>
  </si>
  <si>
    <t>DY-400A2(정방형), 400×750×750×700</t>
  </si>
  <si>
    <t>DY-400A1(정방형), 400×700×700×600</t>
  </si>
  <si>
    <t>고압, 220, 1000W</t>
  </si>
  <si>
    <t>나트륨등안정기</t>
  </si>
  <si>
    <t>고압, 220V, 400W</t>
  </si>
  <si>
    <t>고압, 220V, 250W</t>
  </si>
  <si>
    <t>고압, 220V, 200W</t>
  </si>
  <si>
    <t>고압, 220V, 150W</t>
  </si>
  <si>
    <t>고압, 220V, 100W</t>
  </si>
  <si>
    <t>고압, 220V, 50W</t>
  </si>
  <si>
    <t>전자식안정기</t>
  </si>
  <si>
    <t>FL 40W×1등</t>
  </si>
  <si>
    <t>FL 20W×1등</t>
  </si>
  <si>
    <t>메탈하라이드등안정기</t>
  </si>
  <si>
    <t>CC형 220V 1000W</t>
  </si>
  <si>
    <t>CC형 220V 400W</t>
  </si>
  <si>
    <t>CC형 220V 250W</t>
  </si>
  <si>
    <t>CC형 220V 175W</t>
  </si>
  <si>
    <t>재실감지기</t>
  </si>
  <si>
    <t>PS-16A, 16A 재실감지기(인체감지 센서)</t>
  </si>
  <si>
    <t>메탈하라이드등</t>
  </si>
  <si>
    <t>나트륨램프</t>
  </si>
  <si>
    <t>고압 NH 1000W</t>
  </si>
  <si>
    <t>고압 NH 400W</t>
  </si>
  <si>
    <t>고압 NH 250W</t>
  </si>
  <si>
    <t>고압 NH 200W</t>
  </si>
  <si>
    <t>고압 NH 150W</t>
  </si>
  <si>
    <t>고압 NH 100W</t>
  </si>
  <si>
    <t>고압 NH 50W</t>
  </si>
  <si>
    <t>LED직관램프</t>
  </si>
  <si>
    <t>소비전력 17.2W (컨버터포함)</t>
  </si>
  <si>
    <t>LED 전구</t>
  </si>
  <si>
    <t>컴팩트형광램프</t>
  </si>
  <si>
    <t>삼파장직관형광램프</t>
  </si>
  <si>
    <t>LED18W, 20W, 26W, 40W, 주차장용</t>
  </si>
  <si>
    <t>LED디밍센서</t>
  </si>
  <si>
    <t>HB-TL200, LED 터널등 200W</t>
  </si>
  <si>
    <t>LED 터널등</t>
  </si>
  <si>
    <t>HB-TL100, LED 터널등 100W</t>
  </si>
  <si>
    <t>HB-TL50, LED 터널등 50W</t>
  </si>
  <si>
    <t>LED 직부등</t>
  </si>
  <si>
    <t>LED 레이스웨이등</t>
  </si>
  <si>
    <t>LED 평판등</t>
  </si>
  <si>
    <t>LED 실내조명등기구</t>
  </si>
  <si>
    <t>HB-DPMP40ES, LED 방진방습등, 40W</t>
  </si>
  <si>
    <t>HB-DPMP20ES, LED 방진방습등, 20W</t>
  </si>
  <si>
    <t>HB-DL8IN35ES, LED 8인치 다운라이트, 35W</t>
  </si>
  <si>
    <t>HB-DL6IN20ES, LED 6인치 다운라이트, 20W</t>
  </si>
  <si>
    <t>LED방폭등</t>
  </si>
  <si>
    <t>HB-CILE-100, LED 방폭등, 100W</t>
  </si>
  <si>
    <t>HB-CILE-80, LED 방폭등, 80W</t>
  </si>
  <si>
    <t>HB-CILE-60, LED 방폭등, 60W</t>
  </si>
  <si>
    <t>HB-CILE-05, LED 방폭등, 50W</t>
  </si>
  <si>
    <t>HB-CILE-04, LED 방폭등, 40W</t>
  </si>
  <si>
    <t>HB-CILE-03, LED 방폭등, 30W</t>
  </si>
  <si>
    <t>35W, 1,449㎜×36㎜</t>
  </si>
  <si>
    <t>T5 등기구</t>
  </si>
  <si>
    <t>28W, 1,173㎜×36㎜</t>
  </si>
  <si>
    <t>21W, 900㎜×36㎜</t>
  </si>
  <si>
    <t>14W, 600㎜×36㎜</t>
  </si>
  <si>
    <t>8W, 310㎜×36㎜</t>
  </si>
  <si>
    <t>40W×2, 1,520㎜×130㎜</t>
  </si>
  <si>
    <t>실버등 전자식 2등용</t>
  </si>
  <si>
    <t>32W×2, 1,520㎜×130㎜</t>
  </si>
  <si>
    <t>55W×4등용</t>
  </si>
  <si>
    <t>FPL컴팩트형광등기구</t>
  </si>
  <si>
    <t>55W×2등용</t>
  </si>
  <si>
    <t>36W×4등용</t>
  </si>
  <si>
    <t>36W×2등용</t>
  </si>
  <si>
    <t>32W×2, 1,280㎜×317㎜ (고조도반사갓)</t>
  </si>
  <si>
    <t>매입개방형광등기구</t>
  </si>
  <si>
    <t>20W×2, 660㎜×317㎜ (고조도반사갓)</t>
  </si>
  <si>
    <t>매입 4P 30A (걸림)</t>
  </si>
  <si>
    <t>매입콘센트(산업용)</t>
  </si>
  <si>
    <t>매입 4P 30A</t>
  </si>
  <si>
    <t>매입 4P 20A</t>
  </si>
  <si>
    <t>매입 3P 50A</t>
  </si>
  <si>
    <t>매입 3P 20A</t>
  </si>
  <si>
    <t>110V 대각접 2구</t>
  </si>
  <si>
    <t>노출콘센트(산업용)</t>
  </si>
  <si>
    <t>노출접 2구</t>
  </si>
  <si>
    <t>노출접 1구</t>
  </si>
  <si>
    <t>노출 4P 50A</t>
  </si>
  <si>
    <t>노출 4P 30A</t>
  </si>
  <si>
    <t>노출 4P 20A</t>
  </si>
  <si>
    <t>노출 3P 50A</t>
  </si>
  <si>
    <t>노출 3P 30A</t>
  </si>
  <si>
    <t>노출 3P 20A</t>
  </si>
  <si>
    <t>노출접 2구 110V</t>
  </si>
  <si>
    <t>방접 2구</t>
  </si>
  <si>
    <t>매입콘센트</t>
  </si>
  <si>
    <t>방접 1구</t>
  </si>
  <si>
    <t>220V 접4구</t>
  </si>
  <si>
    <t>220V 접2구</t>
  </si>
  <si>
    <t>220V 접1구</t>
  </si>
  <si>
    <t>디지털타임스위치</t>
  </si>
  <si>
    <t>HTS-AT20S, 20A 주간타이머, 양력휴일꺼짐기능 외 다수 기능 내장</t>
  </si>
  <si>
    <t>HTS-AT10, 10A 주간타이머, 양력휴일꺼짐기능 외 다수 기능 내장</t>
  </si>
  <si>
    <t>3로3구 스위치(램프)</t>
  </si>
  <si>
    <t>3로2구 스위치(램프)</t>
  </si>
  <si>
    <t>3로1구 스위치(램프)</t>
  </si>
  <si>
    <t>3로3구 스위치</t>
  </si>
  <si>
    <t>3로2구 스위치</t>
  </si>
  <si>
    <t>3로1구 스위치</t>
  </si>
  <si>
    <t>중6구 스위치(램프)</t>
  </si>
  <si>
    <t>중5구 스위치(램프)</t>
  </si>
  <si>
    <t>중4구 스위치(램프)</t>
  </si>
  <si>
    <t>중3구 스위치(램프)</t>
  </si>
  <si>
    <t>중2구 스위치(램프)</t>
  </si>
  <si>
    <t>1구 스위치(램프)</t>
  </si>
  <si>
    <t>중6구 스위치</t>
  </si>
  <si>
    <t>중5구 스위치</t>
  </si>
  <si>
    <t>중4구 스위치</t>
  </si>
  <si>
    <t>중3구 스위치</t>
  </si>
  <si>
    <t>중2구 스위치</t>
  </si>
  <si>
    <t>1구 스위치</t>
  </si>
  <si>
    <t>와이드,</t>
  </si>
  <si>
    <t>사기리셉  6A 250V</t>
  </si>
  <si>
    <t>램프용리셉터클</t>
  </si>
  <si>
    <t>빼크리셉  6A 250V</t>
  </si>
  <si>
    <t>2단대모갈 15A 250V</t>
  </si>
  <si>
    <t>키리스소켓</t>
  </si>
  <si>
    <t>1단대모갈 15A 250V</t>
  </si>
  <si>
    <t>2단소모갈 6A 250V</t>
  </si>
  <si>
    <t>1단소모갈 6A 250V</t>
  </si>
  <si>
    <t>키소켓</t>
  </si>
  <si>
    <t>ㅡ 자</t>
  </si>
  <si>
    <t>플러그</t>
  </si>
  <si>
    <t>ㄱ 자</t>
  </si>
  <si>
    <t>4P 30A (걸림)</t>
  </si>
  <si>
    <t>3P 20A (고무)</t>
  </si>
  <si>
    <t>환접지</t>
  </si>
  <si>
    <t>150㎟</t>
  </si>
  <si>
    <t>120㎟</t>
  </si>
  <si>
    <t>95㎟</t>
  </si>
  <si>
    <t>70㎟</t>
  </si>
  <si>
    <t>50㎟</t>
  </si>
  <si>
    <t>16㎟</t>
  </si>
  <si>
    <t>3상4선, SB-PB240/4(Imax240kA/In120kA)</t>
  </si>
  <si>
    <t>서지보호기-전원용 SPD(BOX Type)</t>
  </si>
  <si>
    <t>3상4선, SB-PB200/4(Imax200kA/In100kA)</t>
  </si>
  <si>
    <t>3상4선, SB-PB160/4(Imax160kA/In80kA)</t>
  </si>
  <si>
    <t>3상4선, SB-PB120/4(Imax120kA/In60kA)</t>
  </si>
  <si>
    <t>3상4선, SB-PB080/4(Imax80kA/In40kA)</t>
  </si>
  <si>
    <t>3상4선, SB-PB040/4(Imax40kA/In20kA)</t>
  </si>
  <si>
    <t>1상2선, SB-PB200/2(Imax200kA/In100kA)</t>
  </si>
  <si>
    <t>1상2선, SB-PB160/2(Imax160kA/In80kA)</t>
  </si>
  <si>
    <t>1상2선, SB-PB120/2(Imax120kA/In60kA)</t>
  </si>
  <si>
    <t>1상2선, SB-PB080/2(Imax80kA/In40kA)</t>
  </si>
  <si>
    <t>1상2선, SB-PB040/2(Imax40kA/In20kA)</t>
  </si>
  <si>
    <t>1상2선, SB-PC020/2(Imax20kA/In10kA)</t>
  </si>
  <si>
    <t>양방향전자식전력량계(Smart Meter)</t>
  </si>
  <si>
    <t>개소</t>
  </si>
  <si>
    <t>EMPR 옵션품-변류기(3CT형)</t>
  </si>
  <si>
    <t>3CT-43, 300/350/400A CT 상부에 DMP, GMP60-3T/TN/TZ 등 취부 가능</t>
  </si>
  <si>
    <t>3CT-23, 80/100/150A 2차 정격 5A, 부담 1.5VA, (관통 : 21X21)</t>
  </si>
  <si>
    <t>ZCT 80Φ 영상변류비 200mA/100mV</t>
  </si>
  <si>
    <t>EMPR 옵션품-영상변류기</t>
  </si>
  <si>
    <t>ZCT 65Φ 영상변류비 200mA/100mV</t>
  </si>
  <si>
    <t>ZCT 50Φ 영상변류비 200mA/100mV</t>
  </si>
  <si>
    <t>TR STEEL 옥외이중방수형</t>
  </si>
  <si>
    <t>TS STEEL 일반형</t>
  </si>
  <si>
    <t>TSOD STS 옥외방수</t>
  </si>
  <si>
    <t>Metasol 교류조작형접촉기(AC/DC조작형)</t>
  </si>
  <si>
    <t>MC-800a AC/DC, 220㎾ 800A, 500㎾ 800A</t>
  </si>
  <si>
    <t>MC-630a AC/DC, 190㎾ 630A, 330㎾ 630A</t>
  </si>
  <si>
    <t>MC-500a AC/DC, 147㎾ 500A, 265㎾ 500A</t>
  </si>
  <si>
    <t>MC-400a AC/DC, 125㎾ 400A, 200㎾ 400A</t>
  </si>
  <si>
    <t>MC-330a AC/DC, 90㎾ 330A, 160㎾ 330A</t>
  </si>
  <si>
    <t>MC-265a AC/DC, 80㎾ 265A, 147㎾ 265A</t>
  </si>
  <si>
    <t>MC-225a AC/DC, 75㎾ 225A, 132㎾ 225A</t>
  </si>
  <si>
    <t>MC-185a AC/DC, 55㎾ 185A, 90㎾ 185A</t>
  </si>
  <si>
    <t>MC-150a AC/DC, 45㎾ 150A, 75㎾ 150A</t>
  </si>
  <si>
    <t>MC-130a AC/DC, 37㎾ 130A, 60㎾ 130A</t>
  </si>
  <si>
    <t>MC-100a AC, 30㎾ 105A, 55㎾ 105A</t>
  </si>
  <si>
    <t>Metasol 교류조작형접촉기(AC조작형)</t>
  </si>
  <si>
    <t>MC-85a AC, 25㎾ 85A, 45㎾ 85A</t>
  </si>
  <si>
    <t>MC-75a AC, 22㎾ 75A, 37㎾ 75A</t>
  </si>
  <si>
    <t>MC-65a AC, 18.5㎾ 65A, 30㎾ 65A</t>
  </si>
  <si>
    <t>MC-50a AC, 15㎾ 55A, 22㎾ 50A</t>
  </si>
  <si>
    <t>MC-50a AC, 18.5㎾ 65A, 30kW 65A</t>
  </si>
  <si>
    <t>MC-40a AC, 11㎾ 40A, 18.5㎾ 40A</t>
  </si>
  <si>
    <t>MC-32a AC, 7.5㎾ 32A, 15㎾ 32A</t>
  </si>
  <si>
    <t>MC-22b AC, 5.5㎾ 22A, 11㎾ 22A</t>
  </si>
  <si>
    <t>MC-18b AC, 4.5㎾ 18A, 7.5㎾ 18A</t>
  </si>
  <si>
    <t>MC-12b AC, 3.5㎾ 13A, 5.5㎾ 12A</t>
  </si>
  <si>
    <t>MC-9b AC, 2.5㎾ 11A, 4㎾ 9A</t>
  </si>
  <si>
    <t>MC-18a AC, 4.5㎾ 18A, 7.5㎾ 18A</t>
  </si>
  <si>
    <t>MC-12a AC, 3.5㎾ 13A, 5.5㎾ 12A</t>
  </si>
  <si>
    <t>MC-9a AC, 2.5㎾ 11A, 4㎾ 9A</t>
  </si>
  <si>
    <t>MC-6a AC, 2.2㎾ 9A, 3㎾ 7A</t>
  </si>
  <si>
    <t>열동형과부하계전기 표준형</t>
  </si>
  <si>
    <t>MT-63/3H, 극수:3P 정격전류:5~54A</t>
  </si>
  <si>
    <t>MT-32/3H, 극수:3P 정격전류:0.14~34A</t>
  </si>
  <si>
    <t>ABS 804c , 정격전압:460V,65kA 정격전류:700~800 극수:4P</t>
  </si>
  <si>
    <t>배선용차단기 (MCCB)</t>
  </si>
  <si>
    <t>ABS 803c , 정격전압:460V,65kA 정격전류:700~800 극수:3P</t>
  </si>
  <si>
    <t>ABS 802c , 정격전압:460V,65kA 정격전류:700~800 극수:2P</t>
  </si>
  <si>
    <t>ABS 604c , 정격전압:460V,65kA 정격전류:500~630 극수:4P</t>
  </si>
  <si>
    <t>ABS 603c , 정격전압:460V,65kA 정격전류:500~630 극수:3P</t>
  </si>
  <si>
    <t>ABS 602c , 정격전압:460V,65kA 정격전류:500~630 극수:2P</t>
  </si>
  <si>
    <t>ABS 404c , 정격전압:460V,50kA 정격전류:250~400 극수:4P</t>
  </si>
  <si>
    <t>ABS 403c, 정격전압:460V,50kA 정격전류:250~400 극수:3P</t>
  </si>
  <si>
    <t>ABS 402c , 정격전압:460V,50kA 정격전류:250~400 극수:2P</t>
  </si>
  <si>
    <t>ABS 204c , 정격전압:460V,37kA 정격전류:100~250 극수:4P</t>
  </si>
  <si>
    <t>ABS 203c , 정격전압:460V,37kA 정격전류:100~250 극수:3P</t>
  </si>
  <si>
    <t>ABS 202c , 정격전압:460V,37kA 정격전류:100~250 극수:2P</t>
  </si>
  <si>
    <t>ABS 104c , 정격전압:460V,37kA 정격전류:15~125 극수:4P</t>
  </si>
  <si>
    <t>ABS 103c , 정격전압:460V,37kA 정격전류:15~125 극수:3P</t>
  </si>
  <si>
    <t>ABS 102c , 정격전압:460V,37kA 정격전류:15~125 극수:2P</t>
  </si>
  <si>
    <t>ABS Type 배선용차단기</t>
  </si>
  <si>
    <t>ABS 64c , 정격전압:460V,18kA 정격전류:15~60 극수:4P</t>
  </si>
  <si>
    <t>ABS 63c , 정격전압:460V,18kA 정격전류:15~60 극수:3P</t>
  </si>
  <si>
    <t>ABS 62c , 정격전압:460V,18kA 정격전류:15~60 극수:2P</t>
  </si>
  <si>
    <t>ABS 54c , 정격전압:460V,18kA 정격전류:15~50 극수:4P</t>
  </si>
  <si>
    <t>ABS 53c , 정격전압:460V,18kA 정격전류:15~50 극수:3P</t>
  </si>
  <si>
    <t>ABS 52c , 정격전압:460V,18kA 정격전류:15~50 극수:2P</t>
  </si>
  <si>
    <t>ABS 34c , 정격전압:460V,14(10)kA 정격전류:3~30 극수:4P</t>
  </si>
  <si>
    <t>ABS 33c , 정격전압:460V,14(10)kA 정격전류:3~30 극수:3P</t>
  </si>
  <si>
    <t>ABS 32c , 정격전압:460V,14(10)kA 정격전류:3~30 극수:2P</t>
  </si>
  <si>
    <t>EBS 803c, 극수:3P 정격전류:700~800 차단전류(460V):65kA</t>
  </si>
  <si>
    <t>EBS Type 누전차단기</t>
  </si>
  <si>
    <t>EBS 603c, 극수:3P 정격전류:500~630 차단전류(460V):65kA</t>
  </si>
  <si>
    <t>EBS 404c, 극수:4P 정격전류:250~400 차단전류(460V):50kA</t>
  </si>
  <si>
    <t>EBS 403c, 극수:3P 정격전류:250~400 차단전류(460V):50kA</t>
  </si>
  <si>
    <t>EBS 204c, 극수:4P 정격전류:100~250 차단전류(460V):37kA</t>
  </si>
  <si>
    <t>EBS 203c, 극수:3P 정격전류:100~250 차단전류(460V):37kA</t>
  </si>
  <si>
    <t>EBS 104c, 극수:4P 정격전류:15~125 차단전류(460V):37kA</t>
  </si>
  <si>
    <t>EBS 103c, 극수:3P 정격전류:15~125 차단전류(460V):37kA</t>
  </si>
  <si>
    <t>EBS 64c, 극수:4P 정격전류:60 차단전류(460V):18kA</t>
  </si>
  <si>
    <t>EBS 63c, 극수:3P 정격전류:60 차단전류(460V):18kA</t>
  </si>
  <si>
    <t>EBS 54c, 극수:4P 정격전류:15~50 차단전류(460V):18kA</t>
  </si>
  <si>
    <t>EBS 53c, 극수:3P 정격전류:15~50 차단전류(460V):18kA</t>
  </si>
  <si>
    <t>EBS 34c, 극수:4P 정격전류:15~30 차단전류(460V):14kA</t>
  </si>
  <si>
    <t>EBS 33c, 극수:3P 정격전류:15~30 차단전류(460V):14kA</t>
  </si>
  <si>
    <t>분전반용누전차단기</t>
  </si>
  <si>
    <t>EBE 103Fb, 극수:2P3E 정격전류:60,75,100 차단전류(220V):5kA 분전반용</t>
  </si>
  <si>
    <t>EBE 102Fb, 극수:2P2E 정격전류:60,75,100 차단전류(220V):5kA 분전반용</t>
  </si>
  <si>
    <t>EBE 53Fb, 극수:2P3E 정격전류:15,20,30,40,50 차단전류(220V):2.5kA 분전반용</t>
  </si>
  <si>
    <t>EBE 52Fb, 극수:2P2E 정격전류:15,20,30,40,50 차단전류(220V):2.5kA 분전반용</t>
  </si>
  <si>
    <t>EBE 33Fb, 극수:2P3E 정격전류:5,10,15,20,30 차단전류(220V):2.5kA 분전반용</t>
  </si>
  <si>
    <t>EBE 32Fb, 극수:2P2E 정격전류:5,10,15,20,30 차단전류(220V):2.5kA 분전반용</t>
  </si>
  <si>
    <t>32GRhd, 극수:2P2E 정격전류:15,20,30 차단전류(220V):2.5kA 분전반용</t>
  </si>
  <si>
    <t>32GRd, 극수:2P2E 정격전류:15,20,30 차단전류(220V):2.5kA 분전반용</t>
  </si>
  <si>
    <t>32KGRd, 극수:2P2E 정격전류:15,20,30 차단전류(220V):2.5kA 분전반용</t>
  </si>
  <si>
    <t>32GRhc, 극수:2P2E 정격전류:15,20,30 차단전류(220V):1.5kA 분전반용</t>
  </si>
  <si>
    <t>32GRc, 극수:2P2E 정격전류:15,20,30 차단전류(220V):1.5kA 분전반용</t>
  </si>
  <si>
    <t>32KGRc, 극수:2P2E 정격전류:15,20,30 차단전류(220V):1.5kA 분전반용</t>
  </si>
  <si>
    <t>차세대 범용 인버터 iS7</t>
  </si>
  <si>
    <t>SV0015iS7-4NOFD, 400V(리액터,필터 내장), 1.5㎾</t>
  </si>
  <si>
    <t>SV0008iS7-4NOFD, 400V(리액터,필터 내장), 0.75㎾</t>
  </si>
  <si>
    <t>SV0220iS7-2NOFD, 200V(리액터,필터 내장), 22㎾</t>
  </si>
  <si>
    <t>SV0185iS7-2NOFD, 200V(리액터,필터 내장), 18.5㎾</t>
  </si>
  <si>
    <t>SV0150iS7-2NOFD, 200V(리액터,필터 내장), 15㎾</t>
  </si>
  <si>
    <t>SV0110iS7-2NOFD, 200V(리액터,필터 내장), 11㎾</t>
  </si>
  <si>
    <t>SV0075iS7-2NOFD, 200V(리액터,필터 내장), 7.5㎾</t>
  </si>
  <si>
    <t>SV0055iS7-2NOFD, 200V(리액터,필터 내장), 5.5㎾</t>
  </si>
  <si>
    <t>인버터판넬</t>
  </si>
  <si>
    <t>ISP-750P, 75㎾</t>
  </si>
  <si>
    <t>ISP-550P, 55㎾</t>
  </si>
  <si>
    <t>ISP-450P, 45㎾</t>
  </si>
  <si>
    <t>ISP-370P, 37㎾</t>
  </si>
  <si>
    <t>ISP-300P, 30㎾</t>
  </si>
  <si>
    <t>ISP-220P, 22㎾</t>
  </si>
  <si>
    <t>ISP-185P, 18.5㎾</t>
  </si>
  <si>
    <t>ISP-150P, 15㎾</t>
  </si>
  <si>
    <t>ISP-110P, 11㎾</t>
  </si>
  <si>
    <t>ISP-075P, 7.5㎾</t>
  </si>
  <si>
    <t>저압진상용콘덴서(380V, 440V)</t>
  </si>
  <si>
    <t>1P, 3P, 500, ㎌</t>
  </si>
  <si>
    <t>1P, 3P, 400, ㎌</t>
  </si>
  <si>
    <t>1P, 3P, 300, ㎌</t>
  </si>
  <si>
    <t>1P, 3P, 250, ㎌</t>
  </si>
  <si>
    <t>1P, 3P, 200, ㎌</t>
  </si>
  <si>
    <t>1P, 3P, 175, ㎌</t>
  </si>
  <si>
    <t>1P, 3P, 150, ㎌</t>
  </si>
  <si>
    <t>1P, 3P, 100, ㎌</t>
  </si>
  <si>
    <t>1P, 3P, 75, ㎌</t>
  </si>
  <si>
    <t>1P, 3P, 50, ㎌</t>
  </si>
  <si>
    <t>1P, 3P, 40, ㎌</t>
  </si>
  <si>
    <t>1P, 3P, 30, ㎌</t>
  </si>
  <si>
    <t>1P, 3P, 25, ㎌</t>
  </si>
  <si>
    <t>1P, 3P, 20, ㎌</t>
  </si>
  <si>
    <t>1P, 3P, 15, ㎌</t>
  </si>
  <si>
    <t>1P, 3P, 10, ㎌</t>
  </si>
  <si>
    <t>저압진상용콘덴서(220V)</t>
  </si>
  <si>
    <t>1P, 3P, 1000, ㎌</t>
  </si>
  <si>
    <t>1P, 3P, 800, ㎌</t>
  </si>
  <si>
    <t>1P, 3P, 750, ㎌</t>
  </si>
  <si>
    <t>1P, 3P, 600, ㎌</t>
  </si>
  <si>
    <t>자동전압조정기 TRS방식</t>
  </si>
  <si>
    <t>상수3ø, 출력380/220V±1~2%(입력:±10~20%) 용량75kVA</t>
  </si>
  <si>
    <t>상수3ø, 출력380/220V±1~2%(입력:±10~20%) 용량50kVA</t>
  </si>
  <si>
    <t>상수3ø, 출력380/220V±1~2%(입력:±10~20%) 용량30kVA</t>
  </si>
  <si>
    <t>상수3ø, 출력380/220V±1~2%(입력:±10~20%) 용량20kVA</t>
  </si>
  <si>
    <t>상수3ø, 출력380/220V±1~2%(입력:±10~20%) 용량15kVA</t>
  </si>
  <si>
    <t>상수3ø, 출력380/220V±1~2%(입력:±10~20%) 용량10kVA</t>
  </si>
  <si>
    <t>무정전전원장치</t>
  </si>
  <si>
    <t>상수3ø 110/220V, 208/120V, 380/220V(입력:3ø208/220/380V) 용량100kVA</t>
  </si>
  <si>
    <t>상수3ø 110/220V, 208/120V, 380/220V(입력:3ø208/220/380V) 용량 75kVA</t>
  </si>
  <si>
    <t>상수3ø 110/220V, 208/120V, 380/220V(입력:3ø208/220/380V) 용량 50kVA</t>
  </si>
  <si>
    <t>상수3ø 110/220V, 208/120V, 380/220V(입력:3ø208/220/380V) 용량 30kVA</t>
  </si>
  <si>
    <t>상수3ø 110/220V, 208/120V, 380/220V(입력:3ø208/220/380V) 용량 20kVA</t>
  </si>
  <si>
    <t>상수3ø 110/220V, 208/120V, 380/220V(입력:3ø208/220/380V) 용량 10kVA</t>
  </si>
  <si>
    <t>LADDER TRAY(사다리형)2.3T R.S.200㎜</t>
  </si>
  <si>
    <t>풀박스</t>
  </si>
  <si>
    <t>8각 O/T Box H75(3)㎜</t>
  </si>
  <si>
    <t>8각 O/T Box H54(2)㎜</t>
  </si>
  <si>
    <t>8각 O/T Box H44(1½)㎜</t>
  </si>
  <si>
    <t>아우트레트박스</t>
  </si>
  <si>
    <t>2개용 H75(3)㎜</t>
  </si>
  <si>
    <t>콘센트박스</t>
  </si>
  <si>
    <t>2개용 H54(2)㎜</t>
  </si>
  <si>
    <t>1개용 H75(3)㎜</t>
  </si>
  <si>
    <t>1개용 H54(2)㎜</t>
  </si>
  <si>
    <t>스위치박스</t>
  </si>
  <si>
    <t>2개용 S/W Box H75(3)㎜</t>
  </si>
  <si>
    <t>2개용 S/W Box H54(2)㎜</t>
  </si>
  <si>
    <t>2개용 S/W Box H44(1½)㎜</t>
  </si>
  <si>
    <t>1개용 S/W Box H75(3)㎜</t>
  </si>
  <si>
    <t>1개용 S/W Box H54(2)㎜</t>
  </si>
  <si>
    <t>1개용 S/W Box H44(1½)㎜</t>
  </si>
  <si>
    <t>DS-03, 플라스틱중판, 가로400×세로500×높이200</t>
  </si>
  <si>
    <t>콘트롤BOX</t>
  </si>
  <si>
    <t>DS-02, 플라스틱중판, 가로300×세로400×높이180</t>
  </si>
  <si>
    <t>DS-015, 플라스틱중판, 가로200×세로300×높이150</t>
  </si>
  <si>
    <t>DS-012, 플라스틱중판, 가로225×세로275×높이120</t>
  </si>
  <si>
    <t>DS-01, 플라스틱중판, 가로200×세로300×높이180</t>
  </si>
  <si>
    <t>KOFLEX플렉시블전선관(고장력비방수)</t>
  </si>
  <si>
    <t>KOFLEX플렉시블전선관(일반방수)</t>
  </si>
  <si>
    <t>KOFLEX플렉시블전선관(고장력방수)</t>
  </si>
  <si>
    <t>콘크리트매설용(난연CD)</t>
  </si>
  <si>
    <t>대전, 36㎜, 외경 42㎜, 길이 50m</t>
  </si>
  <si>
    <t>대전, 28㎜, 외경 34㎜, 길이 50m</t>
  </si>
  <si>
    <t>대전, 22㎜, 외경 28㎜, 길이 100m</t>
  </si>
  <si>
    <t>대전, 16㎜, 외경 21㎜, 길이 100m</t>
  </si>
  <si>
    <t>104㎜, 외경113.4㎜, 두께3.5㎜, 중량9.48㎏/m</t>
  </si>
  <si>
    <t>후강전선관 아연도금</t>
  </si>
  <si>
    <t>82㎜, 외경87.9㎜, 두께2.8㎜, 중량5.88㎏/m</t>
  </si>
  <si>
    <t>70㎜, 외경75.2㎜, 두께2.8㎜, 중량5.00㎏/m</t>
  </si>
  <si>
    <t>54㎜, 외경56.9㎜, 두께2.8㎜, 중량3.92㎏/m</t>
  </si>
  <si>
    <t>42㎜, 외경47.8㎜, 두께2.5㎜, 중량2.79㎏/m</t>
  </si>
  <si>
    <t>36㎜, 외경41.9㎜, 두께2.5㎜, 중량2.43㎏/m</t>
  </si>
  <si>
    <t>28㎜, 외경33.3㎜, 두께2.5㎜, 중량1.90㎏/m</t>
  </si>
  <si>
    <t>22㎜, 외경26.5㎜, 두께2.3㎜, 중량1.37㎏/m</t>
  </si>
  <si>
    <t>16㎜, 외경21.0㎜, 두께2.3㎜, 중량1.06㎏/m</t>
  </si>
  <si>
    <t>104㎜, 외경114㎜, 두께6.5㎜, 근사내경101㎜, 중량3.138g/m</t>
  </si>
  <si>
    <t>내충격용HI-VE전선관</t>
  </si>
  <si>
    <t>82㎜, 외경89㎜, 두께5.9㎜, 근사내경77㎜, 중량2,202g/m</t>
  </si>
  <si>
    <t>70㎜, 외경76㎜, 두께4.5㎜, 근사내경67㎜, 중량1,445g/m</t>
  </si>
  <si>
    <t>54㎜, 외경60㎜, 두께4.5㎜, 근사내경51㎜, 중량1,122g/m</t>
  </si>
  <si>
    <t>42㎜, 외경48㎜, 두께4.0㎜, 근사내경40㎜, 중량791g/m</t>
  </si>
  <si>
    <t>36㎜, 외경42㎜, 두께3.5㎜, 근사내경35㎜, 중량605g/m</t>
  </si>
  <si>
    <t>28㎜, 외경34㎜, 두께3.0㎜, 근사내경28㎜, 중량418g/m</t>
  </si>
  <si>
    <t>22㎜, 외경26㎜, 두께2.0㎜, 근사내경22㎜, 중량216g/m</t>
  </si>
  <si>
    <t>16㎜, 외경22㎜, 두께2.0㎜, 근사내경18㎜, 중량180g/m</t>
  </si>
  <si>
    <t>안전증방폭형(EXeⅡ)</t>
  </si>
  <si>
    <t>내경 200㎜, 외경 260±4㎜, 피치 59㎜, 두께 4.0㎜, 길이 30m</t>
  </si>
  <si>
    <t>파상형경질지중전선관</t>
  </si>
  <si>
    <t>내경 175㎜, 외경 230±4㎜, 피치 53㎜, 두께 3.5㎜, 길이 30m</t>
  </si>
  <si>
    <t>내경 150㎜, 외경 188±4㎜, 피치 45㎜, 두께 3.0㎜, 길이 50m</t>
  </si>
  <si>
    <t>내경 125㎜, 외경 160±4㎜, 피치 38㎜, 두께 2.5㎜, 길이 50m</t>
  </si>
  <si>
    <t>내경 100㎜, 외경 130±4㎜, 피치 30㎜, 두께 2.0㎜, 길이 100m</t>
  </si>
  <si>
    <t>내경 80㎜, 외경 105±3㎜, 피치 25㎜, 두께 1.5㎜, 길이 100m</t>
  </si>
  <si>
    <t>내경 65㎜, 외경 84±2.5㎜, 피치 21㎜, 두께 1.5㎜, 길이 100m</t>
  </si>
  <si>
    <t>내경 50㎜, 외경 64±2.5㎜, 피치 17㎜, 두께 1.3㎜, 길이 100m</t>
  </si>
  <si>
    <t>내경 40㎜, 외경 53±2.0㎜, 피치 13㎜, 두께 1.3㎜, 길이 100m</t>
  </si>
  <si>
    <t>내경 30㎜, 외경 40±2.0㎜, 피치 10㎜, 두께 1.3㎜, 길이 100m</t>
  </si>
  <si>
    <t>노출스위치박스(2개용)</t>
  </si>
  <si>
    <t>노출스위치박스(1개용)</t>
  </si>
  <si>
    <t>28㎜, 2방출</t>
  </si>
  <si>
    <t>28㎜, 1방출</t>
  </si>
  <si>
    <t>22㎜, 2방출</t>
  </si>
  <si>
    <t>22㎜, 1방출</t>
  </si>
  <si>
    <t>16㎜, 2방출</t>
  </si>
  <si>
    <t>16㎜, 1방출</t>
  </si>
  <si>
    <t>300㎟</t>
  </si>
  <si>
    <t>240㎟</t>
  </si>
  <si>
    <t>185㎟</t>
  </si>
  <si>
    <t>35㎟</t>
  </si>
  <si>
    <t>25㎟</t>
  </si>
  <si>
    <t>10㎟</t>
  </si>
  <si>
    <t>6㎟</t>
  </si>
  <si>
    <t>4㎟</t>
  </si>
  <si>
    <t>2.5㎟</t>
  </si>
  <si>
    <t>1.5㎟</t>
  </si>
  <si>
    <t>슬리브</t>
  </si>
  <si>
    <t>B형, 240SQ</t>
  </si>
  <si>
    <t>B형, 185SQ</t>
  </si>
  <si>
    <t>B형, 150SQ</t>
  </si>
  <si>
    <t>B형, 120SQ</t>
  </si>
  <si>
    <t>B형, 95SQ</t>
  </si>
  <si>
    <t>B형, 70SQ</t>
  </si>
  <si>
    <t>B형, 50SQ</t>
  </si>
  <si>
    <t>B형, 35SQ</t>
  </si>
  <si>
    <t>B형, 25SQ</t>
  </si>
  <si>
    <t>B형, 16SQ</t>
  </si>
  <si>
    <t>히팅케이블(동파방지 / 온도유지)</t>
  </si>
  <si>
    <t>동파방지용(65℃), SRF30-2CR</t>
  </si>
  <si>
    <t>F-CV케이블</t>
  </si>
  <si>
    <t>0.6/1KV 4C 300㎟</t>
  </si>
  <si>
    <t>0.6/1KV 4C 240㎟</t>
  </si>
  <si>
    <t>0.6/1KV 4C 185㎟</t>
  </si>
  <si>
    <t>0.6/1KV 4C 150㎟</t>
  </si>
  <si>
    <t>0.6/1KV 4C 120㎟</t>
  </si>
  <si>
    <t>0.6/1KV 4C 95㎟</t>
  </si>
  <si>
    <t>0.6/1KV 4C 70㎟</t>
  </si>
  <si>
    <t>0.6/1KV 4C 50㎟</t>
  </si>
  <si>
    <t>0.6/1KV 4C 35㎟</t>
  </si>
  <si>
    <t>0.6/1KV 4C 25㎟</t>
  </si>
  <si>
    <t>0.6/1KV 4C 16㎟</t>
  </si>
  <si>
    <t>0.6/1KV 4C 10㎟</t>
  </si>
  <si>
    <t>0.6/1KV 4C 6㎟</t>
  </si>
  <si>
    <t>0.6/1KV 4C 4㎟</t>
  </si>
  <si>
    <t>0.6/1KV 4C 2.5㎟</t>
  </si>
  <si>
    <t>0.6/1KV 4C 1.5㎟</t>
  </si>
  <si>
    <t>0.6/1KV 3C 16㎟</t>
  </si>
  <si>
    <t>0.6/1KV 3C 10㎟</t>
  </si>
  <si>
    <t>0.6/1KV 3C 6㎟</t>
  </si>
  <si>
    <t>0.6/1KV 3C 4㎟</t>
  </si>
  <si>
    <t>0.6/1KV 3C 2.5㎟</t>
  </si>
  <si>
    <t>0.6/1KV 3C 1.5㎟</t>
  </si>
  <si>
    <t>0.6/1KV 2C 300㎟</t>
  </si>
  <si>
    <t>0.6/1KV 2C 240㎟</t>
  </si>
  <si>
    <t>0.6/1KV 2C 185㎟</t>
  </si>
  <si>
    <t>0.6/1KV 2C 150㎟</t>
  </si>
  <si>
    <t>0.6/1KV 2C 120㎟</t>
  </si>
  <si>
    <t>0.6/1KV 2C 95㎟</t>
  </si>
  <si>
    <t>0.6/1KV 2C 70㎟</t>
  </si>
  <si>
    <t>0.6/1KV 2C 50㎟</t>
  </si>
  <si>
    <t>0.6/1KV 2C 35㎟</t>
  </si>
  <si>
    <t>0.6/1KV 2C 25㎟</t>
  </si>
  <si>
    <t>0.6/1KV 2C 16㎟</t>
  </si>
  <si>
    <t>0.6/1KV 2C 10㎟</t>
  </si>
  <si>
    <t>0.6/1KV 2C 6㎟</t>
  </si>
  <si>
    <t>0.6/1KV 2C 4㎟</t>
  </si>
  <si>
    <t>0.6/1KV 2C 2.5㎟</t>
  </si>
  <si>
    <t>0.6/1KV 2C 1.5㎟</t>
  </si>
  <si>
    <t>0.6/1KV 1C 16㎟</t>
  </si>
  <si>
    <t>0.6/1KV 1C 10㎟</t>
  </si>
  <si>
    <t>0.6/1KV 1C 6㎟</t>
  </si>
  <si>
    <t>0.6/1KV 1C 4㎟</t>
  </si>
  <si>
    <t>0.6/1KV 1C 2.5㎟</t>
  </si>
  <si>
    <t>0.6/1KV 1C 1.5㎟</t>
  </si>
  <si>
    <t>30심, 2.5㎟</t>
  </si>
  <si>
    <t>30심, 1.5㎟</t>
  </si>
  <si>
    <t>30심, 1㎟</t>
  </si>
  <si>
    <t>25심, 2.5㎟</t>
  </si>
  <si>
    <t>25심, 1.5㎟</t>
  </si>
  <si>
    <t>25심, 1㎟</t>
  </si>
  <si>
    <t>15심, 4㎟</t>
  </si>
  <si>
    <t>15심, 2.5㎟</t>
  </si>
  <si>
    <t>15심, 1.5㎟</t>
  </si>
  <si>
    <t>15심, 1㎟</t>
  </si>
  <si>
    <t>12심, 4㎟</t>
  </si>
  <si>
    <t>12심, 2.5㎟</t>
  </si>
  <si>
    <t>12심, 1.5㎟</t>
  </si>
  <si>
    <t>12심, 1㎟</t>
  </si>
  <si>
    <t>10심, 6㎟</t>
  </si>
  <si>
    <t>10심, 4㎟</t>
  </si>
  <si>
    <t>10심, 2.5㎟</t>
  </si>
  <si>
    <t>10심, 1.5㎟</t>
  </si>
  <si>
    <t>10심, 1㎟</t>
  </si>
  <si>
    <t>8심, 6㎟</t>
  </si>
  <si>
    <t>8심, 4㎟</t>
  </si>
  <si>
    <t>8심, 2.5㎟</t>
  </si>
  <si>
    <t>8심, 1.5㎟</t>
  </si>
  <si>
    <t>8심, 1㎟</t>
  </si>
  <si>
    <t>5심, 10㎟</t>
  </si>
  <si>
    <t>5심, 6㎟</t>
  </si>
  <si>
    <t>5심, 4㎟</t>
  </si>
  <si>
    <t>5심, 2.5㎟</t>
  </si>
  <si>
    <t>5심, 1.5㎟</t>
  </si>
  <si>
    <t>5심, 1㎟</t>
  </si>
  <si>
    <t>4심, 35㎟</t>
  </si>
  <si>
    <t>4심, 25㎟</t>
  </si>
  <si>
    <t>4심, 16㎟</t>
  </si>
  <si>
    <t>4심, 10㎟</t>
  </si>
  <si>
    <t>4심, 6㎟</t>
  </si>
  <si>
    <t>4심, 4㎟</t>
  </si>
  <si>
    <t>4심, 2.5㎟</t>
  </si>
  <si>
    <t>4심, 1.5㎟</t>
  </si>
  <si>
    <t>4심, 1㎟</t>
  </si>
  <si>
    <t>3심, 35㎟</t>
  </si>
  <si>
    <t>3심, 25㎟</t>
  </si>
  <si>
    <t>3심, 16㎟</t>
  </si>
  <si>
    <t>3심, 10㎟</t>
  </si>
  <si>
    <t>3심, 6㎟</t>
  </si>
  <si>
    <t>3심, 4㎟</t>
  </si>
  <si>
    <t>3심, 2.5㎟</t>
  </si>
  <si>
    <t>3심, 1.5㎟</t>
  </si>
  <si>
    <t>3심, 1㎟</t>
  </si>
  <si>
    <t>2심, 35㎟</t>
  </si>
  <si>
    <t>2심, 25㎟</t>
  </si>
  <si>
    <t>2심, 16㎟</t>
  </si>
  <si>
    <t>2심, 10㎟</t>
  </si>
  <si>
    <t>2심, 6㎟</t>
  </si>
  <si>
    <t>2심, 4㎟</t>
  </si>
  <si>
    <t>2심, 2.5㎟</t>
  </si>
  <si>
    <t>2심, 1.5㎟</t>
  </si>
  <si>
    <t>2심, 1㎟</t>
  </si>
  <si>
    <t>등</t>
  </si>
  <si>
    <t>공사수립계획서</t>
    <phoneticPr fontId="12" type="noConversion"/>
  </si>
  <si>
    <t>업 체 명</t>
    <phoneticPr fontId="12" type="noConversion"/>
  </si>
  <si>
    <t>대양이엔씨</t>
    <phoneticPr fontId="8" type="noConversion"/>
  </si>
  <si>
    <t xml:space="preserve">일 시 </t>
    <phoneticPr fontId="12" type="noConversion"/>
  </si>
  <si>
    <t>공 사 명</t>
    <phoneticPr fontId="12" type="noConversion"/>
  </si>
  <si>
    <t>공사 업체</t>
    <phoneticPr fontId="12" type="noConversion"/>
  </si>
  <si>
    <t>■ 공사기간 : 입찰시스템 계약기간에 준함</t>
    <phoneticPr fontId="12" type="noConversion"/>
  </si>
  <si>
    <t>■ 시공방법</t>
    <phoneticPr fontId="12" type="noConversion"/>
  </si>
  <si>
    <t>■ 위험작업 유무 :  고소작업.전기작업</t>
    <phoneticPr fontId="12" type="noConversion"/>
  </si>
  <si>
    <t xml:space="preserve">■ 안전확보 방안 : </t>
    <phoneticPr fontId="12" type="noConversion"/>
  </si>
  <si>
    <t>-. 고소작업시 2인1조 작업</t>
    <phoneticPr fontId="12" type="noConversion"/>
  </si>
  <si>
    <t>-. 천정작업시 안전로프 설치</t>
    <phoneticPr fontId="12" type="noConversion"/>
  </si>
  <si>
    <t>-. 분전반 결선시 위험표지판 설치 및 차단기 락 설치</t>
    <phoneticPr fontId="12" type="noConversion"/>
  </si>
  <si>
    <t xml:space="preserve">■ 주요 사용물질 : </t>
    <phoneticPr fontId="12" type="noConversion"/>
  </si>
  <si>
    <t>대양이엔씨</t>
    <phoneticPr fontId="12" type="noConversion"/>
  </si>
  <si>
    <t>성명 :  홍정운</t>
    <phoneticPr fontId="12" type="noConversion"/>
  </si>
  <si>
    <t>㈜ S&amp;I Corp.</t>
    <phoneticPr fontId="12" type="noConversion"/>
  </si>
  <si>
    <t>서명</t>
    <phoneticPr fontId="12" type="noConversion"/>
  </si>
  <si>
    <t>-</t>
  </si>
  <si>
    <t>▼할증율</t>
    <phoneticPr fontId="8" type="noConversion"/>
  </si>
  <si>
    <t>㎥</t>
  </si>
  <si>
    <t>제 2호표  인력 터파기(보통토사)</t>
  </si>
  <si>
    <t>1m 이상 ~ 2m 미만</t>
  </si>
  <si>
    <t>제 2호표  인력 터파기(경질토사)</t>
  </si>
  <si>
    <t>제 2호표  인력 터파기(고사점토 및 자갈섞인 토사)</t>
  </si>
  <si>
    <t>제 2호표  인력 터파기(호박돌 섞인 토사)</t>
  </si>
  <si>
    <t>제 2호표  인력 터파기(연암 및 풍화암)</t>
  </si>
  <si>
    <t>제 2호표  인력 터파기(보통암)</t>
  </si>
  <si>
    <t>제 2호표  인력 터파기(경암)</t>
  </si>
  <si>
    <t>제 1호표  기계사용 터파기</t>
  </si>
  <si>
    <t>풍화암</t>
  </si>
  <si>
    <t>제 2호표  기계사용 터파기</t>
  </si>
  <si>
    <t>연암</t>
  </si>
  <si>
    <t>제 3호표  기계사용 터파기</t>
  </si>
  <si>
    <t>보통암</t>
  </si>
  <si>
    <t>제 4호표  기계사용 터파기</t>
  </si>
  <si>
    <t>경암</t>
  </si>
  <si>
    <t>제 2호표  합성수지 전선관</t>
  </si>
  <si>
    <t>제 3호표  합성수지 전선관</t>
  </si>
  <si>
    <t>제 4호표  합성수지 전선관</t>
  </si>
  <si>
    <t>제 1호표  제어용 케이블 설치(20C)</t>
  </si>
  <si>
    <t>제 1호표  제어용 케이블 설치(2C)</t>
  </si>
  <si>
    <t>제 1호표  제어용 케이블 설치(3C)</t>
  </si>
  <si>
    <t>제 2호표  제어용 케이블 설치(3C)</t>
  </si>
  <si>
    <t>제 5호표  제어용 케이블 설치(3C)</t>
  </si>
  <si>
    <t>제 1호표  제어용 케이블 설치(4C)</t>
  </si>
  <si>
    <t>제 1호표  제어용 케이블 설치(10C)</t>
  </si>
  <si>
    <t>용량 30AF 이하</t>
  </si>
  <si>
    <t>용량 50AF 이하</t>
  </si>
  <si>
    <t>용량 100AF 이하</t>
  </si>
  <si>
    <t>용량 225AF 이하</t>
  </si>
  <si>
    <t>용량 400AF 이하</t>
  </si>
  <si>
    <t>용량 600AF 이하</t>
  </si>
  <si>
    <t>용량 800AF 이하</t>
  </si>
  <si>
    <t>제 1호표  배선용 차단기(3P)</t>
  </si>
  <si>
    <t>제 2호표  배선용 차단기(3P)</t>
  </si>
  <si>
    <t>제 3호표  배선용 차단기(3P)</t>
  </si>
  <si>
    <t>제 4호표  배선용 차단기(3P)</t>
  </si>
  <si>
    <t>제 5호표  배선용 차단기(3P)</t>
  </si>
  <si>
    <t>제 6호표  배선용 차단기(3P)</t>
  </si>
  <si>
    <t>제 7호표  배선용 차단기(3P)</t>
  </si>
  <si>
    <t>제 1호표  가전기구 설치</t>
  </si>
  <si>
    <t>환풍기(벽면)</t>
  </si>
  <si>
    <t>제 3호표  콘센트류 2P</t>
  </si>
  <si>
    <t>콘센트 20A(접지극부)</t>
  </si>
  <si>
    <t>제 4호표  콘센트류 2P</t>
  </si>
  <si>
    <t>콘센트 30A(접지극부)</t>
  </si>
  <si>
    <t>제 2호표  콘센트류 4P</t>
  </si>
  <si>
    <t>제 1호표  스위치류</t>
  </si>
  <si>
    <t>텀플러스위치 단로용</t>
  </si>
  <si>
    <t>제 5호표  스위치류</t>
  </si>
  <si>
    <t>푸시버튼</t>
  </si>
  <si>
    <t>제 7호표  스위치류</t>
  </si>
  <si>
    <t>리모콘셀렉터스위치6L이하</t>
  </si>
  <si>
    <t>직부등</t>
  </si>
  <si>
    <t>매입등</t>
  </si>
  <si>
    <t>제 1호표  백열등기구 설치(100W 이상)</t>
  </si>
  <si>
    <t>제 2호표  백열등기구 설치(100W 이상)</t>
  </si>
  <si>
    <t>제 2호표  형광등기구 설치(직부형)</t>
  </si>
  <si>
    <t>제 7호표  형광등기구 설치(직부형)</t>
  </si>
  <si>
    <t>제 8호표  형광등기구 설치(직부형)</t>
  </si>
  <si>
    <t>15W 이하</t>
  </si>
  <si>
    <t>25W 이하</t>
  </si>
  <si>
    <t>35W 이하</t>
  </si>
  <si>
    <t>45W 이하</t>
  </si>
  <si>
    <t>55W 이하</t>
  </si>
  <si>
    <t>제 3호표  LED 등기구 설치(다운라이트)</t>
  </si>
  <si>
    <t>제 1호표  LED 등기구 설치(매입 및 반매입)</t>
  </si>
  <si>
    <t>제 2호표  LED 등기구 설치(매입 및 반매입)</t>
  </si>
  <si>
    <t>제 1호표  방전등기구(투광기)</t>
  </si>
  <si>
    <t>100W 이하</t>
  </si>
  <si>
    <t>제 2호표  방전등기구(투광기)</t>
  </si>
  <si>
    <t>200W 이하</t>
  </si>
  <si>
    <t>제 3호표  방전등기구(투광기)</t>
  </si>
  <si>
    <t>250W 이하</t>
  </si>
  <si>
    <t>제 5호표  방전등기구(투광기)</t>
  </si>
  <si>
    <t>400W 이하</t>
  </si>
  <si>
    <t>제 7호표  방전등기구(투광기)</t>
  </si>
  <si>
    <t>1kW 이하</t>
  </si>
  <si>
    <t>제 4호표  POLE LIGHT 인력설치(1등용)</t>
  </si>
  <si>
    <t>가로등 높이 8m 이하</t>
  </si>
  <si>
    <t>제 5호표  POLE LIGHT 인력설치(1등용)</t>
  </si>
  <si>
    <t>가로등 높이 9m 이하</t>
  </si>
  <si>
    <t>제 6호표  POLE LIGHT 인력설치(1등용)</t>
  </si>
  <si>
    <t>가로등 높이 10m 이하</t>
  </si>
  <si>
    <t>제 1호표  배관용 홈파기</t>
  </si>
  <si>
    <t>Ø22 이하용</t>
  </si>
  <si>
    <t>제 2호표  배관용 홈파기</t>
  </si>
  <si>
    <t>Ø28 이하용</t>
  </si>
  <si>
    <t>제 3호표  배관용 홈파기</t>
  </si>
  <si>
    <t>Ø36 이하용</t>
  </si>
  <si>
    <t>제 4호표  배관용 홈파기</t>
  </si>
  <si>
    <t>Ø42 이하용</t>
  </si>
  <si>
    <t>제 5호표  배관용 홈파기</t>
  </si>
  <si>
    <t>Ø54 이하용</t>
  </si>
  <si>
    <t>제 6호표  배관용 홈파기</t>
  </si>
  <si>
    <t>Ø70 이하용</t>
  </si>
  <si>
    <t>제 7호표  배관용 홈파기</t>
  </si>
  <si>
    <t>Ø82 이하용</t>
  </si>
  <si>
    <t>구경 50㎜</t>
  </si>
  <si>
    <t>구경 75㎜</t>
  </si>
  <si>
    <t>구경 100㎜</t>
  </si>
  <si>
    <t>구경 150㎜</t>
  </si>
  <si>
    <t>구경 200㎜</t>
  </si>
  <si>
    <t>구경 250㎜</t>
  </si>
  <si>
    <t>구경 300㎜</t>
  </si>
  <si>
    <t>구경 350㎜</t>
  </si>
  <si>
    <t>구경 400㎜</t>
  </si>
  <si>
    <t>제 1호표  배관용 구멍뚫기(코어드릴 사용기준)-두께 150㎜ 이하, 바닥</t>
  </si>
  <si>
    <t>구경 25㎜</t>
  </si>
  <si>
    <t>제 2호표  배관용 구멍뚫기(코어드릴 사용기준)-두께 150㎜ 이하, 바닥</t>
  </si>
  <si>
    <t>제 3호표  배관용 구멍뚫기(코어드릴 사용기준)-두께 150㎜ 이하, 바닥</t>
  </si>
  <si>
    <t>제 4호표  배관용 구멍뚫기(코어드릴 사용기준)-두께 150㎜ 이하, 바닥</t>
  </si>
  <si>
    <t>제 5호표  배관용 구멍뚫기(코어드릴 사용기준)-두께 150㎜ 이하, 바닥</t>
  </si>
  <si>
    <t>제 6호표  배관용 구멍뚫기(코어드릴 사용기준)-두께 150㎜ 이하, 바닥</t>
  </si>
  <si>
    <t>제 7호표  배관용 구멍뚫기(코어드릴 사용기준)-두께 150㎜ 이하, 바닥</t>
  </si>
  <si>
    <t>제 8호표  배관용 구멍뚫기(코어드릴 사용기준)-두께 150㎜ 이하, 바닥</t>
  </si>
  <si>
    <t>제 9호표  배관용 구멍뚫기(코어드릴 사용기준)-두께 150㎜ 이하, 바닥</t>
  </si>
  <si>
    <t>제 10호표  배관용 구멍뚫기(코어드릴 사용기준)-두께 150㎜ 이하, 바닥</t>
  </si>
  <si>
    <t>제 1호표  시스템 박스</t>
  </si>
  <si>
    <t>콘크리트매입 전선관용</t>
  </si>
  <si>
    <t>제 3호표  시스템 박스</t>
  </si>
  <si>
    <t>액세스 플로어용</t>
  </si>
  <si>
    <t>제 10호표  음향 및 영상 기기 신설(TV수상기(VideoMonitor))</t>
  </si>
  <si>
    <t>설치</t>
  </si>
  <si>
    <t>시험 및 측정</t>
  </si>
  <si>
    <t>제 1호표  음향 및 영상 부대시설 공사(천장타공)</t>
  </si>
  <si>
    <t>8인치 이하</t>
  </si>
  <si>
    <t>제 1호표  음향 및 영상 부대시설 공사(스크린)</t>
  </si>
  <si>
    <t>전동 120인치 이하</t>
  </si>
  <si>
    <t>제 4호표  금속 덕트 설치(단면적)</t>
  </si>
  <si>
    <t>제 6호표  금속 덕트 설치(단면적)</t>
  </si>
  <si>
    <t>제 1호표  방화폼 설치</t>
  </si>
  <si>
    <t>ℓ</t>
  </si>
  <si>
    <t>제 1호표  배관용 바닥 구멍뚫기(코어드릴 사용기준)</t>
  </si>
  <si>
    <t>두께 150㎜ 이하, 구경 25㎜</t>
  </si>
  <si>
    <t>제 2호표  배관용 바닥 구멍뚫기(코어드릴 사용기준)</t>
  </si>
  <si>
    <t>두께 150㎜ 이하, 구경 50㎜</t>
  </si>
  <si>
    <t>두께 300㎜ 이하, 구경 25㎜</t>
  </si>
  <si>
    <t>두께 300㎜ 이하, 구경 50㎜</t>
  </si>
  <si>
    <t>제 1호표  무정전 전원장치(UPS) 점검</t>
  </si>
  <si>
    <t>배터리 성능점검</t>
  </si>
  <si>
    <t>제 1호표  배터리 교체</t>
  </si>
  <si>
    <t>배터리 철거 및 설치 등</t>
  </si>
  <si>
    <t>기본</t>
    <phoneticPr fontId="6" type="noConversion"/>
  </si>
  <si>
    <t>.</t>
    <phoneticPr fontId="6" type="noConversion"/>
  </si>
  <si>
    <t>합계</t>
    <phoneticPr fontId="6" type="noConversion"/>
  </si>
  <si>
    <t>%</t>
    <phoneticPr fontId="6" type="noConversion"/>
  </si>
  <si>
    <t>단가합계</t>
    <phoneticPr fontId="6" type="noConversion"/>
  </si>
  <si>
    <t>노무비합계</t>
    <phoneticPr fontId="6" type="noConversion"/>
  </si>
  <si>
    <t>.</t>
    <phoneticPr fontId="6" type="noConversion"/>
  </si>
  <si>
    <t>0.6/1KV 1C 25㎟</t>
  </si>
  <si>
    <t>0.6/1KV 1C 35㎟</t>
  </si>
  <si>
    <t>0.6/1KV 1C 50㎟</t>
  </si>
  <si>
    <t>0.6/1KV 1C 70㎟</t>
  </si>
  <si>
    <t>0.6/1KV 1C 95㎟</t>
  </si>
  <si>
    <t>0.6/1KV 1C 120㎟</t>
  </si>
  <si>
    <t>0.6/1KV 1C 150㎟</t>
  </si>
  <si>
    <t>0.6/1KV 1C 185㎟</t>
  </si>
  <si>
    <t>0.6/1KV 1C 240㎟</t>
  </si>
  <si>
    <t>0.6/1KV 1C 300㎟</t>
  </si>
  <si>
    <t>0.6/1KV 1C 400㎟</t>
  </si>
  <si>
    <t>0.6/1KV 1C 500㎟</t>
  </si>
  <si>
    <t>0.6/1KV 1C 630㎟</t>
  </si>
  <si>
    <t>0.6/1KV 3C 25㎟</t>
  </si>
  <si>
    <t>0.6/1KV 3C 35㎟</t>
  </si>
  <si>
    <t>0.6/1KV 3C 50㎟</t>
  </si>
  <si>
    <t>0.6/1KV 3C 70㎟</t>
  </si>
  <si>
    <t>0.6/1KV 3C 95㎟</t>
  </si>
  <si>
    <t>0.6/1KV 3C 120㎟</t>
  </si>
  <si>
    <t>0.6/1KV 3C 150㎟</t>
  </si>
  <si>
    <t>0.6/1KV 3C 185㎟</t>
  </si>
  <si>
    <t>0.6/1KV 3C 240㎟</t>
  </si>
  <si>
    <t>0.6/1KV 3C 300㎟</t>
  </si>
  <si>
    <t>AL 덕트(분체도장가능)</t>
  </si>
  <si>
    <t>50×35㎜, 1M (포장수:30), 3M</t>
  </si>
  <si>
    <t>60×60㎜, 1M (포장수:30), 3M</t>
  </si>
  <si>
    <t>70×40㎜, 1M (포장수:30), 3M</t>
  </si>
  <si>
    <t>100×50㎜, 1M (포장수:20), 3M</t>
  </si>
  <si>
    <t>120×60㎜, 1M (포장수:14), 3M</t>
  </si>
  <si>
    <t>150×100㎜, 1M (포장수:10), 3M</t>
  </si>
  <si>
    <t>D00079</t>
  </si>
  <si>
    <t>D00080</t>
  </si>
  <si>
    <t>D00081</t>
  </si>
  <si>
    <t>D00082</t>
  </si>
  <si>
    <t>D00083</t>
  </si>
  <si>
    <t>D00084</t>
  </si>
  <si>
    <t>D00085</t>
  </si>
  <si>
    <t>D00086</t>
  </si>
  <si>
    <t>D00087</t>
  </si>
  <si>
    <t>D00088</t>
  </si>
  <si>
    <t>D00089</t>
  </si>
  <si>
    <t>D00090</t>
  </si>
  <si>
    <t>D00091</t>
  </si>
  <si>
    <t>D00092</t>
  </si>
  <si>
    <t>D00093</t>
  </si>
  <si>
    <t>D00094</t>
  </si>
  <si>
    <t>D00095</t>
  </si>
  <si>
    <t>D00096</t>
  </si>
  <si>
    <t>D00097</t>
  </si>
  <si>
    <t>D00098</t>
  </si>
  <si>
    <t>D00099</t>
  </si>
  <si>
    <t>D00100</t>
  </si>
  <si>
    <t>D00101</t>
  </si>
  <si>
    <t>D00102</t>
  </si>
  <si>
    <t>D00152</t>
  </si>
  <si>
    <t>D00153</t>
  </si>
  <si>
    <t>D00154</t>
  </si>
  <si>
    <t>D00155</t>
  </si>
  <si>
    <t>D00222</t>
  </si>
  <si>
    <t>D00223</t>
  </si>
  <si>
    <t>D01048</t>
  </si>
  <si>
    <t>D01071</t>
  </si>
  <si>
    <t>D01072</t>
  </si>
  <si>
    <t>D01074</t>
  </si>
  <si>
    <t>D01084</t>
  </si>
  <si>
    <t>D01091</t>
  </si>
  <si>
    <t>D01092</t>
  </si>
  <si>
    <t>D01093</t>
  </si>
  <si>
    <t>D01094</t>
  </si>
  <si>
    <t>D01117</t>
  </si>
  <si>
    <t>D01118</t>
  </si>
  <si>
    <t>D01119</t>
  </si>
  <si>
    <t>D01122</t>
  </si>
  <si>
    <t>D01128</t>
  </si>
  <si>
    <t>D01129</t>
  </si>
  <si>
    <t>D01130</t>
  </si>
  <si>
    <t>D01137</t>
  </si>
  <si>
    <t>D01138</t>
  </si>
  <si>
    <t>D01139</t>
  </si>
  <si>
    <t>D01140</t>
  </si>
  <si>
    <t>D01141</t>
  </si>
  <si>
    <t>D01142</t>
  </si>
  <si>
    <t>D01143</t>
  </si>
  <si>
    <t>D01144</t>
  </si>
  <si>
    <t>D01145</t>
  </si>
  <si>
    <t>D01146</t>
  </si>
  <si>
    <t>D01147</t>
  </si>
  <si>
    <t>D01148</t>
  </si>
  <si>
    <t>D01149</t>
  </si>
  <si>
    <t>D01150</t>
  </si>
  <si>
    <t>D01151</t>
  </si>
  <si>
    <t>D01152</t>
  </si>
  <si>
    <t>D00962</t>
  </si>
  <si>
    <t>D00963</t>
  </si>
  <si>
    <t>D00964</t>
  </si>
  <si>
    <t>D00965</t>
  </si>
  <si>
    <t>D00966</t>
  </si>
  <si>
    <t>D00967</t>
  </si>
  <si>
    <t>D00968</t>
  </si>
  <si>
    <t>D00969</t>
  </si>
  <si>
    <t>D00984</t>
  </si>
  <si>
    <t>D01023</t>
  </si>
  <si>
    <t>D01153</t>
  </si>
  <si>
    <t>D01154</t>
  </si>
  <si>
    <t>D02349</t>
  </si>
  <si>
    <t>D02350</t>
  </si>
  <si>
    <t>D02351</t>
  </si>
  <si>
    <t>D02352</t>
  </si>
  <si>
    <t>D02353</t>
  </si>
  <si>
    <t>D02354</t>
  </si>
  <si>
    <t>D02355</t>
  </si>
  <si>
    <t>D02361</t>
  </si>
  <si>
    <t>D02362</t>
  </si>
  <si>
    <t>D02363</t>
  </si>
  <si>
    <t>D02364</t>
  </si>
  <si>
    <t>D01238</t>
  </si>
  <si>
    <t>D01239</t>
  </si>
  <si>
    <t>D01241</t>
  </si>
  <si>
    <t>D01258</t>
  </si>
  <si>
    <t>D01259</t>
  </si>
  <si>
    <t>D01260</t>
  </si>
  <si>
    <t>D01261</t>
  </si>
  <si>
    <t>D01361</t>
  </si>
  <si>
    <t>D01372</t>
  </si>
  <si>
    <t>D03344</t>
  </si>
  <si>
    <t>D03345</t>
  </si>
  <si>
    <t>D03346</t>
  </si>
  <si>
    <t>D03433</t>
  </si>
  <si>
    <t>D03434</t>
  </si>
  <si>
    <t>D03053</t>
  </si>
  <si>
    <t>D03054</t>
  </si>
  <si>
    <t>D03055</t>
  </si>
  <si>
    <t>D03056</t>
  </si>
  <si>
    <t>D03057</t>
  </si>
  <si>
    <t>D03058</t>
  </si>
  <si>
    <t>D03059</t>
  </si>
  <si>
    <t>D03060</t>
  </si>
  <si>
    <t>D03061</t>
  </si>
  <si>
    <t>D03062</t>
  </si>
  <si>
    <t>D03063</t>
  </si>
  <si>
    <t>D03064</t>
  </si>
  <si>
    <t>D03065</t>
  </si>
  <si>
    <t>D03066</t>
  </si>
  <si>
    <t>D05748</t>
  </si>
  <si>
    <t>D05749</t>
  </si>
  <si>
    <t>D05750</t>
  </si>
  <si>
    <t>D03087</t>
  </si>
  <si>
    <t>D03088</t>
  </si>
  <si>
    <t>D03089</t>
  </si>
  <si>
    <t>D03090</t>
  </si>
  <si>
    <t>D05780</t>
  </si>
  <si>
    <t>D05816</t>
  </si>
  <si>
    <t>D05817</t>
  </si>
  <si>
    <t>D05818</t>
  </si>
  <si>
    <t>D05819</t>
  </si>
  <si>
    <t>D05820</t>
  </si>
  <si>
    <t>D05821</t>
  </si>
  <si>
    <t>D05826</t>
  </si>
  <si>
    <t>D05827</t>
  </si>
  <si>
    <t>D05828</t>
  </si>
  <si>
    <t>D05829</t>
  </si>
  <si>
    <t>D05830</t>
  </si>
  <si>
    <t>D05831</t>
  </si>
  <si>
    <t>제 5호표  금속 덕트 설치(단면적)200 X 100㎜ 이하(200㎠)</t>
  </si>
  <si>
    <t>제 6호표  금속 덕트 설치(단면적)300 X 100㎜ 이하(300㎠)</t>
  </si>
  <si>
    <t>제 7호표  금속 덕트 설치(단면적)400 X 150㎜ 이하(600㎠)</t>
  </si>
  <si>
    <t>제 8호표  금속 덕트 설치(단면적)500 X 200㎜ 이하(1,000㎠)</t>
  </si>
  <si>
    <t>제 3호표  금속 덕트 설치(단면적)100X 100㎜ 이하(100㎠)</t>
  </si>
  <si>
    <t>제 4호표  금속 덕트 설치(단면적)150 X 100㎜ 이하(150㎠)</t>
  </si>
  <si>
    <t>제 1호표  금속 덕트 설치(단면적)60 X 30㎜ 이하(18㎠)</t>
  </si>
  <si>
    <t>제 2호표  금속 덕트 설치(단면적)100 X 50㎜ 이하(50㎠)</t>
  </si>
  <si>
    <t>제 2호표  케이블 트레이 및 랙 설치(철제)30,000 ㎟ 이하</t>
  </si>
  <si>
    <t>제 3호표  케이블 트레이 및 랙 설치(철제)50,000 ㎟ 이하</t>
  </si>
  <si>
    <t>제 4호표  케이블 트레이 및 랙 설치(철제)60,000 ㎟ 이하</t>
  </si>
  <si>
    <t>제 5호표  케이블 트레이 및 랙 설치(철제)80,000 ㎟ 이하</t>
  </si>
  <si>
    <t>제 6호표  케이블 트레이 및 랙 설치(철제)90,000 ㎟ 이하</t>
  </si>
  <si>
    <t>제 7호표  케이블 트레이 및 랙 설치(철제)120,000 ㎟ 이하</t>
  </si>
  <si>
    <t>제 1호표  PVC 및 금속 몰딩 설치소형 210㎟ 이하</t>
  </si>
  <si>
    <t>AL 몰드</t>
  </si>
  <si>
    <t>2호, 28×11㎜, (포장수:100)</t>
  </si>
  <si>
    <t>제 2호표  PVC 및 금속 몰딩 설치중형 595㎟ 이하</t>
  </si>
  <si>
    <t>3호, 36×14㎜, (포장수:50)</t>
  </si>
  <si>
    <t>제 3호표  PVC 및 금속 몰딩 설치대형 600㎟ 초과</t>
  </si>
  <si>
    <t>4호, 50×20㎜, (포장수:25)</t>
  </si>
  <si>
    <t>사각몰드</t>
  </si>
  <si>
    <t>1호, 15×10.5㎜, (포장수:200), 미색/나무/백색/밤색</t>
  </si>
  <si>
    <t>2호, 19×12㎜, (포장수:200), 미색/나무/백색</t>
  </si>
  <si>
    <t>3호, 22×12㎜, (포장수:100), 미색/나무/백색/밤색</t>
  </si>
  <si>
    <t>4호, 26×13㎜, (포장수:100), 미색/나무/백색</t>
  </si>
  <si>
    <t>5호, 31.5×14㎜, (포장수:100), 미색/나무/백색/밤색</t>
  </si>
  <si>
    <t>제 1호표  레이스웨이 설치(40×40) 1,600 이하</t>
  </si>
  <si>
    <t>제 5호표  접지선 매설240㎟ 이하</t>
  </si>
  <si>
    <t>제 6호표  접지선 매설240㎟ 초과</t>
  </si>
  <si>
    <t>제 2호표  합성수지 파형관 설치30㎜ 이하</t>
  </si>
  <si>
    <t>제 3호표  합성수지 파형관 설치50㎜ 이하</t>
  </si>
  <si>
    <t>제 4호표  합성수지 파형관 설치80㎜ 이하</t>
  </si>
  <si>
    <t>제 5호표  합성수지 파형관 설치100㎜ 이하</t>
  </si>
  <si>
    <t>제 6호표  합성수지 파형관 설치125㎜ 이하</t>
  </si>
  <si>
    <t>제 7호표  합성수지 파형관 설치150㎜ 이하</t>
  </si>
  <si>
    <t>제 8호표  합성수지 파형관 설치175㎜ 이하</t>
  </si>
  <si>
    <t>제 9호표  합성수지 파형관 설치200㎜ 이하</t>
  </si>
  <si>
    <t>제 1호표  600V 이하 전력 케이블 단말처리16㎟ 이하 1C</t>
  </si>
  <si>
    <t>제 2호표  600V 이하 전력 케이블 단말처리25㎟ 이하 1C</t>
  </si>
  <si>
    <t>제 3호표  600V 이하 전력 케이블 단말처리35㎟ 이하 1C</t>
  </si>
  <si>
    <t>제 4호표  600V 이하 전력 케이블 단말처리50㎟ 이하 1C</t>
  </si>
  <si>
    <t>제 5호표  600V 이하 전력 케이블 단말처리70㎟ 이하 1C</t>
  </si>
  <si>
    <t>제 6호표  600V 이하 전력 케이블 단말처리95㎟ 이하 1C</t>
  </si>
  <si>
    <t>제 7호표  600V 이하 전력 케이블 단말처리120㎟ 이하 1C</t>
  </si>
  <si>
    <t>제 8호표  600V 이하 전력 케이블 단말처리185㎟ 이하 1C</t>
  </si>
  <si>
    <t>제 9호표  600V 이하 전력 케이블 단말처리240㎟ 이하 1C</t>
  </si>
  <si>
    <t>제 10호표  600V 이하 전력 케이블 단말처리300㎟ 이하 1C</t>
  </si>
  <si>
    <t>동관단자</t>
  </si>
  <si>
    <t>16㎟ 1Hole</t>
  </si>
  <si>
    <t>25㎟ 1Hole</t>
  </si>
  <si>
    <t>35㎟ 1Hole</t>
  </si>
  <si>
    <t>50㎟ 1Hole</t>
  </si>
  <si>
    <t>70㎟ 1Hole</t>
  </si>
  <si>
    <t>95㎟ 1Hole</t>
  </si>
  <si>
    <t>120㎟ 1Hole</t>
  </si>
  <si>
    <t>150㎟ 1Hole</t>
  </si>
  <si>
    <t>185㎟ 1Hole</t>
  </si>
  <si>
    <t>240㎟ 1Hole</t>
  </si>
  <si>
    <t>300㎟ 1Hole</t>
  </si>
  <si>
    <t>제 11호표  600V 이하 전력 케이블 단말처리400㎟ 이하 1C</t>
  </si>
  <si>
    <t>400㎟ 1Hole</t>
  </si>
  <si>
    <t>제 12호표  600V 이하 전력 케이블 단말처리500㎟ 이하 1C</t>
  </si>
  <si>
    <t>500㎟ 1Hole</t>
  </si>
  <si>
    <t>IEC 온도변화용 동관단자</t>
  </si>
  <si>
    <t>25-1H</t>
  </si>
  <si>
    <t>35-1H</t>
  </si>
  <si>
    <t>50-1H</t>
  </si>
  <si>
    <t>70-1H</t>
  </si>
  <si>
    <t>95-1H</t>
  </si>
  <si>
    <t>120-1H</t>
  </si>
  <si>
    <t>150-1H</t>
  </si>
  <si>
    <t>185-1H</t>
  </si>
  <si>
    <t>240-1H</t>
  </si>
  <si>
    <t>300-1H</t>
  </si>
  <si>
    <t>400-1H</t>
  </si>
  <si>
    <t>500-1H</t>
  </si>
  <si>
    <t>25-2H</t>
  </si>
  <si>
    <t>35-2H</t>
  </si>
  <si>
    <t>50-2H</t>
  </si>
  <si>
    <t>70-2H</t>
  </si>
  <si>
    <t>95-2H</t>
  </si>
  <si>
    <t>120-2H</t>
  </si>
  <si>
    <t>150-2H</t>
  </si>
  <si>
    <t>185-2H</t>
  </si>
  <si>
    <t>240-2H</t>
  </si>
  <si>
    <t>300-2H</t>
  </si>
  <si>
    <t>400-2H</t>
  </si>
  <si>
    <t>500-2H</t>
  </si>
  <si>
    <t>25㎟ 2Hole</t>
  </si>
  <si>
    <t>35㎟ 2Hole</t>
  </si>
  <si>
    <t>50㎟ 2Hole</t>
  </si>
  <si>
    <t>70㎟ 2Hole</t>
  </si>
  <si>
    <t>95㎟ 2Hole</t>
  </si>
  <si>
    <t>120㎟ 2Hole</t>
  </si>
  <si>
    <t>150㎟ 2Hole</t>
  </si>
  <si>
    <t>185㎟ 2Hole</t>
  </si>
  <si>
    <t>240㎟ 2Hole</t>
  </si>
  <si>
    <t>300㎟ 2Hole</t>
  </si>
  <si>
    <t>400㎟ 2Hole</t>
  </si>
  <si>
    <t>500㎟ 2Hole</t>
  </si>
  <si>
    <t>제 2호표  합성수지 전선관16㎜이하</t>
  </si>
  <si>
    <t>제 3호표  합성수지 전선관22㎜이하</t>
  </si>
  <si>
    <t>제 4호표  합성수지 전선관28㎜이하</t>
  </si>
  <si>
    <t>제 5호표  합성수지 전선관36㎜이하</t>
  </si>
  <si>
    <t>제 6호표  합성수지 전선관42㎜이하</t>
  </si>
  <si>
    <t>제 7호표  합성수지 전선관54㎜이하</t>
  </si>
  <si>
    <t>제 8호표  합성수지 전선관70㎜이하</t>
  </si>
  <si>
    <t>제 9호표  합성수지 전선관82㎜이하</t>
  </si>
  <si>
    <t>제 11호표  합성수지 전선관104㎜이하</t>
  </si>
  <si>
    <t>제 1호표  후강 전선관16㎜이하</t>
  </si>
  <si>
    <t>제 2호표  후강 전선관22㎜이하</t>
  </si>
  <si>
    <t>제 3호표  후강 전선관28㎜이하</t>
  </si>
  <si>
    <t>제 4호표  후강 전선관36㎜이하</t>
  </si>
  <si>
    <t>제 5호표  후강 전선관42㎜이하</t>
  </si>
  <si>
    <t>제 6호표  후강 전선관54㎜이하</t>
  </si>
  <si>
    <t>제 7호표  후강 전선관70㎜이하</t>
  </si>
  <si>
    <t>제 8호표  후강 전선관82㎜이하</t>
  </si>
  <si>
    <t>제 10호표  후강 전선관104㎜이하</t>
  </si>
  <si>
    <t>제 1호표  금속가요 전선관16㎜이하</t>
  </si>
  <si>
    <t>제 2호표  금속가요 전선관22㎜이하</t>
  </si>
  <si>
    <t>제 3호표  금속가요 전선관28㎜이하</t>
  </si>
  <si>
    <t>제 4호표  금속가요 전선관36㎜이하</t>
  </si>
  <si>
    <t>제 5호표  금속가요 전선관42㎜이하</t>
  </si>
  <si>
    <t>제 6호표  금속가요 전선관54㎜이하</t>
  </si>
  <si>
    <t>제 7호표  금속가요 전선관70㎜이하</t>
  </si>
  <si>
    <t>제 8호표  금속가요 전선관82㎜이하</t>
  </si>
  <si>
    <t>제 10호표  금속가요 전선관104㎜이하</t>
  </si>
  <si>
    <t>제 3호표  박스(Box) 설치Switch Box(2개용이하)</t>
  </si>
  <si>
    <t>제 1호표  박스(Box) 설치Concrete Box</t>
  </si>
  <si>
    <t>제 2호표  박스(Box) 설치Outlet Box</t>
  </si>
  <si>
    <t>제 5호표  박스(Box) 설치노출형 Box(콘크리트노출기준)</t>
  </si>
  <si>
    <t>제 1호표  풀박스(Pull Box) 설치(벽면)100㎜X100㎜X100㎜이하</t>
  </si>
  <si>
    <t>제 2호표  풀박스(Pull Box) 설치(벽면)250㎜X250㎜X200㎜이하</t>
  </si>
  <si>
    <t>제 3호표  풀박스(Pull Box) 설치(벽면)400㎜X400㎜X300㎜이하</t>
  </si>
  <si>
    <t>제 4호표  풀박스(Pull Box) 설치(벽면)700㎜X700㎜X400㎜이하</t>
  </si>
  <si>
    <t>제 1호표  시스템 박스콘크리트매입 전선관용</t>
  </si>
  <si>
    <t>제 3호표  시스템 박스액세스 플로어용</t>
  </si>
  <si>
    <t>제 1호표  제어용 케이블 설치(2C)2.5㎟ 이하</t>
  </si>
  <si>
    <t>제 2호표  제어용 케이블 설치(2C)4㎟ 이하</t>
  </si>
  <si>
    <t>제 3호표  제어용 케이블 설치(2C)6㎟ 이하</t>
  </si>
  <si>
    <t>제 1호표  제어용 케이블 설치(3C)2.5㎟ 이하</t>
  </si>
  <si>
    <t>제 2호표  제어용 케이블 설치(3C)4㎟ 이하</t>
  </si>
  <si>
    <t>제 3호표  제어용 케이블 설치(3C)6㎟ 이하</t>
  </si>
  <si>
    <t>제 1호표  제어용 케이블 설치(4C)2.5㎟ 이하</t>
  </si>
  <si>
    <t>제 2호표  제어용 케이블 설치(4C)4㎟ 이하</t>
  </si>
  <si>
    <t>제 3호표  제어용 케이블 설치(4C)6㎟ 이하</t>
  </si>
  <si>
    <t>제 1호표  제어용 케이블 설치(5C)2.5㎟ 이하</t>
  </si>
  <si>
    <t>제 1호표  제어용 케이블 설치(5C)</t>
  </si>
  <si>
    <t>제 2호표  제어용 케이블 설치(5C)4㎟ 이하</t>
  </si>
  <si>
    <t>제 3호표  제어용 케이블 설치(5C)6㎟ 이하</t>
  </si>
  <si>
    <t>제 1호표  제어용 케이블 설치(6C)2.5㎟ 이하</t>
  </si>
  <si>
    <t>제 1호표  제어용 케이블 설치(6C)</t>
  </si>
  <si>
    <t>제 2호표  제어용 케이블 설치(6C)4㎟ 이하</t>
  </si>
  <si>
    <t>제 3호표  제어용 케이블 설치(6C)6㎟ 이하</t>
  </si>
  <si>
    <t>제 1호표  제어용 케이블 설치(7C)2.5㎟ 이하</t>
  </si>
  <si>
    <t>제 1호표  제어용 케이블 설치(7C)</t>
  </si>
  <si>
    <t>제 2호표  제어용 케이블 설치(7C)4㎟ 이하</t>
  </si>
  <si>
    <t>제 3호표  제어용 케이블 설치(7C)6㎟ 이하</t>
  </si>
  <si>
    <t>제 1호표  제어용 케이블 설치(8C)2.5㎟ 이하</t>
  </si>
  <si>
    <t>제 1호표  제어용 케이블 설치(8C)</t>
  </si>
  <si>
    <t>제 2호표  제어용 케이블 설치(8C)4㎟ 이하</t>
  </si>
  <si>
    <t>제 3호표  제어용 케이블 설치(8C)6㎟ 이하</t>
  </si>
  <si>
    <t>제 1호표  제어용 케이블 설치(10C)2.5㎟ 이하</t>
  </si>
  <si>
    <t>제 2호표  제어용 케이블 설치(10C)4㎟ 이하</t>
  </si>
  <si>
    <t>제 3호표  제어용 케이블 설치(10C)6㎟ 이하</t>
  </si>
  <si>
    <t>제 1호표  제어용 케이블 설치(12C)2.5㎟ 이하</t>
  </si>
  <si>
    <t>제 1호표  제어용 케이블 설치(12C)</t>
  </si>
  <si>
    <t>제 2호표  제어용 케이블 설치(12C)4㎟ 이하</t>
  </si>
  <si>
    <t>제 3호표  제어용 케이블 설치(12C)6㎟ 이하</t>
  </si>
  <si>
    <t>제 1호표  제어용 케이블 설치(15C)2.5㎟ 이하</t>
  </si>
  <si>
    <t>제 1호표  제어용 케이블 설치(15C)</t>
  </si>
  <si>
    <t>제 2호표  제어용 케이블 설치(15C)4㎟ 이하</t>
  </si>
  <si>
    <t>제 3호표  제어용 케이블 설치(15C)6㎟ 이하</t>
  </si>
  <si>
    <t>제 1호표  제어용 케이블 설치(20C)2.5㎟ 이하</t>
  </si>
  <si>
    <t>제 2호표  제어용 케이블 설치(20C)4㎟ 이하</t>
  </si>
  <si>
    <t>제 1호표  제어용 케이블 설치(30C)2.5㎟ 이하</t>
  </si>
  <si>
    <t>제 1호표  제어용 케이블 설치(30C)</t>
  </si>
  <si>
    <t>제 1호표  제어용 케이블 설치(50C)2.5㎟ 이하</t>
  </si>
  <si>
    <t>제 1호표  제어용 케이블 설치(50C)</t>
  </si>
  <si>
    <t>제 2호표  레이스웨이 설치(70×40) 2,800 이하</t>
  </si>
  <si>
    <t>제 3호표  레이스웨이 설치(10×50) 5,500 이하</t>
  </si>
  <si>
    <t>제 7호표  박스(Box) 설치연결용 박스</t>
  </si>
  <si>
    <t>제 1호표  옥내(관내) 배선6㎟ 이하</t>
  </si>
  <si>
    <t>제 2호표  옥내(관내) 배선16㎟ 이하</t>
  </si>
  <si>
    <t>제 3호표  옥내(관내) 배선38㎟ 이하</t>
  </si>
  <si>
    <t>제 4호표  옥내(관내) 배선50㎟ 이하</t>
  </si>
  <si>
    <t>제 6호표  옥내(관내) 배선70㎟ 이하</t>
  </si>
  <si>
    <t>제 7호표  옥내(관내) 배선100㎟ 이하</t>
  </si>
  <si>
    <t>제 8호표  옥내(관내) 배선120㎟ 이하</t>
  </si>
  <si>
    <t>제 9호표  옥내(관내) 배선150㎟ 이하</t>
  </si>
  <si>
    <t>제 10호표  옥내(관내) 배선200㎟ 이하</t>
  </si>
  <si>
    <t>제 11호표  옥내(관내) 배선250㎟ 이하</t>
  </si>
  <si>
    <t>제 5호표  제어용 케이블 설치(2C)10㎟ 이하</t>
  </si>
  <si>
    <t>제 1호표  전력케이블 구내 설치(P.V.C 및 고무절연외장)600V 16㎟이하 X 1C</t>
  </si>
  <si>
    <t>제 2호표  전력케이블 구내 설치(P.V.C 및 고무절연외장)600V 25㎟이하 X 1C</t>
  </si>
  <si>
    <t>제 3호표  전력케이블 구내 설치(P.V.C 및 고무절연외장)600V 38㎟이하 X 1C</t>
  </si>
  <si>
    <t>제 5호표  제어용 케이블 설치(3C)10㎟ 이하</t>
  </si>
  <si>
    <t>제 5호표  제어용 케이블 설치(4C)10㎟ 이하</t>
  </si>
  <si>
    <t>제 5호표  제어용 케이블 설치(5C)10㎟ 이하</t>
  </si>
  <si>
    <t>제 5호표  제어용 케이블 설치(6C)10㎟ 이하</t>
  </si>
  <si>
    <t>제 1호표  제어용 케이블 설치(1C)2.5㎟ 이하</t>
  </si>
  <si>
    <t>제 2호표  제어용 케이블 설치(1C)4㎟ 이하</t>
  </si>
  <si>
    <t>제 3호표  제어용 케이블 설치(1C)6㎟ 이하</t>
  </si>
  <si>
    <t>제 5호표  제어용 케이블 설치(1C)10㎟ 이하</t>
  </si>
  <si>
    <t>제 4호표  전력케이블 구내 설치(P.V.C 및 고무절연외장)600V 50㎟이하 X 1C</t>
  </si>
  <si>
    <t>제 6호표  전력케이블 구내 설치(P.V.C 및 고무절연외장)600V 70㎟이하 X 1C</t>
  </si>
  <si>
    <t>제 8호표  전력케이블 구내 설치(P.V.C 및 고무절연외장)600V 100㎟이하 X 1C</t>
  </si>
  <si>
    <t>제 9호표  전력케이블 구내 설치(P.V.C 및 고무절연외장)600V 125㎟이하 X 1C</t>
  </si>
  <si>
    <t>제 10호표  전력케이블 구내 설치(P.V.C 및 고무절연외장)600V 150㎟이하 X 1C</t>
  </si>
  <si>
    <t>제 11호표  전력케이블 구내 설치(P.V.C 및 고무절연외장)600V 185㎟이하 X 1C</t>
  </si>
  <si>
    <t>제 13호표  전력케이블 구내 설치(P.V.C 및 고무절연외장)600V 240㎟이하 X 1C</t>
  </si>
  <si>
    <t>제 15호표  전력케이블 구내 설치(P.V.C 및 고무절연외장)600V 300㎟이하 X 1C</t>
  </si>
  <si>
    <t>제 17호표  전력케이블 구내 설치(P.V.C 및 고무절연외장)600V 400㎟이하 X 1C</t>
  </si>
  <si>
    <t>제 18호표  전력케이블 구내 설치(P.V.C 및 고무절연외장)600V 500㎟이하 X 1C</t>
  </si>
  <si>
    <t>제 19호표  전력케이블 구내 설치(P.V.C 및 고무절연외장)600V 630㎟이하 X 1C</t>
  </si>
  <si>
    <t>제 1호표  스위치류텀플러스위치 단로용</t>
  </si>
  <si>
    <t>제 2호표  스위치류텀플러스위치 3로용</t>
  </si>
  <si>
    <t>제 1호표  백열등기구 설치(60W 이하)직부등</t>
  </si>
  <si>
    <t>제 1호표  백열등기구 설치(60W 이하)</t>
  </si>
  <si>
    <t>제 1호표  백열등기구 설치(100W 이상)직부등</t>
  </si>
  <si>
    <t>제 2호표  백열등기구 설치(60W 이하)매입등</t>
  </si>
  <si>
    <t>제 2호표  백열등기구 설치(60W 이하)</t>
  </si>
  <si>
    <t>제 3호표  형광등기구 설치(매입 및 반매입형)20W이하 X 2</t>
  </si>
  <si>
    <t>제 9호표  형광등기구 설치(매입 및 반매입형)40W이하 X 2</t>
  </si>
  <si>
    <t>제 9호표  형광등기구 설치(직부형)40W이하 X 2</t>
  </si>
  <si>
    <t>제 11호표  형광등기구 설치(직부형)40W이하 X 4</t>
  </si>
  <si>
    <t>제 8호표  형광등기구 설치(직부형)40W이하 X 1</t>
  </si>
  <si>
    <t>제 2호표  형광등기구 설치(직부형)20W이하 X 1</t>
  </si>
  <si>
    <t>제 12호표  형광등기구 설치(직부형)110W이하 X 1</t>
  </si>
  <si>
    <t>제 3호표  형광등기구 설치(직부형)20W이하 X 2</t>
  </si>
  <si>
    <t>제 1호표  LED 등기구 설치(매입 및 반매입)35W 이하</t>
  </si>
  <si>
    <t>제 2호표  LED 등기구 설치(매입 및 반매입)45W 이하</t>
  </si>
  <si>
    <t>제 3호표  LED 등기구 설치(매입 및 반매입)55W 이하</t>
  </si>
  <si>
    <t>제 3호표  LED 등기구 설치(매입 및 반매입)</t>
  </si>
  <si>
    <t>제 1호표  LED 등기구 설치(다운라이트)15W 이하</t>
  </si>
  <si>
    <t>제 3호표  LED 등기구 설치(다운라이트)35W 이하</t>
  </si>
  <si>
    <t>제 1호표  LED 등기구 설치(직부등)15W 이하</t>
  </si>
  <si>
    <t>제 1호표  LED 등기구 설치(다운라이트)</t>
  </si>
  <si>
    <t>5W, 350㏐, Ø55×101㎜ (전구색)</t>
  </si>
  <si>
    <t>5W, 350㏐, Ø55×101㎜ (주광색)</t>
  </si>
  <si>
    <t>8W, 500㏐, Ø60×107㎜ (전구색)</t>
  </si>
  <si>
    <t>8W, 600㏐, Ø60×107㎜ (주광색)</t>
  </si>
  <si>
    <t>10W, 700㏐, Ø60×107㎜ (전구색)</t>
  </si>
  <si>
    <t>제 2호표  LED 등기구 설치(다운라이트)25W 이하</t>
  </si>
  <si>
    <t>제 2호표  LED 등기구 설치(다운라이트)</t>
  </si>
  <si>
    <t>제 7호표  방전등기구(투광기)1kW 이하</t>
  </si>
  <si>
    <t>제 5호표  방전등기구(투광기)400W 이하</t>
  </si>
  <si>
    <t>제 1호표  방전등기구(투광기)100W 이하</t>
  </si>
  <si>
    <t>제 2호표  방전등기구(투광기)200W 이하</t>
  </si>
  <si>
    <t>제 3호표  방전등기구(투광기)250W 이하</t>
  </si>
  <si>
    <t>제 1호표  LED 가로등기구 설치100W 이하</t>
  </si>
  <si>
    <t>제 1호표  LED 가로등기구 설치</t>
  </si>
  <si>
    <t>제 2호표  LED 가로등기구 설치150W 이하</t>
  </si>
  <si>
    <t>제 2호표  LED 가로등기구 설치</t>
  </si>
  <si>
    <t>150W 이하</t>
  </si>
  <si>
    <t>제 3호표  LED 가로등기구 설치200W 이하</t>
  </si>
  <si>
    <t>제 3호표  LED 가로등기구 설치</t>
  </si>
  <si>
    <t>제 1호표  LED 터널등기구 설치100W 이하</t>
  </si>
  <si>
    <t>제 2호표  LED 터널등기구 설치150W 이하</t>
  </si>
  <si>
    <t>제 2호표  LED 터널등기구 설치</t>
  </si>
  <si>
    <t>제 3호표  LED 터널등기구 설치200W 이하</t>
  </si>
  <si>
    <t>제 4호표  POLE LIGHT 인력설치(1등용)가로등 높이 8m 이하</t>
  </si>
  <si>
    <t>알루미늄가로등주</t>
  </si>
  <si>
    <t>LSLP-1011, 8m×2m</t>
  </si>
  <si>
    <t>제 5호표  POLE LIGHT 인력설치(1등용)가로등 높이 9m 이하</t>
  </si>
  <si>
    <t>LSLP-1011, 9m×2m</t>
  </si>
  <si>
    <t>제 6호표  POLE LIGHT 인력설치(1등용)가로등 높이 10m 이하</t>
  </si>
  <si>
    <t>LSLP-1011, 10m×2m</t>
  </si>
  <si>
    <t>제 7호표  POLE LIGHT 인력설치(1등용)가로등 높이 12m 이하</t>
  </si>
  <si>
    <t>LSLP-1011, 12m×2.5m</t>
  </si>
  <si>
    <t>제 1호표  가로등 기초(기성품) 설치높이 12m 이하</t>
  </si>
  <si>
    <t>제 1호표  배관용 홈파기Ø22 이하용</t>
  </si>
  <si>
    <t>제 2호표  배관용 홈파기Ø28 이하용</t>
  </si>
  <si>
    <t>제 3호표  배관용 홈파기Ø36 이하용</t>
  </si>
  <si>
    <t>제 4호표  배관용 홈파기Ø42 이하용</t>
  </si>
  <si>
    <t>제 5호표  배관용 홈파기Ø54 이하용</t>
  </si>
  <si>
    <t>제 6호표  배관용 홈파기Ø70 이하용</t>
  </si>
  <si>
    <t>제 7호표  배관용 홈파기Ø82 이하용</t>
  </si>
  <si>
    <t>제 1호표  배관용 구멍뚫기(코어드릴 사용기준)-두께 150㎜ 이하, 바닥구경 25㎜</t>
  </si>
  <si>
    <t>제 2호표  배관용 구멍뚫기(코어드릴 사용기준)-두께 150㎜ 이하, 바닥구경 50㎜</t>
  </si>
  <si>
    <t>제 3호표  배관용 구멍뚫기(코어드릴 사용기준)-두께 150㎜ 이하, 바닥구경 75㎜</t>
  </si>
  <si>
    <t>제 4호표  배관용 구멍뚫기(코어드릴 사용기준)-두께 150㎜ 이하, 바닥구경 100㎜</t>
  </si>
  <si>
    <t>제 5호표  배관용 구멍뚫기(코어드릴 사용기준)-두께 150㎜ 이하, 바닥구경 150㎜</t>
  </si>
  <si>
    <t>제 6호표  배관용 구멍뚫기(코어드릴 사용기준)-두께 150㎜ 이하, 바닥구경 200㎜</t>
  </si>
  <si>
    <t>제 7호표  배관용 구멍뚫기(코어드릴 사용기준)-두께 150㎜ 이하, 바닥구경 250㎜</t>
  </si>
  <si>
    <t>제 8호표  배관용 구멍뚫기(코어드릴 사용기준)-두께 150㎜ 이하, 바닥구경 300㎜</t>
  </si>
  <si>
    <t>제 9호표  배관용 구멍뚫기(코어드릴 사용기준)-두께 150㎜ 이하, 바닥구경 350㎜</t>
  </si>
  <si>
    <t>제 1호표  배선용 차단기(3P)용량 30AF 이하</t>
  </si>
  <si>
    <t>제 2호표  배선용 차단기(3P)용량 50AF 이하</t>
  </si>
  <si>
    <t>제 3호표  배선용 차단기(3P)용량 100AF 이하</t>
  </si>
  <si>
    <t>제 4호표  배선용 차단기(3P)용량 225AF 이하</t>
  </si>
  <si>
    <t>제 5호표  배선용 차단기(3P)용량 400AF 이하</t>
  </si>
  <si>
    <t>제 6호표  배선용 차단기(3P)용량 600AF 이하</t>
  </si>
  <si>
    <t>제 7호표  배선용 차단기(3P)용량 800AF 이하</t>
  </si>
  <si>
    <t>제 1호표  배선용 차단기30AF 이하</t>
  </si>
  <si>
    <t>제 2호표  배선용 차단기50AF 이하</t>
  </si>
  <si>
    <t>제 3호표  배선용 차단기100AF 이하</t>
  </si>
  <si>
    <t>제 4호표  배선용 차단기225AF 이하</t>
  </si>
  <si>
    <t>제 5호표  배선용 차단기400AF 이하</t>
  </si>
  <si>
    <t>제 7호표  배선용 차단기800AF 이하</t>
  </si>
  <si>
    <t>제 1호표  저압용 개폐기-마그넷 스위치30A 이하</t>
  </si>
  <si>
    <t>제 2호표  저압용 개폐기-마그넷 스위치50A 이하</t>
  </si>
  <si>
    <t>제 3호표  저압용 개폐기-마그넷 스위치100A 이하</t>
  </si>
  <si>
    <t>제 4호표  저압용 개폐기-마그넷 스위치225A 이하</t>
  </si>
  <si>
    <t>제 5호표  저압용 개폐기-마그넷 스위치300A 이하</t>
  </si>
  <si>
    <t>제 6호표  저압용 개폐기-마그넷 스위치400A 이하</t>
  </si>
  <si>
    <t>제 7호표  저압용 개폐기-마그넷 스위치600A 이하</t>
  </si>
  <si>
    <t>제 8호표  저압용 개폐기-마그넷 스위치800A 이하</t>
  </si>
  <si>
    <t>제 3호표  전력량계 및 부속장치 설치전력량계 3Ø 4W용</t>
  </si>
  <si>
    <t>제 1호표  무정전전원장치(UPS) 설치전원선/접지선 연결</t>
  </si>
  <si>
    <t>제 1호표  무정전 전원장치(UPS) 점검배터리 성능점검</t>
  </si>
  <si>
    <t>제 1호표  배터리 교체배터리 철거 및 설치 등</t>
  </si>
  <si>
    <t>제 2호표  나이프 스위치(3P)용량 60A 이하</t>
  </si>
  <si>
    <t>제 4호표  전력량계 및 부속장치 설치전류변성기(CT)(저·고압)</t>
  </si>
  <si>
    <t>제 5호표  전력량계 및 부속장치 설치전압변성기(PT)(저·고압)</t>
  </si>
  <si>
    <t>제 6호표  전력량계 및 부속장치 설치영상전류변성기(ZCT)</t>
  </si>
  <si>
    <t>제 1호표  가전기구 설치환풍기(벽면)</t>
  </si>
  <si>
    <t>제 1호표  가전기구 설치전극결선</t>
  </si>
  <si>
    <t>제 1호표  가전기구 설치전구교환</t>
  </si>
  <si>
    <t>제 2호표  콘센트류 2P콘센트 15A(접지극부)</t>
  </si>
  <si>
    <t>제 2호표  콘센트류 4P콘센트 30A(접지극부)</t>
  </si>
  <si>
    <t>제 2호표  콘센트류 3P콘센트 30A(접지극부)</t>
  </si>
  <si>
    <t>제 10호표  배관용 구멍뚫기(코어드릴 사용기준)-두께 150㎜ 이하, 바닥구경 400㎜</t>
  </si>
  <si>
    <t>제 1호표  음향 및 영상 부대시설 공사(천장타공)8인치 이하</t>
  </si>
  <si>
    <t>제 1호표  역률 개선용 콘덴서 설치(저압)5kVA 이하</t>
  </si>
  <si>
    <t>제 2호표  역률 개선용 콘덴서 설치(저압)10kVA 이하</t>
  </si>
  <si>
    <t>제 3호표  역률 개선용 콘덴서 설치(저압)20kVA 이하</t>
  </si>
  <si>
    <t>제 4호표  역률 개선용 콘덴서 설치(저압)50kVA 이하</t>
  </si>
  <si>
    <t>제 2호표  인력 터파기(보통토사)1m 이상 ~ 2m 미만</t>
  </si>
  <si>
    <t>제 2호표  인력 터파기(경질토사)1m 이상 ~ 2m 미만</t>
  </si>
  <si>
    <t>제 2호표  인력 터파기(고사점토 및 자갈섞인 토사)1m 이상 ~ 2m 미만</t>
  </si>
  <si>
    <t>제 2호표  인력 터파기(호박돌 섞인 토사)1m 이상 ~ 2m 미만</t>
  </si>
  <si>
    <t>제 2호표  인력 터파기(연암 및 풍화암)1m 이상 ~ 2m 미만</t>
  </si>
  <si>
    <t>제 2호표  인력 터파기(보통암)1m 이상 ~ 2m 미만</t>
  </si>
  <si>
    <t>제 2호표  인력 터파기(경암)1m 이상 ~ 2m 미만</t>
  </si>
  <si>
    <t>제 1호표  서지보호기(SPD) 설치서지보호기용 외함설치</t>
  </si>
  <si>
    <t>제 1호표  기계사용 터파기풍화암</t>
  </si>
  <si>
    <t>제 2호표  기계사용 터파기연암</t>
  </si>
  <si>
    <t>제 3호표  기계사용 터파기보통암</t>
  </si>
  <si>
    <t>제 4호표  기계사용 터파기경암</t>
  </si>
  <si>
    <t>제 1호표  음향 및 영상 기기 신설(Beam Projector)설치</t>
  </si>
  <si>
    <t>제 1호표  음향 및 영상 기기 신설(Beam Projector)</t>
  </si>
  <si>
    <t>제 4호표  음향 및 영상 기기 신설(Beam Projector)시험 및 측정</t>
  </si>
  <si>
    <t>제 4호표  음향 및 영상 기기 신설(Beam Projector)</t>
  </si>
  <si>
    <t>제 1호표  음향 및 영상 부대시설 공사(스크린)전동 120인치 이하</t>
  </si>
  <si>
    <t>제 10호표  음향 및 영상 기기 신설(TV수상기(VideoMonitor))33 이상 설치</t>
  </si>
  <si>
    <t>33 이상 설치</t>
  </si>
  <si>
    <t>제 2호표  백열등기구 설치(100W 이상)매입등</t>
  </si>
  <si>
    <t>제 3호표  형광등기구 설치(직부형)</t>
  </si>
  <si>
    <t>제 9호표  형광등기구 설치(직부형)</t>
  </si>
  <si>
    <t>제 7호표  형광등기구 설치(직부형)30W이하 X 2</t>
  </si>
  <si>
    <t>제 3호표  콘센트류 2P콘센트 20A(접지극부)</t>
  </si>
  <si>
    <t>제 5호표  스위치류푸시버튼</t>
  </si>
  <si>
    <t>제 7호표  스위치류리모콘셀렉터스위치6L이하</t>
  </si>
  <si>
    <t>제 1호표  태양광 발전시스템(인버터)1kVA 이하</t>
  </si>
  <si>
    <t>제 2호표  태양광 발전시스템(인버터)3kVA 이하</t>
  </si>
  <si>
    <t>제 4호표  태양광 발전시스템(인버터)10kVA 이하</t>
  </si>
  <si>
    <t>제 1호표  축전지 설치(밀폐형 100AH 이하)12V 이하</t>
  </si>
  <si>
    <t>제 1호표  축전지 설치(밀폐형 200AH 이하)12V 이하</t>
  </si>
  <si>
    <t>제 4호표  콘센트류 2P콘센트 30A(접지극부)</t>
  </si>
  <si>
    <t>제 8호표  스위치류리모콘셀렉터스위치12L이하</t>
  </si>
  <si>
    <t>22Ø ROTARY S/W</t>
  </si>
  <si>
    <t>YS R22-211L(K), (1A1B)</t>
  </si>
  <si>
    <t>제 17호표  스위치류조광스위치(IL용 800W)</t>
  </si>
  <si>
    <t>22Ø 조광형 SWITCH</t>
  </si>
  <si>
    <t>YS APBL22-AL22 AC220V LED,</t>
  </si>
  <si>
    <t>제 11호표  스위치류리모콘릴레이(2P)</t>
  </si>
  <si>
    <t>RELAY (MY TYPE)</t>
  </si>
  <si>
    <t>YS MY03-4P, (AC/DC) LED</t>
  </si>
  <si>
    <t>제 1호표  접지선 매설10㎟ 이하</t>
  </si>
  <si>
    <t>제 2호표  접지선 매설35㎟ 이하</t>
  </si>
  <si>
    <t>제 3호표  접지선 매설95㎟ 이하</t>
  </si>
  <si>
    <t>제 4호표  접지선 매설150㎟ 이하</t>
  </si>
  <si>
    <t>제 1호표  배전반 설치자립형 W800×H2,000 내외</t>
  </si>
  <si>
    <t>통신 케이블</t>
  </si>
  <si>
    <t>TSP 케이블, AWG #18</t>
  </si>
  <si>
    <t>제 1호표  제어용 케이블 설치(24C)2.5㎟ 이하</t>
  </si>
  <si>
    <t>제 2호표  제어용 케이블 설치(24C)4㎟ 이하</t>
  </si>
  <si>
    <t>제 1호표  배관용 바닥 구멍뚫기(코어드릴 사용기준)두께 150㎜ 이하, 구경 25㎜</t>
  </si>
  <si>
    <t>제 2호표  배관용 바닥 구멍뚫기(코어드릴 사용기준)두께 150㎜ 이하, 구경 50㎜</t>
  </si>
  <si>
    <t>제 1호표  배관용 바닥 구멍뚫기(코어드릴 사용기준)두께 300㎜ 이하, 구경 25㎜</t>
  </si>
  <si>
    <t>제 2호표  배관용 바닥 구멍뚫기(코어드릴 사용기준)두께 300㎜ 이하, 구경 50㎜</t>
  </si>
  <si>
    <t>제 2호표  앵커볼트 설치Ø15㎜ 이하</t>
  </si>
  <si>
    <t>앵커볼트</t>
  </si>
  <si>
    <t>M10</t>
  </si>
  <si>
    <t>제 1호표  방화폼 설치-</t>
  </si>
  <si>
    <t>L002</t>
    <phoneticPr fontId="6" type="noConversion"/>
  </si>
  <si>
    <t>보통인부</t>
    <phoneticPr fontId="6" type="noConversion"/>
  </si>
  <si>
    <t>L003</t>
    <phoneticPr fontId="6" type="noConversion"/>
  </si>
  <si>
    <t>특별인부</t>
    <phoneticPr fontId="6" type="noConversion"/>
  </si>
  <si>
    <t>L069</t>
    <phoneticPr fontId="6" type="noConversion"/>
  </si>
  <si>
    <t>내선전공</t>
    <phoneticPr fontId="6" type="noConversion"/>
  </si>
  <si>
    <t>M070901200103201</t>
  </si>
  <si>
    <t>M070901200103301</t>
  </si>
  <si>
    <t>M070901200102301</t>
  </si>
  <si>
    <t>M070901200102401</t>
  </si>
  <si>
    <t>M070901200102501</t>
  </si>
  <si>
    <t>M070901200102601</t>
  </si>
  <si>
    <t>M070901200102701</t>
  </si>
  <si>
    <t>M070901200102801</t>
  </si>
  <si>
    <t>M070901200102901</t>
  </si>
  <si>
    <t>M070901200103001</t>
  </si>
  <si>
    <t>M070901200103101</t>
  </si>
  <si>
    <t>케이블트레이(KSC8464) 및 부속품(5)-3</t>
  </si>
  <si>
    <t>SUPPORT&amp;ACCESSORIES(용융도금)</t>
  </si>
  <si>
    <t>HANGER, W+100, W1,000</t>
  </si>
  <si>
    <t>HANGER, W+100, W1,200</t>
  </si>
  <si>
    <t>HANGER, W+100, W150</t>
  </si>
  <si>
    <t>HANGER, W+100, W200</t>
  </si>
  <si>
    <t>HANGER, W+100, W300</t>
  </si>
  <si>
    <t>HANGER, W+100, W400</t>
  </si>
  <si>
    <t>HANGER, W+100, W500</t>
  </si>
  <si>
    <t>HANGER, W+100, W600</t>
  </si>
  <si>
    <t>HANGER, W+100, W700</t>
  </si>
  <si>
    <t>HANGER, W+100, W800</t>
  </si>
  <si>
    <t>HANGER, W+100, W900</t>
  </si>
  <si>
    <t>케이블트레이(KSC8464) 및 부속품(5)-4</t>
  </si>
  <si>
    <t>HOLD DOWN CLAMP</t>
  </si>
  <si>
    <t>케이블트레이(KSC8464) 및 부속품(3)</t>
  </si>
  <si>
    <t>M070901200101001</t>
  </si>
  <si>
    <t>M070901200101101</t>
  </si>
  <si>
    <t>M070901200100101</t>
  </si>
  <si>
    <t>M070901200100201</t>
  </si>
  <si>
    <t>M070901200100301</t>
  </si>
  <si>
    <t>SINGLE CHANNEL BRACKET, W+50, W1,000</t>
  </si>
  <si>
    <t>SINGLE CHANNEL BRACKET, W+50, W1,200</t>
  </si>
  <si>
    <t>SINGLE CHANNEL BRACKET, W+50, W150</t>
  </si>
  <si>
    <t>SINGLE CHANNEL BRACKET, W+50, W200</t>
  </si>
  <si>
    <t>SINGLE CHANNEL BRACKET, W+50, W300</t>
  </si>
  <si>
    <t>M070901200100401</t>
  </si>
  <si>
    <t>SINGLE CHANNEL BRACKET, W+50, W400</t>
  </si>
  <si>
    <t>M070901200100501</t>
  </si>
  <si>
    <t>M070901200100601</t>
  </si>
  <si>
    <t>SINGLE CHANNEL BRACKET, W+50, W600</t>
  </si>
  <si>
    <t>M070901200100701</t>
  </si>
  <si>
    <t>M070901200100801</t>
  </si>
  <si>
    <t>M070901200100901</t>
  </si>
  <si>
    <t>SINGLE CHANNEL BRACKET, W+50, W700</t>
  </si>
  <si>
    <t>SINGLE CHANNEL BRACKET, W+50, W800</t>
  </si>
  <si>
    <t>SINGLE CHANNEL BRACKET, W+50, W900</t>
  </si>
  <si>
    <t>M070901303100101</t>
  </si>
  <si>
    <t>STS, 40×60</t>
  </si>
  <si>
    <t>JOINT CON</t>
  </si>
  <si>
    <t>M070901501000301</t>
  </si>
  <si>
    <t>케이블덕트ㆍ트레이</t>
  </si>
  <si>
    <t>B-JUMPER</t>
  </si>
  <si>
    <t>38SQ</t>
  </si>
  <si>
    <t>M070900603600101</t>
  </si>
  <si>
    <t>M070900603700101</t>
  </si>
  <si>
    <t>케이블트레이(KSC8464) 및 부속품(1)</t>
  </si>
  <si>
    <t>H/V/ELBOW</t>
  </si>
  <si>
    <t>150W×1.2T, 100H</t>
  </si>
  <si>
    <t>H/V/TEE</t>
  </si>
  <si>
    <t>M070900603600201</t>
  </si>
  <si>
    <t>M070900603700201</t>
  </si>
  <si>
    <t>200W×1.2T, 100H</t>
  </si>
  <si>
    <t>M070900603600301</t>
  </si>
  <si>
    <t>M070900603700301</t>
  </si>
  <si>
    <t>300W×1.2T, 100H</t>
  </si>
  <si>
    <t>M070900603600401</t>
  </si>
  <si>
    <t>M070900603700401</t>
  </si>
  <si>
    <t>400W×1.2T, 100H</t>
  </si>
  <si>
    <t>M070900603600501</t>
  </si>
  <si>
    <t>M070900603700501</t>
  </si>
  <si>
    <t>500W×1.2T, 100H</t>
  </si>
  <si>
    <t>M070900603600601</t>
  </si>
  <si>
    <t>M070900603700601</t>
  </si>
  <si>
    <t>600W×1.2T, 100H</t>
  </si>
  <si>
    <t>금속제박스 및 커버(전선관용)</t>
  </si>
  <si>
    <t>전선·케이블</t>
  </si>
  <si>
    <t>M070801500100901</t>
  </si>
  <si>
    <t>강제전선관</t>
  </si>
  <si>
    <t>M070801500100101</t>
  </si>
  <si>
    <t>M070801500100201</t>
  </si>
  <si>
    <t>M070801500100301</t>
  </si>
  <si>
    <t>M070801500100401</t>
  </si>
  <si>
    <t>M070801500100501</t>
  </si>
  <si>
    <t>M070801500100601</t>
  </si>
  <si>
    <t>M070801500100701</t>
  </si>
  <si>
    <t>M070801500100801</t>
  </si>
  <si>
    <t>M070800716200101</t>
  </si>
  <si>
    <t>강제전선관부품-1</t>
  </si>
  <si>
    <t>JI FLEX GW(일반방수)</t>
  </si>
  <si>
    <t>104㎜, KS</t>
  </si>
  <si>
    <t>M070800701600101</t>
  </si>
  <si>
    <t>16㎜, KS</t>
  </si>
  <si>
    <t>M070800703600101</t>
  </si>
  <si>
    <t>22㎜, KS</t>
  </si>
  <si>
    <t>M070800705600101</t>
  </si>
  <si>
    <t>28㎜, KS</t>
  </si>
  <si>
    <t>M070800707500101</t>
  </si>
  <si>
    <t>36㎜, KS</t>
  </si>
  <si>
    <t>M070800709300101</t>
  </si>
  <si>
    <t>42㎜, KS</t>
  </si>
  <si>
    <t>M070800711100101</t>
  </si>
  <si>
    <t>54㎜, KS</t>
  </si>
  <si>
    <t>M070800712800101</t>
  </si>
  <si>
    <t>70㎜, KS</t>
  </si>
  <si>
    <t>M070800714500101</t>
  </si>
  <si>
    <t>82㎜, KS</t>
  </si>
  <si>
    <t>E10410003001001001</t>
  </si>
  <si>
    <t>E10410003001001002</t>
  </si>
  <si>
    <t>E10410003001001003</t>
  </si>
  <si>
    <t>E10410003001001004</t>
  </si>
  <si>
    <t>E10410003001001005</t>
  </si>
  <si>
    <t>E10410003001001006</t>
  </si>
  <si>
    <t>E10410003001001007</t>
  </si>
  <si>
    <t>E10410003001001008</t>
  </si>
  <si>
    <t>E10410003001001009</t>
  </si>
  <si>
    <t>E10410003001001010</t>
  </si>
  <si>
    <t>E10410003001001011</t>
  </si>
  <si>
    <t>E10410003001001012</t>
  </si>
  <si>
    <t>E10410003001001013</t>
  </si>
  <si>
    <t>E10410003001001014</t>
  </si>
  <si>
    <t>E10410003001001015</t>
  </si>
  <si>
    <t>제 1호표  전력케이블 구내 설치(P.V.C 및 고무절연외장)</t>
  </si>
  <si>
    <t>제 2호표  전력케이블 구내 설치(P.V.C 및 고무절연외장)</t>
  </si>
  <si>
    <t>제 3호표  전력케이블 구내 설치(P.V.C 및 고무절연외장)</t>
  </si>
  <si>
    <t>제 4호표  전력케이블 구내 설치(P.V.C 및 고무절연외장)</t>
  </si>
  <si>
    <t>제 5호표  전력케이블 구내 설치(P.V.C 및 고무절연외장)600V 60㎟이하 X 1C</t>
  </si>
  <si>
    <t>제 5호표  전력케이블 구내 설치(P.V.C 및 고무절연외장)</t>
  </si>
  <si>
    <t>제 6호표  전력케이블 구내 설치(P.V.C 및 고무절연외장)</t>
  </si>
  <si>
    <t>제 7호표  전력케이블 구내 설치(P.V.C 및 고무절연외장)600V 80㎟이하 X 1C</t>
  </si>
  <si>
    <t>제 7호표  전력케이블 구내 설치(P.V.C 및 고무절연외장)</t>
  </si>
  <si>
    <t>제 8호표  전력케이블 구내 설치(P.V.C 및 고무절연외장)</t>
  </si>
  <si>
    <t>제 9호표  전력케이블 구내 설치(P.V.C 및 고무절연외장)</t>
  </si>
  <si>
    <t>제 10호표  전력케이블 구내 설치(P.V.C 및 고무절연외장)</t>
  </si>
  <si>
    <t>제 11호표  전력케이블 구내 설치(P.V.C 및 고무절연외장)</t>
  </si>
  <si>
    <t>제 12호표  전력케이블 구내 설치(P.V.C 및 고무절연외장)600V 200㎟이하 X 1C</t>
  </si>
  <si>
    <t>제 12호표  전력케이블 구내 설치(P.V.C 및 고무절연외장)</t>
  </si>
  <si>
    <t>제 13호표  전력케이블 구내 설치(P.V.C 및 고무절연외장)</t>
  </si>
  <si>
    <t>제 14호표  전력케이블 구내 설치(P.V.C 및 고무절연외장)600V 250㎟이하 X 1C</t>
  </si>
  <si>
    <t>제 14호표  전력케이블 구내 설치(P.V.C 및 고무절연외장)</t>
  </si>
  <si>
    <t>제 15호표  전력케이블 구내 설치(P.V.C 및 고무절연외장)</t>
  </si>
  <si>
    <t>E10410005001001001</t>
  </si>
  <si>
    <t>제 1호표  제어용 케이블 설치(1C)</t>
  </si>
  <si>
    <t>E10410005001001002</t>
  </si>
  <si>
    <t>제 2호표  제어용 케이블 설치(1C)</t>
  </si>
  <si>
    <t>E10410005001001005</t>
  </si>
  <si>
    <t>제 5호표  제어용 케이블 설치(1C)</t>
  </si>
  <si>
    <t>E10410005001004001</t>
  </si>
  <si>
    <t>E10410005001004002</t>
  </si>
  <si>
    <t>제 2호표  제어용 케이블 설치(15C)</t>
  </si>
  <si>
    <t>E10410005001007001</t>
  </si>
  <si>
    <t>제 1호표  제어용 케이블 설치(24C)</t>
  </si>
  <si>
    <t>E10410005001007002</t>
  </si>
  <si>
    <t>제 2호표  제어용 케이블 설치(24C)</t>
  </si>
  <si>
    <t>E10410005001010001</t>
  </si>
  <si>
    <t>E10410005001010002</t>
  </si>
  <si>
    <t>제 2호표  제어용 케이블 설치(2C)</t>
  </si>
  <si>
    <t>E10410005001010003</t>
  </si>
  <si>
    <t>제 3호표  제어용 케이블 설치(2C)</t>
  </si>
  <si>
    <t>E10410005001011001</t>
  </si>
  <si>
    <t>E10410005001011003</t>
  </si>
  <si>
    <t>제 3호표  제어용 케이블 설치(3C)</t>
  </si>
  <si>
    <t>E10410005001012001</t>
  </si>
  <si>
    <t>E10410005001012002</t>
  </si>
  <si>
    <t>제 2호표  제어용 케이블 설치(4C)</t>
  </si>
  <si>
    <t>E10410005001012003</t>
  </si>
  <si>
    <t>제 3호표  제어용 케이블 설치(4C)</t>
  </si>
  <si>
    <t>E10410005001012005</t>
  </si>
  <si>
    <t>제 5호표  제어용 케이블 설치(4C)</t>
  </si>
  <si>
    <t>E10410005001017001</t>
  </si>
  <si>
    <t>E10410005001017002</t>
  </si>
  <si>
    <t>제 2호표  제어용 케이블 설치(10C)</t>
  </si>
  <si>
    <t>E10410001001001002</t>
  </si>
  <si>
    <t>E10410001001001003</t>
  </si>
  <si>
    <t>E10410001001001004</t>
  </si>
  <si>
    <t>E10410001001002001</t>
  </si>
  <si>
    <t>제 1호표  후강 전선관</t>
  </si>
  <si>
    <t>E10410001001002002</t>
  </si>
  <si>
    <t>제 2호표  후강 전선관</t>
  </si>
  <si>
    <t>E10410001001002003</t>
  </si>
  <si>
    <t>제 3호표  후강 전선관</t>
  </si>
  <si>
    <t>E10410001001002004</t>
  </si>
  <si>
    <t>제 4호표  후강 전선관</t>
  </si>
  <si>
    <t>E10410001001002005</t>
  </si>
  <si>
    <t>제 5호표  후강 전선관</t>
  </si>
  <si>
    <t>E10410001001002006</t>
  </si>
  <si>
    <t>제 6호표  후강 전선관</t>
  </si>
  <si>
    <t>E10410001001002007</t>
  </si>
  <si>
    <t>제 7호표  후강 전선관</t>
  </si>
  <si>
    <t>E10410001001002008</t>
  </si>
  <si>
    <t>제 8호표  후강 전선관</t>
  </si>
  <si>
    <t>E10410001001002009</t>
  </si>
  <si>
    <t>제 9호표  후강 전선관92㎜이하</t>
  </si>
  <si>
    <t>제 9호표  후강 전선관</t>
  </si>
  <si>
    <t>E10410001001002010</t>
  </si>
  <si>
    <t>제 10호표  후강 전선관</t>
  </si>
  <si>
    <t>E10410001001003001</t>
  </si>
  <si>
    <t>제 1호표  금속가요 전선관</t>
  </si>
  <si>
    <t>E10410001001003002</t>
  </si>
  <si>
    <t>제 2호표  금속가요 전선관</t>
  </si>
  <si>
    <t>E10410001001003003</t>
  </si>
  <si>
    <t>제 3호표  금속가요 전선관</t>
  </si>
  <si>
    <t>E10410001001003004</t>
  </si>
  <si>
    <t>제 4호표  금속가요 전선관</t>
  </si>
  <si>
    <t>E10410001001003005</t>
  </si>
  <si>
    <t>제 5호표  금속가요 전선관</t>
  </si>
  <si>
    <t>E10410001001003006</t>
  </si>
  <si>
    <t>제 6호표  금속가요 전선관</t>
  </si>
  <si>
    <t>E10410001001003007</t>
  </si>
  <si>
    <t>제 7호표  금속가요 전선관</t>
  </si>
  <si>
    <t>E10410001001003008</t>
  </si>
  <si>
    <t>제 8호표  금속가요 전선관</t>
  </si>
  <si>
    <t>E10410001001003009</t>
  </si>
  <si>
    <t>제 9호표  금속가요 전선관92㎜이하</t>
  </si>
  <si>
    <t>제 9호표  금속가요 전선관</t>
  </si>
  <si>
    <t>E10410001001003010</t>
  </si>
  <si>
    <t>제 10호표  금속가요 전선관</t>
  </si>
  <si>
    <t>E10413098001001001</t>
  </si>
  <si>
    <t>E10413098001001002</t>
  </si>
  <si>
    <t>제 2호표  배전반 설치자립형 W1,000×H2,000 내외</t>
  </si>
  <si>
    <t>제 2호표  배전반 설치</t>
  </si>
  <si>
    <t>자립형 W1,000×H2,000 내외</t>
  </si>
  <si>
    <t>E10410015001001001</t>
  </si>
  <si>
    <t>제 1호표  콘센트류 2P콘센트 15A</t>
  </si>
  <si>
    <t>제 1호표  콘센트류 2P</t>
  </si>
  <si>
    <t>콘센트 15A</t>
  </si>
  <si>
    <t>E10410015001001002</t>
  </si>
  <si>
    <t>제 2호표  콘센트류 2P</t>
  </si>
  <si>
    <t>콘센트 15A(접지극부)</t>
  </si>
  <si>
    <t>E10410015001001004</t>
  </si>
  <si>
    <t>E10410015001001005</t>
  </si>
  <si>
    <t>제 5호표  콘센트류 2P플로어콘센트 15A</t>
  </si>
  <si>
    <t>제 5호표  콘센트류 2P</t>
  </si>
  <si>
    <t>플로어콘센트 15A</t>
  </si>
  <si>
    <t>E10410015001001006</t>
  </si>
  <si>
    <t>제 6호표  콘센트류 2P플로어콘센트 20A</t>
  </si>
  <si>
    <t>제 6호표  콘센트류 2P</t>
  </si>
  <si>
    <t>플로어콘센트 20A</t>
  </si>
  <si>
    <t>E10410015001001007</t>
  </si>
  <si>
    <t>제 7호표  콘센트류 2P하아텐션(로우텐션)</t>
  </si>
  <si>
    <t>제 7호표  콘센트류 2P</t>
  </si>
  <si>
    <t>하아텐션(로우텐션)</t>
  </si>
  <si>
    <t>E10410015001002001</t>
  </si>
  <si>
    <t>제 1호표  콘센트류 3P콘센트 15A</t>
  </si>
  <si>
    <t>제 1호표  콘센트류 3P</t>
  </si>
  <si>
    <t>E10410015001002002</t>
  </si>
  <si>
    <t>제 2호표  콘센트류 3P</t>
  </si>
  <si>
    <t>E10410015001003001</t>
  </si>
  <si>
    <t>제 1호표  콘센트류 4P콘센트 15A</t>
  </si>
  <si>
    <t>제 1호표  콘센트류 4P</t>
  </si>
  <si>
    <t>E10410015001003002</t>
  </si>
  <si>
    <t>E10410011002002001</t>
  </si>
  <si>
    <t>제 1호표  저압용 개폐기-마그넷 스위치</t>
  </si>
  <si>
    <t>E10410011002002002</t>
  </si>
  <si>
    <t>제 2호표  저압용 개폐기-마그넷 스위치</t>
  </si>
  <si>
    <t>E10410011002002003</t>
  </si>
  <si>
    <t>제 3호표  저압용 개폐기-마그넷 스위치</t>
  </si>
  <si>
    <t>E10410011002002004</t>
  </si>
  <si>
    <t>제 4호표  저압용 개폐기-마그넷 스위치</t>
  </si>
  <si>
    <t>E10410011002002005</t>
  </si>
  <si>
    <t>제 5호표  저압용 개폐기-마그넷 스위치</t>
  </si>
  <si>
    <t>E10410011002002006</t>
  </si>
  <si>
    <t>제 6호표  저압용 개폐기-마그넷 스위치</t>
  </si>
  <si>
    <t>E10410011002002007</t>
  </si>
  <si>
    <t>제 7호표  저압용 개폐기-마그넷 스위치</t>
  </si>
  <si>
    <t>E10410011002002008</t>
  </si>
  <si>
    <t>제 8호표  저압용 개폐기-마그넷 스위치</t>
  </si>
  <si>
    <t>E10410015002001001</t>
  </si>
  <si>
    <t>E10410015002001002</t>
  </si>
  <si>
    <t>제 2호표  스위치류</t>
  </si>
  <si>
    <t>텀플러스위치 3로용</t>
  </si>
  <si>
    <t>E10410015002001003</t>
  </si>
  <si>
    <t>제 3호표  스위치류텀플러스위치 4로용</t>
  </si>
  <si>
    <t>제 3호표  스위치류</t>
  </si>
  <si>
    <t>텀플러스위치 4로용</t>
  </si>
  <si>
    <t>E10410016001001001</t>
  </si>
  <si>
    <t>E10410016001001002</t>
  </si>
  <si>
    <t>E10410016001001003</t>
  </si>
  <si>
    <t>제 3호표  백열등기구 설치(60W 이하)매입루바부</t>
  </si>
  <si>
    <t>제 3호표  백열등기구 설치(60W 이하)</t>
  </si>
  <si>
    <t>매입루바부</t>
  </si>
  <si>
    <t>E10410016001001004</t>
  </si>
  <si>
    <t>제 4호표  백열등기구 설치(60W 이하)파이프펜던트</t>
  </si>
  <si>
    <t>제 4호표  백열등기구 설치(60W 이하)</t>
  </si>
  <si>
    <t>파이프펜던트</t>
  </si>
  <si>
    <t>E10410016001001005</t>
  </si>
  <si>
    <t>제 5호표  백열등기구 설치(60W 이하)코드 펜던트</t>
  </si>
  <si>
    <t>제 5호표  백열등기구 설치(60W 이하)</t>
  </si>
  <si>
    <t>코드 펜던트</t>
  </si>
  <si>
    <t>E10410016001001006</t>
  </si>
  <si>
    <t>제 6호표  백열등기구 설치(60W 이하)체인 펜던트</t>
  </si>
  <si>
    <t>제 6호표  백열등기구 설치(60W 이하)</t>
  </si>
  <si>
    <t>체인 펜던트</t>
  </si>
  <si>
    <t>E10410016001001007</t>
  </si>
  <si>
    <t>제 7호표  백열등기구 설치(60W 이하)부래킷등</t>
  </si>
  <si>
    <t>제 7호표  백열등기구 설치(60W 이하)</t>
  </si>
  <si>
    <t>부래킷등</t>
  </si>
  <si>
    <t>E10410016001001008</t>
  </si>
  <si>
    <t>제 8호표  백열등기구 설치(60W 이하)리셉터클</t>
  </si>
  <si>
    <t>제 8호표  백열등기구 설치(60W 이하)</t>
  </si>
  <si>
    <t>리셉터클</t>
  </si>
  <si>
    <t>E10410016001002001</t>
  </si>
  <si>
    <t>E10410016001002002</t>
  </si>
  <si>
    <t>E10410016001002003</t>
  </si>
  <si>
    <t>제 3호표  백열등기구 설치(100W 이상)매입루바등</t>
  </si>
  <si>
    <t>제 3호표  백열등기구 설치(100W 이상)</t>
  </si>
  <si>
    <t>매입루바등</t>
  </si>
  <si>
    <t>E10410016001002004</t>
  </si>
  <si>
    <t>제 4호표  백열등기구 설치(100W 이상)파이프펜던트</t>
  </si>
  <si>
    <t>제 4호표  백열등기구 설치(100W 이상)</t>
  </si>
  <si>
    <t>E10410016001002005</t>
  </si>
  <si>
    <t>제 5호표  백열등기구 설치(100W 이상)코드 펜던트</t>
  </si>
  <si>
    <t>제 5호표  백열등기구 설치(100W 이상)</t>
  </si>
  <si>
    <t>E10410016001002006</t>
  </si>
  <si>
    <t>제 6호표  백열등기구 설치(100W 이상)체인 펜던트</t>
  </si>
  <si>
    <t>제 6호표  백열등기구 설치(100W 이상)</t>
  </si>
  <si>
    <t>E10410016001002007</t>
  </si>
  <si>
    <t>제 7호표  백열등기구 설치(100W 이상)부래킷등</t>
  </si>
  <si>
    <t>제 7호표  백열등기구 설치(100W 이상)</t>
  </si>
  <si>
    <t>E10410016001002008</t>
  </si>
  <si>
    <t>제 8호표  백열등기구 설치(100W 이상)투광기(리프렉터부)</t>
  </si>
  <si>
    <t>제 8호표  백열등기구 설치(100W 이상)</t>
  </si>
  <si>
    <t>E10410016001002009</t>
  </si>
  <si>
    <t>제 9호표  백열등기구 설치(100W 이상)샹들리에(2등용)</t>
  </si>
  <si>
    <t>제 9호표  백열등기구 설치(100W 이상)</t>
  </si>
  <si>
    <t>E10410017001001001</t>
  </si>
  <si>
    <t>제 1호표  형광등기구 설치(직부형)10W이하 X 1</t>
  </si>
  <si>
    <t>제 1호표  형광등기구 설치(직부형)</t>
  </si>
  <si>
    <t>E10410017001001002</t>
  </si>
  <si>
    <t>E10410017001001003</t>
  </si>
  <si>
    <t>E10410017001001004</t>
  </si>
  <si>
    <t>제 4호표  형광등기구 설치(직부형)20W이하 X 3</t>
  </si>
  <si>
    <t>제 4호표  형광등기구 설치(직부형)</t>
  </si>
  <si>
    <t>E10410017001001005</t>
  </si>
  <si>
    <t>제 5호표  형광등기구 설치(직부형)20W이하 X 4</t>
  </si>
  <si>
    <t>제 5호표  형광등기구 설치(직부형)</t>
  </si>
  <si>
    <t>E10410017001001006</t>
  </si>
  <si>
    <t>제 6호표  형광등기구 설치(직부형)30W이하 X 1</t>
  </si>
  <si>
    <t>제 6호표  형광등기구 설치(직부형)</t>
  </si>
  <si>
    <t>E10410017001001007</t>
  </si>
  <si>
    <t>E10410017001001008</t>
  </si>
  <si>
    <t>E10410017001001009</t>
  </si>
  <si>
    <t>E10410017001001010</t>
  </si>
  <si>
    <t>제 10호표  형광등기구 설치(직부형)40W이하 X 3</t>
  </si>
  <si>
    <t>제 10호표  형광등기구 설치(직부형)</t>
  </si>
  <si>
    <t>E10410017001001011</t>
  </si>
  <si>
    <t>제 11호표  형광등기구 설치(직부형)</t>
  </si>
  <si>
    <t>E10410017001001012</t>
  </si>
  <si>
    <t>제 12호표  형광등기구 설치(직부형)</t>
  </si>
  <si>
    <t>E10410017001001013</t>
  </si>
  <si>
    <t>제 13호표  형광등기구 설치(직부형)110W이하 X 2</t>
  </si>
  <si>
    <t>제 13호표  형광등기구 설치(직부형)</t>
  </si>
  <si>
    <t>E10410017001002001</t>
  </si>
  <si>
    <t>제 1호표  형광등기구 설치(펜던트형)10W이하 X 1</t>
  </si>
  <si>
    <t>제 1호표  형광등기구 설치(펜던트형)</t>
  </si>
  <si>
    <t>E10410017001002002</t>
  </si>
  <si>
    <t>제 2호표  형광등기구 설치(펜던트형)20W이하 X 1</t>
  </si>
  <si>
    <t>제 2호표  형광등기구 설치(펜던트형)</t>
  </si>
  <si>
    <t>E10410017001002003</t>
  </si>
  <si>
    <t>제 3호표  형광등기구 설치(펜던트형)20W이하 X 2</t>
  </si>
  <si>
    <t>제 3호표  형광등기구 설치(펜던트형)</t>
  </si>
  <si>
    <t>E10410017001002004</t>
  </si>
  <si>
    <t>제 4호표  형광등기구 설치(펜던트형)30W이하 X 1</t>
  </si>
  <si>
    <t>제 4호표  형광등기구 설치(펜던트형)</t>
  </si>
  <si>
    <t>E10410017001002005</t>
  </si>
  <si>
    <t>제 5호표  형광등기구 설치(펜던트형)40W이하 X 1</t>
  </si>
  <si>
    <t>제 5호표  형광등기구 설치(펜던트형)</t>
  </si>
  <si>
    <t>E10410017001002006</t>
  </si>
  <si>
    <t>제 6호표  형광등기구 설치(펜던트형)40W이하 X 2</t>
  </si>
  <si>
    <t>제 6호표  형광등기구 설치(펜던트형)</t>
  </si>
  <si>
    <t>E10410017001002007</t>
  </si>
  <si>
    <t>제 7호표  형광등기구 설치(펜던트형)40W이하 X 3</t>
  </si>
  <si>
    <t>제 7호표  형광등기구 설치(펜던트형)</t>
  </si>
  <si>
    <t>E10410017001002008</t>
  </si>
  <si>
    <t>제 8호표  형광등기구 설치(펜던트형)110W이하 X 1</t>
  </si>
  <si>
    <t>제 8호표  형광등기구 설치(펜던트형)</t>
  </si>
  <si>
    <t>E10410017001002009</t>
  </si>
  <si>
    <t>제 9호표  형광등기구 설치(펜던트형)110W이하 X 2</t>
  </si>
  <si>
    <t>제 9호표  형광등기구 설치(펜던트형)</t>
  </si>
  <si>
    <t>E10410017001003001</t>
  </si>
  <si>
    <t>제 1호표  형광등기구 설치(매입 및 반매입형)10W이하 X 1</t>
  </si>
  <si>
    <t>제 1호표  형광등기구 설치(매입 및 반매입형)</t>
  </si>
  <si>
    <t>E10410017001003002</t>
  </si>
  <si>
    <t>제 2호표  형광등기구 설치(매입 및 반매입형)20W이하 X 1</t>
  </si>
  <si>
    <t>제 2호표  형광등기구 설치(매입 및 반매입형)</t>
  </si>
  <si>
    <t>E10410017001003003</t>
  </si>
  <si>
    <t>제 3호표  형광등기구 설치(매입 및 반매입형)</t>
  </si>
  <si>
    <t>E10410017001003004</t>
  </si>
  <si>
    <t>제 4호표  형광등기구 설치(매입 및 반매입형)20W이하 X 3</t>
  </si>
  <si>
    <t>제 4호표  형광등기구 설치(매입 및 반매입형)</t>
  </si>
  <si>
    <t>E10410017001003005</t>
  </si>
  <si>
    <t>제 5호표  형광등기구 설치(매입 및 반매입형)20W이하 X 4</t>
  </si>
  <si>
    <t>제 5호표  형광등기구 설치(매입 및 반매입형)</t>
  </si>
  <si>
    <t>E10410017001003006</t>
  </si>
  <si>
    <t>제 6호표  형광등기구 설치(매입 및 반매입형)30W이하 X 1</t>
  </si>
  <si>
    <t>제 6호표  형광등기구 설치(매입 및 반매입형)</t>
  </si>
  <si>
    <t>E10410017001003007</t>
  </si>
  <si>
    <t>제 7호표  형광등기구 설치(매입 및 반매입형)30W이하 X 2</t>
  </si>
  <si>
    <t>제 7호표  형광등기구 설치(매입 및 반매입형)</t>
  </si>
  <si>
    <t>E10410017001003008</t>
  </si>
  <si>
    <t>제 8호표  형광등기구 설치(매입 및 반매입형)40W이하 X 1</t>
  </si>
  <si>
    <t>제 8호표  형광등기구 설치(매입 및 반매입형)</t>
  </si>
  <si>
    <t>E10410017001003009</t>
  </si>
  <si>
    <t>제 9호표  형광등기구 설치(매입 및 반매입형)</t>
  </si>
  <si>
    <t>E10410017001003010</t>
  </si>
  <si>
    <t>제 10호표  형광등기구 설치(매입 및 반매입형)40W이하 X 3</t>
  </si>
  <si>
    <t>제 10호표  형광등기구 설치(매입 및 반매입형)</t>
  </si>
  <si>
    <t>E10410017001003011</t>
  </si>
  <si>
    <t>제 11호표  형광등기구 설치(매입 및 반매입형)40W이하 X 4</t>
  </si>
  <si>
    <t>제 11호표  형광등기구 설치(매입 및 반매입형)</t>
  </si>
  <si>
    <t>E10410017001003012</t>
  </si>
  <si>
    <t>제 12호표  형광등기구 설치(매입 및 반매입형)110W이하 X 1</t>
  </si>
  <si>
    <t>제 12호표  형광등기구 설치(매입 및 반매입형)</t>
  </si>
  <si>
    <t>E10410017001003013</t>
  </si>
  <si>
    <t>제 13호표  형광등기구 설치(매입 및 반매입형)110W이하 X 2</t>
  </si>
  <si>
    <t>제 13호표  형광등기구 설치(매입 및 반매입형)</t>
  </si>
  <si>
    <t>E10410017004001001</t>
  </si>
  <si>
    <t>제 1호표  LED 등기구 설치(직부등)</t>
  </si>
  <si>
    <t>E10410017004001002</t>
  </si>
  <si>
    <t>제 2호표  LED 등기구 설치(직부등)25W 이하</t>
  </si>
  <si>
    <t>제 2호표  LED 등기구 설치(직부등)</t>
  </si>
  <si>
    <t>E10410017004001003</t>
  </si>
  <si>
    <t>제 3호표  LED 등기구 설치(직부등)35W 이하</t>
  </si>
  <si>
    <t>제 3호표  LED 등기구 설치(직부등)</t>
  </si>
  <si>
    <t>E10410017004001004</t>
  </si>
  <si>
    <t>제 4호표  LED 등기구 설치(직부등)45W 이하</t>
  </si>
  <si>
    <t>제 4호표  LED 등기구 설치(직부등)</t>
  </si>
  <si>
    <t>E10410017004001005</t>
  </si>
  <si>
    <t>제 5호표  LED 등기구 설치(직부등)55W 이하</t>
  </si>
  <si>
    <t>제 5호표  LED 등기구 설치(직부등)</t>
  </si>
  <si>
    <t>E10410017004002001</t>
  </si>
  <si>
    <t>제 1호표  LED 등기구 설치(펜던트)15W 이하</t>
  </si>
  <si>
    <t>제 1호표  LED 등기구 설치(펜던트)</t>
  </si>
  <si>
    <t>E10410017004002002</t>
  </si>
  <si>
    <t>제 2호표  LED 등기구 설치(펜던트)25W 이하</t>
  </si>
  <si>
    <t>제 2호표  LED 등기구 설치(펜던트)</t>
  </si>
  <si>
    <t>E10410017004002003</t>
  </si>
  <si>
    <t>제 3호표  LED 등기구 설치(펜던트)35W 이하</t>
  </si>
  <si>
    <t>제 3호표  LED 등기구 설치(펜던트)</t>
  </si>
  <si>
    <t>E10410017004002004</t>
  </si>
  <si>
    <t>제 4호표  LED 등기구 설치(펜던트)45W 이하</t>
  </si>
  <si>
    <t>제 4호표  LED 등기구 설치(펜던트)</t>
  </si>
  <si>
    <t>E10410017004003001</t>
  </si>
  <si>
    <t>E10410017004003002</t>
  </si>
  <si>
    <t>E10410017004003003</t>
  </si>
  <si>
    <t>E10410017004004001</t>
  </si>
  <si>
    <t>E10410017004004002</t>
  </si>
  <si>
    <t>E10410017004004003</t>
  </si>
  <si>
    <t>E10410017005001001</t>
  </si>
  <si>
    <t>제 1호표  LED 투광등기구 설치100W이하</t>
  </si>
  <si>
    <t>제 1호표  LED 투광등기구 설치</t>
  </si>
  <si>
    <t>E10410017005001002</t>
  </si>
  <si>
    <t>제 2호표  LED 투광등기구 설치150W이하</t>
  </si>
  <si>
    <t>제 2호표  LED 투광등기구 설치</t>
  </si>
  <si>
    <t>E10410017005001003</t>
  </si>
  <si>
    <t>제 3호표  LED 투광등기구 설치250W이하</t>
  </si>
  <si>
    <t>제 3호표  LED 투광등기구 설치</t>
  </si>
  <si>
    <t>E10410017006001001</t>
  </si>
  <si>
    <t>제 1호표  LED 보안등기구 설치50W이하</t>
  </si>
  <si>
    <t>제 1호표  LED 보안등기구 설치</t>
  </si>
  <si>
    <t>E10410017006001002</t>
  </si>
  <si>
    <t>제 2호표  LED 보안등기구 설치100W이하</t>
  </si>
  <si>
    <t>제 2호표  LED 보안등기구 설치</t>
  </si>
  <si>
    <t>E10410018001001001</t>
  </si>
  <si>
    <t>E10410018001001002</t>
  </si>
  <si>
    <t>E10410018001001003</t>
  </si>
  <si>
    <t>E10410018001001004</t>
  </si>
  <si>
    <t>제 4호표  방전등기구(투광기)300W 이하</t>
  </si>
  <si>
    <t>제 4호표  방전등기구(투광기)</t>
  </si>
  <si>
    <t>300W 이하</t>
  </si>
  <si>
    <t>E10410018001001005</t>
  </si>
  <si>
    <t>E10410018001001006</t>
  </si>
  <si>
    <t>제 6호표  방전등기구(투광기)700W 이하</t>
  </si>
  <si>
    <t>제 6호표  방전등기구(투광기)</t>
  </si>
  <si>
    <t>E10410018001001007</t>
  </si>
  <si>
    <t>E10410018001001008</t>
  </si>
  <si>
    <t>제 8호표  방전등기구(투광기)1kW 초과</t>
  </si>
  <si>
    <t>제 8호표  방전등기구(투광기)</t>
  </si>
  <si>
    <t>1kW 초과</t>
  </si>
  <si>
    <t>E10410018001003007</t>
  </si>
  <si>
    <t>제 7호표  방전등기구(현수등)1kW 이하</t>
  </si>
  <si>
    <t>제 7호표  방전등기구(현수등)</t>
  </si>
  <si>
    <t>E10410018001003008</t>
  </si>
  <si>
    <t>제 8호표  방전등기구(현수등)1kW 초과</t>
  </si>
  <si>
    <t>제 8호표  방전등기구(현수등)</t>
  </si>
  <si>
    <t>E10410018001004001</t>
  </si>
  <si>
    <t>제 1호표  방전등기구(매입등)100W 이하</t>
  </si>
  <si>
    <t>제 1호표  방전등기구(매입등)</t>
  </si>
  <si>
    <t>E10410018001004002</t>
  </si>
  <si>
    <t>제 2호표  방전등기구(매입등)200W 이하</t>
  </si>
  <si>
    <t>제 2호표  방전등기구(매입등)</t>
  </si>
  <si>
    <t>E10410018001004003</t>
  </si>
  <si>
    <t>제 3호표  방전등기구(매입등)250W 이하</t>
  </si>
  <si>
    <t>제 3호표  방전등기구(매입등)</t>
  </si>
  <si>
    <t>E10410018001004004</t>
  </si>
  <si>
    <t>제 4호표  방전등기구(매입등)300W 이하</t>
  </si>
  <si>
    <t>제 4호표  방전등기구(매입등)</t>
  </si>
  <si>
    <t>E10410018001004005</t>
  </si>
  <si>
    <t>제 5호표  방전등기구(매입등)400W 이하</t>
  </si>
  <si>
    <t>제 5호표  방전등기구(매입등)</t>
  </si>
  <si>
    <t>E10410018002001001</t>
  </si>
  <si>
    <t>E10410018002001002</t>
  </si>
  <si>
    <t>E10410018002001003</t>
  </si>
  <si>
    <t>E10410018002001004</t>
  </si>
  <si>
    <t>제 4호표  LED 가로등기구 설치250W 이하</t>
  </si>
  <si>
    <t>제 4호표  LED 가로등기구 설치</t>
  </si>
  <si>
    <t>E10410053001001001</t>
  </si>
  <si>
    <t>제 1호표  금속 덕트 설치(단면적)</t>
  </si>
  <si>
    <t>60 X 30㎜ 이하(18㎠)</t>
  </si>
  <si>
    <t>E10410053001001002</t>
  </si>
  <si>
    <t>제 2호표  금속 덕트 설치(단면적)</t>
  </si>
  <si>
    <t>100 X 50㎜ 이하(50㎠)</t>
  </si>
  <si>
    <t>E10410053001001003</t>
  </si>
  <si>
    <t>제 3호표  금속 덕트 설치(단면적)</t>
  </si>
  <si>
    <t>100X 100㎜ 이하(100㎠)</t>
  </si>
  <si>
    <t>E10410010001001001</t>
  </si>
  <si>
    <t>제 1호표  배선용 차단기(1P)용량 30AF 이하</t>
  </si>
  <si>
    <t>제 1호표  배선용 차단기(1P)</t>
  </si>
  <si>
    <t>E10410010001001002</t>
  </si>
  <si>
    <t>제 2호표  배선용 차단기(1P)용량 50AF 이하</t>
  </si>
  <si>
    <t>제 2호표  배선용 차단기(1P)</t>
  </si>
  <si>
    <t>E10410010001001003</t>
  </si>
  <si>
    <t>제 3호표  배선용 차단기(1P)용량 100AF 이하</t>
  </si>
  <si>
    <t>제 3호표  배선용 차단기(1P)</t>
  </si>
  <si>
    <t>E10410010001001004</t>
  </si>
  <si>
    <t>제 4호표  배선용 차단기(1P)용량 225AF 이하</t>
  </si>
  <si>
    <t>제 4호표  배선용 차단기(1P)</t>
  </si>
  <si>
    <t>E10410010001002001</t>
  </si>
  <si>
    <t>제 1호표  배선용 차단기(2P)용량 30AF 이하</t>
  </si>
  <si>
    <t>제 1호표  배선용 차단기(2P)</t>
  </si>
  <si>
    <t>E10410010001002002</t>
  </si>
  <si>
    <t>제 2호표  배선용 차단기(2P)용량 50AF 이하</t>
  </si>
  <si>
    <t>제 2호표  배선용 차단기(2P)</t>
  </si>
  <si>
    <t>E10410010001002003</t>
  </si>
  <si>
    <t>제 3호표  배선용 차단기(2P)용량 100AF 이하</t>
  </si>
  <si>
    <t>제 3호표  배선용 차단기(2P)</t>
  </si>
  <si>
    <t>E10410010001002004</t>
  </si>
  <si>
    <t>제 4호표  배선용 차단기(2P)용량 225AF 이하</t>
  </si>
  <si>
    <t>제 4호표  배선용 차단기(2P)</t>
  </si>
  <si>
    <t>E10410010001002005</t>
  </si>
  <si>
    <t>제 5호표  배선용 차단기(2P)용량 400AF 이하</t>
  </si>
  <si>
    <t>제 5호표  배선용 차단기(2P)</t>
  </si>
  <si>
    <t>E10410010001002006</t>
  </si>
  <si>
    <t>제 6호표  배선용 차단기(2P)용량 600AF 이하</t>
  </si>
  <si>
    <t>제 6호표  배선용 차단기(2P)</t>
  </si>
  <si>
    <t>E10410010001002007</t>
  </si>
  <si>
    <t>제 7호표  배선용 차단기(2P)용량 800AF 이하</t>
  </si>
  <si>
    <t>제 7호표  배선용 차단기(2P)</t>
  </si>
  <si>
    <t>E10410010001003001</t>
  </si>
  <si>
    <t>E10410010001003002</t>
  </si>
  <si>
    <t>E10410010001003003</t>
  </si>
  <si>
    <t>E10410010001003004</t>
  </si>
  <si>
    <t>E10410010001003005</t>
  </si>
  <si>
    <t>E10410010001003006</t>
  </si>
  <si>
    <t>E10410010001003007</t>
  </si>
  <si>
    <t>E10410011001001001</t>
  </si>
  <si>
    <t>제 1호표  배선용 차단기</t>
  </si>
  <si>
    <t>E10410011001001002</t>
  </si>
  <si>
    <t>제 2호표  배선용 차단기</t>
  </si>
  <si>
    <t>E10410011001001003</t>
  </si>
  <si>
    <t>제 3호표  배선용 차단기</t>
  </si>
  <si>
    <t>E10410011001001004</t>
  </si>
  <si>
    <t>제 4호표  배선용 차단기</t>
  </si>
  <si>
    <t>E10410011001001005</t>
  </si>
  <si>
    <t>제 5호표  배선용 차단기</t>
  </si>
  <si>
    <t>E10410011001001006</t>
  </si>
  <si>
    <t>제 6호표  배선용 차단기600AF 이하</t>
  </si>
  <si>
    <t>제 6호표  배선용 차단기</t>
  </si>
  <si>
    <t>E10410011001001007</t>
  </si>
  <si>
    <t>제 7호표  배선용 차단기</t>
  </si>
  <si>
    <t>M071200400100201</t>
  </si>
  <si>
    <t>누전차단기(ELB)(2)</t>
  </si>
  <si>
    <t>M071200400100801</t>
  </si>
  <si>
    <t>32GRc, 극수:2P2E 정격전류:16,20,32 차단전류(220V):1.5kA 분전반용</t>
  </si>
  <si>
    <t>M071200400100501</t>
  </si>
  <si>
    <t>M071200400101101</t>
  </si>
  <si>
    <t>32GRd, 극수:2P2E 정격전류:16,20,32 차단전류(220V):2.5kA 분전반용</t>
  </si>
  <si>
    <t>M071200400100301</t>
  </si>
  <si>
    <t>M071200400100901</t>
  </si>
  <si>
    <t>32GRhc, 극수:2P2E 정격전류:16,20,32 차단전류(220V):1.5kA 분전반용</t>
  </si>
  <si>
    <t>M071200400100601</t>
  </si>
  <si>
    <t>M071200400101201</t>
  </si>
  <si>
    <t>M071200400100101</t>
  </si>
  <si>
    <t>M071200400100701</t>
  </si>
  <si>
    <t>M071200400100401</t>
  </si>
  <si>
    <t>M071200400101001</t>
  </si>
  <si>
    <t>32GRhd, 극수:2P2E 정격전류:16,20,32 차단전류(220V):2.5kA 분전반용</t>
  </si>
  <si>
    <t>32KGRc, 극수:2P2E 정격전류:16,20,32 차단전류(220V):1.5kA 분전반용</t>
  </si>
  <si>
    <t>32KGRd, 극수:2P2E 정격전류:16,20,32 차단전류(220V):2.5kA 분전반용</t>
  </si>
  <si>
    <t>M071200400101701</t>
  </si>
  <si>
    <t>M071200400101801</t>
  </si>
  <si>
    <t>M071200400101301</t>
  </si>
  <si>
    <t>M071200400101401</t>
  </si>
  <si>
    <t>M071200400101501</t>
  </si>
  <si>
    <t>M071200400101601</t>
  </si>
  <si>
    <t>M071200400300801</t>
  </si>
  <si>
    <t>M071200400300901</t>
  </si>
  <si>
    <t>M071200400301001</t>
  </si>
  <si>
    <t>M071200400301101</t>
  </si>
  <si>
    <t>M071200400300201</t>
  </si>
  <si>
    <t>M071200400300301</t>
  </si>
  <si>
    <t>M071200400301201</t>
  </si>
  <si>
    <t>M071200400301301</t>
  </si>
  <si>
    <t>M071200400300401</t>
  </si>
  <si>
    <t>M071200400300501</t>
  </si>
  <si>
    <t>M071200400301401</t>
  </si>
  <si>
    <t>M071200400300601</t>
  </si>
  <si>
    <t>M071200400300701</t>
  </si>
  <si>
    <t>M071200400301501</t>
  </si>
  <si>
    <t>M071200400102301</t>
  </si>
  <si>
    <t>M071200400102401</t>
  </si>
  <si>
    <t>M071200400300101</t>
  </si>
  <si>
    <t>M071200400101901</t>
  </si>
  <si>
    <t>M071200400102001</t>
  </si>
  <si>
    <t>M071200400102101</t>
  </si>
  <si>
    <t>M071200400102201</t>
  </si>
  <si>
    <t>EBS102Fb, 극수:2P2E 정격전류:60,75,100 차단전류(220V):10kA 분전반용</t>
  </si>
  <si>
    <t>EBS103Fb, 극수:2P3E 정격전류:60,75,100 차단전류(220V):10kA 분전반용</t>
  </si>
  <si>
    <t>EBS32c, 극수:2P 정격전류:15~30 차단전류(460V):14kA</t>
  </si>
  <si>
    <t>EBS32Fb, 극수:2P2E 정격전류:3,5,10,15,20,30 차단전류(220V):5kA 분전반용</t>
  </si>
  <si>
    <t>EBS33Fb, 극수:2P3E 정격전류:3,5,10,15,20,30 차단전류(220V):5kA 분전반용</t>
  </si>
  <si>
    <t>EBS52Fb, 극수:2P2E 정격전류:5,10,15,20,30,40,50 차단전류(220V):5kA 분전반용</t>
  </si>
  <si>
    <t>EBS53Fb, 극수:2P3E 정격전류:5,10,15,20,30,40,50 차단전류(220V):5kA 분전반용</t>
  </si>
  <si>
    <t>M070200200100101</t>
  </si>
  <si>
    <t>M070200200100501</t>
  </si>
  <si>
    <t>M070200200101201</t>
  </si>
  <si>
    <t>M070200200101301</t>
  </si>
  <si>
    <t>M070200200100601</t>
  </si>
  <si>
    <t>M070200200101401</t>
  </si>
  <si>
    <t>M070200200100201</t>
  </si>
  <si>
    <t>M070200200101501</t>
  </si>
  <si>
    <t>M070200200100701</t>
  </si>
  <si>
    <t>M070200200101601</t>
  </si>
  <si>
    <t>M070200200100801</t>
  </si>
  <si>
    <t>M070200200100301</t>
  </si>
  <si>
    <t>M070200200100901</t>
  </si>
  <si>
    <t>M070200200100401</t>
  </si>
  <si>
    <t>M070200200101001</t>
  </si>
  <si>
    <t>M070200200101101</t>
  </si>
  <si>
    <t>M070200200102001</t>
  </si>
  <si>
    <t>M070200200102401</t>
  </si>
  <si>
    <t>M070200200102501</t>
  </si>
  <si>
    <t>M070200200102101</t>
  </si>
  <si>
    <t>M070200200102601</t>
  </si>
  <si>
    <t>M070200200102701</t>
  </si>
  <si>
    <t>M070200200102201</t>
  </si>
  <si>
    <t>M070200200102801</t>
  </si>
  <si>
    <t>M070200200102301</t>
  </si>
  <si>
    <t>M070200200103601</t>
  </si>
  <si>
    <t>M070200200104001</t>
  </si>
  <si>
    <t>M070200200104101</t>
  </si>
  <si>
    <t>M070200200103701</t>
  </si>
  <si>
    <t>M070200200104201</t>
  </si>
  <si>
    <t>M070200200104301</t>
  </si>
  <si>
    <t>M070200200103801</t>
  </si>
  <si>
    <t>M070200200104401</t>
  </si>
  <si>
    <t>M070200200103901</t>
  </si>
  <si>
    <t>M070200200104501</t>
  </si>
  <si>
    <t>M070200200105201</t>
  </si>
  <si>
    <t>M070200200105601</t>
  </si>
  <si>
    <t>M070200200105701</t>
  </si>
  <si>
    <t>M070200200105301</t>
  </si>
  <si>
    <t>M070200200105801</t>
  </si>
  <si>
    <t>M070200200105901</t>
  </si>
  <si>
    <t>M070200200105401</t>
  </si>
  <si>
    <t>M070200200106001</t>
  </si>
  <si>
    <t>M070200200105501</t>
  </si>
  <si>
    <t>M070200200106101</t>
  </si>
  <si>
    <t>M070200200106201</t>
  </si>
  <si>
    <t>M070101000100201</t>
  </si>
  <si>
    <t>비닐절연비닐캡타이어케이블(VCT)(2)</t>
  </si>
  <si>
    <t>M070101000100101</t>
  </si>
  <si>
    <t>M070101000100301</t>
  </si>
  <si>
    <t>M070101000100401</t>
  </si>
  <si>
    <t>M070101000100501</t>
  </si>
  <si>
    <t>M070101000100701</t>
  </si>
  <si>
    <t>M070101000100601</t>
  </si>
  <si>
    <t>M070101000100801</t>
  </si>
  <si>
    <t>M070101000100901</t>
  </si>
  <si>
    <t>M070101000101101</t>
  </si>
  <si>
    <t>M070101000101001</t>
  </si>
  <si>
    <t>M070101000101201</t>
  </si>
  <si>
    <t>M070101000101301</t>
  </si>
  <si>
    <t>M070101000101501</t>
  </si>
  <si>
    <t>M070101000101401</t>
  </si>
  <si>
    <t>M070101000101601</t>
  </si>
  <si>
    <t>M070100900100201</t>
  </si>
  <si>
    <t>비닐절연비닐캡타이어케이블(VCT)(1)</t>
  </si>
  <si>
    <t>M070100900100601</t>
  </si>
  <si>
    <t>M070100900100701</t>
  </si>
  <si>
    <t>M070100900100101</t>
  </si>
  <si>
    <t>M070100900100301</t>
  </si>
  <si>
    <t>M070100900100801</t>
  </si>
  <si>
    <t>M070100900100901</t>
  </si>
  <si>
    <t>M070100900100401</t>
  </si>
  <si>
    <t>M070100900100501</t>
  </si>
  <si>
    <t>M070100900101101</t>
  </si>
  <si>
    <t>M070100900101501</t>
  </si>
  <si>
    <t>M070100900101601</t>
  </si>
  <si>
    <t>M070100900101001</t>
  </si>
  <si>
    <t>M070100900101201</t>
  </si>
  <si>
    <t>M070100900101701</t>
  </si>
  <si>
    <t>M070100900101801</t>
  </si>
  <si>
    <t>M070100900101301</t>
  </si>
  <si>
    <t>M070100900101401</t>
  </si>
  <si>
    <t>M070100900102001</t>
  </si>
  <si>
    <t>M070100900102401</t>
  </si>
  <si>
    <t>M070100900102501</t>
  </si>
  <si>
    <t>M070100900101901</t>
  </si>
  <si>
    <t>M070100900102101</t>
  </si>
  <si>
    <t>M070100900102601</t>
  </si>
  <si>
    <t>M070100900102701</t>
  </si>
  <si>
    <t>M070100900102201</t>
  </si>
  <si>
    <t>M070100900102301</t>
  </si>
  <si>
    <t>M070100900102901</t>
  </si>
  <si>
    <t>M070100900103301</t>
  </si>
  <si>
    <t>M070100900102801</t>
  </si>
  <si>
    <t>M070100900103001</t>
  </si>
  <si>
    <t>M070100900103101</t>
  </si>
  <si>
    <t>M070100900103201</t>
  </si>
  <si>
    <t>M070100900103501</t>
  </si>
  <si>
    <t>M070100900103401</t>
  </si>
  <si>
    <t>M070100900103601</t>
  </si>
  <si>
    <t>M070100900103701</t>
  </si>
  <si>
    <t>M070100900103801</t>
  </si>
  <si>
    <t>M070802100900201</t>
  </si>
  <si>
    <t>파이프접속콘넥터(방수)</t>
  </si>
  <si>
    <t>16㎜, SWPCZ,GWPCZ (아연)</t>
  </si>
  <si>
    <t>M070802101200201</t>
  </si>
  <si>
    <t>22㎜, SWPCZ,GWPCZ (아연)</t>
  </si>
  <si>
    <t>M070802101500201</t>
  </si>
  <si>
    <t>28㎜, SWPCZ,GWPCZ (아연)</t>
  </si>
  <si>
    <t>M070802101800201</t>
  </si>
  <si>
    <t>36㎜, SWPCZ,GWPCZ (아연)</t>
  </si>
  <si>
    <t>M070802102100201</t>
  </si>
  <si>
    <t>54㎜, SWPCZ,GWPCZ (아연)</t>
  </si>
  <si>
    <t>M070800715000101</t>
  </si>
  <si>
    <t>노말밴드</t>
  </si>
  <si>
    <t>104㎜, ㉿</t>
  </si>
  <si>
    <t>M070800700100101</t>
  </si>
  <si>
    <t>16㎜, ㉿</t>
  </si>
  <si>
    <t>M070800702100101</t>
  </si>
  <si>
    <t>22㎜, ㉿</t>
  </si>
  <si>
    <t>M070800704100101</t>
  </si>
  <si>
    <t>28㎜, ㉿</t>
  </si>
  <si>
    <t>M070800706100101</t>
  </si>
  <si>
    <t>36㎜, ㉿</t>
  </si>
  <si>
    <t>M070800708000101</t>
  </si>
  <si>
    <t>42㎜, ㉿</t>
  </si>
  <si>
    <t>M070800709800101</t>
  </si>
  <si>
    <t>54㎜, ㉿</t>
  </si>
  <si>
    <t>M070800711600101</t>
  </si>
  <si>
    <t>70㎜, ㉿</t>
  </si>
  <si>
    <t>M070800713300101</t>
  </si>
  <si>
    <t>82㎜, ㉿</t>
  </si>
  <si>
    <t>M070800716000101</t>
  </si>
  <si>
    <t>M070800716000201</t>
  </si>
  <si>
    <t>곤지레다</t>
  </si>
  <si>
    <t>104㎜, 주철 L형</t>
  </si>
  <si>
    <t>104㎜, 주철 T형</t>
  </si>
  <si>
    <t>M070800701400101</t>
  </si>
  <si>
    <t>M070800701400201</t>
  </si>
  <si>
    <t>16㎜, 주철 L형</t>
  </si>
  <si>
    <t>16㎜, 주철 T형</t>
  </si>
  <si>
    <t>M070800703400101</t>
  </si>
  <si>
    <t>22㎜, 주철 L형</t>
  </si>
  <si>
    <t>M070800703400201</t>
  </si>
  <si>
    <t>22㎜, 주철 T형</t>
  </si>
  <si>
    <t>M070800705400101</t>
  </si>
  <si>
    <t>M070800705400201</t>
  </si>
  <si>
    <t>28㎜, 주철 L형</t>
  </si>
  <si>
    <t>28㎜, 주철 T형</t>
  </si>
  <si>
    <t>M070800707300101</t>
  </si>
  <si>
    <t>M070800707300201</t>
  </si>
  <si>
    <t>36㎜, 주철 L형</t>
  </si>
  <si>
    <t>36㎜, 주철 T형</t>
  </si>
  <si>
    <t>M070800709100101</t>
  </si>
  <si>
    <t>M070800709100201</t>
  </si>
  <si>
    <t>42㎜, 주철 L형</t>
  </si>
  <si>
    <t>42㎜, 주철 T형</t>
  </si>
  <si>
    <t>M070800710900101</t>
  </si>
  <si>
    <t>54㎜, 주철 L형</t>
  </si>
  <si>
    <t>M070800710900201</t>
  </si>
  <si>
    <t>54㎜, 주철 T형</t>
  </si>
  <si>
    <t>M070800712600101</t>
  </si>
  <si>
    <t>M070800712600201</t>
  </si>
  <si>
    <t>70㎜, 주철 L형</t>
  </si>
  <si>
    <t>70㎜, 주철 T형</t>
  </si>
  <si>
    <t>M070800714300101</t>
  </si>
  <si>
    <t>82㎜, 주철 L형</t>
  </si>
  <si>
    <t>M070800714300201</t>
  </si>
  <si>
    <t>82㎜, 주철 T형</t>
  </si>
  <si>
    <t>M070800716500101</t>
  </si>
  <si>
    <t>JI FLEX 유니온커플링</t>
  </si>
  <si>
    <t>M070800701900101</t>
  </si>
  <si>
    <t>M070800703900101</t>
  </si>
  <si>
    <t>M070800705900101</t>
  </si>
  <si>
    <t>M070800707800101</t>
  </si>
  <si>
    <t>M070800709600101</t>
  </si>
  <si>
    <t>M070800711400101</t>
  </si>
  <si>
    <t>M070800713100101</t>
  </si>
  <si>
    <t>M070800714800101</t>
  </si>
  <si>
    <t>M071901000300101</t>
  </si>
  <si>
    <t>콘센트</t>
  </si>
  <si>
    <t>M071901000100101</t>
  </si>
  <si>
    <t>M071901000100201</t>
  </si>
  <si>
    <t>M071901000100301</t>
  </si>
  <si>
    <t>M071901000200101</t>
  </si>
  <si>
    <t>M071901000200201</t>
  </si>
  <si>
    <t>M071901000200301</t>
  </si>
  <si>
    <t>M071901000200401</t>
  </si>
  <si>
    <t>M071901000200501</t>
  </si>
  <si>
    <t>M071901000200601</t>
  </si>
  <si>
    <t>M071901000200701</t>
  </si>
  <si>
    <t>M071901000200801</t>
  </si>
  <si>
    <t>M071901000200901</t>
  </si>
  <si>
    <t>M071901000201001</t>
  </si>
  <si>
    <t>M071901000201101</t>
  </si>
  <si>
    <t>M071901000201201</t>
  </si>
  <si>
    <t>M071901000300201</t>
  </si>
  <si>
    <t>M071901000300301</t>
  </si>
  <si>
    <t>M071901000300401</t>
  </si>
  <si>
    <t>M071901000300501</t>
  </si>
  <si>
    <t>M071901000300601</t>
  </si>
  <si>
    <t>노출 4P 30A (걸림)</t>
  </si>
  <si>
    <t>노출접 2구(신형)</t>
  </si>
  <si>
    <t>노출접 3구(신형)</t>
  </si>
  <si>
    <t>M071901000100401</t>
  </si>
  <si>
    <t>M071901000100501</t>
  </si>
  <si>
    <t>M071900100100301</t>
  </si>
  <si>
    <t>M071900100100201</t>
  </si>
  <si>
    <t>M071900100100401</t>
  </si>
  <si>
    <t>플러그 및 기타배선기구</t>
  </si>
  <si>
    <t>M071900100100501</t>
  </si>
  <si>
    <t>M071900100100601</t>
  </si>
  <si>
    <t>M071900100100901</t>
  </si>
  <si>
    <t>M071900100100701</t>
  </si>
  <si>
    <t>M071900100100801</t>
  </si>
  <si>
    <t>M071900100100101</t>
  </si>
  <si>
    <t>M071900100101001</t>
  </si>
  <si>
    <t>M071900100101101</t>
  </si>
  <si>
    <t>최소인건비</t>
    <phoneticPr fontId="6" type="noConversion"/>
  </si>
  <si>
    <t>M071400101200201</t>
  </si>
  <si>
    <t>분전반 · 계량기함</t>
  </si>
  <si>
    <t>TD STEEL 분전반 박스</t>
  </si>
  <si>
    <t>500×600×160, 1.6T</t>
  </si>
  <si>
    <t>M071400101200301</t>
  </si>
  <si>
    <t>500×800×160, 1.6T</t>
  </si>
  <si>
    <t>M071400101200401</t>
  </si>
  <si>
    <t>500×900×160, 1.6T</t>
  </si>
  <si>
    <t>M071400101200801</t>
  </si>
  <si>
    <t>550×1,000×160, 1.6T</t>
  </si>
  <si>
    <t>M071400101200501</t>
  </si>
  <si>
    <t>550×600×160, 1.6T</t>
  </si>
  <si>
    <t>M071400101200601</t>
  </si>
  <si>
    <t>550×700×160, 1.6T</t>
  </si>
  <si>
    <t>M071400101200701</t>
  </si>
  <si>
    <t>550×800×160, 1.6T</t>
  </si>
  <si>
    <t>M071400101201201</t>
  </si>
  <si>
    <t>600×1,000×160, 1.6T</t>
  </si>
  <si>
    <t>M071400101201301</t>
  </si>
  <si>
    <t>600×1,200×200, 1.6T</t>
  </si>
  <si>
    <t>M071400101200901</t>
  </si>
  <si>
    <t>600×700×160, 1.6T</t>
  </si>
  <si>
    <t>M071400101201001</t>
  </si>
  <si>
    <t>600×800×160, 1.6T</t>
  </si>
  <si>
    <t>M071400101201101</t>
  </si>
  <si>
    <t>600×900×160, 1.6T</t>
  </si>
  <si>
    <t>M071400101201501</t>
  </si>
  <si>
    <t>650×1,000×160, 1.6T</t>
  </si>
  <si>
    <t>M071400101201601</t>
  </si>
  <si>
    <t>650×1,100×160, 1.6T</t>
  </si>
  <si>
    <t>M071400101201701</t>
  </si>
  <si>
    <t>650×1,200×200, 1.6T</t>
  </si>
  <si>
    <t>M071400101201401</t>
  </si>
  <si>
    <t>650×800×160, 1.6T</t>
  </si>
  <si>
    <t>M071400101202001</t>
  </si>
  <si>
    <t>700×1,000×160, 1.6T</t>
  </si>
  <si>
    <t>M071400101202101</t>
  </si>
  <si>
    <t>700×1,100×160, 1.6T</t>
  </si>
  <si>
    <t>M071400101202201</t>
  </si>
  <si>
    <t>700×1,200×200, 1.6T</t>
  </si>
  <si>
    <t>M071400101201801</t>
  </si>
  <si>
    <t>700×800×160, 1.6T</t>
  </si>
  <si>
    <t>M071400101201901</t>
  </si>
  <si>
    <t>700×900×160, 1.6T</t>
  </si>
  <si>
    <t>M071400101202401</t>
  </si>
  <si>
    <t>800×1,000×200, 1.6T</t>
  </si>
  <si>
    <t>M071400101202501</t>
  </si>
  <si>
    <t>800×1,200×200, 1.6T</t>
  </si>
  <si>
    <t>M071400101202601</t>
  </si>
  <si>
    <t>800×1,400×200, 1.6T</t>
  </si>
  <si>
    <t>M071400101202701</t>
  </si>
  <si>
    <t>800×1,600×250, 1.6T</t>
  </si>
  <si>
    <t>M071400101202801</t>
  </si>
  <si>
    <t>800×1,800×250, 1.6T</t>
  </si>
  <si>
    <t>M071400101202301</t>
  </si>
  <si>
    <t>800×900×160, 1.6T</t>
  </si>
  <si>
    <t>M071400101202901</t>
  </si>
  <si>
    <t>900×1,800×250, 1.6T</t>
  </si>
  <si>
    <t>M071400101300101</t>
  </si>
  <si>
    <t>STEEL 매입 박스</t>
  </si>
  <si>
    <t>300×400×150, 1.6T</t>
  </si>
  <si>
    <t>M071400101300201</t>
  </si>
  <si>
    <t>400×400×150, 1.6T</t>
  </si>
  <si>
    <t>M071400101300301</t>
  </si>
  <si>
    <t>M071400101200101</t>
  </si>
  <si>
    <t>400×500×150, 1.6T</t>
  </si>
  <si>
    <t>400×500×160, 1.6T</t>
  </si>
  <si>
    <t>M071400101300401</t>
  </si>
  <si>
    <t>500×500×150, 1.6T</t>
  </si>
  <si>
    <t>M071400101300501</t>
  </si>
  <si>
    <t>500×600×150, 1.6T</t>
  </si>
  <si>
    <t>M071400101300601</t>
  </si>
  <si>
    <t>500×700×150, 1.6T</t>
  </si>
  <si>
    <t>M071400101300701</t>
  </si>
  <si>
    <t>500×800×150, 1.6T</t>
  </si>
  <si>
    <t>M071400101300801</t>
  </si>
  <si>
    <t>500×900×150, 1.6T</t>
  </si>
  <si>
    <t>M071400101301201</t>
  </si>
  <si>
    <t>550×1,000×150, 1.6T</t>
  </si>
  <si>
    <t>M071400101300901</t>
  </si>
  <si>
    <t>550×600×150, 1.6T</t>
  </si>
  <si>
    <t>M071400101301001</t>
  </si>
  <si>
    <t>550×700×150, 1.6T</t>
  </si>
  <si>
    <t>M071400101301101</t>
  </si>
  <si>
    <t>550×800×150, 1.6T</t>
  </si>
  <si>
    <t>M071400101301701</t>
  </si>
  <si>
    <t>600×1,000×150, 1.6T</t>
  </si>
  <si>
    <t>M071400101301801</t>
  </si>
  <si>
    <t>600×1,200×150, 1.6T</t>
  </si>
  <si>
    <t>M071400101301301</t>
  </si>
  <si>
    <t>600×600×150, 1.6T</t>
  </si>
  <si>
    <t>M071400101301401</t>
  </si>
  <si>
    <t>600×700×150, 1.6T</t>
  </si>
  <si>
    <t>M071400101301501</t>
  </si>
  <si>
    <t>600×800×150, 1.6T</t>
  </si>
  <si>
    <t>M071400101301601</t>
  </si>
  <si>
    <t>600×900×150, 1.6T</t>
  </si>
  <si>
    <t>M071400101302001</t>
  </si>
  <si>
    <t>650×1,000×150, 1.6T</t>
  </si>
  <si>
    <t>M071400101302101</t>
  </si>
  <si>
    <t>650×1,100×150, 1.6T</t>
  </si>
  <si>
    <t>M071400101302201</t>
  </si>
  <si>
    <t>650×1,200×150, 1.6T</t>
  </si>
  <si>
    <t>M071400101301901</t>
  </si>
  <si>
    <t>650×800×150, 1.6T</t>
  </si>
  <si>
    <t>M071400101302501</t>
  </si>
  <si>
    <t>700×1,000×150, 1.6T</t>
  </si>
  <si>
    <t>M071400101302601</t>
  </si>
  <si>
    <t>700×1,200×170, 1.6T</t>
  </si>
  <si>
    <t>M071400101302301</t>
  </si>
  <si>
    <t>M071400101302401</t>
  </si>
  <si>
    <t>700×800×150, 1.6T</t>
  </si>
  <si>
    <t>700×900×150, 1.6T</t>
  </si>
  <si>
    <t>M071400101302801</t>
  </si>
  <si>
    <t>M071400101302901</t>
  </si>
  <si>
    <t>M071400101303001</t>
  </si>
  <si>
    <t>800×1,000×170, 1.6T</t>
  </si>
  <si>
    <t>800×1,200×170, 1.6T</t>
  </si>
  <si>
    <t>800×1,300×170, 1.6T</t>
  </si>
  <si>
    <t>M071400101302701</t>
  </si>
  <si>
    <t>800×900×150, 1.6T</t>
  </si>
  <si>
    <t>사다리보조자</t>
    <phoneticPr fontId="6" type="noConversion"/>
  </si>
  <si>
    <t>안전관리자</t>
    <phoneticPr fontId="6" type="noConversion"/>
  </si>
  <si>
    <t>D03421</t>
  </si>
  <si>
    <t>D03422</t>
  </si>
  <si>
    <t>D03423</t>
  </si>
  <si>
    <t>D03424</t>
  </si>
  <si>
    <t>D03425</t>
  </si>
  <si>
    <t>D03426</t>
  </si>
  <si>
    <t>D03431</t>
  </si>
  <si>
    <t>D03432</t>
  </si>
  <si>
    <t>D00376</t>
  </si>
  <si>
    <t>10SQ</t>
  </si>
  <si>
    <t>D00377</t>
  </si>
  <si>
    <t>16SQ</t>
  </si>
  <si>
    <t>D00378</t>
  </si>
  <si>
    <t>25SQ</t>
  </si>
  <si>
    <t>D00379</t>
  </si>
  <si>
    <t>35SQ</t>
  </si>
  <si>
    <t>D00380</t>
  </si>
  <si>
    <t>50SQ</t>
  </si>
  <si>
    <t>D00381</t>
  </si>
  <si>
    <t>70SQ</t>
  </si>
  <si>
    <t>D00382</t>
  </si>
  <si>
    <t>95SQ</t>
  </si>
  <si>
    <t>D00383</t>
  </si>
  <si>
    <t>120SQ</t>
  </si>
  <si>
    <t>D00384</t>
  </si>
  <si>
    <t>150SQ</t>
  </si>
  <si>
    <t>D00385</t>
  </si>
  <si>
    <t>185SQ</t>
  </si>
  <si>
    <t>D00386</t>
  </si>
  <si>
    <t>240SQ</t>
  </si>
  <si>
    <t>D00387</t>
  </si>
  <si>
    <t>제 12호표  옥내(관내) 배선300㎟ 이하</t>
  </si>
  <si>
    <t>300SQ</t>
  </si>
  <si>
    <t>D00388</t>
  </si>
  <si>
    <t>제 14호표  옥내(관내) 배선400㎟ 이하</t>
  </si>
  <si>
    <t>400SQ</t>
  </si>
  <si>
    <t>D06090</t>
  </si>
  <si>
    <t>D01240</t>
  </si>
  <si>
    <t>제 2호표  나이프 스위치(3P)용량 60A 이하</t>
    <phoneticPr fontId="6" type="noConversion"/>
  </si>
  <si>
    <t>L002</t>
  </si>
  <si>
    <t>보통인부</t>
  </si>
  <si>
    <t>인력운반공</t>
    <phoneticPr fontId="6" type="noConversion"/>
  </si>
  <si>
    <t>L045</t>
    <phoneticPr fontId="6" type="noConversion"/>
  </si>
  <si>
    <t>화기감시자</t>
    <phoneticPr fontId="6" type="noConversion"/>
  </si>
  <si>
    <t>M070600302501501</t>
  </si>
  <si>
    <t>M070600302501601</t>
  </si>
  <si>
    <t>M070600302501701</t>
  </si>
  <si>
    <t>M070600302501801</t>
  </si>
  <si>
    <t>M070600302501901</t>
  </si>
  <si>
    <t>M070600302502001</t>
  </si>
  <si>
    <t>M070600302502101</t>
  </si>
  <si>
    <t>M070600302502201</t>
  </si>
  <si>
    <t>M070600302502301</t>
  </si>
  <si>
    <t>M070600302502401</t>
  </si>
  <si>
    <t>M070600302502501</t>
  </si>
  <si>
    <t>3C, 1.5SQ</t>
  </si>
  <si>
    <t>4C, 1.5SQ</t>
  </si>
  <si>
    <t>5C, 1.5SQ</t>
  </si>
  <si>
    <t>7C, 1.5SQ</t>
  </si>
  <si>
    <t>8C, 1.5SQ</t>
  </si>
  <si>
    <t>10C, 1.5SQ</t>
  </si>
  <si>
    <t>12C, 1.5SQ</t>
  </si>
  <si>
    <t>15C, 1.5SQ</t>
  </si>
  <si>
    <t>20C, 1.5SQ</t>
  </si>
  <si>
    <t>25C, 1.5SQ</t>
  </si>
  <si>
    <t>M070800701800101</t>
  </si>
  <si>
    <t>JI FLEX 아연방수콘박스타입</t>
  </si>
  <si>
    <t>M070800703800101</t>
  </si>
  <si>
    <t>M070800705800101</t>
  </si>
  <si>
    <t>M070800707700101</t>
  </si>
  <si>
    <t>M070800709500101</t>
  </si>
  <si>
    <t>M070800711300101</t>
  </si>
  <si>
    <t>M070800713000101</t>
  </si>
  <si>
    <t>M070800714700101</t>
  </si>
  <si>
    <t>M070800716400101</t>
  </si>
  <si>
    <t>M070800900900101</t>
  </si>
  <si>
    <t>노출배관용부품(전선관용)</t>
  </si>
  <si>
    <t>승압16㎜, 1방출</t>
  </si>
  <si>
    <t>M070800900900201</t>
  </si>
  <si>
    <t>승압16㎜, 2방출</t>
  </si>
  <si>
    <t>M070800901000101</t>
  </si>
  <si>
    <t>M070800901000201</t>
  </si>
  <si>
    <t>M070800901100101</t>
  </si>
  <si>
    <t>승압22㎜, 1방출</t>
  </si>
  <si>
    <t>M070800901100201</t>
  </si>
  <si>
    <t>승압22㎜, 2방출</t>
  </si>
  <si>
    <t>M070800901200101</t>
  </si>
  <si>
    <t>M070800901200201</t>
  </si>
  <si>
    <t>M070900400900101</t>
  </si>
  <si>
    <t>M070900400900201</t>
  </si>
  <si>
    <t>M070900400900301</t>
  </si>
  <si>
    <t>M070900401000101</t>
  </si>
  <si>
    <t>아우트레트박스(연결)</t>
  </si>
  <si>
    <t>M070900500100101</t>
  </si>
  <si>
    <t>M070900500100201</t>
  </si>
  <si>
    <t>M070900500100301</t>
  </si>
  <si>
    <t>M070900500100401</t>
  </si>
  <si>
    <t>M070900500100501</t>
  </si>
  <si>
    <t>M070900500100601</t>
  </si>
  <si>
    <t>M070900500100701</t>
  </si>
  <si>
    <t>M070900500100801</t>
  </si>
  <si>
    <t>M070900500100901</t>
  </si>
  <si>
    <t>M070900500101001</t>
  </si>
  <si>
    <t>M070900500101101</t>
  </si>
  <si>
    <t>M070900500101201</t>
  </si>
  <si>
    <t>M070900500101301</t>
  </si>
  <si>
    <t>M070900500101401</t>
  </si>
  <si>
    <t>M070900500101501</t>
  </si>
  <si>
    <t>M070900500101601</t>
  </si>
  <si>
    <t>M070900500101701</t>
  </si>
  <si>
    <t>M070900500101801</t>
  </si>
  <si>
    <t>M070900500101901</t>
  </si>
  <si>
    <t>M070900500102001</t>
  </si>
  <si>
    <t>M070900500102101</t>
  </si>
  <si>
    <t>M070900500102201</t>
  </si>
  <si>
    <t>M071900702300101</t>
  </si>
  <si>
    <t>스위치</t>
  </si>
  <si>
    <t>네오,</t>
  </si>
  <si>
    <t>M071900702400101</t>
  </si>
  <si>
    <t>2구 스위치</t>
  </si>
  <si>
    <t>M071900702500101</t>
  </si>
  <si>
    <t>3구 스위치</t>
  </si>
  <si>
    <t>M071900702600101</t>
  </si>
  <si>
    <t>M071900702700101</t>
  </si>
  <si>
    <t>M071900702800101</t>
  </si>
  <si>
    <t>M071900702900101</t>
  </si>
  <si>
    <t>M071900703000101</t>
  </si>
  <si>
    <t>M071900703100101</t>
  </si>
  <si>
    <t>M071900703200101</t>
  </si>
  <si>
    <t>2구 스위치(램프)</t>
  </si>
  <si>
    <t>M071900703300101</t>
  </si>
  <si>
    <t>3구 스위치(램프)</t>
  </si>
  <si>
    <t>M071900703400101</t>
  </si>
  <si>
    <t>M071900703500101</t>
  </si>
  <si>
    <t>M071900703600101</t>
  </si>
  <si>
    <t>M071900703700101</t>
  </si>
  <si>
    <t>M071900703800101</t>
  </si>
  <si>
    <t>M071900703900101</t>
  </si>
  <si>
    <t>M071900704000101</t>
  </si>
  <si>
    <t>M071900704100101</t>
  </si>
  <si>
    <t>M071900704200101</t>
  </si>
  <si>
    <t>M071900704300101</t>
  </si>
  <si>
    <t>M071900704400101</t>
  </si>
  <si>
    <t>M070900603800101</t>
  </si>
  <si>
    <t>H/CROSS</t>
  </si>
  <si>
    <t>M070900603800201</t>
  </si>
  <si>
    <t>M070900603800301</t>
  </si>
  <si>
    <t>M070900603800401</t>
  </si>
  <si>
    <t>M070900603800501</t>
  </si>
  <si>
    <t>M070900603800601</t>
  </si>
  <si>
    <t>LADDER TRAY(사다리형, 용융도금) 2.3t / 렁간격 200㎜</t>
  </si>
  <si>
    <t>M070900800301001</t>
  </si>
  <si>
    <t>S/T COVER, 800W×100H</t>
  </si>
  <si>
    <t>M070900800301101</t>
  </si>
  <si>
    <t>S/T COVER, 900W×100H</t>
  </si>
  <si>
    <t>M070900800301201</t>
  </si>
  <si>
    <t>S/T COVER, 1000W×100H</t>
  </si>
  <si>
    <t>M070901200101201</t>
  </si>
  <si>
    <t>DOUBLE CHANNEL BRACKET, W+50, W150</t>
  </si>
  <si>
    <t>M070901200101301</t>
  </si>
  <si>
    <t>DOUBLE CHANNEL BRACKET, W+50, W200</t>
  </si>
  <si>
    <t>M070901200101401</t>
  </si>
  <si>
    <t>DOUBLE CHANNEL BRACKET, W+50, W300</t>
  </si>
  <si>
    <t>M070901200101501</t>
  </si>
  <si>
    <t>DOUBLE CHANNEL BRACKET, W+50, W400</t>
  </si>
  <si>
    <t>M070901200101601</t>
  </si>
  <si>
    <t>DOUBLE CHANNEL BRACKET, W+50, W500</t>
  </si>
  <si>
    <t>M070901200101701</t>
  </si>
  <si>
    <t>DOUBLE CHANNEL BRACKET, W+50, W600</t>
  </si>
  <si>
    <t>M070901200101801</t>
  </si>
  <si>
    <t>DOUBLE CHANNEL BRACKET, W+50, W700</t>
  </si>
  <si>
    <t>M070901200101901</t>
  </si>
  <si>
    <t>DOUBLE CHANNEL BRACKET, W+50, W800</t>
  </si>
  <si>
    <t>M070901200102001</t>
  </si>
  <si>
    <t>DOUBLE CHANNEL BRACKET, W+50, W900</t>
  </si>
  <si>
    <t>M070901200102101</t>
  </si>
  <si>
    <t>DOUBLE CHANNEL BRACKET, W+50, W1,000</t>
  </si>
  <si>
    <t>M070901200102201</t>
  </si>
  <si>
    <t>DOUBLE CHANNEL BRACKET, W+50, W1,200</t>
  </si>
  <si>
    <t>M070901200103401</t>
  </si>
  <si>
    <t>2-PLATE BRACKET, W+50, W150</t>
  </si>
  <si>
    <t>M070901200103501</t>
  </si>
  <si>
    <t>2-PLATE BRACKET, W+50, W200</t>
  </si>
  <si>
    <t>M070901200103601</t>
  </si>
  <si>
    <t>2-PLATE BRACKET, W+50, W300</t>
  </si>
  <si>
    <t>M070901200103701</t>
  </si>
  <si>
    <t>2-PLATE BRACKET, W+50, W400</t>
  </si>
  <si>
    <t>M070901200103801</t>
  </si>
  <si>
    <t>2-PLATE BRACKET, W+50, W500</t>
  </si>
  <si>
    <t>M070901200103901</t>
  </si>
  <si>
    <t>2-PLATE BRACKET, W+50, W600</t>
  </si>
  <si>
    <t>M070901200104001</t>
  </si>
  <si>
    <t>2-PLATE BRACKET, W+50, W700</t>
  </si>
  <si>
    <t>M070901200104101</t>
  </si>
  <si>
    <t>2-PLATE BRACKET, W+50, W800</t>
  </si>
  <si>
    <t>M070901200104201</t>
  </si>
  <si>
    <t>2-PLATE BRACKET, W+50, W900</t>
  </si>
  <si>
    <t>M070901200104301</t>
  </si>
  <si>
    <t>2-PLATE BRACKET, W+50, W1,000</t>
  </si>
  <si>
    <t>M070901200104401</t>
  </si>
  <si>
    <t>2-PLATE BRACKET, W+50, W1,200</t>
  </si>
  <si>
    <t>M070901200106701</t>
  </si>
  <si>
    <t>BOX CON, W150</t>
  </si>
  <si>
    <t>M070901200106801</t>
  </si>
  <si>
    <t>BOX CON, W200</t>
  </si>
  <si>
    <t>M070901200106901</t>
  </si>
  <si>
    <t>BOX CON, W300</t>
  </si>
  <si>
    <t>M070901200107001</t>
  </si>
  <si>
    <t>BOX CON, W400</t>
  </si>
  <si>
    <t>M070901200107101</t>
  </si>
  <si>
    <t>BOX CON, W500</t>
  </si>
  <si>
    <t>M070901200107201</t>
  </si>
  <si>
    <t>BOX CON, W600</t>
  </si>
  <si>
    <t>M070901200107301</t>
  </si>
  <si>
    <t>BOX CON, W700</t>
  </si>
  <si>
    <t>M070901200107401</t>
  </si>
  <si>
    <t>BOX CON, W800</t>
  </si>
  <si>
    <t>M070901200107501</t>
  </si>
  <si>
    <t>BOX CON, W900</t>
  </si>
  <si>
    <t>M070901200107601</t>
  </si>
  <si>
    <t>BOX CON, W1,000</t>
  </si>
  <si>
    <t>M070901200107701</t>
  </si>
  <si>
    <t>BOX CON, W1,200</t>
  </si>
  <si>
    <t>SHANK BOLT/NUT</t>
  </si>
  <si>
    <t>M070901301600101</t>
  </si>
  <si>
    <t>HDG, H100</t>
  </si>
  <si>
    <t>M070900805200101</t>
  </si>
  <si>
    <t>HDG, 3/8˝×19L</t>
  </si>
  <si>
    <t>M071200500600101</t>
  </si>
  <si>
    <t>배선용차단기</t>
  </si>
  <si>
    <t>M071200500600201</t>
  </si>
  <si>
    <t>M071200500600301</t>
  </si>
  <si>
    <t>M071200500600401</t>
  </si>
  <si>
    <t>M071200500600501</t>
  </si>
  <si>
    <t>M071200500600601</t>
  </si>
  <si>
    <t>M071200500600701</t>
  </si>
  <si>
    <t>M071200500600801</t>
  </si>
  <si>
    <t>M071200500600901</t>
  </si>
  <si>
    <t>M071200500601001</t>
  </si>
  <si>
    <t>M070100200100101</t>
  </si>
  <si>
    <t>난연PVC절연접지용전선(F-GV)</t>
  </si>
  <si>
    <t>M070100200100201</t>
  </si>
  <si>
    <t>M070100200100301</t>
  </si>
  <si>
    <t>M070100200100401</t>
  </si>
  <si>
    <t>M070100200100501</t>
  </si>
  <si>
    <t>M070100200100601</t>
  </si>
  <si>
    <t>M070100200100701</t>
  </si>
  <si>
    <t>M070100200100801</t>
  </si>
  <si>
    <t>M070100200100901</t>
  </si>
  <si>
    <t>M070100200101001</t>
  </si>
  <si>
    <t>M070100200101101</t>
  </si>
  <si>
    <t>M070100200101201</t>
  </si>
  <si>
    <t>M070100200101301</t>
  </si>
  <si>
    <t>M070100200101401</t>
  </si>
  <si>
    <t>M070100200101501</t>
  </si>
  <si>
    <t>M070801100100101</t>
  </si>
  <si>
    <t>2종금속전선관</t>
  </si>
  <si>
    <t>M070801100100201</t>
  </si>
  <si>
    <t>M070801100100301</t>
  </si>
  <si>
    <t>M070801100100401</t>
  </si>
  <si>
    <t>M070801100100501</t>
  </si>
  <si>
    <t>M070801100100601</t>
  </si>
  <si>
    <t>M070801100100701</t>
  </si>
  <si>
    <t>M070801100100801</t>
  </si>
  <si>
    <t>M070801100100901</t>
  </si>
  <si>
    <t>M070802100300201</t>
  </si>
  <si>
    <t>플렉시블전선관부품-1</t>
  </si>
  <si>
    <t>10㎜, SWPCZ,GWPCZ (아연)</t>
  </si>
  <si>
    <t>M070802100600201</t>
  </si>
  <si>
    <t>12㎜, SWPCZ,GWPCZ (아연)</t>
  </si>
  <si>
    <t>E10410005001001003</t>
  </si>
  <si>
    <t>제 3호표  제어용 케이블 설치(1C)</t>
  </si>
  <si>
    <t>E10410005001001004</t>
  </si>
  <si>
    <t>제 4호표  제어용 케이블 설치(1C)8㎟ 이하</t>
  </si>
  <si>
    <t>제 4호표  제어용 케이블 설치(1C)</t>
  </si>
  <si>
    <t>E10410005001002001</t>
  </si>
  <si>
    <t>E10410005001002002</t>
  </si>
  <si>
    <t>제 2호표  제어용 케이블 설치(12C)</t>
  </si>
  <si>
    <t>E10410005001002003</t>
  </si>
  <si>
    <t>제 3호표  제어용 케이블 설치(12C)</t>
  </si>
  <si>
    <t>E10410005001003001</t>
  </si>
  <si>
    <t>제 1호표  제어용 케이블 설치(14C)2.5㎟ 이하</t>
  </si>
  <si>
    <t>제 1호표  제어용 케이블 설치(14C)</t>
  </si>
  <si>
    <t>E10410005001003002</t>
  </si>
  <si>
    <t>제 2호표  제어용 케이블 설치(14C)4㎟ 이하</t>
  </si>
  <si>
    <t>제 2호표  제어용 케이블 설치(14C)</t>
  </si>
  <si>
    <t>E10410005001003003</t>
  </si>
  <si>
    <t>제 3호표  제어용 케이블 설치(14C)6㎟ 이하</t>
  </si>
  <si>
    <t>제 3호표  제어용 케이블 설치(14C)</t>
  </si>
  <si>
    <t>E10410005001004003</t>
  </si>
  <si>
    <t>제 3호표  제어용 케이블 설치(15C)</t>
  </si>
  <si>
    <t>E10410005001005001</t>
  </si>
  <si>
    <t>제 1호표  제어용 케이블 설치(19C)2.5㎟ 이하</t>
  </si>
  <si>
    <t>제 1호표  제어용 케이블 설치(19C)</t>
  </si>
  <si>
    <t>E10410005001005002</t>
  </si>
  <si>
    <t>제 2호표  제어용 케이블 설치(19C)4㎟ 이하</t>
  </si>
  <si>
    <t>제 2호표  제어용 케이블 설치(19C)</t>
  </si>
  <si>
    <t>E10410005001005003</t>
  </si>
  <si>
    <t>제 3호표  제어용 케이블 설치(19C)6㎟ 이하</t>
  </si>
  <si>
    <t>제 3호표  제어용 케이블 설치(19C)</t>
  </si>
  <si>
    <t>E10410005001006001</t>
  </si>
  <si>
    <t>E10410005001006002</t>
  </si>
  <si>
    <t>제 2호표  제어용 케이블 설치(20C)</t>
  </si>
  <si>
    <t>E10410005001006003</t>
  </si>
  <si>
    <t>제 3호표  제어용 케이블 설치(20C)6㎟ 이하</t>
  </si>
  <si>
    <t>제 3호표  제어용 케이블 설치(20C)</t>
  </si>
  <si>
    <t>E10410005001007003</t>
  </si>
  <si>
    <t>제 3호표  제어용 케이블 설치(24C)6㎟ 이하</t>
  </si>
  <si>
    <t>제 3호표  제어용 케이블 설치(24C)</t>
  </si>
  <si>
    <t>E10410005001008001</t>
  </si>
  <si>
    <t>E10410005001009001</t>
  </si>
  <si>
    <t>E10410005001010004</t>
  </si>
  <si>
    <t>제 4호표  제어용 케이블 설치(2C)8㎟ 이하</t>
  </si>
  <si>
    <t>제 4호표  제어용 케이블 설치(2C)</t>
  </si>
  <si>
    <t>E10410005001010005</t>
  </si>
  <si>
    <t>제 5호표  제어용 케이블 설치(2C)</t>
  </si>
  <si>
    <t>E10410005001011004</t>
  </si>
  <si>
    <t>제 4호표  제어용 케이블 설치(3C)8㎟ 이하</t>
  </si>
  <si>
    <t>제 4호표  제어용 케이블 설치(3C)</t>
  </si>
  <si>
    <t>E10410005001012004</t>
  </si>
  <si>
    <t>제 4호표  제어용 케이블 설치(4C)8㎟ 이하</t>
  </si>
  <si>
    <t>제 4호표  제어용 케이블 설치(4C)</t>
  </si>
  <si>
    <t>E10410005001013001</t>
  </si>
  <si>
    <t>E10410005001013002</t>
  </si>
  <si>
    <t>제 2호표  제어용 케이블 설치(5C)</t>
  </si>
  <si>
    <t>E10410005001013003</t>
  </si>
  <si>
    <t>제 3호표  제어용 케이블 설치(5C)</t>
  </si>
  <si>
    <t>E10410005001013004</t>
  </si>
  <si>
    <t>제 4호표  제어용 케이블 설치(5C)8㎟ 이하</t>
  </si>
  <si>
    <t>제 4호표  제어용 케이블 설치(5C)</t>
  </si>
  <si>
    <t>E10410005001013005</t>
  </si>
  <si>
    <t>제 5호표  제어용 케이블 설치(5C)</t>
  </si>
  <si>
    <t>E10410005001014001</t>
  </si>
  <si>
    <t>E10410005001014002</t>
  </si>
  <si>
    <t>제 2호표  제어용 케이블 설치(6C)</t>
  </si>
  <si>
    <t>E10410005001014003</t>
  </si>
  <si>
    <t>제 3호표  제어용 케이블 설치(6C)</t>
  </si>
  <si>
    <t>E10410005001014004</t>
  </si>
  <si>
    <t>제 4호표  제어용 케이블 설치(6C)8㎟ 이하</t>
  </si>
  <si>
    <t>제 4호표  제어용 케이블 설치(6C)</t>
  </si>
  <si>
    <t>E10410005001014005</t>
  </si>
  <si>
    <t>제 5호표  제어용 케이블 설치(6C)</t>
  </si>
  <si>
    <t>E10410005001015001</t>
  </si>
  <si>
    <t>E10410005001015002</t>
  </si>
  <si>
    <t>제 2호표  제어용 케이블 설치(7C)</t>
  </si>
  <si>
    <t>E10410005001015003</t>
  </si>
  <si>
    <t>제 3호표  제어용 케이블 설치(7C)</t>
  </si>
  <si>
    <t>E10410005001015004</t>
  </si>
  <si>
    <t>제 4호표  제어용 케이블 설치(7C)8㎟ 이하</t>
  </si>
  <si>
    <t>제 4호표  제어용 케이블 설치(7C)</t>
  </si>
  <si>
    <t>E10410005001015005</t>
  </si>
  <si>
    <t>제 5호표  제어용 케이블 설치(7C)10㎟ 이하</t>
  </si>
  <si>
    <t>제 5호표  제어용 케이블 설치(7C)</t>
  </si>
  <si>
    <t>E10410005001016001</t>
  </si>
  <si>
    <t>E10410005001016002</t>
  </si>
  <si>
    <t>제 2호표  제어용 케이블 설치(8C)</t>
  </si>
  <si>
    <t>E10410005001016003</t>
  </si>
  <si>
    <t>제 3호표  제어용 케이블 설치(8C)</t>
  </si>
  <si>
    <t>E10410005001016004</t>
  </si>
  <si>
    <t>제 4호표  제어용 케이블 설치(8C)8㎟ 이하</t>
  </si>
  <si>
    <t>제 4호표  제어용 케이블 설치(8C)</t>
  </si>
  <si>
    <t>E10410005001016005</t>
  </si>
  <si>
    <t>제 5호표  제어용 케이블 설치(8C)10㎟ 이하</t>
  </si>
  <si>
    <t>제 5호표  제어용 케이블 설치(8C)</t>
  </si>
  <si>
    <t>E10410005001017003</t>
  </si>
  <si>
    <t>제 3호표  제어용 케이블 설치(10C)</t>
  </si>
  <si>
    <t>E10410005001017004</t>
  </si>
  <si>
    <t>제 4호표  제어용 케이블 설치(10C)8㎟ 이하</t>
  </si>
  <si>
    <t>제 4호표  제어용 케이블 설치(10C)</t>
  </si>
  <si>
    <t>E10410005001017005</t>
  </si>
  <si>
    <t>제 5호표  제어용 케이블 설치(10C)10㎟ 이하</t>
  </si>
  <si>
    <t>제 5호표  제어용 케이블 설치(10C)</t>
  </si>
  <si>
    <t>제 1호표  배전반 설치</t>
  </si>
  <si>
    <t>자립형 W800×H2,000 내외</t>
  </si>
  <si>
    <t>E10315007004001001</t>
  </si>
  <si>
    <t>제 1호표  분전반(배선용 차단기)30AF 이하 1P</t>
  </si>
  <si>
    <t>제 1호표  분전반(배선용 차단기)</t>
  </si>
  <si>
    <t>E10315007004001002</t>
  </si>
  <si>
    <t>제 2호표  분전반(배선용 차단기)30AF 이하 2P</t>
  </si>
  <si>
    <t>제 2호표  분전반(배선용 차단기)</t>
  </si>
  <si>
    <t>E10315007004001003</t>
  </si>
  <si>
    <t>제 3호표  분전반(배선용 차단기)30AF 이하 3P</t>
  </si>
  <si>
    <t>제 3호표  분전반(배선용 차단기)</t>
  </si>
  <si>
    <t>E10315007004001004</t>
  </si>
  <si>
    <t>제 4호표  분전반(배선용 차단기)50AF 이하 1P</t>
  </si>
  <si>
    <t>제 4호표  분전반(배선용 차단기)</t>
  </si>
  <si>
    <t>E10315007004001005</t>
  </si>
  <si>
    <t>제 5호표  분전반(배선용 차단기)50AF 이하 2P</t>
  </si>
  <si>
    <t>제 5호표  분전반(배선용 차단기)</t>
  </si>
  <si>
    <t>E10315007004001006</t>
  </si>
  <si>
    <t>제 6호표  분전반(배선용 차단기)50AF 이하 3P</t>
  </si>
  <si>
    <t>제 6호표  분전반(배선용 차단기)</t>
  </si>
  <si>
    <t>E10315007004001007</t>
  </si>
  <si>
    <t>제 7호표  분전반(배선용 차단기)100AF 이하 1P</t>
  </si>
  <si>
    <t>제 7호표  분전반(배선용 차단기)</t>
  </si>
  <si>
    <t>E10315007004001008</t>
  </si>
  <si>
    <t>제 8호표  분전반(배선용 차단기)100AF 이하 2P</t>
  </si>
  <si>
    <t>제 8호표  분전반(배선용 차단기)</t>
  </si>
  <si>
    <t>E10315007004001009</t>
  </si>
  <si>
    <t>제 9호표  분전반(배선용 차단기)100AF 이하 3P</t>
  </si>
  <si>
    <t>제 9호표  분전반(배선용 차단기)</t>
  </si>
  <si>
    <t>E10315007004001010</t>
  </si>
  <si>
    <t>제 10호표  분전반(배선용 차단기)225AF 이하 1P</t>
  </si>
  <si>
    <t>제 10호표  분전반(배선용 차단기)</t>
  </si>
  <si>
    <t>E10315007004001011</t>
  </si>
  <si>
    <t>제 11호표  분전반(배선용 차단기)225AF 이하 2P</t>
  </si>
  <si>
    <t>제 11호표  분전반(배선용 차단기)</t>
  </si>
  <si>
    <t>E10315007004001012</t>
  </si>
  <si>
    <t>제 12호표  분전반(배선용 차단기)225AF 이하 3P</t>
  </si>
  <si>
    <t>제 12호표  분전반(배선용 차단기)</t>
  </si>
  <si>
    <t>E10315007005001001</t>
  </si>
  <si>
    <t>제 1호표  분전반용 차단기 설치30AF 이하</t>
  </si>
  <si>
    <t>제 1호표  분전반용 차단기 설치</t>
  </si>
  <si>
    <t>E10315007005001002</t>
  </si>
  <si>
    <t>제 2호표  분전반용 차단기 설치50AF 이하</t>
  </si>
  <si>
    <t>제 2호표  분전반용 차단기 설치</t>
  </si>
  <si>
    <t>E10315007005001003</t>
  </si>
  <si>
    <t>제 3호표  분전반용 차단기 설치100AF 이하</t>
  </si>
  <si>
    <t>제 3호표  분전반용 차단기 설치</t>
  </si>
  <si>
    <t>E10315007005001004</t>
  </si>
  <si>
    <t>제 4호표  분전반용 차단기 설치225AF 이하</t>
  </si>
  <si>
    <t>제 4호표  분전반용 차단기 설치</t>
  </si>
  <si>
    <t>E10312001001009001</t>
  </si>
  <si>
    <t>제 1호표  전송설비 기초설치(형광등 설치)30w 이하</t>
  </si>
  <si>
    <t>제 1호표  전송설비 기초설치(형광등 설치)</t>
  </si>
  <si>
    <t>30w 이하</t>
  </si>
  <si>
    <t>E10312001001009002</t>
  </si>
  <si>
    <t>제 2호표  전송설비 기초설치(형광등 설치)40w 이하</t>
  </si>
  <si>
    <t>제 2호표  전송설비 기초설치(형광등 설치)</t>
  </si>
  <si>
    <t>40w 이하</t>
  </si>
  <si>
    <t>E10312001001009003</t>
  </si>
  <si>
    <t>제 3호표  전송설비 기초설치(형광등 설치)110w 이하</t>
  </si>
  <si>
    <t>제 3호표  전송설비 기초설치(형광등 설치)</t>
  </si>
  <si>
    <t>110w 이하</t>
  </si>
  <si>
    <r>
      <t>600V 16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</si>
  <si>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</si>
  <si>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38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</si>
  <si>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</si>
  <si>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60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</si>
  <si>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70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</si>
  <si>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80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</si>
  <si>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</si>
  <si>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125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</si>
  <si>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</si>
  <si>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185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</si>
  <si>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</si>
  <si>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240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</si>
  <si>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</si>
  <si>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300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</si>
  <si>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2.5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</si>
  <si>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4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</si>
  <si>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</si>
  <si>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8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</si>
  <si>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10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</si>
  <si>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30A </t>
    </r>
    <r>
      <rPr>
        <sz val="9"/>
        <color theme="1"/>
        <rFont val="Malgun Gothic"/>
        <family val="3"/>
        <charset val="129"/>
      </rPr>
      <t>이하</t>
    </r>
  </si>
  <si>
    <r>
      <t xml:space="preserve">50A </t>
    </r>
    <r>
      <rPr>
        <sz val="9"/>
        <color theme="1"/>
        <rFont val="Malgun Gothic"/>
        <family val="3"/>
        <charset val="129"/>
      </rPr>
      <t>이하</t>
    </r>
  </si>
  <si>
    <r>
      <t xml:space="preserve">100A </t>
    </r>
    <r>
      <rPr>
        <sz val="9"/>
        <color theme="1"/>
        <rFont val="Malgun Gothic"/>
        <family val="3"/>
        <charset val="129"/>
      </rPr>
      <t>이하</t>
    </r>
  </si>
  <si>
    <r>
      <t xml:space="preserve">225A </t>
    </r>
    <r>
      <rPr>
        <sz val="9"/>
        <color theme="1"/>
        <rFont val="Malgun Gothic"/>
        <family val="3"/>
        <charset val="129"/>
      </rPr>
      <t>이하</t>
    </r>
  </si>
  <si>
    <r>
      <t xml:space="preserve">300A </t>
    </r>
    <r>
      <rPr>
        <sz val="9"/>
        <color theme="1"/>
        <rFont val="Malgun Gothic"/>
        <family val="3"/>
        <charset val="129"/>
      </rPr>
      <t>이하</t>
    </r>
  </si>
  <si>
    <r>
      <t xml:space="preserve">400A </t>
    </r>
    <r>
      <rPr>
        <sz val="9"/>
        <color theme="1"/>
        <rFont val="Malgun Gothic"/>
        <family val="3"/>
        <charset val="129"/>
      </rPr>
      <t>이하</t>
    </r>
  </si>
  <si>
    <r>
      <t xml:space="preserve">600A </t>
    </r>
    <r>
      <rPr>
        <sz val="9"/>
        <color theme="1"/>
        <rFont val="Malgun Gothic"/>
        <family val="3"/>
        <charset val="129"/>
      </rPr>
      <t>이하</t>
    </r>
  </si>
  <si>
    <r>
      <t xml:space="preserve">800A </t>
    </r>
    <r>
      <rPr>
        <sz val="9"/>
        <color theme="1"/>
        <rFont val="Malgun Gothic"/>
        <family val="3"/>
        <charset val="129"/>
      </rPr>
      <t>이하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</si>
  <si>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</si>
  <si>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</si>
  <si>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</si>
  <si>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</si>
  <si>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</si>
  <si>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</si>
  <si>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</si>
  <si>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</si>
  <si>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</si>
  <si>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</si>
  <si>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</si>
  <si>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</si>
  <si>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</si>
  <si>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</si>
  <si>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</si>
  <si>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</si>
  <si>
    <r>
      <t xml:space="preserve">400AF </t>
    </r>
    <r>
      <rPr>
        <sz val="9"/>
        <color theme="1"/>
        <rFont val="Malgun Gothic"/>
        <family val="3"/>
        <charset val="129"/>
      </rPr>
      <t>이하</t>
    </r>
  </si>
  <si>
    <r>
      <t xml:space="preserve">600AF </t>
    </r>
    <r>
      <rPr>
        <sz val="9"/>
        <color theme="1"/>
        <rFont val="Malgun Gothic"/>
        <family val="3"/>
        <charset val="129"/>
      </rPr>
      <t>이하</t>
    </r>
  </si>
  <si>
    <r>
      <t xml:space="preserve">800AF </t>
    </r>
    <r>
      <rPr>
        <sz val="9"/>
        <color theme="1"/>
        <rFont val="Malgun Gothic"/>
        <family val="3"/>
        <charset val="129"/>
      </rPr>
      <t>이하</t>
    </r>
  </si>
  <si>
    <r>
      <t>투광기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리프렉터부</t>
    </r>
    <r>
      <rPr>
        <sz val="9"/>
        <color indexed="8"/>
        <rFont val="Malgun Gothic"/>
        <family val="3"/>
        <charset val="129"/>
      </rPr>
      <t>)</t>
    </r>
  </si>
  <si>
    <r>
      <t>샹들리에</t>
    </r>
    <r>
      <rPr>
        <sz val="9"/>
        <color indexed="8"/>
        <rFont val="Malgun Gothic"/>
        <family val="3"/>
        <charset val="129"/>
      </rPr>
      <t>(2</t>
    </r>
    <r>
      <rPr>
        <sz val="9"/>
        <color theme="1"/>
        <rFont val="Malgun Gothic"/>
        <family val="3"/>
        <charset val="129"/>
      </rPr>
      <t>등용</t>
    </r>
    <r>
      <rPr>
        <sz val="9"/>
        <color indexed="8"/>
        <rFont val="Malgun Gothic"/>
        <family val="3"/>
        <charset val="129"/>
      </rPr>
      <t>)</t>
    </r>
  </si>
  <si>
    <r>
      <t>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</si>
  <si>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</si>
  <si>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</si>
  <si>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3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</si>
  <si>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4</t>
    </r>
  </si>
  <si>
    <r>
      <t>30W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</si>
  <si>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30W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</si>
  <si>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</si>
  <si>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</si>
  <si>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3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</si>
  <si>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4</t>
    </r>
  </si>
  <si>
    <r>
      <t>110W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</si>
  <si>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110W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</si>
  <si>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 xml:space="preserve">15W </t>
    </r>
    <r>
      <rPr>
        <sz val="9"/>
        <color theme="1"/>
        <rFont val="Malgun Gothic"/>
        <family val="3"/>
        <charset val="129"/>
      </rPr>
      <t>이하</t>
    </r>
  </si>
  <si>
    <r>
      <t xml:space="preserve">25W </t>
    </r>
    <r>
      <rPr>
        <sz val="9"/>
        <color theme="1"/>
        <rFont val="Malgun Gothic"/>
        <family val="3"/>
        <charset val="129"/>
      </rPr>
      <t>이하</t>
    </r>
  </si>
  <si>
    <r>
      <t xml:space="preserve">35W </t>
    </r>
    <r>
      <rPr>
        <sz val="9"/>
        <color theme="1"/>
        <rFont val="Malgun Gothic"/>
        <family val="3"/>
        <charset val="129"/>
      </rPr>
      <t>이하</t>
    </r>
  </si>
  <si>
    <r>
      <t xml:space="preserve">45W </t>
    </r>
    <r>
      <rPr>
        <sz val="9"/>
        <color theme="1"/>
        <rFont val="Malgun Gothic"/>
        <family val="3"/>
        <charset val="129"/>
      </rPr>
      <t>이하</t>
    </r>
  </si>
  <si>
    <r>
      <t xml:space="preserve">55W </t>
    </r>
    <r>
      <rPr>
        <sz val="9"/>
        <color theme="1"/>
        <rFont val="Malgun Gothic"/>
        <family val="3"/>
        <charset val="129"/>
      </rPr>
      <t>이하</t>
    </r>
  </si>
  <si>
    <r>
      <t>100W</t>
    </r>
    <r>
      <rPr>
        <sz val="9"/>
        <color theme="1"/>
        <rFont val="Malgun Gothic"/>
        <family val="3"/>
        <charset val="129"/>
      </rPr>
      <t>이하</t>
    </r>
  </si>
  <si>
    <r>
      <t>150W</t>
    </r>
    <r>
      <rPr>
        <sz val="9"/>
        <color theme="1"/>
        <rFont val="Malgun Gothic"/>
        <family val="3"/>
        <charset val="129"/>
      </rPr>
      <t>이하</t>
    </r>
  </si>
  <si>
    <r>
      <t>250W</t>
    </r>
    <r>
      <rPr>
        <sz val="9"/>
        <color theme="1"/>
        <rFont val="Malgun Gothic"/>
        <family val="3"/>
        <charset val="129"/>
      </rPr>
      <t>이하</t>
    </r>
  </si>
  <si>
    <r>
      <t>50W</t>
    </r>
    <r>
      <rPr>
        <sz val="9"/>
        <color theme="1"/>
        <rFont val="Malgun Gothic"/>
        <family val="3"/>
        <charset val="129"/>
      </rPr>
      <t>이하</t>
    </r>
  </si>
  <si>
    <r>
      <t xml:space="preserve">100W </t>
    </r>
    <r>
      <rPr>
        <sz val="9"/>
        <color theme="1"/>
        <rFont val="Malgun Gothic"/>
        <family val="3"/>
        <charset val="129"/>
      </rPr>
      <t>이하</t>
    </r>
  </si>
  <si>
    <r>
      <t xml:space="preserve">150W </t>
    </r>
    <r>
      <rPr>
        <sz val="9"/>
        <color theme="1"/>
        <rFont val="Malgun Gothic"/>
        <family val="3"/>
        <charset val="129"/>
      </rPr>
      <t>이하</t>
    </r>
  </si>
  <si>
    <r>
      <t xml:space="preserve">200W </t>
    </r>
    <r>
      <rPr>
        <sz val="9"/>
        <color theme="1"/>
        <rFont val="Malgun Gothic"/>
        <family val="3"/>
        <charset val="129"/>
      </rPr>
      <t>이하</t>
    </r>
  </si>
  <si>
    <r>
      <t xml:space="preserve">250W </t>
    </r>
    <r>
      <rPr>
        <sz val="9"/>
        <color theme="1"/>
        <rFont val="Malgun Gothic"/>
        <family val="3"/>
        <charset val="129"/>
      </rPr>
      <t>이하</t>
    </r>
  </si>
  <si>
    <r>
      <t xml:space="preserve">300W </t>
    </r>
    <r>
      <rPr>
        <sz val="9"/>
        <color theme="1"/>
        <rFont val="Malgun Gothic"/>
        <family val="3"/>
        <charset val="129"/>
      </rPr>
      <t>이하</t>
    </r>
  </si>
  <si>
    <r>
      <t xml:space="preserve">400W </t>
    </r>
    <r>
      <rPr>
        <sz val="9"/>
        <color theme="1"/>
        <rFont val="Malgun Gothic"/>
        <family val="3"/>
        <charset val="129"/>
      </rPr>
      <t>이하</t>
    </r>
  </si>
  <si>
    <r>
      <t xml:space="preserve">700W </t>
    </r>
    <r>
      <rPr>
        <sz val="9"/>
        <color theme="1"/>
        <rFont val="Malgun Gothic"/>
        <family val="3"/>
        <charset val="129"/>
      </rPr>
      <t>이하</t>
    </r>
  </si>
  <si>
    <r>
      <t xml:space="preserve">1kW </t>
    </r>
    <r>
      <rPr>
        <sz val="9"/>
        <color theme="1"/>
        <rFont val="Malgun Gothic"/>
        <family val="3"/>
        <charset val="129"/>
      </rPr>
      <t>이하</t>
    </r>
  </si>
  <si>
    <r>
      <t xml:space="preserve">1kW </t>
    </r>
    <r>
      <rPr>
        <sz val="9"/>
        <color theme="1"/>
        <rFont val="Malgun Gothic"/>
        <family val="3"/>
        <charset val="129"/>
      </rPr>
      <t>초과</t>
    </r>
  </si>
  <si>
    <t>E10410053001001004</t>
  </si>
  <si>
    <t>E10410053001001005</t>
  </si>
  <si>
    <t>제 5호표  금속 덕트 설치(단면적)</t>
  </si>
  <si>
    <t>E10410053001001006</t>
  </si>
  <si>
    <t>E10410053001001007</t>
  </si>
  <si>
    <t>제 7호표  금속 덕트 설치(단면적)</t>
  </si>
  <si>
    <t>E10410053001001008</t>
  </si>
  <si>
    <t>제 8호표  금속 덕트 설치(단면적)</t>
  </si>
  <si>
    <t>E10410053001001009</t>
  </si>
  <si>
    <t>제 9호표  금속 덕트 설치(단면적)600 X 300㎜ 이하(1,800㎠)</t>
  </si>
  <si>
    <t>제 9호표  금속 덕트 설치(단면적)</t>
  </si>
  <si>
    <t>E10410053001001010</t>
  </si>
  <si>
    <t>제 10호표  금속 덕트 설치(단면적)700 X 400㎜ 이하(2,800㎠)</t>
  </si>
  <si>
    <t>제 10호표  금속 덕트 설치(단면적)</t>
  </si>
  <si>
    <t>E10410053001001011</t>
  </si>
  <si>
    <t>제 11호표  금속 덕트 설치(단면적)1,000 X 400㎜ 이하(4,000㎠)</t>
  </si>
  <si>
    <t>제 11호표  금속 덕트 설치(단면적)</t>
  </si>
  <si>
    <t>E10410053001001012</t>
  </si>
  <si>
    <t>제 12호표  금속 덕트 설치(단면적)1,200 X 450㎜ 이하(5,400㎠)</t>
  </si>
  <si>
    <t>제 12호표  금속 덕트 설치(단면적)</t>
  </si>
  <si>
    <r>
      <t>60 X 30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(18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</si>
  <si>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 X 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(50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</si>
  <si>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</si>
  <si>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150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(150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</si>
  <si>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200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(200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</si>
  <si>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300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(300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</si>
  <si>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400 X 150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(600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</si>
  <si>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500 X 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(1,000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</si>
  <si>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600 X 300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(1,800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</si>
  <si>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700 X 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(2,800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</si>
  <si>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1,000 X 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(4,000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</si>
  <si>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1,200 X 450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(5,400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</si>
  <si>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t>E10410001001001001</t>
  </si>
  <si>
    <t>제 1호표  합성수지 전선관14㎜이하</t>
  </si>
  <si>
    <t>제 1호표  합성수지 전선관</t>
  </si>
  <si>
    <t>E10410001001001005</t>
  </si>
  <si>
    <t>제 5호표  합성수지 전선관</t>
  </si>
  <si>
    <t>E10410001001001006</t>
  </si>
  <si>
    <t>제 6호표  합성수지 전선관</t>
  </si>
  <si>
    <t>E10410001001001007</t>
  </si>
  <si>
    <t>제 7호표  합성수지 전선관</t>
  </si>
  <si>
    <t>E10410001001001008</t>
  </si>
  <si>
    <t>제 8호표  합성수지 전선관</t>
  </si>
  <si>
    <t>E10410001001001009</t>
  </si>
  <si>
    <t>제 9호표  합성수지 전선관</t>
  </si>
  <si>
    <t>E10410001001001010</t>
  </si>
  <si>
    <t>제 10호표  합성수지 전선관92㎜이하</t>
  </si>
  <si>
    <t>제 10호표  합성수지 전선관</t>
  </si>
  <si>
    <t>E10410001001001011</t>
  </si>
  <si>
    <t>제 11호표  합성수지 전선관</t>
  </si>
  <si>
    <t>E10410001001001012</t>
  </si>
  <si>
    <t>제 12호표  합성수지 전선관125㎜이하</t>
  </si>
  <si>
    <t>제 12호표  합성수지 전선관</t>
  </si>
  <si>
    <r>
      <t>14</t>
    </r>
    <r>
      <rPr>
        <sz val="9"/>
        <color theme="1"/>
        <rFont val="Malgun Gothic"/>
        <family val="3"/>
        <charset val="129"/>
      </rPr>
      <t>㎜이하</t>
    </r>
  </si>
  <si>
    <r>
      <t>16</t>
    </r>
    <r>
      <rPr>
        <sz val="9"/>
        <color theme="1"/>
        <rFont val="Malgun Gothic"/>
        <family val="3"/>
        <charset val="129"/>
      </rPr>
      <t>㎜이하</t>
    </r>
  </si>
  <si>
    <r>
      <t>22</t>
    </r>
    <r>
      <rPr>
        <sz val="9"/>
        <color theme="1"/>
        <rFont val="Malgun Gothic"/>
        <family val="3"/>
        <charset val="129"/>
      </rPr>
      <t>㎜이하</t>
    </r>
  </si>
  <si>
    <r>
      <t>28</t>
    </r>
    <r>
      <rPr>
        <sz val="9"/>
        <color theme="1"/>
        <rFont val="Malgun Gothic"/>
        <family val="3"/>
        <charset val="129"/>
      </rPr>
      <t>㎜이하</t>
    </r>
  </si>
  <si>
    <r>
      <t>36</t>
    </r>
    <r>
      <rPr>
        <sz val="9"/>
        <color theme="1"/>
        <rFont val="Malgun Gothic"/>
        <family val="3"/>
        <charset val="129"/>
      </rPr>
      <t>㎜이하</t>
    </r>
  </si>
  <si>
    <r>
      <t>42</t>
    </r>
    <r>
      <rPr>
        <sz val="9"/>
        <color theme="1"/>
        <rFont val="Malgun Gothic"/>
        <family val="3"/>
        <charset val="129"/>
      </rPr>
      <t>㎜이하</t>
    </r>
  </si>
  <si>
    <r>
      <t>54</t>
    </r>
    <r>
      <rPr>
        <sz val="9"/>
        <color theme="1"/>
        <rFont val="Malgun Gothic"/>
        <family val="3"/>
        <charset val="129"/>
      </rPr>
      <t>㎜이하</t>
    </r>
  </si>
  <si>
    <r>
      <t>70</t>
    </r>
    <r>
      <rPr>
        <sz val="9"/>
        <color theme="1"/>
        <rFont val="Malgun Gothic"/>
        <family val="3"/>
        <charset val="129"/>
      </rPr>
      <t>㎜이하</t>
    </r>
  </si>
  <si>
    <r>
      <t>82</t>
    </r>
    <r>
      <rPr>
        <sz val="9"/>
        <color theme="1"/>
        <rFont val="Malgun Gothic"/>
        <family val="3"/>
        <charset val="129"/>
      </rPr>
      <t>㎜이하</t>
    </r>
  </si>
  <si>
    <r>
      <t>92</t>
    </r>
    <r>
      <rPr>
        <sz val="9"/>
        <color theme="1"/>
        <rFont val="Malgun Gothic"/>
        <family val="3"/>
        <charset val="129"/>
      </rPr>
      <t>㎜이하</t>
    </r>
  </si>
  <si>
    <r>
      <t>104</t>
    </r>
    <r>
      <rPr>
        <sz val="9"/>
        <color theme="1"/>
        <rFont val="Malgun Gothic"/>
        <family val="3"/>
        <charset val="129"/>
      </rPr>
      <t>㎜이하</t>
    </r>
  </si>
  <si>
    <r>
      <t>125</t>
    </r>
    <r>
      <rPr>
        <sz val="9"/>
        <color theme="1"/>
        <rFont val="Malgun Gothic"/>
        <family val="3"/>
        <charset val="129"/>
      </rPr>
      <t>㎜이하</t>
    </r>
  </si>
  <si>
    <r>
      <rPr>
        <b/>
        <sz val="9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</si>
  <si>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</si>
  <si>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</si>
  <si>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</si>
  <si>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</si>
  <si>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</si>
  <si>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</si>
  <si>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</si>
  <si>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</si>
  <si>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</si>
  <si>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</si>
  <si>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</si>
  <si>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</si>
  <si>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</si>
  <si>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</si>
  <si>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</si>
  <si>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</si>
  <si>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t>E10410014001001001</t>
  </si>
  <si>
    <t>E10410014001001002</t>
  </si>
  <si>
    <t>E10410014001001003</t>
  </si>
  <si>
    <t>E10410014001001004</t>
  </si>
  <si>
    <t>E10410014001001006</t>
  </si>
  <si>
    <t>E10410014001001013</t>
  </si>
  <si>
    <t>E10410014001001014</t>
  </si>
  <si>
    <t>E10410014001001015</t>
  </si>
  <si>
    <t>E10410014001001016</t>
  </si>
  <si>
    <t>E10410014001001018</t>
  </si>
  <si>
    <t>E10410014001001019</t>
  </si>
  <si>
    <t>E10410014001001020</t>
  </si>
  <si>
    <t>E10410014001001021</t>
  </si>
  <si>
    <t>E10410014001001022</t>
  </si>
  <si>
    <t>E10410014001001023</t>
  </si>
  <si>
    <t>E10410014001001024</t>
  </si>
  <si>
    <t>E10410014001001025</t>
  </si>
  <si>
    <t>E10410014001001026</t>
  </si>
  <si>
    <t>E10410014001001027</t>
  </si>
  <si>
    <t>벨</t>
  </si>
  <si>
    <t>부저</t>
  </si>
  <si>
    <t>전극결선</t>
  </si>
  <si>
    <t>소켓</t>
  </si>
  <si>
    <t>대</t>
    <phoneticPr fontId="6" type="noConversion"/>
  </si>
  <si>
    <t>개</t>
    <phoneticPr fontId="6" type="noConversion"/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</si>
  <si>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3kW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</si>
  <si>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</si>
  <si>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3kW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</si>
  <si>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5kW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</si>
  <si>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</si>
  <si>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5kW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</si>
  <si>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</si>
  <si>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</si>
  <si>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</si>
  <si>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초과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</si>
  <si>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</si>
  <si>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초과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</si>
  <si>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설치플러그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</si>
  <si>
    <r>
      <t>플러그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</si>
  <si>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설치벨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</si>
  <si>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설치부저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</si>
  <si>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주기</t>
    </r>
    <r>
      <rPr>
        <sz val="9"/>
        <color indexed="8"/>
        <rFont val="Malgun Gothic"/>
        <family val="3"/>
        <charset val="129"/>
      </rPr>
      <t>)</t>
    </r>
  </si>
  <si>
    <r>
      <t>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주기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</si>
  <si>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자기</t>
    </r>
    <r>
      <rPr>
        <sz val="9"/>
        <color indexed="8"/>
        <rFont val="Malgun Gothic"/>
        <family val="3"/>
        <charset val="129"/>
      </rPr>
      <t>)</t>
    </r>
  </si>
  <si>
    <r>
      <t>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자기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</si>
  <si>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</si>
  <si>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</si>
  <si>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</si>
  <si>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</si>
  <si>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</si>
  <si>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</si>
  <si>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</si>
  <si>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</si>
  <si>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설치플로어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플레이트</t>
    </r>
  </si>
  <si>
    <r>
      <t>플로어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플레이트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</si>
  <si>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(3P)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</si>
  <si>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(3P)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</si>
  <si>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(4P)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</si>
  <si>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(4P)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</si>
  <si>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(5P)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</si>
  <si>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(5P)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</si>
  <si>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설치전극결선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</si>
  <si>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설치소켓</t>
    </r>
  </si>
  <si>
    <t>E10311003005001005</t>
  </si>
  <si>
    <t>E10311003005001006</t>
  </si>
  <si>
    <t>E10311003005001007</t>
  </si>
  <si>
    <t>E10316010001004001</t>
  </si>
  <si>
    <t>10m</t>
  </si>
  <si>
    <t>E10316010001005001</t>
  </si>
  <si>
    <t>E10316010001005002</t>
  </si>
  <si>
    <t>E10316010001005003</t>
  </si>
  <si>
    <t>E10316010001006001</t>
  </si>
  <si>
    <t>1P</t>
  </si>
  <si>
    <t>E10316010001006002</t>
  </si>
  <si>
    <t>E10316010001006003</t>
  </si>
  <si>
    <t>E10316010001006004</t>
  </si>
  <si>
    <t>E10316010001006005</t>
  </si>
  <si>
    <t>E10316010001006006</t>
  </si>
  <si>
    <t>E10316010001006007</t>
  </si>
  <si>
    <t>E10410046002001001</t>
  </si>
  <si>
    <t>E10410046002001002</t>
  </si>
  <si>
    <t>점검</t>
  </si>
  <si>
    <t>E10410046002001003</t>
  </si>
  <si>
    <t>조정</t>
  </si>
  <si>
    <t>E10410046002001004</t>
  </si>
  <si>
    <t>E10410046002012001</t>
  </si>
  <si>
    <t>E10410046002012002</t>
  </si>
  <si>
    <t>E10410046002012003</t>
  </si>
  <si>
    <t>E10410046002012004</t>
  </si>
  <si>
    <t>E10410046002013001</t>
  </si>
  <si>
    <t>E10410046002013002</t>
  </si>
  <si>
    <t>E10410046002013003</t>
  </si>
  <si>
    <t>E10410046002013004</t>
  </si>
  <si>
    <t>E10410046002013005</t>
  </si>
  <si>
    <t>E10410046002013006</t>
  </si>
  <si>
    <t>E10410046002013007</t>
  </si>
  <si>
    <t>E10410046002013008</t>
  </si>
  <si>
    <t>E10410046002013009</t>
  </si>
  <si>
    <t>E10410046002013010</t>
  </si>
  <si>
    <t>E10410046002013011</t>
  </si>
  <si>
    <t>E10410046002013012</t>
  </si>
  <si>
    <t>E10410046002014001</t>
  </si>
  <si>
    <t>E10410046002014002</t>
  </si>
  <si>
    <t>E10410046002014003</t>
  </si>
  <si>
    <t>E10410046002015001</t>
  </si>
  <si>
    <t>E10410046002015002</t>
  </si>
  <si>
    <t>E10410046002015003</t>
  </si>
  <si>
    <t>E10410046002015004</t>
  </si>
  <si>
    <t>E10410046002016001</t>
  </si>
  <si>
    <t>E10410046002016002</t>
  </si>
  <si>
    <t>E10410046002016003</t>
  </si>
  <si>
    <t>E10410046002016004</t>
  </si>
  <si>
    <t>E10410046002017001</t>
  </si>
  <si>
    <t>E10410046002017002</t>
  </si>
  <si>
    <t>E10410046002017003</t>
  </si>
  <si>
    <t>E10410046002017004</t>
  </si>
  <si>
    <t>E10410046002018001</t>
  </si>
  <si>
    <t>E10410046002018002</t>
  </si>
  <si>
    <t>E10410046002018003</t>
  </si>
  <si>
    <t>E10410046002018016</t>
  </si>
  <si>
    <t>E10410046002018017</t>
  </si>
  <si>
    <t>E10410046002018018</t>
  </si>
  <si>
    <t>E10410046002021001</t>
  </si>
  <si>
    <t>E10410046002021002</t>
  </si>
  <si>
    <t>E10410046002021003</t>
  </si>
  <si>
    <t>E10410046002022001</t>
  </si>
  <si>
    <t>E10410046002022002</t>
  </si>
  <si>
    <t>E10410046002022003</t>
  </si>
  <si>
    <t>E10410046002022004</t>
  </si>
  <si>
    <r>
      <t xml:space="preserve">Touch Screen Set </t>
    </r>
    <r>
      <rPr>
        <sz val="9"/>
        <color theme="1"/>
        <rFont val="Malgun Gothic"/>
        <family val="3"/>
        <charset val="129"/>
      </rPr>
      <t>설치</t>
    </r>
  </si>
  <si>
    <r>
      <t xml:space="preserve">Touch Screen Set </t>
    </r>
    <r>
      <rPr>
        <sz val="9"/>
        <color theme="1"/>
        <rFont val="Malgun Gothic"/>
        <family val="3"/>
        <charset val="129"/>
      </rPr>
      <t>조정</t>
    </r>
  </si>
  <si>
    <r>
      <t xml:space="preserve">CODEC </t>
    </r>
    <r>
      <rPr>
        <sz val="9"/>
        <color theme="1"/>
        <rFont val="Malgun Gothic"/>
        <family val="3"/>
        <charset val="129"/>
      </rPr>
      <t>설치</t>
    </r>
  </si>
  <si>
    <r>
      <t xml:space="preserve">CODEC </t>
    </r>
    <r>
      <rPr>
        <sz val="9"/>
        <color theme="1"/>
        <rFont val="Malgun Gothic"/>
        <family val="3"/>
        <charset val="129"/>
      </rPr>
      <t>점검</t>
    </r>
  </si>
  <si>
    <r>
      <t xml:space="preserve">CODEC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</si>
  <si>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>120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</si>
  <si>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</si>
  <si>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>120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</si>
  <si>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200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</si>
  <si>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</si>
  <si>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200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</si>
  <si>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300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</si>
  <si>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</si>
  <si>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300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</si>
  <si>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 xml:space="preserve">(HDMI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)-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</si>
  <si>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 xml:space="preserve">(HDMI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</si>
  <si>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)5.6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</si>
  <si>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</si>
  <si>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5.6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</si>
  <si>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)14.2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</si>
  <si>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14.2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</si>
  <si>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</t>
    </r>
    <r>
      <rPr>
        <sz val="9"/>
        <color indexed="8"/>
        <rFont val="Malgun Gothic"/>
        <family val="3"/>
        <charset val="129"/>
      </rPr>
      <t>2.0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>-16C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</si>
  <si>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</si>
  <si>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</t>
    </r>
    <r>
      <rPr>
        <sz val="9"/>
        <color indexed="8"/>
        <rFont val="Malgun Gothic"/>
        <family val="3"/>
        <charset val="129"/>
      </rPr>
      <t>2.0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>-16C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</si>
  <si>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)1P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</si>
  <si>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</si>
  <si>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</si>
  <si>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</si>
  <si>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</si>
  <si>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</si>
  <si>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</si>
  <si>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</si>
  <si>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8P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</si>
  <si>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</si>
  <si>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8P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</si>
  <si>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12P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</si>
  <si>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</si>
  <si>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12P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</si>
  <si>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24P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</si>
  <si>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</si>
  <si>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24P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</si>
  <si>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32P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</si>
  <si>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</si>
  <si>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32P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</si>
  <si>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</si>
  <si>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</si>
  <si>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</si>
  <si>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</si>
  <si>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</si>
  <si>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</si>
  <si>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</si>
  <si>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</si>
  <si>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</si>
  <si>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</si>
  <si>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</si>
  <si>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</si>
  <si>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</si>
  <si>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</si>
  <si>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</si>
  <si>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</si>
  <si>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</si>
  <si>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</si>
  <si>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</si>
  <si>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</si>
  <si>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</si>
  <si>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</si>
  <si>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</si>
  <si>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</si>
  <si>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</si>
  <si>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</si>
  <si>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</si>
  <si>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</si>
  <si>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</si>
  <si>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</si>
  <si>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</si>
  <si>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</si>
  <si>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</si>
  <si>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</si>
  <si>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</si>
  <si>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</si>
  <si>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</si>
  <si>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</si>
  <si>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8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</si>
  <si>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8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</si>
  <si>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</si>
  <si>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9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</si>
  <si>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9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</si>
  <si>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</si>
  <si>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10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</si>
  <si>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10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</si>
  <si>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</si>
  <si>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</si>
  <si>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</si>
  <si>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</si>
  <si>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</si>
  <si>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</si>
  <si>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</si>
  <si>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</si>
  <si>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</si>
  <si>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</si>
  <si>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</si>
  <si>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</si>
  <si>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</si>
  <si>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</si>
  <si>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</si>
  <si>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</si>
  <si>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</si>
  <si>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</si>
  <si>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</si>
  <si>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</si>
  <si>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</si>
  <si>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</si>
  <si>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</si>
  <si>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</si>
  <si>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</si>
  <si>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</si>
  <si>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</si>
  <si>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</si>
  <si>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</si>
  <si>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</si>
  <si>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</si>
  <si>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</si>
  <si>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</si>
  <si>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</si>
  <si>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</si>
  <si>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</si>
  <si>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</si>
  <si>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</si>
  <si>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</si>
  <si>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</si>
  <si>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</si>
  <si>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</si>
  <si>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</si>
  <si>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 xml:space="preserve">Touch Screen Set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</si>
  <si>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설치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</si>
  <si>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</si>
  <si>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조정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</si>
  <si>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</si>
  <si>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</si>
  <si>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</si>
  <si>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</si>
  <si>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</si>
  <si>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</si>
  <si>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</si>
  <si>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</si>
  <si>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</si>
  <si>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</si>
  <si>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</si>
  <si>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</si>
  <si>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</si>
  <si>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</si>
  <si>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</si>
  <si>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</si>
  <si>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</si>
  <si>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</si>
  <si>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</si>
  <si>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</si>
  <si>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 xml:space="preserve">CODEC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</si>
  <si>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t>E10410054001001001</t>
  </si>
  <si>
    <t>제 1호표  케이블 트레이 및 랙 설치(철제)10,000 ㎟ 이하</t>
  </si>
  <si>
    <t>제 1호표  케이블 트레이 및 랙 설치(철제)</t>
  </si>
  <si>
    <t>E10410054001001002</t>
  </si>
  <si>
    <t>제 2호표  케이블 트레이 및 랙 설치(철제)</t>
  </si>
  <si>
    <t>E10410054001001003</t>
  </si>
  <si>
    <t>제 3호표  케이블 트레이 및 랙 설치(철제)</t>
  </si>
  <si>
    <t>E10410054001001004</t>
  </si>
  <si>
    <t>제 4호표  케이블 트레이 및 랙 설치(철제)</t>
  </si>
  <si>
    <t>E10410054001001005</t>
  </si>
  <si>
    <t>제 5호표  케이블 트레이 및 랙 설치(철제)</t>
  </si>
  <si>
    <t>E10410054001001006</t>
  </si>
  <si>
    <t>제 6호표  케이블 트레이 및 랙 설치(철제)</t>
  </si>
  <si>
    <r>
      <t xml:space="preserve">10,000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</si>
  <si>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30,000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</si>
  <si>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50,000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</si>
  <si>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60,000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</si>
  <si>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80,000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</si>
  <si>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90,000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</si>
  <si>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t>E10308001001001001</t>
  </si>
  <si>
    <t>제 1호표  분전반W800×H500×D300이하</t>
  </si>
  <si>
    <t>제 1호표  분전반</t>
  </si>
  <si>
    <t>E10413096001001001</t>
  </si>
  <si>
    <t>제 1호표  철재류 가공 및 조립(현장작업)배전반, 분전반, 계기용 박스의 외함</t>
  </si>
  <si>
    <t>제 1호표  철재류 가공 및 조립(현장작업)</t>
  </si>
  <si>
    <t>배전반, 분전반, 계기용 박스의 외함</t>
  </si>
  <si>
    <t>톤</t>
  </si>
  <si>
    <t>E10413096001002001</t>
  </si>
  <si>
    <t>제 1호표  철재류 가공 및 조립(공장작업)배전반, 분전반, 계기용 박스의 외함</t>
  </si>
  <si>
    <t>제 1호표  철재류 가공 및 조립(공장작업)</t>
  </si>
  <si>
    <t>E10410022001001001</t>
  </si>
  <si>
    <t>제 1호표  박스(Box) 설치</t>
  </si>
  <si>
    <t>Concrete Box</t>
  </si>
  <si>
    <t>E10410022001001002</t>
  </si>
  <si>
    <t>제 2호표  박스(Box) 설치</t>
  </si>
  <si>
    <t>Outlet Box</t>
  </si>
  <si>
    <t>E10410022001001003</t>
  </si>
  <si>
    <t>제 3호표  박스(Box) 설치</t>
  </si>
  <si>
    <t>Switch Box(2개용이하)</t>
  </si>
  <si>
    <t>E10410022001001004</t>
  </si>
  <si>
    <t>제 4호표  박스(Box) 설치Switch Box(3개용이상)</t>
  </si>
  <si>
    <t>제 4호표  박스(Box) 설치</t>
  </si>
  <si>
    <t>Switch Box(3개용이상)</t>
  </si>
  <si>
    <t>E10410022001001005</t>
  </si>
  <si>
    <t>제 5호표  박스(Box) 설치</t>
  </si>
  <si>
    <t>E10410022001001006</t>
  </si>
  <si>
    <t>제 6호표  박스(Box) 설치플로어박스</t>
  </si>
  <si>
    <t>제 6호표  박스(Box) 설치</t>
  </si>
  <si>
    <t>플로어박스</t>
  </si>
  <si>
    <t>E10410022001001007</t>
  </si>
  <si>
    <t>제 7호표  박스(Box) 설치</t>
  </si>
  <si>
    <t>연결용 박스</t>
  </si>
  <si>
    <t>E10410033001001001</t>
  </si>
  <si>
    <t>제 1호표  풀박스(Pull Box) 설치(천정면)100㎜X100㎜X100㎜이하</t>
  </si>
  <si>
    <t>제 1호표  풀박스(Pull Box) 설치(천정면)</t>
  </si>
  <si>
    <t>E10410033001001002</t>
  </si>
  <si>
    <t>제 2호표  풀박스(Pull Box) 설치(천정면)250㎜X250㎜X200㎜이하</t>
  </si>
  <si>
    <t>제 2호표  풀박스(Pull Box) 설치(천정면)</t>
  </si>
  <si>
    <t>E10410033001001003</t>
  </si>
  <si>
    <t>제 3호표  풀박스(Pull Box) 설치(천정면)400㎜X400㎜X300㎜이하</t>
  </si>
  <si>
    <t>제 3호표  풀박스(Pull Box) 설치(천정면)</t>
  </si>
  <si>
    <t>E10410033001001004</t>
  </si>
  <si>
    <t>제 4호표  풀박스(Pull Box) 설치(천정면)700㎜X700㎜X400㎜이하</t>
  </si>
  <si>
    <t>제 4호표  풀박스(Pull Box) 설치(천정면)</t>
  </si>
  <si>
    <t>E10410033001001005</t>
  </si>
  <si>
    <t>제 5호표  풀박스(Pull Box) 설치(천정면)1000㎜X1000㎜X150㎜이하</t>
  </si>
  <si>
    <t>제 5호표  풀박스(Pull Box) 설치(천정면)</t>
  </si>
  <si>
    <t>E10410033001001006</t>
  </si>
  <si>
    <t>제 6호표  풀박스(Pull Box) 설치(천정면)1200㎜X1200㎜X150㎜이하</t>
  </si>
  <si>
    <t>제 6호표  풀박스(Pull Box) 설치(천정면)</t>
  </si>
  <si>
    <t>E10410033001001007</t>
  </si>
  <si>
    <t>제 7호표  풀박스(Pull Box) 설치(천정면)1500㎜X1500㎜X250㎜이하</t>
  </si>
  <si>
    <t>제 7호표  풀박스(Pull Box) 설치(천정면)</t>
  </si>
  <si>
    <t>E10410033001001008</t>
  </si>
  <si>
    <t>제 8호표  풀박스(Pull Box) 설치(천정면)2000㎜X2000㎜X300㎜이하</t>
  </si>
  <si>
    <t>제 8호표  풀박스(Pull Box) 설치(천정면)</t>
  </si>
  <si>
    <t>E10410033001002001</t>
  </si>
  <si>
    <t>제 1호표  풀박스(Pull Box) 설치(벽면)</t>
  </si>
  <si>
    <t>E10410033001002002</t>
  </si>
  <si>
    <t>제 2호표  풀박스(Pull Box) 설치(벽면)</t>
  </si>
  <si>
    <t>E10410033001002003</t>
  </si>
  <si>
    <t>제 3호표  풀박스(Pull Box) 설치(벽면)</t>
  </si>
  <si>
    <t>E10410033001002004</t>
  </si>
  <si>
    <t>제 4호표  풀박스(Pull Box) 설치(벽면)</t>
  </si>
  <si>
    <t>E10410033001002005</t>
  </si>
  <si>
    <t>제 5호표  풀박스(Pull Box) 설치(벽면)1000㎜X1000㎜X150㎜이하</t>
  </si>
  <si>
    <t>제 5호표  풀박스(Pull Box) 설치(벽면)</t>
  </si>
  <si>
    <t>E10410033001002006</t>
  </si>
  <si>
    <t>제 6호표  풀박스(Pull Box) 설치(벽면)1200㎜X1200㎜X150㎜이하</t>
  </si>
  <si>
    <t>제 6호표  풀박스(Pull Box) 설치(벽면)</t>
  </si>
  <si>
    <t>E10410033001002007</t>
  </si>
  <si>
    <t>제 7호표  풀박스(Pull Box) 설치(벽면)1500㎜X1500㎜X250㎜이하</t>
  </si>
  <si>
    <t>제 7호표  풀박스(Pull Box) 설치(벽면)</t>
  </si>
  <si>
    <t>E10410033001002008</t>
  </si>
  <si>
    <t>제 8호표  풀박스(Pull Box) 설치(벽면)2000㎜X2000㎜X300㎜이하</t>
  </si>
  <si>
    <t>제 8호표  풀박스(Pull Box) 설치(벽면)</t>
  </si>
  <si>
    <t>E10410044001002001</t>
  </si>
  <si>
    <t>E10410044001002002</t>
  </si>
  <si>
    <t>제 2호표  시스템 박스콘크리트매입 데크플레이트용</t>
  </si>
  <si>
    <t>제 2호표  시스템 박스</t>
  </si>
  <si>
    <t>E10410044001002003</t>
  </si>
  <si>
    <t>E10411002001001001</t>
  </si>
  <si>
    <t>제 1호표  박스(Box), 시스템 박스 등Concrete Box</t>
  </si>
  <si>
    <t>제 1호표  박스(Box), 시스템 박스 등</t>
  </si>
  <si>
    <t>E10411002001001002</t>
  </si>
  <si>
    <t>제 2호표  박스(Box), 시스템 박스 등Outlet Box</t>
  </si>
  <si>
    <t>제 2호표  박스(Box), 시스템 박스 등</t>
  </si>
  <si>
    <t>E10411002001001003</t>
  </si>
  <si>
    <t>제 3호표  박스(Box), 시스템 박스 등Switch Box(3개용 이하)</t>
  </si>
  <si>
    <t>제 3호표  박스(Box), 시스템 박스 등</t>
  </si>
  <si>
    <t>Switch Box(3개용 이하)</t>
  </si>
  <si>
    <t>E10411002001001004</t>
  </si>
  <si>
    <t>제 4호표  박스(Box), 시스템 박스 등Switch Box(4개용 이상)</t>
  </si>
  <si>
    <t>제 4호표  박스(Box), 시스템 박스 등</t>
  </si>
  <si>
    <t>Switch Box(4개용 이상)</t>
  </si>
  <si>
    <t>E10411002001001005</t>
  </si>
  <si>
    <t>제 5호표  박스(Box), 시스템 박스 등연결용 박스</t>
  </si>
  <si>
    <t>제 5호표  박스(Box), 시스템 박스 등</t>
  </si>
  <si>
    <t>E10411002001001006</t>
  </si>
  <si>
    <t>제 6호표  박스(Box), 시스템 박스 등시스템 박스</t>
  </si>
  <si>
    <t>제 6호표  박스(Box), 시스템 박스 등</t>
  </si>
  <si>
    <t>시스템 박스</t>
  </si>
  <si>
    <t>E10411007001005001</t>
  </si>
  <si>
    <t>제 1호표  박스용 석고판 구멍따기12.7 Ø 이하</t>
  </si>
  <si>
    <t>제 1호표  박스용 석고판 구멍따기</t>
  </si>
  <si>
    <t>10개</t>
  </si>
  <si>
    <t>E10411007001006001</t>
  </si>
  <si>
    <t>제 1호표  박스용 철판 구멍따기두께 2㎜ 이하</t>
  </si>
  <si>
    <t>제 1호표  박스용 철판 구멍따기</t>
  </si>
  <si>
    <t>두께 2㎜ 이하</t>
  </si>
  <si>
    <t>E10410021001001001</t>
  </si>
  <si>
    <t>제 1호표  박스커버박스커버</t>
  </si>
  <si>
    <t>제 1호표  박스커버</t>
  </si>
  <si>
    <t>박스커버</t>
  </si>
  <si>
    <t>장</t>
  </si>
  <si>
    <t>E10410021001003001</t>
  </si>
  <si>
    <t>제 1호표  박스용철판(데크플레이트 등) 구멍따기두께 2㎜ 이하</t>
  </si>
  <si>
    <t>제 1호표  박스용철판(데크플레이트 등) 구멍따기</t>
  </si>
  <si>
    <t>E10410021001011001</t>
  </si>
  <si>
    <t>제 1호표  박스용 석고판 구멍따기각종 두께</t>
  </si>
  <si>
    <t>각종 두께</t>
  </si>
  <si>
    <r>
      <t>W800×H500×D300</t>
    </r>
    <r>
      <rPr>
        <sz val="9"/>
        <color theme="1"/>
        <rFont val="Malgun Gothic"/>
        <family val="3"/>
        <charset val="129"/>
      </rPr>
      <t>이하</t>
    </r>
  </si>
  <si>
    <r>
      <t xml:space="preserve">12.7 Ø </t>
    </r>
    <r>
      <rPr>
        <sz val="9"/>
        <color theme="1"/>
        <rFont val="Malgun Gothic"/>
        <family val="3"/>
        <charset val="129"/>
      </rPr>
      <t>이하</t>
    </r>
  </si>
  <si>
    <r>
      <t>두께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</si>
  <si>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노출형</t>
    </r>
    <r>
      <rPr>
        <sz val="9"/>
        <color indexed="8"/>
        <rFont val="Malgun Gothic"/>
        <family val="3"/>
        <charset val="129"/>
      </rPr>
      <t xml:space="preserve"> Box(</t>
    </r>
    <r>
      <rPr>
        <sz val="9"/>
        <color theme="1"/>
        <rFont val="Malgun Gothic"/>
        <family val="3"/>
        <charset val="129"/>
      </rPr>
      <t>콘크리트노출기준</t>
    </r>
    <r>
      <rPr>
        <sz val="9"/>
        <color indexed="8"/>
        <rFont val="Malgun Gothic"/>
        <family val="3"/>
        <charset val="129"/>
      </rPr>
      <t>)</t>
    </r>
  </si>
  <si>
    <r>
      <t>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</t>
    </r>
    <r>
      <rPr>
        <sz val="9"/>
        <color theme="1"/>
        <rFont val="Malgun Gothic"/>
        <family val="3"/>
        <charset val="129"/>
      </rPr>
      <t>㎜이하</t>
    </r>
  </si>
  <si>
    <r>
      <t>250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X200</t>
    </r>
    <r>
      <rPr>
        <sz val="9"/>
        <color theme="1"/>
        <rFont val="Malgun Gothic"/>
        <family val="3"/>
        <charset val="129"/>
      </rPr>
      <t>㎜이하</t>
    </r>
  </si>
  <si>
    <r>
      <t>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X300</t>
    </r>
    <r>
      <rPr>
        <sz val="9"/>
        <color theme="1"/>
        <rFont val="Malgun Gothic"/>
        <family val="3"/>
        <charset val="129"/>
      </rPr>
      <t>㎜이하</t>
    </r>
  </si>
  <si>
    <r>
      <t>700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X700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X400</t>
    </r>
    <r>
      <rPr>
        <sz val="9"/>
        <color theme="1"/>
        <rFont val="Malgun Gothic"/>
        <family val="3"/>
        <charset val="129"/>
      </rPr>
      <t>㎜이하</t>
    </r>
  </si>
  <si>
    <r>
      <t>1000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</t>
    </r>
    <r>
      <rPr>
        <sz val="9"/>
        <color theme="1"/>
        <rFont val="Malgun Gothic"/>
        <family val="3"/>
        <charset val="129"/>
      </rPr>
      <t>㎜이하</t>
    </r>
  </si>
  <si>
    <r>
      <t>1200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</t>
    </r>
    <r>
      <rPr>
        <sz val="9"/>
        <color theme="1"/>
        <rFont val="Malgun Gothic"/>
        <family val="3"/>
        <charset val="129"/>
      </rPr>
      <t>㎜이하</t>
    </r>
  </si>
  <si>
    <r>
      <t>1500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X250</t>
    </r>
    <r>
      <rPr>
        <sz val="9"/>
        <color theme="1"/>
        <rFont val="Malgun Gothic"/>
        <family val="3"/>
        <charset val="129"/>
      </rPr>
      <t>㎜이하</t>
    </r>
  </si>
  <si>
    <r>
      <t>2000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X300</t>
    </r>
    <r>
      <rPr>
        <sz val="9"/>
        <color theme="1"/>
        <rFont val="Malgun Gothic"/>
        <family val="3"/>
        <charset val="129"/>
      </rPr>
      <t>㎜이하</t>
    </r>
  </si>
  <si>
    <r>
      <t>콘크리트매입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전선관용</t>
    </r>
  </si>
  <si>
    <r>
      <t>콘크리트매입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데크플레이트용</t>
    </r>
  </si>
  <si>
    <r>
      <t>액세스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플로어용</t>
    </r>
  </si>
  <si>
    <t>인</t>
    <phoneticPr fontId="6" type="noConversion"/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</si>
  <si>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 플러그</t>
    </r>
    <phoneticPr fontId="6" type="noConversion"/>
  </si>
  <si>
    <t>D01347</t>
  </si>
  <si>
    <t>D01348</t>
  </si>
  <si>
    <t>D01349</t>
  </si>
  <si>
    <t>D01350</t>
  </si>
  <si>
    <t>D01351</t>
  </si>
  <si>
    <t>ISP-008P, 0.75㎾</t>
  </si>
  <si>
    <t>ISP-015P, 1.5㎾</t>
  </si>
  <si>
    <t>ISP-022P, 2.2㎾</t>
  </si>
  <si>
    <t>ISP-037P, 3.7㎾</t>
  </si>
  <si>
    <t>ISP-055P, 5.5㎾</t>
  </si>
  <si>
    <t>인버터(1)</t>
  </si>
  <si>
    <t>SV0008iS7-2NO, 200V, 0.75㎾</t>
  </si>
  <si>
    <t>SV0015iS7-2NO, 200V, 1.5㎾</t>
  </si>
  <si>
    <t>SV0022iS7-2NO, 200V, 2.2㎾</t>
  </si>
  <si>
    <t>SV0037iS7-2NO, 200V, 3.7㎾</t>
  </si>
  <si>
    <t>SV0055iS7-2NO, 200V, 5.5㎾</t>
  </si>
  <si>
    <t>SV0075iS7-2NO, 200V, 7.5㎾</t>
  </si>
  <si>
    <t>SV0110iS7-2NO, 200V, 11㎾</t>
  </si>
  <si>
    <t>SV0150iS7-2NO, 200V, 15㎾</t>
  </si>
  <si>
    <t>SV0185iS7-2NO, 200V, 18.5㎾</t>
  </si>
  <si>
    <t>SV0220iS7-2NO, 200V, 22㎾</t>
  </si>
  <si>
    <t>SV0300iS7-2SO, 200V, 30㎾</t>
  </si>
  <si>
    <t>SV0370iS7-2SO, 200V, 37㎾</t>
  </si>
  <si>
    <t>SV0450iS7-2SO, 200V, 45㎾</t>
  </si>
  <si>
    <t>SV0550iS7-2SO, 200V, 55㎾</t>
  </si>
  <si>
    <t>SV0750iS7-2SO, 200V, 75㎾</t>
  </si>
  <si>
    <t>SV0008iS7-4NO, 400V, 0.75㎾</t>
  </si>
  <si>
    <t>SV0015iS7-4NO, 400V, 1.5㎾</t>
  </si>
  <si>
    <t>SV0022iS7-4NO, 400V, 2.2㎾</t>
  </si>
  <si>
    <t>SV0037iS7-4NO, 400V, 3.7㎾</t>
  </si>
  <si>
    <t>SV0055iS7-4NO, 400V, 5.5㎾</t>
  </si>
  <si>
    <t>SV0075iS7-4NO, 400V, 7.5㎾</t>
  </si>
  <si>
    <t>SV0110iS7-4NO, 400V, 11㎾</t>
  </si>
  <si>
    <t>SV0150iS7-4NO, 400V, 15㎾</t>
  </si>
  <si>
    <t>SV0185iS7-4NO, 400V, 18.5㎾</t>
  </si>
  <si>
    <t>SV0220iS7-4NO, 400V, 22㎾</t>
  </si>
  <si>
    <t>SV0300iS7-4SO, 400V, 30㎾</t>
  </si>
  <si>
    <t>SV0370iS7-4SO, 400V, 37㎾</t>
  </si>
  <si>
    <t>SV0450iS7-4SO, 400V, 45㎾</t>
  </si>
  <si>
    <t>SV0550iS7-4SO, 400V, 55㎾</t>
  </si>
  <si>
    <t>SV0750iS7-4SO, 400V, 75㎾</t>
  </si>
  <si>
    <t>SV2800iS7-4SO, 400V, 280㎾</t>
  </si>
  <si>
    <t>SV3150iS7-4SO, 400V, 315㎾</t>
  </si>
  <si>
    <t>SV3750iS7-4SO, 400V, 375㎾</t>
  </si>
  <si>
    <t>SV0300iS7-4SOD, 400V(리액터 내장), 30㎾</t>
  </si>
  <si>
    <t>SV0370iS7-4SOD, 400V(리액터 내장), 37㎾</t>
  </si>
  <si>
    <t>SV0450iS7-4SOD, 400V(리액터 내장), 45㎾</t>
  </si>
  <si>
    <t>SV0550iS7-4SOD, 400V(리액터 내장), 55㎾</t>
  </si>
  <si>
    <t>SV0750iS7-4SOD, 400V(리액터 내장), 75㎾</t>
  </si>
  <si>
    <t>SV0900iS7-4SOD, 400V(리액터 내장), 90㎾</t>
  </si>
  <si>
    <t>SV1100iS7-4SOD, 400V(리액터 내장), 110㎾</t>
  </si>
  <si>
    <t>SV1320iS7-4SOD, 400V(리액터 내장), 132㎾</t>
  </si>
  <si>
    <t>SV1600iS7-4SOD, 400V(리액터 내장), 160㎾</t>
  </si>
  <si>
    <t>SV1850iS7-4SOD, 400V(리액터 내장), 185㎾</t>
  </si>
  <si>
    <t>SV2200iS7-4SOD, 400V(리액터 내장), 220㎾</t>
  </si>
  <si>
    <t>SV0008iS7-2NOFD, 200V(리액터,필터 내장), 0.75㎾</t>
  </si>
  <si>
    <t>SV0015iS7-2NOFD, 200V(리액터,필터 내장), 1.5㎾</t>
  </si>
  <si>
    <t>SV0022iS7-2NOFD, 200V(리액터,필터 내장), 2.2㎾</t>
  </si>
  <si>
    <t>SV0037iS7-2NOFD, 200V(리액터,필터 내장), 3.7㎾</t>
  </si>
  <si>
    <t>SV0022iS7-4NOFD, 400V(리액터,필터 내장), 2.2㎾</t>
  </si>
  <si>
    <t>SV0037iS7-4NOFD, 400V(리액터,필터 내장), 3.7㎾</t>
  </si>
  <si>
    <t>SV0055iS7-4NOFD, 400V(리액터,필터 내장), 5.5㎾</t>
  </si>
  <si>
    <t>SV0075iS7-4NOFD, 400V(리액터,필터 내장), 7.5㎾</t>
  </si>
  <si>
    <t>SV0110iS7-4NOFD, 400V(리액터,필터 내장), 11㎾</t>
  </si>
  <si>
    <t>SV0150iS7-4NOFD, 400V(리액터,필터 내장), 15㎾</t>
  </si>
  <si>
    <t>SV0185iS7-4NOFD, 400V(리액터,필터 내장), 18.5㎾</t>
  </si>
  <si>
    <t>SV0220iS7-4NOFD, 400V(리액터,필터 내장), 22㎾</t>
  </si>
  <si>
    <t>M071001900300101</t>
  </si>
  <si>
    <t>M071001900300201</t>
  </si>
  <si>
    <t>M071001900300301</t>
  </si>
  <si>
    <t>M071001900300401</t>
  </si>
  <si>
    <t>M071001900300501</t>
  </si>
  <si>
    <t>M071001900300601</t>
  </si>
  <si>
    <t>M071001900300701</t>
  </si>
  <si>
    <t>M071001900300801</t>
  </si>
  <si>
    <t>M071001900300901</t>
  </si>
  <si>
    <t>M071001900301001</t>
  </si>
  <si>
    <t>M071001900301101</t>
  </si>
  <si>
    <t>M071001900301201</t>
  </si>
  <si>
    <t>M071001900301301</t>
  </si>
  <si>
    <t>M071001900301401</t>
  </si>
  <si>
    <t>M071001900301501</t>
  </si>
  <si>
    <t>M071001900301601</t>
  </si>
  <si>
    <t>M071001900301701</t>
  </si>
  <si>
    <t>M071001900301801</t>
  </si>
  <si>
    <t>M071001900301901</t>
  </si>
  <si>
    <t>M071001900302001</t>
  </si>
  <si>
    <t>M071001900302101</t>
  </si>
  <si>
    <t>M071001900302201</t>
  </si>
  <si>
    <t>M071001900302301</t>
  </si>
  <si>
    <t>M071001900302401</t>
  </si>
  <si>
    <t>M071001900302501</t>
  </si>
  <si>
    <t>M071001900302601</t>
  </si>
  <si>
    <t>M071001900302701</t>
  </si>
  <si>
    <t>M071001900302801</t>
  </si>
  <si>
    <t>M071001900302901</t>
  </si>
  <si>
    <t>M071001900303001</t>
  </si>
  <si>
    <t>M071001900303101</t>
  </si>
  <si>
    <t>M071001900303201</t>
  </si>
  <si>
    <t>M071001900303301</t>
  </si>
  <si>
    <t>M071001900303401</t>
  </si>
  <si>
    <t>M071001900303501</t>
  </si>
  <si>
    <t>M071001900303601</t>
  </si>
  <si>
    <t>M071001900303701</t>
  </si>
  <si>
    <t>M071001900303801</t>
  </si>
  <si>
    <t>M071001900303901</t>
  </si>
  <si>
    <t>M071001900304001</t>
  </si>
  <si>
    <t>M071001900304101</t>
  </si>
  <si>
    <t>M071001900304201</t>
  </si>
  <si>
    <t>M071001900304301</t>
  </si>
  <si>
    <t>M071001900304401</t>
  </si>
  <si>
    <t>M071001900304501</t>
  </si>
  <si>
    <t>M071001900304601</t>
  </si>
  <si>
    <t>M071001900304701</t>
  </si>
  <si>
    <t>M071001900304801</t>
  </si>
  <si>
    <t>M071001900304901</t>
  </si>
  <si>
    <t>M071001900305001</t>
  </si>
  <si>
    <t>M071001900305101</t>
  </si>
  <si>
    <t>M071001900305201</t>
  </si>
  <si>
    <t>M071001900305301</t>
  </si>
  <si>
    <t>M071001900305401</t>
  </si>
  <si>
    <t>M071001900305501</t>
  </si>
  <si>
    <t>M071001900305601</t>
  </si>
  <si>
    <t>M071001900305701</t>
  </si>
  <si>
    <t>M071001900305801</t>
  </si>
  <si>
    <t>M071001900305901</t>
  </si>
  <si>
    <t>M071001900306001</t>
  </si>
  <si>
    <t>M071001900306101</t>
  </si>
  <si>
    <t>M071001900306201</t>
  </si>
  <si>
    <t>M071001900306301</t>
  </si>
  <si>
    <t>M071001900306401</t>
  </si>
  <si>
    <t>M071001600100101</t>
  </si>
  <si>
    <t>M071001600100201</t>
  </si>
  <si>
    <t>M071001600100301</t>
  </si>
  <si>
    <t>M071001600100401</t>
  </si>
  <si>
    <t>M071001600100501</t>
  </si>
  <si>
    <t>M071001600100601</t>
  </si>
  <si>
    <t>M071001600100701</t>
  </si>
  <si>
    <t>M071001600100801</t>
  </si>
  <si>
    <t>M071001600100901</t>
  </si>
  <si>
    <t>M071001600101001</t>
  </si>
  <si>
    <t>M071001600101101</t>
  </si>
  <si>
    <t>M071001600101201</t>
  </si>
  <si>
    <t>M071001600101301</t>
  </si>
  <si>
    <t>M071001600101401</t>
  </si>
  <si>
    <t>M071001600101501</t>
  </si>
  <si>
    <t>M071001600101601</t>
  </si>
  <si>
    <t>M071001600101701</t>
  </si>
  <si>
    <t>M071001600101801</t>
  </si>
  <si>
    <t>M071001600101901</t>
  </si>
  <si>
    <t>M071001600102001</t>
  </si>
  <si>
    <t>M071001600102101</t>
  </si>
  <si>
    <t>M071001600102201</t>
  </si>
  <si>
    <t>M071001600102301</t>
  </si>
  <si>
    <t>M071001600102401</t>
  </si>
  <si>
    <t>M071001600102501</t>
  </si>
  <si>
    <t>M071001600102601</t>
  </si>
  <si>
    <t>ISP-900P, 90㎾</t>
  </si>
  <si>
    <t>ISP-1100P, 110㎾</t>
  </si>
  <si>
    <t>ISP-1320P, 132㎾</t>
  </si>
  <si>
    <t>ISP-1600P, 160㎾</t>
  </si>
  <si>
    <t>ISP-1850P, 185㎾</t>
  </si>
  <si>
    <t>ISP-2200P, 220㎾</t>
  </si>
  <si>
    <t>ISP-2800P, 280㎾</t>
  </si>
  <si>
    <t>ISP-3150P, 315㎾</t>
  </si>
  <si>
    <t>ISP-3750P, 375㎾</t>
  </si>
  <si>
    <t>ISP-4500P, 450㎾</t>
  </si>
  <si>
    <t>ISP-6500P, 650㎾</t>
  </si>
  <si>
    <t>M070500400100101</t>
  </si>
  <si>
    <t>M070500400100201</t>
  </si>
  <si>
    <t>M070500400200101</t>
  </si>
  <si>
    <t>M070500400200201</t>
  </si>
  <si>
    <t>M070500400200301</t>
  </si>
  <si>
    <t>M070500400200401</t>
  </si>
  <si>
    <t>M070500500100101</t>
  </si>
  <si>
    <t>M070500500100201</t>
  </si>
  <si>
    <t>M070500500100301</t>
  </si>
  <si>
    <t>M070500500100401</t>
  </si>
  <si>
    <t>M070500500100501</t>
  </si>
  <si>
    <t>M070500500100601</t>
  </si>
  <si>
    <t>M070500500100701</t>
  </si>
  <si>
    <t>M070500500100801</t>
  </si>
  <si>
    <t>M070500600100101</t>
  </si>
  <si>
    <t>M070500600100201</t>
  </si>
  <si>
    <t>M070500600100301</t>
  </si>
  <si>
    <t>ARMORED광케이블</t>
  </si>
  <si>
    <t>ARMORED OPTICAL CABLE</t>
  </si>
  <si>
    <t>SINGLE MODE 2CORE</t>
  </si>
  <si>
    <t>SINGLE MODE 4CORE</t>
  </si>
  <si>
    <t>ARMORED 광점퍼코드</t>
  </si>
  <si>
    <t>S/M LC-SC-2C-3M</t>
  </si>
  <si>
    <t>S/M SC-SC-1C-3M</t>
  </si>
  <si>
    <t>S/M LC-SC-1C-3M</t>
  </si>
  <si>
    <t>S/M LC-LC-1C-3M</t>
  </si>
  <si>
    <t>광케이블</t>
  </si>
  <si>
    <t>4C, MM(멀티모드)</t>
  </si>
  <si>
    <t>8C, MM(멀티모드)</t>
  </si>
  <si>
    <t>12C, MM(멀티모드)</t>
  </si>
  <si>
    <t>24C, MM(멀티모드)</t>
  </si>
  <si>
    <t>4C, SM(싱글모드)</t>
  </si>
  <si>
    <t>8C, SM(싱글모드)</t>
  </si>
  <si>
    <t>12C, SM(싱글모드)</t>
  </si>
  <si>
    <t>24C, SM(싱글모드)</t>
  </si>
  <si>
    <t>고주파폴리에틸렌절연동축케이블(ECX)</t>
  </si>
  <si>
    <t>동축케이블(ECX)</t>
  </si>
  <si>
    <t>5C-2V</t>
  </si>
  <si>
    <t>7C-2V</t>
  </si>
  <si>
    <t>10C-2V</t>
  </si>
  <si>
    <t>M070501000100101</t>
  </si>
  <si>
    <t>M070501000200101</t>
  </si>
  <si>
    <t>M070501000300101</t>
  </si>
  <si>
    <t>LAN(UTP)케이블(2)</t>
  </si>
  <si>
    <t>Cat.6A 4P 케이블(LSOH, S/FTP, Green)</t>
  </si>
  <si>
    <t>VOL-6A SFL4</t>
  </si>
  <si>
    <t>Cat.6 4P 케이블(PVC, UTP, Bule)</t>
  </si>
  <si>
    <t>VOL-6UP4-305</t>
  </si>
  <si>
    <t>Cat.5e 4P 케이블(PVC, UTP, White)</t>
  </si>
  <si>
    <t>VOL-5UP4-350WH</t>
  </si>
  <si>
    <t>M070501001100101</t>
  </si>
  <si>
    <t>M070501001200101</t>
  </si>
  <si>
    <t>Cat.6 RJ45 모듈라플러그</t>
  </si>
  <si>
    <t>VOL-MP6B-UTP</t>
  </si>
  <si>
    <t>Cat.5e RJ45 모듈라플러그</t>
  </si>
  <si>
    <t>VOL-MP5E-UTP</t>
  </si>
  <si>
    <t>M070600300700101</t>
  </si>
  <si>
    <t>M070600300700201</t>
  </si>
  <si>
    <t>M070600300700301</t>
  </si>
  <si>
    <t>HFIX(1C)</t>
  </si>
  <si>
    <t>1.5(단심)</t>
  </si>
  <si>
    <t>2.5(단심)</t>
  </si>
  <si>
    <t>4(단심)</t>
  </si>
  <si>
    <t>M070600301100101</t>
  </si>
  <si>
    <t>M070600301100201</t>
  </si>
  <si>
    <t>M070600301100301</t>
  </si>
  <si>
    <t>M070600301100401</t>
  </si>
  <si>
    <t>M070600301100501</t>
  </si>
  <si>
    <t>M070600301100601</t>
  </si>
  <si>
    <t>M070600301100701</t>
  </si>
  <si>
    <t>M070600301100801</t>
  </si>
  <si>
    <t>M070600301100901</t>
  </si>
  <si>
    <t>M070600301101001</t>
  </si>
  <si>
    <t>M070600301101101</t>
  </si>
  <si>
    <t>M070600301101201</t>
  </si>
  <si>
    <t>M070600301101301</t>
  </si>
  <si>
    <t>M070600301101401</t>
  </si>
  <si>
    <t>M070600301101501</t>
  </si>
  <si>
    <t>KIV(1C)</t>
  </si>
  <si>
    <t>M070601000100101</t>
  </si>
  <si>
    <t>M070601000200101</t>
  </si>
  <si>
    <t>M070601000300101</t>
  </si>
  <si>
    <t>M070601000400101</t>
  </si>
  <si>
    <t>M070601000500101</t>
  </si>
  <si>
    <t>M070601000600101</t>
  </si>
  <si>
    <t>M070601000700101</t>
  </si>
  <si>
    <t>M070601000800101</t>
  </si>
  <si>
    <t>M070601000900101</t>
  </si>
  <si>
    <t>M070601001000101</t>
  </si>
  <si>
    <t>M070601001100101</t>
  </si>
  <si>
    <t>M070601001200101</t>
  </si>
  <si>
    <t>M070601001300101</t>
  </si>
  <si>
    <t>M070601001400101</t>
  </si>
  <si>
    <t>M070601001500101</t>
  </si>
  <si>
    <t>M070601001600101</t>
  </si>
  <si>
    <t>누수/누유감지시스템</t>
  </si>
  <si>
    <t>누액감지컨트롤러</t>
  </si>
  <si>
    <t>AT20C-1</t>
  </si>
  <si>
    <t>Set</t>
  </si>
  <si>
    <t>산감지케이블</t>
  </si>
  <si>
    <t>AGW</t>
  </si>
  <si>
    <t>알칼리감지케이블</t>
  </si>
  <si>
    <t>AGT</t>
  </si>
  <si>
    <t>오일감지케이블</t>
  </si>
  <si>
    <t>TFH</t>
  </si>
  <si>
    <t>신호전송케이블</t>
  </si>
  <si>
    <t>JMP-UD</t>
  </si>
  <si>
    <t>종단케이블</t>
  </si>
  <si>
    <t>JMP-U</t>
  </si>
  <si>
    <t>연결용컨넥타</t>
  </si>
  <si>
    <t>SC-JM</t>
  </si>
  <si>
    <t>PC용 프로그램</t>
  </si>
  <si>
    <t>기본형</t>
  </si>
  <si>
    <t>누수감지컨트롤러</t>
  </si>
  <si>
    <t>LDCM-110</t>
  </si>
  <si>
    <t>신호전송모듈</t>
  </si>
  <si>
    <t>LDTM</t>
  </si>
  <si>
    <t>누수감지모듈</t>
  </si>
  <si>
    <t>LDCM-100</t>
  </si>
  <si>
    <t>누수감지케이블</t>
  </si>
  <si>
    <t>LDCA-10-15</t>
  </si>
  <si>
    <t>연결케이블</t>
  </si>
  <si>
    <t>LDLW</t>
  </si>
  <si>
    <t>점퍼케이블</t>
  </si>
  <si>
    <t>LDJW</t>
  </si>
  <si>
    <t>종단키트</t>
  </si>
  <si>
    <t>LDTK</t>
  </si>
  <si>
    <t>고정클립</t>
  </si>
  <si>
    <t>LDMC</t>
  </si>
  <si>
    <t>pk</t>
  </si>
  <si>
    <t>M070601100400101</t>
  </si>
  <si>
    <t>M070601100400201</t>
  </si>
  <si>
    <t>M070601100400301</t>
  </si>
  <si>
    <t>M070601100400401</t>
  </si>
  <si>
    <t>M070601100400501</t>
  </si>
  <si>
    <t>M070601100400601</t>
  </si>
  <si>
    <t>M070601100400701</t>
  </si>
  <si>
    <t>M070601100400801</t>
  </si>
  <si>
    <t>M070601100400901</t>
  </si>
  <si>
    <t>M070601100401001</t>
  </si>
  <si>
    <t>M070601100401101</t>
  </si>
  <si>
    <t>M070601100401201</t>
  </si>
  <si>
    <t>M070601100401301</t>
  </si>
  <si>
    <t>M070601100401401</t>
  </si>
  <si>
    <t>M070601100401501</t>
  </si>
  <si>
    <t>M070601100401601</t>
  </si>
  <si>
    <t>M070601100401701</t>
  </si>
  <si>
    <t>M070601100401801</t>
  </si>
  <si>
    <t>M070601100401901</t>
  </si>
  <si>
    <t>M070601100402001</t>
  </si>
  <si>
    <t>M070601100402101</t>
  </si>
  <si>
    <t>M070601100402201</t>
  </si>
  <si>
    <t>M070601100402301</t>
  </si>
  <si>
    <t>M070601100402401</t>
  </si>
  <si>
    <t>M070601100402501</t>
  </si>
  <si>
    <t>M070601100402601</t>
  </si>
  <si>
    <t>M070601100402701</t>
  </si>
  <si>
    <t>M070601100402801</t>
  </si>
  <si>
    <t>M070601100402901</t>
  </si>
  <si>
    <t>M070601100403001</t>
  </si>
  <si>
    <t>히팅케이블(1)</t>
  </si>
  <si>
    <t>동파방지용(65℃), SRL16-2CR</t>
  </si>
  <si>
    <t>동파방지용(65℃), SRL30-2CR</t>
  </si>
  <si>
    <t>동파방지용(65℃), SRF16-2CR</t>
  </si>
  <si>
    <t>온도유지용(100℃), SRM30-2CR</t>
  </si>
  <si>
    <t>온도유지용(100℃), SRM40-2CR</t>
  </si>
  <si>
    <t>온도유지용(100℃), SRM50-2CR</t>
  </si>
  <si>
    <t>온도유지용(100℃), SRM30-2CT</t>
  </si>
  <si>
    <t>온도유지용(100℃), SRM40-2CT</t>
  </si>
  <si>
    <t>온도유지용(100℃), SRM50-2CT</t>
  </si>
  <si>
    <t>온도유지용(100℃), M.I Copper Sheath 1C 600V</t>
  </si>
  <si>
    <t>온도유지용(100℃), M.I Copper Sheath 2C 600V</t>
  </si>
  <si>
    <t>온도유지용(100℃), M.I S/S Sheath 1C 600V</t>
  </si>
  <si>
    <t>온도유지용(100℃), M.I S/S Sheath 2C 600V</t>
  </si>
  <si>
    <t>온도유지용(100℃), M.I Alloy Sheath 1C 300V</t>
  </si>
  <si>
    <t>온도유지용(100℃), M.I Alloy Sheath 2C 300V</t>
  </si>
  <si>
    <t>Cold Lead Section, Cold Lead for Copper M.I</t>
  </si>
  <si>
    <t>Cold Lead Section, Cold Lead for S/S M.I</t>
  </si>
  <si>
    <t>Cold Lead Section, Cold Lead for Alloy M.I</t>
  </si>
  <si>
    <t>전원연결박스, PCB (일반형)</t>
  </si>
  <si>
    <t>전원연결박스, PCB (방폭형)</t>
  </si>
  <si>
    <t>접속키트, NCK</t>
  </si>
  <si>
    <t>Tee 연결키트, TCK</t>
  </si>
  <si>
    <t>End Lamp Box, ELB</t>
  </si>
  <si>
    <t>End Seal Kit, ESK</t>
  </si>
  <si>
    <t>난연테이프, FGT</t>
  </si>
  <si>
    <t>R/L</t>
  </si>
  <si>
    <t>알루미늄테이프, AT</t>
  </si>
  <si>
    <t>바이메탈센서, BS</t>
  </si>
  <si>
    <t>온도센서, RTD 기본형 (PT100)</t>
  </si>
  <si>
    <t>온도센서, T/S 기본형</t>
  </si>
  <si>
    <t>M070701000600101</t>
  </si>
  <si>
    <t>M070701000600201</t>
  </si>
  <si>
    <t>M070701000600301</t>
  </si>
  <si>
    <t>M070701000600401</t>
  </si>
  <si>
    <t>M070701000600501</t>
  </si>
  <si>
    <t>M070701000600601</t>
  </si>
  <si>
    <t>M070701000600701</t>
  </si>
  <si>
    <t>M070701000600801</t>
  </si>
  <si>
    <t>M070701000600901</t>
  </si>
  <si>
    <t>M070701000601001</t>
  </si>
  <si>
    <t>M070701000601101</t>
  </si>
  <si>
    <t>M070701000601201</t>
  </si>
  <si>
    <t>M070701000601301</t>
  </si>
  <si>
    <t>M070701000601401</t>
  </si>
  <si>
    <t>M070701000601501</t>
  </si>
  <si>
    <t>M070701000601601</t>
  </si>
  <si>
    <t>압착단자, 동관단자, EYECAP</t>
  </si>
  <si>
    <t>EYE CAP(압착단자용)</t>
  </si>
  <si>
    <t>1.5SQ</t>
  </si>
  <si>
    <t>M070701200500201</t>
  </si>
  <si>
    <t>M070701200500301</t>
  </si>
  <si>
    <t>M070701200500401</t>
  </si>
  <si>
    <t>M070701200500501</t>
  </si>
  <si>
    <t>M070701200500601</t>
  </si>
  <si>
    <t>M070701200500701</t>
  </si>
  <si>
    <t>M070701200500801</t>
  </si>
  <si>
    <t>M070701200500901</t>
  </si>
  <si>
    <t>M070701200501001</t>
  </si>
  <si>
    <t>M070701200501101</t>
  </si>
  <si>
    <t>M070701200501201</t>
  </si>
  <si>
    <t>M070701200501301</t>
  </si>
  <si>
    <t>M070701200501401</t>
  </si>
  <si>
    <t>M070701200501501</t>
  </si>
  <si>
    <t>M070701200501601</t>
  </si>
  <si>
    <t>M070701200501701</t>
  </si>
  <si>
    <t>M070701200501801</t>
  </si>
  <si>
    <t>M070701200501901</t>
  </si>
  <si>
    <t>M070701200502001</t>
  </si>
  <si>
    <t>M070701200502101</t>
  </si>
  <si>
    <t>M070701200502201</t>
  </si>
  <si>
    <t>M070701200502301</t>
  </si>
  <si>
    <t>M070701200502401</t>
  </si>
  <si>
    <t>M070701200502501</t>
  </si>
  <si>
    <t>M070701200502601</t>
  </si>
  <si>
    <t>M070701200502701</t>
  </si>
  <si>
    <t>M070701200502801</t>
  </si>
  <si>
    <t>M070701200502901</t>
  </si>
  <si>
    <t>M070701200503001</t>
  </si>
  <si>
    <t>M070701200503101</t>
  </si>
  <si>
    <t>단자대</t>
  </si>
  <si>
    <t>고정식단자대</t>
  </si>
  <si>
    <t>YS FT010-03ZA, 전류:10A, 단자수:3P</t>
  </si>
  <si>
    <t>YS FT015-06ZA, 전류:15A, 단자수:6P</t>
  </si>
  <si>
    <t>YS FT015-10ZA, 전류:15A, 단자수:10P</t>
  </si>
  <si>
    <t>YS FT020-03ZA, 전류:20A, 단자수:3P</t>
  </si>
  <si>
    <t>YS FT020-04ZA, 전류:20A, 단자수:4P</t>
  </si>
  <si>
    <t>YS FT020-06ZA, 전류:20A, 단자수:6P</t>
  </si>
  <si>
    <t>YS FT020-10ZA, 전류:20A, 단자수:10P</t>
  </si>
  <si>
    <t>YS FT020-12ZA, 전류:20A, 단자수:12P</t>
  </si>
  <si>
    <t>YS FT020-15ZA, 전류:20A, 단자수:15P</t>
  </si>
  <si>
    <t>YS FT020-20ZA, 전류:20A, 단자수:20P</t>
  </si>
  <si>
    <t>YS FT030-03ZA, 전류:30A, 단자수:3P</t>
  </si>
  <si>
    <t>YS FT030-04ZA, 전류:30A, 단자수:4P</t>
  </si>
  <si>
    <t>YS FT030-06ZA, 전류:30A, 단자수:6P</t>
  </si>
  <si>
    <t>YS FT030-10ZA, 전류:30A, 단자수:10P</t>
  </si>
  <si>
    <t>YS FT060-03ZF, 전류:60A, 단자수:3P</t>
  </si>
  <si>
    <t>YS FT060-04ZF, 전류:60A, 단자수:4P</t>
  </si>
  <si>
    <t>YS FT100-03ZF, 전류:100A, 단자수:3P</t>
  </si>
  <si>
    <t>YS FT100-04ZF, 전류:100A, 단자수:4P</t>
  </si>
  <si>
    <t>YS FT150-03ZF, 전류:150A, 단자수:3P</t>
  </si>
  <si>
    <t>YS FT150-04ZF, 전류:150A, 단자수:4P</t>
  </si>
  <si>
    <t>YS FT200-03ZF, 전류:200A, 단자수:3P</t>
  </si>
  <si>
    <t>YS FT200-04ZF, 전류:200A, 단자수:4P</t>
  </si>
  <si>
    <t>YS FT300-03ZF, 전류:300A, 단자수:3P</t>
  </si>
  <si>
    <t>YS FT300-04ZF, 전류:300A, 단자수:4P</t>
  </si>
  <si>
    <t>YS FT400-03ZF, 전류:400A, 단자수:3P</t>
  </si>
  <si>
    <t>YS FT400-04ZF, 전류:400A, 단자수:4P</t>
  </si>
  <si>
    <t>YS FT500-03ZF, 전류:500A, 단자수:3P</t>
  </si>
  <si>
    <t>YS FT500-04ZF, 전류:500A, 단자수:4P</t>
  </si>
  <si>
    <t>YS FT600-03ZF, 전류:600A, 단자수:3P</t>
  </si>
  <si>
    <t>YS FT600-04ZF, 전류:600A, 단자수:4P</t>
  </si>
  <si>
    <t>M072700100100701</t>
  </si>
  <si>
    <t>M072700100100801</t>
  </si>
  <si>
    <t>M072700100100901</t>
  </si>
  <si>
    <t>M072700100101001</t>
  </si>
  <si>
    <t>M072700100101101</t>
  </si>
  <si>
    <t>M072700100101201</t>
  </si>
  <si>
    <t>M072700100101301</t>
  </si>
  <si>
    <t>M072700100101401</t>
  </si>
  <si>
    <t>M072700100101501</t>
  </si>
  <si>
    <t>M072700100101601</t>
  </si>
  <si>
    <t>축전지(1)</t>
  </si>
  <si>
    <t>무보수 밀폐형 축전지</t>
  </si>
  <si>
    <t>RP 30-12, 12V 30AH</t>
  </si>
  <si>
    <t>RP 35-12, 12V 35AH</t>
  </si>
  <si>
    <t>RP 45-12, 12V 45AH</t>
  </si>
  <si>
    <t>RP 50-12, 12V 50AH</t>
  </si>
  <si>
    <t>RP 60-12, 12V 60AH</t>
  </si>
  <si>
    <t>RP 100-12, 12V 100AH</t>
  </si>
  <si>
    <t>RP 120-12, 12V 120AH</t>
  </si>
  <si>
    <t>RP 150-12, 12V 150AH</t>
  </si>
  <si>
    <t>RP 200-12, 12V 200AH</t>
  </si>
  <si>
    <t>RP 250-12, 12V 250AH</t>
  </si>
  <si>
    <t>M072700200600101</t>
  </si>
  <si>
    <t>M072700200600201</t>
  </si>
  <si>
    <t>M072700200600301</t>
  </si>
  <si>
    <t>M072700200600401</t>
  </si>
  <si>
    <t>M072700200600501</t>
  </si>
  <si>
    <t>M072700200600601</t>
  </si>
  <si>
    <t>M072700200600701</t>
  </si>
  <si>
    <t>M072700200600801</t>
  </si>
  <si>
    <t>M072700200700101</t>
  </si>
  <si>
    <t>M072700200700201</t>
  </si>
  <si>
    <t>M072700200700301</t>
  </si>
  <si>
    <t>M072700200700401</t>
  </si>
  <si>
    <t>M072700200700501</t>
  </si>
  <si>
    <t>M072700200700601</t>
  </si>
  <si>
    <t>M072700200700701</t>
  </si>
  <si>
    <t>M072700200700801</t>
  </si>
  <si>
    <t>축전지(2)</t>
  </si>
  <si>
    <t>12V Deep Cycle용 무보수 완전 밀폐형 축전지</t>
  </si>
  <si>
    <t>ESC 30-12, 12V 30AH</t>
  </si>
  <si>
    <t>ESC 40-12, 12V 40AH</t>
  </si>
  <si>
    <t>ESC 65-12, 12V 65AH</t>
  </si>
  <si>
    <t>ESC 100-12, 12V 100AH</t>
  </si>
  <si>
    <t>ESC 120-12, 12V 120AH</t>
  </si>
  <si>
    <t>ESC 130-12, 12V 130AH</t>
  </si>
  <si>
    <t>ESC 150-12, 12V 150AH</t>
  </si>
  <si>
    <t>ESC 200-12, 12V 200AH</t>
  </si>
  <si>
    <t>M072500701500101</t>
  </si>
  <si>
    <t>M072500701600101</t>
  </si>
  <si>
    <t>M072500701700101</t>
  </si>
  <si>
    <t>M072500701800101</t>
  </si>
  <si>
    <t>교통신호기(6)</t>
  </si>
  <si>
    <t>맨홀(횡단용)</t>
  </si>
  <si>
    <t>내경 460×460×800 (PC-주철뚜껑)</t>
  </si>
  <si>
    <t>맨홀(보도용)</t>
  </si>
  <si>
    <t>내경 460×460×600 (PC-주철뚜껑)</t>
  </si>
  <si>
    <t>내경 460×460×800 (PC-AL뚜껑)</t>
  </si>
  <si>
    <t>내경 460×460×600 (PC-AL뚜껑)</t>
  </si>
  <si>
    <t>제 1호표  분전반 배전반</t>
    <phoneticPr fontId="6" type="noConversion"/>
  </si>
  <si>
    <t>E10409001008004001</t>
  </si>
  <si>
    <t>E10409001008004002</t>
  </si>
  <si>
    <t>E10409001008004003</t>
  </si>
  <si>
    <t>E10409001008005001</t>
  </si>
  <si>
    <t>E10409001008005002</t>
  </si>
  <si>
    <t>E10409001008005003</t>
  </si>
  <si>
    <t>E10409001008006001</t>
  </si>
  <si>
    <t>E10409001008006002</t>
  </si>
  <si>
    <t>E10409001008006003</t>
  </si>
  <si>
    <t>E10409001008007001</t>
  </si>
  <si>
    <t>E10409001008007002</t>
  </si>
  <si>
    <t>E10409001008007003</t>
  </si>
  <si>
    <t>제 1호표  인력 터파기(호박돌 섞인 토사)깊이 1m 미만</t>
  </si>
  <si>
    <t>제 1호표  인력 터파기(호박돌 섞인 토사)</t>
  </si>
  <si>
    <t>깊이 1m 미만</t>
  </si>
  <si>
    <t>제 3호표  인력 터파기(호박돌 섞인 토사)2m 이상 ~ 3m 미만</t>
  </si>
  <si>
    <t>제 3호표  인력 터파기(호박돌 섞인 토사)</t>
  </si>
  <si>
    <t>2m 이상 ~ 3m 미만</t>
  </si>
  <si>
    <t>제 1호표  인력 터파기(연암 및 풍화암)깊이 1m 미만</t>
  </si>
  <si>
    <t>제 1호표  인력 터파기(연암 및 풍화암)</t>
  </si>
  <si>
    <t>제 3호표  인력 터파기(연암 및 풍화암)2m 이상 ~ 3m 미만</t>
  </si>
  <si>
    <t>제 3호표  인력 터파기(연암 및 풍화암)</t>
  </si>
  <si>
    <t>제 1호표  인력 터파기(보통암)깊이 1m 미만</t>
  </si>
  <si>
    <t>제 1호표  인력 터파기(보통암)</t>
  </si>
  <si>
    <t>제 3호표  인력 터파기(보통암)2m 이상 ~ 3m 미만</t>
  </si>
  <si>
    <t>제 3호표  인력 터파기(보통암)</t>
  </si>
  <si>
    <t>제 1호표  인력 터파기(경암)깊이 1m 미만</t>
  </si>
  <si>
    <t>제 1호표  인력 터파기(경암)</t>
  </si>
  <si>
    <t>제 3호표  인력 터파기(경암)2m 이상 ~ 3m 미만</t>
  </si>
  <si>
    <t>제 3호표  인력 터파기(경암)</t>
  </si>
  <si>
    <t>E10409001009001001</t>
  </si>
  <si>
    <t>E10409001009001002</t>
  </si>
  <si>
    <t>E10409001009002001</t>
  </si>
  <si>
    <t>E10409001009002002</t>
  </si>
  <si>
    <t>제 1호표  다지기(토사)성토두께 15㎝</t>
  </si>
  <si>
    <t>제 1호표  다지기(토사)</t>
  </si>
  <si>
    <t>성토두께 15㎝</t>
  </si>
  <si>
    <t>제 2호표  다지기(토사)성토두께 30㎝</t>
  </si>
  <si>
    <t>제 2호표  다지기(토사)</t>
  </si>
  <si>
    <t>성토두께 30㎝</t>
  </si>
  <si>
    <t>제 1호표  다지기(점토)성토두께 15㎝</t>
  </si>
  <si>
    <t>제 1호표  다지기(점토)</t>
  </si>
  <si>
    <t>제 2호표  다지기(점토)성토두께 30㎝</t>
  </si>
  <si>
    <t>제 2호표  다지기(점토)</t>
  </si>
  <si>
    <t>E10410021001008001</t>
  </si>
  <si>
    <t>E10410021001008002</t>
  </si>
  <si>
    <t>제 1호표  칼브럭(쐐기)Ø9㎜ 이하</t>
  </si>
  <si>
    <t>제 1호표  칼브럭(쐐기)</t>
  </si>
  <si>
    <t>Ø9㎜ 이하</t>
  </si>
  <si>
    <t>제 2호표  칼브럭(쐐기)Ø12㎜ 이하</t>
  </si>
  <si>
    <t>제 2호표  칼브럭(쐐기)</t>
  </si>
  <si>
    <t>Ø12㎜ 이하</t>
  </si>
  <si>
    <t>E10410021001009001</t>
  </si>
  <si>
    <t>E10410021001009002</t>
  </si>
  <si>
    <t>E10410021001009003</t>
  </si>
  <si>
    <t>E10410021001009004</t>
  </si>
  <si>
    <t>E10410021001009005</t>
  </si>
  <si>
    <t>E10410021001009006</t>
  </si>
  <si>
    <t>E10410021001009007</t>
  </si>
  <si>
    <t>E10410021001010001</t>
  </si>
  <si>
    <t>E10410021001010002</t>
  </si>
  <si>
    <t>E10410021001010003</t>
  </si>
  <si>
    <t>E10410021001010004</t>
  </si>
  <si>
    <t>E10410021001010005</t>
  </si>
  <si>
    <t>제 1호표  앵커볼트 설치Ø13 이하</t>
  </si>
  <si>
    <t>제 1호표  앵커볼트 설치</t>
  </si>
  <si>
    <t>Ø13 이하</t>
  </si>
  <si>
    <t>제 2호표  앵커볼트 설치Ø14~Ø15</t>
  </si>
  <si>
    <t>제 2호표  앵커볼트 설치</t>
  </si>
  <si>
    <t>Ø14~Ø15</t>
  </si>
  <si>
    <t>제 3호표  앵커볼트 설치Ø16~Ø19</t>
  </si>
  <si>
    <t>제 3호표  앵커볼트 설치</t>
  </si>
  <si>
    <t>Ø16~Ø19</t>
  </si>
  <si>
    <t>제 4호표  앵커볼트 설치Ø22~Ø25</t>
  </si>
  <si>
    <t>제 4호표  앵커볼트 설치</t>
  </si>
  <si>
    <t>Ø22~Ø25</t>
  </si>
  <si>
    <t>제 5호표  앵커볼트 설치Ø28 이상</t>
  </si>
  <si>
    <t>제 5호표  앵커볼트 설치</t>
  </si>
  <si>
    <t>Ø28 이상</t>
  </si>
  <si>
    <t>E10410021003001001</t>
  </si>
  <si>
    <t>E10410021003001002</t>
  </si>
  <si>
    <t>E10410021003001003</t>
  </si>
  <si>
    <t>E10410021003001004</t>
  </si>
  <si>
    <t>E10410021003001005</t>
  </si>
  <si>
    <t>E10410021003001006</t>
  </si>
  <si>
    <t>E10410021003001007</t>
  </si>
  <si>
    <t>E10410021003001008</t>
  </si>
  <si>
    <t>E10410021003001009</t>
  </si>
  <si>
    <t>E10410021003001010</t>
  </si>
  <si>
    <t>E10410021003001011</t>
  </si>
  <si>
    <t>제 1호표  벽관통 배관용 구멍뚫기(손파기 기준)-콘크리트 두께 150㎜ 이하구경 50㎜</t>
  </si>
  <si>
    <t>제 1호표  벽관통 배관용 구멍뚫기(손파기 기준)-콘크리트 두께 150㎜ 이하</t>
  </si>
  <si>
    <t>제 2호표  벽관통 배관용 구멍뚫기(손파기 기준)-콘크리트 두께 150㎜ 이하구경 75㎜</t>
  </si>
  <si>
    <t>제 2호표  벽관통 배관용 구멍뚫기(손파기 기준)-콘크리트 두께 150㎜ 이하</t>
  </si>
  <si>
    <t>제 3호표  벽관통 배관용 구멍뚫기(손파기 기준)-콘크리트 두께 150㎜ 이하구경 100㎜</t>
  </si>
  <si>
    <t>제 3호표  벽관통 배관용 구멍뚫기(손파기 기준)-콘크리트 두께 150㎜ 이하</t>
  </si>
  <si>
    <t>제 4호표  벽관통 배관용 구멍뚫기(손파기 기준)-콘크리트 두께 150㎜ 이하구경 150㎜</t>
  </si>
  <si>
    <t>제 4호표  벽관통 배관용 구멍뚫기(손파기 기준)-콘크리트 두께 150㎜ 이하</t>
  </si>
  <si>
    <t>제 5호표  벽관통 배관용 구멍뚫기(손파기 기준)-콘크리트 두께 150㎜ 이하구경 200㎜</t>
  </si>
  <si>
    <t>제 5호표  벽관통 배관용 구멍뚫기(손파기 기준)-콘크리트 두께 150㎜ 이하</t>
  </si>
  <si>
    <t>제 6호표  벽관통 배관용 구멍뚫기(손파기 기준)-콘크리트 두께 150㎜ 이하구경 250㎜</t>
  </si>
  <si>
    <t>제 6호표  벽관통 배관용 구멍뚫기(손파기 기준)-콘크리트 두께 150㎜ 이하</t>
  </si>
  <si>
    <t>제 7호표  벽관통 배관용 구멍뚫기(손파기 기준)-콘크리트 두께 150㎜ 이하구경 300㎜</t>
  </si>
  <si>
    <t>제 7호표  벽관통 배관용 구멍뚫기(손파기 기준)-콘크리트 두께 150㎜ 이하</t>
  </si>
  <si>
    <t>제 8호표  벽관통 배관용 구멍뚫기(손파기 기준)-콘크리트 두께 150㎜ 이하구경 350㎜</t>
  </si>
  <si>
    <t>제 8호표  벽관통 배관용 구멍뚫기(손파기 기준)-콘크리트 두께 150㎜ 이하</t>
  </si>
  <si>
    <t>제 9호표  벽관통 배관용 구멍뚫기(손파기 기준)-콘크리트 두께 150㎜ 이하구경 400㎜</t>
  </si>
  <si>
    <t>제 9호표  벽관통 배관용 구멍뚫기(손파기 기준)-콘크리트 두께 150㎜ 이하</t>
  </si>
  <si>
    <t>제 10호표  벽관통 배관용 구멍뚫기(손파기 기준)-콘크리트 두께 150㎜ 이하구경 450㎜</t>
  </si>
  <si>
    <t>제 10호표  벽관통 배관용 구멍뚫기(손파기 기준)-콘크리트 두께 150㎜ 이하</t>
  </si>
  <si>
    <t>구경 450㎜</t>
  </si>
  <si>
    <t>제 11호표  벽관통 배관용 구멍뚫기(손파기 기준)-콘크리트 두께 150㎜ 이하구경 500㎜</t>
  </si>
  <si>
    <t>제 11호표  벽관통 배관용 구멍뚫기(손파기 기준)-콘크리트 두께 150㎜ 이하</t>
  </si>
  <si>
    <t>구경 500㎜</t>
  </si>
  <si>
    <t>E10410021003009001</t>
  </si>
  <si>
    <t>E10410021003009002</t>
  </si>
  <si>
    <t>E10410021003009003</t>
  </si>
  <si>
    <t>E10410021003009004</t>
  </si>
  <si>
    <t>E10410021003009005</t>
  </si>
  <si>
    <t>E10410021003009006</t>
  </si>
  <si>
    <t>E10410021003009007</t>
  </si>
  <si>
    <t>E10410021003009008</t>
  </si>
  <si>
    <t>E10410021003009009</t>
  </si>
  <si>
    <t>E10410021003009010</t>
  </si>
  <si>
    <t>제 1호표  배관용 구멍뚫기(코어드릴 사용기준)-두께 150㎜ 이하, 벽체구경 25㎜</t>
  </si>
  <si>
    <t>제 1호표  배관용 구멍뚫기(코어드릴 사용기준)-두께 150㎜ 이하, 벽체</t>
  </si>
  <si>
    <t>제 2호표  배관용 구멍뚫기(코어드릴 사용기준)-두께 150㎜ 이하, 벽체구경 50㎜</t>
  </si>
  <si>
    <t>제 2호표  배관용 구멍뚫기(코어드릴 사용기준)-두께 150㎜ 이하, 벽체</t>
  </si>
  <si>
    <t>제 3호표  배관용 구멍뚫기(코어드릴 사용기준)-두께 150㎜ 이하, 벽체구경 75㎜</t>
  </si>
  <si>
    <t>제 3호표  배관용 구멍뚫기(코어드릴 사용기준)-두께 150㎜ 이하, 벽체</t>
  </si>
  <si>
    <t>제 4호표  배관용 구멍뚫기(코어드릴 사용기준)-두께 150㎜ 이하, 벽체구경 100㎜</t>
  </si>
  <si>
    <t>제 4호표  배관용 구멍뚫기(코어드릴 사용기준)-두께 150㎜ 이하, 벽체</t>
  </si>
  <si>
    <t>제 5호표  배관용 구멍뚫기(코어드릴 사용기준)-두께 150㎜ 이하, 벽체구경 150㎜</t>
  </si>
  <si>
    <t>제 5호표  배관용 구멍뚫기(코어드릴 사용기준)-두께 150㎜ 이하, 벽체</t>
  </si>
  <si>
    <t>제 6호표  배관용 구멍뚫기(코어드릴 사용기준)-두께 150㎜ 이하, 벽체구경 200㎜</t>
  </si>
  <si>
    <t>제 6호표  배관용 구멍뚫기(코어드릴 사용기준)-두께 150㎜ 이하, 벽체</t>
  </si>
  <si>
    <t>제 7호표  배관용 구멍뚫기(코어드릴 사용기준)-두께 150㎜ 이하, 벽체구경 250㎜</t>
  </si>
  <si>
    <t>제 7호표  배관용 구멍뚫기(코어드릴 사용기준)-두께 150㎜ 이하, 벽체</t>
  </si>
  <si>
    <t>제 8호표  배관용 구멍뚫기(코어드릴 사용기준)-두께 150㎜ 이하, 벽체구경 300㎜</t>
  </si>
  <si>
    <t>제 8호표  배관용 구멍뚫기(코어드릴 사용기준)-두께 150㎜ 이하, 벽체</t>
  </si>
  <si>
    <t>제 9호표  배관용 구멍뚫기(코어드릴 사용기준)-두께 150㎜ 이하, 벽체구경 350㎜</t>
  </si>
  <si>
    <t>제 9호표  배관용 구멍뚫기(코어드릴 사용기준)-두께 150㎜ 이하, 벽체</t>
  </si>
  <si>
    <t>제 10호표  배관용 구멍뚫기(코어드릴 사용기준)-두께 150㎜ 이하, 벽체구경 400㎜</t>
  </si>
  <si>
    <t>제 10호표  배관용 구멍뚫기(코어드릴 사용기준)-두께 150㎜ 이하, 벽체</t>
  </si>
  <si>
    <t>E10410032001001001</t>
  </si>
  <si>
    <t>E10410032001001002</t>
  </si>
  <si>
    <t>E10410032001001003</t>
  </si>
  <si>
    <t>E10410032001001004</t>
  </si>
  <si>
    <t>E10410032001001005</t>
  </si>
  <si>
    <t>E10410032001001006</t>
  </si>
  <si>
    <t>E10410032001001007</t>
  </si>
  <si>
    <t>E10410032001001008</t>
  </si>
  <si>
    <t>E10410032001001009</t>
  </si>
  <si>
    <t>E10410032001001010</t>
  </si>
  <si>
    <t>E10410032001002001</t>
  </si>
  <si>
    <t>E10410032001002002</t>
  </si>
  <si>
    <t>E10410032001002003</t>
  </si>
  <si>
    <t>E10410032001002004</t>
  </si>
  <si>
    <t>E10410032001002005</t>
  </si>
  <si>
    <t>E10410032001002006</t>
  </si>
  <si>
    <t>제 1호표  전동기 제어반 설치(직입기동)전동기 용량 0.2~2.2kW</t>
  </si>
  <si>
    <t>제 1호표  전동기 제어반 설치(직입기동)</t>
  </si>
  <si>
    <t>전동기 용량 0.2~2.2kW</t>
  </si>
  <si>
    <t>제 2호표  전동기 제어반 설치(직입기동)전동기 용량 3.7kW</t>
  </si>
  <si>
    <t>제 2호표  전동기 제어반 설치(직입기동)</t>
  </si>
  <si>
    <t>전동기 용량 3.7kW</t>
  </si>
  <si>
    <t>제 3호표  전동기 제어반 설치(직입기동)전동기 용량 5.5kW</t>
  </si>
  <si>
    <t>제 3호표  전동기 제어반 설치(직입기동)</t>
  </si>
  <si>
    <t>전동기 용량 5.5kW</t>
  </si>
  <si>
    <t>제 4호표  전동기 제어반 설치(직입기동)전동기 용량 7.5kW</t>
  </si>
  <si>
    <t>제 4호표  전동기 제어반 설치(직입기동)</t>
  </si>
  <si>
    <t>전동기 용량 7.5kW</t>
  </si>
  <si>
    <t>제 5호표  전동기 제어반 설치(직입기동)전동기 용량 11kW</t>
  </si>
  <si>
    <t>제 5호표  전동기 제어반 설치(직입기동)</t>
  </si>
  <si>
    <t>전동기 용량 11kW</t>
  </si>
  <si>
    <t>제 6호표  전동기 제어반 설치(직입기동)전동기 용량 15kW</t>
  </si>
  <si>
    <t>제 6호표  전동기 제어반 설치(직입기동)</t>
  </si>
  <si>
    <t>전동기 용량 15kW</t>
  </si>
  <si>
    <t>제 7호표  전동기 제어반 설치(직입기동)전동기 용량 18.5kW</t>
  </si>
  <si>
    <t>제 7호표  전동기 제어반 설치(직입기동)</t>
  </si>
  <si>
    <t>전동기 용량 18.5kW</t>
  </si>
  <si>
    <t>제 8호표  전동기 제어반 설치(직입기동)전동기 용량 22kW</t>
  </si>
  <si>
    <t>제 8호표  전동기 제어반 설치(직입기동)</t>
  </si>
  <si>
    <t>전동기 용량 22kW</t>
  </si>
  <si>
    <t>제 9호표  전동기 제어반 설치(직입기동)전동기 용량 30kW</t>
  </si>
  <si>
    <t>제 9호표  전동기 제어반 설치(직입기동)</t>
  </si>
  <si>
    <t>전동기 용량 30kW</t>
  </si>
  <si>
    <t>제 10호표  전동기 제어반 설치(직입기동)전동기 용량 37kW</t>
  </si>
  <si>
    <t>제 10호표  전동기 제어반 설치(직입기동)</t>
  </si>
  <si>
    <t>전동기 용량 37kW</t>
  </si>
  <si>
    <t>제 1호표  전동기 제어반 설치(Y-△기동)전동기 용량 11kW</t>
  </si>
  <si>
    <t>제 1호표  전동기 제어반 설치(Y-△기동)</t>
  </si>
  <si>
    <t>제 2호표  전동기 제어반 설치(Y-△기동)전동기 용량 15kW</t>
  </si>
  <si>
    <t>제 2호표  전동기 제어반 설치(Y-△기동)</t>
  </si>
  <si>
    <t>제 3호표  전동기 제어반 설치(Y-△기동)전동기 용량 18.5kW</t>
  </si>
  <si>
    <t>제 3호표  전동기 제어반 설치(Y-△기동)</t>
  </si>
  <si>
    <t>제 4호표  전동기 제어반 설치(Y-△기동)전동기 용량 22kW</t>
  </si>
  <si>
    <t>제 4호표  전동기 제어반 설치(Y-△기동)</t>
  </si>
  <si>
    <t>제 5호표  전동기 제어반 설치(Y-△기동)전동기 용량 30kW</t>
  </si>
  <si>
    <t>제 5호표  전동기 제어반 설치(Y-△기동)</t>
  </si>
  <si>
    <t>제 6호표  전동기 제어반 설치(Y-△기동)전동기 용량 37kW</t>
  </si>
  <si>
    <t>제 6호표  전동기 제어반 설치(Y-△기동)</t>
  </si>
  <si>
    <t>E10410040001001001</t>
  </si>
  <si>
    <t>E10410040001001002</t>
  </si>
  <si>
    <t>E10410040001002001</t>
  </si>
  <si>
    <t>E10410040001002002</t>
  </si>
  <si>
    <t>E10410040001003001</t>
  </si>
  <si>
    <t>E10410040001003002</t>
  </si>
  <si>
    <t>제 1호표  CCTV 시스템 촬상부(카메라설치)일반형</t>
  </si>
  <si>
    <t>제 1호표  CCTV 시스템 촬상부(카메라설치)</t>
  </si>
  <si>
    <t>일반형</t>
  </si>
  <si>
    <t>제 2호표  CCTV 시스템 촬상부(카메라설치)돔(Dome)형</t>
  </si>
  <si>
    <t>제 2호표  CCTV 시스템 촬상부(카메라설치)</t>
  </si>
  <si>
    <t>돔(Dome)형</t>
  </si>
  <si>
    <t>제 1호표  CCTV 시스템 촬상부(Housing 설치)일반형</t>
  </si>
  <si>
    <t>제 1호표  CCTV 시스템 촬상부(Housing 설치)</t>
  </si>
  <si>
    <t>제 2호표  CCTV 시스템 촬상부(Housing 설치)돔(Dome)형</t>
  </si>
  <si>
    <t>제 2호표  CCTV 시스템 촬상부(Housing 설치)</t>
  </si>
  <si>
    <t>제 1호표  CCTV 시스템 촬상부(브래킷 설치)일반형</t>
  </si>
  <si>
    <t>제 1호표  CCTV 시스템 촬상부(브래킷 설치)</t>
  </si>
  <si>
    <t>제 2호표  CCTV 시스템 촬상부(브래킷 설치)천정형</t>
  </si>
  <si>
    <t>제 2호표  CCTV 시스템 촬상부(브래킷 설치)</t>
  </si>
  <si>
    <t>천정형</t>
  </si>
  <si>
    <t>E10410040001013001</t>
  </si>
  <si>
    <t>E10410040001014001</t>
  </si>
  <si>
    <t>제 1호표  CCTV System 시험(송수신 제어신호 및 영상 Level 조정)-</t>
  </si>
  <si>
    <t>제 1호표  CCTV System 시험(송수신 제어신호 및 영상 Level 조정)</t>
  </si>
  <si>
    <t>CH 또는 Set</t>
  </si>
  <si>
    <t>제 1호표  CCTV System 시험(종합시험)-</t>
  </si>
  <si>
    <t>제 1호표  CCTV System 시험(종합시험)</t>
  </si>
  <si>
    <t>E10412093006001001</t>
  </si>
  <si>
    <t>E10412094005001001</t>
  </si>
  <si>
    <t>E10316010001001001</t>
  </si>
  <si>
    <t>E10316010001002001</t>
  </si>
  <si>
    <t>E10316010001003001</t>
  </si>
  <si>
    <t>E10316010001007001</t>
  </si>
  <si>
    <t>E10316010001007002</t>
  </si>
  <si>
    <t>E10316010001007003</t>
  </si>
  <si>
    <t>E10316011001001001</t>
  </si>
  <si>
    <t>E10316011002001001</t>
  </si>
  <si>
    <t>E10316011003001001</t>
  </si>
  <si>
    <t>제 1호표  음향 및 영상케이블 포설(FR케이블)2.5㎟ x 20C 이하</t>
  </si>
  <si>
    <t>제 1호표  음향 및 영상케이블 포설(FR케이블)</t>
  </si>
  <si>
    <t>2.5㎟ x 20C 이하</t>
  </si>
  <si>
    <t>제 1호표  음향 및 영상케이블 포설(멀티비디오 케이블)V5-5CFB 이하</t>
  </si>
  <si>
    <t>제 1호표  음향 및 영상케이블 포설(멀티비디오 케이블)</t>
  </si>
  <si>
    <t>V5-5CFB 이하</t>
  </si>
  <si>
    <t>제 1호표  음향 및 영상케이블 포설(Triaxial 케이블 포설)12.95㎜ 이하</t>
  </si>
  <si>
    <t>제 1호표  음향 및 영상케이블 포설(Triaxial 케이블 포설)</t>
  </si>
  <si>
    <t>12.95㎜ 이하</t>
  </si>
  <si>
    <t>제 1호표  음향 및 영상케이블 포설(HDMI 케이블 포설)-</t>
  </si>
  <si>
    <t>제 1호표  음향 및 영상케이블 포설(HDMI 케이블 포설)</t>
  </si>
  <si>
    <t>제 1호표  음향 및 영상케이블 포설(스피커 케이블 포설)5.6㎟-4C 이하</t>
  </si>
  <si>
    <t>제 1호표  음향 및 영상케이블 포설(스피커 케이블 포설)</t>
  </si>
  <si>
    <t>5.6㎟-4C 이하</t>
  </si>
  <si>
    <t>제 1호표  음향 및 영상케이블 포설(스피커 케이블 포설)14.2㎟-4C 이하</t>
  </si>
  <si>
    <t>14.2㎟-4C 이하</t>
  </si>
  <si>
    <t>제 2호표  음향 및 영상케이블 포설(스피커 케이블 포설)멀티2.0㎟-16C</t>
  </si>
  <si>
    <t>제 2호표  음향 및 영상케이블 포설(스피커 케이블 포설)</t>
  </si>
  <si>
    <t>멀티2.0㎟-16C</t>
  </si>
  <si>
    <t>제 1호표  음향 및 영상케이블 포설(마이크 케이블 포설)1P</t>
  </si>
  <si>
    <t>제 1호표  음향 및 영상케이블 포설(마이크 케이블 포설)</t>
  </si>
  <si>
    <t>제 2호표  음향 및 영상케이블 포설(마이크 케이블 포설)멀티실드 2P 이하</t>
  </si>
  <si>
    <t>제 2호표  음향 및 영상케이블 포설(마이크 케이블 포설)</t>
  </si>
  <si>
    <t>멀티실드 2P 이하</t>
  </si>
  <si>
    <t>제 3호표  음향 및 영상케이블 포설(마이크 케이블 포설)멀티실드 4P 이하</t>
  </si>
  <si>
    <t>제 3호표  음향 및 영상케이블 포설(마이크 케이블 포설)</t>
  </si>
  <si>
    <t>멀티실드 4P 이하</t>
  </si>
  <si>
    <t>제 4호표  음향 및 영상케이블 포설(마이크 케이블 포설)멀티실드 8P 이하</t>
  </si>
  <si>
    <t>제 4호표  음향 및 영상케이블 포설(마이크 케이블 포설)</t>
  </si>
  <si>
    <t>멀티실드 8P 이하</t>
  </si>
  <si>
    <t>제 5호표  음향 및 영상케이블 포설(마이크 케이블 포설)멀티실드 12P 이하</t>
  </si>
  <si>
    <t>제 5호표  음향 및 영상케이블 포설(마이크 케이블 포설)</t>
  </si>
  <si>
    <t>멀티실드 12P 이하</t>
  </si>
  <si>
    <t>제 6호표  음향 및 영상케이블 포설(마이크 케이블 포설)멀티실드 24P 이하</t>
  </si>
  <si>
    <t>제 6호표  음향 및 영상케이블 포설(마이크 케이블 포설)</t>
  </si>
  <si>
    <t>멀티실드 24P 이하</t>
  </si>
  <si>
    <t>제 7호표  음향 및 영상케이블 포설(마이크 케이블 포설)멀티실드 32P 이하</t>
  </si>
  <si>
    <t>제 7호표  음향 및 영상케이블 포설(마이크 케이블 포설)</t>
  </si>
  <si>
    <t>멀티실드 32P 이하</t>
  </si>
  <si>
    <t>제 1호표  음향 및 영상케이블 커넥터 접속Triaxial 커넥터</t>
  </si>
  <si>
    <t>제 1호표  음향 및 영상케이블 커넥터 접속</t>
  </si>
  <si>
    <t>Triaxial 커넥터</t>
  </si>
  <si>
    <t>제 2호표  음향 및 영상케이블 커넥터 접속RCA, Phone, XLR 커넥터</t>
  </si>
  <si>
    <t>제 2호표  음향 및 영상케이블 커넥터 접속</t>
  </si>
  <si>
    <t>RCA, Phone, XLR 커넥터</t>
  </si>
  <si>
    <t>제 3호표  음향 및 영상케이블 커넥터 접속D-SUB 커넥터</t>
  </si>
  <si>
    <t>제 3호표  음향 및 영상케이블 커넥터 접속</t>
  </si>
  <si>
    <t>D-SUB 커넥터</t>
  </si>
  <si>
    <t>제 1호표  FTTH 인입선 가설-</t>
  </si>
  <si>
    <t>제 1호표  FTTH 인입선 가설</t>
  </si>
  <si>
    <t>제 1호표  점퍼선(2개연)-</t>
  </si>
  <si>
    <t>제 1호표  점퍼선(2개연)</t>
  </si>
  <si>
    <t>10조</t>
  </si>
  <si>
    <t>제 1호표  옥외 꼬임케이블 인입선 가설-</t>
  </si>
  <si>
    <t>제 1호표  옥외 꼬임케이블 인입선 가설</t>
  </si>
  <si>
    <t>E10310002001023001</t>
  </si>
  <si>
    <t>E10310002001024001</t>
  </si>
  <si>
    <t>E10310002001025001</t>
  </si>
  <si>
    <t>제 1호표  무선 수신기(설치)-</t>
  </si>
  <si>
    <t>제 1호표  무선 수신기(설치)</t>
  </si>
  <si>
    <t>식</t>
  </si>
  <si>
    <t>제 1호표  무선 수신기(선로 Test 및 결선)-</t>
  </si>
  <si>
    <t>제 1호표  무선 수신기(선로 Test 및 결선)</t>
  </si>
  <si>
    <t>제 1호표  무선 수신기(장치별 기능 및 종합시험)-</t>
  </si>
  <si>
    <t>제 1호표  무선 수신기(장치별 기능 및 종합시험)</t>
  </si>
  <si>
    <t>세대</t>
  </si>
  <si>
    <t>E10316001002002001</t>
  </si>
  <si>
    <t>제 1호표  광섬유 케이블 절체접속12코어 이하</t>
  </si>
  <si>
    <t>제 1호표  광섬유 케이블 절체접속</t>
  </si>
  <si>
    <t>12코어 이하</t>
  </si>
  <si>
    <t>코어</t>
  </si>
  <si>
    <t>E10316001002004001</t>
  </si>
  <si>
    <t>E10316001002004002</t>
  </si>
  <si>
    <t>E10316001002004003</t>
  </si>
  <si>
    <t>제 1호표  광섬유 케이블 시험 및 측정접속전 시험</t>
  </si>
  <si>
    <t>제 1호표  광섬유 케이블 시험 및 측정</t>
  </si>
  <si>
    <t>접속전 시험</t>
  </si>
  <si>
    <t>제 2호표  광섬유 케이블 시험 및 측정접속후 시험</t>
  </si>
  <si>
    <t>제 2호표  광섬유 케이블 시험 및 측정</t>
  </si>
  <si>
    <t>접속후 시험</t>
  </si>
  <si>
    <t>제 3호표  광섬유 케이블 시험 및 측정최종시험</t>
  </si>
  <si>
    <t>제 3호표  광섬유 케이블 시험 및 측정</t>
  </si>
  <si>
    <t>최종시험</t>
  </si>
  <si>
    <t>E10316004001001001</t>
  </si>
  <si>
    <t>E10316004001001002</t>
  </si>
  <si>
    <t>E10316004001001003</t>
  </si>
  <si>
    <t>제 1호표  동축 케이블 포설옥내포설 5C</t>
  </si>
  <si>
    <t>제 1호표  동축 케이블 포설</t>
  </si>
  <si>
    <t>옥내포설 5C</t>
  </si>
  <si>
    <t>제 2호표  동축 케이블 포설옥내포설 7C</t>
  </si>
  <si>
    <t>제 2호표  동축 케이블 포설</t>
  </si>
  <si>
    <t>옥내포설 7C</t>
  </si>
  <si>
    <t>제 3호표  동축 케이블 포설옥내포설 10C</t>
  </si>
  <si>
    <t>제 3호표  동축 케이블 포설</t>
  </si>
  <si>
    <t>옥내포설 10C</t>
  </si>
  <si>
    <t>E10316004002001001</t>
  </si>
  <si>
    <t>E10316004002001002</t>
  </si>
  <si>
    <t>E10316004002001003</t>
  </si>
  <si>
    <t>E10316004002001004</t>
  </si>
  <si>
    <t>제 1호표  동축케이블(커넥터)5C</t>
  </si>
  <si>
    <t>제 1호표  동축케이블(커넥터)</t>
  </si>
  <si>
    <t>5C</t>
  </si>
  <si>
    <t>제 2호표  동축케이블(커넥터)7C, 8C</t>
  </si>
  <si>
    <t>제 2호표  동축케이블(커넥터)</t>
  </si>
  <si>
    <t>7C, 8C</t>
  </si>
  <si>
    <t>제 3호표  동축케이블(커넥터)10C, 12C</t>
  </si>
  <si>
    <t>제 3호표  동축케이블(커넥터)</t>
  </si>
  <si>
    <t>10C, 12C</t>
  </si>
  <si>
    <t>제 4호표  동축케이블(커넥터)17C</t>
  </si>
  <si>
    <t>제 4호표  동축케이블(커넥터)</t>
  </si>
  <si>
    <t>17C</t>
  </si>
  <si>
    <t>E10316005001001001</t>
  </si>
  <si>
    <t>E10316005001001002</t>
  </si>
  <si>
    <t>E10316005001001003</t>
  </si>
  <si>
    <t>E10316005001001004</t>
  </si>
  <si>
    <t>E10316005001001005</t>
  </si>
  <si>
    <t>제 1호표  꼬임 케이블 포설UTP, STP, FTP(구내) 4Pr</t>
  </si>
  <si>
    <t>제 1호표  꼬임 케이블 포설</t>
  </si>
  <si>
    <t>UTP, STP, FTP(구내) 4Pr</t>
  </si>
  <si>
    <t>제 2호표  꼬임 케이블 포설UTP, STP, FTP(구내) 25Pr</t>
  </si>
  <si>
    <t>제 2호표  꼬임 케이블 포설</t>
  </si>
  <si>
    <t>UTP, STP, FTP(구내) 25Pr</t>
  </si>
  <si>
    <t>제 3호표  꼬임 케이블 포설UTP, STP, FTP(구내) 50Pr</t>
  </si>
  <si>
    <t>제 3호표  꼬임 케이블 포설</t>
  </si>
  <si>
    <t>UTP, STP, FTP(구내) 50Pr</t>
  </si>
  <si>
    <t>제 4호표  꼬임 케이블 포설UTP, STP, FTP(구내) 100Pr</t>
  </si>
  <si>
    <t>제 4호표  꼬임 케이블 포설</t>
  </si>
  <si>
    <t>UTP, STP, FTP(구내) 100Pr</t>
  </si>
  <si>
    <t>제 5호표  꼬임 케이블 포설UTP, STP, FTP(옥외) 4Pr 이하</t>
  </si>
  <si>
    <t>제 5호표  꼬임 케이블 포설</t>
  </si>
  <si>
    <t>UTP, STP, FTP(옥외) 4Pr 이하</t>
  </si>
  <si>
    <t>E10316005002001006</t>
  </si>
  <si>
    <t>제 6호표  꼬임 케이블(커넥터 및 Jack 접속)Modular(RJ45-8Pin Plug)</t>
  </si>
  <si>
    <t>제 6호표  꼬임 케이블(커넥터 및 Jack 접속)</t>
  </si>
  <si>
    <t>Modular(RJ45-8Pin Plug)</t>
  </si>
  <si>
    <t>M070901000300101</t>
  </si>
  <si>
    <t>M070901000300201</t>
  </si>
  <si>
    <t>M070901000300301</t>
  </si>
  <si>
    <t>M070901000300401</t>
  </si>
  <si>
    <t>M070901000300501</t>
  </si>
  <si>
    <t>M070901000300601</t>
  </si>
  <si>
    <t>M070901000300701</t>
  </si>
  <si>
    <t>M070901000300801</t>
  </si>
  <si>
    <t>M070901000300901</t>
  </si>
  <si>
    <t>케이블트레이(KSC8464) 및 부속품(5)-1</t>
  </si>
  <si>
    <t>LADDER TRAY(사다리형)2.3T R.S.200㎜, 용융도금</t>
  </si>
  <si>
    <t>S/T COVER, W150×100H</t>
  </si>
  <si>
    <t>S/T COVER, W200×100H</t>
  </si>
  <si>
    <t>S/T COVER, W300×100H</t>
  </si>
  <si>
    <t>S/T COVER, W400×100H</t>
  </si>
  <si>
    <t>S/T COVER, W500×100H</t>
  </si>
  <si>
    <t>S/T COVER, W600×100H</t>
  </si>
  <si>
    <t>S/T COVER, W700×100H</t>
  </si>
  <si>
    <t>S/T COVER, W800×100H</t>
  </si>
  <si>
    <t>S/T COVER, W900×100H</t>
  </si>
  <si>
    <t>M070900800100101</t>
  </si>
  <si>
    <t>M070900800100201</t>
  </si>
  <si>
    <t>M070900800100301</t>
  </si>
  <si>
    <t>M070900800100401</t>
  </si>
  <si>
    <t>M070900800100501</t>
  </si>
  <si>
    <t>M070900800100601</t>
  </si>
  <si>
    <t>M070900800100701</t>
  </si>
  <si>
    <t>M070900800100801</t>
  </si>
  <si>
    <t>M070900800100901</t>
  </si>
  <si>
    <t>M070900800101001</t>
  </si>
  <si>
    <t>M070900800101101</t>
  </si>
  <si>
    <t>M070900800101201</t>
  </si>
  <si>
    <t>STRAIGHT, 150W×100H</t>
  </si>
  <si>
    <t>STRAIGHT, 200W×100H</t>
  </si>
  <si>
    <t>STRAIGHT, 300W×100H</t>
  </si>
  <si>
    <t>STRAIGHT, 400W×100H</t>
  </si>
  <si>
    <t>STRAIGHT, 450W×100H</t>
  </si>
  <si>
    <t>STRAIGHT, 500W×100H</t>
  </si>
  <si>
    <t>STRAIGHT, 600W×100H</t>
  </si>
  <si>
    <t>STRAIGHT, 700W×100H</t>
  </si>
  <si>
    <t>STRAIGHT, 750W×100H</t>
  </si>
  <si>
    <t>STRAIGHT, 800W×100H</t>
  </si>
  <si>
    <t>STRAIGHT, 900W×100H</t>
  </si>
  <si>
    <t>STRAIGHT, 1000W×100H</t>
  </si>
  <si>
    <t>SINGLE CHANNEL BRACKET, W+50, W500</t>
    <phoneticPr fontId="6" type="noConversion"/>
  </si>
  <si>
    <t>거실등 1개 방등 2개</t>
    <phoneticPr fontId="6" type="noConversion"/>
  </si>
  <si>
    <t>주방등 1개</t>
    <phoneticPr fontId="6" type="noConversion"/>
  </si>
  <si>
    <t>기존 등기구 철거</t>
    <phoneticPr fontId="6" type="noConversion"/>
  </si>
  <si>
    <t>LED 거실등 / 방등 / 주방등 설치</t>
    <phoneticPr fontId="6" type="noConversion"/>
  </si>
  <si>
    <t>E999999</t>
    <phoneticPr fontId="6" type="noConversion"/>
  </si>
  <si>
    <t>LED실내조명등</t>
    <phoneticPr fontId="6" type="noConversion"/>
  </si>
  <si>
    <t xml:space="preserve"> KE50M123SL57A1, 50W</t>
    <phoneticPr fontId="6" type="noConversion"/>
  </si>
  <si>
    <t xml:space="preserve"> KE50EF606S57A1, 50W</t>
    <phoneticPr fontId="6" type="noConversion"/>
  </si>
  <si>
    <t xml:space="preserve">성명 : 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</si>
  <si>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</si>
  <si>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</si>
  <si>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</si>
  <si>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</si>
  <si>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</si>
  <si>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</si>
  <si>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</si>
  <si>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</si>
  <si>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</si>
  <si>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</si>
  <si>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</si>
  <si>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</si>
  <si>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</si>
  <si>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</si>
  <si>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</si>
  <si>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</si>
  <si>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</si>
  <si>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</si>
  <si>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</si>
  <si>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</si>
  <si>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</si>
  <si>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</si>
  <si>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</si>
  <si>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</si>
  <si>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</si>
  <si>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</si>
  <si>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</si>
  <si>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</si>
  <si>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67" type="noConversion"/>
  </si>
  <si>
    <t>구          분</t>
    <phoneticPr fontId="67" type="noConversion"/>
  </si>
  <si>
    <t>수량</t>
    <phoneticPr fontId="67" type="noConversion"/>
  </si>
  <si>
    <t>단위</t>
    <phoneticPr fontId="67" type="noConversion"/>
  </si>
  <si>
    <t>금    액</t>
    <phoneticPr fontId="67" type="noConversion"/>
  </si>
  <si>
    <t>비    고</t>
    <phoneticPr fontId="67" type="noConversion"/>
  </si>
  <si>
    <t>재료비</t>
    <phoneticPr fontId="8" type="noConversion"/>
  </si>
  <si>
    <t>노무비</t>
    <phoneticPr fontId="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</si>
  <si>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</si>
  <si>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</si>
  <si>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</si>
  <si>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</si>
  <si>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</si>
  <si>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(재료비+노무비)*2.93%</t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</si>
  <si>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</si>
  <si>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</si>
  <si>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</si>
  <si>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</si>
  <si>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</si>
  <si>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</si>
  <si>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</si>
  <si>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</si>
  <si>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</si>
  <si>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</si>
  <si>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</si>
  <si>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</si>
  <si>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</si>
  <si>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</si>
  <si>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</si>
  <si>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</si>
  <si>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</si>
  <si>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</si>
  <si>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</si>
  <si>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</si>
  <si>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</si>
  <si>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</si>
  <si>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</si>
  <si>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7-403외 1세대 LED등기구 교체</t>
  </si>
  <si>
    <t>대전 업무지원팀 / 김규환님 귀하</t>
  </si>
  <si>
    <t>LED조명기구(3-1</t>
  </si>
  <si>
    <t>LED조명기구(4</t>
  </si>
  <si>
    <t>할증율(%</t>
  </si>
  <si>
    <t>■ 인원투입계획 : 총 2명(주말 :  명</t>
  </si>
  <si>
    <t>(인감/서명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</si>
</sst>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m&quot;/&quot;d;@"/>
    <numFmt numFmtId="181" formatCode="#,##0_);[Red]\(#,##0\)"/>
    <numFmt numFmtId="182" formatCode="###,###,###,##0"/>
    <numFmt numFmtId="183" formatCode="0.000"/>
  </numFmts>
  <fonts count="7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rgb="FF00000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/>
      <bottom style="thin">
        <color rgb="FFE7E7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0" borderId="0"/>
    <xf numFmtId="176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6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8" fillId="0" borderId="0"/>
    <xf numFmtId="178" fontId="28" fillId="0" borderId="0" applyFont="0" applyFill="0" applyBorder="0" applyAlignment="0" applyProtection="0"/>
    <xf numFmtId="176" fontId="2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28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85">
    <xf numFmtId="0" fontId="0" fillId="0" borderId="0" xfId="0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5" fillId="4" borderId="5" xfId="4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176" fontId="15" fillId="4" borderId="5" xfId="1" applyFont="1" applyFill="1" applyBorder="1" applyAlignment="1">
      <alignment horizontal="center" vertical="center"/>
    </xf>
    <xf numFmtId="0" fontId="24" fillId="0" borderId="5" xfId="0" applyFont="1" applyBorder="1">
      <alignment vertical="center"/>
    </xf>
    <xf numFmtId="176" fontId="24" fillId="0" borderId="5" xfId="1" applyFont="1" applyBorder="1">
      <alignment vertical="center"/>
    </xf>
    <xf numFmtId="0" fontId="24" fillId="0" borderId="0" xfId="0" applyFont="1">
      <alignment vertical="center"/>
    </xf>
    <xf numFmtId="176" fontId="24" fillId="2" borderId="5" xfId="1" applyFont="1" applyFill="1" applyBorder="1">
      <alignment vertical="center"/>
    </xf>
    <xf numFmtId="179" fontId="15" fillId="2" borderId="5" xfId="4" applyFont="1" applyFill="1" applyBorder="1" applyAlignment="1">
      <alignment horizontal="center" vertical="center"/>
    </xf>
    <xf numFmtId="176" fontId="15" fillId="2" borderId="5" xfId="1" applyFont="1" applyFill="1" applyBorder="1" applyAlignment="1">
      <alignment horizontal="center" vertical="center"/>
    </xf>
    <xf numFmtId="9" fontId="11" fillId="6" borderId="0" xfId="13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24" fillId="0" borderId="5" xfId="0" applyNumberFormat="1" applyFont="1" applyBorder="1">
      <alignment vertical="center"/>
    </xf>
    <xf numFmtId="49" fontId="14" fillId="0" borderId="0" xfId="0" applyNumberFormat="1" applyFont="1">
      <alignment vertical="center"/>
    </xf>
    <xf numFmtId="49" fontId="15" fillId="4" borderId="5" xfId="2" applyNumberFormat="1" applyFont="1" applyFill="1" applyBorder="1" applyAlignment="1">
      <alignment horizontal="center" vertical="center"/>
    </xf>
    <xf numFmtId="176" fontId="14" fillId="0" borderId="0" xfId="1" applyFont="1">
      <alignment vertical="center"/>
    </xf>
    <xf numFmtId="176" fontId="14" fillId="0" borderId="0" xfId="1" applyFont="1" applyAlignment="1">
      <alignment horizontal="center" vertical="center"/>
    </xf>
    <xf numFmtId="176" fontId="15" fillId="0" borderId="0" xfId="1" applyFont="1" applyAlignment="1">
      <alignment horizontal="center" vertical="center"/>
    </xf>
    <xf numFmtId="9" fontId="24" fillId="0" borderId="5" xfId="0" applyNumberFormat="1" applyFont="1" applyBorder="1">
      <alignment vertical="center"/>
    </xf>
    <xf numFmtId="49" fontId="24" fillId="0" borderId="0" xfId="0" applyNumberFormat="1" applyFont="1">
      <alignment vertical="center"/>
    </xf>
    <xf numFmtId="176" fontId="24" fillId="0" borderId="0" xfId="1" applyFont="1" applyFill="1">
      <alignment vertical="center"/>
    </xf>
    <xf numFmtId="176" fontId="25" fillId="0" borderId="0" xfId="1" applyFont="1" applyFill="1">
      <alignment vertical="center"/>
    </xf>
    <xf numFmtId="9" fontId="24" fillId="0" borderId="0" xfId="0" applyNumberFormat="1" applyFont="1">
      <alignment vertical="center"/>
    </xf>
    <xf numFmtId="0" fontId="2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180" fontId="29" fillId="0" borderId="0" xfId="15" applyNumberFormat="1" applyFont="1" applyAlignment="1">
      <alignment horizontal="center" vertical="center" shrinkToFit="1"/>
    </xf>
    <xf numFmtId="0" fontId="29" fillId="0" borderId="0" xfId="15" applyFont="1" applyAlignment="1">
      <alignment vertical="center" shrinkToFit="1"/>
    </xf>
    <xf numFmtId="0" fontId="33" fillId="0" borderId="0" xfId="15" applyFont="1" applyAlignment="1">
      <alignment vertical="center" shrinkToFit="1"/>
    </xf>
    <xf numFmtId="0" fontId="34" fillId="0" borderId="9" xfId="15" applyFont="1" applyBorder="1" applyAlignment="1">
      <alignment horizontal="center" vertical="center" shrinkToFit="1"/>
    </xf>
    <xf numFmtId="0" fontId="34" fillId="0" borderId="10" xfId="15" applyFont="1" applyBorder="1" applyAlignment="1">
      <alignment horizontal="center" vertical="center" shrinkToFit="1"/>
    </xf>
    <xf numFmtId="181" fontId="34" fillId="0" borderId="10" xfId="15" applyNumberFormat="1" applyFont="1" applyBorder="1" applyAlignment="1">
      <alignment horizontal="center" vertical="center" shrinkToFit="1"/>
    </xf>
    <xf numFmtId="180" fontId="35" fillId="0" borderId="0" xfId="15" applyNumberFormat="1" applyFont="1" applyAlignment="1">
      <alignment horizontal="center" vertical="center" shrinkToFit="1"/>
    </xf>
    <xf numFmtId="0" fontId="34" fillId="0" borderId="13" xfId="15" applyFont="1" applyBorder="1" applyAlignment="1">
      <alignment horizontal="center" vertical="center" shrinkToFit="1"/>
    </xf>
    <xf numFmtId="0" fontId="35" fillId="0" borderId="0" xfId="15" applyFont="1" applyAlignment="1">
      <alignment horizontal="center" vertical="center" shrinkToFit="1"/>
    </xf>
    <xf numFmtId="0" fontId="34" fillId="0" borderId="6" xfId="15" applyFont="1" applyBorder="1" applyAlignment="1">
      <alignment vertical="center" shrinkToFit="1"/>
    </xf>
    <xf numFmtId="0" fontId="29" fillId="0" borderId="0" xfId="15" applyFont="1" applyAlignment="1">
      <alignment horizontal="left" vertical="center" shrinkToFit="1"/>
    </xf>
    <xf numFmtId="181" fontId="29" fillId="0" borderId="0" xfId="15" applyNumberFormat="1" applyFont="1" applyAlignment="1">
      <alignment horizontal="right" vertical="center" shrinkToFit="1"/>
    </xf>
    <xf numFmtId="0" fontId="25" fillId="0" borderId="0" xfId="0" applyFont="1">
      <alignment vertical="center"/>
    </xf>
    <xf numFmtId="49" fontId="25" fillId="0" borderId="0" xfId="0" applyNumberFormat="1" applyFont="1">
      <alignment vertical="center"/>
    </xf>
    <xf numFmtId="9" fontId="25" fillId="0" borderId="0" xfId="0" applyNumberFormat="1" applyFont="1">
      <alignment vertical="center"/>
    </xf>
    <xf numFmtId="176" fontId="25" fillId="0" borderId="0" xfId="0" applyNumberFormat="1" applyFont="1">
      <alignment vertical="center"/>
    </xf>
    <xf numFmtId="176" fontId="24" fillId="0" borderId="5" xfId="1" applyFont="1" applyFill="1" applyBorder="1">
      <alignment vertical="center"/>
    </xf>
    <xf numFmtId="176" fontId="24" fillId="0" borderId="5" xfId="1" applyFont="1" applyFill="1" applyBorder="1" applyAlignment="1">
      <alignment horizontal="center" vertical="center"/>
    </xf>
    <xf numFmtId="49" fontId="24" fillId="7" borderId="5" xfId="0" applyNumberFormat="1" applyFont="1" applyFill="1" applyBorder="1" applyAlignment="1">
      <alignment horizontal="center" vertical="center"/>
    </xf>
    <xf numFmtId="176" fontId="24" fillId="7" borderId="5" xfId="1" applyFont="1" applyFill="1" applyBorder="1" applyAlignment="1">
      <alignment horizontal="center" vertical="center"/>
    </xf>
    <xf numFmtId="176" fontId="24" fillId="7" borderId="5" xfId="0" applyNumberFormat="1" applyFont="1" applyFill="1" applyBorder="1" applyAlignment="1">
      <alignment horizontal="center" vertical="center"/>
    </xf>
    <xf numFmtId="176" fontId="24" fillId="7" borderId="5" xfId="1" applyFont="1" applyFill="1" applyBorder="1">
      <alignment vertical="center"/>
    </xf>
    <xf numFmtId="0" fontId="24" fillId="7" borderId="5" xfId="0" applyFont="1" applyFill="1" applyBorder="1" applyAlignment="1">
      <alignment horizontal="left" vertical="center"/>
    </xf>
    <xf numFmtId="49" fontId="24" fillId="7" borderId="5" xfId="0" applyNumberFormat="1" applyFont="1" applyFill="1" applyBorder="1">
      <alignment vertical="center"/>
    </xf>
    <xf numFmtId="9" fontId="24" fillId="7" borderId="5" xfId="0" applyNumberFormat="1" applyFont="1" applyFill="1" applyBorder="1">
      <alignment vertical="center"/>
    </xf>
    <xf numFmtId="49" fontId="38" fillId="3" borderId="5" xfId="0" applyNumberFormat="1" applyFont="1" applyFill="1" applyBorder="1" applyAlignment="1">
      <alignment horizontal="center" vertical="center" wrapText="1"/>
    </xf>
    <xf numFmtId="49" fontId="38" fillId="3" borderId="5" xfId="0" applyNumberFormat="1" applyFont="1" applyFill="1" applyBorder="1" applyAlignment="1">
      <alignment horizontal="left" vertical="center" wrapText="1"/>
    </xf>
    <xf numFmtId="176" fontId="39" fillId="3" borderId="5" xfId="1" applyFont="1" applyFill="1" applyBorder="1">
      <alignment vertical="center"/>
    </xf>
    <xf numFmtId="182" fontId="38" fillId="3" borderId="5" xfId="0" applyNumberFormat="1" applyFont="1" applyFill="1" applyBorder="1" applyAlignment="1">
      <alignment horizontal="right" vertical="center" wrapText="1"/>
    </xf>
    <xf numFmtId="49" fontId="38" fillId="3" borderId="5" xfId="0" applyNumberFormat="1" applyFont="1" applyFill="1" applyBorder="1" applyAlignment="1">
      <alignment horizontal="right" vertical="center" wrapText="1"/>
    </xf>
    <xf numFmtId="0" fontId="39" fillId="3" borderId="5" xfId="0" applyFont="1" applyFill="1" applyBorder="1">
      <alignment vertical="center"/>
    </xf>
    <xf numFmtId="0" fontId="39" fillId="3" borderId="5" xfId="0" applyFont="1" applyFill="1" applyBorder="1" applyAlignment="1">
      <alignment horizontal="left" vertical="center"/>
    </xf>
    <xf numFmtId="0" fontId="39" fillId="3" borderId="5" xfId="0" applyFont="1" applyFill="1" applyBorder="1" applyAlignment="1">
      <alignment horizontal="right" vertical="center"/>
    </xf>
    <xf numFmtId="3" fontId="38" fillId="3" borderId="5" xfId="0" applyNumberFormat="1" applyFont="1" applyFill="1" applyBorder="1" applyAlignment="1">
      <alignment horizontal="right" vertical="center" wrapText="1"/>
    </xf>
    <xf numFmtId="49" fontId="39" fillId="3" borderId="5" xfId="0" applyNumberFormat="1" applyFont="1" applyFill="1" applyBorder="1">
      <alignment vertical="center"/>
    </xf>
    <xf numFmtId="0" fontId="41" fillId="0" borderId="5" xfId="0" applyFont="1" applyBorder="1">
      <alignment vertical="center"/>
    </xf>
    <xf numFmtId="0" fontId="39" fillId="3" borderId="0" xfId="0" applyFont="1" applyFill="1">
      <alignment vertical="center"/>
    </xf>
    <xf numFmtId="0" fontId="41" fillId="3" borderId="5" xfId="0" applyFont="1" applyFill="1" applyBorder="1" applyAlignment="1">
      <alignment horizontal="right" vertical="center"/>
    </xf>
    <xf numFmtId="3" fontId="5" fillId="3" borderId="5" xfId="0" applyNumberFormat="1" applyFont="1" applyFill="1" applyBorder="1" applyAlignment="1">
      <alignment horizontal="right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49" fontId="5" fillId="5" borderId="5" xfId="0" applyNumberFormat="1" applyFont="1" applyFill="1" applyBorder="1" applyAlignment="1">
      <alignment horizontal="right" vertical="center" wrapText="1"/>
    </xf>
    <xf numFmtId="182" fontId="5" fillId="5" borderId="5" xfId="0" applyNumberFormat="1" applyFont="1" applyFill="1" applyBorder="1" applyAlignment="1">
      <alignment horizontal="right" vertical="center" wrapText="1"/>
    </xf>
    <xf numFmtId="176" fontId="39" fillId="3" borderId="5" xfId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right" vertical="center" wrapText="1"/>
    </xf>
    <xf numFmtId="182" fontId="5" fillId="3" borderId="5" xfId="0" applyNumberFormat="1" applyFont="1" applyFill="1" applyBorder="1" applyAlignment="1">
      <alignment horizontal="right" vertical="center" wrapText="1"/>
    </xf>
    <xf numFmtId="182" fontId="5" fillId="3" borderId="4" xfId="0" applyNumberFormat="1" applyFont="1" applyFill="1" applyBorder="1" applyAlignment="1">
      <alignment horizontal="right" vertical="center" wrapText="1"/>
    </xf>
    <xf numFmtId="49" fontId="41" fillId="0" borderId="5" xfId="0" applyNumberFormat="1" applyFont="1" applyBorder="1" applyAlignment="1">
      <alignment horizontal="center" vertical="center"/>
    </xf>
    <xf numFmtId="176" fontId="5" fillId="0" borderId="5" xfId="1" applyFont="1" applyFill="1" applyBorder="1" applyAlignment="1">
      <alignment horizontal="center" vertical="center" wrapText="1"/>
    </xf>
    <xf numFmtId="49" fontId="41" fillId="3" borderId="5" xfId="0" applyNumberFormat="1" applyFont="1" applyFill="1" applyBorder="1" applyAlignment="1">
      <alignment horizontal="center" vertical="center"/>
    </xf>
    <xf numFmtId="176" fontId="5" fillId="3" borderId="5" xfId="1" applyFont="1" applyFill="1" applyBorder="1" applyAlignment="1">
      <alignment horizontal="center" vertical="center" wrapText="1"/>
    </xf>
    <xf numFmtId="0" fontId="41" fillId="0" borderId="5" xfId="0" applyFont="1" applyBorder="1" applyAlignment="1">
      <alignment horizontal="center"/>
    </xf>
    <xf numFmtId="0" fontId="42" fillId="0" borderId="5" xfId="0" applyFont="1" applyBorder="1" applyAlignment="1"/>
    <xf numFmtId="0" fontId="41" fillId="0" borderId="5" xfId="0" applyFont="1" applyBorder="1" applyAlignment="1"/>
    <xf numFmtId="176" fontId="41" fillId="3" borderId="5" xfId="1" applyFont="1" applyFill="1" applyBorder="1">
      <alignment vertical="center"/>
    </xf>
    <xf numFmtId="176" fontId="41" fillId="3" borderId="5" xfId="1" applyFont="1" applyFill="1" applyBorder="1" applyAlignment="1">
      <alignment horizontal="center" vertical="center"/>
    </xf>
    <xf numFmtId="9" fontId="41" fillId="3" borderId="5" xfId="0" applyNumberFormat="1" applyFont="1" applyFill="1" applyBorder="1">
      <alignment vertical="center"/>
    </xf>
    <xf numFmtId="49" fontId="41" fillId="3" borderId="5" xfId="0" applyNumberFormat="1" applyFont="1" applyFill="1" applyBorder="1">
      <alignment vertical="center"/>
    </xf>
    <xf numFmtId="0" fontId="41" fillId="3" borderId="0" xfId="0" applyFont="1" applyFill="1">
      <alignment vertical="center"/>
    </xf>
    <xf numFmtId="176" fontId="41" fillId="0" borderId="5" xfId="1" applyFont="1" applyBorder="1" applyAlignment="1"/>
    <xf numFmtId="0" fontId="41" fillId="3" borderId="5" xfId="0" applyFont="1" applyFill="1" applyBorder="1" applyAlignment="1">
      <alignment horizontal="center"/>
    </xf>
    <xf numFmtId="0" fontId="42" fillId="3" borderId="5" xfId="0" applyFont="1" applyFill="1" applyBorder="1" applyAlignment="1"/>
    <xf numFmtId="0" fontId="41" fillId="3" borderId="5" xfId="0" applyFont="1" applyFill="1" applyBorder="1" applyAlignment="1"/>
    <xf numFmtId="176" fontId="41" fillId="3" borderId="5" xfId="1" applyFont="1" applyFill="1" applyBorder="1" applyAlignment="1"/>
    <xf numFmtId="176" fontId="41" fillId="3" borderId="0" xfId="1" applyFont="1" applyFill="1" applyAlignment="1"/>
    <xf numFmtId="0" fontId="41" fillId="3" borderId="23" xfId="0" applyFont="1" applyFill="1" applyBorder="1" applyAlignment="1">
      <alignment horizontal="center"/>
    </xf>
    <xf numFmtId="0" fontId="42" fillId="3" borderId="23" xfId="0" applyFont="1" applyFill="1" applyBorder="1" applyAlignment="1"/>
    <xf numFmtId="0" fontId="41" fillId="3" borderId="23" xfId="0" applyFont="1" applyFill="1" applyBorder="1" applyAlignment="1"/>
    <xf numFmtId="176" fontId="41" fillId="3" borderId="23" xfId="1" applyFont="1" applyFill="1" applyBorder="1">
      <alignment vertical="center"/>
    </xf>
    <xf numFmtId="0" fontId="42" fillId="3" borderId="5" xfId="0" applyFont="1" applyFill="1" applyBorder="1">
      <alignment vertical="center"/>
    </xf>
    <xf numFmtId="0" fontId="41" fillId="3" borderId="5" xfId="0" applyFont="1" applyFill="1" applyBorder="1" applyAlignment="1">
      <alignment horizontal="center" vertical="center"/>
    </xf>
    <xf numFmtId="0" fontId="41" fillId="3" borderId="5" xfId="0" applyFont="1" applyFill="1" applyBorder="1">
      <alignment vertical="center"/>
    </xf>
    <xf numFmtId="176" fontId="41" fillId="3" borderId="5" xfId="1" applyFont="1" applyFill="1" applyBorder="1" applyAlignment="1">
      <alignment vertical="center"/>
    </xf>
    <xf numFmtId="176" fontId="39" fillId="3" borderId="5" xfId="1" applyFont="1" applyFill="1" applyBorder="1" applyAlignment="1">
      <alignment vertical="center"/>
    </xf>
    <xf numFmtId="9" fontId="39" fillId="3" borderId="5" xfId="0" applyNumberFormat="1" applyFont="1" applyFill="1" applyBorder="1">
      <alignment vertical="center"/>
    </xf>
    <xf numFmtId="0" fontId="43" fillId="0" borderId="0" xfId="0" applyFont="1">
      <alignment vertical="center"/>
    </xf>
    <xf numFmtId="49" fontId="22" fillId="0" borderId="0" xfId="0" applyNumberFormat="1" applyFont="1">
      <alignment vertical="center"/>
    </xf>
    <xf numFmtId="49" fontId="22" fillId="0" borderId="0" xfId="0" applyNumberFormat="1" applyFont="1" applyAlignment="1">
      <alignment horizontal="center" vertical="center"/>
    </xf>
    <xf numFmtId="176" fontId="22" fillId="0" borderId="0" xfId="1" applyFont="1" applyFill="1">
      <alignment vertical="center"/>
    </xf>
    <xf numFmtId="0" fontId="22" fillId="0" borderId="0" xfId="0" applyFont="1">
      <alignment vertical="center"/>
    </xf>
    <xf numFmtId="9" fontId="22" fillId="0" borderId="0" xfId="0" applyNumberFormat="1" applyFont="1">
      <alignment vertical="center"/>
    </xf>
    <xf numFmtId="0" fontId="44" fillId="0" borderId="0" xfId="0" applyFont="1" applyAlignment="1">
      <alignment horizontal="center" vertical="center"/>
    </xf>
    <xf numFmtId="49" fontId="45" fillId="0" borderId="0" xfId="0" applyNumberFormat="1" applyFont="1">
      <alignment vertical="center"/>
    </xf>
    <xf numFmtId="49" fontId="45" fillId="0" borderId="0" xfId="0" applyNumberFormat="1" applyFont="1" applyAlignment="1">
      <alignment horizontal="center" vertical="center"/>
    </xf>
    <xf numFmtId="176" fontId="45" fillId="0" borderId="0" xfId="1" applyFont="1">
      <alignment vertical="center"/>
    </xf>
    <xf numFmtId="0" fontId="46" fillId="0" borderId="0" xfId="0" applyFont="1" applyAlignment="1">
      <alignment horizontal="center" vertical="center"/>
    </xf>
    <xf numFmtId="0" fontId="45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right" vertical="center"/>
    </xf>
    <xf numFmtId="0" fontId="49" fillId="0" borderId="0" xfId="0" applyFont="1">
      <alignment vertical="center"/>
    </xf>
    <xf numFmtId="9" fontId="50" fillId="6" borderId="0" xfId="13" applyFont="1" applyFill="1" applyAlignment="1">
      <alignment horizontal="center" vertical="center"/>
    </xf>
    <xf numFmtId="0" fontId="51" fillId="0" borderId="0" xfId="0" applyFont="1">
      <alignment vertical="center"/>
    </xf>
    <xf numFmtId="0" fontId="46" fillId="3" borderId="5" xfId="0" applyFont="1" applyFill="1" applyBorder="1" applyAlignment="1">
      <alignment horizontal="center" vertical="center"/>
    </xf>
    <xf numFmtId="49" fontId="46" fillId="3" borderId="5" xfId="2" applyNumberFormat="1" applyFont="1" applyFill="1" applyBorder="1" applyAlignment="1">
      <alignment vertical="center"/>
    </xf>
    <xf numFmtId="49" fontId="46" fillId="3" borderId="5" xfId="2" applyNumberFormat="1" applyFont="1" applyFill="1" applyBorder="1" applyAlignment="1">
      <alignment horizontal="center" vertical="center"/>
    </xf>
    <xf numFmtId="176" fontId="46" fillId="3" borderId="5" xfId="1" applyFont="1" applyFill="1" applyBorder="1" applyAlignment="1">
      <alignment horizontal="center" vertical="center"/>
    </xf>
    <xf numFmtId="176" fontId="46" fillId="3" borderId="7" xfId="1" applyFont="1" applyFill="1" applyBorder="1" applyAlignment="1">
      <alignment horizontal="center" vertical="center"/>
    </xf>
    <xf numFmtId="179" fontId="46" fillId="3" borderId="5" xfId="4" applyFont="1" applyFill="1" applyBorder="1" applyAlignment="1">
      <alignment horizontal="center" vertical="center"/>
    </xf>
    <xf numFmtId="0" fontId="45" fillId="3" borderId="0" xfId="0" applyFont="1" applyFill="1">
      <alignment vertical="center"/>
    </xf>
    <xf numFmtId="0" fontId="52" fillId="3" borderId="5" xfId="0" applyFont="1" applyFill="1" applyBorder="1" applyAlignment="1">
      <alignment horizontal="center" vertical="center"/>
    </xf>
    <xf numFmtId="49" fontId="39" fillId="3" borderId="5" xfId="0" applyNumberFormat="1" applyFont="1" applyFill="1" applyBorder="1" applyAlignment="1">
      <alignment horizontal="center" vertical="center"/>
    </xf>
    <xf numFmtId="0" fontId="53" fillId="3" borderId="0" xfId="0" applyFont="1" applyFill="1">
      <alignment vertical="center"/>
    </xf>
    <xf numFmtId="0" fontId="22" fillId="3" borderId="5" xfId="0" applyFont="1" applyFill="1" applyBorder="1">
      <alignment vertical="center"/>
    </xf>
    <xf numFmtId="49" fontId="22" fillId="3" borderId="5" xfId="0" applyNumberFormat="1" applyFont="1" applyFill="1" applyBorder="1">
      <alignment vertical="center"/>
    </xf>
    <xf numFmtId="49" fontId="22" fillId="7" borderId="5" xfId="0" applyNumberFormat="1" applyFont="1" applyFill="1" applyBorder="1" applyAlignment="1">
      <alignment horizontal="center" vertical="center"/>
    </xf>
    <xf numFmtId="49" fontId="22" fillId="3" borderId="5" xfId="0" applyNumberFormat="1" applyFont="1" applyFill="1" applyBorder="1" applyAlignment="1">
      <alignment horizontal="center" vertical="center"/>
    </xf>
    <xf numFmtId="176" fontId="22" fillId="3" borderId="5" xfId="1" applyFont="1" applyFill="1" applyBorder="1">
      <alignment vertical="center"/>
    </xf>
    <xf numFmtId="176" fontId="22" fillId="7" borderId="5" xfId="1" applyFont="1" applyFill="1" applyBorder="1" applyAlignment="1">
      <alignment horizontal="center" vertical="center"/>
    </xf>
    <xf numFmtId="0" fontId="22" fillId="3" borderId="0" xfId="0" applyFont="1" applyFill="1">
      <alignment vertical="center"/>
    </xf>
    <xf numFmtId="9" fontId="22" fillId="3" borderId="5" xfId="0" applyNumberFormat="1" applyFont="1" applyFill="1" applyBorder="1">
      <alignment vertical="center"/>
    </xf>
    <xf numFmtId="49" fontId="22" fillId="3" borderId="0" xfId="0" applyNumberFormat="1" applyFont="1" applyFill="1">
      <alignment vertical="center"/>
    </xf>
    <xf numFmtId="49" fontId="22" fillId="3" borderId="0" xfId="0" applyNumberFormat="1" applyFont="1" applyFill="1" applyAlignment="1">
      <alignment horizontal="center" vertical="center"/>
    </xf>
    <xf numFmtId="176" fontId="22" fillId="3" borderId="0" xfId="1" applyFont="1" applyFill="1">
      <alignment vertical="center"/>
    </xf>
    <xf numFmtId="176" fontId="22" fillId="7" borderId="5" xfId="1" applyFont="1" applyFill="1" applyBorder="1">
      <alignment vertical="center"/>
    </xf>
    <xf numFmtId="9" fontId="22" fillId="3" borderId="0" xfId="0" applyNumberFormat="1" applyFont="1" applyFill="1">
      <alignment vertical="center"/>
    </xf>
    <xf numFmtId="49" fontId="39" fillId="3" borderId="5" xfId="0" applyNumberFormat="1" applyFont="1" applyFill="1" applyBorder="1" applyAlignment="1">
      <alignment horizontal="left" vertical="center"/>
    </xf>
    <xf numFmtId="0" fontId="41" fillId="0" borderId="5" xfId="0" applyFont="1" applyBorder="1" applyAlignment="1">
      <alignment horizontal="center" vertical="center"/>
    </xf>
    <xf numFmtId="0" fontId="42" fillId="0" borderId="5" xfId="0" applyFont="1" applyBorder="1">
      <alignment vertical="center"/>
    </xf>
    <xf numFmtId="176" fontId="41" fillId="0" borderId="5" xfId="1" applyFont="1" applyBorder="1" applyAlignment="1">
      <alignment vertical="center"/>
    </xf>
    <xf numFmtId="0" fontId="42" fillId="3" borderId="5" xfId="0" applyFont="1" applyFill="1" applyBorder="1" applyAlignment="1">
      <alignment horizontal="center" vertical="center"/>
    </xf>
    <xf numFmtId="176" fontId="42" fillId="3" borderId="5" xfId="1" applyFont="1" applyFill="1" applyBorder="1" applyAlignment="1">
      <alignment vertical="center"/>
    </xf>
    <xf numFmtId="0" fontId="42" fillId="0" borderId="5" xfId="0" applyFont="1" applyBorder="1" applyAlignment="1">
      <alignment horizontal="center" vertical="center"/>
    </xf>
    <xf numFmtId="176" fontId="42" fillId="0" borderId="5" xfId="1" applyFont="1" applyBorder="1" applyAlignment="1">
      <alignment vertical="center"/>
    </xf>
    <xf numFmtId="49" fontId="41" fillId="0" borderId="5" xfId="0" applyNumberFormat="1" applyFont="1" applyBorder="1">
      <alignment vertical="center"/>
    </xf>
    <xf numFmtId="0" fontId="39" fillId="3" borderId="5" xfId="0" applyFont="1" applyFill="1" applyBorder="1" applyAlignment="1">
      <alignment horizontal="center" vertical="center"/>
    </xf>
    <xf numFmtId="0" fontId="40" fillId="0" borderId="5" xfId="0" applyFont="1" applyBorder="1" applyAlignment="1">
      <alignment horizontal="left" vertical="center"/>
    </xf>
    <xf numFmtId="49" fontId="40" fillId="0" borderId="5" xfId="0" applyNumberFormat="1" applyFont="1" applyBorder="1">
      <alignment vertical="center"/>
    </xf>
    <xf numFmtId="49" fontId="40" fillId="0" borderId="5" xfId="0" applyNumberFormat="1" applyFont="1" applyBorder="1" applyAlignment="1">
      <alignment horizontal="center" vertical="center"/>
    </xf>
    <xf numFmtId="176" fontId="40" fillId="0" borderId="5" xfId="1" applyFont="1" applyFill="1" applyBorder="1">
      <alignment vertical="center"/>
    </xf>
    <xf numFmtId="0" fontId="40" fillId="0" borderId="5" xfId="0" applyFont="1" applyBorder="1">
      <alignment vertical="center"/>
    </xf>
    <xf numFmtId="49" fontId="24" fillId="0" borderId="5" xfId="0" applyNumberFormat="1" applyFont="1" applyBorder="1" applyAlignment="1">
      <alignment horizontal="center" vertical="center"/>
    </xf>
    <xf numFmtId="0" fontId="55" fillId="0" borderId="0" xfId="20" applyFont="1">
      <alignment vertical="center"/>
    </xf>
    <xf numFmtId="0" fontId="54" fillId="0" borderId="27" xfId="19" applyFont="1" applyBorder="1" applyAlignment="1">
      <alignment horizontal="center" vertical="center"/>
    </xf>
    <xf numFmtId="0" fontId="54" fillId="0" borderId="0" xfId="19" applyFont="1" applyAlignment="1">
      <alignment horizontal="center" vertical="center"/>
    </xf>
    <xf numFmtId="0" fontId="54" fillId="0" borderId="21" xfId="19" applyFont="1" applyBorder="1" applyAlignment="1">
      <alignment horizontal="center" vertical="center"/>
    </xf>
    <xf numFmtId="0" fontId="57" fillId="0" borderId="27" xfId="19" applyFont="1" applyBorder="1" applyAlignment="1">
      <alignment horizontal="left" vertical="center"/>
    </xf>
    <xf numFmtId="0" fontId="58" fillId="0" borderId="0" xfId="19" applyFont="1" applyAlignment="1">
      <alignment vertical="center"/>
    </xf>
    <xf numFmtId="0" fontId="58" fillId="0" borderId="0" xfId="19" applyFont="1" applyAlignment="1">
      <alignment horizontal="left" vertical="center" textRotation="1"/>
    </xf>
    <xf numFmtId="0" fontId="59" fillId="0" borderId="0" xfId="19" applyFont="1" applyAlignment="1">
      <alignment horizontal="centerContinuous" vertical="center"/>
    </xf>
    <xf numFmtId="0" fontId="59" fillId="0" borderId="21" xfId="19" applyFont="1" applyBorder="1" applyAlignment="1">
      <alignment vertical="center"/>
    </xf>
    <xf numFmtId="0" fontId="60" fillId="0" borderId="27" xfId="19" applyFont="1" applyBorder="1" applyAlignment="1">
      <alignment horizontal="left" vertical="center" indent="2"/>
    </xf>
    <xf numFmtId="0" fontId="55" fillId="0" borderId="28" xfId="19" applyFont="1" applyBorder="1" applyAlignment="1">
      <alignment vertical="center"/>
    </xf>
    <xf numFmtId="0" fontId="55" fillId="0" borderId="0" xfId="19" applyFont="1" applyAlignment="1">
      <alignment vertical="center"/>
    </xf>
    <xf numFmtId="0" fontId="59" fillId="0" borderId="21" xfId="19" applyFont="1" applyBorder="1" applyAlignment="1">
      <alignment horizontal="right" vertical="center"/>
    </xf>
    <xf numFmtId="0" fontId="60" fillId="0" borderId="27" xfId="19" applyFont="1" applyBorder="1" applyAlignment="1">
      <alignment vertical="center"/>
    </xf>
    <xf numFmtId="0" fontId="60" fillId="0" borderId="0" xfId="19" applyFont="1" applyAlignment="1">
      <alignment vertical="center"/>
    </xf>
    <xf numFmtId="0" fontId="59" fillId="0" borderId="0" xfId="19" applyFont="1" applyAlignment="1">
      <alignment horizontal="right" vertical="center"/>
    </xf>
    <xf numFmtId="0" fontId="60" fillId="0" borderId="21" xfId="19" applyFont="1" applyBorder="1" applyAlignment="1">
      <alignment vertical="center"/>
    </xf>
    <xf numFmtId="0" fontId="55" fillId="0" borderId="30" xfId="19" applyFont="1" applyBorder="1" applyAlignment="1">
      <alignment horizontal="center" vertical="center"/>
    </xf>
    <xf numFmtId="0" fontId="55" fillId="0" borderId="31" xfId="19" applyFont="1" applyBorder="1" applyAlignment="1">
      <alignment horizontal="center" vertical="center"/>
    </xf>
    <xf numFmtId="0" fontId="55" fillId="0" borderId="33" xfId="19" applyFont="1" applyBorder="1" applyAlignment="1">
      <alignment horizontal="center" vertical="center"/>
    </xf>
    <xf numFmtId="0" fontId="55" fillId="0" borderId="34" xfId="19" applyFont="1" applyBorder="1" applyAlignment="1">
      <alignment horizontal="center" vertical="center"/>
    </xf>
    <xf numFmtId="0" fontId="55" fillId="0" borderId="38" xfId="19" applyFont="1" applyBorder="1" applyAlignment="1">
      <alignment horizontal="center" vertical="center"/>
    </xf>
    <xf numFmtId="0" fontId="63" fillId="0" borderId="39" xfId="19" applyFont="1" applyBorder="1" applyAlignment="1">
      <alignment horizontal="center" vertical="center"/>
    </xf>
    <xf numFmtId="0" fontId="55" fillId="0" borderId="44" xfId="19" applyFont="1" applyBorder="1" applyAlignment="1">
      <alignment horizontal="center" vertical="center"/>
    </xf>
    <xf numFmtId="0" fontId="55" fillId="0" borderId="45" xfId="19" applyFont="1" applyBorder="1" applyAlignment="1">
      <alignment horizontal="center" vertical="center"/>
    </xf>
    <xf numFmtId="0" fontId="55" fillId="0" borderId="27" xfId="19" applyFont="1" applyBorder="1" applyAlignment="1">
      <alignment horizontal="center" vertical="center"/>
    </xf>
    <xf numFmtId="0" fontId="55" fillId="0" borderId="0" xfId="19" applyFont="1" applyAlignment="1">
      <alignment horizontal="center" vertical="center"/>
    </xf>
    <xf numFmtId="0" fontId="55" fillId="0" borderId="0" xfId="19" applyFont="1" applyAlignment="1">
      <alignment horizontal="left" vertical="center" indent="1"/>
    </xf>
    <xf numFmtId="0" fontId="59" fillId="0" borderId="0" xfId="19" applyFont="1" applyAlignment="1">
      <alignment vertical="center"/>
    </xf>
    <xf numFmtId="0" fontId="55" fillId="0" borderId="27" xfId="19" applyFont="1" applyBorder="1" applyAlignment="1">
      <alignment vertical="center"/>
    </xf>
    <xf numFmtId="0" fontId="55" fillId="0" borderId="21" xfId="19" applyFont="1" applyBorder="1" applyAlignment="1">
      <alignment vertical="center"/>
    </xf>
    <xf numFmtId="0" fontId="60" fillId="0" borderId="27" xfId="19" applyFont="1" applyBorder="1" applyAlignment="1">
      <alignment horizontal="left" vertical="center" indent="1"/>
    </xf>
    <xf numFmtId="0" fontId="65" fillId="0" borderId="0" xfId="19" applyFont="1" applyAlignment="1">
      <alignment vertical="center"/>
    </xf>
    <xf numFmtId="0" fontId="65" fillId="10" borderId="46" xfId="19" applyFont="1" applyFill="1" applyBorder="1" applyAlignment="1">
      <alignment horizontal="center" vertical="center"/>
    </xf>
    <xf numFmtId="0" fontId="65" fillId="10" borderId="47" xfId="19" applyFont="1" applyFill="1" applyBorder="1" applyAlignment="1">
      <alignment horizontal="center" vertical="center"/>
    </xf>
    <xf numFmtId="3" fontId="65" fillId="10" borderId="47" xfId="19" applyNumberFormat="1" applyFont="1" applyFill="1" applyBorder="1" applyAlignment="1">
      <alignment horizontal="center" vertical="center"/>
    </xf>
    <xf numFmtId="0" fontId="55" fillId="0" borderId="19" xfId="19" applyFont="1" applyBorder="1" applyAlignment="1">
      <alignment horizontal="center" vertical="center"/>
    </xf>
    <xf numFmtId="0" fontId="55" fillId="0" borderId="15" xfId="19" applyFont="1" applyBorder="1" applyAlignment="1">
      <alignment horizontal="center" vertical="center"/>
    </xf>
    <xf numFmtId="0" fontId="55" fillId="0" borderId="8" xfId="22" applyFont="1" applyBorder="1" applyAlignment="1">
      <alignment horizontal="center" vertical="center"/>
    </xf>
    <xf numFmtId="176" fontId="55" fillId="0" borderId="0" xfId="20" applyNumberFormat="1" applyFont="1">
      <alignment vertical="center"/>
    </xf>
    <xf numFmtId="0" fontId="55" fillId="0" borderId="55" xfId="22" applyFont="1" applyBorder="1" applyAlignment="1">
      <alignment horizontal="left" vertical="center" wrapText="1" indent="1"/>
    </xf>
    <xf numFmtId="0" fontId="59" fillId="0" borderId="60" xfId="22" applyFont="1" applyBorder="1" applyAlignment="1">
      <alignment horizontal="center" vertical="center"/>
    </xf>
    <xf numFmtId="183" fontId="59" fillId="0" borderId="60" xfId="22" applyNumberFormat="1" applyFont="1" applyBorder="1" applyAlignment="1">
      <alignment horizontal="center" vertical="center"/>
    </xf>
    <xf numFmtId="177" fontId="55" fillId="0" borderId="0" xfId="20" applyNumberFormat="1" applyFont="1">
      <alignment vertical="center"/>
    </xf>
    <xf numFmtId="2" fontId="59" fillId="0" borderId="62" xfId="22" applyNumberFormat="1" applyFont="1" applyBorder="1" applyAlignment="1">
      <alignment horizontal="center" vertical="center"/>
    </xf>
    <xf numFmtId="0" fontId="59" fillId="0" borderId="20" xfId="22" applyFont="1" applyBorder="1" applyAlignment="1">
      <alignment horizontal="center" vertical="center"/>
    </xf>
    <xf numFmtId="0" fontId="55" fillId="0" borderId="22" xfId="19" applyFont="1" applyBorder="1" applyAlignment="1">
      <alignment horizontal="center" vertical="center"/>
    </xf>
    <xf numFmtId="0" fontId="55" fillId="0" borderId="66" xfId="22" applyFont="1" applyBorder="1" applyAlignment="1">
      <alignment horizontal="left" vertical="center" wrapText="1" indent="1"/>
    </xf>
    <xf numFmtId="1" fontId="59" fillId="0" borderId="67" xfId="22" applyNumberFormat="1" applyFont="1" applyBorder="1" applyAlignment="1">
      <alignment horizontal="center" vertical="center"/>
    </xf>
    <xf numFmtId="0" fontId="59" fillId="0" borderId="67" xfId="22" applyFont="1" applyBorder="1" applyAlignment="1">
      <alignment horizontal="center" vertical="center"/>
    </xf>
    <xf numFmtId="0" fontId="59" fillId="0" borderId="71" xfId="22" applyFont="1" applyBorder="1" applyAlignment="1">
      <alignment horizontal="center" vertical="center"/>
    </xf>
    <xf numFmtId="176" fontId="55" fillId="0" borderId="0" xfId="23" applyFont="1">
      <alignment vertical="center"/>
    </xf>
    <xf numFmtId="176" fontId="69" fillId="11" borderId="48" xfId="19" applyNumberFormat="1" applyFont="1" applyFill="1" applyBorder="1" applyAlignment="1">
      <alignment horizontal="right" vertical="center"/>
    </xf>
    <xf numFmtId="0" fontId="69" fillId="11" borderId="48" xfId="19" applyFont="1" applyFill="1" applyBorder="1" applyAlignment="1">
      <alignment horizontal="right" vertical="center"/>
    </xf>
    <xf numFmtId="176" fontId="69" fillId="11" borderId="73" xfId="23" applyFont="1" applyFill="1" applyBorder="1" applyAlignment="1">
      <alignment horizontal="right" vertical="center"/>
    </xf>
    <xf numFmtId="179" fontId="55" fillId="0" borderId="0" xfId="25" applyFont="1" applyAlignment="1">
      <alignment vertical="center"/>
    </xf>
    <xf numFmtId="49" fontId="59" fillId="0" borderId="27" xfId="19" applyNumberFormat="1" applyFont="1" applyBorder="1" applyAlignment="1">
      <alignment horizontal="left" vertical="center" indent="1"/>
    </xf>
    <xf numFmtId="49" fontId="55" fillId="0" borderId="0" xfId="19" applyNumberFormat="1" applyFont="1" applyAlignment="1">
      <alignment vertical="center"/>
    </xf>
    <xf numFmtId="49" fontId="55" fillId="0" borderId="21" xfId="19" applyNumberFormat="1" applyFont="1" applyBorder="1" applyAlignment="1">
      <alignment vertical="center"/>
    </xf>
    <xf numFmtId="49" fontId="55" fillId="0" borderId="27" xfId="19" applyNumberFormat="1" applyFont="1" applyBorder="1" applyAlignment="1">
      <alignment vertical="center"/>
    </xf>
    <xf numFmtId="0" fontId="60" fillId="0" borderId="0" xfId="22" applyFont="1" applyAlignment="1">
      <alignment horizontal="left" vertical="center"/>
    </xf>
    <xf numFmtId="0" fontId="60" fillId="0" borderId="21" xfId="22" applyFont="1" applyBorder="1" applyAlignment="1">
      <alignment horizontal="left" vertical="center"/>
    </xf>
    <xf numFmtId="49" fontId="55" fillId="0" borderId="75" xfId="19" applyNumberFormat="1" applyFont="1" applyBorder="1" applyAlignment="1">
      <alignment vertical="center"/>
    </xf>
    <xf numFmtId="49" fontId="55" fillId="0" borderId="76" xfId="19" applyNumberFormat="1" applyFont="1" applyBorder="1" applyAlignment="1">
      <alignment vertical="center"/>
    </xf>
    <xf numFmtId="49" fontId="55" fillId="0" borderId="77" xfId="19" applyNumberFormat="1" applyFont="1" applyBorder="1" applyAlignment="1">
      <alignment vertical="center"/>
    </xf>
    <xf numFmtId="0" fontId="60" fillId="0" borderId="28" xfId="19" applyFont="1" applyBorder="1" applyAlignment="1">
      <alignment vertical="center"/>
    </xf>
    <xf numFmtId="0" fontId="55" fillId="0" borderId="29" xfId="19" applyFont="1" applyBorder="1" applyAlignment="1">
      <alignment horizontal="right" vertical="center"/>
    </xf>
    <xf numFmtId="0" fontId="55" fillId="0" borderId="51" xfId="22" applyFont="1" applyBorder="1" applyAlignment="1">
      <alignment horizontal="center" vertical="center"/>
    </xf>
    <xf numFmtId="0" fontId="55" fillId="0" borderId="53" xfId="22" applyFont="1" applyBorder="1" applyAlignment="1">
      <alignment horizontal="center" vertical="center"/>
    </xf>
    <xf numFmtId="0" fontId="55" fillId="0" borderId="23" xfId="22" applyFont="1" applyBorder="1" applyAlignment="1">
      <alignment horizontal="center" vertical="center"/>
    </xf>
    <xf numFmtId="0" fontId="59" fillId="0" borderId="56" xfId="22" applyFont="1" applyBorder="1" applyAlignment="1">
      <alignment horizontal="center" vertical="center"/>
    </xf>
    <xf numFmtId="0" fontId="64" fillId="9" borderId="0" xfId="19" applyFont="1" applyFill="1" applyAlignment="1">
      <alignment horizontal="left" vertical="center"/>
    </xf>
    <xf numFmtId="0" fontId="54" fillId="0" borderId="24" xfId="19" applyFont="1" applyBorder="1" applyAlignment="1">
      <alignment horizontal="center" vertical="center"/>
    </xf>
    <xf numFmtId="0" fontId="54" fillId="0" borderId="25" xfId="19" applyFont="1" applyBorder="1" applyAlignment="1">
      <alignment horizontal="center" vertical="center"/>
    </xf>
    <xf numFmtId="0" fontId="54" fillId="0" borderId="26" xfId="19" applyFont="1" applyBorder="1" applyAlignment="1">
      <alignment horizontal="center" vertical="center"/>
    </xf>
    <xf numFmtId="0" fontId="56" fillId="0" borderId="27" xfId="19" applyFont="1" applyBorder="1" applyAlignment="1" applyProtection="1">
      <alignment horizontal="center" vertical="center"/>
      <protection locked="0"/>
    </xf>
    <xf numFmtId="0" fontId="56" fillId="0" borderId="0" xfId="19" applyFont="1" applyAlignment="1" applyProtection="1">
      <alignment horizontal="center" vertical="center"/>
      <protection locked="0"/>
    </xf>
    <xf numFmtId="0" fontId="56" fillId="0" borderId="21" xfId="19" applyFont="1" applyBorder="1" applyAlignment="1" applyProtection="1">
      <alignment horizontal="center" vertical="center"/>
      <protection locked="0"/>
    </xf>
    <xf numFmtId="0" fontId="55" fillId="8" borderId="29" xfId="19" applyFont="1" applyFill="1" applyBorder="1" applyAlignment="1">
      <alignment horizontal="center" vertical="center"/>
    </xf>
    <xf numFmtId="0" fontId="55" fillId="8" borderId="30" xfId="19" applyFont="1" applyFill="1" applyBorder="1" applyAlignment="1">
      <alignment horizontal="center" vertical="center"/>
    </xf>
    <xf numFmtId="0" fontId="55" fillId="8" borderId="31" xfId="19" applyFont="1" applyFill="1" applyBorder="1" applyAlignment="1">
      <alignment horizontal="center" vertical="center"/>
    </xf>
    <xf numFmtId="0" fontId="55" fillId="0" borderId="32" xfId="19" applyFont="1" applyBorder="1" applyAlignment="1">
      <alignment horizontal="center" vertical="center" wrapText="1"/>
    </xf>
    <xf numFmtId="0" fontId="55" fillId="0" borderId="37" xfId="19" applyFont="1" applyBorder="1" applyAlignment="1">
      <alignment horizontal="center" vertical="center"/>
    </xf>
    <xf numFmtId="0" fontId="55" fillId="0" borderId="43" xfId="19" applyFont="1" applyBorder="1" applyAlignment="1">
      <alignment horizontal="center" vertical="center"/>
    </xf>
    <xf numFmtId="0" fontId="55" fillId="0" borderId="35" xfId="19" applyFont="1" applyBorder="1" applyAlignment="1">
      <alignment horizontal="center" vertical="center"/>
    </xf>
    <xf numFmtId="0" fontId="55" fillId="0" borderId="2" xfId="19" applyFont="1" applyBorder="1" applyAlignment="1">
      <alignment horizontal="center" vertical="center"/>
    </xf>
    <xf numFmtId="0" fontId="55" fillId="0" borderId="36" xfId="19" applyFont="1" applyBorder="1" applyAlignment="1">
      <alignment horizontal="center" vertical="center"/>
    </xf>
    <xf numFmtId="0" fontId="62" fillId="0" borderId="35" xfId="19" applyFont="1" applyBorder="1" applyAlignment="1">
      <alignment horizontal="center" vertical="center"/>
    </xf>
    <xf numFmtId="0" fontId="60" fillId="0" borderId="2" xfId="19" applyFont="1" applyBorder="1" applyAlignment="1">
      <alignment horizontal="center" vertical="center"/>
    </xf>
    <xf numFmtId="0" fontId="60" fillId="0" borderId="3" xfId="19" applyFont="1" applyBorder="1" applyAlignment="1">
      <alignment horizontal="center" vertical="center"/>
    </xf>
    <xf numFmtId="0" fontId="62" fillId="0" borderId="1" xfId="19" applyFont="1" applyBorder="1" applyAlignment="1">
      <alignment horizontal="center" vertical="center"/>
    </xf>
    <xf numFmtId="0" fontId="60" fillId="0" borderId="36" xfId="19" applyFont="1" applyBorder="1" applyAlignment="1">
      <alignment horizontal="center" vertical="center"/>
    </xf>
    <xf numFmtId="0" fontId="55" fillId="0" borderId="35" xfId="19" applyFont="1" applyBorder="1" applyAlignment="1">
      <alignment horizontal="left" vertical="center" indent="1"/>
    </xf>
    <xf numFmtId="0" fontId="55" fillId="0" borderId="2" xfId="19" applyFont="1" applyBorder="1" applyAlignment="1">
      <alignment horizontal="left" vertical="center" indent="1"/>
    </xf>
    <xf numFmtId="0" fontId="55" fillId="0" borderId="36" xfId="19" applyFont="1" applyBorder="1" applyAlignment="1">
      <alignment horizontal="left" vertical="center" indent="1"/>
    </xf>
    <xf numFmtId="0" fontId="55" fillId="0" borderId="1" xfId="19" applyFont="1" applyBorder="1" applyAlignment="1">
      <alignment horizontal="center" vertical="center"/>
    </xf>
    <xf numFmtId="0" fontId="55" fillId="0" borderId="40" xfId="19" applyFont="1" applyBorder="1" applyAlignment="1">
      <alignment horizontal="center" vertical="center"/>
    </xf>
    <xf numFmtId="0" fontId="55" fillId="0" borderId="41" xfId="19" applyFont="1" applyBorder="1" applyAlignment="1">
      <alignment horizontal="center" vertical="center"/>
    </xf>
    <xf numFmtId="0" fontId="55" fillId="0" borderId="42" xfId="19" applyFont="1" applyBorder="1" applyAlignment="1">
      <alignment horizontal="center" vertical="center"/>
    </xf>
    <xf numFmtId="0" fontId="55" fillId="0" borderId="40" xfId="19" applyFont="1" applyBorder="1" applyAlignment="1">
      <alignment horizontal="left" vertical="center" indent="1"/>
    </xf>
    <xf numFmtId="0" fontId="55" fillId="0" borderId="41" xfId="19" applyFont="1" applyBorder="1" applyAlignment="1">
      <alignment horizontal="left" vertical="center" indent="1"/>
    </xf>
    <xf numFmtId="0" fontId="55" fillId="0" borderId="42" xfId="19" applyFont="1" applyBorder="1" applyAlignment="1">
      <alignment horizontal="left" vertical="center" indent="1"/>
    </xf>
    <xf numFmtId="0" fontId="66" fillId="9" borderId="0" xfId="21" applyFont="1" applyFill="1" applyAlignment="1">
      <alignment horizontal="left" vertical="center"/>
    </xf>
    <xf numFmtId="0" fontId="66" fillId="9" borderId="21" xfId="21" applyFont="1" applyFill="1" applyBorder="1" applyAlignment="1">
      <alignment horizontal="left" vertical="center"/>
    </xf>
    <xf numFmtId="0" fontId="55" fillId="0" borderId="0" xfId="19" applyFont="1" applyAlignment="1">
      <alignment horizontal="right" vertical="center"/>
    </xf>
    <xf numFmtId="0" fontId="55" fillId="0" borderId="21" xfId="19" applyFont="1" applyBorder="1" applyAlignment="1">
      <alignment horizontal="right" vertical="center"/>
    </xf>
    <xf numFmtId="0" fontId="55" fillId="0" borderId="51" xfId="22" applyFont="1" applyBorder="1" applyAlignment="1">
      <alignment horizontal="center" vertical="center" wrapText="1"/>
    </xf>
    <xf numFmtId="0" fontId="55" fillId="0" borderId="30" xfId="22" applyFont="1" applyBorder="1" applyAlignment="1">
      <alignment horizontal="center" vertical="center" wrapText="1"/>
    </xf>
    <xf numFmtId="0" fontId="55" fillId="0" borderId="52" xfId="22" applyFont="1" applyBorder="1" applyAlignment="1">
      <alignment horizontal="center" vertical="center" wrapText="1"/>
    </xf>
    <xf numFmtId="176" fontId="55" fillId="0" borderId="53" xfId="23" applyFont="1" applyFill="1" applyBorder="1" applyAlignment="1">
      <alignment horizontal="right" vertical="center"/>
    </xf>
    <xf numFmtId="176" fontId="55" fillId="0" borderId="51" xfId="22" applyNumberFormat="1" applyFont="1" applyBorder="1" applyAlignment="1">
      <alignment horizontal="left" vertical="center"/>
    </xf>
    <xf numFmtId="176" fontId="55" fillId="0" borderId="31" xfId="22" applyNumberFormat="1" applyFont="1" applyBorder="1" applyAlignment="1">
      <alignment horizontal="left" vertical="center"/>
    </xf>
    <xf numFmtId="0" fontId="65" fillId="10" borderId="47" xfId="19" applyFont="1" applyFill="1" applyBorder="1" applyAlignment="1">
      <alignment horizontal="center" vertical="center"/>
    </xf>
    <xf numFmtId="0" fontId="65" fillId="10" borderId="48" xfId="19" applyFont="1" applyFill="1" applyBorder="1" applyAlignment="1">
      <alignment horizontal="center" vertical="center"/>
    </xf>
    <xf numFmtId="0" fontId="65" fillId="10" borderId="49" xfId="19" applyFont="1" applyFill="1" applyBorder="1" applyAlignment="1">
      <alignment horizontal="center" vertical="center"/>
    </xf>
    <xf numFmtId="3" fontId="65" fillId="10" borderId="47" xfId="19" applyNumberFormat="1" applyFont="1" applyFill="1" applyBorder="1" applyAlignment="1">
      <alignment horizontal="center" vertical="center"/>
    </xf>
    <xf numFmtId="3" fontId="65" fillId="10" borderId="48" xfId="19" applyNumberFormat="1" applyFont="1" applyFill="1" applyBorder="1" applyAlignment="1">
      <alignment horizontal="center" vertical="center"/>
    </xf>
    <xf numFmtId="3" fontId="65" fillId="10" borderId="49" xfId="19" applyNumberFormat="1" applyFont="1" applyFill="1" applyBorder="1" applyAlignment="1">
      <alignment horizontal="center" vertical="center"/>
    </xf>
    <xf numFmtId="0" fontId="65" fillId="10" borderId="50" xfId="19" applyFont="1" applyFill="1" applyBorder="1" applyAlignment="1">
      <alignment horizontal="center" vertical="center"/>
    </xf>
    <xf numFmtId="0" fontId="55" fillId="0" borderId="16" xfId="22" applyFont="1" applyBorder="1" applyAlignment="1">
      <alignment horizontal="center" vertical="center" wrapText="1"/>
    </xf>
    <xf numFmtId="0" fontId="55" fillId="0" borderId="17" xfId="22" applyFont="1" applyBorder="1" applyAlignment="1">
      <alignment horizontal="center" vertical="center" wrapText="1"/>
    </xf>
    <xf numFmtId="0" fontId="55" fillId="0" borderId="54" xfId="22" applyFont="1" applyBorder="1" applyAlignment="1">
      <alignment horizontal="center" vertical="center" wrapText="1"/>
    </xf>
    <xf numFmtId="176" fontId="55" fillId="0" borderId="16" xfId="23" applyFont="1" applyFill="1" applyBorder="1" applyAlignment="1">
      <alignment horizontal="right" vertical="center"/>
    </xf>
    <xf numFmtId="176" fontId="55" fillId="0" borderId="17" xfId="23" applyFont="1" applyFill="1" applyBorder="1" applyAlignment="1">
      <alignment horizontal="right" vertical="center"/>
    </xf>
    <xf numFmtId="176" fontId="55" fillId="0" borderId="54" xfId="23" applyFont="1" applyFill="1" applyBorder="1" applyAlignment="1">
      <alignment horizontal="right" vertical="center"/>
    </xf>
    <xf numFmtId="176" fontId="55" fillId="0" borderId="16" xfId="24" applyFont="1" applyBorder="1" applyAlignment="1">
      <alignment horizontal="left" vertical="center"/>
    </xf>
    <xf numFmtId="176" fontId="55" fillId="0" borderId="18" xfId="24" applyFont="1" applyBorder="1" applyAlignment="1">
      <alignment horizontal="left" vertical="center"/>
    </xf>
    <xf numFmtId="176" fontId="55" fillId="0" borderId="8" xfId="23" applyFont="1" applyBorder="1" applyAlignment="1">
      <alignment horizontal="center" vertical="center"/>
    </xf>
    <xf numFmtId="176" fontId="55" fillId="0" borderId="6" xfId="23" applyFont="1" applyBorder="1" applyAlignment="1">
      <alignment horizontal="center" vertical="center"/>
    </xf>
    <xf numFmtId="176" fontId="55" fillId="0" borderId="7" xfId="23" applyFont="1" applyBorder="1" applyAlignment="1">
      <alignment horizontal="center" vertical="center"/>
    </xf>
    <xf numFmtId="176" fontId="55" fillId="0" borderId="8" xfId="24" applyFont="1" applyBorder="1" applyAlignment="1">
      <alignment horizontal="left" vertical="center"/>
    </xf>
    <xf numFmtId="176" fontId="55" fillId="0" borderId="14" xfId="24" applyFont="1" applyBorder="1" applyAlignment="1">
      <alignment horizontal="left" vertical="center"/>
    </xf>
    <xf numFmtId="0" fontId="59" fillId="0" borderId="56" xfId="22" applyFont="1" applyBorder="1" applyAlignment="1">
      <alignment horizontal="left" vertical="center" wrapText="1" indent="1"/>
    </xf>
    <xf numFmtId="0" fontId="59" fillId="0" borderId="57" xfId="22" applyFont="1" applyBorder="1" applyAlignment="1">
      <alignment horizontal="left" vertical="center" wrapText="1" indent="1"/>
    </xf>
    <xf numFmtId="0" fontId="59" fillId="0" borderId="58" xfId="22" applyFont="1" applyBorder="1" applyAlignment="1">
      <alignment horizontal="left" vertical="center" wrapText="1" indent="1"/>
    </xf>
    <xf numFmtId="176" fontId="55" fillId="0" borderId="56" xfId="23" applyFont="1" applyFill="1" applyBorder="1" applyAlignment="1">
      <alignment horizontal="right" vertical="center"/>
    </xf>
    <xf numFmtId="176" fontId="55" fillId="0" borderId="57" xfId="23" applyFont="1" applyFill="1" applyBorder="1" applyAlignment="1">
      <alignment horizontal="right" vertical="center"/>
    </xf>
    <xf numFmtId="176" fontId="55" fillId="0" borderId="58" xfId="23" applyFont="1" applyFill="1" applyBorder="1" applyAlignment="1">
      <alignment horizontal="right" vertical="center"/>
    </xf>
    <xf numFmtId="176" fontId="55" fillId="0" borderId="56" xfId="24" applyFont="1" applyBorder="1" applyAlignment="1">
      <alignment horizontal="left" vertical="center"/>
    </xf>
    <xf numFmtId="176" fontId="55" fillId="0" borderId="59" xfId="24" applyFont="1" applyBorder="1" applyAlignment="1">
      <alignment horizontal="left" vertical="center"/>
    </xf>
    <xf numFmtId="0" fontId="59" fillId="0" borderId="60" xfId="22" applyFont="1" applyBorder="1" applyAlignment="1">
      <alignment horizontal="left" vertical="center" wrapText="1" indent="1"/>
    </xf>
    <xf numFmtId="0" fontId="59" fillId="0" borderId="2" xfId="22" applyFont="1" applyBorder="1" applyAlignment="1">
      <alignment horizontal="left" vertical="center" wrapText="1" indent="1"/>
    </xf>
    <xf numFmtId="0" fontId="59" fillId="0" borderId="61" xfId="22" applyFont="1" applyBorder="1" applyAlignment="1">
      <alignment horizontal="left" vertical="center" wrapText="1" indent="1"/>
    </xf>
    <xf numFmtId="176" fontId="55" fillId="0" borderId="60" xfId="23" applyFont="1" applyBorder="1" applyAlignment="1">
      <alignment horizontal="right" vertical="center"/>
    </xf>
    <xf numFmtId="176" fontId="55" fillId="0" borderId="2" xfId="23" applyFont="1" applyBorder="1" applyAlignment="1">
      <alignment horizontal="right" vertical="center"/>
    </xf>
    <xf numFmtId="176" fontId="55" fillId="0" borderId="61" xfId="23" applyFont="1" applyBorder="1" applyAlignment="1">
      <alignment horizontal="right" vertical="center"/>
    </xf>
    <xf numFmtId="176" fontId="55" fillId="0" borderId="60" xfId="24" applyFont="1" applyBorder="1" applyAlignment="1">
      <alignment horizontal="left" vertical="center"/>
    </xf>
    <xf numFmtId="176" fontId="55" fillId="0" borderId="36" xfId="24" applyFont="1" applyBorder="1" applyAlignment="1">
      <alignment horizontal="left" vertical="center"/>
    </xf>
    <xf numFmtId="0" fontId="59" fillId="0" borderId="62" xfId="22" applyFont="1" applyBorder="1" applyAlignment="1">
      <alignment horizontal="left" vertical="center" wrapText="1" indent="1"/>
    </xf>
    <xf numFmtId="0" fontId="59" fillId="0" borderId="63" xfId="22" applyFont="1" applyBorder="1" applyAlignment="1">
      <alignment horizontal="left" vertical="center" wrapText="1" indent="1"/>
    </xf>
    <xf numFmtId="0" fontId="59" fillId="0" borderId="64" xfId="22" applyFont="1" applyBorder="1" applyAlignment="1">
      <alignment horizontal="left" vertical="center" wrapText="1" indent="1"/>
    </xf>
    <xf numFmtId="176" fontId="55" fillId="0" borderId="62" xfId="23" applyFont="1" applyBorder="1" applyAlignment="1">
      <alignment horizontal="right" vertical="center"/>
    </xf>
    <xf numFmtId="176" fontId="55" fillId="0" borderId="63" xfId="23" applyFont="1" applyBorder="1" applyAlignment="1">
      <alignment horizontal="right" vertical="center"/>
    </xf>
    <xf numFmtId="176" fontId="55" fillId="0" borderId="64" xfId="23" applyFont="1" applyBorder="1" applyAlignment="1">
      <alignment horizontal="right" vertical="center"/>
    </xf>
    <xf numFmtId="176" fontId="55" fillId="0" borderId="62" xfId="23" applyFont="1" applyFill="1" applyBorder="1" applyAlignment="1">
      <alignment horizontal="right" vertical="center"/>
    </xf>
    <xf numFmtId="176" fontId="55" fillId="0" borderId="63" xfId="23" applyFont="1" applyFill="1" applyBorder="1" applyAlignment="1">
      <alignment horizontal="right" vertical="center"/>
    </xf>
    <xf numFmtId="176" fontId="55" fillId="0" borderId="64" xfId="23" applyFont="1" applyFill="1" applyBorder="1" applyAlignment="1">
      <alignment horizontal="right" vertical="center"/>
    </xf>
    <xf numFmtId="176" fontId="55" fillId="0" borderId="62" xfId="24" applyFont="1" applyBorder="1" applyAlignment="1">
      <alignment horizontal="left" vertical="center"/>
    </xf>
    <xf numFmtId="176" fontId="55" fillId="0" borderId="65" xfId="24" applyFont="1" applyBorder="1" applyAlignment="1">
      <alignment horizontal="left" vertical="center"/>
    </xf>
    <xf numFmtId="0" fontId="59" fillId="0" borderId="67" xfId="22" applyFont="1" applyBorder="1" applyAlignment="1">
      <alignment horizontal="left" vertical="center" wrapText="1" indent="1"/>
    </xf>
    <xf numFmtId="0" fontId="59" fillId="0" borderId="68" xfId="22" applyFont="1" applyBorder="1" applyAlignment="1">
      <alignment horizontal="left" vertical="center" wrapText="1" indent="1"/>
    </xf>
    <xf numFmtId="0" fontId="59" fillId="0" borderId="69" xfId="22" applyFont="1" applyBorder="1" applyAlignment="1">
      <alignment horizontal="left" vertical="center" wrapText="1" indent="1"/>
    </xf>
    <xf numFmtId="176" fontId="55" fillId="0" borderId="67" xfId="23" applyFont="1" applyBorder="1" applyAlignment="1">
      <alignment horizontal="right" vertical="center"/>
    </xf>
    <xf numFmtId="176" fontId="55" fillId="0" borderId="68" xfId="23" applyFont="1" applyBorder="1" applyAlignment="1">
      <alignment horizontal="right" vertical="center"/>
    </xf>
    <xf numFmtId="176" fontId="55" fillId="0" borderId="69" xfId="23" applyFont="1" applyBorder="1" applyAlignment="1">
      <alignment horizontal="right" vertical="center"/>
    </xf>
    <xf numFmtId="176" fontId="55" fillId="0" borderId="67" xfId="24" applyFont="1" applyBorder="1" applyAlignment="1">
      <alignment horizontal="left" vertical="center"/>
    </xf>
    <xf numFmtId="176" fontId="55" fillId="0" borderId="70" xfId="24" applyFont="1" applyBorder="1" applyAlignment="1">
      <alignment horizontal="left" vertical="center"/>
    </xf>
    <xf numFmtId="0" fontId="69" fillId="11" borderId="72" xfId="19" applyFont="1" applyFill="1" applyBorder="1" applyAlignment="1">
      <alignment horizontal="center" vertical="center"/>
    </xf>
    <xf numFmtId="0" fontId="69" fillId="11" borderId="48" xfId="19" applyFont="1" applyFill="1" applyBorder="1" applyAlignment="1">
      <alignment horizontal="center" vertical="center"/>
    </xf>
    <xf numFmtId="0" fontId="69" fillId="11" borderId="73" xfId="19" applyFont="1" applyFill="1" applyBorder="1" applyAlignment="1">
      <alignment horizontal="center" vertical="center"/>
    </xf>
    <xf numFmtId="9" fontId="69" fillId="11" borderId="74" xfId="18" applyFont="1" applyFill="1" applyBorder="1" applyAlignment="1">
      <alignment horizontal="center" vertical="center"/>
    </xf>
    <xf numFmtId="9" fontId="69" fillId="11" borderId="50" xfId="18" applyFont="1" applyFill="1" applyBorder="1" applyAlignment="1">
      <alignment horizontal="center" vertical="center"/>
    </xf>
    <xf numFmtId="176" fontId="55" fillId="0" borderId="8" xfId="23" applyFont="1" applyBorder="1" applyAlignment="1">
      <alignment horizontal="right" vertical="center"/>
    </xf>
    <xf numFmtId="176" fontId="55" fillId="0" borderId="6" xfId="23" applyFont="1" applyBorder="1" applyAlignment="1">
      <alignment horizontal="right" vertical="center"/>
    </xf>
    <xf numFmtId="176" fontId="55" fillId="0" borderId="7" xfId="23" applyFont="1" applyBorder="1" applyAlignment="1">
      <alignment horizontal="right" vertical="center"/>
    </xf>
    <xf numFmtId="176" fontId="68" fillId="0" borderId="67" xfId="24" applyFont="1" applyBorder="1" applyAlignment="1">
      <alignment horizontal="left" vertical="center"/>
    </xf>
    <xf numFmtId="176" fontId="68" fillId="0" borderId="70" xfId="24" applyFont="1" applyBorder="1" applyAlignment="1">
      <alignment horizontal="left" vertical="center"/>
    </xf>
    <xf numFmtId="179" fontId="46" fillId="3" borderId="5" xfId="4" applyFont="1" applyFill="1" applyBorder="1" applyAlignment="1">
      <alignment horizontal="center" vertical="center"/>
    </xf>
    <xf numFmtId="0" fontId="46" fillId="3" borderId="5" xfId="0" applyFont="1" applyFill="1" applyBorder="1" applyAlignment="1">
      <alignment horizontal="center" vertical="center"/>
    </xf>
    <xf numFmtId="0" fontId="47" fillId="3" borderId="5" xfId="0" applyFont="1" applyFill="1" applyBorder="1" applyAlignment="1">
      <alignment horizontal="center" vertical="center"/>
    </xf>
    <xf numFmtId="49" fontId="46" fillId="3" borderId="5" xfId="2" applyNumberFormat="1" applyFont="1" applyFill="1" applyBorder="1" applyAlignment="1">
      <alignment horizontal="center" vertical="center"/>
    </xf>
    <xf numFmtId="176" fontId="46" fillId="3" borderId="8" xfId="1" applyFont="1" applyFill="1" applyBorder="1" applyAlignment="1">
      <alignment horizontal="center" vertical="center"/>
    </xf>
    <xf numFmtId="176" fontId="46" fillId="3" borderId="5" xfId="1" applyFont="1" applyFill="1" applyBorder="1" applyAlignment="1">
      <alignment horizontal="center" vertical="center"/>
    </xf>
    <xf numFmtId="176" fontId="46" fillId="3" borderId="7" xfId="1" applyFont="1" applyFill="1" applyBorder="1" applyAlignment="1">
      <alignment horizontal="center" vertical="center"/>
    </xf>
    <xf numFmtId="179" fontId="15" fillId="4" borderId="5" xfId="4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9" fontId="15" fillId="4" borderId="5" xfId="2" applyNumberFormat="1" applyFont="1" applyFill="1" applyBorder="1" applyAlignment="1">
      <alignment horizontal="center" vertical="center"/>
    </xf>
    <xf numFmtId="176" fontId="15" fillId="2" borderId="5" xfId="1" applyFont="1" applyFill="1" applyBorder="1" applyAlignment="1">
      <alignment horizontal="center" vertical="center"/>
    </xf>
    <xf numFmtId="176" fontId="15" fillId="4" borderId="5" xfId="1" applyFont="1" applyFill="1" applyBorder="1" applyAlignment="1">
      <alignment horizontal="center" vertical="center"/>
    </xf>
    <xf numFmtId="0" fontId="36" fillId="3" borderId="20" xfId="14" applyFont="1" applyFill="1" applyBorder="1" applyAlignment="1">
      <alignment horizontal="left" vertical="center" shrinkToFit="1"/>
    </xf>
    <xf numFmtId="0" fontId="37" fillId="3" borderId="0" xfId="14" applyFont="1" applyFill="1" applyAlignment="1">
      <alignment horizontal="left" vertical="center" shrinkToFit="1"/>
    </xf>
    <xf numFmtId="0" fontId="37" fillId="3" borderId="21" xfId="14" applyFont="1" applyFill="1" applyBorder="1" applyAlignment="1">
      <alignment horizontal="left" vertical="center" shrinkToFit="1"/>
    </xf>
    <xf numFmtId="0" fontId="34" fillId="0" borderId="6" xfId="15" applyFont="1" applyBorder="1" applyAlignment="1">
      <alignment horizontal="center" vertical="center" shrinkToFit="1"/>
    </xf>
    <xf numFmtId="0" fontId="34" fillId="0" borderId="14" xfId="15" applyFont="1" applyBorder="1" applyAlignment="1">
      <alignment horizontal="center" vertical="center" shrinkToFit="1"/>
    </xf>
    <xf numFmtId="176" fontId="29" fillId="3" borderId="20" xfId="17" quotePrefix="1" applyFont="1" applyFill="1" applyBorder="1" applyAlignment="1">
      <alignment horizontal="left" vertical="center" shrinkToFit="1"/>
    </xf>
    <xf numFmtId="176" fontId="29" fillId="3" borderId="0" xfId="17" applyFont="1" applyFill="1" applyBorder="1" applyAlignment="1">
      <alignment horizontal="left" vertical="center" shrinkToFit="1"/>
    </xf>
    <xf numFmtId="176" fontId="29" fillId="3" borderId="21" xfId="17" applyFont="1" applyFill="1" applyBorder="1" applyAlignment="1">
      <alignment horizontal="left" vertical="center" shrinkToFit="1"/>
    </xf>
    <xf numFmtId="0" fontId="36" fillId="3" borderId="0" xfId="14" applyFont="1" applyFill="1" applyAlignment="1">
      <alignment horizontal="left" vertical="center" shrinkToFit="1"/>
    </xf>
    <xf numFmtId="0" fontId="36" fillId="3" borderId="21" xfId="14" applyFont="1" applyFill="1" applyBorder="1" applyAlignment="1">
      <alignment horizontal="left" vertical="center" shrinkToFit="1"/>
    </xf>
    <xf numFmtId="0" fontId="34" fillId="3" borderId="20" xfId="15" applyFont="1" applyFill="1" applyBorder="1" applyAlignment="1">
      <alignment horizontal="left" vertical="center" shrinkToFit="1"/>
    </xf>
    <xf numFmtId="0" fontId="34" fillId="3" borderId="0" xfId="15" applyFont="1" applyFill="1" applyAlignment="1">
      <alignment horizontal="left" vertical="center" shrinkToFit="1"/>
    </xf>
    <xf numFmtId="0" fontId="34" fillId="3" borderId="21" xfId="15" applyFont="1" applyFill="1" applyBorder="1" applyAlignment="1">
      <alignment horizontal="left" vertical="center" shrinkToFit="1"/>
    </xf>
    <xf numFmtId="176" fontId="29" fillId="3" borderId="0" xfId="17" quotePrefix="1" applyFont="1" applyFill="1" applyBorder="1" applyAlignment="1">
      <alignment horizontal="left" vertical="center" shrinkToFit="1"/>
    </xf>
    <xf numFmtId="176" fontId="29" fillId="3" borderId="21" xfId="17" quotePrefix="1" applyFont="1" applyFill="1" applyBorder="1" applyAlignment="1">
      <alignment horizontal="left" vertical="center" shrinkToFit="1"/>
    </xf>
    <xf numFmtId="0" fontId="30" fillId="0" borderId="0" xfId="15" applyFont="1" applyAlignment="1">
      <alignment horizontal="center" vertical="center" shrinkToFit="1"/>
    </xf>
    <xf numFmtId="0" fontId="31" fillId="0" borderId="0" xfId="15" applyFont="1" applyAlignment="1">
      <alignment horizontal="center" vertical="center" shrinkToFit="1"/>
    </xf>
    <xf numFmtId="178" fontId="32" fillId="0" borderId="0" xfId="16" applyFont="1" applyBorder="1" applyAlignment="1">
      <alignment horizontal="center" vertical="center" shrinkToFit="1"/>
    </xf>
    <xf numFmtId="31" fontId="34" fillId="0" borderId="11" xfId="15" applyNumberFormat="1" applyFont="1" applyBorder="1" applyAlignment="1">
      <alignment horizontal="center" vertical="center" shrinkToFit="1"/>
    </xf>
    <xf numFmtId="31" fontId="34" fillId="0" borderId="12" xfId="15" applyNumberFormat="1" applyFont="1" applyBorder="1" applyAlignment="1">
      <alignment horizontal="center" vertical="center" shrinkToFit="1"/>
    </xf>
    <xf numFmtId="0" fontId="34" fillId="0" borderId="8" xfId="15" applyFont="1" applyBorder="1" applyAlignment="1">
      <alignment horizontal="left" vertical="center" indent="1" shrinkToFit="1"/>
    </xf>
    <xf numFmtId="0" fontId="34" fillId="0" borderId="6" xfId="15" applyFont="1" applyBorder="1" applyAlignment="1">
      <alignment horizontal="left" vertical="center" indent="1" shrinkToFit="1"/>
    </xf>
    <xf numFmtId="0" fontId="34" fillId="0" borderId="14" xfId="15" applyFont="1" applyBorder="1" applyAlignment="1">
      <alignment horizontal="left" vertical="center" indent="1" shrinkToFit="1"/>
    </xf>
    <xf numFmtId="0" fontId="34" fillId="0" borderId="15" xfId="15" applyFont="1" applyBorder="1" applyAlignment="1">
      <alignment horizontal="center" vertical="center" shrinkToFit="1"/>
    </xf>
    <xf numFmtId="0" fontId="34" fillId="0" borderId="19" xfId="15" applyFont="1" applyBorder="1" applyAlignment="1">
      <alignment horizontal="center" vertical="center" shrinkToFit="1"/>
    </xf>
    <xf numFmtId="0" fontId="34" fillId="0" borderId="22" xfId="15" applyFont="1" applyBorder="1" applyAlignment="1">
      <alignment horizontal="center" vertical="center" shrinkToFit="1"/>
    </xf>
    <xf numFmtId="0" fontId="36" fillId="3" borderId="16" xfId="15" applyFont="1" applyFill="1" applyBorder="1" applyAlignment="1">
      <alignment horizontal="left" vertical="center" shrinkToFit="1"/>
    </xf>
    <xf numFmtId="0" fontId="36" fillId="3" borderId="17" xfId="15" applyFont="1" applyFill="1" applyBorder="1" applyAlignment="1">
      <alignment horizontal="left" vertical="center" shrinkToFit="1"/>
    </xf>
    <xf numFmtId="0" fontId="36" fillId="3" borderId="18" xfId="15" applyFont="1" applyFill="1" applyBorder="1" applyAlignment="1">
      <alignment horizontal="left" vertical="center" shrinkToFit="1"/>
    </xf>
    <xf numFmtId="0" fontId="36" fillId="3" borderId="20" xfId="15" applyFont="1" applyFill="1" applyBorder="1" applyAlignment="1">
      <alignment horizontal="left" vertical="center" shrinkToFit="1"/>
    </xf>
    <xf numFmtId="0" fontId="36" fillId="3" borderId="0" xfId="15" applyFont="1" applyFill="1" applyAlignment="1">
      <alignment horizontal="left" vertical="center" shrinkToFit="1"/>
    </xf>
    <xf numFmtId="0" fontId="36" fillId="3" borderId="21" xfId="15" applyFont="1" applyFill="1" applyBorder="1" applyAlignment="1">
      <alignment horizontal="left" vertical="center" shrinkToFit="1"/>
    </xf>
  </cellXfs>
  <cellStyles count="27">
    <cellStyle name="백분율" xfId="18" builtinId="5"/>
    <cellStyle name="백분율 2" xfId="13" xr:uid="{EE86BB1C-69E1-460B-9171-3F227FA33C1D}"/>
    <cellStyle name="백분율 2 64" xfId="6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2" xr:uid="{A1C8B741-C630-4E67-A83D-3CBB14972169}"/>
    <cellStyle name="쉼표 [0] 2 2 29" xfId="17" xr:uid="{3FAD0FAA-8721-4064-865A-605028832AEB}"/>
    <cellStyle name="쉼표 [0] 2 2 29 2" xfId="24" xr:uid="{EB5D6BC9-A8B5-47EF-8AD9-CFBD67DDC077}"/>
    <cellStyle name="쉼표 [0] 2 84" xfId="26" xr:uid="{27C59853-FFEE-4A15-AE00-8AE03E135CD3}"/>
    <cellStyle name="쉼표 [0] 3" xfId="8" xr:uid="{00000000-0005-0000-0000-000005000000}"/>
    <cellStyle name="쉼표 [0] 4" xfId="11" xr:uid="{0FF7ACC6-6CB8-4787-AF72-D6B99621F0B3}"/>
    <cellStyle name="쉼표 [0] 5" xfId="23" xr:uid="{D94294E1-C4AC-4798-A321-F53D7F78AE48}"/>
    <cellStyle name="쉼표 [0] 5 2" xfId="25" xr:uid="{826637E0-C0F4-4E32-BFE5-A2767522BAF3}"/>
    <cellStyle name="통화 [0] 2 2" xfId="16" xr:uid="{7FF8C250-A740-45DE-B29D-9E43933C3EEB}"/>
    <cellStyle name="표준" xfId="0" builtinId="0"/>
    <cellStyle name="표준 10 10 2" xfId="2" xr:uid="{00000000-0005-0000-0000-000008000000}"/>
    <cellStyle name="표준 10 2" xfId="20" xr:uid="{7251411E-7B68-4D19-B387-15A2D9DA3F71}"/>
    <cellStyle name="표준 10 31" xfId="15" xr:uid="{5641AB0D-2EA8-4AB6-8329-E57BB4A3FC7A}"/>
    <cellStyle name="표준 2" xfId="5" xr:uid="{00000000-0005-0000-0000-000009000000}"/>
    <cellStyle name="표준 2 10 5" xfId="7" xr:uid="{00000000-0005-0000-0000-00000A000000}"/>
    <cellStyle name="표준 3" xfId="9" xr:uid="{00000000-0005-0000-0000-00000B000000}"/>
    <cellStyle name="표준 4" xfId="10" xr:uid="{03534BC2-B160-42E2-B139-ACDEC5655F57}"/>
    <cellStyle name="표준 5" xfId="14" xr:uid="{DFC9C9E8-5C9A-4A91-B9E1-72DA07CC51D3}"/>
    <cellStyle name="표준_p1공장 외벽청소(08.03.17)" xfId="21" xr:uid="{DD94788E-E770-4FB2-B5A0-7709131BE3F5}"/>
    <cellStyle name="표준_P456 공장 및 복지동 전면 유리창 청소건 라상혁님_1129(최종)" xfId="22" xr:uid="{01E4CDB0-C015-487C-946E-3E9414EEE1FA}"/>
    <cellStyle name="표준_S&amp;D_MAIN VALVE_최빈_2" xfId="19" xr:uid="{BD7DD17D-3E53-4DAF-A186-6746F57BDF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9D43BB0-E679-413A-969E-C6A31308B9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C122-289D-457D-A92D-C13B10D36D36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/>
  <cols>
    <col min="1" max="1" width="5" style="163" customWidth="1"/>
    <col min="2" max="2" width="3.875" style="163" customWidth="1"/>
    <col min="3" max="3" width="5" style="163" customWidth="1"/>
    <col min="4" max="4" width="6.25" style="163" customWidth="1"/>
    <col min="5" max="5" width="2.875" style="163" customWidth="1"/>
    <col min="6" max="6" width="4" style="163" customWidth="1"/>
    <col min="7" max="7" width="4.75" style="163" customWidth="1"/>
    <col min="8" max="8" width="5.5" style="163" customWidth="1"/>
    <col min="9" max="9" width="5.375" style="163" customWidth="1"/>
    <col min="10" max="10" width="1.25" style="163" customWidth="1"/>
    <col min="11" max="11" width="4.375" style="163" customWidth="1"/>
    <col min="12" max="12" width="10.375" style="163" customWidth="1"/>
    <col min="13" max="13" width="20.25" style="163" bestFit="1" customWidth="1"/>
    <col min="14" max="14" width="12.875" style="163" customWidth="1"/>
    <col min="15" max="15" width="15.5" style="163" bestFit="1" customWidth="1"/>
    <col min="16" max="16" width="2.75" style="163" customWidth="1"/>
    <col min="17" max="17" width="12" style="163" bestFit="1" customWidth="1"/>
    <col min="18" max="243" width="9" style="163"/>
    <col min="244" max="244" width="5" style="163" customWidth="1"/>
    <col min="245" max="245" width="3.875" style="163" customWidth="1"/>
    <col min="246" max="246" width="5" style="163" customWidth="1"/>
    <col min="247" max="247" width="6.25" style="163" customWidth="1"/>
    <col min="248" max="248" width="2.875" style="163" customWidth="1"/>
    <col min="249" max="249" width="4" style="163" customWidth="1"/>
    <col min="250" max="250" width="4.75" style="163" customWidth="1"/>
    <col min="251" max="251" width="5.5" style="163" customWidth="1"/>
    <col min="252" max="252" width="5.375" style="163" customWidth="1"/>
    <col min="253" max="253" width="1.25" style="163" customWidth="1"/>
    <col min="254" max="254" width="4.375" style="163" customWidth="1"/>
    <col min="255" max="255" width="10.375" style="163" customWidth="1"/>
    <col min="256" max="256" width="16.625" style="163" customWidth="1"/>
    <col min="257" max="257" width="10.875" style="163" customWidth="1"/>
    <col min="258" max="258" width="18.75" style="163" customWidth="1"/>
    <col min="259" max="259" width="14.25" style="163" bestFit="1" customWidth="1"/>
    <col min="260" max="499" width="9" style="163"/>
    <col min="500" max="500" width="5" style="163" customWidth="1"/>
    <col min="501" max="501" width="3.875" style="163" customWidth="1"/>
    <col min="502" max="502" width="5" style="163" customWidth="1"/>
    <col min="503" max="503" width="6.25" style="163" customWidth="1"/>
    <col min="504" max="504" width="2.875" style="163" customWidth="1"/>
    <col min="505" max="505" width="4" style="163" customWidth="1"/>
    <col min="506" max="506" width="4.75" style="163" customWidth="1"/>
    <col min="507" max="507" width="5.5" style="163" customWidth="1"/>
    <col min="508" max="508" width="5.375" style="163" customWidth="1"/>
    <col min="509" max="509" width="1.25" style="163" customWidth="1"/>
    <col min="510" max="510" width="4.375" style="163" customWidth="1"/>
    <col min="511" max="511" width="10.375" style="163" customWidth="1"/>
    <col min="512" max="512" width="16.625" style="163" customWidth="1"/>
    <col min="513" max="513" width="10.875" style="163" customWidth="1"/>
    <col min="514" max="514" width="18.75" style="163" customWidth="1"/>
    <col min="515" max="515" width="14.25" style="163" bestFit="1" customWidth="1"/>
    <col min="516" max="755" width="9" style="163"/>
    <col min="756" max="756" width="5" style="163" customWidth="1"/>
    <col min="757" max="757" width="3.875" style="163" customWidth="1"/>
    <col min="758" max="758" width="5" style="163" customWidth="1"/>
    <col min="759" max="759" width="6.25" style="163" customWidth="1"/>
    <col min="760" max="760" width="2.875" style="163" customWidth="1"/>
    <col min="761" max="761" width="4" style="163" customWidth="1"/>
    <col min="762" max="762" width="4.75" style="163" customWidth="1"/>
    <col min="763" max="763" width="5.5" style="163" customWidth="1"/>
    <col min="764" max="764" width="5.375" style="163" customWidth="1"/>
    <col min="765" max="765" width="1.25" style="163" customWidth="1"/>
    <col min="766" max="766" width="4.375" style="163" customWidth="1"/>
    <col min="767" max="767" width="10.375" style="163" customWidth="1"/>
    <col min="768" max="768" width="16.625" style="163" customWidth="1"/>
    <col min="769" max="769" width="10.875" style="163" customWidth="1"/>
    <col min="770" max="770" width="18.75" style="163" customWidth="1"/>
    <col min="771" max="771" width="14.25" style="163" bestFit="1" customWidth="1"/>
    <col min="772" max="1011" width="9" style="163"/>
    <col min="1012" max="1012" width="5" style="163" customWidth="1"/>
    <col min="1013" max="1013" width="3.875" style="163" customWidth="1"/>
    <col min="1014" max="1014" width="5" style="163" customWidth="1"/>
    <col min="1015" max="1015" width="6.25" style="163" customWidth="1"/>
    <col min="1016" max="1016" width="2.875" style="163" customWidth="1"/>
    <col min="1017" max="1017" width="4" style="163" customWidth="1"/>
    <col min="1018" max="1018" width="4.75" style="163" customWidth="1"/>
    <col min="1019" max="1019" width="5.5" style="163" customWidth="1"/>
    <col min="1020" max="1020" width="5.375" style="163" customWidth="1"/>
    <col min="1021" max="1021" width="1.25" style="163" customWidth="1"/>
    <col min="1022" max="1022" width="4.375" style="163" customWidth="1"/>
    <col min="1023" max="1023" width="10.375" style="163" customWidth="1"/>
    <col min="1024" max="1024" width="16.625" style="163" customWidth="1"/>
    <col min="1025" max="1025" width="10.875" style="163" customWidth="1"/>
    <col min="1026" max="1026" width="18.75" style="163" customWidth="1"/>
    <col min="1027" max="1027" width="14.25" style="163" bestFit="1" customWidth="1"/>
    <col min="1028" max="1267" width="9" style="163"/>
    <col min="1268" max="1268" width="5" style="163" customWidth="1"/>
    <col min="1269" max="1269" width="3.875" style="163" customWidth="1"/>
    <col min="1270" max="1270" width="5" style="163" customWidth="1"/>
    <col min="1271" max="1271" width="6.25" style="163" customWidth="1"/>
    <col min="1272" max="1272" width="2.875" style="163" customWidth="1"/>
    <col min="1273" max="1273" width="4" style="163" customWidth="1"/>
    <col min="1274" max="1274" width="4.75" style="163" customWidth="1"/>
    <col min="1275" max="1275" width="5.5" style="163" customWidth="1"/>
    <col min="1276" max="1276" width="5.375" style="163" customWidth="1"/>
    <col min="1277" max="1277" width="1.25" style="163" customWidth="1"/>
    <col min="1278" max="1278" width="4.375" style="163" customWidth="1"/>
    <col min="1279" max="1279" width="10.375" style="163" customWidth="1"/>
    <col min="1280" max="1280" width="16.625" style="163" customWidth="1"/>
    <col min="1281" max="1281" width="10.875" style="163" customWidth="1"/>
    <col min="1282" max="1282" width="18.75" style="163" customWidth="1"/>
    <col min="1283" max="1283" width="14.25" style="163" bestFit="1" customWidth="1"/>
    <col min="1284" max="1523" width="9" style="163"/>
    <col min="1524" max="1524" width="5" style="163" customWidth="1"/>
    <col min="1525" max="1525" width="3.875" style="163" customWidth="1"/>
    <col min="1526" max="1526" width="5" style="163" customWidth="1"/>
    <col min="1527" max="1527" width="6.25" style="163" customWidth="1"/>
    <col min="1528" max="1528" width="2.875" style="163" customWidth="1"/>
    <col min="1529" max="1529" width="4" style="163" customWidth="1"/>
    <col min="1530" max="1530" width="4.75" style="163" customWidth="1"/>
    <col min="1531" max="1531" width="5.5" style="163" customWidth="1"/>
    <col min="1532" max="1532" width="5.375" style="163" customWidth="1"/>
    <col min="1533" max="1533" width="1.25" style="163" customWidth="1"/>
    <col min="1534" max="1534" width="4.375" style="163" customWidth="1"/>
    <col min="1535" max="1535" width="10.375" style="163" customWidth="1"/>
    <col min="1536" max="1536" width="16.625" style="163" customWidth="1"/>
    <col min="1537" max="1537" width="10.875" style="163" customWidth="1"/>
    <col min="1538" max="1538" width="18.75" style="163" customWidth="1"/>
    <col min="1539" max="1539" width="14.25" style="163" bestFit="1" customWidth="1"/>
    <col min="1540" max="1779" width="9" style="163"/>
    <col min="1780" max="1780" width="5" style="163" customWidth="1"/>
    <col min="1781" max="1781" width="3.875" style="163" customWidth="1"/>
    <col min="1782" max="1782" width="5" style="163" customWidth="1"/>
    <col min="1783" max="1783" width="6.25" style="163" customWidth="1"/>
    <col min="1784" max="1784" width="2.875" style="163" customWidth="1"/>
    <col min="1785" max="1785" width="4" style="163" customWidth="1"/>
    <col min="1786" max="1786" width="4.75" style="163" customWidth="1"/>
    <col min="1787" max="1787" width="5.5" style="163" customWidth="1"/>
    <col min="1788" max="1788" width="5.375" style="163" customWidth="1"/>
    <col min="1789" max="1789" width="1.25" style="163" customWidth="1"/>
    <col min="1790" max="1790" width="4.375" style="163" customWidth="1"/>
    <col min="1791" max="1791" width="10.375" style="163" customWidth="1"/>
    <col min="1792" max="1792" width="16.625" style="163" customWidth="1"/>
    <col min="1793" max="1793" width="10.875" style="163" customWidth="1"/>
    <col min="1794" max="1794" width="18.75" style="163" customWidth="1"/>
    <col min="1795" max="1795" width="14.25" style="163" bestFit="1" customWidth="1"/>
    <col min="1796" max="2035" width="9" style="163"/>
    <col min="2036" max="2036" width="5" style="163" customWidth="1"/>
    <col min="2037" max="2037" width="3.875" style="163" customWidth="1"/>
    <col min="2038" max="2038" width="5" style="163" customWidth="1"/>
    <col min="2039" max="2039" width="6.25" style="163" customWidth="1"/>
    <col min="2040" max="2040" width="2.875" style="163" customWidth="1"/>
    <col min="2041" max="2041" width="4" style="163" customWidth="1"/>
    <col min="2042" max="2042" width="4.75" style="163" customWidth="1"/>
    <col min="2043" max="2043" width="5.5" style="163" customWidth="1"/>
    <col min="2044" max="2044" width="5.375" style="163" customWidth="1"/>
    <col min="2045" max="2045" width="1.25" style="163" customWidth="1"/>
    <col min="2046" max="2046" width="4.375" style="163" customWidth="1"/>
    <col min="2047" max="2047" width="10.375" style="163" customWidth="1"/>
    <col min="2048" max="2048" width="16.625" style="163" customWidth="1"/>
    <col min="2049" max="2049" width="10.875" style="163" customWidth="1"/>
    <col min="2050" max="2050" width="18.75" style="163" customWidth="1"/>
    <col min="2051" max="2051" width="14.25" style="163" bestFit="1" customWidth="1"/>
    <col min="2052" max="2291" width="9" style="163"/>
    <col min="2292" max="2292" width="5" style="163" customWidth="1"/>
    <col min="2293" max="2293" width="3.875" style="163" customWidth="1"/>
    <col min="2294" max="2294" width="5" style="163" customWidth="1"/>
    <col min="2295" max="2295" width="6.25" style="163" customWidth="1"/>
    <col min="2296" max="2296" width="2.875" style="163" customWidth="1"/>
    <col min="2297" max="2297" width="4" style="163" customWidth="1"/>
    <col min="2298" max="2298" width="4.75" style="163" customWidth="1"/>
    <col min="2299" max="2299" width="5.5" style="163" customWidth="1"/>
    <col min="2300" max="2300" width="5.375" style="163" customWidth="1"/>
    <col min="2301" max="2301" width="1.25" style="163" customWidth="1"/>
    <col min="2302" max="2302" width="4.375" style="163" customWidth="1"/>
    <col min="2303" max="2303" width="10.375" style="163" customWidth="1"/>
    <col min="2304" max="2304" width="16.625" style="163" customWidth="1"/>
    <col min="2305" max="2305" width="10.875" style="163" customWidth="1"/>
    <col min="2306" max="2306" width="18.75" style="163" customWidth="1"/>
    <col min="2307" max="2307" width="14.25" style="163" bestFit="1" customWidth="1"/>
    <col min="2308" max="2547" width="9" style="163"/>
    <col min="2548" max="2548" width="5" style="163" customWidth="1"/>
    <col min="2549" max="2549" width="3.875" style="163" customWidth="1"/>
    <col min="2550" max="2550" width="5" style="163" customWidth="1"/>
    <col min="2551" max="2551" width="6.25" style="163" customWidth="1"/>
    <col min="2552" max="2552" width="2.875" style="163" customWidth="1"/>
    <col min="2553" max="2553" width="4" style="163" customWidth="1"/>
    <col min="2554" max="2554" width="4.75" style="163" customWidth="1"/>
    <col min="2555" max="2555" width="5.5" style="163" customWidth="1"/>
    <col min="2556" max="2556" width="5.375" style="163" customWidth="1"/>
    <col min="2557" max="2557" width="1.25" style="163" customWidth="1"/>
    <col min="2558" max="2558" width="4.375" style="163" customWidth="1"/>
    <col min="2559" max="2559" width="10.375" style="163" customWidth="1"/>
    <col min="2560" max="2560" width="16.625" style="163" customWidth="1"/>
    <col min="2561" max="2561" width="10.875" style="163" customWidth="1"/>
    <col min="2562" max="2562" width="18.75" style="163" customWidth="1"/>
    <col min="2563" max="2563" width="14.25" style="163" bestFit="1" customWidth="1"/>
    <col min="2564" max="2803" width="9" style="163"/>
    <col min="2804" max="2804" width="5" style="163" customWidth="1"/>
    <col min="2805" max="2805" width="3.875" style="163" customWidth="1"/>
    <col min="2806" max="2806" width="5" style="163" customWidth="1"/>
    <col min="2807" max="2807" width="6.25" style="163" customWidth="1"/>
    <col min="2808" max="2808" width="2.875" style="163" customWidth="1"/>
    <col min="2809" max="2809" width="4" style="163" customWidth="1"/>
    <col min="2810" max="2810" width="4.75" style="163" customWidth="1"/>
    <col min="2811" max="2811" width="5.5" style="163" customWidth="1"/>
    <col min="2812" max="2812" width="5.375" style="163" customWidth="1"/>
    <col min="2813" max="2813" width="1.25" style="163" customWidth="1"/>
    <col min="2814" max="2814" width="4.375" style="163" customWidth="1"/>
    <col min="2815" max="2815" width="10.375" style="163" customWidth="1"/>
    <col min="2816" max="2816" width="16.625" style="163" customWidth="1"/>
    <col min="2817" max="2817" width="10.875" style="163" customWidth="1"/>
    <col min="2818" max="2818" width="18.75" style="163" customWidth="1"/>
    <col min="2819" max="2819" width="14.25" style="163" bestFit="1" customWidth="1"/>
    <col min="2820" max="3059" width="9" style="163"/>
    <col min="3060" max="3060" width="5" style="163" customWidth="1"/>
    <col min="3061" max="3061" width="3.875" style="163" customWidth="1"/>
    <col min="3062" max="3062" width="5" style="163" customWidth="1"/>
    <col min="3063" max="3063" width="6.25" style="163" customWidth="1"/>
    <col min="3064" max="3064" width="2.875" style="163" customWidth="1"/>
    <col min="3065" max="3065" width="4" style="163" customWidth="1"/>
    <col min="3066" max="3066" width="4.75" style="163" customWidth="1"/>
    <col min="3067" max="3067" width="5.5" style="163" customWidth="1"/>
    <col min="3068" max="3068" width="5.375" style="163" customWidth="1"/>
    <col min="3069" max="3069" width="1.25" style="163" customWidth="1"/>
    <col min="3070" max="3070" width="4.375" style="163" customWidth="1"/>
    <col min="3071" max="3071" width="10.375" style="163" customWidth="1"/>
    <col min="3072" max="3072" width="16.625" style="163" customWidth="1"/>
    <col min="3073" max="3073" width="10.875" style="163" customWidth="1"/>
    <col min="3074" max="3074" width="18.75" style="163" customWidth="1"/>
    <col min="3075" max="3075" width="14.25" style="163" bestFit="1" customWidth="1"/>
    <col min="3076" max="3315" width="9" style="163"/>
    <col min="3316" max="3316" width="5" style="163" customWidth="1"/>
    <col min="3317" max="3317" width="3.875" style="163" customWidth="1"/>
    <col min="3318" max="3318" width="5" style="163" customWidth="1"/>
    <col min="3319" max="3319" width="6.25" style="163" customWidth="1"/>
    <col min="3320" max="3320" width="2.875" style="163" customWidth="1"/>
    <col min="3321" max="3321" width="4" style="163" customWidth="1"/>
    <col min="3322" max="3322" width="4.75" style="163" customWidth="1"/>
    <col min="3323" max="3323" width="5.5" style="163" customWidth="1"/>
    <col min="3324" max="3324" width="5.375" style="163" customWidth="1"/>
    <col min="3325" max="3325" width="1.25" style="163" customWidth="1"/>
    <col min="3326" max="3326" width="4.375" style="163" customWidth="1"/>
    <col min="3327" max="3327" width="10.375" style="163" customWidth="1"/>
    <col min="3328" max="3328" width="16.625" style="163" customWidth="1"/>
    <col min="3329" max="3329" width="10.875" style="163" customWidth="1"/>
    <col min="3330" max="3330" width="18.75" style="163" customWidth="1"/>
    <col min="3331" max="3331" width="14.25" style="163" bestFit="1" customWidth="1"/>
    <col min="3332" max="3571" width="9" style="163"/>
    <col min="3572" max="3572" width="5" style="163" customWidth="1"/>
    <col min="3573" max="3573" width="3.875" style="163" customWidth="1"/>
    <col min="3574" max="3574" width="5" style="163" customWidth="1"/>
    <col min="3575" max="3575" width="6.25" style="163" customWidth="1"/>
    <col min="3576" max="3576" width="2.875" style="163" customWidth="1"/>
    <col min="3577" max="3577" width="4" style="163" customWidth="1"/>
    <col min="3578" max="3578" width="4.75" style="163" customWidth="1"/>
    <col min="3579" max="3579" width="5.5" style="163" customWidth="1"/>
    <col min="3580" max="3580" width="5.375" style="163" customWidth="1"/>
    <col min="3581" max="3581" width="1.25" style="163" customWidth="1"/>
    <col min="3582" max="3582" width="4.375" style="163" customWidth="1"/>
    <col min="3583" max="3583" width="10.375" style="163" customWidth="1"/>
    <col min="3584" max="3584" width="16.625" style="163" customWidth="1"/>
    <col min="3585" max="3585" width="10.875" style="163" customWidth="1"/>
    <col min="3586" max="3586" width="18.75" style="163" customWidth="1"/>
    <col min="3587" max="3587" width="14.25" style="163" bestFit="1" customWidth="1"/>
    <col min="3588" max="3827" width="9" style="163"/>
    <col min="3828" max="3828" width="5" style="163" customWidth="1"/>
    <col min="3829" max="3829" width="3.875" style="163" customWidth="1"/>
    <col min="3830" max="3830" width="5" style="163" customWidth="1"/>
    <col min="3831" max="3831" width="6.25" style="163" customWidth="1"/>
    <col min="3832" max="3832" width="2.875" style="163" customWidth="1"/>
    <col min="3833" max="3833" width="4" style="163" customWidth="1"/>
    <col min="3834" max="3834" width="4.75" style="163" customWidth="1"/>
    <col min="3835" max="3835" width="5.5" style="163" customWidth="1"/>
    <col min="3836" max="3836" width="5.375" style="163" customWidth="1"/>
    <col min="3837" max="3837" width="1.25" style="163" customWidth="1"/>
    <col min="3838" max="3838" width="4.375" style="163" customWidth="1"/>
    <col min="3839" max="3839" width="10.375" style="163" customWidth="1"/>
    <col min="3840" max="3840" width="16.625" style="163" customWidth="1"/>
    <col min="3841" max="3841" width="10.875" style="163" customWidth="1"/>
    <col min="3842" max="3842" width="18.75" style="163" customWidth="1"/>
    <col min="3843" max="3843" width="14.25" style="163" bestFit="1" customWidth="1"/>
    <col min="3844" max="4083" width="9" style="163"/>
    <col min="4084" max="4084" width="5" style="163" customWidth="1"/>
    <col min="4085" max="4085" width="3.875" style="163" customWidth="1"/>
    <col min="4086" max="4086" width="5" style="163" customWidth="1"/>
    <col min="4087" max="4087" width="6.25" style="163" customWidth="1"/>
    <col min="4088" max="4088" width="2.875" style="163" customWidth="1"/>
    <col min="4089" max="4089" width="4" style="163" customWidth="1"/>
    <col min="4090" max="4090" width="4.75" style="163" customWidth="1"/>
    <col min="4091" max="4091" width="5.5" style="163" customWidth="1"/>
    <col min="4092" max="4092" width="5.375" style="163" customWidth="1"/>
    <col min="4093" max="4093" width="1.25" style="163" customWidth="1"/>
    <col min="4094" max="4094" width="4.375" style="163" customWidth="1"/>
    <col min="4095" max="4095" width="10.375" style="163" customWidth="1"/>
    <col min="4096" max="4096" width="16.625" style="163" customWidth="1"/>
    <col min="4097" max="4097" width="10.875" style="163" customWidth="1"/>
    <col min="4098" max="4098" width="18.75" style="163" customWidth="1"/>
    <col min="4099" max="4099" width="14.25" style="163" bestFit="1" customWidth="1"/>
    <col min="4100" max="4339" width="9" style="163"/>
    <col min="4340" max="4340" width="5" style="163" customWidth="1"/>
    <col min="4341" max="4341" width="3.875" style="163" customWidth="1"/>
    <col min="4342" max="4342" width="5" style="163" customWidth="1"/>
    <col min="4343" max="4343" width="6.25" style="163" customWidth="1"/>
    <col min="4344" max="4344" width="2.875" style="163" customWidth="1"/>
    <col min="4345" max="4345" width="4" style="163" customWidth="1"/>
    <col min="4346" max="4346" width="4.75" style="163" customWidth="1"/>
    <col min="4347" max="4347" width="5.5" style="163" customWidth="1"/>
    <col min="4348" max="4348" width="5.375" style="163" customWidth="1"/>
    <col min="4349" max="4349" width="1.25" style="163" customWidth="1"/>
    <col min="4350" max="4350" width="4.375" style="163" customWidth="1"/>
    <col min="4351" max="4351" width="10.375" style="163" customWidth="1"/>
    <col min="4352" max="4352" width="16.625" style="163" customWidth="1"/>
    <col min="4353" max="4353" width="10.875" style="163" customWidth="1"/>
    <col min="4354" max="4354" width="18.75" style="163" customWidth="1"/>
    <col min="4355" max="4355" width="14.25" style="163" bestFit="1" customWidth="1"/>
    <col min="4356" max="4595" width="9" style="163"/>
    <col min="4596" max="4596" width="5" style="163" customWidth="1"/>
    <col min="4597" max="4597" width="3.875" style="163" customWidth="1"/>
    <col min="4598" max="4598" width="5" style="163" customWidth="1"/>
    <col min="4599" max="4599" width="6.25" style="163" customWidth="1"/>
    <col min="4600" max="4600" width="2.875" style="163" customWidth="1"/>
    <col min="4601" max="4601" width="4" style="163" customWidth="1"/>
    <col min="4602" max="4602" width="4.75" style="163" customWidth="1"/>
    <col min="4603" max="4603" width="5.5" style="163" customWidth="1"/>
    <col min="4604" max="4604" width="5.375" style="163" customWidth="1"/>
    <col min="4605" max="4605" width="1.25" style="163" customWidth="1"/>
    <col min="4606" max="4606" width="4.375" style="163" customWidth="1"/>
    <col min="4607" max="4607" width="10.375" style="163" customWidth="1"/>
    <col min="4608" max="4608" width="16.625" style="163" customWidth="1"/>
    <col min="4609" max="4609" width="10.875" style="163" customWidth="1"/>
    <col min="4610" max="4610" width="18.75" style="163" customWidth="1"/>
    <col min="4611" max="4611" width="14.25" style="163" bestFit="1" customWidth="1"/>
    <col min="4612" max="4851" width="9" style="163"/>
    <col min="4852" max="4852" width="5" style="163" customWidth="1"/>
    <col min="4853" max="4853" width="3.875" style="163" customWidth="1"/>
    <col min="4854" max="4854" width="5" style="163" customWidth="1"/>
    <col min="4855" max="4855" width="6.25" style="163" customWidth="1"/>
    <col min="4856" max="4856" width="2.875" style="163" customWidth="1"/>
    <col min="4857" max="4857" width="4" style="163" customWidth="1"/>
    <col min="4858" max="4858" width="4.75" style="163" customWidth="1"/>
    <col min="4859" max="4859" width="5.5" style="163" customWidth="1"/>
    <col min="4860" max="4860" width="5.375" style="163" customWidth="1"/>
    <col min="4861" max="4861" width="1.25" style="163" customWidth="1"/>
    <col min="4862" max="4862" width="4.375" style="163" customWidth="1"/>
    <col min="4863" max="4863" width="10.375" style="163" customWidth="1"/>
    <col min="4864" max="4864" width="16.625" style="163" customWidth="1"/>
    <col min="4865" max="4865" width="10.875" style="163" customWidth="1"/>
    <col min="4866" max="4866" width="18.75" style="163" customWidth="1"/>
    <col min="4867" max="4867" width="14.25" style="163" bestFit="1" customWidth="1"/>
    <col min="4868" max="5107" width="9" style="163"/>
    <col min="5108" max="5108" width="5" style="163" customWidth="1"/>
    <col min="5109" max="5109" width="3.875" style="163" customWidth="1"/>
    <col min="5110" max="5110" width="5" style="163" customWidth="1"/>
    <col min="5111" max="5111" width="6.25" style="163" customWidth="1"/>
    <col min="5112" max="5112" width="2.875" style="163" customWidth="1"/>
    <col min="5113" max="5113" width="4" style="163" customWidth="1"/>
    <col min="5114" max="5114" width="4.75" style="163" customWidth="1"/>
    <col min="5115" max="5115" width="5.5" style="163" customWidth="1"/>
    <col min="5116" max="5116" width="5.375" style="163" customWidth="1"/>
    <col min="5117" max="5117" width="1.25" style="163" customWidth="1"/>
    <col min="5118" max="5118" width="4.375" style="163" customWidth="1"/>
    <col min="5119" max="5119" width="10.375" style="163" customWidth="1"/>
    <col min="5120" max="5120" width="16.625" style="163" customWidth="1"/>
    <col min="5121" max="5121" width="10.875" style="163" customWidth="1"/>
    <col min="5122" max="5122" width="18.75" style="163" customWidth="1"/>
    <col min="5123" max="5123" width="14.25" style="163" bestFit="1" customWidth="1"/>
    <col min="5124" max="5363" width="9" style="163"/>
    <col min="5364" max="5364" width="5" style="163" customWidth="1"/>
    <col min="5365" max="5365" width="3.875" style="163" customWidth="1"/>
    <col min="5366" max="5366" width="5" style="163" customWidth="1"/>
    <col min="5367" max="5367" width="6.25" style="163" customWidth="1"/>
    <col min="5368" max="5368" width="2.875" style="163" customWidth="1"/>
    <col min="5369" max="5369" width="4" style="163" customWidth="1"/>
    <col min="5370" max="5370" width="4.75" style="163" customWidth="1"/>
    <col min="5371" max="5371" width="5.5" style="163" customWidth="1"/>
    <col min="5372" max="5372" width="5.375" style="163" customWidth="1"/>
    <col min="5373" max="5373" width="1.25" style="163" customWidth="1"/>
    <col min="5374" max="5374" width="4.375" style="163" customWidth="1"/>
    <col min="5375" max="5375" width="10.375" style="163" customWidth="1"/>
    <col min="5376" max="5376" width="16.625" style="163" customWidth="1"/>
    <col min="5377" max="5377" width="10.875" style="163" customWidth="1"/>
    <col min="5378" max="5378" width="18.75" style="163" customWidth="1"/>
    <col min="5379" max="5379" width="14.25" style="163" bestFit="1" customWidth="1"/>
    <col min="5380" max="5619" width="9" style="163"/>
    <col min="5620" max="5620" width="5" style="163" customWidth="1"/>
    <col min="5621" max="5621" width="3.875" style="163" customWidth="1"/>
    <col min="5622" max="5622" width="5" style="163" customWidth="1"/>
    <col min="5623" max="5623" width="6.25" style="163" customWidth="1"/>
    <col min="5624" max="5624" width="2.875" style="163" customWidth="1"/>
    <col min="5625" max="5625" width="4" style="163" customWidth="1"/>
    <col min="5626" max="5626" width="4.75" style="163" customWidth="1"/>
    <col min="5627" max="5627" width="5.5" style="163" customWidth="1"/>
    <col min="5628" max="5628" width="5.375" style="163" customWidth="1"/>
    <col min="5629" max="5629" width="1.25" style="163" customWidth="1"/>
    <col min="5630" max="5630" width="4.375" style="163" customWidth="1"/>
    <col min="5631" max="5631" width="10.375" style="163" customWidth="1"/>
    <col min="5632" max="5632" width="16.625" style="163" customWidth="1"/>
    <col min="5633" max="5633" width="10.875" style="163" customWidth="1"/>
    <col min="5634" max="5634" width="18.75" style="163" customWidth="1"/>
    <col min="5635" max="5635" width="14.25" style="163" bestFit="1" customWidth="1"/>
    <col min="5636" max="5875" width="9" style="163"/>
    <col min="5876" max="5876" width="5" style="163" customWidth="1"/>
    <col min="5877" max="5877" width="3.875" style="163" customWidth="1"/>
    <col min="5878" max="5878" width="5" style="163" customWidth="1"/>
    <col min="5879" max="5879" width="6.25" style="163" customWidth="1"/>
    <col min="5880" max="5880" width="2.875" style="163" customWidth="1"/>
    <col min="5881" max="5881" width="4" style="163" customWidth="1"/>
    <col min="5882" max="5882" width="4.75" style="163" customWidth="1"/>
    <col min="5883" max="5883" width="5.5" style="163" customWidth="1"/>
    <col min="5884" max="5884" width="5.375" style="163" customWidth="1"/>
    <col min="5885" max="5885" width="1.25" style="163" customWidth="1"/>
    <col min="5886" max="5886" width="4.375" style="163" customWidth="1"/>
    <col min="5887" max="5887" width="10.375" style="163" customWidth="1"/>
    <col min="5888" max="5888" width="16.625" style="163" customWidth="1"/>
    <col min="5889" max="5889" width="10.875" style="163" customWidth="1"/>
    <col min="5890" max="5890" width="18.75" style="163" customWidth="1"/>
    <col min="5891" max="5891" width="14.25" style="163" bestFit="1" customWidth="1"/>
    <col min="5892" max="6131" width="9" style="163"/>
    <col min="6132" max="6132" width="5" style="163" customWidth="1"/>
    <col min="6133" max="6133" width="3.875" style="163" customWidth="1"/>
    <col min="6134" max="6134" width="5" style="163" customWidth="1"/>
    <col min="6135" max="6135" width="6.25" style="163" customWidth="1"/>
    <col min="6136" max="6136" width="2.875" style="163" customWidth="1"/>
    <col min="6137" max="6137" width="4" style="163" customWidth="1"/>
    <col min="6138" max="6138" width="4.75" style="163" customWidth="1"/>
    <col min="6139" max="6139" width="5.5" style="163" customWidth="1"/>
    <col min="6140" max="6140" width="5.375" style="163" customWidth="1"/>
    <col min="6141" max="6141" width="1.25" style="163" customWidth="1"/>
    <col min="6142" max="6142" width="4.375" style="163" customWidth="1"/>
    <col min="6143" max="6143" width="10.375" style="163" customWidth="1"/>
    <col min="6144" max="6144" width="16.625" style="163" customWidth="1"/>
    <col min="6145" max="6145" width="10.875" style="163" customWidth="1"/>
    <col min="6146" max="6146" width="18.75" style="163" customWidth="1"/>
    <col min="6147" max="6147" width="14.25" style="163" bestFit="1" customWidth="1"/>
    <col min="6148" max="6387" width="9" style="163"/>
    <col min="6388" max="6388" width="5" style="163" customWidth="1"/>
    <col min="6389" max="6389" width="3.875" style="163" customWidth="1"/>
    <col min="6390" max="6390" width="5" style="163" customWidth="1"/>
    <col min="6391" max="6391" width="6.25" style="163" customWidth="1"/>
    <col min="6392" max="6392" width="2.875" style="163" customWidth="1"/>
    <col min="6393" max="6393" width="4" style="163" customWidth="1"/>
    <col min="6394" max="6394" width="4.75" style="163" customWidth="1"/>
    <col min="6395" max="6395" width="5.5" style="163" customWidth="1"/>
    <col min="6396" max="6396" width="5.375" style="163" customWidth="1"/>
    <col min="6397" max="6397" width="1.25" style="163" customWidth="1"/>
    <col min="6398" max="6398" width="4.375" style="163" customWidth="1"/>
    <col min="6399" max="6399" width="10.375" style="163" customWidth="1"/>
    <col min="6400" max="6400" width="16.625" style="163" customWidth="1"/>
    <col min="6401" max="6401" width="10.875" style="163" customWidth="1"/>
    <col min="6402" max="6402" width="18.75" style="163" customWidth="1"/>
    <col min="6403" max="6403" width="14.25" style="163" bestFit="1" customWidth="1"/>
    <col min="6404" max="6643" width="9" style="163"/>
    <col min="6644" max="6644" width="5" style="163" customWidth="1"/>
    <col min="6645" max="6645" width="3.875" style="163" customWidth="1"/>
    <col min="6646" max="6646" width="5" style="163" customWidth="1"/>
    <col min="6647" max="6647" width="6.25" style="163" customWidth="1"/>
    <col min="6648" max="6648" width="2.875" style="163" customWidth="1"/>
    <col min="6649" max="6649" width="4" style="163" customWidth="1"/>
    <col min="6650" max="6650" width="4.75" style="163" customWidth="1"/>
    <col min="6651" max="6651" width="5.5" style="163" customWidth="1"/>
    <col min="6652" max="6652" width="5.375" style="163" customWidth="1"/>
    <col min="6653" max="6653" width="1.25" style="163" customWidth="1"/>
    <col min="6654" max="6654" width="4.375" style="163" customWidth="1"/>
    <col min="6655" max="6655" width="10.375" style="163" customWidth="1"/>
    <col min="6656" max="6656" width="16.625" style="163" customWidth="1"/>
    <col min="6657" max="6657" width="10.875" style="163" customWidth="1"/>
    <col min="6658" max="6658" width="18.75" style="163" customWidth="1"/>
    <col min="6659" max="6659" width="14.25" style="163" bestFit="1" customWidth="1"/>
    <col min="6660" max="6899" width="9" style="163"/>
    <col min="6900" max="6900" width="5" style="163" customWidth="1"/>
    <col min="6901" max="6901" width="3.875" style="163" customWidth="1"/>
    <col min="6902" max="6902" width="5" style="163" customWidth="1"/>
    <col min="6903" max="6903" width="6.25" style="163" customWidth="1"/>
    <col min="6904" max="6904" width="2.875" style="163" customWidth="1"/>
    <col min="6905" max="6905" width="4" style="163" customWidth="1"/>
    <col min="6906" max="6906" width="4.75" style="163" customWidth="1"/>
    <col min="6907" max="6907" width="5.5" style="163" customWidth="1"/>
    <col min="6908" max="6908" width="5.375" style="163" customWidth="1"/>
    <col min="6909" max="6909" width="1.25" style="163" customWidth="1"/>
    <col min="6910" max="6910" width="4.375" style="163" customWidth="1"/>
    <col min="6911" max="6911" width="10.375" style="163" customWidth="1"/>
    <col min="6912" max="6912" width="16.625" style="163" customWidth="1"/>
    <col min="6913" max="6913" width="10.875" style="163" customWidth="1"/>
    <col min="6914" max="6914" width="18.75" style="163" customWidth="1"/>
    <col min="6915" max="6915" width="14.25" style="163" bestFit="1" customWidth="1"/>
    <col min="6916" max="7155" width="9" style="163"/>
    <col min="7156" max="7156" width="5" style="163" customWidth="1"/>
    <col min="7157" max="7157" width="3.875" style="163" customWidth="1"/>
    <col min="7158" max="7158" width="5" style="163" customWidth="1"/>
    <col min="7159" max="7159" width="6.25" style="163" customWidth="1"/>
    <col min="7160" max="7160" width="2.875" style="163" customWidth="1"/>
    <col min="7161" max="7161" width="4" style="163" customWidth="1"/>
    <col min="7162" max="7162" width="4.75" style="163" customWidth="1"/>
    <col min="7163" max="7163" width="5.5" style="163" customWidth="1"/>
    <col min="7164" max="7164" width="5.375" style="163" customWidth="1"/>
    <col min="7165" max="7165" width="1.25" style="163" customWidth="1"/>
    <col min="7166" max="7166" width="4.375" style="163" customWidth="1"/>
    <col min="7167" max="7167" width="10.375" style="163" customWidth="1"/>
    <col min="7168" max="7168" width="16.625" style="163" customWidth="1"/>
    <col min="7169" max="7169" width="10.875" style="163" customWidth="1"/>
    <col min="7170" max="7170" width="18.75" style="163" customWidth="1"/>
    <col min="7171" max="7171" width="14.25" style="163" bestFit="1" customWidth="1"/>
    <col min="7172" max="7411" width="9" style="163"/>
    <col min="7412" max="7412" width="5" style="163" customWidth="1"/>
    <col min="7413" max="7413" width="3.875" style="163" customWidth="1"/>
    <col min="7414" max="7414" width="5" style="163" customWidth="1"/>
    <col min="7415" max="7415" width="6.25" style="163" customWidth="1"/>
    <col min="7416" max="7416" width="2.875" style="163" customWidth="1"/>
    <col min="7417" max="7417" width="4" style="163" customWidth="1"/>
    <col min="7418" max="7418" width="4.75" style="163" customWidth="1"/>
    <col min="7419" max="7419" width="5.5" style="163" customWidth="1"/>
    <col min="7420" max="7420" width="5.375" style="163" customWidth="1"/>
    <col min="7421" max="7421" width="1.25" style="163" customWidth="1"/>
    <col min="7422" max="7422" width="4.375" style="163" customWidth="1"/>
    <col min="7423" max="7423" width="10.375" style="163" customWidth="1"/>
    <col min="7424" max="7424" width="16.625" style="163" customWidth="1"/>
    <col min="7425" max="7425" width="10.875" style="163" customWidth="1"/>
    <col min="7426" max="7426" width="18.75" style="163" customWidth="1"/>
    <col min="7427" max="7427" width="14.25" style="163" bestFit="1" customWidth="1"/>
    <col min="7428" max="7667" width="9" style="163"/>
    <col min="7668" max="7668" width="5" style="163" customWidth="1"/>
    <col min="7669" max="7669" width="3.875" style="163" customWidth="1"/>
    <col min="7670" max="7670" width="5" style="163" customWidth="1"/>
    <col min="7671" max="7671" width="6.25" style="163" customWidth="1"/>
    <col min="7672" max="7672" width="2.875" style="163" customWidth="1"/>
    <col min="7673" max="7673" width="4" style="163" customWidth="1"/>
    <col min="7674" max="7674" width="4.75" style="163" customWidth="1"/>
    <col min="7675" max="7675" width="5.5" style="163" customWidth="1"/>
    <col min="7676" max="7676" width="5.375" style="163" customWidth="1"/>
    <col min="7677" max="7677" width="1.25" style="163" customWidth="1"/>
    <col min="7678" max="7678" width="4.375" style="163" customWidth="1"/>
    <col min="7679" max="7679" width="10.375" style="163" customWidth="1"/>
    <col min="7680" max="7680" width="16.625" style="163" customWidth="1"/>
    <col min="7681" max="7681" width="10.875" style="163" customWidth="1"/>
    <col min="7682" max="7682" width="18.75" style="163" customWidth="1"/>
    <col min="7683" max="7683" width="14.25" style="163" bestFit="1" customWidth="1"/>
    <col min="7684" max="7923" width="9" style="163"/>
    <col min="7924" max="7924" width="5" style="163" customWidth="1"/>
    <col min="7925" max="7925" width="3.875" style="163" customWidth="1"/>
    <col min="7926" max="7926" width="5" style="163" customWidth="1"/>
    <col min="7927" max="7927" width="6.25" style="163" customWidth="1"/>
    <col min="7928" max="7928" width="2.875" style="163" customWidth="1"/>
    <col min="7929" max="7929" width="4" style="163" customWidth="1"/>
    <col min="7930" max="7930" width="4.75" style="163" customWidth="1"/>
    <col min="7931" max="7931" width="5.5" style="163" customWidth="1"/>
    <col min="7932" max="7932" width="5.375" style="163" customWidth="1"/>
    <col min="7933" max="7933" width="1.25" style="163" customWidth="1"/>
    <col min="7934" max="7934" width="4.375" style="163" customWidth="1"/>
    <col min="7935" max="7935" width="10.375" style="163" customWidth="1"/>
    <col min="7936" max="7936" width="16.625" style="163" customWidth="1"/>
    <col min="7937" max="7937" width="10.875" style="163" customWidth="1"/>
    <col min="7938" max="7938" width="18.75" style="163" customWidth="1"/>
    <col min="7939" max="7939" width="14.25" style="163" bestFit="1" customWidth="1"/>
    <col min="7940" max="8179" width="9" style="163"/>
    <col min="8180" max="8180" width="5" style="163" customWidth="1"/>
    <col min="8181" max="8181" width="3.875" style="163" customWidth="1"/>
    <col min="8182" max="8182" width="5" style="163" customWidth="1"/>
    <col min="8183" max="8183" width="6.25" style="163" customWidth="1"/>
    <col min="8184" max="8184" width="2.875" style="163" customWidth="1"/>
    <col min="8185" max="8185" width="4" style="163" customWidth="1"/>
    <col min="8186" max="8186" width="4.75" style="163" customWidth="1"/>
    <col min="8187" max="8187" width="5.5" style="163" customWidth="1"/>
    <col min="8188" max="8188" width="5.375" style="163" customWidth="1"/>
    <col min="8189" max="8189" width="1.25" style="163" customWidth="1"/>
    <col min="8190" max="8190" width="4.375" style="163" customWidth="1"/>
    <col min="8191" max="8191" width="10.375" style="163" customWidth="1"/>
    <col min="8192" max="8192" width="16.625" style="163" customWidth="1"/>
    <col min="8193" max="8193" width="10.875" style="163" customWidth="1"/>
    <col min="8194" max="8194" width="18.75" style="163" customWidth="1"/>
    <col min="8195" max="8195" width="14.25" style="163" bestFit="1" customWidth="1"/>
    <col min="8196" max="8435" width="9" style="163"/>
    <col min="8436" max="8436" width="5" style="163" customWidth="1"/>
    <col min="8437" max="8437" width="3.875" style="163" customWidth="1"/>
    <col min="8438" max="8438" width="5" style="163" customWidth="1"/>
    <col min="8439" max="8439" width="6.25" style="163" customWidth="1"/>
    <col min="8440" max="8440" width="2.875" style="163" customWidth="1"/>
    <col min="8441" max="8441" width="4" style="163" customWidth="1"/>
    <col min="8442" max="8442" width="4.75" style="163" customWidth="1"/>
    <col min="8443" max="8443" width="5.5" style="163" customWidth="1"/>
    <col min="8444" max="8444" width="5.375" style="163" customWidth="1"/>
    <col min="8445" max="8445" width="1.25" style="163" customWidth="1"/>
    <col min="8446" max="8446" width="4.375" style="163" customWidth="1"/>
    <col min="8447" max="8447" width="10.375" style="163" customWidth="1"/>
    <col min="8448" max="8448" width="16.625" style="163" customWidth="1"/>
    <col min="8449" max="8449" width="10.875" style="163" customWidth="1"/>
    <col min="8450" max="8450" width="18.75" style="163" customWidth="1"/>
    <col min="8451" max="8451" width="14.25" style="163" bestFit="1" customWidth="1"/>
    <col min="8452" max="8691" width="9" style="163"/>
    <col min="8692" max="8692" width="5" style="163" customWidth="1"/>
    <col min="8693" max="8693" width="3.875" style="163" customWidth="1"/>
    <col min="8694" max="8694" width="5" style="163" customWidth="1"/>
    <col min="8695" max="8695" width="6.25" style="163" customWidth="1"/>
    <col min="8696" max="8696" width="2.875" style="163" customWidth="1"/>
    <col min="8697" max="8697" width="4" style="163" customWidth="1"/>
    <col min="8698" max="8698" width="4.75" style="163" customWidth="1"/>
    <col min="8699" max="8699" width="5.5" style="163" customWidth="1"/>
    <col min="8700" max="8700" width="5.375" style="163" customWidth="1"/>
    <col min="8701" max="8701" width="1.25" style="163" customWidth="1"/>
    <col min="8702" max="8702" width="4.375" style="163" customWidth="1"/>
    <col min="8703" max="8703" width="10.375" style="163" customWidth="1"/>
    <col min="8704" max="8704" width="16.625" style="163" customWidth="1"/>
    <col min="8705" max="8705" width="10.875" style="163" customWidth="1"/>
    <col min="8706" max="8706" width="18.75" style="163" customWidth="1"/>
    <col min="8707" max="8707" width="14.25" style="163" bestFit="1" customWidth="1"/>
    <col min="8708" max="8947" width="9" style="163"/>
    <col min="8948" max="8948" width="5" style="163" customWidth="1"/>
    <col min="8949" max="8949" width="3.875" style="163" customWidth="1"/>
    <col min="8950" max="8950" width="5" style="163" customWidth="1"/>
    <col min="8951" max="8951" width="6.25" style="163" customWidth="1"/>
    <col min="8952" max="8952" width="2.875" style="163" customWidth="1"/>
    <col min="8953" max="8953" width="4" style="163" customWidth="1"/>
    <col min="8954" max="8954" width="4.75" style="163" customWidth="1"/>
    <col min="8955" max="8955" width="5.5" style="163" customWidth="1"/>
    <col min="8956" max="8956" width="5.375" style="163" customWidth="1"/>
    <col min="8957" max="8957" width="1.25" style="163" customWidth="1"/>
    <col min="8958" max="8958" width="4.375" style="163" customWidth="1"/>
    <col min="8959" max="8959" width="10.375" style="163" customWidth="1"/>
    <col min="8960" max="8960" width="16.625" style="163" customWidth="1"/>
    <col min="8961" max="8961" width="10.875" style="163" customWidth="1"/>
    <col min="8962" max="8962" width="18.75" style="163" customWidth="1"/>
    <col min="8963" max="8963" width="14.25" style="163" bestFit="1" customWidth="1"/>
    <col min="8964" max="9203" width="9" style="163"/>
    <col min="9204" max="9204" width="5" style="163" customWidth="1"/>
    <col min="9205" max="9205" width="3.875" style="163" customWidth="1"/>
    <col min="9206" max="9206" width="5" style="163" customWidth="1"/>
    <col min="9207" max="9207" width="6.25" style="163" customWidth="1"/>
    <col min="9208" max="9208" width="2.875" style="163" customWidth="1"/>
    <col min="9209" max="9209" width="4" style="163" customWidth="1"/>
    <col min="9210" max="9210" width="4.75" style="163" customWidth="1"/>
    <col min="9211" max="9211" width="5.5" style="163" customWidth="1"/>
    <col min="9212" max="9212" width="5.375" style="163" customWidth="1"/>
    <col min="9213" max="9213" width="1.25" style="163" customWidth="1"/>
    <col min="9214" max="9214" width="4.375" style="163" customWidth="1"/>
    <col min="9215" max="9215" width="10.375" style="163" customWidth="1"/>
    <col min="9216" max="9216" width="16.625" style="163" customWidth="1"/>
    <col min="9217" max="9217" width="10.875" style="163" customWidth="1"/>
    <col min="9218" max="9218" width="18.75" style="163" customWidth="1"/>
    <col min="9219" max="9219" width="14.25" style="163" bestFit="1" customWidth="1"/>
    <col min="9220" max="9459" width="9" style="163"/>
    <col min="9460" max="9460" width="5" style="163" customWidth="1"/>
    <col min="9461" max="9461" width="3.875" style="163" customWidth="1"/>
    <col min="9462" max="9462" width="5" style="163" customWidth="1"/>
    <col min="9463" max="9463" width="6.25" style="163" customWidth="1"/>
    <col min="9464" max="9464" width="2.875" style="163" customWidth="1"/>
    <col min="9465" max="9465" width="4" style="163" customWidth="1"/>
    <col min="9466" max="9466" width="4.75" style="163" customWidth="1"/>
    <col min="9467" max="9467" width="5.5" style="163" customWidth="1"/>
    <col min="9468" max="9468" width="5.375" style="163" customWidth="1"/>
    <col min="9469" max="9469" width="1.25" style="163" customWidth="1"/>
    <col min="9470" max="9470" width="4.375" style="163" customWidth="1"/>
    <col min="9471" max="9471" width="10.375" style="163" customWidth="1"/>
    <col min="9472" max="9472" width="16.625" style="163" customWidth="1"/>
    <col min="9473" max="9473" width="10.875" style="163" customWidth="1"/>
    <col min="9474" max="9474" width="18.75" style="163" customWidth="1"/>
    <col min="9475" max="9475" width="14.25" style="163" bestFit="1" customWidth="1"/>
    <col min="9476" max="9715" width="9" style="163"/>
    <col min="9716" max="9716" width="5" style="163" customWidth="1"/>
    <col min="9717" max="9717" width="3.875" style="163" customWidth="1"/>
    <col min="9718" max="9718" width="5" style="163" customWidth="1"/>
    <col min="9719" max="9719" width="6.25" style="163" customWidth="1"/>
    <col min="9720" max="9720" width="2.875" style="163" customWidth="1"/>
    <col min="9721" max="9721" width="4" style="163" customWidth="1"/>
    <col min="9722" max="9722" width="4.75" style="163" customWidth="1"/>
    <col min="9723" max="9723" width="5.5" style="163" customWidth="1"/>
    <col min="9724" max="9724" width="5.375" style="163" customWidth="1"/>
    <col min="9725" max="9725" width="1.25" style="163" customWidth="1"/>
    <col min="9726" max="9726" width="4.375" style="163" customWidth="1"/>
    <col min="9727" max="9727" width="10.375" style="163" customWidth="1"/>
    <col min="9728" max="9728" width="16.625" style="163" customWidth="1"/>
    <col min="9729" max="9729" width="10.875" style="163" customWidth="1"/>
    <col min="9730" max="9730" width="18.75" style="163" customWidth="1"/>
    <col min="9731" max="9731" width="14.25" style="163" bestFit="1" customWidth="1"/>
    <col min="9732" max="9971" width="9" style="163"/>
    <col min="9972" max="9972" width="5" style="163" customWidth="1"/>
    <col min="9973" max="9973" width="3.875" style="163" customWidth="1"/>
    <col min="9974" max="9974" width="5" style="163" customWidth="1"/>
    <col min="9975" max="9975" width="6.25" style="163" customWidth="1"/>
    <col min="9976" max="9976" width="2.875" style="163" customWidth="1"/>
    <col min="9977" max="9977" width="4" style="163" customWidth="1"/>
    <col min="9978" max="9978" width="4.75" style="163" customWidth="1"/>
    <col min="9979" max="9979" width="5.5" style="163" customWidth="1"/>
    <col min="9980" max="9980" width="5.375" style="163" customWidth="1"/>
    <col min="9981" max="9981" width="1.25" style="163" customWidth="1"/>
    <col min="9982" max="9982" width="4.375" style="163" customWidth="1"/>
    <col min="9983" max="9983" width="10.375" style="163" customWidth="1"/>
    <col min="9984" max="9984" width="16.625" style="163" customWidth="1"/>
    <col min="9985" max="9985" width="10.875" style="163" customWidth="1"/>
    <col min="9986" max="9986" width="18.75" style="163" customWidth="1"/>
    <col min="9987" max="9987" width="14.25" style="163" bestFit="1" customWidth="1"/>
    <col min="9988" max="10227" width="9" style="163"/>
    <col min="10228" max="10228" width="5" style="163" customWidth="1"/>
    <col min="10229" max="10229" width="3.875" style="163" customWidth="1"/>
    <col min="10230" max="10230" width="5" style="163" customWidth="1"/>
    <col min="10231" max="10231" width="6.25" style="163" customWidth="1"/>
    <col min="10232" max="10232" width="2.875" style="163" customWidth="1"/>
    <col min="10233" max="10233" width="4" style="163" customWidth="1"/>
    <col min="10234" max="10234" width="4.75" style="163" customWidth="1"/>
    <col min="10235" max="10235" width="5.5" style="163" customWidth="1"/>
    <col min="10236" max="10236" width="5.375" style="163" customWidth="1"/>
    <col min="10237" max="10237" width="1.25" style="163" customWidth="1"/>
    <col min="10238" max="10238" width="4.375" style="163" customWidth="1"/>
    <col min="10239" max="10239" width="10.375" style="163" customWidth="1"/>
    <col min="10240" max="10240" width="16.625" style="163" customWidth="1"/>
    <col min="10241" max="10241" width="10.875" style="163" customWidth="1"/>
    <col min="10242" max="10242" width="18.75" style="163" customWidth="1"/>
    <col min="10243" max="10243" width="14.25" style="163" bestFit="1" customWidth="1"/>
    <col min="10244" max="10483" width="9" style="163"/>
    <col min="10484" max="10484" width="5" style="163" customWidth="1"/>
    <col min="10485" max="10485" width="3.875" style="163" customWidth="1"/>
    <col min="10486" max="10486" width="5" style="163" customWidth="1"/>
    <col min="10487" max="10487" width="6.25" style="163" customWidth="1"/>
    <col min="10488" max="10488" width="2.875" style="163" customWidth="1"/>
    <col min="10489" max="10489" width="4" style="163" customWidth="1"/>
    <col min="10490" max="10490" width="4.75" style="163" customWidth="1"/>
    <col min="10491" max="10491" width="5.5" style="163" customWidth="1"/>
    <col min="10492" max="10492" width="5.375" style="163" customWidth="1"/>
    <col min="10493" max="10493" width="1.25" style="163" customWidth="1"/>
    <col min="10494" max="10494" width="4.375" style="163" customWidth="1"/>
    <col min="10495" max="10495" width="10.375" style="163" customWidth="1"/>
    <col min="10496" max="10496" width="16.625" style="163" customWidth="1"/>
    <col min="10497" max="10497" width="10.875" style="163" customWidth="1"/>
    <col min="10498" max="10498" width="18.75" style="163" customWidth="1"/>
    <col min="10499" max="10499" width="14.25" style="163" bestFit="1" customWidth="1"/>
    <col min="10500" max="10739" width="9" style="163"/>
    <col min="10740" max="10740" width="5" style="163" customWidth="1"/>
    <col min="10741" max="10741" width="3.875" style="163" customWidth="1"/>
    <col min="10742" max="10742" width="5" style="163" customWidth="1"/>
    <col min="10743" max="10743" width="6.25" style="163" customWidth="1"/>
    <col min="10744" max="10744" width="2.875" style="163" customWidth="1"/>
    <col min="10745" max="10745" width="4" style="163" customWidth="1"/>
    <col min="10746" max="10746" width="4.75" style="163" customWidth="1"/>
    <col min="10747" max="10747" width="5.5" style="163" customWidth="1"/>
    <col min="10748" max="10748" width="5.375" style="163" customWidth="1"/>
    <col min="10749" max="10749" width="1.25" style="163" customWidth="1"/>
    <col min="10750" max="10750" width="4.375" style="163" customWidth="1"/>
    <col min="10751" max="10751" width="10.375" style="163" customWidth="1"/>
    <col min="10752" max="10752" width="16.625" style="163" customWidth="1"/>
    <col min="10753" max="10753" width="10.875" style="163" customWidth="1"/>
    <col min="10754" max="10754" width="18.75" style="163" customWidth="1"/>
    <col min="10755" max="10755" width="14.25" style="163" bestFit="1" customWidth="1"/>
    <col min="10756" max="10995" width="9" style="163"/>
    <col min="10996" max="10996" width="5" style="163" customWidth="1"/>
    <col min="10997" max="10997" width="3.875" style="163" customWidth="1"/>
    <col min="10998" max="10998" width="5" style="163" customWidth="1"/>
    <col min="10999" max="10999" width="6.25" style="163" customWidth="1"/>
    <col min="11000" max="11000" width="2.875" style="163" customWidth="1"/>
    <col min="11001" max="11001" width="4" style="163" customWidth="1"/>
    <col min="11002" max="11002" width="4.75" style="163" customWidth="1"/>
    <col min="11003" max="11003" width="5.5" style="163" customWidth="1"/>
    <col min="11004" max="11004" width="5.375" style="163" customWidth="1"/>
    <col min="11005" max="11005" width="1.25" style="163" customWidth="1"/>
    <col min="11006" max="11006" width="4.375" style="163" customWidth="1"/>
    <col min="11007" max="11007" width="10.375" style="163" customWidth="1"/>
    <col min="11008" max="11008" width="16.625" style="163" customWidth="1"/>
    <col min="11009" max="11009" width="10.875" style="163" customWidth="1"/>
    <col min="11010" max="11010" width="18.75" style="163" customWidth="1"/>
    <col min="11011" max="11011" width="14.25" style="163" bestFit="1" customWidth="1"/>
    <col min="11012" max="11251" width="9" style="163"/>
    <col min="11252" max="11252" width="5" style="163" customWidth="1"/>
    <col min="11253" max="11253" width="3.875" style="163" customWidth="1"/>
    <col min="11254" max="11254" width="5" style="163" customWidth="1"/>
    <col min="11255" max="11255" width="6.25" style="163" customWidth="1"/>
    <col min="11256" max="11256" width="2.875" style="163" customWidth="1"/>
    <col min="11257" max="11257" width="4" style="163" customWidth="1"/>
    <col min="11258" max="11258" width="4.75" style="163" customWidth="1"/>
    <col min="11259" max="11259" width="5.5" style="163" customWidth="1"/>
    <col min="11260" max="11260" width="5.375" style="163" customWidth="1"/>
    <col min="11261" max="11261" width="1.25" style="163" customWidth="1"/>
    <col min="11262" max="11262" width="4.375" style="163" customWidth="1"/>
    <col min="11263" max="11263" width="10.375" style="163" customWidth="1"/>
    <col min="11264" max="11264" width="16.625" style="163" customWidth="1"/>
    <col min="11265" max="11265" width="10.875" style="163" customWidth="1"/>
    <col min="11266" max="11266" width="18.75" style="163" customWidth="1"/>
    <col min="11267" max="11267" width="14.25" style="163" bestFit="1" customWidth="1"/>
    <col min="11268" max="11507" width="9" style="163"/>
    <col min="11508" max="11508" width="5" style="163" customWidth="1"/>
    <col min="11509" max="11509" width="3.875" style="163" customWidth="1"/>
    <col min="11510" max="11510" width="5" style="163" customWidth="1"/>
    <col min="11511" max="11511" width="6.25" style="163" customWidth="1"/>
    <col min="11512" max="11512" width="2.875" style="163" customWidth="1"/>
    <col min="11513" max="11513" width="4" style="163" customWidth="1"/>
    <col min="11514" max="11514" width="4.75" style="163" customWidth="1"/>
    <col min="11515" max="11515" width="5.5" style="163" customWidth="1"/>
    <col min="11516" max="11516" width="5.375" style="163" customWidth="1"/>
    <col min="11517" max="11517" width="1.25" style="163" customWidth="1"/>
    <col min="11518" max="11518" width="4.375" style="163" customWidth="1"/>
    <col min="11519" max="11519" width="10.375" style="163" customWidth="1"/>
    <col min="11520" max="11520" width="16.625" style="163" customWidth="1"/>
    <col min="11521" max="11521" width="10.875" style="163" customWidth="1"/>
    <col min="11522" max="11522" width="18.75" style="163" customWidth="1"/>
    <col min="11523" max="11523" width="14.25" style="163" bestFit="1" customWidth="1"/>
    <col min="11524" max="11763" width="9" style="163"/>
    <col min="11764" max="11764" width="5" style="163" customWidth="1"/>
    <col min="11765" max="11765" width="3.875" style="163" customWidth="1"/>
    <col min="11766" max="11766" width="5" style="163" customWidth="1"/>
    <col min="11767" max="11767" width="6.25" style="163" customWidth="1"/>
    <col min="11768" max="11768" width="2.875" style="163" customWidth="1"/>
    <col min="11769" max="11769" width="4" style="163" customWidth="1"/>
    <col min="11770" max="11770" width="4.75" style="163" customWidth="1"/>
    <col min="11771" max="11771" width="5.5" style="163" customWidth="1"/>
    <col min="11772" max="11772" width="5.375" style="163" customWidth="1"/>
    <col min="11773" max="11773" width="1.25" style="163" customWidth="1"/>
    <col min="11774" max="11774" width="4.375" style="163" customWidth="1"/>
    <col min="11775" max="11775" width="10.375" style="163" customWidth="1"/>
    <col min="11776" max="11776" width="16.625" style="163" customWidth="1"/>
    <col min="11777" max="11777" width="10.875" style="163" customWidth="1"/>
    <col min="11778" max="11778" width="18.75" style="163" customWidth="1"/>
    <col min="11779" max="11779" width="14.25" style="163" bestFit="1" customWidth="1"/>
    <col min="11780" max="12019" width="9" style="163"/>
    <col min="12020" max="12020" width="5" style="163" customWidth="1"/>
    <col min="12021" max="12021" width="3.875" style="163" customWidth="1"/>
    <col min="12022" max="12022" width="5" style="163" customWidth="1"/>
    <col min="12023" max="12023" width="6.25" style="163" customWidth="1"/>
    <col min="12024" max="12024" width="2.875" style="163" customWidth="1"/>
    <col min="12025" max="12025" width="4" style="163" customWidth="1"/>
    <col min="12026" max="12026" width="4.75" style="163" customWidth="1"/>
    <col min="12027" max="12027" width="5.5" style="163" customWidth="1"/>
    <col min="12028" max="12028" width="5.375" style="163" customWidth="1"/>
    <col min="12029" max="12029" width="1.25" style="163" customWidth="1"/>
    <col min="12030" max="12030" width="4.375" style="163" customWidth="1"/>
    <col min="12031" max="12031" width="10.375" style="163" customWidth="1"/>
    <col min="12032" max="12032" width="16.625" style="163" customWidth="1"/>
    <col min="12033" max="12033" width="10.875" style="163" customWidth="1"/>
    <col min="12034" max="12034" width="18.75" style="163" customWidth="1"/>
    <col min="12035" max="12035" width="14.25" style="163" bestFit="1" customWidth="1"/>
    <col min="12036" max="12275" width="9" style="163"/>
    <col min="12276" max="12276" width="5" style="163" customWidth="1"/>
    <col min="12277" max="12277" width="3.875" style="163" customWidth="1"/>
    <col min="12278" max="12278" width="5" style="163" customWidth="1"/>
    <col min="12279" max="12279" width="6.25" style="163" customWidth="1"/>
    <col min="12280" max="12280" width="2.875" style="163" customWidth="1"/>
    <col min="12281" max="12281" width="4" style="163" customWidth="1"/>
    <col min="12282" max="12282" width="4.75" style="163" customWidth="1"/>
    <col min="12283" max="12283" width="5.5" style="163" customWidth="1"/>
    <col min="12284" max="12284" width="5.375" style="163" customWidth="1"/>
    <col min="12285" max="12285" width="1.25" style="163" customWidth="1"/>
    <col min="12286" max="12286" width="4.375" style="163" customWidth="1"/>
    <col min="12287" max="12287" width="10.375" style="163" customWidth="1"/>
    <col min="12288" max="12288" width="16.625" style="163" customWidth="1"/>
    <col min="12289" max="12289" width="10.875" style="163" customWidth="1"/>
    <col min="12290" max="12290" width="18.75" style="163" customWidth="1"/>
    <col min="12291" max="12291" width="14.25" style="163" bestFit="1" customWidth="1"/>
    <col min="12292" max="12531" width="9" style="163"/>
    <col min="12532" max="12532" width="5" style="163" customWidth="1"/>
    <col min="12533" max="12533" width="3.875" style="163" customWidth="1"/>
    <col min="12534" max="12534" width="5" style="163" customWidth="1"/>
    <col min="12535" max="12535" width="6.25" style="163" customWidth="1"/>
    <col min="12536" max="12536" width="2.875" style="163" customWidth="1"/>
    <col min="12537" max="12537" width="4" style="163" customWidth="1"/>
    <col min="12538" max="12538" width="4.75" style="163" customWidth="1"/>
    <col min="12539" max="12539" width="5.5" style="163" customWidth="1"/>
    <col min="12540" max="12540" width="5.375" style="163" customWidth="1"/>
    <col min="12541" max="12541" width="1.25" style="163" customWidth="1"/>
    <col min="12542" max="12542" width="4.375" style="163" customWidth="1"/>
    <col min="12543" max="12543" width="10.375" style="163" customWidth="1"/>
    <col min="12544" max="12544" width="16.625" style="163" customWidth="1"/>
    <col min="12545" max="12545" width="10.875" style="163" customWidth="1"/>
    <col min="12546" max="12546" width="18.75" style="163" customWidth="1"/>
    <col min="12547" max="12547" width="14.25" style="163" bestFit="1" customWidth="1"/>
    <col min="12548" max="12787" width="9" style="163"/>
    <col min="12788" max="12788" width="5" style="163" customWidth="1"/>
    <col min="12789" max="12789" width="3.875" style="163" customWidth="1"/>
    <col min="12790" max="12790" width="5" style="163" customWidth="1"/>
    <col min="12791" max="12791" width="6.25" style="163" customWidth="1"/>
    <col min="12792" max="12792" width="2.875" style="163" customWidth="1"/>
    <col min="12793" max="12793" width="4" style="163" customWidth="1"/>
    <col min="12794" max="12794" width="4.75" style="163" customWidth="1"/>
    <col min="12795" max="12795" width="5.5" style="163" customWidth="1"/>
    <col min="12796" max="12796" width="5.375" style="163" customWidth="1"/>
    <col min="12797" max="12797" width="1.25" style="163" customWidth="1"/>
    <col min="12798" max="12798" width="4.375" style="163" customWidth="1"/>
    <col min="12799" max="12799" width="10.375" style="163" customWidth="1"/>
    <col min="12800" max="12800" width="16.625" style="163" customWidth="1"/>
    <col min="12801" max="12801" width="10.875" style="163" customWidth="1"/>
    <col min="12802" max="12802" width="18.75" style="163" customWidth="1"/>
    <col min="12803" max="12803" width="14.25" style="163" bestFit="1" customWidth="1"/>
    <col min="12804" max="13043" width="9" style="163"/>
    <col min="13044" max="13044" width="5" style="163" customWidth="1"/>
    <col min="13045" max="13045" width="3.875" style="163" customWidth="1"/>
    <col min="13046" max="13046" width="5" style="163" customWidth="1"/>
    <col min="13047" max="13047" width="6.25" style="163" customWidth="1"/>
    <col min="13048" max="13048" width="2.875" style="163" customWidth="1"/>
    <col min="13049" max="13049" width="4" style="163" customWidth="1"/>
    <col min="13050" max="13050" width="4.75" style="163" customWidth="1"/>
    <col min="13051" max="13051" width="5.5" style="163" customWidth="1"/>
    <col min="13052" max="13052" width="5.375" style="163" customWidth="1"/>
    <col min="13053" max="13053" width="1.25" style="163" customWidth="1"/>
    <col min="13054" max="13054" width="4.375" style="163" customWidth="1"/>
    <col min="13055" max="13055" width="10.375" style="163" customWidth="1"/>
    <col min="13056" max="13056" width="16.625" style="163" customWidth="1"/>
    <col min="13057" max="13057" width="10.875" style="163" customWidth="1"/>
    <col min="13058" max="13058" width="18.75" style="163" customWidth="1"/>
    <col min="13059" max="13059" width="14.25" style="163" bestFit="1" customWidth="1"/>
    <col min="13060" max="13299" width="9" style="163"/>
    <col min="13300" max="13300" width="5" style="163" customWidth="1"/>
    <col min="13301" max="13301" width="3.875" style="163" customWidth="1"/>
    <col min="13302" max="13302" width="5" style="163" customWidth="1"/>
    <col min="13303" max="13303" width="6.25" style="163" customWidth="1"/>
    <col min="13304" max="13304" width="2.875" style="163" customWidth="1"/>
    <col min="13305" max="13305" width="4" style="163" customWidth="1"/>
    <col min="13306" max="13306" width="4.75" style="163" customWidth="1"/>
    <col min="13307" max="13307" width="5.5" style="163" customWidth="1"/>
    <col min="13308" max="13308" width="5.375" style="163" customWidth="1"/>
    <col min="13309" max="13309" width="1.25" style="163" customWidth="1"/>
    <col min="13310" max="13310" width="4.375" style="163" customWidth="1"/>
    <col min="13311" max="13311" width="10.375" style="163" customWidth="1"/>
    <col min="13312" max="13312" width="16.625" style="163" customWidth="1"/>
    <col min="13313" max="13313" width="10.875" style="163" customWidth="1"/>
    <col min="13314" max="13314" width="18.75" style="163" customWidth="1"/>
    <col min="13315" max="13315" width="14.25" style="163" bestFit="1" customWidth="1"/>
    <col min="13316" max="13555" width="9" style="163"/>
    <col min="13556" max="13556" width="5" style="163" customWidth="1"/>
    <col min="13557" max="13557" width="3.875" style="163" customWidth="1"/>
    <col min="13558" max="13558" width="5" style="163" customWidth="1"/>
    <col min="13559" max="13559" width="6.25" style="163" customWidth="1"/>
    <col min="13560" max="13560" width="2.875" style="163" customWidth="1"/>
    <col min="13561" max="13561" width="4" style="163" customWidth="1"/>
    <col min="13562" max="13562" width="4.75" style="163" customWidth="1"/>
    <col min="13563" max="13563" width="5.5" style="163" customWidth="1"/>
    <col min="13564" max="13564" width="5.375" style="163" customWidth="1"/>
    <col min="13565" max="13565" width="1.25" style="163" customWidth="1"/>
    <col min="13566" max="13566" width="4.375" style="163" customWidth="1"/>
    <col min="13567" max="13567" width="10.375" style="163" customWidth="1"/>
    <col min="13568" max="13568" width="16.625" style="163" customWidth="1"/>
    <col min="13569" max="13569" width="10.875" style="163" customWidth="1"/>
    <col min="13570" max="13570" width="18.75" style="163" customWidth="1"/>
    <col min="13571" max="13571" width="14.25" style="163" bestFit="1" customWidth="1"/>
    <col min="13572" max="13811" width="9" style="163"/>
    <col min="13812" max="13812" width="5" style="163" customWidth="1"/>
    <col min="13813" max="13813" width="3.875" style="163" customWidth="1"/>
    <col min="13814" max="13814" width="5" style="163" customWidth="1"/>
    <col min="13815" max="13815" width="6.25" style="163" customWidth="1"/>
    <col min="13816" max="13816" width="2.875" style="163" customWidth="1"/>
    <col min="13817" max="13817" width="4" style="163" customWidth="1"/>
    <col min="13818" max="13818" width="4.75" style="163" customWidth="1"/>
    <col min="13819" max="13819" width="5.5" style="163" customWidth="1"/>
    <col min="13820" max="13820" width="5.375" style="163" customWidth="1"/>
    <col min="13821" max="13821" width="1.25" style="163" customWidth="1"/>
    <col min="13822" max="13822" width="4.375" style="163" customWidth="1"/>
    <col min="13823" max="13823" width="10.375" style="163" customWidth="1"/>
    <col min="13824" max="13824" width="16.625" style="163" customWidth="1"/>
    <col min="13825" max="13825" width="10.875" style="163" customWidth="1"/>
    <col min="13826" max="13826" width="18.75" style="163" customWidth="1"/>
    <col min="13827" max="13827" width="14.25" style="163" bestFit="1" customWidth="1"/>
    <col min="13828" max="14067" width="9" style="163"/>
    <col min="14068" max="14068" width="5" style="163" customWidth="1"/>
    <col min="14069" max="14069" width="3.875" style="163" customWidth="1"/>
    <col min="14070" max="14070" width="5" style="163" customWidth="1"/>
    <col min="14071" max="14071" width="6.25" style="163" customWidth="1"/>
    <col min="14072" max="14072" width="2.875" style="163" customWidth="1"/>
    <col min="14073" max="14073" width="4" style="163" customWidth="1"/>
    <col min="14074" max="14074" width="4.75" style="163" customWidth="1"/>
    <col min="14075" max="14075" width="5.5" style="163" customWidth="1"/>
    <col min="14076" max="14076" width="5.375" style="163" customWidth="1"/>
    <col min="14077" max="14077" width="1.25" style="163" customWidth="1"/>
    <col min="14078" max="14078" width="4.375" style="163" customWidth="1"/>
    <col min="14079" max="14079" width="10.375" style="163" customWidth="1"/>
    <col min="14080" max="14080" width="16.625" style="163" customWidth="1"/>
    <col min="14081" max="14081" width="10.875" style="163" customWidth="1"/>
    <col min="14082" max="14082" width="18.75" style="163" customWidth="1"/>
    <col min="14083" max="14083" width="14.25" style="163" bestFit="1" customWidth="1"/>
    <col min="14084" max="14323" width="9" style="163"/>
    <col min="14324" max="14324" width="5" style="163" customWidth="1"/>
    <col min="14325" max="14325" width="3.875" style="163" customWidth="1"/>
    <col min="14326" max="14326" width="5" style="163" customWidth="1"/>
    <col min="14327" max="14327" width="6.25" style="163" customWidth="1"/>
    <col min="14328" max="14328" width="2.875" style="163" customWidth="1"/>
    <col min="14329" max="14329" width="4" style="163" customWidth="1"/>
    <col min="14330" max="14330" width="4.75" style="163" customWidth="1"/>
    <col min="14331" max="14331" width="5.5" style="163" customWidth="1"/>
    <col min="14332" max="14332" width="5.375" style="163" customWidth="1"/>
    <col min="14333" max="14333" width="1.25" style="163" customWidth="1"/>
    <col min="14334" max="14334" width="4.375" style="163" customWidth="1"/>
    <col min="14335" max="14335" width="10.375" style="163" customWidth="1"/>
    <col min="14336" max="14336" width="16.625" style="163" customWidth="1"/>
    <col min="14337" max="14337" width="10.875" style="163" customWidth="1"/>
    <col min="14338" max="14338" width="18.75" style="163" customWidth="1"/>
    <col min="14339" max="14339" width="14.25" style="163" bestFit="1" customWidth="1"/>
    <col min="14340" max="14579" width="9" style="163"/>
    <col min="14580" max="14580" width="5" style="163" customWidth="1"/>
    <col min="14581" max="14581" width="3.875" style="163" customWidth="1"/>
    <col min="14582" max="14582" width="5" style="163" customWidth="1"/>
    <col min="14583" max="14583" width="6.25" style="163" customWidth="1"/>
    <col min="14584" max="14584" width="2.875" style="163" customWidth="1"/>
    <col min="14585" max="14585" width="4" style="163" customWidth="1"/>
    <col min="14586" max="14586" width="4.75" style="163" customWidth="1"/>
    <col min="14587" max="14587" width="5.5" style="163" customWidth="1"/>
    <col min="14588" max="14588" width="5.375" style="163" customWidth="1"/>
    <col min="14589" max="14589" width="1.25" style="163" customWidth="1"/>
    <col min="14590" max="14590" width="4.375" style="163" customWidth="1"/>
    <col min="14591" max="14591" width="10.375" style="163" customWidth="1"/>
    <col min="14592" max="14592" width="16.625" style="163" customWidth="1"/>
    <col min="14593" max="14593" width="10.875" style="163" customWidth="1"/>
    <col min="14594" max="14594" width="18.75" style="163" customWidth="1"/>
    <col min="14595" max="14595" width="14.25" style="163" bestFit="1" customWidth="1"/>
    <col min="14596" max="14835" width="9" style="163"/>
    <col min="14836" max="14836" width="5" style="163" customWidth="1"/>
    <col min="14837" max="14837" width="3.875" style="163" customWidth="1"/>
    <col min="14838" max="14838" width="5" style="163" customWidth="1"/>
    <col min="14839" max="14839" width="6.25" style="163" customWidth="1"/>
    <col min="14840" max="14840" width="2.875" style="163" customWidth="1"/>
    <col min="14841" max="14841" width="4" style="163" customWidth="1"/>
    <col min="14842" max="14842" width="4.75" style="163" customWidth="1"/>
    <col min="14843" max="14843" width="5.5" style="163" customWidth="1"/>
    <col min="14844" max="14844" width="5.375" style="163" customWidth="1"/>
    <col min="14845" max="14845" width="1.25" style="163" customWidth="1"/>
    <col min="14846" max="14846" width="4.375" style="163" customWidth="1"/>
    <col min="14847" max="14847" width="10.375" style="163" customWidth="1"/>
    <col min="14848" max="14848" width="16.625" style="163" customWidth="1"/>
    <col min="14849" max="14849" width="10.875" style="163" customWidth="1"/>
    <col min="14850" max="14850" width="18.75" style="163" customWidth="1"/>
    <col min="14851" max="14851" width="14.25" style="163" bestFit="1" customWidth="1"/>
    <col min="14852" max="15091" width="9" style="163"/>
    <col min="15092" max="15092" width="5" style="163" customWidth="1"/>
    <col min="15093" max="15093" width="3.875" style="163" customWidth="1"/>
    <col min="15094" max="15094" width="5" style="163" customWidth="1"/>
    <col min="15095" max="15095" width="6.25" style="163" customWidth="1"/>
    <col min="15096" max="15096" width="2.875" style="163" customWidth="1"/>
    <col min="15097" max="15097" width="4" style="163" customWidth="1"/>
    <col min="15098" max="15098" width="4.75" style="163" customWidth="1"/>
    <col min="15099" max="15099" width="5.5" style="163" customWidth="1"/>
    <col min="15100" max="15100" width="5.375" style="163" customWidth="1"/>
    <col min="15101" max="15101" width="1.25" style="163" customWidth="1"/>
    <col min="15102" max="15102" width="4.375" style="163" customWidth="1"/>
    <col min="15103" max="15103" width="10.375" style="163" customWidth="1"/>
    <col min="15104" max="15104" width="16.625" style="163" customWidth="1"/>
    <col min="15105" max="15105" width="10.875" style="163" customWidth="1"/>
    <col min="15106" max="15106" width="18.75" style="163" customWidth="1"/>
    <col min="15107" max="15107" width="14.25" style="163" bestFit="1" customWidth="1"/>
    <col min="15108" max="15347" width="9" style="163"/>
    <col min="15348" max="15348" width="5" style="163" customWidth="1"/>
    <col min="15349" max="15349" width="3.875" style="163" customWidth="1"/>
    <col min="15350" max="15350" width="5" style="163" customWidth="1"/>
    <col min="15351" max="15351" width="6.25" style="163" customWidth="1"/>
    <col min="15352" max="15352" width="2.875" style="163" customWidth="1"/>
    <col min="15353" max="15353" width="4" style="163" customWidth="1"/>
    <col min="15354" max="15354" width="4.75" style="163" customWidth="1"/>
    <col min="15355" max="15355" width="5.5" style="163" customWidth="1"/>
    <col min="15356" max="15356" width="5.375" style="163" customWidth="1"/>
    <col min="15357" max="15357" width="1.25" style="163" customWidth="1"/>
    <col min="15358" max="15358" width="4.375" style="163" customWidth="1"/>
    <col min="15359" max="15359" width="10.375" style="163" customWidth="1"/>
    <col min="15360" max="15360" width="16.625" style="163" customWidth="1"/>
    <col min="15361" max="15361" width="10.875" style="163" customWidth="1"/>
    <col min="15362" max="15362" width="18.75" style="163" customWidth="1"/>
    <col min="15363" max="15363" width="14.25" style="163" bestFit="1" customWidth="1"/>
    <col min="15364" max="15603" width="9" style="163"/>
    <col min="15604" max="15604" width="5" style="163" customWidth="1"/>
    <col min="15605" max="15605" width="3.875" style="163" customWidth="1"/>
    <col min="15606" max="15606" width="5" style="163" customWidth="1"/>
    <col min="15607" max="15607" width="6.25" style="163" customWidth="1"/>
    <col min="15608" max="15608" width="2.875" style="163" customWidth="1"/>
    <col min="15609" max="15609" width="4" style="163" customWidth="1"/>
    <col min="15610" max="15610" width="4.75" style="163" customWidth="1"/>
    <col min="15611" max="15611" width="5.5" style="163" customWidth="1"/>
    <col min="15612" max="15612" width="5.375" style="163" customWidth="1"/>
    <col min="15613" max="15613" width="1.25" style="163" customWidth="1"/>
    <col min="15614" max="15614" width="4.375" style="163" customWidth="1"/>
    <col min="15615" max="15615" width="10.375" style="163" customWidth="1"/>
    <col min="15616" max="15616" width="16.625" style="163" customWidth="1"/>
    <col min="15617" max="15617" width="10.875" style="163" customWidth="1"/>
    <col min="15618" max="15618" width="18.75" style="163" customWidth="1"/>
    <col min="15619" max="15619" width="14.25" style="163" bestFit="1" customWidth="1"/>
    <col min="15620" max="15859" width="9" style="163"/>
    <col min="15860" max="15860" width="5" style="163" customWidth="1"/>
    <col min="15861" max="15861" width="3.875" style="163" customWidth="1"/>
    <col min="15862" max="15862" width="5" style="163" customWidth="1"/>
    <col min="15863" max="15863" width="6.25" style="163" customWidth="1"/>
    <col min="15864" max="15864" width="2.875" style="163" customWidth="1"/>
    <col min="15865" max="15865" width="4" style="163" customWidth="1"/>
    <col min="15866" max="15866" width="4.75" style="163" customWidth="1"/>
    <col min="15867" max="15867" width="5.5" style="163" customWidth="1"/>
    <col min="15868" max="15868" width="5.375" style="163" customWidth="1"/>
    <col min="15869" max="15869" width="1.25" style="163" customWidth="1"/>
    <col min="15870" max="15870" width="4.375" style="163" customWidth="1"/>
    <col min="15871" max="15871" width="10.375" style="163" customWidth="1"/>
    <col min="15872" max="15872" width="16.625" style="163" customWidth="1"/>
    <col min="15873" max="15873" width="10.875" style="163" customWidth="1"/>
    <col min="15874" max="15874" width="18.75" style="163" customWidth="1"/>
    <col min="15875" max="15875" width="14.25" style="163" bestFit="1" customWidth="1"/>
    <col min="15876" max="16115" width="9" style="163"/>
    <col min="16116" max="16116" width="5" style="163" customWidth="1"/>
    <col min="16117" max="16117" width="3.875" style="163" customWidth="1"/>
    <col min="16118" max="16118" width="5" style="163" customWidth="1"/>
    <col min="16119" max="16119" width="6.25" style="163" customWidth="1"/>
    <col min="16120" max="16120" width="2.875" style="163" customWidth="1"/>
    <col min="16121" max="16121" width="4" style="163" customWidth="1"/>
    <col min="16122" max="16122" width="4.75" style="163" customWidth="1"/>
    <col min="16123" max="16123" width="5.5" style="163" customWidth="1"/>
    <col min="16124" max="16124" width="5.375" style="163" customWidth="1"/>
    <col min="16125" max="16125" width="1.25" style="163" customWidth="1"/>
    <col min="16126" max="16126" width="4.375" style="163" customWidth="1"/>
    <col min="16127" max="16127" width="10.375" style="163" customWidth="1"/>
    <col min="16128" max="16128" width="16.625" style="163" customWidth="1"/>
    <col min="16129" max="16129" width="10.875" style="163" customWidth="1"/>
    <col min="16130" max="16130" width="18.75" style="163" customWidth="1"/>
    <col min="16131" max="16131" width="14.25" style="163" bestFit="1" customWidth="1"/>
    <col min="16132" max="16384" width="9" style="163"/>
  </cols>
  <sheetData>
    <row r="1" spans="1:15" ht="9" customHeight="1">
      <c r="A1" s="235"/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7"/>
    </row>
    <row r="2" spans="1:15" ht="9.75" customHeight="1">
      <c r="A2" s="164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6"/>
    </row>
    <row r="3" spans="1:15" ht="45">
      <c r="A3" s="238" t="s">
        <v>5149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40"/>
    </row>
    <row r="4" spans="1:15" ht="16.5" customHeight="1">
      <c r="A4" s="167" t="s">
        <v>5150</v>
      </c>
      <c r="B4" s="168"/>
      <c r="C4" s="168"/>
      <c r="D4" s="168"/>
      <c r="E4" s="168"/>
      <c r="F4" s="168"/>
      <c r="G4" s="168"/>
      <c r="H4" s="168"/>
      <c r="I4" s="169"/>
      <c r="J4" s="169"/>
      <c r="K4" s="170"/>
      <c r="L4" s="170"/>
      <c r="M4" s="170"/>
      <c r="N4" s="170"/>
      <c r="O4" s="171"/>
    </row>
    <row r="5" spans="1:15" ht="21" customHeight="1">
      <c r="A5" s="172"/>
      <c r="B5" s="228" t="s">
        <v>5215</v>
      </c>
      <c r="C5" s="228"/>
      <c r="D5" s="228"/>
      <c r="E5" s="228"/>
      <c r="F5" s="228"/>
      <c r="G5" s="173"/>
      <c r="H5" s="173"/>
      <c r="I5" s="173"/>
      <c r="J5" s="173"/>
      <c r="K5" s="173"/>
      <c r="L5" s="173"/>
      <c r="M5" s="174"/>
      <c r="N5" s="174"/>
      <c r="O5" s="175"/>
    </row>
    <row r="6" spans="1:15" ht="12" customHeight="1" thickBot="1">
      <c r="A6" s="176"/>
      <c r="B6" s="177"/>
      <c r="C6" s="177"/>
      <c r="D6" s="177"/>
      <c r="E6" s="177"/>
      <c r="F6" s="177"/>
      <c r="G6" s="177"/>
      <c r="H6" s="177"/>
      <c r="I6" s="177"/>
      <c r="J6" s="177"/>
      <c r="K6" s="178"/>
      <c r="L6" s="178"/>
      <c r="M6" s="178"/>
      <c r="N6" s="178"/>
      <c r="O6" s="179"/>
    </row>
    <row r="7" spans="1:15" ht="23.25" customHeight="1">
      <c r="A7" s="241" t="s">
        <v>5151</v>
      </c>
      <c r="B7" s="242"/>
      <c r="C7" s="243"/>
      <c r="D7" s="229">
        <v>2024</v>
      </c>
      <c r="E7" s="180" t="s">
        <v>5152</v>
      </c>
      <c r="F7" s="180">
        <v>12</v>
      </c>
      <c r="G7" s="180" t="s">
        <v>5153</v>
      </c>
      <c r="H7" s="180">
        <v>12</v>
      </c>
      <c r="I7" s="180" t="s">
        <v>5154</v>
      </c>
      <c r="J7" s="181"/>
      <c r="K7" s="244" t="s">
        <v>5155</v>
      </c>
      <c r="L7" s="182" t="s">
        <v>5156</v>
      </c>
      <c r="M7" s="182" t="s">
        <v>5157</v>
      </c>
      <c r="N7" s="182" t="s">
        <v>5158</v>
      </c>
      <c r="O7" s="183" t="s">
        <v>5159</v>
      </c>
    </row>
    <row r="8" spans="1:15" ht="23.25" customHeight="1">
      <c r="A8" s="247" t="s">
        <v>5160</v>
      </c>
      <c r="B8" s="248"/>
      <c r="C8" s="249"/>
      <c r="D8" s="250" t="s">
        <v>5161</v>
      </c>
      <c r="E8" s="251"/>
      <c r="F8" s="251"/>
      <c r="G8" s="252"/>
      <c r="H8" s="253"/>
      <c r="I8" s="251"/>
      <c r="J8" s="254"/>
      <c r="K8" s="245"/>
      <c r="L8" s="184" t="s">
        <v>5162</v>
      </c>
      <c r="M8" s="184" t="s">
        <v>5163</v>
      </c>
      <c r="N8" s="184" t="s">
        <v>5164</v>
      </c>
      <c r="O8" s="185" t="s">
        <v>5165</v>
      </c>
    </row>
    <row r="9" spans="1:15" ht="23.25" customHeight="1">
      <c r="A9" s="247" t="s">
        <v>5166</v>
      </c>
      <c r="B9" s="248"/>
      <c r="C9" s="249"/>
      <c r="D9" s="255" t="s">
        <v>5167</v>
      </c>
      <c r="E9" s="256"/>
      <c r="F9" s="256"/>
      <c r="G9" s="256"/>
      <c r="H9" s="256"/>
      <c r="I9" s="256"/>
      <c r="J9" s="257"/>
      <c r="K9" s="245"/>
      <c r="L9" s="184" t="s">
        <v>5168</v>
      </c>
      <c r="M9" s="258" t="s">
        <v>5169</v>
      </c>
      <c r="N9" s="248"/>
      <c r="O9" s="249"/>
    </row>
    <row r="10" spans="1:15" ht="23.25" customHeight="1" thickBot="1">
      <c r="A10" s="259" t="s">
        <v>5170</v>
      </c>
      <c r="B10" s="260"/>
      <c r="C10" s="261"/>
      <c r="D10" s="262" t="s">
        <v>5171</v>
      </c>
      <c r="E10" s="263"/>
      <c r="F10" s="263"/>
      <c r="G10" s="263"/>
      <c r="H10" s="263"/>
      <c r="I10" s="263"/>
      <c r="J10" s="264"/>
      <c r="K10" s="246"/>
      <c r="L10" s="186" t="s">
        <v>5172</v>
      </c>
      <c r="M10" s="186" t="s">
        <v>5173</v>
      </c>
      <c r="N10" s="186" t="s">
        <v>5174</v>
      </c>
      <c r="O10" s="187" t="s">
        <v>5175</v>
      </c>
    </row>
    <row r="11" spans="1:15" ht="21.75" customHeight="1">
      <c r="A11" s="188"/>
      <c r="B11" s="189"/>
      <c r="C11" s="189"/>
      <c r="D11" s="190"/>
      <c r="E11" s="190"/>
      <c r="F11" s="190"/>
      <c r="G11" s="190"/>
      <c r="H11" s="190"/>
      <c r="I11" s="190"/>
      <c r="J11" s="190"/>
      <c r="K11" s="191"/>
      <c r="L11" s="191"/>
      <c r="M11" s="191"/>
      <c r="N11" s="191"/>
      <c r="O11" s="171"/>
    </row>
    <row r="12" spans="1:15" ht="21.75" customHeight="1">
      <c r="A12" s="192"/>
      <c r="B12" s="174"/>
      <c r="C12" s="174"/>
      <c r="D12" s="174"/>
      <c r="E12" s="174"/>
      <c r="F12" s="174"/>
      <c r="G12" s="174"/>
      <c r="H12" s="174"/>
      <c r="I12" s="191"/>
      <c r="J12" s="191"/>
      <c r="K12" s="191"/>
      <c r="L12" s="191"/>
      <c r="M12" s="191"/>
      <c r="N12" s="191"/>
      <c r="O12" s="193"/>
    </row>
    <row r="13" spans="1:15" ht="24" customHeight="1">
      <c r="A13" s="194"/>
      <c r="B13" s="234" t="s">
        <v>5214</v>
      </c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195" t="s">
        <v>5176</v>
      </c>
      <c r="O13" s="193"/>
    </row>
    <row r="14" spans="1:15" ht="9" customHeight="1">
      <c r="A14" s="194"/>
      <c r="B14" s="174"/>
      <c r="C14" s="174"/>
      <c r="D14" s="174"/>
      <c r="E14" s="174"/>
      <c r="F14" s="174"/>
      <c r="G14" s="174"/>
      <c r="H14" s="174"/>
      <c r="I14" s="191"/>
      <c r="J14" s="191"/>
      <c r="K14" s="191"/>
      <c r="L14" s="191"/>
      <c r="M14" s="191"/>
      <c r="N14" s="191"/>
      <c r="O14" s="193"/>
    </row>
    <row r="15" spans="1:15" ht="25.5" customHeight="1">
      <c r="A15" s="194"/>
      <c r="B15" s="265" t="str">
        <f>"견 적 금 액 : 一金"&amp;NUMBERSTRING(M32,1) &amp; "원정""(\"&amp; TEXT(M32,"#,###")&amp;"원) [VAT 별도]"</f>
        <v>견 적 금 액 : 一金일백일십구만원정"(\1,190,000원) [VAT 별도]</v>
      </c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6"/>
    </row>
    <row r="16" spans="1:15" ht="15" thickBot="1">
      <c r="A16" s="192"/>
      <c r="B16" s="191"/>
      <c r="C16" s="191"/>
      <c r="D16" s="191"/>
      <c r="E16" s="191"/>
      <c r="F16" s="191"/>
      <c r="G16" s="191"/>
      <c r="H16" s="191"/>
      <c r="I16" s="174"/>
      <c r="J16" s="174"/>
      <c r="K16" s="267"/>
      <c r="L16" s="267"/>
      <c r="M16" s="267"/>
      <c r="N16" s="267"/>
      <c r="O16" s="268"/>
    </row>
    <row r="17" spans="1:17" ht="27.75" customHeight="1" thickBot="1">
      <c r="A17" s="196" t="s">
        <v>5177</v>
      </c>
      <c r="B17" s="275" t="s">
        <v>5178</v>
      </c>
      <c r="C17" s="276"/>
      <c r="D17" s="276"/>
      <c r="E17" s="276"/>
      <c r="F17" s="276"/>
      <c r="G17" s="277"/>
      <c r="H17" s="197" t="s">
        <v>5179</v>
      </c>
      <c r="I17" s="198" t="s">
        <v>5180</v>
      </c>
      <c r="J17" s="278" t="s">
        <v>5181</v>
      </c>
      <c r="K17" s="279"/>
      <c r="L17" s="279"/>
      <c r="M17" s="280"/>
      <c r="N17" s="275" t="s">
        <v>5182</v>
      </c>
      <c r="O17" s="281"/>
    </row>
    <row r="18" spans="1:17" ht="28.5" customHeight="1">
      <c r="A18" s="199">
        <v>1</v>
      </c>
      <c r="B18" s="269" t="s">
        <v>5183</v>
      </c>
      <c r="C18" s="270"/>
      <c r="D18" s="270"/>
      <c r="E18" s="270"/>
      <c r="F18" s="270"/>
      <c r="G18" s="271"/>
      <c r="H18" s="230">
        <v>1</v>
      </c>
      <c r="I18" s="231" t="s">
        <v>1</v>
      </c>
      <c r="J18" s="272">
        <f>IFERROR(LOOKUP(2,1/('내역서(표준단가)'!O4:O1048576&lt;&gt;""),'내역서(표준단가)'!O4:O1048576),"-")</f>
        <v>554400</v>
      </c>
      <c r="K18" s="272"/>
      <c r="L18" s="272"/>
      <c r="M18" s="272"/>
      <c r="N18" s="273"/>
      <c r="O18" s="274"/>
    </row>
    <row r="19" spans="1:17" ht="28.5" customHeight="1">
      <c r="A19" s="200">
        <v>2</v>
      </c>
      <c r="B19" s="282" t="s">
        <v>5184</v>
      </c>
      <c r="C19" s="283"/>
      <c r="D19" s="283"/>
      <c r="E19" s="283"/>
      <c r="F19" s="283"/>
      <c r="G19" s="284"/>
      <c r="H19" s="232">
        <v>1</v>
      </c>
      <c r="I19" s="232" t="s">
        <v>1</v>
      </c>
      <c r="J19" s="285">
        <f>IFERROR(LOOKUP(2,1/('내역서(표준단가)'!Q4:Q1048576&lt;&gt;""),'내역서(표준단가)'!Q4:Q1048576),"-")</f>
        <v>412756</v>
      </c>
      <c r="K19" s="286"/>
      <c r="L19" s="286"/>
      <c r="M19" s="287"/>
      <c r="N19" s="288"/>
      <c r="O19" s="289"/>
    </row>
    <row r="20" spans="1:17" ht="28.5" customHeight="1">
      <c r="A20" s="200">
        <v>3</v>
      </c>
      <c r="B20" s="282" t="s">
        <v>5185</v>
      </c>
      <c r="C20" s="283"/>
      <c r="D20" s="283"/>
      <c r="E20" s="283"/>
      <c r="F20" s="283"/>
      <c r="G20" s="284"/>
      <c r="H20" s="201">
        <v>1</v>
      </c>
      <c r="I20" s="201" t="s">
        <v>1</v>
      </c>
      <c r="J20" s="290">
        <f>IFERROR(SUM(J21:M29),"-")</f>
        <v>82301.710125900005</v>
      </c>
      <c r="K20" s="291"/>
      <c r="L20" s="291"/>
      <c r="M20" s="292"/>
      <c r="N20" s="293"/>
      <c r="O20" s="294"/>
      <c r="P20" s="202"/>
    </row>
    <row r="21" spans="1:17" ht="28.5" customHeight="1">
      <c r="A21" s="199"/>
      <c r="B21" s="203"/>
      <c r="C21" s="295" t="s">
        <v>5186</v>
      </c>
      <c r="D21" s="296"/>
      <c r="E21" s="296"/>
      <c r="F21" s="296"/>
      <c r="G21" s="297"/>
      <c r="H21" s="233">
        <v>1</v>
      </c>
      <c r="I21" s="233" t="s">
        <v>1</v>
      </c>
      <c r="J21" s="298" t="str">
        <f>IFERROR(LOOKUP(2,1/('내역서(표준단가)'!S4:S1048576&lt;&gt;""),'내역서(표준단가)'!S4:S1048576)+LOOKUP(2,1/('내역서(표준단가)'!U4:U1048576&lt;&gt;""),'내역서(표준단가)'!U4:U1048576),"-")</f>
        <v>-</v>
      </c>
      <c r="K21" s="299"/>
      <c r="L21" s="299"/>
      <c r="M21" s="300"/>
      <c r="N21" s="301" t="s">
        <v>5187</v>
      </c>
      <c r="O21" s="302"/>
    </row>
    <row r="22" spans="1:17" ht="28.5" customHeight="1">
      <c r="A22" s="199"/>
      <c r="B22" s="203"/>
      <c r="C22" s="303" t="s">
        <v>5188</v>
      </c>
      <c r="D22" s="304"/>
      <c r="E22" s="304"/>
      <c r="F22" s="304"/>
      <c r="G22" s="305"/>
      <c r="H22" s="204">
        <v>2.93</v>
      </c>
      <c r="I22" s="204" t="s">
        <v>5189</v>
      </c>
      <c r="J22" s="306">
        <f>IFERROR((J18+J19)*H22%,"-")</f>
        <v>28337.670800000004</v>
      </c>
      <c r="K22" s="307"/>
      <c r="L22" s="307"/>
      <c r="M22" s="308"/>
      <c r="N22" s="309" t="s">
        <v>5190</v>
      </c>
      <c r="O22" s="310"/>
    </row>
    <row r="23" spans="1:17" ht="28.5" customHeight="1">
      <c r="A23" s="199"/>
      <c r="B23" s="203"/>
      <c r="C23" s="303" t="s">
        <v>5191</v>
      </c>
      <c r="D23" s="304"/>
      <c r="E23" s="304"/>
      <c r="F23" s="304"/>
      <c r="G23" s="305"/>
      <c r="H23" s="204">
        <v>3.56</v>
      </c>
      <c r="I23" s="204" t="s">
        <v>5192</v>
      </c>
      <c r="J23" s="306">
        <f>IFERROR(J19*H23%,"-")</f>
        <v>14694.113600000001</v>
      </c>
      <c r="K23" s="307"/>
      <c r="L23" s="307"/>
      <c r="M23" s="308"/>
      <c r="N23" s="309" t="s">
        <v>5193</v>
      </c>
      <c r="O23" s="310"/>
    </row>
    <row r="24" spans="1:17" ht="28.5" customHeight="1">
      <c r="A24" s="199"/>
      <c r="B24" s="203"/>
      <c r="C24" s="303" t="s">
        <v>5194</v>
      </c>
      <c r="D24" s="304"/>
      <c r="E24" s="304"/>
      <c r="F24" s="304"/>
      <c r="G24" s="305"/>
      <c r="H24" s="204">
        <v>1.01</v>
      </c>
      <c r="I24" s="204" t="s">
        <v>5192</v>
      </c>
      <c r="J24" s="306">
        <f>IFERROR(J19*H24%,"-")</f>
        <v>4168.8355999999994</v>
      </c>
      <c r="K24" s="307"/>
      <c r="L24" s="307"/>
      <c r="M24" s="308"/>
      <c r="N24" s="309" t="s">
        <v>5195</v>
      </c>
      <c r="O24" s="310"/>
    </row>
    <row r="25" spans="1:17" ht="28.5" customHeight="1">
      <c r="A25" s="199"/>
      <c r="B25" s="203"/>
      <c r="C25" s="303" t="s">
        <v>5196</v>
      </c>
      <c r="D25" s="304"/>
      <c r="E25" s="304"/>
      <c r="F25" s="304"/>
      <c r="G25" s="305"/>
      <c r="H25" s="205">
        <v>3.5449999999999999</v>
      </c>
      <c r="I25" s="204" t="s">
        <v>5192</v>
      </c>
      <c r="J25" s="306">
        <f>IFERROR(J19*H25%,"-")</f>
        <v>14632.200200000001</v>
      </c>
      <c r="K25" s="307"/>
      <c r="L25" s="307"/>
      <c r="M25" s="308"/>
      <c r="N25" s="309" t="s">
        <v>5197</v>
      </c>
      <c r="O25" s="310"/>
      <c r="Q25" s="202"/>
    </row>
    <row r="26" spans="1:17" ht="28.5" customHeight="1">
      <c r="A26" s="199"/>
      <c r="B26" s="203"/>
      <c r="C26" s="303" t="s">
        <v>5198</v>
      </c>
      <c r="D26" s="304"/>
      <c r="E26" s="304"/>
      <c r="F26" s="304"/>
      <c r="G26" s="305"/>
      <c r="H26" s="204">
        <v>4.5</v>
      </c>
      <c r="I26" s="204" t="s">
        <v>5192</v>
      </c>
      <c r="J26" s="306">
        <f>IFERROR(J19*H26%,"-")</f>
        <v>18574.02</v>
      </c>
      <c r="K26" s="307"/>
      <c r="L26" s="307"/>
      <c r="M26" s="308"/>
      <c r="N26" s="309" t="s">
        <v>5199</v>
      </c>
      <c r="O26" s="310"/>
      <c r="Q26" s="206"/>
    </row>
    <row r="27" spans="1:17" ht="28.5" customHeight="1">
      <c r="A27" s="199"/>
      <c r="B27" s="203"/>
      <c r="C27" s="311" t="s">
        <v>5200</v>
      </c>
      <c r="D27" s="312"/>
      <c r="E27" s="312"/>
      <c r="F27" s="312"/>
      <c r="G27" s="313"/>
      <c r="H27" s="207">
        <v>12.95</v>
      </c>
      <c r="I27" s="208" t="s">
        <v>5192</v>
      </c>
      <c r="J27" s="314">
        <f>IFERROR($H$27*J25%,"-")</f>
        <v>1894.8699258999998</v>
      </c>
      <c r="K27" s="315"/>
      <c r="L27" s="315"/>
      <c r="M27" s="316"/>
      <c r="N27" s="309" t="s">
        <v>5201</v>
      </c>
      <c r="O27" s="310"/>
    </row>
    <row r="28" spans="1:17" ht="28.5" customHeight="1">
      <c r="A28" s="199"/>
      <c r="B28" s="203"/>
      <c r="C28" s="311" t="s">
        <v>5202</v>
      </c>
      <c r="D28" s="312"/>
      <c r="E28" s="312"/>
      <c r="F28" s="312"/>
      <c r="G28" s="313"/>
      <c r="H28" s="207">
        <v>8.1000000000000003E-2</v>
      </c>
      <c r="I28" s="208" t="s">
        <v>5192</v>
      </c>
      <c r="J28" s="317" t="str">
        <f>IFERROR(IF(SUM(J21:J27,J18:J19)&gt;=10000000,SUM(J21:J27,J18:J19)*H28%,"-"),"-")</f>
        <v>-</v>
      </c>
      <c r="K28" s="318"/>
      <c r="L28" s="318"/>
      <c r="M28" s="319"/>
      <c r="N28" s="320" t="s">
        <v>5203</v>
      </c>
      <c r="O28" s="321"/>
    </row>
    <row r="29" spans="1:17" ht="28.5" customHeight="1">
      <c r="A29" s="209"/>
      <c r="B29" s="210"/>
      <c r="C29" s="322" t="s">
        <v>5204</v>
      </c>
      <c r="D29" s="323"/>
      <c r="E29" s="323"/>
      <c r="F29" s="323"/>
      <c r="G29" s="324"/>
      <c r="H29" s="211">
        <v>1</v>
      </c>
      <c r="I29" s="212" t="s">
        <v>5205</v>
      </c>
      <c r="J29" s="325">
        <f>34*0</f>
        <v>0</v>
      </c>
      <c r="K29" s="326"/>
      <c r="L29" s="326"/>
      <c r="M29" s="327"/>
      <c r="N29" s="328" t="s">
        <v>5206</v>
      </c>
      <c r="O29" s="329"/>
    </row>
    <row r="30" spans="1:17" ht="28.5" customHeight="1">
      <c r="A30" s="209">
        <v>4</v>
      </c>
      <c r="B30" s="210"/>
      <c r="C30" s="322" t="s">
        <v>5207</v>
      </c>
      <c r="D30" s="323"/>
      <c r="E30" s="323"/>
      <c r="F30" s="323"/>
      <c r="G30" s="324"/>
      <c r="H30" s="212">
        <v>5</v>
      </c>
      <c r="I30" s="213" t="s">
        <v>5208</v>
      </c>
      <c r="J30" s="335">
        <f>IFERROR(SUM(J18:M20)*H30%,"-")</f>
        <v>52472.88550629501</v>
      </c>
      <c r="K30" s="336"/>
      <c r="L30" s="336"/>
      <c r="M30" s="337"/>
      <c r="N30" s="293" t="s">
        <v>5209</v>
      </c>
      <c r="O30" s="294"/>
    </row>
    <row r="31" spans="1:17" ht="28.5" customHeight="1" thickBot="1">
      <c r="A31" s="209">
        <v>5</v>
      </c>
      <c r="B31" s="210"/>
      <c r="C31" s="322" t="s">
        <v>5210</v>
      </c>
      <c r="D31" s="323"/>
      <c r="E31" s="323"/>
      <c r="F31" s="323"/>
      <c r="G31" s="324"/>
      <c r="H31" s="212">
        <v>7.5</v>
      </c>
      <c r="I31" s="213" t="s">
        <v>5192</v>
      </c>
      <c r="J31" s="325">
        <f>IFERROR(SUM(J18:M20:J30)*H31%,"-")</f>
        <v>88817.422931857131</v>
      </c>
      <c r="K31" s="326"/>
      <c r="L31" s="326"/>
      <c r="M31" s="327"/>
      <c r="N31" s="338" t="s">
        <v>5211</v>
      </c>
      <c r="O31" s="339"/>
      <c r="Q31" s="214"/>
    </row>
    <row r="32" spans="1:17" ht="28.5" customHeight="1" thickBot="1">
      <c r="A32" s="330" t="s">
        <v>5212</v>
      </c>
      <c r="B32" s="331"/>
      <c r="C32" s="331"/>
      <c r="D32" s="331"/>
      <c r="E32" s="331"/>
      <c r="F32" s="331"/>
      <c r="G32" s="331"/>
      <c r="H32" s="331"/>
      <c r="I32" s="332"/>
      <c r="J32" s="215"/>
      <c r="K32" s="216"/>
      <c r="L32" s="216"/>
      <c r="M32" s="217">
        <f>IFERROR(ROUNDDOWN(SUM(J18:M20)+J30+J31,-3),"-")</f>
        <v>1190000</v>
      </c>
      <c r="N32" s="333"/>
      <c r="O32" s="334"/>
      <c r="P32" s="218"/>
    </row>
    <row r="33" spans="1:15">
      <c r="A33" s="219" t="s">
        <v>5213</v>
      </c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1"/>
    </row>
    <row r="34" spans="1:15">
      <c r="A34" s="222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1"/>
    </row>
    <row r="35" spans="1:15">
      <c r="A35" s="222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1"/>
    </row>
    <row r="36" spans="1:15">
      <c r="A36" s="222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1"/>
    </row>
    <row r="37" spans="1:15" ht="15.75">
      <c r="A37" s="222"/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4"/>
    </row>
    <row r="38" spans="1:15" ht="15.75">
      <c r="A38" s="222"/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4"/>
    </row>
    <row r="39" spans="1:15" ht="15.75">
      <c r="A39" s="222"/>
      <c r="B39" s="223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4"/>
    </row>
    <row r="40" spans="1:15" ht="15" thickBot="1">
      <c r="A40" s="225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7"/>
    </row>
    <row r="42" spans="1:15">
      <c r="M42" s="214"/>
    </row>
    <row r="43" spans="1:15">
      <c r="M43" s="214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filterMode="1"/>
  <dimension ref="A1:X3412"/>
  <sheetViews>
    <sheetView topLeftCell="J1" zoomScale="85" zoomScaleNormal="85" workbookViewId="0">
      <pane ySplit="5" topLeftCell="A6" activePane="bottomLeft" state="frozen"/>
      <selection activeCell="D31" sqref="D31"/>
      <selection pane="bottomLeft" activeCell="M2273" sqref="M2273"/>
    </sheetView>
  </sheetViews>
  <sheetFormatPr defaultRowHeight="12" customHeight="1"/>
  <cols>
    <col min="1" max="1" width="17.75" style="140" customWidth="1"/>
    <col min="2" max="8" width="17.75" style="140" hidden="1" customWidth="1"/>
    <col min="9" max="9" width="16.625" style="140" customWidth="1"/>
    <col min="10" max="10" width="22.375" style="142" customWidth="1"/>
    <col min="11" max="11" width="26" style="142" customWidth="1"/>
    <col min="12" max="12" width="6.125" style="143" customWidth="1"/>
    <col min="13" max="13" width="5.125" style="144" customWidth="1"/>
    <col min="14" max="14" width="11" style="138" customWidth="1"/>
    <col min="15" max="15" width="9.875" style="144" customWidth="1"/>
    <col min="16" max="16" width="11" style="144" customWidth="1"/>
    <col min="17" max="17" width="9.75" style="144" customWidth="1"/>
    <col min="18" max="21" width="11.75" style="140" hidden="1" customWidth="1"/>
    <col min="22" max="22" width="12.75" style="140" customWidth="1"/>
    <col min="23" max="23" width="11.75" style="146" customWidth="1"/>
    <col min="24" max="24" width="18.75" style="142" customWidth="1"/>
    <col min="25" max="16384" width="9" style="140"/>
  </cols>
  <sheetData>
    <row r="1" spans="1:24" s="111" customFormat="1" ht="12" customHeight="1">
      <c r="A1" s="107"/>
      <c r="B1" s="107"/>
      <c r="C1" s="107"/>
      <c r="D1" s="107"/>
      <c r="E1" s="107"/>
      <c r="F1" s="107"/>
      <c r="G1" s="107"/>
      <c r="H1" s="107"/>
      <c r="I1" s="107"/>
      <c r="J1" s="108"/>
      <c r="K1" s="108"/>
      <c r="L1" s="109"/>
      <c r="M1" s="110"/>
      <c r="N1" s="110"/>
      <c r="O1" s="110"/>
      <c r="P1" s="110"/>
      <c r="Q1" s="110"/>
      <c r="W1" s="112"/>
      <c r="X1" s="108"/>
    </row>
    <row r="2" spans="1:24" s="118" customFormat="1" ht="12" customHeight="1">
      <c r="A2" s="113"/>
      <c r="B2" s="113"/>
      <c r="C2" s="113"/>
      <c r="D2" s="113"/>
      <c r="E2" s="113"/>
      <c r="F2" s="113"/>
      <c r="G2" s="113"/>
      <c r="H2" s="113"/>
      <c r="I2" s="113"/>
      <c r="J2" s="114"/>
      <c r="K2" s="114"/>
      <c r="L2" s="115"/>
      <c r="M2" s="116"/>
      <c r="N2" s="110"/>
      <c r="O2" s="117" t="s">
        <v>3757</v>
      </c>
      <c r="Q2" s="117" t="s">
        <v>3757</v>
      </c>
      <c r="S2" s="117" t="s">
        <v>3757</v>
      </c>
      <c r="U2" s="117" t="s">
        <v>3757</v>
      </c>
      <c r="W2" s="119" t="s">
        <v>1504</v>
      </c>
    </row>
    <row r="3" spans="1:24" s="118" customFormat="1" ht="12" customHeight="1">
      <c r="A3" s="120" t="s">
        <v>3758</v>
      </c>
      <c r="B3" s="120"/>
      <c r="C3" s="120"/>
      <c r="D3" s="120"/>
      <c r="E3" s="120"/>
      <c r="F3" s="120"/>
      <c r="G3" s="120"/>
      <c r="H3" s="120"/>
      <c r="I3" s="120"/>
      <c r="J3" s="121" t="e">
        <f>#REF!</f>
        <v>#REF!</v>
      </c>
      <c r="K3" s="114"/>
      <c r="L3" s="115"/>
      <c r="M3" s="116"/>
      <c r="N3" s="110"/>
      <c r="O3" s="122">
        <v>0.83</v>
      </c>
      <c r="Q3" s="122">
        <v>0.4</v>
      </c>
      <c r="S3" s="122">
        <v>0.6</v>
      </c>
      <c r="U3" s="122">
        <v>0.6</v>
      </c>
      <c r="W3" s="122">
        <v>1</v>
      </c>
      <c r="X3" s="123" t="s">
        <v>1649</v>
      </c>
    </row>
    <row r="4" spans="1:24" s="130" customFormat="1" ht="12" customHeight="1">
      <c r="A4" s="341" t="s">
        <v>3759</v>
      </c>
      <c r="B4" s="124"/>
      <c r="C4" s="124"/>
      <c r="D4" s="124"/>
      <c r="E4" s="124"/>
      <c r="F4" s="124"/>
      <c r="G4" s="124"/>
      <c r="H4" s="124"/>
      <c r="I4" s="124"/>
      <c r="J4" s="125" t="s">
        <v>3760</v>
      </c>
      <c r="K4" s="125"/>
      <c r="L4" s="343" t="s">
        <v>3761</v>
      </c>
      <c r="M4" s="344" t="s">
        <v>3762</v>
      </c>
      <c r="N4" s="345" t="s">
        <v>3763</v>
      </c>
      <c r="O4" s="346"/>
      <c r="P4" s="345" t="s">
        <v>3764</v>
      </c>
      <c r="Q4" s="345"/>
      <c r="R4" s="340" t="s">
        <v>3765</v>
      </c>
      <c r="S4" s="340"/>
      <c r="T4" s="340" t="s">
        <v>3766</v>
      </c>
      <c r="U4" s="340"/>
      <c r="V4" s="341" t="s">
        <v>3767</v>
      </c>
      <c r="W4" s="342" t="s">
        <v>6</v>
      </c>
      <c r="X4" s="341"/>
    </row>
    <row r="5" spans="1:24" s="130" customFormat="1" ht="12" customHeight="1">
      <c r="A5" s="341"/>
      <c r="B5" s="124"/>
      <c r="C5" s="124"/>
      <c r="D5" s="124"/>
      <c r="E5" s="124"/>
      <c r="F5" s="124"/>
      <c r="G5" s="124"/>
      <c r="H5" s="124"/>
      <c r="I5" s="124"/>
      <c r="J5" s="126" t="s">
        <v>3768</v>
      </c>
      <c r="K5" s="126" t="s">
        <v>3769</v>
      </c>
      <c r="L5" s="343"/>
      <c r="M5" s="344"/>
      <c r="N5" s="127" t="s">
        <v>3770</v>
      </c>
      <c r="O5" s="128" t="s">
        <v>3771</v>
      </c>
      <c r="P5" s="127" t="s">
        <v>3772</v>
      </c>
      <c r="Q5" s="127" t="s">
        <v>3771</v>
      </c>
      <c r="R5" s="129" t="s">
        <v>3773</v>
      </c>
      <c r="S5" s="129" t="s">
        <v>3771</v>
      </c>
      <c r="T5" s="129" t="s">
        <v>3773</v>
      </c>
      <c r="U5" s="129" t="s">
        <v>3771</v>
      </c>
      <c r="V5" s="341"/>
      <c r="W5" s="124" t="s">
        <v>5218</v>
      </c>
      <c r="X5" s="131" t="s">
        <v>5</v>
      </c>
    </row>
    <row r="6" spans="1:24" s="66" customFormat="1" ht="12" customHeight="1">
      <c r="A6" s="155" t="s">
        <v>5144</v>
      </c>
      <c r="B6" s="155"/>
      <c r="C6" s="155"/>
      <c r="D6" s="155"/>
      <c r="E6" s="155"/>
      <c r="F6" s="155"/>
      <c r="G6" s="155"/>
      <c r="H6" s="155"/>
      <c r="I6" s="79" t="s">
        <v>5216</v>
      </c>
      <c r="J6" s="79" t="s">
        <v>5145</v>
      </c>
      <c r="K6" s="79" t="s">
        <v>5147</v>
      </c>
      <c r="L6" s="79" t="s">
        <v>20</v>
      </c>
      <c r="M6" s="80">
        <v>6</v>
      </c>
      <c r="N6" s="80">
        <v>70400</v>
      </c>
      <c r="O6" s="57">
        <f>M6*N6</f>
        <v>422400</v>
      </c>
      <c r="P6" s="77"/>
      <c r="Q6" s="73"/>
      <c r="R6" s="57"/>
      <c r="S6" s="57"/>
      <c r="T6" s="57"/>
      <c r="U6" s="57"/>
      <c r="V6" s="73">
        <f>SUM(O6+Q6+S6+U6)</f>
        <v>422400</v>
      </c>
      <c r="W6" s="106"/>
      <c r="X6" s="64" t="s">
        <v>5140</v>
      </c>
    </row>
    <row r="7" spans="1:24" s="66" customFormat="1" ht="12" customHeight="1">
      <c r="A7" s="89" t="s">
        <v>5144</v>
      </c>
      <c r="B7" s="89"/>
      <c r="C7" s="89"/>
      <c r="D7" s="89"/>
      <c r="E7" s="89"/>
      <c r="F7" s="89"/>
      <c r="G7" s="89"/>
      <c r="H7" s="89"/>
      <c r="I7" s="81" t="s">
        <v>5217</v>
      </c>
      <c r="J7" s="81" t="s">
        <v>5145</v>
      </c>
      <c r="K7" s="81" t="s">
        <v>5146</v>
      </c>
      <c r="L7" s="81" t="s">
        <v>20</v>
      </c>
      <c r="M7" s="73">
        <v>2</v>
      </c>
      <c r="N7" s="82">
        <v>66000</v>
      </c>
      <c r="O7" s="57">
        <f>M7*N7</f>
        <v>132000</v>
      </c>
      <c r="P7" s="77"/>
      <c r="Q7" s="73"/>
      <c r="R7" s="57"/>
      <c r="S7" s="57"/>
      <c r="T7" s="57"/>
      <c r="U7" s="57"/>
      <c r="V7" s="73">
        <f>SUM(O7+Q7+S7+U7)</f>
        <v>132000</v>
      </c>
      <c r="W7" s="106"/>
      <c r="X7" s="64" t="s">
        <v>5141</v>
      </c>
    </row>
    <row r="8" spans="1:24" s="66" customFormat="1" ht="12" hidden="1" customHeight="1">
      <c r="A8" s="74"/>
      <c r="B8" s="74"/>
      <c r="C8" s="74"/>
      <c r="D8" s="74"/>
      <c r="E8" s="74"/>
      <c r="F8" s="74"/>
      <c r="G8" s="74"/>
      <c r="H8" s="74"/>
      <c r="I8" s="75"/>
      <c r="J8" s="75"/>
      <c r="K8" s="74"/>
      <c r="L8" s="76"/>
      <c r="M8" s="57"/>
      <c r="N8" s="77"/>
      <c r="O8" s="57"/>
      <c r="P8" s="77"/>
      <c r="Q8" s="73"/>
      <c r="R8" s="57"/>
      <c r="S8" s="57"/>
      <c r="T8" s="57"/>
      <c r="U8" s="57"/>
      <c r="V8" s="73">
        <f t="shared" ref="V8:V74" si="0">SUM(O8+Q8)+S8+U8</f>
        <v>0</v>
      </c>
      <c r="W8" s="106"/>
      <c r="X8" s="64"/>
    </row>
    <row r="9" spans="1:24" s="66" customFormat="1" ht="12" hidden="1" customHeight="1">
      <c r="A9" s="74" t="s">
        <v>739</v>
      </c>
      <c r="B9" s="74"/>
      <c r="C9" s="74"/>
      <c r="D9" s="74"/>
      <c r="E9" s="74"/>
      <c r="F9" s="74"/>
      <c r="G9" s="74"/>
      <c r="H9" s="74"/>
      <c r="I9" s="75" t="s">
        <v>2193</v>
      </c>
      <c r="J9" s="75" t="s">
        <v>1143</v>
      </c>
      <c r="K9" s="74" t="s">
        <v>933</v>
      </c>
      <c r="L9" s="76" t="s">
        <v>977</v>
      </c>
      <c r="M9" s="57"/>
      <c r="N9" s="77">
        <v>290570</v>
      </c>
      <c r="O9" s="57">
        <f t="shared" ref="O9:O92" si="1">M9*N9*$O$3</f>
        <v>0</v>
      </c>
      <c r="P9" s="77">
        <v>1428992</v>
      </c>
      <c r="Q9" s="73">
        <f t="shared" ref="Q9:Q74" si="2">IF(W9="",M9*P9*$Q$3*$W$3,M9*P9*$Q$3*W9)</f>
        <v>0</v>
      </c>
      <c r="R9" s="57"/>
      <c r="S9" s="57"/>
      <c r="T9" s="57"/>
      <c r="U9" s="57"/>
      <c r="V9" s="73">
        <f t="shared" si="0"/>
        <v>0</v>
      </c>
      <c r="W9" s="106"/>
      <c r="X9" s="64"/>
    </row>
    <row r="10" spans="1:24" s="66" customFormat="1" ht="12" hidden="1" customHeight="1">
      <c r="A10" s="74" t="s">
        <v>740</v>
      </c>
      <c r="B10" s="74"/>
      <c r="C10" s="74"/>
      <c r="D10" s="74"/>
      <c r="E10" s="74"/>
      <c r="F10" s="74"/>
      <c r="G10" s="74"/>
      <c r="H10" s="74"/>
      <c r="I10" s="75" t="s">
        <v>2193</v>
      </c>
      <c r="J10" s="75" t="s">
        <v>1143</v>
      </c>
      <c r="K10" s="74" t="s">
        <v>934</v>
      </c>
      <c r="L10" s="76" t="s">
        <v>977</v>
      </c>
      <c r="M10" s="57"/>
      <c r="N10" s="77">
        <v>431180</v>
      </c>
      <c r="O10" s="57">
        <f t="shared" si="1"/>
        <v>0</v>
      </c>
      <c r="P10" s="77">
        <v>1428992</v>
      </c>
      <c r="Q10" s="73">
        <f t="shared" si="2"/>
        <v>0</v>
      </c>
      <c r="R10" s="57"/>
      <c r="S10" s="57"/>
      <c r="T10" s="57"/>
      <c r="U10" s="57"/>
      <c r="V10" s="73">
        <f t="shared" si="0"/>
        <v>0</v>
      </c>
      <c r="W10" s="106"/>
      <c r="X10" s="64"/>
    </row>
    <row r="11" spans="1:24" s="66" customFormat="1" ht="12" hidden="1" customHeight="1">
      <c r="A11" s="74" t="s">
        <v>741</v>
      </c>
      <c r="B11" s="74"/>
      <c r="C11" s="74"/>
      <c r="D11" s="74"/>
      <c r="E11" s="74"/>
      <c r="F11" s="74"/>
      <c r="G11" s="74"/>
      <c r="H11" s="74"/>
      <c r="I11" s="75" t="s">
        <v>2193</v>
      </c>
      <c r="J11" s="75" t="s">
        <v>1143</v>
      </c>
      <c r="K11" s="74" t="s">
        <v>935</v>
      </c>
      <c r="L11" s="76" t="s">
        <v>977</v>
      </c>
      <c r="M11" s="57"/>
      <c r="N11" s="77">
        <v>501590</v>
      </c>
      <c r="O11" s="57">
        <f t="shared" si="1"/>
        <v>0</v>
      </c>
      <c r="P11" s="77">
        <v>1428992</v>
      </c>
      <c r="Q11" s="73">
        <f t="shared" si="2"/>
        <v>0</v>
      </c>
      <c r="R11" s="57"/>
      <c r="S11" s="57"/>
      <c r="T11" s="57"/>
      <c r="U11" s="57"/>
      <c r="V11" s="73">
        <f t="shared" si="0"/>
        <v>0</v>
      </c>
      <c r="W11" s="106"/>
      <c r="X11" s="64"/>
    </row>
    <row r="12" spans="1:24" s="66" customFormat="1" ht="12" hidden="1" customHeight="1">
      <c r="A12" s="74" t="s">
        <v>742</v>
      </c>
      <c r="B12" s="74"/>
      <c r="C12" s="74"/>
      <c r="D12" s="74"/>
      <c r="E12" s="74"/>
      <c r="F12" s="74"/>
      <c r="G12" s="74"/>
      <c r="H12" s="74"/>
      <c r="I12" s="75" t="s">
        <v>2193</v>
      </c>
      <c r="J12" s="75" t="s">
        <v>1143</v>
      </c>
      <c r="K12" s="74" t="s">
        <v>936</v>
      </c>
      <c r="L12" s="76" t="s">
        <v>977</v>
      </c>
      <c r="M12" s="57"/>
      <c r="N12" s="77">
        <v>571890</v>
      </c>
      <c r="O12" s="57">
        <f t="shared" si="1"/>
        <v>0</v>
      </c>
      <c r="P12" s="77">
        <v>1428992</v>
      </c>
      <c r="Q12" s="73">
        <f t="shared" si="2"/>
        <v>0</v>
      </c>
      <c r="R12" s="57"/>
      <c r="S12" s="57"/>
      <c r="T12" s="57"/>
      <c r="U12" s="57"/>
      <c r="V12" s="73">
        <f t="shared" si="0"/>
        <v>0</v>
      </c>
      <c r="W12" s="106"/>
      <c r="X12" s="64"/>
    </row>
    <row r="13" spans="1:24" s="66" customFormat="1" ht="12" hidden="1" customHeight="1">
      <c r="A13" s="74" t="s">
        <v>743</v>
      </c>
      <c r="B13" s="74"/>
      <c r="C13" s="74"/>
      <c r="D13" s="74"/>
      <c r="E13" s="74"/>
      <c r="F13" s="74"/>
      <c r="G13" s="74"/>
      <c r="H13" s="74"/>
      <c r="I13" s="75" t="s">
        <v>2193</v>
      </c>
      <c r="J13" s="75" t="s">
        <v>1143</v>
      </c>
      <c r="K13" s="74" t="s">
        <v>937</v>
      </c>
      <c r="L13" s="76" t="s">
        <v>977</v>
      </c>
      <c r="M13" s="57"/>
      <c r="N13" s="77">
        <v>729390</v>
      </c>
      <c r="O13" s="57">
        <f t="shared" si="1"/>
        <v>0</v>
      </c>
      <c r="P13" s="77">
        <v>1428992</v>
      </c>
      <c r="Q13" s="73">
        <f t="shared" si="2"/>
        <v>0</v>
      </c>
      <c r="R13" s="57"/>
      <c r="S13" s="57"/>
      <c r="T13" s="57"/>
      <c r="U13" s="57"/>
      <c r="V13" s="73">
        <f t="shared" si="0"/>
        <v>0</v>
      </c>
      <c r="W13" s="106"/>
      <c r="X13" s="64"/>
    </row>
    <row r="14" spans="1:24" s="66" customFormat="1" ht="12" hidden="1" customHeight="1">
      <c r="A14" s="74" t="s">
        <v>744</v>
      </c>
      <c r="B14" s="74"/>
      <c r="C14" s="74"/>
      <c r="D14" s="74"/>
      <c r="E14" s="74"/>
      <c r="F14" s="74"/>
      <c r="G14" s="74"/>
      <c r="H14" s="74"/>
      <c r="I14" s="75" t="s">
        <v>2193</v>
      </c>
      <c r="J14" s="75" t="s">
        <v>1143</v>
      </c>
      <c r="K14" s="74" t="s">
        <v>938</v>
      </c>
      <c r="L14" s="76" t="s">
        <v>977</v>
      </c>
      <c r="M14" s="57"/>
      <c r="N14" s="77">
        <v>842600</v>
      </c>
      <c r="O14" s="57">
        <f t="shared" si="1"/>
        <v>0</v>
      </c>
      <c r="P14" s="77">
        <v>1428992</v>
      </c>
      <c r="Q14" s="73">
        <f t="shared" si="2"/>
        <v>0</v>
      </c>
      <c r="R14" s="57"/>
      <c r="S14" s="57"/>
      <c r="T14" s="57"/>
      <c r="U14" s="57"/>
      <c r="V14" s="73">
        <f t="shared" si="0"/>
        <v>0</v>
      </c>
      <c r="W14" s="106"/>
      <c r="X14" s="64"/>
    </row>
    <row r="15" spans="1:24" s="66" customFormat="1" ht="12" hidden="1" customHeight="1">
      <c r="A15" s="74" t="s">
        <v>745</v>
      </c>
      <c r="B15" s="74"/>
      <c r="C15" s="74"/>
      <c r="D15" s="74"/>
      <c r="E15" s="74"/>
      <c r="F15" s="74"/>
      <c r="G15" s="74"/>
      <c r="H15" s="74"/>
      <c r="I15" s="75" t="s">
        <v>2193</v>
      </c>
      <c r="J15" s="75" t="s">
        <v>1145</v>
      </c>
      <c r="K15" s="74" t="s">
        <v>911</v>
      </c>
      <c r="L15" s="76" t="s">
        <v>977</v>
      </c>
      <c r="M15" s="57"/>
      <c r="N15" s="77">
        <v>152400</v>
      </c>
      <c r="O15" s="57">
        <f t="shared" si="1"/>
        <v>0</v>
      </c>
      <c r="P15" s="77">
        <v>1428992</v>
      </c>
      <c r="Q15" s="73">
        <f t="shared" si="2"/>
        <v>0</v>
      </c>
      <c r="R15" s="57"/>
      <c r="S15" s="57"/>
      <c r="T15" s="57"/>
      <c r="U15" s="57"/>
      <c r="V15" s="73">
        <f t="shared" si="0"/>
        <v>0</v>
      </c>
      <c r="W15" s="106"/>
      <c r="X15" s="64"/>
    </row>
    <row r="16" spans="1:24" s="66" customFormat="1" ht="12" hidden="1" customHeight="1">
      <c r="A16" s="74" t="s">
        <v>746</v>
      </c>
      <c r="B16" s="74"/>
      <c r="C16" s="74"/>
      <c r="D16" s="74"/>
      <c r="E16" s="74"/>
      <c r="F16" s="74"/>
      <c r="G16" s="74"/>
      <c r="H16" s="74"/>
      <c r="I16" s="75" t="s">
        <v>2193</v>
      </c>
      <c r="J16" s="75" t="s">
        <v>1145</v>
      </c>
      <c r="K16" s="74" t="s">
        <v>912</v>
      </c>
      <c r="L16" s="76" t="s">
        <v>977</v>
      </c>
      <c r="M16" s="57"/>
      <c r="N16" s="77">
        <v>200720</v>
      </c>
      <c r="O16" s="57">
        <f t="shared" si="1"/>
        <v>0</v>
      </c>
      <c r="P16" s="77">
        <v>1428992</v>
      </c>
      <c r="Q16" s="73">
        <f t="shared" si="2"/>
        <v>0</v>
      </c>
      <c r="R16" s="57"/>
      <c r="S16" s="57"/>
      <c r="T16" s="57"/>
      <c r="U16" s="57"/>
      <c r="V16" s="73">
        <f t="shared" si="0"/>
        <v>0</v>
      </c>
      <c r="W16" s="106"/>
      <c r="X16" s="64"/>
    </row>
    <row r="17" spans="1:24" s="66" customFormat="1" ht="12" hidden="1" customHeight="1">
      <c r="A17" s="74" t="s">
        <v>747</v>
      </c>
      <c r="B17" s="74"/>
      <c r="C17" s="74"/>
      <c r="D17" s="74"/>
      <c r="E17" s="74"/>
      <c r="F17" s="74"/>
      <c r="G17" s="74"/>
      <c r="H17" s="74"/>
      <c r="I17" s="75" t="s">
        <v>2193</v>
      </c>
      <c r="J17" s="75" t="s">
        <v>1145</v>
      </c>
      <c r="K17" s="74" t="s">
        <v>913</v>
      </c>
      <c r="L17" s="76" t="s">
        <v>977</v>
      </c>
      <c r="M17" s="57"/>
      <c r="N17" s="77">
        <v>282710</v>
      </c>
      <c r="O17" s="57">
        <f t="shared" si="1"/>
        <v>0</v>
      </c>
      <c r="P17" s="77">
        <v>1428992</v>
      </c>
      <c r="Q17" s="73">
        <f t="shared" si="2"/>
        <v>0</v>
      </c>
      <c r="R17" s="57"/>
      <c r="S17" s="57"/>
      <c r="T17" s="57"/>
      <c r="U17" s="57"/>
      <c r="V17" s="73">
        <f t="shared" si="0"/>
        <v>0</v>
      </c>
      <c r="W17" s="106"/>
      <c r="X17" s="64"/>
    </row>
    <row r="18" spans="1:24" s="66" customFormat="1" ht="12" hidden="1" customHeight="1">
      <c r="A18" s="74" t="s">
        <v>748</v>
      </c>
      <c r="B18" s="74"/>
      <c r="C18" s="74"/>
      <c r="D18" s="74"/>
      <c r="E18" s="74"/>
      <c r="F18" s="74"/>
      <c r="G18" s="74"/>
      <c r="H18" s="74"/>
      <c r="I18" s="75" t="s">
        <v>2193</v>
      </c>
      <c r="J18" s="75" t="s">
        <v>1145</v>
      </c>
      <c r="K18" s="74" t="s">
        <v>914</v>
      </c>
      <c r="L18" s="76" t="s">
        <v>977</v>
      </c>
      <c r="M18" s="57"/>
      <c r="N18" s="77">
        <v>329650</v>
      </c>
      <c r="O18" s="57">
        <f t="shared" si="1"/>
        <v>0</v>
      </c>
      <c r="P18" s="77">
        <v>1428992</v>
      </c>
      <c r="Q18" s="73">
        <f t="shared" si="2"/>
        <v>0</v>
      </c>
      <c r="R18" s="57"/>
      <c r="S18" s="57"/>
      <c r="T18" s="57"/>
      <c r="U18" s="57"/>
      <c r="V18" s="73">
        <f t="shared" si="0"/>
        <v>0</v>
      </c>
      <c r="W18" s="106"/>
      <c r="X18" s="64"/>
    </row>
    <row r="19" spans="1:24" s="66" customFormat="1" ht="12" hidden="1" customHeight="1">
      <c r="A19" s="74" t="s">
        <v>749</v>
      </c>
      <c r="B19" s="74"/>
      <c r="C19" s="74"/>
      <c r="D19" s="74"/>
      <c r="E19" s="74"/>
      <c r="F19" s="74"/>
      <c r="G19" s="74"/>
      <c r="H19" s="74"/>
      <c r="I19" s="75" t="s">
        <v>2193</v>
      </c>
      <c r="J19" s="75" t="s">
        <v>1145</v>
      </c>
      <c r="K19" s="74" t="s">
        <v>915</v>
      </c>
      <c r="L19" s="76" t="s">
        <v>977</v>
      </c>
      <c r="M19" s="57"/>
      <c r="N19" s="77">
        <v>468980</v>
      </c>
      <c r="O19" s="57">
        <f t="shared" si="1"/>
        <v>0</v>
      </c>
      <c r="P19" s="77">
        <v>1428992</v>
      </c>
      <c r="Q19" s="73">
        <f t="shared" si="2"/>
        <v>0</v>
      </c>
      <c r="R19" s="57"/>
      <c r="S19" s="57"/>
      <c r="T19" s="57"/>
      <c r="U19" s="57"/>
      <c r="V19" s="73">
        <f t="shared" si="0"/>
        <v>0</v>
      </c>
      <c r="W19" s="106"/>
      <c r="X19" s="64"/>
    </row>
    <row r="20" spans="1:24" s="66" customFormat="1" ht="12" hidden="1" customHeight="1">
      <c r="A20" s="74" t="s">
        <v>750</v>
      </c>
      <c r="B20" s="74"/>
      <c r="C20" s="74"/>
      <c r="D20" s="74"/>
      <c r="E20" s="74"/>
      <c r="F20" s="74"/>
      <c r="G20" s="74"/>
      <c r="H20" s="74"/>
      <c r="I20" s="75" t="s">
        <v>2193</v>
      </c>
      <c r="J20" s="75" t="s">
        <v>1145</v>
      </c>
      <c r="K20" s="74" t="s">
        <v>916</v>
      </c>
      <c r="L20" s="76" t="s">
        <v>977</v>
      </c>
      <c r="M20" s="57"/>
      <c r="N20" s="77">
        <v>523150</v>
      </c>
      <c r="O20" s="57">
        <f t="shared" si="1"/>
        <v>0</v>
      </c>
      <c r="P20" s="77">
        <v>1428992</v>
      </c>
      <c r="Q20" s="73">
        <f t="shared" si="2"/>
        <v>0</v>
      </c>
      <c r="R20" s="57"/>
      <c r="S20" s="57"/>
      <c r="T20" s="57"/>
      <c r="U20" s="57"/>
      <c r="V20" s="73">
        <f t="shared" si="0"/>
        <v>0</v>
      </c>
      <c r="W20" s="106"/>
      <c r="X20" s="64"/>
    </row>
    <row r="21" spans="1:24" s="66" customFormat="1" ht="12" hidden="1" customHeight="1">
      <c r="A21" s="74" t="s">
        <v>751</v>
      </c>
      <c r="B21" s="74"/>
      <c r="C21" s="74"/>
      <c r="D21" s="74"/>
      <c r="E21" s="74"/>
      <c r="F21" s="74"/>
      <c r="G21" s="74"/>
      <c r="H21" s="74"/>
      <c r="I21" s="75" t="s">
        <v>2193</v>
      </c>
      <c r="J21" s="75" t="s">
        <v>1145</v>
      </c>
      <c r="K21" s="74" t="s">
        <v>918</v>
      </c>
      <c r="L21" s="76" t="s">
        <v>977</v>
      </c>
      <c r="M21" s="57"/>
      <c r="N21" s="77">
        <v>619790</v>
      </c>
      <c r="O21" s="57">
        <f t="shared" si="1"/>
        <v>0</v>
      </c>
      <c r="P21" s="77">
        <v>1428992</v>
      </c>
      <c r="Q21" s="73">
        <f t="shared" si="2"/>
        <v>0</v>
      </c>
      <c r="R21" s="57"/>
      <c r="S21" s="57"/>
      <c r="T21" s="57"/>
      <c r="U21" s="57"/>
      <c r="V21" s="73">
        <f t="shared" si="0"/>
        <v>0</v>
      </c>
      <c r="W21" s="106"/>
      <c r="X21" s="64"/>
    </row>
    <row r="22" spans="1:24" s="66" customFormat="1" ht="12" hidden="1" customHeight="1">
      <c r="A22" s="74" t="s">
        <v>721</v>
      </c>
      <c r="B22" s="74"/>
      <c r="C22" s="74"/>
      <c r="D22" s="74"/>
      <c r="E22" s="74"/>
      <c r="F22" s="74"/>
      <c r="G22" s="74"/>
      <c r="H22" s="74"/>
      <c r="I22" s="75" t="s">
        <v>2193</v>
      </c>
      <c r="J22" s="75" t="s">
        <v>1144</v>
      </c>
      <c r="K22" s="74" t="s">
        <v>932</v>
      </c>
      <c r="L22" s="76" t="s">
        <v>977</v>
      </c>
      <c r="M22" s="57"/>
      <c r="N22" s="77">
        <v>108750</v>
      </c>
      <c r="O22" s="57">
        <f t="shared" si="1"/>
        <v>0</v>
      </c>
      <c r="P22" s="77">
        <v>1428992</v>
      </c>
      <c r="Q22" s="73">
        <f t="shared" si="2"/>
        <v>0</v>
      </c>
      <c r="R22" s="57"/>
      <c r="S22" s="57"/>
      <c r="T22" s="57"/>
      <c r="U22" s="57"/>
      <c r="V22" s="73">
        <f t="shared" si="0"/>
        <v>0</v>
      </c>
      <c r="W22" s="106"/>
      <c r="X22" s="64"/>
    </row>
    <row r="23" spans="1:24" s="66" customFormat="1" ht="12" hidden="1" customHeight="1">
      <c r="A23" s="74" t="s">
        <v>722</v>
      </c>
      <c r="B23" s="74"/>
      <c r="C23" s="74"/>
      <c r="D23" s="74"/>
      <c r="E23" s="74"/>
      <c r="F23" s="74"/>
      <c r="G23" s="74"/>
      <c r="H23" s="74"/>
      <c r="I23" s="75" t="s">
        <v>2193</v>
      </c>
      <c r="J23" s="75" t="s">
        <v>1144</v>
      </c>
      <c r="K23" s="74" t="s">
        <v>915</v>
      </c>
      <c r="L23" s="76" t="s">
        <v>977</v>
      </c>
      <c r="M23" s="57"/>
      <c r="N23" s="77">
        <v>119480</v>
      </c>
      <c r="O23" s="57">
        <f t="shared" si="1"/>
        <v>0</v>
      </c>
      <c r="P23" s="77">
        <v>1428992</v>
      </c>
      <c r="Q23" s="73">
        <f t="shared" si="2"/>
        <v>0</v>
      </c>
      <c r="R23" s="57"/>
      <c r="S23" s="57"/>
      <c r="T23" s="57"/>
      <c r="U23" s="57"/>
      <c r="V23" s="73">
        <f t="shared" si="0"/>
        <v>0</v>
      </c>
      <c r="W23" s="106"/>
      <c r="X23" s="64"/>
    </row>
    <row r="24" spans="1:24" s="66" customFormat="1" ht="12" hidden="1" customHeight="1">
      <c r="A24" s="74" t="s">
        <v>723</v>
      </c>
      <c r="B24" s="74"/>
      <c r="C24" s="74"/>
      <c r="D24" s="74"/>
      <c r="E24" s="74"/>
      <c r="F24" s="74"/>
      <c r="G24" s="74"/>
      <c r="H24" s="74"/>
      <c r="I24" s="75" t="s">
        <v>2193</v>
      </c>
      <c r="J24" s="75" t="s">
        <v>1144</v>
      </c>
      <c r="K24" s="74" t="s">
        <v>916</v>
      </c>
      <c r="L24" s="76" t="s">
        <v>977</v>
      </c>
      <c r="M24" s="57"/>
      <c r="N24" s="77">
        <v>142740</v>
      </c>
      <c r="O24" s="57">
        <f t="shared" si="1"/>
        <v>0</v>
      </c>
      <c r="P24" s="77">
        <v>1428992</v>
      </c>
      <c r="Q24" s="73">
        <f t="shared" si="2"/>
        <v>0</v>
      </c>
      <c r="R24" s="57"/>
      <c r="S24" s="57"/>
      <c r="T24" s="57"/>
      <c r="U24" s="57"/>
      <c r="V24" s="73">
        <f t="shared" si="0"/>
        <v>0</v>
      </c>
      <c r="W24" s="106"/>
      <c r="X24" s="64"/>
    </row>
    <row r="25" spans="1:24" s="66" customFormat="1" ht="12" hidden="1" customHeight="1">
      <c r="A25" s="74" t="s">
        <v>724</v>
      </c>
      <c r="B25" s="74"/>
      <c r="C25" s="74"/>
      <c r="D25" s="74"/>
      <c r="E25" s="74"/>
      <c r="F25" s="74"/>
      <c r="G25" s="74"/>
      <c r="H25" s="74"/>
      <c r="I25" s="75" t="s">
        <v>2193</v>
      </c>
      <c r="J25" s="75" t="s">
        <v>1144</v>
      </c>
      <c r="K25" s="74" t="s">
        <v>917</v>
      </c>
      <c r="L25" s="76" t="s">
        <v>977</v>
      </c>
      <c r="M25" s="57"/>
      <c r="N25" s="77">
        <v>178420</v>
      </c>
      <c r="O25" s="57">
        <f t="shared" si="1"/>
        <v>0</v>
      </c>
      <c r="P25" s="77">
        <v>1428992</v>
      </c>
      <c r="Q25" s="73">
        <f t="shared" si="2"/>
        <v>0</v>
      </c>
      <c r="R25" s="57"/>
      <c r="S25" s="57"/>
      <c r="T25" s="57"/>
      <c r="U25" s="57"/>
      <c r="V25" s="73">
        <f t="shared" si="0"/>
        <v>0</v>
      </c>
      <c r="W25" s="106"/>
      <c r="X25" s="64"/>
    </row>
    <row r="26" spans="1:24" s="66" customFormat="1" ht="12" hidden="1" customHeight="1">
      <c r="A26" s="74" t="s">
        <v>725</v>
      </c>
      <c r="B26" s="74"/>
      <c r="C26" s="74"/>
      <c r="D26" s="74"/>
      <c r="E26" s="74"/>
      <c r="F26" s="74"/>
      <c r="G26" s="74"/>
      <c r="H26" s="74"/>
      <c r="I26" s="75" t="s">
        <v>2193</v>
      </c>
      <c r="J26" s="75" t="s">
        <v>1144</v>
      </c>
      <c r="K26" s="74" t="s">
        <v>918</v>
      </c>
      <c r="L26" s="76" t="s">
        <v>977</v>
      </c>
      <c r="M26" s="57"/>
      <c r="N26" s="77">
        <v>210490</v>
      </c>
      <c r="O26" s="57">
        <f t="shared" si="1"/>
        <v>0</v>
      </c>
      <c r="P26" s="77">
        <v>1428992</v>
      </c>
      <c r="Q26" s="73">
        <f t="shared" si="2"/>
        <v>0</v>
      </c>
      <c r="R26" s="57"/>
      <c r="S26" s="57"/>
      <c r="T26" s="57"/>
      <c r="U26" s="57"/>
      <c r="V26" s="73">
        <f t="shared" si="0"/>
        <v>0</v>
      </c>
      <c r="W26" s="106"/>
      <c r="X26" s="64"/>
    </row>
    <row r="27" spans="1:24" s="66" customFormat="1" ht="12" hidden="1" customHeight="1">
      <c r="A27" s="74" t="s">
        <v>726</v>
      </c>
      <c r="B27" s="74"/>
      <c r="C27" s="74"/>
      <c r="D27" s="74"/>
      <c r="E27" s="74"/>
      <c r="F27" s="74"/>
      <c r="G27" s="74"/>
      <c r="H27" s="74"/>
      <c r="I27" s="75" t="s">
        <v>2193</v>
      </c>
      <c r="J27" s="75" t="s">
        <v>1144</v>
      </c>
      <c r="K27" s="74" t="s">
        <v>919</v>
      </c>
      <c r="L27" s="76" t="s">
        <v>977</v>
      </c>
      <c r="M27" s="57"/>
      <c r="N27" s="77">
        <v>46310</v>
      </c>
      <c r="O27" s="57">
        <f t="shared" si="1"/>
        <v>0</v>
      </c>
      <c r="P27" s="77">
        <v>1428992</v>
      </c>
      <c r="Q27" s="73">
        <f t="shared" si="2"/>
        <v>0</v>
      </c>
      <c r="R27" s="57"/>
      <c r="S27" s="57"/>
      <c r="T27" s="57"/>
      <c r="U27" s="57"/>
      <c r="V27" s="73">
        <f t="shared" si="0"/>
        <v>0</v>
      </c>
      <c r="W27" s="106"/>
      <c r="X27" s="64"/>
    </row>
    <row r="28" spans="1:24" s="66" customFormat="1" ht="12" hidden="1" customHeight="1">
      <c r="A28" s="74" t="s">
        <v>727</v>
      </c>
      <c r="B28" s="74"/>
      <c r="C28" s="74"/>
      <c r="D28" s="74"/>
      <c r="E28" s="74"/>
      <c r="F28" s="74"/>
      <c r="G28" s="74"/>
      <c r="H28" s="74"/>
      <c r="I28" s="75" t="s">
        <v>2193</v>
      </c>
      <c r="J28" s="75" t="s">
        <v>1144</v>
      </c>
      <c r="K28" s="74" t="s">
        <v>920</v>
      </c>
      <c r="L28" s="76" t="s">
        <v>977</v>
      </c>
      <c r="M28" s="57"/>
      <c r="N28" s="77">
        <v>46310</v>
      </c>
      <c r="O28" s="57">
        <f t="shared" si="1"/>
        <v>0</v>
      </c>
      <c r="P28" s="77">
        <v>1428992</v>
      </c>
      <c r="Q28" s="73">
        <f t="shared" si="2"/>
        <v>0</v>
      </c>
      <c r="R28" s="57"/>
      <c r="S28" s="57"/>
      <c r="T28" s="57"/>
      <c r="U28" s="57"/>
      <c r="V28" s="73">
        <f t="shared" si="0"/>
        <v>0</v>
      </c>
      <c r="W28" s="106"/>
      <c r="X28" s="64"/>
    </row>
    <row r="29" spans="1:24" s="66" customFormat="1" ht="12" hidden="1" customHeight="1">
      <c r="A29" s="74" t="s">
        <v>728</v>
      </c>
      <c r="B29" s="74"/>
      <c r="C29" s="74"/>
      <c r="D29" s="74"/>
      <c r="E29" s="74"/>
      <c r="F29" s="74"/>
      <c r="G29" s="74"/>
      <c r="H29" s="74"/>
      <c r="I29" s="75" t="s">
        <v>2193</v>
      </c>
      <c r="J29" s="75" t="s">
        <v>1144</v>
      </c>
      <c r="K29" s="74" t="s">
        <v>921</v>
      </c>
      <c r="L29" s="76" t="s">
        <v>977</v>
      </c>
      <c r="M29" s="57"/>
      <c r="N29" s="77">
        <v>46310</v>
      </c>
      <c r="O29" s="57">
        <f t="shared" si="1"/>
        <v>0</v>
      </c>
      <c r="P29" s="77">
        <v>1428992</v>
      </c>
      <c r="Q29" s="73">
        <f t="shared" si="2"/>
        <v>0</v>
      </c>
      <c r="R29" s="57"/>
      <c r="S29" s="57"/>
      <c r="T29" s="57"/>
      <c r="U29" s="57"/>
      <c r="V29" s="73">
        <f t="shared" si="0"/>
        <v>0</v>
      </c>
      <c r="W29" s="106"/>
      <c r="X29" s="64"/>
    </row>
    <row r="30" spans="1:24" s="66" customFormat="1" ht="12" hidden="1" customHeight="1">
      <c r="A30" s="74" t="s">
        <v>729</v>
      </c>
      <c r="B30" s="74"/>
      <c r="C30" s="74"/>
      <c r="D30" s="74"/>
      <c r="E30" s="74"/>
      <c r="F30" s="74"/>
      <c r="G30" s="74"/>
      <c r="H30" s="74"/>
      <c r="I30" s="75" t="s">
        <v>2193</v>
      </c>
      <c r="J30" s="75" t="s">
        <v>1144</v>
      </c>
      <c r="K30" s="74" t="s">
        <v>922</v>
      </c>
      <c r="L30" s="76" t="s">
        <v>977</v>
      </c>
      <c r="M30" s="57"/>
      <c r="N30" s="77">
        <v>46310</v>
      </c>
      <c r="O30" s="57">
        <f t="shared" si="1"/>
        <v>0</v>
      </c>
      <c r="P30" s="77">
        <v>1428992</v>
      </c>
      <c r="Q30" s="73">
        <f t="shared" si="2"/>
        <v>0</v>
      </c>
      <c r="R30" s="57"/>
      <c r="S30" s="57"/>
      <c r="T30" s="57"/>
      <c r="U30" s="57"/>
      <c r="V30" s="73">
        <f t="shared" si="0"/>
        <v>0</v>
      </c>
      <c r="W30" s="106"/>
      <c r="X30" s="64"/>
    </row>
    <row r="31" spans="1:24" s="66" customFormat="1" ht="12" hidden="1" customHeight="1">
      <c r="A31" s="74" t="s">
        <v>730</v>
      </c>
      <c r="B31" s="74"/>
      <c r="C31" s="74"/>
      <c r="D31" s="74"/>
      <c r="E31" s="74"/>
      <c r="F31" s="74"/>
      <c r="G31" s="74"/>
      <c r="H31" s="74"/>
      <c r="I31" s="75" t="s">
        <v>2193</v>
      </c>
      <c r="J31" s="75" t="s">
        <v>1144</v>
      </c>
      <c r="K31" s="74" t="s">
        <v>923</v>
      </c>
      <c r="L31" s="76" t="s">
        <v>977</v>
      </c>
      <c r="M31" s="57"/>
      <c r="N31" s="77">
        <v>57030</v>
      </c>
      <c r="O31" s="57">
        <f t="shared" si="1"/>
        <v>0</v>
      </c>
      <c r="P31" s="77">
        <v>1428992</v>
      </c>
      <c r="Q31" s="73">
        <f t="shared" si="2"/>
        <v>0</v>
      </c>
      <c r="R31" s="57"/>
      <c r="S31" s="57"/>
      <c r="T31" s="57"/>
      <c r="U31" s="57"/>
      <c r="V31" s="73">
        <f t="shared" si="0"/>
        <v>0</v>
      </c>
      <c r="W31" s="106"/>
      <c r="X31" s="64"/>
    </row>
    <row r="32" spans="1:24" s="66" customFormat="1" ht="12" hidden="1" customHeight="1">
      <c r="A32" s="74" t="s">
        <v>731</v>
      </c>
      <c r="B32" s="74"/>
      <c r="C32" s="74"/>
      <c r="D32" s="74"/>
      <c r="E32" s="74"/>
      <c r="F32" s="74"/>
      <c r="G32" s="74"/>
      <c r="H32" s="74"/>
      <c r="I32" s="75" t="s">
        <v>2193</v>
      </c>
      <c r="J32" s="75" t="s">
        <v>1144</v>
      </c>
      <c r="K32" s="74" t="s">
        <v>924</v>
      </c>
      <c r="L32" s="76" t="s">
        <v>977</v>
      </c>
      <c r="M32" s="57"/>
      <c r="N32" s="77">
        <v>57030</v>
      </c>
      <c r="O32" s="57">
        <f t="shared" si="1"/>
        <v>0</v>
      </c>
      <c r="P32" s="77">
        <v>1428992</v>
      </c>
      <c r="Q32" s="73">
        <f t="shared" si="2"/>
        <v>0</v>
      </c>
      <c r="R32" s="57"/>
      <c r="S32" s="57"/>
      <c r="T32" s="57"/>
      <c r="U32" s="57"/>
      <c r="V32" s="73">
        <f t="shared" si="0"/>
        <v>0</v>
      </c>
      <c r="W32" s="106"/>
      <c r="X32" s="64"/>
    </row>
    <row r="33" spans="1:24" s="66" customFormat="1" ht="12" hidden="1" customHeight="1">
      <c r="A33" s="74" t="s">
        <v>732</v>
      </c>
      <c r="B33" s="74"/>
      <c r="C33" s="74"/>
      <c r="D33" s="74"/>
      <c r="E33" s="74"/>
      <c r="F33" s="74"/>
      <c r="G33" s="74"/>
      <c r="H33" s="74"/>
      <c r="I33" s="75" t="s">
        <v>2193</v>
      </c>
      <c r="J33" s="75" t="s">
        <v>1144</v>
      </c>
      <c r="K33" s="74" t="s">
        <v>925</v>
      </c>
      <c r="L33" s="76" t="s">
        <v>977</v>
      </c>
      <c r="M33" s="57"/>
      <c r="N33" s="77">
        <v>60650</v>
      </c>
      <c r="O33" s="57">
        <f t="shared" si="1"/>
        <v>0</v>
      </c>
      <c r="P33" s="77">
        <v>1428992</v>
      </c>
      <c r="Q33" s="73">
        <f t="shared" si="2"/>
        <v>0</v>
      </c>
      <c r="R33" s="57"/>
      <c r="S33" s="57"/>
      <c r="T33" s="57"/>
      <c r="U33" s="57"/>
      <c r="V33" s="73">
        <f t="shared" si="0"/>
        <v>0</v>
      </c>
      <c r="W33" s="106"/>
      <c r="X33" s="64"/>
    </row>
    <row r="34" spans="1:24" s="66" customFormat="1" ht="12" hidden="1" customHeight="1">
      <c r="A34" s="74" t="s">
        <v>733</v>
      </c>
      <c r="B34" s="74"/>
      <c r="C34" s="74"/>
      <c r="D34" s="74"/>
      <c r="E34" s="74"/>
      <c r="F34" s="74"/>
      <c r="G34" s="74"/>
      <c r="H34" s="74"/>
      <c r="I34" s="75" t="s">
        <v>2193</v>
      </c>
      <c r="J34" s="75" t="s">
        <v>1144</v>
      </c>
      <c r="K34" s="74" t="s">
        <v>926</v>
      </c>
      <c r="L34" s="76" t="s">
        <v>977</v>
      </c>
      <c r="M34" s="57"/>
      <c r="N34" s="77">
        <v>60650</v>
      </c>
      <c r="O34" s="57">
        <f t="shared" si="1"/>
        <v>0</v>
      </c>
      <c r="P34" s="77">
        <v>1428992</v>
      </c>
      <c r="Q34" s="73">
        <f t="shared" si="2"/>
        <v>0</v>
      </c>
      <c r="R34" s="57"/>
      <c r="S34" s="57"/>
      <c r="T34" s="57"/>
      <c r="U34" s="57"/>
      <c r="V34" s="73">
        <f t="shared" si="0"/>
        <v>0</v>
      </c>
      <c r="W34" s="106"/>
      <c r="X34" s="64"/>
    </row>
    <row r="35" spans="1:24" s="66" customFormat="1" ht="12" hidden="1" customHeight="1">
      <c r="A35" s="74" t="s">
        <v>734</v>
      </c>
      <c r="B35" s="74"/>
      <c r="C35" s="74"/>
      <c r="D35" s="74"/>
      <c r="E35" s="74"/>
      <c r="F35" s="74"/>
      <c r="G35" s="74"/>
      <c r="H35" s="74"/>
      <c r="I35" s="75" t="s">
        <v>2193</v>
      </c>
      <c r="J35" s="75" t="s">
        <v>1144</v>
      </c>
      <c r="K35" s="74" t="s">
        <v>927</v>
      </c>
      <c r="L35" s="76" t="s">
        <v>977</v>
      </c>
      <c r="M35" s="57"/>
      <c r="N35" s="77">
        <v>60650</v>
      </c>
      <c r="O35" s="57">
        <f t="shared" si="1"/>
        <v>0</v>
      </c>
      <c r="P35" s="77">
        <v>1428992</v>
      </c>
      <c r="Q35" s="73">
        <f t="shared" si="2"/>
        <v>0</v>
      </c>
      <c r="R35" s="57"/>
      <c r="S35" s="57"/>
      <c r="T35" s="57"/>
      <c r="U35" s="57"/>
      <c r="V35" s="73">
        <f t="shared" si="0"/>
        <v>0</v>
      </c>
      <c r="W35" s="106"/>
      <c r="X35" s="64"/>
    </row>
    <row r="36" spans="1:24" s="66" customFormat="1" ht="12" hidden="1" customHeight="1">
      <c r="A36" s="74" t="s">
        <v>735</v>
      </c>
      <c r="B36" s="74"/>
      <c r="C36" s="74"/>
      <c r="D36" s="74"/>
      <c r="E36" s="74"/>
      <c r="F36" s="74"/>
      <c r="G36" s="74"/>
      <c r="H36" s="74"/>
      <c r="I36" s="75" t="s">
        <v>2193</v>
      </c>
      <c r="J36" s="75" t="s">
        <v>1144</v>
      </c>
      <c r="K36" s="74" t="s">
        <v>928</v>
      </c>
      <c r="L36" s="76" t="s">
        <v>977</v>
      </c>
      <c r="M36" s="57"/>
      <c r="N36" s="77">
        <v>60650</v>
      </c>
      <c r="O36" s="57">
        <f t="shared" si="1"/>
        <v>0</v>
      </c>
      <c r="P36" s="77">
        <v>1428992</v>
      </c>
      <c r="Q36" s="73">
        <f t="shared" si="2"/>
        <v>0</v>
      </c>
      <c r="R36" s="57"/>
      <c r="S36" s="57"/>
      <c r="T36" s="57"/>
      <c r="U36" s="57"/>
      <c r="V36" s="73">
        <f t="shared" si="0"/>
        <v>0</v>
      </c>
      <c r="W36" s="106"/>
      <c r="X36" s="64"/>
    </row>
    <row r="37" spans="1:24" s="66" customFormat="1" ht="12" hidden="1" customHeight="1">
      <c r="A37" s="74" t="s">
        <v>736</v>
      </c>
      <c r="B37" s="74"/>
      <c r="C37" s="74"/>
      <c r="D37" s="74"/>
      <c r="E37" s="74"/>
      <c r="F37" s="74"/>
      <c r="G37" s="74"/>
      <c r="H37" s="74"/>
      <c r="I37" s="75" t="s">
        <v>2193</v>
      </c>
      <c r="J37" s="75" t="s">
        <v>1144</v>
      </c>
      <c r="K37" s="74" t="s">
        <v>929</v>
      </c>
      <c r="L37" s="76" t="s">
        <v>977</v>
      </c>
      <c r="M37" s="57"/>
      <c r="N37" s="77">
        <v>81140</v>
      </c>
      <c r="O37" s="57">
        <f t="shared" si="1"/>
        <v>0</v>
      </c>
      <c r="P37" s="77">
        <v>1428992</v>
      </c>
      <c r="Q37" s="73">
        <f t="shared" si="2"/>
        <v>0</v>
      </c>
      <c r="R37" s="57"/>
      <c r="S37" s="57"/>
      <c r="T37" s="57"/>
      <c r="U37" s="57"/>
      <c r="V37" s="73">
        <f t="shared" si="0"/>
        <v>0</v>
      </c>
      <c r="W37" s="106"/>
      <c r="X37" s="64"/>
    </row>
    <row r="38" spans="1:24" s="66" customFormat="1" ht="12" hidden="1" customHeight="1">
      <c r="A38" s="74" t="s">
        <v>737</v>
      </c>
      <c r="B38" s="74"/>
      <c r="C38" s="74"/>
      <c r="D38" s="74"/>
      <c r="E38" s="74"/>
      <c r="F38" s="74"/>
      <c r="G38" s="74"/>
      <c r="H38" s="74"/>
      <c r="I38" s="75" t="s">
        <v>2193</v>
      </c>
      <c r="J38" s="75" t="s">
        <v>1144</v>
      </c>
      <c r="K38" s="74" t="s">
        <v>930</v>
      </c>
      <c r="L38" s="76" t="s">
        <v>977</v>
      </c>
      <c r="M38" s="57"/>
      <c r="N38" s="77">
        <v>81140</v>
      </c>
      <c r="O38" s="57">
        <f t="shared" si="1"/>
        <v>0</v>
      </c>
      <c r="P38" s="77">
        <v>1428992</v>
      </c>
      <c r="Q38" s="73">
        <f t="shared" si="2"/>
        <v>0</v>
      </c>
      <c r="R38" s="57"/>
      <c r="S38" s="57"/>
      <c r="T38" s="57"/>
      <c r="U38" s="57"/>
      <c r="V38" s="73">
        <f t="shared" si="0"/>
        <v>0</v>
      </c>
      <c r="W38" s="106"/>
      <c r="X38" s="64"/>
    </row>
    <row r="39" spans="1:24" s="66" customFormat="1" ht="12" hidden="1" customHeight="1">
      <c r="A39" s="74" t="s">
        <v>738</v>
      </c>
      <c r="B39" s="74"/>
      <c r="C39" s="74"/>
      <c r="D39" s="74"/>
      <c r="E39" s="74"/>
      <c r="F39" s="74"/>
      <c r="G39" s="74"/>
      <c r="H39" s="74"/>
      <c r="I39" s="75" t="s">
        <v>2193</v>
      </c>
      <c r="J39" s="75" t="s">
        <v>1144</v>
      </c>
      <c r="K39" s="74" t="s">
        <v>931</v>
      </c>
      <c r="L39" s="76" t="s">
        <v>977</v>
      </c>
      <c r="M39" s="57"/>
      <c r="N39" s="77">
        <v>71370</v>
      </c>
      <c r="O39" s="57">
        <f t="shared" si="1"/>
        <v>0</v>
      </c>
      <c r="P39" s="77">
        <v>1428992</v>
      </c>
      <c r="Q39" s="73">
        <f t="shared" si="2"/>
        <v>0</v>
      </c>
      <c r="R39" s="57"/>
      <c r="S39" s="57"/>
      <c r="T39" s="57"/>
      <c r="U39" s="57"/>
      <c r="V39" s="73">
        <f t="shared" si="0"/>
        <v>0</v>
      </c>
      <c r="W39" s="106"/>
      <c r="X39" s="64"/>
    </row>
    <row r="40" spans="1:24" s="66" customFormat="1" ht="12" hidden="1" customHeight="1">
      <c r="A40" s="74" t="s">
        <v>4219</v>
      </c>
      <c r="B40" s="74"/>
      <c r="C40" s="74"/>
      <c r="D40" s="74"/>
      <c r="E40" s="74"/>
      <c r="F40" s="74"/>
      <c r="G40" s="74"/>
      <c r="H40" s="74"/>
      <c r="I40" s="75" t="s">
        <v>2107</v>
      </c>
      <c r="J40" s="75" t="s">
        <v>1240</v>
      </c>
      <c r="K40" s="74" t="s">
        <v>4224</v>
      </c>
      <c r="L40" s="76" t="s">
        <v>20</v>
      </c>
      <c r="M40" s="57"/>
      <c r="N40" s="77">
        <v>2017800</v>
      </c>
      <c r="O40" s="57">
        <f t="shared" si="1"/>
        <v>0</v>
      </c>
      <c r="P40" s="77">
        <v>139908</v>
      </c>
      <c r="Q40" s="73">
        <f t="shared" si="2"/>
        <v>0</v>
      </c>
      <c r="R40" s="57"/>
      <c r="S40" s="57"/>
      <c r="T40" s="57"/>
      <c r="U40" s="57"/>
      <c r="V40" s="73">
        <f t="shared" si="0"/>
        <v>0</v>
      </c>
      <c r="W40" s="106"/>
      <c r="X40" s="64"/>
    </row>
    <row r="41" spans="1:24" s="66" customFormat="1" ht="12" hidden="1" customHeight="1">
      <c r="A41" s="74" t="s">
        <v>4220</v>
      </c>
      <c r="B41" s="74"/>
      <c r="C41" s="74"/>
      <c r="D41" s="74"/>
      <c r="E41" s="74"/>
      <c r="F41" s="74"/>
      <c r="G41" s="74"/>
      <c r="H41" s="74"/>
      <c r="I41" s="75" t="s">
        <v>2107</v>
      </c>
      <c r="J41" s="75" t="s">
        <v>1240</v>
      </c>
      <c r="K41" s="74" t="s">
        <v>4225</v>
      </c>
      <c r="L41" s="76" t="s">
        <v>20</v>
      </c>
      <c r="M41" s="57"/>
      <c r="N41" s="77">
        <v>2230200</v>
      </c>
      <c r="O41" s="57">
        <f t="shared" si="1"/>
        <v>0</v>
      </c>
      <c r="P41" s="77">
        <v>139908</v>
      </c>
      <c r="Q41" s="73">
        <f t="shared" si="2"/>
        <v>0</v>
      </c>
      <c r="R41" s="57"/>
      <c r="S41" s="57"/>
      <c r="T41" s="57"/>
      <c r="U41" s="57"/>
      <c r="V41" s="73">
        <f t="shared" si="0"/>
        <v>0</v>
      </c>
      <c r="W41" s="106"/>
      <c r="X41" s="64"/>
    </row>
    <row r="42" spans="1:24" s="66" customFormat="1" ht="12" hidden="1" customHeight="1">
      <c r="A42" s="74" t="s">
        <v>4221</v>
      </c>
      <c r="B42" s="74"/>
      <c r="C42" s="74"/>
      <c r="D42" s="74"/>
      <c r="E42" s="74"/>
      <c r="F42" s="74"/>
      <c r="G42" s="74"/>
      <c r="H42" s="74"/>
      <c r="I42" s="75" t="s">
        <v>2107</v>
      </c>
      <c r="J42" s="75" t="s">
        <v>1240</v>
      </c>
      <c r="K42" s="74" t="s">
        <v>4226</v>
      </c>
      <c r="L42" s="76" t="s">
        <v>20</v>
      </c>
      <c r="M42" s="57"/>
      <c r="N42" s="77">
        <v>2548800</v>
      </c>
      <c r="O42" s="57">
        <f t="shared" si="1"/>
        <v>0</v>
      </c>
      <c r="P42" s="77">
        <v>139908</v>
      </c>
      <c r="Q42" s="73">
        <f t="shared" si="2"/>
        <v>0</v>
      </c>
      <c r="R42" s="57"/>
      <c r="S42" s="57"/>
      <c r="T42" s="57"/>
      <c r="U42" s="57"/>
      <c r="V42" s="73">
        <f t="shared" si="0"/>
        <v>0</v>
      </c>
      <c r="W42" s="106"/>
      <c r="X42" s="64"/>
    </row>
    <row r="43" spans="1:24" s="66" customFormat="1" ht="12" hidden="1" customHeight="1">
      <c r="A43" s="74" t="s">
        <v>4222</v>
      </c>
      <c r="B43" s="74"/>
      <c r="C43" s="74"/>
      <c r="D43" s="74"/>
      <c r="E43" s="74"/>
      <c r="F43" s="74"/>
      <c r="G43" s="74"/>
      <c r="H43" s="74"/>
      <c r="I43" s="75" t="s">
        <v>2107</v>
      </c>
      <c r="J43" s="75" t="s">
        <v>1240</v>
      </c>
      <c r="K43" s="74" t="s">
        <v>4227</v>
      </c>
      <c r="L43" s="76" t="s">
        <v>20</v>
      </c>
      <c r="M43" s="57"/>
      <c r="N43" s="77">
        <v>2867400</v>
      </c>
      <c r="O43" s="57">
        <f t="shared" si="1"/>
        <v>0</v>
      </c>
      <c r="P43" s="77">
        <v>139908</v>
      </c>
      <c r="Q43" s="73">
        <f t="shared" si="2"/>
        <v>0</v>
      </c>
      <c r="R43" s="57"/>
      <c r="S43" s="57"/>
      <c r="T43" s="57"/>
      <c r="U43" s="57"/>
      <c r="V43" s="73">
        <f t="shared" si="0"/>
        <v>0</v>
      </c>
      <c r="W43" s="106"/>
      <c r="X43" s="64"/>
    </row>
    <row r="44" spans="1:24" s="66" customFormat="1" ht="12" hidden="1" customHeight="1">
      <c r="A44" s="74" t="s">
        <v>4223</v>
      </c>
      <c r="B44" s="74"/>
      <c r="C44" s="74"/>
      <c r="D44" s="74"/>
      <c r="E44" s="74"/>
      <c r="F44" s="74"/>
      <c r="G44" s="74"/>
      <c r="H44" s="74"/>
      <c r="I44" s="75" t="s">
        <v>2107</v>
      </c>
      <c r="J44" s="75" t="s">
        <v>1240</v>
      </c>
      <c r="K44" s="74" t="s">
        <v>4228</v>
      </c>
      <c r="L44" s="76" t="s">
        <v>20</v>
      </c>
      <c r="M44" s="57"/>
      <c r="N44" s="77">
        <v>3610800</v>
      </c>
      <c r="O44" s="57">
        <f t="shared" si="1"/>
        <v>0</v>
      </c>
      <c r="P44" s="77">
        <v>139908</v>
      </c>
      <c r="Q44" s="73">
        <f t="shared" si="2"/>
        <v>0</v>
      </c>
      <c r="R44" s="57"/>
      <c r="S44" s="57"/>
      <c r="T44" s="57"/>
      <c r="U44" s="57"/>
      <c r="V44" s="73">
        <f t="shared" si="0"/>
        <v>0</v>
      </c>
      <c r="W44" s="106"/>
      <c r="X44" s="64"/>
    </row>
    <row r="45" spans="1:24" s="66" customFormat="1" ht="12" hidden="1" customHeight="1">
      <c r="A45" s="74" t="s">
        <v>686</v>
      </c>
      <c r="B45" s="74"/>
      <c r="C45" s="74"/>
      <c r="D45" s="74"/>
      <c r="E45" s="74"/>
      <c r="F45" s="74"/>
      <c r="G45" s="74"/>
      <c r="H45" s="74"/>
      <c r="I45" s="75" t="s">
        <v>2107</v>
      </c>
      <c r="J45" s="75" t="s">
        <v>1240</v>
      </c>
      <c r="K45" s="74" t="s">
        <v>1250</v>
      </c>
      <c r="L45" s="76" t="s">
        <v>20</v>
      </c>
      <c r="M45" s="57"/>
      <c r="N45" s="77">
        <v>3929400</v>
      </c>
      <c r="O45" s="57">
        <f t="shared" si="1"/>
        <v>0</v>
      </c>
      <c r="P45" s="77">
        <v>139908</v>
      </c>
      <c r="Q45" s="73">
        <f t="shared" si="2"/>
        <v>0</v>
      </c>
      <c r="R45" s="57"/>
      <c r="S45" s="57"/>
      <c r="T45" s="57"/>
      <c r="U45" s="57"/>
      <c r="V45" s="73">
        <f t="shared" si="0"/>
        <v>0</v>
      </c>
      <c r="W45" s="106"/>
      <c r="X45" s="64"/>
    </row>
    <row r="46" spans="1:24" s="66" customFormat="1" ht="12" hidden="1" customHeight="1">
      <c r="A46" s="74" t="s">
        <v>687</v>
      </c>
      <c r="B46" s="74"/>
      <c r="C46" s="74"/>
      <c r="D46" s="74"/>
      <c r="E46" s="74"/>
      <c r="F46" s="74"/>
      <c r="G46" s="74"/>
      <c r="H46" s="74"/>
      <c r="I46" s="75" t="s">
        <v>2107</v>
      </c>
      <c r="J46" s="75" t="s">
        <v>1240</v>
      </c>
      <c r="K46" s="74" t="s">
        <v>1249</v>
      </c>
      <c r="L46" s="76" t="s">
        <v>20</v>
      </c>
      <c r="M46" s="57"/>
      <c r="N46" s="77">
        <v>4779000</v>
      </c>
      <c r="O46" s="57">
        <f t="shared" si="1"/>
        <v>0</v>
      </c>
      <c r="P46" s="77">
        <v>139908</v>
      </c>
      <c r="Q46" s="73">
        <f t="shared" si="2"/>
        <v>0</v>
      </c>
      <c r="R46" s="57"/>
      <c r="S46" s="57"/>
      <c r="T46" s="57"/>
      <c r="U46" s="57"/>
      <c r="V46" s="73">
        <f t="shared" si="0"/>
        <v>0</v>
      </c>
      <c r="W46" s="106"/>
      <c r="X46" s="64"/>
    </row>
    <row r="47" spans="1:24" s="66" customFormat="1" ht="12" hidden="1" customHeight="1">
      <c r="A47" s="74" t="s">
        <v>688</v>
      </c>
      <c r="B47" s="74"/>
      <c r="C47" s="74"/>
      <c r="D47" s="74"/>
      <c r="E47" s="74"/>
      <c r="F47" s="74"/>
      <c r="G47" s="74"/>
      <c r="H47" s="74"/>
      <c r="I47" s="75" t="s">
        <v>2107</v>
      </c>
      <c r="J47" s="75" t="s">
        <v>1240</v>
      </c>
      <c r="K47" s="74" t="s">
        <v>1248</v>
      </c>
      <c r="L47" s="76" t="s">
        <v>20</v>
      </c>
      <c r="M47" s="57"/>
      <c r="N47" s="77">
        <v>4885200</v>
      </c>
      <c r="O47" s="57">
        <f t="shared" si="1"/>
        <v>0</v>
      </c>
      <c r="P47" s="77">
        <v>139908</v>
      </c>
      <c r="Q47" s="73">
        <f t="shared" si="2"/>
        <v>0</v>
      </c>
      <c r="R47" s="57"/>
      <c r="S47" s="57"/>
      <c r="T47" s="57"/>
      <c r="U47" s="57"/>
      <c r="V47" s="73">
        <f t="shared" si="0"/>
        <v>0</v>
      </c>
      <c r="W47" s="106"/>
      <c r="X47" s="64"/>
    </row>
    <row r="48" spans="1:24" s="66" customFormat="1" ht="12" hidden="1" customHeight="1">
      <c r="A48" s="74" t="s">
        <v>689</v>
      </c>
      <c r="B48" s="74"/>
      <c r="C48" s="74"/>
      <c r="D48" s="74"/>
      <c r="E48" s="74"/>
      <c r="F48" s="74"/>
      <c r="G48" s="74"/>
      <c r="H48" s="74"/>
      <c r="I48" s="75" t="s">
        <v>2108</v>
      </c>
      <c r="J48" s="75" t="s">
        <v>1240</v>
      </c>
      <c r="K48" s="74" t="s">
        <v>1247</v>
      </c>
      <c r="L48" s="76" t="s">
        <v>20</v>
      </c>
      <c r="M48" s="57"/>
      <c r="N48" s="77">
        <v>6159600</v>
      </c>
      <c r="O48" s="57">
        <f t="shared" si="1"/>
        <v>0</v>
      </c>
      <c r="P48" s="77">
        <v>191725</v>
      </c>
      <c r="Q48" s="73">
        <f t="shared" si="2"/>
        <v>0</v>
      </c>
      <c r="R48" s="57"/>
      <c r="S48" s="57"/>
      <c r="T48" s="57"/>
      <c r="U48" s="57"/>
      <c r="V48" s="73">
        <f t="shared" si="0"/>
        <v>0</v>
      </c>
      <c r="W48" s="106"/>
      <c r="X48" s="64"/>
    </row>
    <row r="49" spans="1:24" s="66" customFormat="1" ht="12" hidden="1" customHeight="1">
      <c r="A49" s="74" t="s">
        <v>690</v>
      </c>
      <c r="B49" s="74"/>
      <c r="C49" s="74"/>
      <c r="D49" s="74"/>
      <c r="E49" s="74"/>
      <c r="F49" s="74"/>
      <c r="G49" s="74"/>
      <c r="H49" s="74"/>
      <c r="I49" s="75" t="s">
        <v>2108</v>
      </c>
      <c r="J49" s="75" t="s">
        <v>1240</v>
      </c>
      <c r="K49" s="74" t="s">
        <v>1246</v>
      </c>
      <c r="L49" s="76" t="s">
        <v>20</v>
      </c>
      <c r="M49" s="57"/>
      <c r="N49" s="77">
        <v>6372000</v>
      </c>
      <c r="O49" s="57">
        <f t="shared" si="1"/>
        <v>0</v>
      </c>
      <c r="P49" s="77">
        <v>191725</v>
      </c>
      <c r="Q49" s="73">
        <f t="shared" si="2"/>
        <v>0</v>
      </c>
      <c r="R49" s="57"/>
      <c r="S49" s="57"/>
      <c r="T49" s="57"/>
      <c r="U49" s="57"/>
      <c r="V49" s="73">
        <f t="shared" si="0"/>
        <v>0</v>
      </c>
      <c r="W49" s="106"/>
      <c r="X49" s="64"/>
    </row>
    <row r="50" spans="1:24" s="66" customFormat="1" ht="12" hidden="1" customHeight="1">
      <c r="A50" s="74" t="s">
        <v>691</v>
      </c>
      <c r="B50" s="74"/>
      <c r="C50" s="74"/>
      <c r="D50" s="74"/>
      <c r="E50" s="74"/>
      <c r="F50" s="74"/>
      <c r="G50" s="74"/>
      <c r="H50" s="74"/>
      <c r="I50" s="75" t="s">
        <v>2108</v>
      </c>
      <c r="J50" s="75" t="s">
        <v>1240</v>
      </c>
      <c r="K50" s="74" t="s">
        <v>1245</v>
      </c>
      <c r="L50" s="76" t="s">
        <v>20</v>
      </c>
      <c r="M50" s="57"/>
      <c r="N50" s="77">
        <v>7434000</v>
      </c>
      <c r="O50" s="57">
        <f t="shared" si="1"/>
        <v>0</v>
      </c>
      <c r="P50" s="77">
        <v>191725</v>
      </c>
      <c r="Q50" s="73">
        <f t="shared" si="2"/>
        <v>0</v>
      </c>
      <c r="R50" s="57"/>
      <c r="S50" s="57"/>
      <c r="T50" s="57"/>
      <c r="U50" s="57"/>
      <c r="V50" s="73">
        <f t="shared" si="0"/>
        <v>0</v>
      </c>
      <c r="W50" s="106"/>
      <c r="X50" s="64"/>
    </row>
    <row r="51" spans="1:24" s="66" customFormat="1" ht="12" hidden="1" customHeight="1">
      <c r="A51" s="74" t="s">
        <v>692</v>
      </c>
      <c r="B51" s="74"/>
      <c r="C51" s="74"/>
      <c r="D51" s="74"/>
      <c r="E51" s="74"/>
      <c r="F51" s="74"/>
      <c r="G51" s="74"/>
      <c r="H51" s="74"/>
      <c r="I51" s="75" t="s">
        <v>2108</v>
      </c>
      <c r="J51" s="75" t="s">
        <v>1240</v>
      </c>
      <c r="K51" s="74" t="s">
        <v>1244</v>
      </c>
      <c r="L51" s="76" t="s">
        <v>20</v>
      </c>
      <c r="M51" s="57"/>
      <c r="N51" s="77">
        <v>7858800</v>
      </c>
      <c r="O51" s="57">
        <f t="shared" si="1"/>
        <v>0</v>
      </c>
      <c r="P51" s="77">
        <v>191725</v>
      </c>
      <c r="Q51" s="73">
        <f t="shared" si="2"/>
        <v>0</v>
      </c>
      <c r="R51" s="57"/>
      <c r="S51" s="57"/>
      <c r="T51" s="57"/>
      <c r="U51" s="57"/>
      <c r="V51" s="73">
        <f t="shared" si="0"/>
        <v>0</v>
      </c>
      <c r="W51" s="106"/>
      <c r="X51" s="64"/>
    </row>
    <row r="52" spans="1:24" s="66" customFormat="1" ht="12" hidden="1" customHeight="1">
      <c r="A52" s="74" t="s">
        <v>693</v>
      </c>
      <c r="B52" s="74"/>
      <c r="C52" s="74"/>
      <c r="D52" s="74"/>
      <c r="E52" s="74"/>
      <c r="F52" s="74"/>
      <c r="G52" s="74"/>
      <c r="H52" s="74"/>
      <c r="I52" s="75" t="s">
        <v>2109</v>
      </c>
      <c r="J52" s="75" t="s">
        <v>1240</v>
      </c>
      <c r="K52" s="74" t="s">
        <v>1243</v>
      </c>
      <c r="L52" s="76" t="s">
        <v>20</v>
      </c>
      <c r="M52" s="57"/>
      <c r="N52" s="77">
        <v>8496000</v>
      </c>
      <c r="O52" s="57">
        <f t="shared" si="1"/>
        <v>0</v>
      </c>
      <c r="P52" s="77">
        <v>269452</v>
      </c>
      <c r="Q52" s="73">
        <f t="shared" si="2"/>
        <v>0</v>
      </c>
      <c r="R52" s="57"/>
      <c r="S52" s="57"/>
      <c r="T52" s="57"/>
      <c r="U52" s="57"/>
      <c r="V52" s="73">
        <f t="shared" si="0"/>
        <v>0</v>
      </c>
      <c r="W52" s="106"/>
      <c r="X52" s="64"/>
    </row>
    <row r="53" spans="1:24" s="66" customFormat="1" ht="12" hidden="1" customHeight="1">
      <c r="A53" s="74" t="s">
        <v>694</v>
      </c>
      <c r="B53" s="74"/>
      <c r="C53" s="74"/>
      <c r="D53" s="74"/>
      <c r="E53" s="74"/>
      <c r="F53" s="74"/>
      <c r="G53" s="74"/>
      <c r="H53" s="74"/>
      <c r="I53" s="75" t="s">
        <v>2109</v>
      </c>
      <c r="J53" s="75" t="s">
        <v>1240</v>
      </c>
      <c r="K53" s="74" t="s">
        <v>1242</v>
      </c>
      <c r="L53" s="76" t="s">
        <v>20</v>
      </c>
      <c r="M53" s="57"/>
      <c r="N53" s="77">
        <v>9558000</v>
      </c>
      <c r="O53" s="57">
        <f t="shared" si="1"/>
        <v>0</v>
      </c>
      <c r="P53" s="77">
        <v>269452</v>
      </c>
      <c r="Q53" s="73">
        <f t="shared" si="2"/>
        <v>0</v>
      </c>
      <c r="R53" s="57"/>
      <c r="S53" s="57"/>
      <c r="T53" s="57"/>
      <c r="U53" s="57"/>
      <c r="V53" s="73">
        <f t="shared" si="0"/>
        <v>0</v>
      </c>
      <c r="W53" s="106"/>
      <c r="X53" s="64"/>
    </row>
    <row r="54" spans="1:24" s="66" customFormat="1" ht="12" hidden="1" customHeight="1">
      <c r="A54" s="74" t="s">
        <v>1778</v>
      </c>
      <c r="B54" s="74"/>
      <c r="C54" s="74"/>
      <c r="D54" s="74"/>
      <c r="E54" s="74"/>
      <c r="F54" s="74"/>
      <c r="G54" s="74"/>
      <c r="H54" s="74"/>
      <c r="I54" s="75" t="s">
        <v>2109</v>
      </c>
      <c r="J54" s="75" t="s">
        <v>1240</v>
      </c>
      <c r="K54" s="74" t="s">
        <v>1241</v>
      </c>
      <c r="L54" s="76" t="s">
        <v>20</v>
      </c>
      <c r="M54" s="57"/>
      <c r="N54" s="77">
        <v>11682000</v>
      </c>
      <c r="O54" s="57">
        <f t="shared" si="1"/>
        <v>0</v>
      </c>
      <c r="P54" s="77">
        <v>269452</v>
      </c>
      <c r="Q54" s="73">
        <f t="shared" si="2"/>
        <v>0</v>
      </c>
      <c r="R54" s="57"/>
      <c r="S54" s="57"/>
      <c r="T54" s="57"/>
      <c r="U54" s="57"/>
      <c r="V54" s="73">
        <f t="shared" si="0"/>
        <v>0</v>
      </c>
      <c r="W54" s="106"/>
      <c r="X54" s="64"/>
    </row>
    <row r="55" spans="1:24" s="66" customFormat="1" ht="12" hidden="1" customHeight="1">
      <c r="A55" s="74" t="s">
        <v>695</v>
      </c>
      <c r="B55" s="74"/>
      <c r="C55" s="74"/>
      <c r="D55" s="74"/>
      <c r="E55" s="74"/>
      <c r="F55" s="74"/>
      <c r="G55" s="74"/>
      <c r="H55" s="74"/>
      <c r="I55" s="75" t="s">
        <v>2177</v>
      </c>
      <c r="J55" s="75" t="s">
        <v>973</v>
      </c>
      <c r="K55" s="74" t="s">
        <v>962</v>
      </c>
      <c r="L55" s="76" t="s">
        <v>976</v>
      </c>
      <c r="M55" s="57"/>
      <c r="N55" s="77">
        <v>169920</v>
      </c>
      <c r="O55" s="57">
        <f t="shared" si="1"/>
        <v>0</v>
      </c>
      <c r="P55" s="77">
        <v>1379814</v>
      </c>
      <c r="Q55" s="73">
        <f t="shared" si="2"/>
        <v>0</v>
      </c>
      <c r="R55" s="57"/>
      <c r="S55" s="57"/>
      <c r="T55" s="57"/>
      <c r="U55" s="57"/>
      <c r="V55" s="73">
        <f t="shared" si="0"/>
        <v>0</v>
      </c>
      <c r="W55" s="106"/>
      <c r="X55" s="64"/>
    </row>
    <row r="56" spans="1:24" s="66" customFormat="1" ht="12" hidden="1" customHeight="1">
      <c r="A56" s="74" t="s">
        <v>696</v>
      </c>
      <c r="B56" s="74"/>
      <c r="C56" s="74"/>
      <c r="D56" s="74"/>
      <c r="E56" s="74"/>
      <c r="F56" s="74"/>
      <c r="G56" s="74"/>
      <c r="H56" s="74"/>
      <c r="I56" s="75" t="s">
        <v>2177</v>
      </c>
      <c r="J56" s="75" t="s">
        <v>973</v>
      </c>
      <c r="K56" s="74" t="s">
        <v>963</v>
      </c>
      <c r="L56" s="76" t="s">
        <v>976</v>
      </c>
      <c r="M56" s="57"/>
      <c r="N56" s="77">
        <v>195410</v>
      </c>
      <c r="O56" s="57">
        <f t="shared" si="1"/>
        <v>0</v>
      </c>
      <c r="P56" s="77">
        <v>1379814</v>
      </c>
      <c r="Q56" s="73">
        <f t="shared" si="2"/>
        <v>0</v>
      </c>
      <c r="R56" s="57"/>
      <c r="S56" s="57"/>
      <c r="T56" s="57"/>
      <c r="U56" s="57"/>
      <c r="V56" s="73">
        <f t="shared" si="0"/>
        <v>0</v>
      </c>
      <c r="W56" s="106"/>
      <c r="X56" s="64"/>
    </row>
    <row r="57" spans="1:24" s="66" customFormat="1" ht="12" hidden="1" customHeight="1">
      <c r="A57" s="74" t="s">
        <v>697</v>
      </c>
      <c r="B57" s="74"/>
      <c r="C57" s="74"/>
      <c r="D57" s="74"/>
      <c r="E57" s="74"/>
      <c r="F57" s="74"/>
      <c r="G57" s="74"/>
      <c r="H57" s="74"/>
      <c r="I57" s="75" t="s">
        <v>2177</v>
      </c>
      <c r="J57" s="75" t="s">
        <v>973</v>
      </c>
      <c r="K57" s="74" t="s">
        <v>964</v>
      </c>
      <c r="L57" s="76" t="s">
        <v>976</v>
      </c>
      <c r="M57" s="57"/>
      <c r="N57" s="77">
        <v>304800</v>
      </c>
      <c r="O57" s="57">
        <f t="shared" si="1"/>
        <v>0</v>
      </c>
      <c r="P57" s="77">
        <v>1379814</v>
      </c>
      <c r="Q57" s="73">
        <f t="shared" si="2"/>
        <v>0</v>
      </c>
      <c r="R57" s="57"/>
      <c r="S57" s="57"/>
      <c r="T57" s="57"/>
      <c r="U57" s="57"/>
      <c r="V57" s="73">
        <f t="shared" si="0"/>
        <v>0</v>
      </c>
      <c r="W57" s="106"/>
      <c r="X57" s="64"/>
    </row>
    <row r="58" spans="1:24" s="66" customFormat="1" ht="12" hidden="1" customHeight="1">
      <c r="A58" s="74" t="s">
        <v>698</v>
      </c>
      <c r="B58" s="74"/>
      <c r="C58" s="74"/>
      <c r="D58" s="74"/>
      <c r="E58" s="74"/>
      <c r="F58" s="74"/>
      <c r="G58" s="74"/>
      <c r="H58" s="74"/>
      <c r="I58" s="75" t="s">
        <v>2178</v>
      </c>
      <c r="J58" s="75" t="s">
        <v>973</v>
      </c>
      <c r="K58" s="74" t="s">
        <v>965</v>
      </c>
      <c r="L58" s="76" t="s">
        <v>976</v>
      </c>
      <c r="M58" s="57"/>
      <c r="N58" s="77">
        <v>492770</v>
      </c>
      <c r="O58" s="57">
        <f t="shared" si="1"/>
        <v>0</v>
      </c>
      <c r="P58" s="77">
        <v>1566371</v>
      </c>
      <c r="Q58" s="73">
        <f t="shared" si="2"/>
        <v>0</v>
      </c>
      <c r="R58" s="57"/>
      <c r="S58" s="57"/>
      <c r="T58" s="57"/>
      <c r="U58" s="57"/>
      <c r="V58" s="73">
        <f t="shared" si="0"/>
        <v>0</v>
      </c>
      <c r="W58" s="106"/>
      <c r="X58" s="64"/>
    </row>
    <row r="59" spans="1:24" s="66" customFormat="1" ht="12" hidden="1" customHeight="1">
      <c r="A59" s="74" t="s">
        <v>699</v>
      </c>
      <c r="B59" s="74"/>
      <c r="C59" s="74"/>
      <c r="D59" s="74"/>
      <c r="E59" s="74"/>
      <c r="F59" s="74"/>
      <c r="G59" s="74"/>
      <c r="H59" s="74"/>
      <c r="I59" s="75" t="s">
        <v>2178</v>
      </c>
      <c r="J59" s="75" t="s">
        <v>973</v>
      </c>
      <c r="K59" s="74" t="s">
        <v>966</v>
      </c>
      <c r="L59" s="76" t="s">
        <v>976</v>
      </c>
      <c r="M59" s="57"/>
      <c r="N59" s="77">
        <v>617030</v>
      </c>
      <c r="O59" s="57">
        <f t="shared" si="1"/>
        <v>0</v>
      </c>
      <c r="P59" s="77">
        <v>1566371</v>
      </c>
      <c r="Q59" s="73">
        <f t="shared" si="2"/>
        <v>0</v>
      </c>
      <c r="R59" s="57"/>
      <c r="S59" s="57"/>
      <c r="T59" s="57"/>
      <c r="U59" s="57"/>
      <c r="V59" s="73">
        <f t="shared" si="0"/>
        <v>0</v>
      </c>
      <c r="W59" s="106"/>
      <c r="X59" s="64"/>
    </row>
    <row r="60" spans="1:24" s="66" customFormat="1" ht="12" hidden="1" customHeight="1">
      <c r="A60" s="74" t="s">
        <v>700</v>
      </c>
      <c r="B60" s="74"/>
      <c r="C60" s="74"/>
      <c r="D60" s="74"/>
      <c r="E60" s="74"/>
      <c r="F60" s="74"/>
      <c r="G60" s="74"/>
      <c r="H60" s="74"/>
      <c r="I60" s="75" t="s">
        <v>2178</v>
      </c>
      <c r="J60" s="75" t="s">
        <v>973</v>
      </c>
      <c r="K60" s="74" t="s">
        <v>967</v>
      </c>
      <c r="L60" s="76" t="s">
        <v>976</v>
      </c>
      <c r="M60" s="57"/>
      <c r="N60" s="77">
        <v>675440</v>
      </c>
      <c r="O60" s="57">
        <f t="shared" si="1"/>
        <v>0</v>
      </c>
      <c r="P60" s="77">
        <v>1566371</v>
      </c>
      <c r="Q60" s="73">
        <f t="shared" si="2"/>
        <v>0</v>
      </c>
      <c r="R60" s="57"/>
      <c r="S60" s="57"/>
      <c r="T60" s="57"/>
      <c r="U60" s="57"/>
      <c r="V60" s="73">
        <f t="shared" si="0"/>
        <v>0</v>
      </c>
      <c r="W60" s="106"/>
      <c r="X60" s="64"/>
    </row>
    <row r="61" spans="1:24" s="66" customFormat="1" ht="12" hidden="1" customHeight="1">
      <c r="A61" s="74" t="s">
        <v>701</v>
      </c>
      <c r="B61" s="74"/>
      <c r="C61" s="74"/>
      <c r="D61" s="74"/>
      <c r="E61" s="74"/>
      <c r="F61" s="74"/>
      <c r="G61" s="74"/>
      <c r="H61" s="74"/>
      <c r="I61" s="75" t="s">
        <v>2178</v>
      </c>
      <c r="J61" s="75" t="s">
        <v>973</v>
      </c>
      <c r="K61" s="74" t="s">
        <v>968</v>
      </c>
      <c r="L61" s="76" t="s">
        <v>976</v>
      </c>
      <c r="M61" s="57"/>
      <c r="N61" s="77">
        <v>735970</v>
      </c>
      <c r="O61" s="57">
        <f t="shared" si="1"/>
        <v>0</v>
      </c>
      <c r="P61" s="77">
        <v>1566371</v>
      </c>
      <c r="Q61" s="73">
        <f t="shared" si="2"/>
        <v>0</v>
      </c>
      <c r="R61" s="57"/>
      <c r="S61" s="57"/>
      <c r="T61" s="57"/>
      <c r="U61" s="57"/>
      <c r="V61" s="73">
        <f t="shared" si="0"/>
        <v>0</v>
      </c>
      <c r="W61" s="106"/>
      <c r="X61" s="64"/>
    </row>
    <row r="62" spans="1:24" s="66" customFormat="1" ht="12" hidden="1" customHeight="1">
      <c r="A62" s="74" t="s">
        <v>702</v>
      </c>
      <c r="B62" s="74"/>
      <c r="C62" s="74"/>
      <c r="D62" s="74"/>
      <c r="E62" s="74"/>
      <c r="F62" s="74"/>
      <c r="G62" s="74"/>
      <c r="H62" s="74"/>
      <c r="I62" s="75" t="s">
        <v>2178</v>
      </c>
      <c r="J62" s="75" t="s">
        <v>973</v>
      </c>
      <c r="K62" s="74" t="s">
        <v>969</v>
      </c>
      <c r="L62" s="76" t="s">
        <v>976</v>
      </c>
      <c r="M62" s="57"/>
      <c r="N62" s="77">
        <v>884650</v>
      </c>
      <c r="O62" s="57">
        <f t="shared" si="1"/>
        <v>0</v>
      </c>
      <c r="P62" s="77">
        <v>1566371</v>
      </c>
      <c r="Q62" s="73">
        <f t="shared" si="2"/>
        <v>0</v>
      </c>
      <c r="R62" s="57"/>
      <c r="S62" s="57"/>
      <c r="T62" s="57"/>
      <c r="U62" s="57"/>
      <c r="V62" s="73">
        <f t="shared" si="0"/>
        <v>0</v>
      </c>
      <c r="W62" s="106"/>
      <c r="X62" s="64"/>
    </row>
    <row r="63" spans="1:24" s="66" customFormat="1" ht="12" hidden="1" customHeight="1">
      <c r="A63" s="74" t="s">
        <v>96</v>
      </c>
      <c r="B63" s="74"/>
      <c r="C63" s="74"/>
      <c r="D63" s="74"/>
      <c r="E63" s="74"/>
      <c r="F63" s="74"/>
      <c r="G63" s="74"/>
      <c r="H63" s="74"/>
      <c r="I63" s="75" t="s">
        <v>1943</v>
      </c>
      <c r="J63" s="75" t="s">
        <v>1312</v>
      </c>
      <c r="K63" s="74" t="s">
        <v>792</v>
      </c>
      <c r="L63" s="76" t="s">
        <v>0</v>
      </c>
      <c r="M63" s="57"/>
      <c r="N63" s="77">
        <v>7840</v>
      </c>
      <c r="O63" s="57">
        <f t="shared" si="1"/>
        <v>0</v>
      </c>
      <c r="P63" s="77">
        <v>35236</v>
      </c>
      <c r="Q63" s="73">
        <f t="shared" si="2"/>
        <v>0</v>
      </c>
      <c r="R63" s="57"/>
      <c r="S63" s="57"/>
      <c r="T63" s="57"/>
      <c r="U63" s="57"/>
      <c r="V63" s="73">
        <f t="shared" si="0"/>
        <v>0</v>
      </c>
      <c r="W63" s="106"/>
      <c r="X63" s="64"/>
    </row>
    <row r="64" spans="1:24" s="66" customFormat="1" ht="12" hidden="1" customHeight="1">
      <c r="A64" s="74" t="s">
        <v>97</v>
      </c>
      <c r="B64" s="74"/>
      <c r="C64" s="74"/>
      <c r="D64" s="74"/>
      <c r="E64" s="74"/>
      <c r="F64" s="74"/>
      <c r="G64" s="74"/>
      <c r="H64" s="74"/>
      <c r="I64" s="75" t="s">
        <v>1944</v>
      </c>
      <c r="J64" s="75" t="s">
        <v>1312</v>
      </c>
      <c r="K64" s="74" t="s">
        <v>793</v>
      </c>
      <c r="L64" s="76" t="s">
        <v>0</v>
      </c>
      <c r="M64" s="57"/>
      <c r="N64" s="77">
        <v>12920</v>
      </c>
      <c r="O64" s="57">
        <f t="shared" si="1"/>
        <v>0</v>
      </c>
      <c r="P64" s="77">
        <v>40417</v>
      </c>
      <c r="Q64" s="73">
        <f t="shared" si="2"/>
        <v>0</v>
      </c>
      <c r="R64" s="57"/>
      <c r="S64" s="57"/>
      <c r="T64" s="57"/>
      <c r="U64" s="57"/>
      <c r="V64" s="73">
        <f t="shared" si="0"/>
        <v>0</v>
      </c>
      <c r="W64" s="106"/>
      <c r="X64" s="64"/>
    </row>
    <row r="65" spans="1:24" s="66" customFormat="1" ht="12" hidden="1" customHeight="1">
      <c r="A65" s="74" t="s">
        <v>98</v>
      </c>
      <c r="B65" s="74"/>
      <c r="C65" s="74"/>
      <c r="D65" s="74"/>
      <c r="E65" s="74"/>
      <c r="F65" s="74"/>
      <c r="G65" s="74"/>
      <c r="H65" s="74"/>
      <c r="I65" s="75" t="s">
        <v>1945</v>
      </c>
      <c r="J65" s="75" t="s">
        <v>1312</v>
      </c>
      <c r="K65" s="74" t="s">
        <v>794</v>
      </c>
      <c r="L65" s="76" t="s">
        <v>0</v>
      </c>
      <c r="M65" s="57"/>
      <c r="N65" s="77">
        <v>23380</v>
      </c>
      <c r="O65" s="57">
        <f t="shared" si="1"/>
        <v>0</v>
      </c>
      <c r="P65" s="77">
        <v>45599</v>
      </c>
      <c r="Q65" s="73">
        <f t="shared" si="2"/>
        <v>0</v>
      </c>
      <c r="R65" s="57"/>
      <c r="S65" s="57"/>
      <c r="T65" s="57"/>
      <c r="U65" s="57"/>
      <c r="V65" s="73">
        <f t="shared" si="0"/>
        <v>0</v>
      </c>
      <c r="W65" s="106"/>
      <c r="X65" s="64"/>
    </row>
    <row r="66" spans="1:24" s="66" customFormat="1" ht="12" hidden="1" customHeight="1">
      <c r="A66" s="74" t="s">
        <v>99</v>
      </c>
      <c r="B66" s="74"/>
      <c r="C66" s="74"/>
      <c r="D66" s="74"/>
      <c r="E66" s="74"/>
      <c r="F66" s="74"/>
      <c r="G66" s="74"/>
      <c r="H66" s="74"/>
      <c r="I66" s="75" t="s">
        <v>1938</v>
      </c>
      <c r="J66" s="75" t="s">
        <v>1311</v>
      </c>
      <c r="K66" s="74" t="s">
        <v>795</v>
      </c>
      <c r="L66" s="76" t="s">
        <v>0</v>
      </c>
      <c r="M66" s="57"/>
      <c r="N66" s="77">
        <v>1040</v>
      </c>
      <c r="O66" s="57">
        <f t="shared" si="1"/>
        <v>0</v>
      </c>
      <c r="P66" s="77">
        <v>11399</v>
      </c>
      <c r="Q66" s="73">
        <f t="shared" si="2"/>
        <v>0</v>
      </c>
      <c r="R66" s="57"/>
      <c r="S66" s="57"/>
      <c r="T66" s="57"/>
      <c r="U66" s="57"/>
      <c r="V66" s="73">
        <f t="shared" si="0"/>
        <v>0</v>
      </c>
      <c r="W66" s="106"/>
      <c r="X66" s="64"/>
    </row>
    <row r="67" spans="1:24" s="66" customFormat="1" ht="12" hidden="1" customHeight="1">
      <c r="A67" s="74" t="s">
        <v>100</v>
      </c>
      <c r="B67" s="74"/>
      <c r="C67" s="74"/>
      <c r="D67" s="74"/>
      <c r="E67" s="74"/>
      <c r="F67" s="74"/>
      <c r="G67" s="74"/>
      <c r="H67" s="74"/>
      <c r="I67" s="75" t="s">
        <v>1939</v>
      </c>
      <c r="J67" s="75" t="s">
        <v>1311</v>
      </c>
      <c r="K67" s="74" t="s">
        <v>796</v>
      </c>
      <c r="L67" s="76" t="s">
        <v>0</v>
      </c>
      <c r="M67" s="57"/>
      <c r="N67" s="77">
        <v>1350</v>
      </c>
      <c r="O67" s="57">
        <f t="shared" si="1"/>
        <v>0</v>
      </c>
      <c r="P67" s="77">
        <v>15286</v>
      </c>
      <c r="Q67" s="73">
        <f t="shared" si="2"/>
        <v>0</v>
      </c>
      <c r="R67" s="57"/>
      <c r="S67" s="57"/>
      <c r="T67" s="57"/>
      <c r="U67" s="57"/>
      <c r="V67" s="73">
        <f t="shared" si="0"/>
        <v>0</v>
      </c>
      <c r="W67" s="106"/>
      <c r="X67" s="64"/>
    </row>
    <row r="68" spans="1:24" s="66" customFormat="1" ht="12" hidden="1" customHeight="1">
      <c r="A68" s="74" t="s">
        <v>101</v>
      </c>
      <c r="B68" s="74"/>
      <c r="C68" s="74"/>
      <c r="D68" s="74"/>
      <c r="E68" s="74"/>
      <c r="F68" s="74"/>
      <c r="G68" s="74"/>
      <c r="H68" s="74"/>
      <c r="I68" s="75" t="s">
        <v>1940</v>
      </c>
      <c r="J68" s="75" t="s">
        <v>1311</v>
      </c>
      <c r="K68" s="74" t="s">
        <v>797</v>
      </c>
      <c r="L68" s="76" t="s">
        <v>0</v>
      </c>
      <c r="M68" s="57"/>
      <c r="N68" s="77">
        <v>1640</v>
      </c>
      <c r="O68" s="57">
        <f t="shared" si="1"/>
        <v>0</v>
      </c>
      <c r="P68" s="77">
        <v>18654</v>
      </c>
      <c r="Q68" s="73">
        <f t="shared" si="2"/>
        <v>0</v>
      </c>
      <c r="R68" s="57"/>
      <c r="S68" s="57"/>
      <c r="T68" s="57"/>
      <c r="U68" s="57"/>
      <c r="V68" s="73">
        <f t="shared" si="0"/>
        <v>0</v>
      </c>
      <c r="W68" s="106"/>
      <c r="X68" s="64"/>
    </row>
    <row r="69" spans="1:24" s="66" customFormat="1" ht="12" hidden="1" customHeight="1">
      <c r="A69" s="74" t="s">
        <v>102</v>
      </c>
      <c r="B69" s="74"/>
      <c r="C69" s="74"/>
      <c r="D69" s="74"/>
      <c r="E69" s="74"/>
      <c r="F69" s="74"/>
      <c r="G69" s="74"/>
      <c r="H69" s="74"/>
      <c r="I69" s="75" t="s">
        <v>1941</v>
      </c>
      <c r="J69" s="75" t="s">
        <v>1311</v>
      </c>
      <c r="K69" s="74" t="s">
        <v>798</v>
      </c>
      <c r="L69" s="76" t="s">
        <v>0</v>
      </c>
      <c r="M69" s="57"/>
      <c r="N69" s="77">
        <v>2200</v>
      </c>
      <c r="O69" s="57">
        <f t="shared" si="1"/>
        <v>0</v>
      </c>
      <c r="P69" s="77">
        <v>22540</v>
      </c>
      <c r="Q69" s="73">
        <f t="shared" si="2"/>
        <v>0</v>
      </c>
      <c r="R69" s="57"/>
      <c r="S69" s="57"/>
      <c r="T69" s="57"/>
      <c r="U69" s="57"/>
      <c r="V69" s="73">
        <f t="shared" si="0"/>
        <v>0</v>
      </c>
      <c r="W69" s="106"/>
      <c r="X69" s="64"/>
    </row>
    <row r="70" spans="1:24" s="66" customFormat="1" ht="12" hidden="1" customHeight="1">
      <c r="A70" s="74" t="s">
        <v>103</v>
      </c>
      <c r="B70" s="74"/>
      <c r="C70" s="74"/>
      <c r="D70" s="74"/>
      <c r="E70" s="74"/>
      <c r="F70" s="74"/>
      <c r="G70" s="74"/>
      <c r="H70" s="74"/>
      <c r="I70" s="75" t="s">
        <v>1942</v>
      </c>
      <c r="J70" s="75" t="s">
        <v>1311</v>
      </c>
      <c r="K70" s="74" t="s">
        <v>799</v>
      </c>
      <c r="L70" s="76" t="s">
        <v>0</v>
      </c>
      <c r="M70" s="57"/>
      <c r="N70" s="77">
        <v>3030</v>
      </c>
      <c r="O70" s="57">
        <f t="shared" si="1"/>
        <v>0</v>
      </c>
      <c r="P70" s="77">
        <v>26945</v>
      </c>
      <c r="Q70" s="73">
        <f t="shared" si="2"/>
        <v>0</v>
      </c>
      <c r="R70" s="57"/>
      <c r="S70" s="57"/>
      <c r="T70" s="57"/>
      <c r="U70" s="57"/>
      <c r="V70" s="73">
        <f t="shared" si="0"/>
        <v>0</v>
      </c>
      <c r="W70" s="106"/>
      <c r="X70" s="64"/>
    </row>
    <row r="71" spans="1:24" s="66" customFormat="1" ht="12" hidden="1" customHeight="1">
      <c r="A71" s="74" t="s">
        <v>104</v>
      </c>
      <c r="B71" s="74"/>
      <c r="C71" s="74"/>
      <c r="D71" s="74"/>
      <c r="E71" s="74"/>
      <c r="F71" s="74"/>
      <c r="G71" s="74"/>
      <c r="H71" s="74"/>
      <c r="I71" s="75" t="s">
        <v>1943</v>
      </c>
      <c r="J71" s="75" t="s">
        <v>1311</v>
      </c>
      <c r="K71" s="74" t="s">
        <v>800</v>
      </c>
      <c r="L71" s="76" t="s">
        <v>0</v>
      </c>
      <c r="M71" s="57"/>
      <c r="N71" s="77">
        <v>4190</v>
      </c>
      <c r="O71" s="57">
        <f t="shared" si="1"/>
        <v>0</v>
      </c>
      <c r="P71" s="77">
        <v>35236</v>
      </c>
      <c r="Q71" s="73">
        <f t="shared" si="2"/>
        <v>0</v>
      </c>
      <c r="R71" s="57"/>
      <c r="S71" s="57"/>
      <c r="T71" s="57"/>
      <c r="U71" s="57"/>
      <c r="V71" s="73">
        <f t="shared" si="0"/>
        <v>0</v>
      </c>
      <c r="W71" s="106"/>
      <c r="X71" s="64"/>
    </row>
    <row r="72" spans="1:24" s="66" customFormat="1" ht="12" hidden="1" customHeight="1">
      <c r="A72" s="74" t="s">
        <v>105</v>
      </c>
      <c r="B72" s="74"/>
      <c r="C72" s="74"/>
      <c r="D72" s="74"/>
      <c r="E72" s="74"/>
      <c r="F72" s="74"/>
      <c r="G72" s="74"/>
      <c r="H72" s="74"/>
      <c r="I72" s="75" t="s">
        <v>1944</v>
      </c>
      <c r="J72" s="75" t="s">
        <v>1311</v>
      </c>
      <c r="K72" s="74" t="s">
        <v>801</v>
      </c>
      <c r="L72" s="76" t="s">
        <v>0</v>
      </c>
      <c r="M72" s="57"/>
      <c r="N72" s="77">
        <v>9380</v>
      </c>
      <c r="O72" s="57">
        <f t="shared" si="1"/>
        <v>0</v>
      </c>
      <c r="P72" s="77">
        <v>40417</v>
      </c>
      <c r="Q72" s="73">
        <f t="shared" si="2"/>
        <v>0</v>
      </c>
      <c r="R72" s="57"/>
      <c r="S72" s="57"/>
      <c r="T72" s="57"/>
      <c r="U72" s="57"/>
      <c r="V72" s="73">
        <f t="shared" si="0"/>
        <v>0</v>
      </c>
      <c r="W72" s="106"/>
      <c r="X72" s="64"/>
    </row>
    <row r="73" spans="1:24" s="66" customFormat="1" ht="12" hidden="1" customHeight="1">
      <c r="A73" s="74" t="s">
        <v>106</v>
      </c>
      <c r="B73" s="74"/>
      <c r="C73" s="74"/>
      <c r="D73" s="74"/>
      <c r="E73" s="74"/>
      <c r="F73" s="74"/>
      <c r="G73" s="74"/>
      <c r="H73" s="74"/>
      <c r="I73" s="75" t="s">
        <v>1945</v>
      </c>
      <c r="J73" s="75" t="s">
        <v>1311</v>
      </c>
      <c r="K73" s="74" t="s">
        <v>802</v>
      </c>
      <c r="L73" s="76" t="s">
        <v>0</v>
      </c>
      <c r="M73" s="57"/>
      <c r="N73" s="77">
        <v>12550</v>
      </c>
      <c r="O73" s="57">
        <f t="shared" si="1"/>
        <v>0</v>
      </c>
      <c r="P73" s="77">
        <v>45599</v>
      </c>
      <c r="Q73" s="73">
        <f t="shared" si="2"/>
        <v>0</v>
      </c>
      <c r="R73" s="57"/>
      <c r="S73" s="57"/>
      <c r="T73" s="57"/>
      <c r="U73" s="57"/>
      <c r="V73" s="73">
        <f t="shared" si="0"/>
        <v>0</v>
      </c>
      <c r="W73" s="106"/>
      <c r="X73" s="64"/>
    </row>
    <row r="74" spans="1:24" s="66" customFormat="1" ht="12" hidden="1" customHeight="1">
      <c r="A74" s="74" t="s">
        <v>1714</v>
      </c>
      <c r="B74" s="74"/>
      <c r="C74" s="74"/>
      <c r="D74" s="74"/>
      <c r="E74" s="74"/>
      <c r="F74" s="74"/>
      <c r="G74" s="74"/>
      <c r="H74" s="74"/>
      <c r="I74" s="75" t="s">
        <v>1955</v>
      </c>
      <c r="J74" s="75" t="s">
        <v>1624</v>
      </c>
      <c r="K74" s="74" t="s">
        <v>1625</v>
      </c>
      <c r="L74" s="76" t="s">
        <v>20</v>
      </c>
      <c r="M74" s="57"/>
      <c r="N74" s="77">
        <v>0</v>
      </c>
      <c r="O74" s="57">
        <f t="shared" si="1"/>
        <v>0</v>
      </c>
      <c r="P74" s="77">
        <v>163226</v>
      </c>
      <c r="Q74" s="73">
        <f t="shared" si="2"/>
        <v>0</v>
      </c>
      <c r="R74" s="57"/>
      <c r="S74" s="57"/>
      <c r="T74" s="57"/>
      <c r="U74" s="57"/>
      <c r="V74" s="73">
        <f t="shared" si="0"/>
        <v>0</v>
      </c>
      <c r="W74" s="106"/>
      <c r="X74" s="64"/>
    </row>
    <row r="75" spans="1:24" s="66" customFormat="1" ht="12" hidden="1" customHeight="1">
      <c r="A75" s="74" t="s">
        <v>69</v>
      </c>
      <c r="B75" s="74"/>
      <c r="C75" s="74"/>
      <c r="D75" s="74"/>
      <c r="E75" s="74"/>
      <c r="F75" s="74"/>
      <c r="G75" s="74"/>
      <c r="H75" s="74"/>
      <c r="I75" s="75" t="s">
        <v>1920</v>
      </c>
      <c r="J75" s="75" t="s">
        <v>1314</v>
      </c>
      <c r="K75" s="74" t="s">
        <v>1318</v>
      </c>
      <c r="L75" s="76" t="s">
        <v>0</v>
      </c>
      <c r="M75" s="57"/>
      <c r="N75" s="77">
        <v>191</v>
      </c>
      <c r="O75" s="57">
        <f t="shared" si="1"/>
        <v>0</v>
      </c>
      <c r="P75" s="77">
        <v>12954</v>
      </c>
      <c r="Q75" s="73">
        <f t="shared" ref="Q75:Q138" si="3">IF(W75="",M75*P75*$Q$3*$W$3,M75*P75*$Q$3*W75)</f>
        <v>0</v>
      </c>
      <c r="R75" s="57"/>
      <c r="S75" s="57"/>
      <c r="T75" s="57"/>
      <c r="U75" s="57"/>
      <c r="V75" s="73">
        <f t="shared" ref="V75:V138" si="4">SUM(O75+Q75)+S75+U75</f>
        <v>0</v>
      </c>
      <c r="W75" s="106"/>
      <c r="X75" s="64"/>
    </row>
    <row r="76" spans="1:24" s="66" customFormat="1" ht="12" hidden="1" customHeight="1">
      <c r="A76" s="74" t="s">
        <v>70</v>
      </c>
      <c r="B76" s="74"/>
      <c r="C76" s="74"/>
      <c r="D76" s="74"/>
      <c r="E76" s="74"/>
      <c r="F76" s="74"/>
      <c r="G76" s="74"/>
      <c r="H76" s="74"/>
      <c r="I76" s="75" t="s">
        <v>1921</v>
      </c>
      <c r="J76" s="75" t="s">
        <v>1314</v>
      </c>
      <c r="K76" s="74" t="s">
        <v>1317</v>
      </c>
      <c r="L76" s="76" t="s">
        <v>0</v>
      </c>
      <c r="M76" s="57"/>
      <c r="N76" s="77">
        <v>310</v>
      </c>
      <c r="O76" s="57">
        <f t="shared" si="1"/>
        <v>0</v>
      </c>
      <c r="P76" s="77">
        <v>15545</v>
      </c>
      <c r="Q76" s="73">
        <f t="shared" si="3"/>
        <v>0</v>
      </c>
      <c r="R76" s="57"/>
      <c r="S76" s="57"/>
      <c r="T76" s="57"/>
      <c r="U76" s="57"/>
      <c r="V76" s="73">
        <f t="shared" si="4"/>
        <v>0</v>
      </c>
      <c r="W76" s="106"/>
      <c r="X76" s="64"/>
    </row>
    <row r="77" spans="1:24" s="66" customFormat="1" ht="12" hidden="1" customHeight="1">
      <c r="A77" s="74" t="s">
        <v>71</v>
      </c>
      <c r="B77" s="74"/>
      <c r="C77" s="74"/>
      <c r="D77" s="74"/>
      <c r="E77" s="74"/>
      <c r="F77" s="74"/>
      <c r="G77" s="74"/>
      <c r="H77" s="74"/>
      <c r="I77" s="75" t="s">
        <v>1922</v>
      </c>
      <c r="J77" s="75" t="s">
        <v>1314</v>
      </c>
      <c r="K77" s="74" t="s">
        <v>1316</v>
      </c>
      <c r="L77" s="76" t="s">
        <v>0</v>
      </c>
      <c r="M77" s="57"/>
      <c r="N77" s="77">
        <v>390</v>
      </c>
      <c r="O77" s="57">
        <f t="shared" si="1"/>
        <v>0</v>
      </c>
      <c r="P77" s="77">
        <v>20727</v>
      </c>
      <c r="Q77" s="73">
        <f t="shared" si="3"/>
        <v>0</v>
      </c>
      <c r="R77" s="57"/>
      <c r="S77" s="57"/>
      <c r="T77" s="57"/>
      <c r="U77" s="57"/>
      <c r="V77" s="73">
        <f t="shared" si="4"/>
        <v>0</v>
      </c>
      <c r="W77" s="106"/>
      <c r="X77" s="64"/>
    </row>
    <row r="78" spans="1:24" s="66" customFormat="1" ht="12" hidden="1" customHeight="1">
      <c r="A78" s="74" t="s">
        <v>72</v>
      </c>
      <c r="B78" s="74"/>
      <c r="C78" s="74"/>
      <c r="D78" s="74"/>
      <c r="E78" s="74"/>
      <c r="F78" s="74"/>
      <c r="G78" s="74"/>
      <c r="H78" s="74"/>
      <c r="I78" s="75" t="s">
        <v>1923</v>
      </c>
      <c r="J78" s="75" t="s">
        <v>1314</v>
      </c>
      <c r="K78" s="74" t="s">
        <v>1315</v>
      </c>
      <c r="L78" s="76" t="s">
        <v>0</v>
      </c>
      <c r="M78" s="57"/>
      <c r="N78" s="77">
        <v>810</v>
      </c>
      <c r="O78" s="57">
        <f t="shared" si="1"/>
        <v>0</v>
      </c>
      <c r="P78" s="77">
        <v>25908</v>
      </c>
      <c r="Q78" s="73">
        <f t="shared" si="3"/>
        <v>0</v>
      </c>
      <c r="R78" s="57"/>
      <c r="S78" s="57"/>
      <c r="T78" s="57"/>
      <c r="U78" s="57"/>
      <c r="V78" s="73">
        <f t="shared" si="4"/>
        <v>0</v>
      </c>
      <c r="W78" s="106"/>
      <c r="X78" s="64"/>
    </row>
    <row r="79" spans="1:24" s="66" customFormat="1" ht="12" hidden="1" customHeight="1">
      <c r="A79" s="74" t="s">
        <v>73</v>
      </c>
      <c r="B79" s="74"/>
      <c r="C79" s="74"/>
      <c r="D79" s="74"/>
      <c r="E79" s="74"/>
      <c r="F79" s="74"/>
      <c r="G79" s="74"/>
      <c r="H79" s="74"/>
      <c r="I79" s="75" t="s">
        <v>1920</v>
      </c>
      <c r="J79" s="75" t="s">
        <v>1330</v>
      </c>
      <c r="K79" s="74" t="s">
        <v>1338</v>
      </c>
      <c r="L79" s="76" t="s">
        <v>0</v>
      </c>
      <c r="M79" s="57"/>
      <c r="N79" s="77">
        <v>370</v>
      </c>
      <c r="O79" s="57">
        <f t="shared" si="1"/>
        <v>0</v>
      </c>
      <c r="P79" s="77">
        <v>12954</v>
      </c>
      <c r="Q79" s="73">
        <f t="shared" si="3"/>
        <v>0</v>
      </c>
      <c r="R79" s="57"/>
      <c r="S79" s="57"/>
      <c r="T79" s="57"/>
      <c r="U79" s="57"/>
      <c r="V79" s="73">
        <f t="shared" si="4"/>
        <v>0</v>
      </c>
      <c r="W79" s="106"/>
      <c r="X79" s="64"/>
    </row>
    <row r="80" spans="1:24" s="66" customFormat="1" ht="12" hidden="1" customHeight="1">
      <c r="A80" s="74" t="s">
        <v>74</v>
      </c>
      <c r="B80" s="74"/>
      <c r="C80" s="74"/>
      <c r="D80" s="74"/>
      <c r="E80" s="74"/>
      <c r="F80" s="74"/>
      <c r="G80" s="74"/>
      <c r="H80" s="74"/>
      <c r="I80" s="75" t="s">
        <v>1921</v>
      </c>
      <c r="J80" s="75" t="s">
        <v>1330</v>
      </c>
      <c r="K80" s="74" t="s">
        <v>1337</v>
      </c>
      <c r="L80" s="76" t="s">
        <v>0</v>
      </c>
      <c r="M80" s="57"/>
      <c r="N80" s="77">
        <v>450</v>
      </c>
      <c r="O80" s="57">
        <f t="shared" si="1"/>
        <v>0</v>
      </c>
      <c r="P80" s="77">
        <v>15545</v>
      </c>
      <c r="Q80" s="73">
        <f t="shared" si="3"/>
        <v>0</v>
      </c>
      <c r="R80" s="57"/>
      <c r="S80" s="57"/>
      <c r="T80" s="57"/>
      <c r="U80" s="57"/>
      <c r="V80" s="73">
        <f t="shared" si="4"/>
        <v>0</v>
      </c>
      <c r="W80" s="106"/>
      <c r="X80" s="64"/>
    </row>
    <row r="81" spans="1:24" s="66" customFormat="1" ht="12" hidden="1" customHeight="1">
      <c r="A81" s="74" t="s">
        <v>75</v>
      </c>
      <c r="B81" s="74"/>
      <c r="C81" s="74"/>
      <c r="D81" s="74"/>
      <c r="E81" s="74"/>
      <c r="F81" s="74"/>
      <c r="G81" s="74"/>
      <c r="H81" s="74"/>
      <c r="I81" s="75" t="s">
        <v>1922</v>
      </c>
      <c r="J81" s="75" t="s">
        <v>1330</v>
      </c>
      <c r="K81" s="74" t="s">
        <v>1336</v>
      </c>
      <c r="L81" s="76" t="s">
        <v>0</v>
      </c>
      <c r="M81" s="57"/>
      <c r="N81" s="77">
        <v>860</v>
      </c>
      <c r="O81" s="57">
        <f t="shared" si="1"/>
        <v>0</v>
      </c>
      <c r="P81" s="77">
        <v>20727</v>
      </c>
      <c r="Q81" s="73">
        <f t="shared" si="3"/>
        <v>0</v>
      </c>
      <c r="R81" s="57"/>
      <c r="S81" s="57"/>
      <c r="T81" s="57"/>
      <c r="U81" s="57"/>
      <c r="V81" s="73">
        <f t="shared" si="4"/>
        <v>0</v>
      </c>
      <c r="W81" s="106"/>
      <c r="X81" s="64"/>
    </row>
    <row r="82" spans="1:24" s="66" customFormat="1" ht="12" hidden="1" customHeight="1">
      <c r="A82" s="74" t="s">
        <v>76</v>
      </c>
      <c r="B82" s="74"/>
      <c r="C82" s="74"/>
      <c r="D82" s="74"/>
      <c r="E82" s="74"/>
      <c r="F82" s="74"/>
      <c r="G82" s="74"/>
      <c r="H82" s="74"/>
      <c r="I82" s="75" t="s">
        <v>1923</v>
      </c>
      <c r="J82" s="75" t="s">
        <v>1330</v>
      </c>
      <c r="K82" s="74" t="s">
        <v>1335</v>
      </c>
      <c r="L82" s="76" t="s">
        <v>0</v>
      </c>
      <c r="M82" s="57"/>
      <c r="N82" s="77">
        <v>1160</v>
      </c>
      <c r="O82" s="57">
        <f t="shared" si="1"/>
        <v>0</v>
      </c>
      <c r="P82" s="77">
        <v>25908</v>
      </c>
      <c r="Q82" s="73">
        <f t="shared" si="3"/>
        <v>0</v>
      </c>
      <c r="R82" s="57"/>
      <c r="S82" s="57"/>
      <c r="T82" s="57"/>
      <c r="U82" s="57"/>
      <c r="V82" s="73">
        <f t="shared" si="4"/>
        <v>0</v>
      </c>
      <c r="W82" s="106"/>
      <c r="X82" s="64"/>
    </row>
    <row r="83" spans="1:24" s="66" customFormat="1" ht="12" hidden="1" customHeight="1">
      <c r="A83" s="74" t="s">
        <v>77</v>
      </c>
      <c r="B83" s="74"/>
      <c r="C83" s="74"/>
      <c r="D83" s="74"/>
      <c r="E83" s="74"/>
      <c r="F83" s="74"/>
      <c r="G83" s="74"/>
      <c r="H83" s="74"/>
      <c r="I83" s="75" t="s">
        <v>1924</v>
      </c>
      <c r="J83" s="75" t="s">
        <v>1330</v>
      </c>
      <c r="K83" s="74" t="s">
        <v>1334</v>
      </c>
      <c r="L83" s="76" t="s">
        <v>0</v>
      </c>
      <c r="M83" s="57"/>
      <c r="N83" s="77">
        <v>1510</v>
      </c>
      <c r="O83" s="57">
        <f t="shared" si="1"/>
        <v>0</v>
      </c>
      <c r="P83" s="77">
        <v>33681</v>
      </c>
      <c r="Q83" s="73">
        <f t="shared" si="3"/>
        <v>0</v>
      </c>
      <c r="R83" s="57"/>
      <c r="S83" s="57"/>
      <c r="T83" s="57"/>
      <c r="U83" s="57"/>
      <c r="V83" s="73">
        <f t="shared" si="4"/>
        <v>0</v>
      </c>
      <c r="W83" s="106"/>
      <c r="X83" s="64"/>
    </row>
    <row r="84" spans="1:24" s="66" customFormat="1" ht="12" hidden="1" customHeight="1">
      <c r="A84" s="74" t="s">
        <v>78</v>
      </c>
      <c r="B84" s="74"/>
      <c r="C84" s="74"/>
      <c r="D84" s="74"/>
      <c r="E84" s="74"/>
      <c r="F84" s="74"/>
      <c r="G84" s="74"/>
      <c r="H84" s="74"/>
      <c r="I84" s="75" t="s">
        <v>1925</v>
      </c>
      <c r="J84" s="75" t="s">
        <v>1330</v>
      </c>
      <c r="K84" s="74" t="s">
        <v>1333</v>
      </c>
      <c r="L84" s="76" t="s">
        <v>0</v>
      </c>
      <c r="M84" s="57"/>
      <c r="N84" s="77">
        <v>2140</v>
      </c>
      <c r="O84" s="57">
        <f t="shared" si="1"/>
        <v>0</v>
      </c>
      <c r="P84" s="77">
        <v>49226</v>
      </c>
      <c r="Q84" s="73">
        <f t="shared" si="3"/>
        <v>0</v>
      </c>
      <c r="R84" s="57"/>
      <c r="S84" s="57"/>
      <c r="T84" s="57"/>
      <c r="U84" s="57"/>
      <c r="V84" s="73">
        <f t="shared" si="4"/>
        <v>0</v>
      </c>
      <c r="W84" s="106"/>
      <c r="X84" s="64"/>
    </row>
    <row r="85" spans="1:24" s="66" customFormat="1" ht="12" hidden="1" customHeight="1">
      <c r="A85" s="74" t="s">
        <v>79</v>
      </c>
      <c r="B85" s="74"/>
      <c r="C85" s="74"/>
      <c r="D85" s="74"/>
      <c r="E85" s="74"/>
      <c r="F85" s="74"/>
      <c r="G85" s="74"/>
      <c r="H85" s="74"/>
      <c r="I85" s="75" t="s">
        <v>1926</v>
      </c>
      <c r="J85" s="75" t="s">
        <v>1330</v>
      </c>
      <c r="K85" s="74" t="s">
        <v>1332</v>
      </c>
      <c r="L85" s="76" t="s">
        <v>0</v>
      </c>
      <c r="M85" s="57"/>
      <c r="N85" s="77">
        <v>2650</v>
      </c>
      <c r="O85" s="57">
        <f t="shared" si="1"/>
        <v>0</v>
      </c>
      <c r="P85" s="77">
        <v>72544</v>
      </c>
      <c r="Q85" s="73">
        <f t="shared" si="3"/>
        <v>0</v>
      </c>
      <c r="R85" s="57"/>
      <c r="S85" s="57"/>
      <c r="T85" s="57"/>
      <c r="U85" s="57"/>
      <c r="V85" s="73">
        <f t="shared" si="4"/>
        <v>0</v>
      </c>
      <c r="W85" s="106"/>
      <c r="X85" s="64"/>
    </row>
    <row r="86" spans="1:24" s="66" customFormat="1" ht="12" hidden="1" customHeight="1">
      <c r="A86" s="74" t="s">
        <v>80</v>
      </c>
      <c r="B86" s="74"/>
      <c r="C86" s="74"/>
      <c r="D86" s="74"/>
      <c r="E86" s="74"/>
      <c r="F86" s="74"/>
      <c r="G86" s="74"/>
      <c r="H86" s="74"/>
      <c r="I86" s="75" t="s">
        <v>1927</v>
      </c>
      <c r="J86" s="75" t="s">
        <v>1330</v>
      </c>
      <c r="K86" s="74" t="s">
        <v>1331</v>
      </c>
      <c r="L86" s="76" t="s">
        <v>0</v>
      </c>
      <c r="M86" s="57"/>
      <c r="N86" s="77">
        <v>4200</v>
      </c>
      <c r="O86" s="57">
        <f t="shared" si="1"/>
        <v>0</v>
      </c>
      <c r="P86" s="77">
        <v>95862</v>
      </c>
      <c r="Q86" s="73">
        <f t="shared" si="3"/>
        <v>0</v>
      </c>
      <c r="R86" s="57"/>
      <c r="S86" s="57"/>
      <c r="T86" s="57"/>
      <c r="U86" s="57"/>
      <c r="V86" s="73">
        <f t="shared" si="4"/>
        <v>0</v>
      </c>
      <c r="W86" s="106"/>
      <c r="X86" s="64"/>
    </row>
    <row r="87" spans="1:24" s="66" customFormat="1" ht="12" hidden="1" customHeight="1">
      <c r="A87" s="74" t="s">
        <v>81</v>
      </c>
      <c r="B87" s="74"/>
      <c r="C87" s="74"/>
      <c r="D87" s="74"/>
      <c r="E87" s="74"/>
      <c r="F87" s="74"/>
      <c r="G87" s="74"/>
      <c r="H87" s="74"/>
      <c r="I87" s="75" t="s">
        <v>1928</v>
      </c>
      <c r="J87" s="75" t="s">
        <v>1330</v>
      </c>
      <c r="K87" s="74" t="s">
        <v>1329</v>
      </c>
      <c r="L87" s="76" t="s">
        <v>0</v>
      </c>
      <c r="M87" s="57"/>
      <c r="N87" s="77">
        <v>4970</v>
      </c>
      <c r="O87" s="57">
        <f t="shared" si="1"/>
        <v>0</v>
      </c>
      <c r="P87" s="77">
        <v>119180</v>
      </c>
      <c r="Q87" s="73">
        <f t="shared" si="3"/>
        <v>0</v>
      </c>
      <c r="R87" s="57"/>
      <c r="S87" s="57"/>
      <c r="T87" s="57"/>
      <c r="U87" s="57"/>
      <c r="V87" s="73">
        <f t="shared" si="4"/>
        <v>0</v>
      </c>
      <c r="W87" s="106"/>
      <c r="X87" s="64"/>
    </row>
    <row r="88" spans="1:24" s="66" customFormat="1" ht="12" hidden="1" customHeight="1">
      <c r="A88" s="74" t="s">
        <v>82</v>
      </c>
      <c r="B88" s="74"/>
      <c r="C88" s="74"/>
      <c r="D88" s="74"/>
      <c r="E88" s="74"/>
      <c r="F88" s="74"/>
      <c r="G88" s="74"/>
      <c r="H88" s="74"/>
      <c r="I88" s="75" t="s">
        <v>1929</v>
      </c>
      <c r="J88" s="75" t="s">
        <v>1320</v>
      </c>
      <c r="K88" s="74" t="s">
        <v>1328</v>
      </c>
      <c r="L88" s="76" t="s">
        <v>0</v>
      </c>
      <c r="M88" s="57"/>
      <c r="N88" s="77">
        <v>2960</v>
      </c>
      <c r="O88" s="57">
        <f t="shared" si="1"/>
        <v>0</v>
      </c>
      <c r="P88" s="77">
        <v>20727</v>
      </c>
      <c r="Q88" s="73">
        <f t="shared" si="3"/>
        <v>0</v>
      </c>
      <c r="R88" s="57"/>
      <c r="S88" s="57"/>
      <c r="T88" s="57"/>
      <c r="U88" s="57"/>
      <c r="V88" s="73">
        <f t="shared" si="4"/>
        <v>0</v>
      </c>
      <c r="W88" s="106"/>
      <c r="X88" s="64"/>
    </row>
    <row r="89" spans="1:24" s="66" customFormat="1" ht="12" hidden="1" customHeight="1">
      <c r="A89" s="74" t="s">
        <v>83</v>
      </c>
      <c r="B89" s="74"/>
      <c r="C89" s="74"/>
      <c r="D89" s="74"/>
      <c r="E89" s="74"/>
      <c r="F89" s="74"/>
      <c r="G89" s="74"/>
      <c r="H89" s="74"/>
      <c r="I89" s="75" t="s">
        <v>1930</v>
      </c>
      <c r="J89" s="75" t="s">
        <v>1320</v>
      </c>
      <c r="K89" s="74" t="s">
        <v>1327</v>
      </c>
      <c r="L89" s="76" t="s">
        <v>0</v>
      </c>
      <c r="M89" s="57"/>
      <c r="N89" s="77">
        <v>3840</v>
      </c>
      <c r="O89" s="57">
        <f t="shared" si="1"/>
        <v>0</v>
      </c>
      <c r="P89" s="77">
        <v>28499</v>
      </c>
      <c r="Q89" s="73">
        <f t="shared" si="3"/>
        <v>0</v>
      </c>
      <c r="R89" s="57"/>
      <c r="S89" s="57"/>
      <c r="T89" s="57"/>
      <c r="U89" s="57"/>
      <c r="V89" s="73">
        <f t="shared" si="4"/>
        <v>0</v>
      </c>
      <c r="W89" s="106"/>
      <c r="X89" s="64"/>
    </row>
    <row r="90" spans="1:24" s="66" customFormat="1" ht="12" hidden="1" customHeight="1">
      <c r="A90" s="74" t="s">
        <v>84</v>
      </c>
      <c r="B90" s="74"/>
      <c r="C90" s="74"/>
      <c r="D90" s="74"/>
      <c r="E90" s="74"/>
      <c r="F90" s="74"/>
      <c r="G90" s="74"/>
      <c r="H90" s="74"/>
      <c r="I90" s="75" t="s">
        <v>1931</v>
      </c>
      <c r="J90" s="75" t="s">
        <v>1320</v>
      </c>
      <c r="K90" s="74" t="s">
        <v>1326</v>
      </c>
      <c r="L90" s="76" t="s">
        <v>0</v>
      </c>
      <c r="M90" s="57"/>
      <c r="N90" s="77">
        <v>5000</v>
      </c>
      <c r="O90" s="57">
        <f t="shared" si="1"/>
        <v>0</v>
      </c>
      <c r="P90" s="77">
        <v>36272</v>
      </c>
      <c r="Q90" s="73">
        <f t="shared" si="3"/>
        <v>0</v>
      </c>
      <c r="R90" s="57"/>
      <c r="S90" s="57"/>
      <c r="T90" s="57"/>
      <c r="U90" s="57"/>
      <c r="V90" s="73">
        <f t="shared" si="4"/>
        <v>0</v>
      </c>
      <c r="W90" s="106"/>
      <c r="X90" s="64"/>
    </row>
    <row r="91" spans="1:24" s="66" customFormat="1" ht="12" hidden="1" customHeight="1">
      <c r="A91" s="74" t="s">
        <v>85</v>
      </c>
      <c r="B91" s="74"/>
      <c r="C91" s="74"/>
      <c r="D91" s="74"/>
      <c r="E91" s="74"/>
      <c r="F91" s="74"/>
      <c r="G91" s="74"/>
      <c r="H91" s="74"/>
      <c r="I91" s="75" t="s">
        <v>1932</v>
      </c>
      <c r="J91" s="75" t="s">
        <v>1320</v>
      </c>
      <c r="K91" s="74" t="s">
        <v>1325</v>
      </c>
      <c r="L91" s="76" t="s">
        <v>0</v>
      </c>
      <c r="M91" s="57"/>
      <c r="N91" s="77">
        <v>6400</v>
      </c>
      <c r="O91" s="57">
        <f t="shared" si="1"/>
        <v>0</v>
      </c>
      <c r="P91" s="77">
        <v>51817</v>
      </c>
      <c r="Q91" s="73">
        <f t="shared" si="3"/>
        <v>0</v>
      </c>
      <c r="R91" s="57"/>
      <c r="S91" s="57"/>
      <c r="T91" s="57"/>
      <c r="U91" s="57"/>
      <c r="V91" s="73">
        <f t="shared" si="4"/>
        <v>0</v>
      </c>
      <c r="W91" s="106"/>
      <c r="X91" s="64"/>
    </row>
    <row r="92" spans="1:24" s="66" customFormat="1" ht="12" hidden="1" customHeight="1">
      <c r="A92" s="74" t="s">
        <v>86</v>
      </c>
      <c r="B92" s="74"/>
      <c r="C92" s="74"/>
      <c r="D92" s="74"/>
      <c r="E92" s="74"/>
      <c r="F92" s="74"/>
      <c r="G92" s="74"/>
      <c r="H92" s="74"/>
      <c r="I92" s="75" t="s">
        <v>1933</v>
      </c>
      <c r="J92" s="75" t="s">
        <v>1320</v>
      </c>
      <c r="K92" s="74" t="s">
        <v>1324</v>
      </c>
      <c r="L92" s="76" t="s">
        <v>0</v>
      </c>
      <c r="M92" s="57"/>
      <c r="N92" s="77">
        <v>7360</v>
      </c>
      <c r="O92" s="57">
        <f t="shared" si="1"/>
        <v>0</v>
      </c>
      <c r="P92" s="77">
        <v>64772</v>
      </c>
      <c r="Q92" s="73">
        <f t="shared" si="3"/>
        <v>0</v>
      </c>
      <c r="R92" s="57"/>
      <c r="S92" s="57"/>
      <c r="T92" s="57"/>
      <c r="U92" s="57"/>
      <c r="V92" s="73">
        <f t="shared" si="4"/>
        <v>0</v>
      </c>
      <c r="W92" s="106"/>
      <c r="X92" s="64"/>
    </row>
    <row r="93" spans="1:24" s="66" customFormat="1" ht="12" hidden="1" customHeight="1">
      <c r="A93" s="74" t="s">
        <v>87</v>
      </c>
      <c r="B93" s="74"/>
      <c r="C93" s="74"/>
      <c r="D93" s="74"/>
      <c r="E93" s="74"/>
      <c r="F93" s="74"/>
      <c r="G93" s="74"/>
      <c r="H93" s="74"/>
      <c r="I93" s="75" t="s">
        <v>1934</v>
      </c>
      <c r="J93" s="75" t="s">
        <v>1320</v>
      </c>
      <c r="K93" s="74" t="s">
        <v>1323</v>
      </c>
      <c r="L93" s="76" t="s">
        <v>0</v>
      </c>
      <c r="M93" s="57"/>
      <c r="N93" s="77">
        <v>10320</v>
      </c>
      <c r="O93" s="57">
        <f t="shared" ref="O93:O166" si="5">M93*N93*$O$3</f>
        <v>0</v>
      </c>
      <c r="P93" s="77">
        <v>88090</v>
      </c>
      <c r="Q93" s="73">
        <f t="shared" si="3"/>
        <v>0</v>
      </c>
      <c r="R93" s="57"/>
      <c r="S93" s="57"/>
      <c r="T93" s="57"/>
      <c r="U93" s="57"/>
      <c r="V93" s="73">
        <f t="shared" si="4"/>
        <v>0</v>
      </c>
      <c r="W93" s="106"/>
      <c r="X93" s="64"/>
    </row>
    <row r="94" spans="1:24" s="66" customFormat="1" ht="12" hidden="1" customHeight="1">
      <c r="A94" s="74" t="s">
        <v>88</v>
      </c>
      <c r="B94" s="74"/>
      <c r="C94" s="74"/>
      <c r="D94" s="74"/>
      <c r="E94" s="74"/>
      <c r="F94" s="74"/>
      <c r="G94" s="74"/>
      <c r="H94" s="74"/>
      <c r="I94" s="75" t="s">
        <v>1935</v>
      </c>
      <c r="J94" s="75" t="s">
        <v>1320</v>
      </c>
      <c r="K94" s="74" t="s">
        <v>1322</v>
      </c>
      <c r="L94" s="76" t="s">
        <v>0</v>
      </c>
      <c r="M94" s="57"/>
      <c r="N94" s="77">
        <v>13170</v>
      </c>
      <c r="O94" s="57">
        <f t="shared" si="5"/>
        <v>0</v>
      </c>
      <c r="P94" s="77">
        <v>113999</v>
      </c>
      <c r="Q94" s="73">
        <f t="shared" si="3"/>
        <v>0</v>
      </c>
      <c r="R94" s="57"/>
      <c r="S94" s="57"/>
      <c r="T94" s="57"/>
      <c r="U94" s="57"/>
      <c r="V94" s="73">
        <f t="shared" si="4"/>
        <v>0</v>
      </c>
      <c r="W94" s="106"/>
      <c r="X94" s="64"/>
    </row>
    <row r="95" spans="1:24" s="66" customFormat="1" ht="12" hidden="1" customHeight="1">
      <c r="A95" s="74" t="s">
        <v>89</v>
      </c>
      <c r="B95" s="74"/>
      <c r="C95" s="74"/>
      <c r="D95" s="74"/>
      <c r="E95" s="74"/>
      <c r="F95" s="74"/>
      <c r="G95" s="74"/>
      <c r="H95" s="74"/>
      <c r="I95" s="75" t="s">
        <v>1936</v>
      </c>
      <c r="J95" s="75" t="s">
        <v>1320</v>
      </c>
      <c r="K95" s="74" t="s">
        <v>1321</v>
      </c>
      <c r="L95" s="76" t="s">
        <v>0</v>
      </c>
      <c r="M95" s="57"/>
      <c r="N95" s="77">
        <v>15160</v>
      </c>
      <c r="O95" s="57">
        <f t="shared" si="5"/>
        <v>0</v>
      </c>
      <c r="P95" s="77">
        <v>139908</v>
      </c>
      <c r="Q95" s="73">
        <f t="shared" si="3"/>
        <v>0</v>
      </c>
      <c r="R95" s="57"/>
      <c r="S95" s="57"/>
      <c r="T95" s="57"/>
      <c r="U95" s="57"/>
      <c r="V95" s="73">
        <f t="shared" si="4"/>
        <v>0</v>
      </c>
      <c r="W95" s="106"/>
      <c r="X95" s="64"/>
    </row>
    <row r="96" spans="1:24" s="66" customFormat="1" ht="12" hidden="1" customHeight="1">
      <c r="A96" s="74" t="s">
        <v>90</v>
      </c>
      <c r="B96" s="74"/>
      <c r="C96" s="74"/>
      <c r="D96" s="74"/>
      <c r="E96" s="74"/>
      <c r="F96" s="74"/>
      <c r="G96" s="74"/>
      <c r="H96" s="74"/>
      <c r="I96" s="75" t="s">
        <v>1937</v>
      </c>
      <c r="J96" s="75" t="s">
        <v>1320</v>
      </c>
      <c r="K96" s="74" t="s">
        <v>1319</v>
      </c>
      <c r="L96" s="76" t="s">
        <v>0</v>
      </c>
      <c r="M96" s="57"/>
      <c r="N96" s="77">
        <v>24460</v>
      </c>
      <c r="O96" s="57">
        <f t="shared" si="5"/>
        <v>0</v>
      </c>
      <c r="P96" s="77">
        <v>183953</v>
      </c>
      <c r="Q96" s="73">
        <f t="shared" si="3"/>
        <v>0</v>
      </c>
      <c r="R96" s="57"/>
      <c r="S96" s="57"/>
      <c r="T96" s="57"/>
      <c r="U96" s="57"/>
      <c r="V96" s="73">
        <f t="shared" si="4"/>
        <v>0</v>
      </c>
      <c r="W96" s="106"/>
      <c r="X96" s="64"/>
    </row>
    <row r="97" spans="1:24" s="66" customFormat="1" ht="12" hidden="1" customHeight="1">
      <c r="A97" s="74" t="s">
        <v>1710</v>
      </c>
      <c r="B97" s="74"/>
      <c r="C97" s="74"/>
      <c r="D97" s="74"/>
      <c r="E97" s="74"/>
      <c r="F97" s="74"/>
      <c r="G97" s="74"/>
      <c r="H97" s="74"/>
      <c r="I97" s="75" t="s">
        <v>1943</v>
      </c>
      <c r="J97" s="75" t="s">
        <v>1313</v>
      </c>
      <c r="K97" s="74" t="s">
        <v>783</v>
      </c>
      <c r="L97" s="76" t="s">
        <v>0</v>
      </c>
      <c r="M97" s="57"/>
      <c r="N97" s="77">
        <v>9580</v>
      </c>
      <c r="O97" s="57">
        <f t="shared" si="5"/>
        <v>0</v>
      </c>
      <c r="P97" s="77">
        <v>35236</v>
      </c>
      <c r="Q97" s="73">
        <f t="shared" si="3"/>
        <v>0</v>
      </c>
      <c r="R97" s="57"/>
      <c r="S97" s="57"/>
      <c r="T97" s="57"/>
      <c r="U97" s="57"/>
      <c r="V97" s="73">
        <f t="shared" si="4"/>
        <v>0</v>
      </c>
      <c r="W97" s="106"/>
      <c r="X97" s="64"/>
    </row>
    <row r="98" spans="1:24" s="66" customFormat="1" ht="12" hidden="1" customHeight="1">
      <c r="A98" s="74" t="s">
        <v>1711</v>
      </c>
      <c r="B98" s="74"/>
      <c r="C98" s="74"/>
      <c r="D98" s="74"/>
      <c r="E98" s="74"/>
      <c r="F98" s="74"/>
      <c r="G98" s="74"/>
      <c r="H98" s="74"/>
      <c r="I98" s="75" t="s">
        <v>1944</v>
      </c>
      <c r="J98" s="75" t="s">
        <v>1313</v>
      </c>
      <c r="K98" s="74" t="s">
        <v>784</v>
      </c>
      <c r="L98" s="76" t="s">
        <v>0</v>
      </c>
      <c r="M98" s="57"/>
      <c r="N98" s="77">
        <v>19320</v>
      </c>
      <c r="O98" s="57">
        <f t="shared" si="5"/>
        <v>0</v>
      </c>
      <c r="P98" s="77">
        <v>40417</v>
      </c>
      <c r="Q98" s="73">
        <f t="shared" si="3"/>
        <v>0</v>
      </c>
      <c r="R98" s="57"/>
      <c r="S98" s="57"/>
      <c r="T98" s="57"/>
      <c r="U98" s="57"/>
      <c r="V98" s="73">
        <f t="shared" si="4"/>
        <v>0</v>
      </c>
      <c r="W98" s="106"/>
      <c r="X98" s="64"/>
    </row>
    <row r="99" spans="1:24" s="66" customFormat="1" ht="12" hidden="1" customHeight="1">
      <c r="A99" s="74" t="s">
        <v>1712</v>
      </c>
      <c r="B99" s="74"/>
      <c r="C99" s="74"/>
      <c r="D99" s="74"/>
      <c r="E99" s="74"/>
      <c r="F99" s="74"/>
      <c r="G99" s="74"/>
      <c r="H99" s="74"/>
      <c r="I99" s="75" t="s">
        <v>1945</v>
      </c>
      <c r="J99" s="75" t="s">
        <v>1313</v>
      </c>
      <c r="K99" s="74" t="s">
        <v>785</v>
      </c>
      <c r="L99" s="76" t="s">
        <v>0</v>
      </c>
      <c r="M99" s="57"/>
      <c r="N99" s="77">
        <v>27160</v>
      </c>
      <c r="O99" s="57">
        <f t="shared" si="5"/>
        <v>0</v>
      </c>
      <c r="P99" s="77">
        <v>45599</v>
      </c>
      <c r="Q99" s="73">
        <f t="shared" si="3"/>
        <v>0</v>
      </c>
      <c r="R99" s="57"/>
      <c r="S99" s="57"/>
      <c r="T99" s="57"/>
      <c r="U99" s="57"/>
      <c r="V99" s="73">
        <f t="shared" si="4"/>
        <v>0</v>
      </c>
      <c r="W99" s="106"/>
      <c r="X99" s="64"/>
    </row>
    <row r="100" spans="1:24" s="66" customFormat="1" ht="12" hidden="1" customHeight="1">
      <c r="A100" s="74" t="s">
        <v>1713</v>
      </c>
      <c r="B100" s="74"/>
      <c r="C100" s="74"/>
      <c r="D100" s="74"/>
      <c r="E100" s="74"/>
      <c r="F100" s="74"/>
      <c r="G100" s="74"/>
      <c r="H100" s="74"/>
      <c r="I100" s="75" t="s">
        <v>1946</v>
      </c>
      <c r="J100" s="75" t="s">
        <v>1313</v>
      </c>
      <c r="K100" s="74" t="s">
        <v>786</v>
      </c>
      <c r="L100" s="76" t="s">
        <v>0</v>
      </c>
      <c r="M100" s="57"/>
      <c r="N100" s="77">
        <v>37150</v>
      </c>
      <c r="O100" s="57">
        <f t="shared" si="5"/>
        <v>0</v>
      </c>
      <c r="P100" s="77">
        <v>55963</v>
      </c>
      <c r="Q100" s="73">
        <f t="shared" si="3"/>
        <v>0</v>
      </c>
      <c r="R100" s="57"/>
      <c r="S100" s="57"/>
      <c r="T100" s="57"/>
      <c r="U100" s="57"/>
      <c r="V100" s="73">
        <f t="shared" si="4"/>
        <v>0</v>
      </c>
      <c r="W100" s="106"/>
      <c r="X100" s="64"/>
    </row>
    <row r="101" spans="1:24" s="66" customFormat="1" ht="12" hidden="1" customHeight="1">
      <c r="A101" s="74" t="s">
        <v>91</v>
      </c>
      <c r="B101" s="74"/>
      <c r="C101" s="74"/>
      <c r="D101" s="74"/>
      <c r="E101" s="74"/>
      <c r="F101" s="74"/>
      <c r="G101" s="74"/>
      <c r="H101" s="74"/>
      <c r="I101" s="75" t="s">
        <v>1938</v>
      </c>
      <c r="J101" s="75" t="s">
        <v>1312</v>
      </c>
      <c r="K101" s="74" t="s">
        <v>787</v>
      </c>
      <c r="L101" s="76" t="s">
        <v>0</v>
      </c>
      <c r="M101" s="57"/>
      <c r="N101" s="77">
        <v>1880</v>
      </c>
      <c r="O101" s="57">
        <f t="shared" si="5"/>
        <v>0</v>
      </c>
      <c r="P101" s="77">
        <v>11399</v>
      </c>
      <c r="Q101" s="73">
        <f t="shared" si="3"/>
        <v>0</v>
      </c>
      <c r="R101" s="57"/>
      <c r="S101" s="57"/>
      <c r="T101" s="57"/>
      <c r="U101" s="57"/>
      <c r="V101" s="73">
        <f t="shared" si="4"/>
        <v>0</v>
      </c>
      <c r="W101" s="106"/>
      <c r="X101" s="64"/>
    </row>
    <row r="102" spans="1:24" s="66" customFormat="1" ht="12" hidden="1" customHeight="1">
      <c r="A102" s="74" t="s">
        <v>92</v>
      </c>
      <c r="B102" s="74"/>
      <c r="C102" s="74"/>
      <c r="D102" s="74"/>
      <c r="E102" s="74"/>
      <c r="F102" s="74"/>
      <c r="G102" s="74"/>
      <c r="H102" s="74"/>
      <c r="I102" s="75" t="s">
        <v>1939</v>
      </c>
      <c r="J102" s="75" t="s">
        <v>1312</v>
      </c>
      <c r="K102" s="74" t="s">
        <v>788</v>
      </c>
      <c r="L102" s="76" t="s">
        <v>0</v>
      </c>
      <c r="M102" s="57"/>
      <c r="N102" s="77">
        <v>2450</v>
      </c>
      <c r="O102" s="57">
        <f t="shared" si="5"/>
        <v>0</v>
      </c>
      <c r="P102" s="77">
        <v>15286</v>
      </c>
      <c r="Q102" s="73">
        <f t="shared" si="3"/>
        <v>0</v>
      </c>
      <c r="R102" s="57"/>
      <c r="S102" s="57"/>
      <c r="T102" s="57"/>
      <c r="U102" s="57"/>
      <c r="V102" s="73">
        <f t="shared" si="4"/>
        <v>0</v>
      </c>
      <c r="W102" s="106"/>
      <c r="X102" s="64"/>
    </row>
    <row r="103" spans="1:24" s="66" customFormat="1" ht="12" hidden="1" customHeight="1">
      <c r="A103" s="74" t="s">
        <v>93</v>
      </c>
      <c r="B103" s="74"/>
      <c r="C103" s="74"/>
      <c r="D103" s="74"/>
      <c r="E103" s="74"/>
      <c r="F103" s="74"/>
      <c r="G103" s="74"/>
      <c r="H103" s="74"/>
      <c r="I103" s="75" t="s">
        <v>1940</v>
      </c>
      <c r="J103" s="75" t="s">
        <v>1312</v>
      </c>
      <c r="K103" s="74" t="s">
        <v>789</v>
      </c>
      <c r="L103" s="76" t="s">
        <v>0</v>
      </c>
      <c r="M103" s="57"/>
      <c r="N103" s="77">
        <v>2860</v>
      </c>
      <c r="O103" s="57">
        <f t="shared" si="5"/>
        <v>0</v>
      </c>
      <c r="P103" s="77">
        <v>18654</v>
      </c>
      <c r="Q103" s="73">
        <f t="shared" si="3"/>
        <v>0</v>
      </c>
      <c r="R103" s="57"/>
      <c r="S103" s="57"/>
      <c r="T103" s="57"/>
      <c r="U103" s="57"/>
      <c r="V103" s="73">
        <f t="shared" si="4"/>
        <v>0</v>
      </c>
      <c r="W103" s="106"/>
      <c r="X103" s="64"/>
    </row>
    <row r="104" spans="1:24" s="66" customFormat="1" ht="12" hidden="1" customHeight="1">
      <c r="A104" s="74" t="s">
        <v>94</v>
      </c>
      <c r="B104" s="74"/>
      <c r="C104" s="74"/>
      <c r="D104" s="74"/>
      <c r="E104" s="74"/>
      <c r="F104" s="74"/>
      <c r="G104" s="74"/>
      <c r="H104" s="74"/>
      <c r="I104" s="75" t="s">
        <v>1941</v>
      </c>
      <c r="J104" s="75" t="s">
        <v>1312</v>
      </c>
      <c r="K104" s="74" t="s">
        <v>790</v>
      </c>
      <c r="L104" s="76" t="s">
        <v>0</v>
      </c>
      <c r="M104" s="57"/>
      <c r="N104" s="77">
        <v>4320</v>
      </c>
      <c r="O104" s="57">
        <f t="shared" si="5"/>
        <v>0</v>
      </c>
      <c r="P104" s="77">
        <v>22540</v>
      </c>
      <c r="Q104" s="73">
        <f t="shared" si="3"/>
        <v>0</v>
      </c>
      <c r="R104" s="57"/>
      <c r="S104" s="57"/>
      <c r="T104" s="57"/>
      <c r="U104" s="57"/>
      <c r="V104" s="73">
        <f t="shared" si="4"/>
        <v>0</v>
      </c>
      <c r="W104" s="106"/>
      <c r="X104" s="64"/>
    </row>
    <row r="105" spans="1:24" s="66" customFormat="1" ht="12" hidden="1" customHeight="1">
      <c r="A105" s="74" t="s">
        <v>95</v>
      </c>
      <c r="B105" s="74"/>
      <c r="C105" s="74"/>
      <c r="D105" s="74"/>
      <c r="E105" s="74"/>
      <c r="F105" s="74"/>
      <c r="G105" s="74"/>
      <c r="H105" s="74"/>
      <c r="I105" s="75" t="s">
        <v>1942</v>
      </c>
      <c r="J105" s="75" t="s">
        <v>1312</v>
      </c>
      <c r="K105" s="74" t="s">
        <v>791</v>
      </c>
      <c r="L105" s="76" t="s">
        <v>0</v>
      </c>
      <c r="M105" s="57"/>
      <c r="N105" s="77">
        <v>5730</v>
      </c>
      <c r="O105" s="57">
        <f t="shared" si="5"/>
        <v>0</v>
      </c>
      <c r="P105" s="77">
        <v>26945</v>
      </c>
      <c r="Q105" s="73">
        <f t="shared" si="3"/>
        <v>0</v>
      </c>
      <c r="R105" s="57"/>
      <c r="S105" s="57"/>
      <c r="T105" s="57"/>
      <c r="U105" s="57"/>
      <c r="V105" s="73">
        <f t="shared" si="4"/>
        <v>0</v>
      </c>
      <c r="W105" s="106"/>
      <c r="X105" s="64"/>
    </row>
    <row r="106" spans="1:24" s="66" customFormat="1" ht="12" hidden="1" customHeight="1">
      <c r="A106" s="74" t="s">
        <v>3178</v>
      </c>
      <c r="B106" s="74"/>
      <c r="C106" s="74"/>
      <c r="D106" s="74"/>
      <c r="E106" s="74"/>
      <c r="F106" s="74"/>
      <c r="G106" s="74"/>
      <c r="H106" s="74"/>
      <c r="I106" s="75" t="s">
        <v>1929</v>
      </c>
      <c r="J106" s="75" t="s">
        <v>1320</v>
      </c>
      <c r="K106" s="74" t="s">
        <v>1328</v>
      </c>
      <c r="L106" s="76" t="s">
        <v>0</v>
      </c>
      <c r="M106" s="57"/>
      <c r="N106" s="77">
        <v>2960</v>
      </c>
      <c r="O106" s="57">
        <f t="shared" si="5"/>
        <v>0</v>
      </c>
      <c r="P106" s="77">
        <v>20727</v>
      </c>
      <c r="Q106" s="73">
        <f t="shared" si="3"/>
        <v>0</v>
      </c>
      <c r="R106" s="57"/>
      <c r="S106" s="57"/>
      <c r="T106" s="57"/>
      <c r="U106" s="57"/>
      <c r="V106" s="73">
        <f t="shared" si="4"/>
        <v>0</v>
      </c>
      <c r="W106" s="106"/>
      <c r="X106" s="64"/>
    </row>
    <row r="107" spans="1:24" s="66" customFormat="1" ht="12" hidden="1" customHeight="1">
      <c r="A107" s="74" t="s">
        <v>3179</v>
      </c>
      <c r="B107" s="74"/>
      <c r="C107" s="74"/>
      <c r="D107" s="74"/>
      <c r="E107" s="74"/>
      <c r="F107" s="74"/>
      <c r="G107" s="74"/>
      <c r="H107" s="74"/>
      <c r="I107" s="75" t="s">
        <v>1930</v>
      </c>
      <c r="J107" s="75" t="s">
        <v>1320</v>
      </c>
      <c r="K107" s="74" t="s">
        <v>1327</v>
      </c>
      <c r="L107" s="76" t="s">
        <v>0</v>
      </c>
      <c r="M107" s="57"/>
      <c r="N107" s="77">
        <v>3840</v>
      </c>
      <c r="O107" s="57">
        <f t="shared" si="5"/>
        <v>0</v>
      </c>
      <c r="P107" s="77">
        <v>28499</v>
      </c>
      <c r="Q107" s="73">
        <f t="shared" si="3"/>
        <v>0</v>
      </c>
      <c r="R107" s="57"/>
      <c r="S107" s="57"/>
      <c r="T107" s="57"/>
      <c r="U107" s="57"/>
      <c r="V107" s="73">
        <f t="shared" si="4"/>
        <v>0</v>
      </c>
      <c r="W107" s="106"/>
      <c r="X107" s="64"/>
    </row>
    <row r="108" spans="1:24" s="66" customFormat="1" ht="12" hidden="1" customHeight="1">
      <c r="A108" s="74" t="s">
        <v>3180</v>
      </c>
      <c r="B108" s="74"/>
      <c r="C108" s="74"/>
      <c r="D108" s="74"/>
      <c r="E108" s="74"/>
      <c r="F108" s="74"/>
      <c r="G108" s="74"/>
      <c r="H108" s="74"/>
      <c r="I108" s="75" t="s">
        <v>1931</v>
      </c>
      <c r="J108" s="75" t="s">
        <v>1320</v>
      </c>
      <c r="K108" s="74" t="s">
        <v>1326</v>
      </c>
      <c r="L108" s="76" t="s">
        <v>0</v>
      </c>
      <c r="M108" s="57"/>
      <c r="N108" s="77">
        <v>5000</v>
      </c>
      <c r="O108" s="57">
        <f t="shared" si="5"/>
        <v>0</v>
      </c>
      <c r="P108" s="77">
        <v>36272</v>
      </c>
      <c r="Q108" s="73">
        <f t="shared" si="3"/>
        <v>0</v>
      </c>
      <c r="R108" s="57"/>
      <c r="S108" s="57"/>
      <c r="T108" s="57"/>
      <c r="U108" s="57"/>
      <c r="V108" s="73">
        <f t="shared" si="4"/>
        <v>0</v>
      </c>
      <c r="W108" s="106"/>
      <c r="X108" s="64"/>
    </row>
    <row r="109" spans="1:24" s="66" customFormat="1" ht="12" hidden="1" customHeight="1">
      <c r="A109" s="74" t="s">
        <v>3181</v>
      </c>
      <c r="B109" s="74"/>
      <c r="C109" s="74"/>
      <c r="D109" s="74"/>
      <c r="E109" s="74"/>
      <c r="F109" s="74"/>
      <c r="G109" s="74"/>
      <c r="H109" s="74"/>
      <c r="I109" s="75" t="s">
        <v>1932</v>
      </c>
      <c r="J109" s="75" t="s">
        <v>1320</v>
      </c>
      <c r="K109" s="74" t="s">
        <v>1325</v>
      </c>
      <c r="L109" s="76" t="s">
        <v>0</v>
      </c>
      <c r="M109" s="57"/>
      <c r="N109" s="77">
        <v>6400</v>
      </c>
      <c r="O109" s="57">
        <f t="shared" si="5"/>
        <v>0</v>
      </c>
      <c r="P109" s="77">
        <v>51817</v>
      </c>
      <c r="Q109" s="73">
        <f t="shared" si="3"/>
        <v>0</v>
      </c>
      <c r="R109" s="57"/>
      <c r="S109" s="57"/>
      <c r="T109" s="57"/>
      <c r="U109" s="57"/>
      <c r="V109" s="73">
        <f t="shared" si="4"/>
        <v>0</v>
      </c>
      <c r="W109" s="106"/>
      <c r="X109" s="64"/>
    </row>
    <row r="110" spans="1:24" s="66" customFormat="1" ht="12" hidden="1" customHeight="1">
      <c r="A110" s="74" t="s">
        <v>3182</v>
      </c>
      <c r="B110" s="74"/>
      <c r="C110" s="74"/>
      <c r="D110" s="74"/>
      <c r="E110" s="74"/>
      <c r="F110" s="74"/>
      <c r="G110" s="74"/>
      <c r="H110" s="74"/>
      <c r="I110" s="75" t="s">
        <v>1933</v>
      </c>
      <c r="J110" s="75" t="s">
        <v>1320</v>
      </c>
      <c r="K110" s="74" t="s">
        <v>1324</v>
      </c>
      <c r="L110" s="76" t="s">
        <v>0</v>
      </c>
      <c r="M110" s="57"/>
      <c r="N110" s="77">
        <v>7360</v>
      </c>
      <c r="O110" s="57">
        <f t="shared" si="5"/>
        <v>0</v>
      </c>
      <c r="P110" s="77">
        <v>64772</v>
      </c>
      <c r="Q110" s="73">
        <f t="shared" si="3"/>
        <v>0</v>
      </c>
      <c r="R110" s="57"/>
      <c r="S110" s="57"/>
      <c r="T110" s="57"/>
      <c r="U110" s="57"/>
      <c r="V110" s="73">
        <f t="shared" si="4"/>
        <v>0</v>
      </c>
      <c r="W110" s="106"/>
      <c r="X110" s="64"/>
    </row>
    <row r="111" spans="1:24" s="66" customFormat="1" ht="12" hidden="1" customHeight="1">
      <c r="A111" s="74" t="s">
        <v>3183</v>
      </c>
      <c r="B111" s="74"/>
      <c r="C111" s="74"/>
      <c r="D111" s="74"/>
      <c r="E111" s="74"/>
      <c r="F111" s="74"/>
      <c r="G111" s="74"/>
      <c r="H111" s="74"/>
      <c r="I111" s="75" t="s">
        <v>1934</v>
      </c>
      <c r="J111" s="75" t="s">
        <v>1320</v>
      </c>
      <c r="K111" s="74" t="s">
        <v>1323</v>
      </c>
      <c r="L111" s="76" t="s">
        <v>0</v>
      </c>
      <c r="M111" s="57"/>
      <c r="N111" s="77">
        <v>10320</v>
      </c>
      <c r="O111" s="57">
        <f t="shared" si="5"/>
        <v>0</v>
      </c>
      <c r="P111" s="77">
        <v>88090</v>
      </c>
      <c r="Q111" s="73">
        <f t="shared" si="3"/>
        <v>0</v>
      </c>
      <c r="R111" s="57"/>
      <c r="S111" s="57"/>
      <c r="T111" s="57"/>
      <c r="U111" s="57"/>
      <c r="V111" s="73">
        <f t="shared" si="4"/>
        <v>0</v>
      </c>
      <c r="W111" s="106"/>
      <c r="X111" s="64"/>
    </row>
    <row r="112" spans="1:24" s="66" customFormat="1" ht="12" hidden="1" customHeight="1">
      <c r="A112" s="74" t="s">
        <v>3184</v>
      </c>
      <c r="B112" s="74"/>
      <c r="C112" s="74"/>
      <c r="D112" s="74"/>
      <c r="E112" s="74"/>
      <c r="F112" s="74"/>
      <c r="G112" s="74"/>
      <c r="H112" s="74"/>
      <c r="I112" s="75" t="s">
        <v>1938</v>
      </c>
      <c r="J112" s="75" t="s">
        <v>1311</v>
      </c>
      <c r="K112" s="74" t="s">
        <v>795</v>
      </c>
      <c r="L112" s="76" t="s">
        <v>0</v>
      </c>
      <c r="M112" s="57"/>
      <c r="N112" s="77">
        <v>1040</v>
      </c>
      <c r="O112" s="57">
        <f t="shared" si="5"/>
        <v>0</v>
      </c>
      <c r="P112" s="77">
        <v>11399</v>
      </c>
      <c r="Q112" s="73">
        <f t="shared" si="3"/>
        <v>0</v>
      </c>
      <c r="R112" s="57"/>
      <c r="S112" s="57"/>
      <c r="T112" s="57"/>
      <c r="U112" s="57"/>
      <c r="V112" s="73">
        <f t="shared" si="4"/>
        <v>0</v>
      </c>
      <c r="W112" s="106"/>
      <c r="X112" s="64"/>
    </row>
    <row r="113" spans="1:24" s="66" customFormat="1" ht="12" hidden="1" customHeight="1">
      <c r="A113" s="74" t="s">
        <v>3185</v>
      </c>
      <c r="B113" s="74"/>
      <c r="C113" s="74"/>
      <c r="D113" s="74"/>
      <c r="E113" s="74"/>
      <c r="F113" s="74"/>
      <c r="G113" s="74"/>
      <c r="H113" s="74"/>
      <c r="I113" s="75" t="s">
        <v>1939</v>
      </c>
      <c r="J113" s="75" t="s">
        <v>1311</v>
      </c>
      <c r="K113" s="74" t="s">
        <v>796</v>
      </c>
      <c r="L113" s="76" t="s">
        <v>0</v>
      </c>
      <c r="M113" s="57"/>
      <c r="N113" s="77">
        <v>1350</v>
      </c>
      <c r="O113" s="57">
        <f t="shared" si="5"/>
        <v>0</v>
      </c>
      <c r="P113" s="77">
        <v>15286</v>
      </c>
      <c r="Q113" s="73">
        <f t="shared" si="3"/>
        <v>0</v>
      </c>
      <c r="R113" s="57"/>
      <c r="S113" s="57"/>
      <c r="T113" s="57"/>
      <c r="U113" s="57"/>
      <c r="V113" s="73">
        <f t="shared" si="4"/>
        <v>0</v>
      </c>
      <c r="W113" s="106"/>
      <c r="X113" s="64"/>
    </row>
    <row r="114" spans="1:24" s="66" customFormat="1" ht="12" hidden="1" customHeight="1">
      <c r="A114" s="74" t="s">
        <v>1785</v>
      </c>
      <c r="B114" s="74"/>
      <c r="C114" s="74"/>
      <c r="D114" s="74"/>
      <c r="E114" s="74"/>
      <c r="F114" s="74"/>
      <c r="G114" s="74"/>
      <c r="H114" s="74"/>
      <c r="I114" s="75" t="s">
        <v>1929</v>
      </c>
      <c r="J114" s="75" t="s">
        <v>1320</v>
      </c>
      <c r="K114" s="74" t="s">
        <v>1328</v>
      </c>
      <c r="L114" s="76" t="s">
        <v>0</v>
      </c>
      <c r="M114" s="57"/>
      <c r="N114" s="77">
        <v>2960</v>
      </c>
      <c r="O114" s="57">
        <f t="shared" si="5"/>
        <v>0</v>
      </c>
      <c r="P114" s="77">
        <v>20727</v>
      </c>
      <c r="Q114" s="73">
        <f t="shared" si="3"/>
        <v>0</v>
      </c>
      <c r="R114" s="57"/>
      <c r="S114" s="57"/>
      <c r="T114" s="57"/>
      <c r="U114" s="57"/>
      <c r="V114" s="73">
        <f t="shared" si="4"/>
        <v>0</v>
      </c>
      <c r="W114" s="106"/>
      <c r="X114" s="64"/>
    </row>
    <row r="115" spans="1:24" s="66" customFormat="1" ht="12" hidden="1" customHeight="1">
      <c r="A115" s="74" t="s">
        <v>1786</v>
      </c>
      <c r="B115" s="74"/>
      <c r="C115" s="74"/>
      <c r="D115" s="74"/>
      <c r="E115" s="74"/>
      <c r="F115" s="74"/>
      <c r="G115" s="74"/>
      <c r="H115" s="74"/>
      <c r="I115" s="75" t="s">
        <v>1930</v>
      </c>
      <c r="J115" s="75" t="s">
        <v>1320</v>
      </c>
      <c r="K115" s="74" t="s">
        <v>1327</v>
      </c>
      <c r="L115" s="76" t="s">
        <v>0</v>
      </c>
      <c r="M115" s="57"/>
      <c r="N115" s="77">
        <v>3840</v>
      </c>
      <c r="O115" s="57">
        <f t="shared" si="5"/>
        <v>0</v>
      </c>
      <c r="P115" s="77">
        <v>28499</v>
      </c>
      <c r="Q115" s="73">
        <f t="shared" si="3"/>
        <v>0</v>
      </c>
      <c r="R115" s="57"/>
      <c r="S115" s="57"/>
      <c r="T115" s="57"/>
      <c r="U115" s="57"/>
      <c r="V115" s="73">
        <f t="shared" si="4"/>
        <v>0</v>
      </c>
      <c r="W115" s="106"/>
      <c r="X115" s="64"/>
    </row>
    <row r="116" spans="1:24" s="66" customFormat="1" ht="12" hidden="1" customHeight="1">
      <c r="A116" s="74" t="s">
        <v>1787</v>
      </c>
      <c r="B116" s="74"/>
      <c r="C116" s="74"/>
      <c r="D116" s="74"/>
      <c r="E116" s="74"/>
      <c r="F116" s="74"/>
      <c r="G116" s="74"/>
      <c r="H116" s="74"/>
      <c r="I116" s="75" t="s">
        <v>1931</v>
      </c>
      <c r="J116" s="75" t="s">
        <v>1320</v>
      </c>
      <c r="K116" s="74" t="s">
        <v>1326</v>
      </c>
      <c r="L116" s="76" t="s">
        <v>0</v>
      </c>
      <c r="M116" s="57"/>
      <c r="N116" s="77">
        <v>5000</v>
      </c>
      <c r="O116" s="57">
        <f t="shared" si="5"/>
        <v>0</v>
      </c>
      <c r="P116" s="77">
        <v>36272</v>
      </c>
      <c r="Q116" s="73">
        <f t="shared" si="3"/>
        <v>0</v>
      </c>
      <c r="R116" s="57"/>
      <c r="S116" s="57"/>
      <c r="T116" s="57"/>
      <c r="U116" s="57"/>
      <c r="V116" s="73">
        <f t="shared" si="4"/>
        <v>0</v>
      </c>
      <c r="W116" s="106"/>
      <c r="X116" s="64"/>
    </row>
    <row r="117" spans="1:24" s="66" customFormat="1" ht="12" hidden="1" customHeight="1">
      <c r="A117" s="74" t="s">
        <v>1788</v>
      </c>
      <c r="B117" s="74"/>
      <c r="C117" s="74"/>
      <c r="D117" s="74"/>
      <c r="E117" s="74"/>
      <c r="F117" s="74"/>
      <c r="G117" s="74"/>
      <c r="H117" s="74"/>
      <c r="I117" s="75" t="s">
        <v>1932</v>
      </c>
      <c r="J117" s="75" t="s">
        <v>1320</v>
      </c>
      <c r="K117" s="74" t="s">
        <v>1325</v>
      </c>
      <c r="L117" s="76" t="s">
        <v>0</v>
      </c>
      <c r="M117" s="57"/>
      <c r="N117" s="77">
        <v>6400</v>
      </c>
      <c r="O117" s="57">
        <f t="shared" si="5"/>
        <v>0</v>
      </c>
      <c r="P117" s="77">
        <v>51817</v>
      </c>
      <c r="Q117" s="73">
        <f t="shared" si="3"/>
        <v>0</v>
      </c>
      <c r="R117" s="57"/>
      <c r="S117" s="57"/>
      <c r="T117" s="57"/>
      <c r="U117" s="57"/>
      <c r="V117" s="73">
        <f t="shared" si="4"/>
        <v>0</v>
      </c>
      <c r="W117" s="106"/>
      <c r="X117" s="64"/>
    </row>
    <row r="118" spans="1:24" s="66" customFormat="1" ht="12" hidden="1" customHeight="1">
      <c r="A118" s="74" t="s">
        <v>1789</v>
      </c>
      <c r="B118" s="74"/>
      <c r="C118" s="74"/>
      <c r="D118" s="74"/>
      <c r="E118" s="74"/>
      <c r="F118" s="74"/>
      <c r="G118" s="74"/>
      <c r="H118" s="74"/>
      <c r="I118" s="75" t="s">
        <v>1933</v>
      </c>
      <c r="J118" s="75" t="s">
        <v>1320</v>
      </c>
      <c r="K118" s="74" t="s">
        <v>1324</v>
      </c>
      <c r="L118" s="76" t="s">
        <v>0</v>
      </c>
      <c r="M118" s="57"/>
      <c r="N118" s="77">
        <v>7360</v>
      </c>
      <c r="O118" s="57">
        <f t="shared" si="5"/>
        <v>0</v>
      </c>
      <c r="P118" s="77">
        <v>64772</v>
      </c>
      <c r="Q118" s="73">
        <f t="shared" si="3"/>
        <v>0</v>
      </c>
      <c r="R118" s="57"/>
      <c r="S118" s="57"/>
      <c r="T118" s="57"/>
      <c r="U118" s="57"/>
      <c r="V118" s="73">
        <f t="shared" si="4"/>
        <v>0</v>
      </c>
      <c r="W118" s="106"/>
      <c r="X118" s="64"/>
    </row>
    <row r="119" spans="1:24" s="66" customFormat="1" ht="12" hidden="1" customHeight="1">
      <c r="A119" s="74" t="s">
        <v>1790</v>
      </c>
      <c r="B119" s="74"/>
      <c r="C119" s="74"/>
      <c r="D119" s="74"/>
      <c r="E119" s="74"/>
      <c r="F119" s="74"/>
      <c r="G119" s="74"/>
      <c r="H119" s="74"/>
      <c r="I119" s="75" t="s">
        <v>1934</v>
      </c>
      <c r="J119" s="75" t="s">
        <v>1320</v>
      </c>
      <c r="K119" s="74" t="s">
        <v>1323</v>
      </c>
      <c r="L119" s="76" t="s">
        <v>0</v>
      </c>
      <c r="M119" s="57"/>
      <c r="N119" s="77">
        <v>10320</v>
      </c>
      <c r="O119" s="57">
        <f t="shared" si="5"/>
        <v>0</v>
      </c>
      <c r="P119" s="77">
        <v>88090</v>
      </c>
      <c r="Q119" s="73">
        <f t="shared" si="3"/>
        <v>0</v>
      </c>
      <c r="R119" s="57"/>
      <c r="S119" s="57"/>
      <c r="T119" s="57"/>
      <c r="U119" s="57"/>
      <c r="V119" s="73">
        <f t="shared" si="4"/>
        <v>0</v>
      </c>
      <c r="W119" s="106"/>
      <c r="X119" s="64"/>
    </row>
    <row r="120" spans="1:24" s="66" customFormat="1" ht="12" hidden="1" customHeight="1">
      <c r="A120" s="74" t="s">
        <v>1791</v>
      </c>
      <c r="B120" s="74"/>
      <c r="C120" s="74"/>
      <c r="D120" s="74"/>
      <c r="E120" s="74"/>
      <c r="F120" s="74"/>
      <c r="G120" s="74"/>
      <c r="H120" s="74"/>
      <c r="I120" s="75" t="s">
        <v>1938</v>
      </c>
      <c r="J120" s="75" t="s">
        <v>1313</v>
      </c>
      <c r="K120" s="74" t="s">
        <v>778</v>
      </c>
      <c r="L120" s="76" t="s">
        <v>0</v>
      </c>
      <c r="M120" s="57"/>
      <c r="N120" s="77">
        <v>2240</v>
      </c>
      <c r="O120" s="57">
        <f t="shared" si="5"/>
        <v>0</v>
      </c>
      <c r="P120" s="77">
        <v>11399</v>
      </c>
      <c r="Q120" s="73">
        <f t="shared" si="3"/>
        <v>0</v>
      </c>
      <c r="R120" s="57"/>
      <c r="S120" s="57"/>
      <c r="T120" s="57"/>
      <c r="U120" s="57"/>
      <c r="V120" s="73">
        <f t="shared" si="4"/>
        <v>0</v>
      </c>
      <c r="W120" s="106"/>
      <c r="X120" s="64"/>
    </row>
    <row r="121" spans="1:24" s="66" customFormat="1" ht="12" hidden="1" customHeight="1">
      <c r="A121" s="74" t="s">
        <v>1792</v>
      </c>
      <c r="B121" s="74"/>
      <c r="C121" s="74"/>
      <c r="D121" s="74"/>
      <c r="E121" s="74"/>
      <c r="F121" s="74"/>
      <c r="G121" s="74"/>
      <c r="H121" s="74"/>
      <c r="I121" s="75" t="s">
        <v>1939</v>
      </c>
      <c r="J121" s="75" t="s">
        <v>1313</v>
      </c>
      <c r="K121" s="74" t="s">
        <v>779</v>
      </c>
      <c r="L121" s="76" t="s">
        <v>0</v>
      </c>
      <c r="M121" s="57"/>
      <c r="N121" s="77">
        <v>2830</v>
      </c>
      <c r="O121" s="57">
        <f t="shared" si="5"/>
        <v>0</v>
      </c>
      <c r="P121" s="77">
        <v>15286</v>
      </c>
      <c r="Q121" s="73">
        <f t="shared" si="3"/>
        <v>0</v>
      </c>
      <c r="R121" s="57"/>
      <c r="S121" s="57"/>
      <c r="T121" s="57"/>
      <c r="U121" s="57"/>
      <c r="V121" s="73">
        <f t="shared" si="4"/>
        <v>0</v>
      </c>
      <c r="W121" s="106"/>
      <c r="X121" s="64"/>
    </row>
    <row r="122" spans="1:24" s="66" customFormat="1" ht="12" hidden="1" customHeight="1">
      <c r="A122" s="74" t="s">
        <v>1793</v>
      </c>
      <c r="B122" s="74"/>
      <c r="C122" s="74"/>
      <c r="D122" s="74"/>
      <c r="E122" s="74"/>
      <c r="F122" s="74"/>
      <c r="G122" s="74"/>
      <c r="H122" s="74"/>
      <c r="I122" s="75" t="s">
        <v>1940</v>
      </c>
      <c r="J122" s="75" t="s">
        <v>1313</v>
      </c>
      <c r="K122" s="74" t="s">
        <v>780</v>
      </c>
      <c r="L122" s="76" t="s">
        <v>0</v>
      </c>
      <c r="M122" s="57"/>
      <c r="N122" s="77">
        <v>3620</v>
      </c>
      <c r="O122" s="57">
        <f t="shared" si="5"/>
        <v>0</v>
      </c>
      <c r="P122" s="77">
        <v>18654</v>
      </c>
      <c r="Q122" s="73">
        <f t="shared" si="3"/>
        <v>0</v>
      </c>
      <c r="R122" s="57"/>
      <c r="S122" s="57"/>
      <c r="T122" s="57"/>
      <c r="U122" s="57"/>
      <c r="V122" s="73">
        <f t="shared" si="4"/>
        <v>0</v>
      </c>
      <c r="W122" s="106"/>
      <c r="X122" s="64"/>
    </row>
    <row r="123" spans="1:24" s="66" customFormat="1" ht="12" hidden="1" customHeight="1">
      <c r="A123" s="74" t="s">
        <v>1794</v>
      </c>
      <c r="B123" s="74"/>
      <c r="C123" s="74"/>
      <c r="D123" s="74"/>
      <c r="E123" s="74"/>
      <c r="F123" s="74"/>
      <c r="G123" s="74"/>
      <c r="H123" s="74"/>
      <c r="I123" s="75" t="s">
        <v>1941</v>
      </c>
      <c r="J123" s="75" t="s">
        <v>1313</v>
      </c>
      <c r="K123" s="74" t="s">
        <v>781</v>
      </c>
      <c r="L123" s="76" t="s">
        <v>0</v>
      </c>
      <c r="M123" s="57"/>
      <c r="N123" s="77">
        <v>5620</v>
      </c>
      <c r="O123" s="57">
        <f t="shared" si="5"/>
        <v>0</v>
      </c>
      <c r="P123" s="77">
        <v>22540</v>
      </c>
      <c r="Q123" s="73">
        <f t="shared" si="3"/>
        <v>0</v>
      </c>
      <c r="R123" s="57"/>
      <c r="S123" s="57"/>
      <c r="T123" s="57"/>
      <c r="U123" s="57"/>
      <c r="V123" s="73">
        <f t="shared" si="4"/>
        <v>0</v>
      </c>
      <c r="W123" s="106"/>
      <c r="X123" s="64"/>
    </row>
    <row r="124" spans="1:24" s="66" customFormat="1" ht="12" hidden="1" customHeight="1">
      <c r="A124" s="74" t="s">
        <v>1795</v>
      </c>
      <c r="B124" s="74"/>
      <c r="C124" s="74"/>
      <c r="D124" s="74"/>
      <c r="E124" s="74"/>
      <c r="F124" s="74"/>
      <c r="G124" s="74"/>
      <c r="H124" s="74"/>
      <c r="I124" s="75" t="s">
        <v>1938</v>
      </c>
      <c r="J124" s="75" t="s">
        <v>1311</v>
      </c>
      <c r="K124" s="74" t="s">
        <v>795</v>
      </c>
      <c r="L124" s="76" t="s">
        <v>0</v>
      </c>
      <c r="M124" s="57"/>
      <c r="N124" s="77">
        <v>1040</v>
      </c>
      <c r="O124" s="57">
        <f t="shared" si="5"/>
        <v>0</v>
      </c>
      <c r="P124" s="77">
        <v>11399</v>
      </c>
      <c r="Q124" s="73">
        <f t="shared" si="3"/>
        <v>0</v>
      </c>
      <c r="R124" s="57"/>
      <c r="S124" s="57"/>
      <c r="T124" s="57"/>
      <c r="U124" s="57"/>
      <c r="V124" s="73">
        <f t="shared" si="4"/>
        <v>0</v>
      </c>
      <c r="W124" s="106"/>
      <c r="X124" s="64"/>
    </row>
    <row r="125" spans="1:24" s="66" customFormat="1" ht="12" hidden="1" customHeight="1">
      <c r="A125" s="74" t="s">
        <v>1796</v>
      </c>
      <c r="B125" s="74"/>
      <c r="C125" s="74"/>
      <c r="D125" s="74"/>
      <c r="E125" s="74"/>
      <c r="F125" s="74"/>
      <c r="G125" s="74"/>
      <c r="H125" s="74"/>
      <c r="I125" s="75" t="s">
        <v>1939</v>
      </c>
      <c r="J125" s="75" t="s">
        <v>1311</v>
      </c>
      <c r="K125" s="74" t="s">
        <v>796</v>
      </c>
      <c r="L125" s="76" t="s">
        <v>0</v>
      </c>
      <c r="M125" s="57"/>
      <c r="N125" s="77">
        <v>1350</v>
      </c>
      <c r="O125" s="57">
        <f t="shared" si="5"/>
        <v>0</v>
      </c>
      <c r="P125" s="77">
        <v>15286</v>
      </c>
      <c r="Q125" s="73">
        <f t="shared" si="3"/>
        <v>0</v>
      </c>
      <c r="R125" s="57"/>
      <c r="S125" s="57"/>
      <c r="T125" s="57"/>
      <c r="U125" s="57"/>
      <c r="V125" s="73">
        <f t="shared" si="4"/>
        <v>0</v>
      </c>
      <c r="W125" s="106"/>
      <c r="X125" s="64"/>
    </row>
    <row r="126" spans="1:24" s="66" customFormat="1" ht="12" hidden="1" customHeight="1">
      <c r="A126" s="74" t="s">
        <v>1797</v>
      </c>
      <c r="B126" s="74"/>
      <c r="C126" s="74"/>
      <c r="D126" s="74"/>
      <c r="E126" s="74"/>
      <c r="F126" s="74"/>
      <c r="G126" s="74"/>
      <c r="H126" s="74"/>
      <c r="I126" s="75" t="s">
        <v>1940</v>
      </c>
      <c r="J126" s="75" t="s">
        <v>1311</v>
      </c>
      <c r="K126" s="74" t="s">
        <v>797</v>
      </c>
      <c r="L126" s="76" t="s">
        <v>0</v>
      </c>
      <c r="M126" s="57"/>
      <c r="N126" s="77">
        <v>1640</v>
      </c>
      <c r="O126" s="57">
        <f t="shared" si="5"/>
        <v>0</v>
      </c>
      <c r="P126" s="77">
        <v>18654</v>
      </c>
      <c r="Q126" s="73">
        <f t="shared" si="3"/>
        <v>0</v>
      </c>
      <c r="R126" s="57"/>
      <c r="S126" s="57"/>
      <c r="T126" s="57"/>
      <c r="U126" s="57"/>
      <c r="V126" s="73">
        <f t="shared" si="4"/>
        <v>0</v>
      </c>
      <c r="W126" s="106"/>
      <c r="X126" s="64"/>
    </row>
    <row r="127" spans="1:24" s="66" customFormat="1" ht="12" hidden="1" customHeight="1">
      <c r="A127" s="74" t="s">
        <v>1798</v>
      </c>
      <c r="B127" s="74"/>
      <c r="C127" s="74"/>
      <c r="D127" s="74"/>
      <c r="E127" s="74"/>
      <c r="F127" s="74"/>
      <c r="G127" s="74"/>
      <c r="H127" s="74"/>
      <c r="I127" s="75" t="s">
        <v>1941</v>
      </c>
      <c r="J127" s="75" t="s">
        <v>1311</v>
      </c>
      <c r="K127" s="74" t="s">
        <v>798</v>
      </c>
      <c r="L127" s="76" t="s">
        <v>0</v>
      </c>
      <c r="M127" s="57"/>
      <c r="N127" s="77">
        <v>2200</v>
      </c>
      <c r="O127" s="57">
        <f t="shared" si="5"/>
        <v>0</v>
      </c>
      <c r="P127" s="77">
        <v>22540</v>
      </c>
      <c r="Q127" s="73">
        <f t="shared" si="3"/>
        <v>0</v>
      </c>
      <c r="R127" s="57"/>
      <c r="S127" s="57"/>
      <c r="T127" s="57"/>
      <c r="U127" s="57"/>
      <c r="V127" s="73">
        <f t="shared" si="4"/>
        <v>0</v>
      </c>
      <c r="W127" s="106"/>
      <c r="X127" s="64"/>
    </row>
    <row r="128" spans="1:24" s="66" customFormat="1" ht="12" hidden="1" customHeight="1">
      <c r="A128" s="74" t="s">
        <v>1799</v>
      </c>
      <c r="B128" s="74"/>
      <c r="C128" s="74"/>
      <c r="D128" s="74"/>
      <c r="E128" s="74"/>
      <c r="F128" s="74"/>
      <c r="G128" s="74"/>
      <c r="H128" s="74"/>
      <c r="I128" s="75" t="s">
        <v>1929</v>
      </c>
      <c r="J128" s="75" t="s">
        <v>1320</v>
      </c>
      <c r="K128" s="74" t="s">
        <v>1328</v>
      </c>
      <c r="L128" s="76" t="s">
        <v>0</v>
      </c>
      <c r="M128" s="57"/>
      <c r="N128" s="77">
        <v>2960</v>
      </c>
      <c r="O128" s="57">
        <f t="shared" si="5"/>
        <v>0</v>
      </c>
      <c r="P128" s="77">
        <v>20727</v>
      </c>
      <c r="Q128" s="73">
        <f t="shared" si="3"/>
        <v>0</v>
      </c>
      <c r="R128" s="57"/>
      <c r="S128" s="57"/>
      <c r="T128" s="57"/>
      <c r="U128" s="57"/>
      <c r="V128" s="73">
        <f t="shared" si="4"/>
        <v>0</v>
      </c>
      <c r="W128" s="106"/>
      <c r="X128" s="64"/>
    </row>
    <row r="129" spans="1:24" s="66" customFormat="1" ht="12" hidden="1" customHeight="1">
      <c r="A129" s="74" t="s">
        <v>1800</v>
      </c>
      <c r="B129" s="74"/>
      <c r="C129" s="74"/>
      <c r="D129" s="74"/>
      <c r="E129" s="74"/>
      <c r="F129" s="74"/>
      <c r="G129" s="74"/>
      <c r="H129" s="74"/>
      <c r="I129" s="75" t="s">
        <v>1930</v>
      </c>
      <c r="J129" s="75" t="s">
        <v>1320</v>
      </c>
      <c r="K129" s="74" t="s">
        <v>1327</v>
      </c>
      <c r="L129" s="76" t="s">
        <v>0</v>
      </c>
      <c r="M129" s="57"/>
      <c r="N129" s="77">
        <v>3840</v>
      </c>
      <c r="O129" s="57">
        <f t="shared" si="5"/>
        <v>0</v>
      </c>
      <c r="P129" s="77">
        <v>28499</v>
      </c>
      <c r="Q129" s="73">
        <f t="shared" si="3"/>
        <v>0</v>
      </c>
      <c r="R129" s="57"/>
      <c r="S129" s="57"/>
      <c r="T129" s="57"/>
      <c r="U129" s="57"/>
      <c r="V129" s="73">
        <f t="shared" si="4"/>
        <v>0</v>
      </c>
      <c r="W129" s="106"/>
      <c r="X129" s="64"/>
    </row>
    <row r="130" spans="1:24" s="66" customFormat="1" ht="12" hidden="1" customHeight="1">
      <c r="A130" s="74" t="s">
        <v>1783</v>
      </c>
      <c r="B130" s="74"/>
      <c r="C130" s="74"/>
      <c r="D130" s="74"/>
      <c r="E130" s="74"/>
      <c r="F130" s="74"/>
      <c r="G130" s="74"/>
      <c r="H130" s="74"/>
      <c r="I130" s="75" t="s">
        <v>1940</v>
      </c>
      <c r="J130" s="75" t="s">
        <v>1311</v>
      </c>
      <c r="K130" s="74" t="s">
        <v>797</v>
      </c>
      <c r="L130" s="76" t="s">
        <v>0</v>
      </c>
      <c r="M130" s="57"/>
      <c r="N130" s="77">
        <v>1640</v>
      </c>
      <c r="O130" s="57">
        <f t="shared" si="5"/>
        <v>0</v>
      </c>
      <c r="P130" s="77">
        <v>18654</v>
      </c>
      <c r="Q130" s="73">
        <f t="shared" si="3"/>
        <v>0</v>
      </c>
      <c r="R130" s="57"/>
      <c r="S130" s="57"/>
      <c r="T130" s="57"/>
      <c r="U130" s="57"/>
      <c r="V130" s="73">
        <f t="shared" si="4"/>
        <v>0</v>
      </c>
      <c r="W130" s="106"/>
      <c r="X130" s="64"/>
    </row>
    <row r="131" spans="1:24" s="66" customFormat="1" ht="12" hidden="1" customHeight="1">
      <c r="A131" s="74" t="s">
        <v>1784</v>
      </c>
      <c r="B131" s="74"/>
      <c r="C131" s="74"/>
      <c r="D131" s="74"/>
      <c r="E131" s="74"/>
      <c r="F131" s="74"/>
      <c r="G131" s="74"/>
      <c r="H131" s="74"/>
      <c r="I131" s="75" t="s">
        <v>1941</v>
      </c>
      <c r="J131" s="75" t="s">
        <v>1311</v>
      </c>
      <c r="K131" s="74" t="s">
        <v>798</v>
      </c>
      <c r="L131" s="76" t="s">
        <v>0</v>
      </c>
      <c r="M131" s="57"/>
      <c r="N131" s="77">
        <v>2200</v>
      </c>
      <c r="O131" s="57">
        <f t="shared" si="5"/>
        <v>0</v>
      </c>
      <c r="P131" s="77">
        <v>22540</v>
      </c>
      <c r="Q131" s="73">
        <f t="shared" si="3"/>
        <v>0</v>
      </c>
      <c r="R131" s="57"/>
      <c r="S131" s="57"/>
      <c r="T131" s="57"/>
      <c r="U131" s="57"/>
      <c r="V131" s="73">
        <f t="shared" si="4"/>
        <v>0</v>
      </c>
      <c r="W131" s="106"/>
      <c r="X131" s="64"/>
    </row>
    <row r="132" spans="1:24" s="66" customFormat="1" ht="12" hidden="1" customHeight="1">
      <c r="A132" s="74" t="s">
        <v>1801</v>
      </c>
      <c r="B132" s="74"/>
      <c r="C132" s="74"/>
      <c r="D132" s="74"/>
      <c r="E132" s="74"/>
      <c r="F132" s="74"/>
      <c r="G132" s="74"/>
      <c r="H132" s="74"/>
      <c r="I132" s="75" t="s">
        <v>1931</v>
      </c>
      <c r="J132" s="75" t="s">
        <v>1320</v>
      </c>
      <c r="K132" s="74" t="s">
        <v>1326</v>
      </c>
      <c r="L132" s="76" t="s">
        <v>0</v>
      </c>
      <c r="M132" s="57"/>
      <c r="N132" s="77">
        <v>5000</v>
      </c>
      <c r="O132" s="57">
        <f t="shared" si="5"/>
        <v>0</v>
      </c>
      <c r="P132" s="77">
        <v>36272</v>
      </c>
      <c r="Q132" s="73">
        <f t="shared" si="3"/>
        <v>0</v>
      </c>
      <c r="R132" s="57"/>
      <c r="S132" s="57"/>
      <c r="T132" s="57"/>
      <c r="U132" s="57"/>
      <c r="V132" s="73">
        <f t="shared" si="4"/>
        <v>0</v>
      </c>
      <c r="W132" s="106"/>
      <c r="X132" s="64"/>
    </row>
    <row r="133" spans="1:24" s="66" customFormat="1" ht="12" hidden="1" customHeight="1">
      <c r="A133" s="74" t="s">
        <v>1807</v>
      </c>
      <c r="B133" s="74"/>
      <c r="C133" s="74"/>
      <c r="D133" s="74"/>
      <c r="E133" s="74"/>
      <c r="F133" s="74"/>
      <c r="G133" s="74"/>
      <c r="H133" s="74"/>
      <c r="I133" s="75" t="s">
        <v>1932</v>
      </c>
      <c r="J133" s="75" t="s">
        <v>1320</v>
      </c>
      <c r="K133" s="74" t="s">
        <v>1325</v>
      </c>
      <c r="L133" s="76" t="s">
        <v>0</v>
      </c>
      <c r="M133" s="57"/>
      <c r="N133" s="77">
        <v>6400</v>
      </c>
      <c r="O133" s="57">
        <f t="shared" si="5"/>
        <v>0</v>
      </c>
      <c r="P133" s="77">
        <v>51817</v>
      </c>
      <c r="Q133" s="73">
        <f t="shared" si="3"/>
        <v>0</v>
      </c>
      <c r="R133" s="57"/>
      <c r="S133" s="57"/>
      <c r="T133" s="57"/>
      <c r="U133" s="57"/>
      <c r="V133" s="73">
        <f t="shared" si="4"/>
        <v>0</v>
      </c>
      <c r="W133" s="106"/>
      <c r="X133" s="64"/>
    </row>
    <row r="134" spans="1:24" s="66" customFormat="1" ht="12" hidden="1" customHeight="1">
      <c r="A134" s="74" t="s">
        <v>1808</v>
      </c>
      <c r="B134" s="74"/>
      <c r="C134" s="74"/>
      <c r="D134" s="74"/>
      <c r="E134" s="74"/>
      <c r="F134" s="74"/>
      <c r="G134" s="74"/>
      <c r="H134" s="74"/>
      <c r="I134" s="75" t="s">
        <v>1933</v>
      </c>
      <c r="J134" s="75" t="s">
        <v>1320</v>
      </c>
      <c r="K134" s="74" t="s">
        <v>1324</v>
      </c>
      <c r="L134" s="76" t="s">
        <v>0</v>
      </c>
      <c r="M134" s="57"/>
      <c r="N134" s="77">
        <v>7360</v>
      </c>
      <c r="O134" s="57">
        <f t="shared" si="5"/>
        <v>0</v>
      </c>
      <c r="P134" s="77">
        <v>64772</v>
      </c>
      <c r="Q134" s="73">
        <f t="shared" si="3"/>
        <v>0</v>
      </c>
      <c r="R134" s="57"/>
      <c r="S134" s="57"/>
      <c r="T134" s="57"/>
      <c r="U134" s="57"/>
      <c r="V134" s="73">
        <f t="shared" si="4"/>
        <v>0</v>
      </c>
      <c r="W134" s="106"/>
      <c r="X134" s="64"/>
    </row>
    <row r="135" spans="1:24" s="66" customFormat="1" ht="12" hidden="1" customHeight="1">
      <c r="A135" s="74" t="s">
        <v>1809</v>
      </c>
      <c r="B135" s="74"/>
      <c r="C135" s="74"/>
      <c r="D135" s="74"/>
      <c r="E135" s="74"/>
      <c r="F135" s="74"/>
      <c r="G135" s="74"/>
      <c r="H135" s="74"/>
      <c r="I135" s="75" t="s">
        <v>1934</v>
      </c>
      <c r="J135" s="75" t="s">
        <v>1320</v>
      </c>
      <c r="K135" s="74" t="s">
        <v>1323</v>
      </c>
      <c r="L135" s="76" t="s">
        <v>0</v>
      </c>
      <c r="M135" s="57"/>
      <c r="N135" s="77">
        <v>10320</v>
      </c>
      <c r="O135" s="57">
        <f t="shared" si="5"/>
        <v>0</v>
      </c>
      <c r="P135" s="77">
        <v>88090</v>
      </c>
      <c r="Q135" s="73">
        <f t="shared" si="3"/>
        <v>0</v>
      </c>
      <c r="R135" s="57"/>
      <c r="S135" s="57"/>
      <c r="T135" s="57"/>
      <c r="U135" s="57"/>
      <c r="V135" s="73">
        <f t="shared" si="4"/>
        <v>0</v>
      </c>
      <c r="W135" s="106"/>
      <c r="X135" s="64"/>
    </row>
    <row r="136" spans="1:24" s="66" customFormat="1" ht="12" hidden="1" customHeight="1">
      <c r="A136" s="74" t="s">
        <v>1810</v>
      </c>
      <c r="B136" s="74"/>
      <c r="C136" s="74"/>
      <c r="D136" s="74"/>
      <c r="E136" s="74"/>
      <c r="F136" s="74"/>
      <c r="G136" s="74"/>
      <c r="H136" s="74"/>
      <c r="I136" s="75" t="s">
        <v>1935</v>
      </c>
      <c r="J136" s="75" t="s">
        <v>1320</v>
      </c>
      <c r="K136" s="74" t="s">
        <v>1322</v>
      </c>
      <c r="L136" s="76" t="s">
        <v>0</v>
      </c>
      <c r="M136" s="57"/>
      <c r="N136" s="77">
        <v>13170</v>
      </c>
      <c r="O136" s="57">
        <f t="shared" si="5"/>
        <v>0</v>
      </c>
      <c r="P136" s="77">
        <v>113999</v>
      </c>
      <c r="Q136" s="73">
        <f t="shared" si="3"/>
        <v>0</v>
      </c>
      <c r="R136" s="57"/>
      <c r="S136" s="57"/>
      <c r="T136" s="57"/>
      <c r="U136" s="57"/>
      <c r="V136" s="73">
        <f t="shared" si="4"/>
        <v>0</v>
      </c>
      <c r="W136" s="106"/>
      <c r="X136" s="64"/>
    </row>
    <row r="137" spans="1:24" s="66" customFormat="1" ht="12" hidden="1" customHeight="1">
      <c r="A137" s="74" t="s">
        <v>1811</v>
      </c>
      <c r="B137" s="74"/>
      <c r="C137" s="74"/>
      <c r="D137" s="74"/>
      <c r="E137" s="74"/>
      <c r="F137" s="74"/>
      <c r="G137" s="74"/>
      <c r="H137" s="74"/>
      <c r="I137" s="75" t="s">
        <v>1936</v>
      </c>
      <c r="J137" s="75" t="s">
        <v>1320</v>
      </c>
      <c r="K137" s="74" t="s">
        <v>1321</v>
      </c>
      <c r="L137" s="76" t="s">
        <v>0</v>
      </c>
      <c r="M137" s="57"/>
      <c r="N137" s="77">
        <v>15160</v>
      </c>
      <c r="O137" s="57">
        <f t="shared" si="5"/>
        <v>0</v>
      </c>
      <c r="P137" s="77">
        <v>139908</v>
      </c>
      <c r="Q137" s="73">
        <f t="shared" si="3"/>
        <v>0</v>
      </c>
      <c r="R137" s="57"/>
      <c r="S137" s="57"/>
      <c r="T137" s="57"/>
      <c r="U137" s="57"/>
      <c r="V137" s="73">
        <f t="shared" si="4"/>
        <v>0</v>
      </c>
      <c r="W137" s="106"/>
      <c r="X137" s="64"/>
    </row>
    <row r="138" spans="1:24" s="66" customFormat="1" ht="12" hidden="1" customHeight="1">
      <c r="A138" s="74" t="s">
        <v>1812</v>
      </c>
      <c r="B138" s="74"/>
      <c r="C138" s="74"/>
      <c r="D138" s="74"/>
      <c r="E138" s="74"/>
      <c r="F138" s="74"/>
      <c r="G138" s="74"/>
      <c r="H138" s="74"/>
      <c r="I138" s="75" t="s">
        <v>1937</v>
      </c>
      <c r="J138" s="75" t="s">
        <v>1320</v>
      </c>
      <c r="K138" s="74" t="s">
        <v>1319</v>
      </c>
      <c r="L138" s="76" t="s">
        <v>0</v>
      </c>
      <c r="M138" s="57"/>
      <c r="N138" s="77">
        <v>24460</v>
      </c>
      <c r="O138" s="57">
        <f t="shared" si="5"/>
        <v>0</v>
      </c>
      <c r="P138" s="77">
        <v>183953</v>
      </c>
      <c r="Q138" s="73">
        <f t="shared" si="3"/>
        <v>0</v>
      </c>
      <c r="R138" s="57"/>
      <c r="S138" s="57"/>
      <c r="T138" s="57"/>
      <c r="U138" s="57"/>
      <c r="V138" s="73">
        <f t="shared" si="4"/>
        <v>0</v>
      </c>
      <c r="W138" s="106"/>
      <c r="X138" s="64"/>
    </row>
    <row r="139" spans="1:24" s="66" customFormat="1" ht="12" hidden="1" customHeight="1">
      <c r="A139" s="74" t="s">
        <v>1813</v>
      </c>
      <c r="B139" s="74"/>
      <c r="C139" s="74"/>
      <c r="D139" s="74"/>
      <c r="E139" s="74"/>
      <c r="F139" s="74"/>
      <c r="G139" s="74"/>
      <c r="H139" s="74"/>
      <c r="I139" s="75" t="s">
        <v>1941</v>
      </c>
      <c r="J139" s="75" t="s">
        <v>1313</v>
      </c>
      <c r="K139" s="74" t="s">
        <v>781</v>
      </c>
      <c r="L139" s="76" t="s">
        <v>0</v>
      </c>
      <c r="M139" s="57"/>
      <c r="N139" s="77">
        <v>5620</v>
      </c>
      <c r="O139" s="57">
        <f t="shared" si="5"/>
        <v>0</v>
      </c>
      <c r="P139" s="77">
        <v>22540</v>
      </c>
      <c r="Q139" s="73">
        <f t="shared" ref="Q139:Q202" si="6">IF(W139="",M139*P139*$Q$3*$W$3,M139*P139*$Q$3*W139)</f>
        <v>0</v>
      </c>
      <c r="R139" s="57"/>
      <c r="S139" s="57"/>
      <c r="T139" s="57"/>
      <c r="U139" s="57"/>
      <c r="V139" s="73">
        <f t="shared" ref="V139:V202" si="7">SUM(O139+Q139)+S139+U139</f>
        <v>0</v>
      </c>
      <c r="W139" s="106"/>
      <c r="X139" s="64"/>
    </row>
    <row r="140" spans="1:24" s="66" customFormat="1" ht="12" hidden="1" customHeight="1">
      <c r="A140" s="74" t="s">
        <v>1814</v>
      </c>
      <c r="B140" s="74"/>
      <c r="C140" s="74"/>
      <c r="D140" s="74"/>
      <c r="E140" s="74"/>
      <c r="F140" s="74"/>
      <c r="G140" s="74"/>
      <c r="H140" s="74"/>
      <c r="I140" s="75" t="s">
        <v>1942</v>
      </c>
      <c r="J140" s="75" t="s">
        <v>1313</v>
      </c>
      <c r="K140" s="74" t="s">
        <v>782</v>
      </c>
      <c r="L140" s="76" t="s">
        <v>0</v>
      </c>
      <c r="M140" s="57"/>
      <c r="N140" s="77">
        <v>8600</v>
      </c>
      <c r="O140" s="57">
        <f t="shared" si="5"/>
        <v>0</v>
      </c>
      <c r="P140" s="77">
        <v>26945</v>
      </c>
      <c r="Q140" s="73">
        <f t="shared" si="6"/>
        <v>0</v>
      </c>
      <c r="R140" s="57"/>
      <c r="S140" s="57"/>
      <c r="T140" s="57"/>
      <c r="U140" s="57"/>
      <c r="V140" s="73">
        <f t="shared" si="7"/>
        <v>0</v>
      </c>
      <c r="W140" s="106"/>
      <c r="X140" s="64"/>
    </row>
    <row r="141" spans="1:24" s="66" customFormat="1" ht="12" hidden="1" customHeight="1">
      <c r="A141" s="74" t="s">
        <v>1815</v>
      </c>
      <c r="B141" s="74"/>
      <c r="C141" s="74"/>
      <c r="D141" s="74"/>
      <c r="E141" s="74"/>
      <c r="F141" s="74"/>
      <c r="G141" s="74"/>
      <c r="H141" s="74"/>
      <c r="I141" s="75" t="s">
        <v>1943</v>
      </c>
      <c r="J141" s="75" t="s">
        <v>1313</v>
      </c>
      <c r="K141" s="74" t="s">
        <v>783</v>
      </c>
      <c r="L141" s="76" t="s">
        <v>0</v>
      </c>
      <c r="M141" s="57"/>
      <c r="N141" s="77">
        <v>9580</v>
      </c>
      <c r="O141" s="57">
        <f t="shared" si="5"/>
        <v>0</v>
      </c>
      <c r="P141" s="77">
        <v>35236</v>
      </c>
      <c r="Q141" s="73">
        <f t="shared" si="6"/>
        <v>0</v>
      </c>
      <c r="R141" s="57"/>
      <c r="S141" s="57"/>
      <c r="T141" s="57"/>
      <c r="U141" s="57"/>
      <c r="V141" s="73">
        <f t="shared" si="7"/>
        <v>0</v>
      </c>
      <c r="W141" s="106"/>
      <c r="X141" s="64"/>
    </row>
    <row r="142" spans="1:24" s="66" customFormat="1" ht="12" hidden="1" customHeight="1">
      <c r="A142" s="74" t="s">
        <v>1816</v>
      </c>
      <c r="B142" s="74"/>
      <c r="C142" s="74"/>
      <c r="D142" s="74"/>
      <c r="E142" s="74"/>
      <c r="F142" s="74"/>
      <c r="G142" s="74"/>
      <c r="H142" s="74"/>
      <c r="I142" s="75" t="s">
        <v>1944</v>
      </c>
      <c r="J142" s="75" t="s">
        <v>1313</v>
      </c>
      <c r="K142" s="74" t="s">
        <v>784</v>
      </c>
      <c r="L142" s="76" t="s">
        <v>0</v>
      </c>
      <c r="M142" s="57"/>
      <c r="N142" s="77">
        <v>19320</v>
      </c>
      <c r="O142" s="57">
        <f t="shared" si="5"/>
        <v>0</v>
      </c>
      <c r="P142" s="77">
        <v>40417</v>
      </c>
      <c r="Q142" s="73">
        <f t="shared" si="6"/>
        <v>0</v>
      </c>
      <c r="R142" s="57"/>
      <c r="S142" s="57"/>
      <c r="T142" s="57"/>
      <c r="U142" s="57"/>
      <c r="V142" s="73">
        <f t="shared" si="7"/>
        <v>0</v>
      </c>
      <c r="W142" s="106"/>
      <c r="X142" s="64"/>
    </row>
    <row r="143" spans="1:24" s="66" customFormat="1" ht="12" hidden="1" customHeight="1">
      <c r="A143" s="74" t="s">
        <v>1817</v>
      </c>
      <c r="B143" s="74"/>
      <c r="C143" s="74"/>
      <c r="D143" s="74"/>
      <c r="E143" s="74"/>
      <c r="F143" s="74"/>
      <c r="G143" s="74"/>
      <c r="H143" s="74"/>
      <c r="I143" s="75" t="s">
        <v>1945</v>
      </c>
      <c r="J143" s="75" t="s">
        <v>1313</v>
      </c>
      <c r="K143" s="74" t="s">
        <v>785</v>
      </c>
      <c r="L143" s="76" t="s">
        <v>0</v>
      </c>
      <c r="M143" s="57"/>
      <c r="N143" s="77">
        <v>27160</v>
      </c>
      <c r="O143" s="57">
        <f t="shared" si="5"/>
        <v>0</v>
      </c>
      <c r="P143" s="77">
        <v>45599</v>
      </c>
      <c r="Q143" s="73">
        <f t="shared" si="6"/>
        <v>0</v>
      </c>
      <c r="R143" s="57"/>
      <c r="S143" s="57"/>
      <c r="T143" s="57"/>
      <c r="U143" s="57"/>
      <c r="V143" s="73">
        <f t="shared" si="7"/>
        <v>0</v>
      </c>
      <c r="W143" s="106"/>
      <c r="X143" s="64"/>
    </row>
    <row r="144" spans="1:24" s="66" customFormat="1" ht="12" hidden="1" customHeight="1">
      <c r="A144" s="74" t="s">
        <v>1818</v>
      </c>
      <c r="B144" s="74"/>
      <c r="C144" s="74"/>
      <c r="D144" s="74"/>
      <c r="E144" s="74"/>
      <c r="F144" s="74"/>
      <c r="G144" s="74"/>
      <c r="H144" s="74"/>
      <c r="I144" s="75" t="s">
        <v>1946</v>
      </c>
      <c r="J144" s="75" t="s">
        <v>1313</v>
      </c>
      <c r="K144" s="74" t="s">
        <v>786</v>
      </c>
      <c r="L144" s="76" t="s">
        <v>0</v>
      </c>
      <c r="M144" s="57"/>
      <c r="N144" s="77">
        <v>37150</v>
      </c>
      <c r="O144" s="57">
        <f t="shared" si="5"/>
        <v>0</v>
      </c>
      <c r="P144" s="77">
        <v>55963</v>
      </c>
      <c r="Q144" s="73">
        <f t="shared" si="6"/>
        <v>0</v>
      </c>
      <c r="R144" s="57"/>
      <c r="S144" s="57"/>
      <c r="T144" s="57"/>
      <c r="U144" s="57"/>
      <c r="V144" s="73">
        <f t="shared" si="7"/>
        <v>0</v>
      </c>
      <c r="W144" s="106"/>
      <c r="X144" s="64"/>
    </row>
    <row r="145" spans="1:24" s="66" customFormat="1" ht="12" hidden="1" customHeight="1">
      <c r="A145" s="74" t="s">
        <v>669</v>
      </c>
      <c r="B145" s="74"/>
      <c r="C145" s="74"/>
      <c r="D145" s="74"/>
      <c r="E145" s="74"/>
      <c r="F145" s="74"/>
      <c r="G145" s="74"/>
      <c r="H145" s="74"/>
      <c r="I145" s="75" t="s">
        <v>1938</v>
      </c>
      <c r="J145" s="75" t="s">
        <v>1339</v>
      </c>
      <c r="K145" s="74" t="s">
        <v>769</v>
      </c>
      <c r="L145" s="76" t="s">
        <v>0</v>
      </c>
      <c r="M145" s="57"/>
      <c r="N145" s="77">
        <v>56820</v>
      </c>
      <c r="O145" s="57">
        <f t="shared" si="5"/>
        <v>0</v>
      </c>
      <c r="P145" s="77">
        <v>11399</v>
      </c>
      <c r="Q145" s="73">
        <f t="shared" si="6"/>
        <v>0</v>
      </c>
      <c r="R145" s="57"/>
      <c r="S145" s="57"/>
      <c r="T145" s="57"/>
      <c r="U145" s="57"/>
      <c r="V145" s="73">
        <f t="shared" si="7"/>
        <v>0</v>
      </c>
      <c r="W145" s="106"/>
      <c r="X145" s="64"/>
    </row>
    <row r="146" spans="1:24" s="66" customFormat="1" ht="12" hidden="1" customHeight="1">
      <c r="A146" s="74" t="s">
        <v>670</v>
      </c>
      <c r="B146" s="74"/>
      <c r="C146" s="74"/>
      <c r="D146" s="74"/>
      <c r="E146" s="74"/>
      <c r="F146" s="74"/>
      <c r="G146" s="74"/>
      <c r="H146" s="74"/>
      <c r="I146" s="75" t="s">
        <v>1938</v>
      </c>
      <c r="J146" s="75" t="s">
        <v>1339</v>
      </c>
      <c r="K146" s="74" t="s">
        <v>770</v>
      </c>
      <c r="L146" s="76" t="s">
        <v>0</v>
      </c>
      <c r="M146" s="57"/>
      <c r="N146" s="77">
        <v>68500</v>
      </c>
      <c r="O146" s="57">
        <f t="shared" si="5"/>
        <v>0</v>
      </c>
      <c r="P146" s="77">
        <v>11399</v>
      </c>
      <c r="Q146" s="73">
        <f t="shared" si="6"/>
        <v>0</v>
      </c>
      <c r="R146" s="57"/>
      <c r="S146" s="57"/>
      <c r="T146" s="57"/>
      <c r="U146" s="57"/>
      <c r="V146" s="73">
        <f t="shared" si="7"/>
        <v>0</v>
      </c>
      <c r="W146" s="106"/>
      <c r="X146" s="64"/>
    </row>
    <row r="147" spans="1:24" s="66" customFormat="1" ht="12" hidden="1" customHeight="1">
      <c r="A147" s="74" t="s">
        <v>671</v>
      </c>
      <c r="B147" s="74"/>
      <c r="C147" s="74"/>
      <c r="D147" s="74"/>
      <c r="E147" s="74"/>
      <c r="F147" s="74"/>
      <c r="G147" s="74"/>
      <c r="H147" s="74"/>
      <c r="I147" s="75" t="s">
        <v>1938</v>
      </c>
      <c r="J147" s="75" t="s">
        <v>1339</v>
      </c>
      <c r="K147" s="74" t="s">
        <v>771</v>
      </c>
      <c r="L147" s="76" t="s">
        <v>0</v>
      </c>
      <c r="M147" s="57"/>
      <c r="N147" s="77">
        <v>90270</v>
      </c>
      <c r="O147" s="57">
        <f t="shared" si="5"/>
        <v>0</v>
      </c>
      <c r="P147" s="77">
        <v>11399</v>
      </c>
      <c r="Q147" s="73">
        <f t="shared" si="6"/>
        <v>0</v>
      </c>
      <c r="R147" s="57"/>
      <c r="S147" s="57"/>
      <c r="T147" s="57"/>
      <c r="U147" s="57"/>
      <c r="V147" s="73">
        <f t="shared" si="7"/>
        <v>0</v>
      </c>
      <c r="W147" s="106"/>
      <c r="X147" s="64"/>
    </row>
    <row r="148" spans="1:24" s="66" customFormat="1" ht="12" hidden="1" customHeight="1">
      <c r="A148" s="74" t="s">
        <v>672</v>
      </c>
      <c r="B148" s="74"/>
      <c r="C148" s="74"/>
      <c r="D148" s="74"/>
      <c r="E148" s="74"/>
      <c r="F148" s="74"/>
      <c r="G148" s="74"/>
      <c r="H148" s="74"/>
      <c r="I148" s="75" t="s">
        <v>1939</v>
      </c>
      <c r="J148" s="75" t="s">
        <v>1339</v>
      </c>
      <c r="K148" s="74" t="s">
        <v>772</v>
      </c>
      <c r="L148" s="76" t="s">
        <v>0</v>
      </c>
      <c r="M148" s="57"/>
      <c r="N148" s="77">
        <v>119480</v>
      </c>
      <c r="O148" s="57">
        <f t="shared" si="5"/>
        <v>0</v>
      </c>
      <c r="P148" s="77">
        <v>15286</v>
      </c>
      <c r="Q148" s="73">
        <f t="shared" si="6"/>
        <v>0</v>
      </c>
      <c r="R148" s="57"/>
      <c r="S148" s="57"/>
      <c r="T148" s="57"/>
      <c r="U148" s="57"/>
      <c r="V148" s="73">
        <f t="shared" si="7"/>
        <v>0</v>
      </c>
      <c r="W148" s="106"/>
      <c r="X148" s="64"/>
    </row>
    <row r="149" spans="1:24" s="66" customFormat="1" ht="12" hidden="1" customHeight="1">
      <c r="A149" s="74" t="s">
        <v>673</v>
      </c>
      <c r="B149" s="74"/>
      <c r="C149" s="74"/>
      <c r="D149" s="74"/>
      <c r="E149" s="74"/>
      <c r="F149" s="74"/>
      <c r="G149" s="74"/>
      <c r="H149" s="74"/>
      <c r="I149" s="75" t="s">
        <v>1940</v>
      </c>
      <c r="J149" s="75" t="s">
        <v>1339</v>
      </c>
      <c r="K149" s="74" t="s">
        <v>773</v>
      </c>
      <c r="L149" s="76" t="s">
        <v>0</v>
      </c>
      <c r="M149" s="57"/>
      <c r="N149" s="77">
        <v>85070</v>
      </c>
      <c r="O149" s="57">
        <f t="shared" si="5"/>
        <v>0</v>
      </c>
      <c r="P149" s="77">
        <v>18654</v>
      </c>
      <c r="Q149" s="73">
        <f t="shared" si="6"/>
        <v>0</v>
      </c>
      <c r="R149" s="57"/>
      <c r="S149" s="57"/>
      <c r="T149" s="57"/>
      <c r="U149" s="57"/>
      <c r="V149" s="73">
        <f t="shared" si="7"/>
        <v>0</v>
      </c>
      <c r="W149" s="106"/>
      <c r="X149" s="64"/>
    </row>
    <row r="150" spans="1:24" s="66" customFormat="1" ht="12" hidden="1" customHeight="1">
      <c r="A150" s="74" t="s">
        <v>674</v>
      </c>
      <c r="B150" s="74"/>
      <c r="C150" s="74"/>
      <c r="D150" s="74"/>
      <c r="E150" s="74"/>
      <c r="F150" s="74"/>
      <c r="G150" s="74"/>
      <c r="H150" s="74"/>
      <c r="I150" s="75" t="s">
        <v>1941</v>
      </c>
      <c r="J150" s="75" t="s">
        <v>1339</v>
      </c>
      <c r="K150" s="74" t="s">
        <v>774</v>
      </c>
      <c r="L150" s="76" t="s">
        <v>0</v>
      </c>
      <c r="M150" s="57"/>
      <c r="N150" s="77">
        <v>127760</v>
      </c>
      <c r="O150" s="57">
        <f t="shared" si="5"/>
        <v>0</v>
      </c>
      <c r="P150" s="77">
        <v>22540</v>
      </c>
      <c r="Q150" s="73">
        <f t="shared" si="6"/>
        <v>0</v>
      </c>
      <c r="R150" s="57"/>
      <c r="S150" s="57"/>
      <c r="T150" s="57"/>
      <c r="U150" s="57"/>
      <c r="V150" s="73">
        <f t="shared" si="7"/>
        <v>0</v>
      </c>
      <c r="W150" s="106"/>
      <c r="X150" s="64"/>
    </row>
    <row r="151" spans="1:24" s="66" customFormat="1" ht="12" hidden="1" customHeight="1">
      <c r="A151" s="74" t="s">
        <v>675</v>
      </c>
      <c r="B151" s="74"/>
      <c r="C151" s="74"/>
      <c r="D151" s="74"/>
      <c r="E151" s="74"/>
      <c r="F151" s="74"/>
      <c r="G151" s="74"/>
      <c r="H151" s="74"/>
      <c r="I151" s="75" t="s">
        <v>1942</v>
      </c>
      <c r="J151" s="75" t="s">
        <v>1339</v>
      </c>
      <c r="K151" s="74" t="s">
        <v>775</v>
      </c>
      <c r="L151" s="76" t="s">
        <v>0</v>
      </c>
      <c r="M151" s="57"/>
      <c r="N151" s="77">
        <v>138700</v>
      </c>
      <c r="O151" s="57">
        <f t="shared" si="5"/>
        <v>0</v>
      </c>
      <c r="P151" s="77">
        <v>26945</v>
      </c>
      <c r="Q151" s="73">
        <f t="shared" si="6"/>
        <v>0</v>
      </c>
      <c r="R151" s="57"/>
      <c r="S151" s="57"/>
      <c r="T151" s="57"/>
      <c r="U151" s="57"/>
      <c r="V151" s="73">
        <f t="shared" si="7"/>
        <v>0</v>
      </c>
      <c r="W151" s="106"/>
      <c r="X151" s="64"/>
    </row>
    <row r="152" spans="1:24" s="66" customFormat="1" ht="12" hidden="1" customHeight="1">
      <c r="A152" s="74" t="s">
        <v>676</v>
      </c>
      <c r="B152" s="74"/>
      <c r="C152" s="74"/>
      <c r="D152" s="74"/>
      <c r="E152" s="74"/>
      <c r="F152" s="74"/>
      <c r="G152" s="74"/>
      <c r="H152" s="74"/>
      <c r="I152" s="75" t="s">
        <v>1943</v>
      </c>
      <c r="J152" s="75" t="s">
        <v>1339</v>
      </c>
      <c r="K152" s="74" t="s">
        <v>776</v>
      </c>
      <c r="L152" s="76" t="s">
        <v>0</v>
      </c>
      <c r="M152" s="57"/>
      <c r="N152" s="77">
        <v>159520</v>
      </c>
      <c r="O152" s="57">
        <f t="shared" si="5"/>
        <v>0</v>
      </c>
      <c r="P152" s="77">
        <v>35236</v>
      </c>
      <c r="Q152" s="73">
        <f t="shared" si="6"/>
        <v>0</v>
      </c>
      <c r="R152" s="57"/>
      <c r="S152" s="57"/>
      <c r="T152" s="57"/>
      <c r="U152" s="57"/>
      <c r="V152" s="73">
        <f t="shared" si="7"/>
        <v>0</v>
      </c>
      <c r="W152" s="106"/>
      <c r="X152" s="64"/>
    </row>
    <row r="153" spans="1:24" s="66" customFormat="1" ht="12" hidden="1" customHeight="1">
      <c r="A153" s="74" t="s">
        <v>677</v>
      </c>
      <c r="B153" s="74"/>
      <c r="C153" s="74"/>
      <c r="D153" s="74"/>
      <c r="E153" s="74"/>
      <c r="F153" s="74"/>
      <c r="G153" s="74"/>
      <c r="H153" s="74"/>
      <c r="I153" s="75" t="s">
        <v>1944</v>
      </c>
      <c r="J153" s="75" t="s">
        <v>1339</v>
      </c>
      <c r="K153" s="74" t="s">
        <v>777</v>
      </c>
      <c r="L153" s="76" t="s">
        <v>0</v>
      </c>
      <c r="M153" s="57"/>
      <c r="N153" s="77">
        <v>153460</v>
      </c>
      <c r="O153" s="57">
        <f t="shared" si="5"/>
        <v>0</v>
      </c>
      <c r="P153" s="77">
        <v>40417</v>
      </c>
      <c r="Q153" s="73">
        <f t="shared" si="6"/>
        <v>0</v>
      </c>
      <c r="R153" s="57"/>
      <c r="S153" s="57"/>
      <c r="T153" s="57"/>
      <c r="U153" s="57"/>
      <c r="V153" s="73">
        <f t="shared" si="7"/>
        <v>0</v>
      </c>
      <c r="W153" s="106"/>
      <c r="X153" s="64"/>
    </row>
    <row r="154" spans="1:24" s="66" customFormat="1" ht="12" hidden="1" customHeight="1">
      <c r="A154" s="74" t="s">
        <v>24</v>
      </c>
      <c r="B154" s="74"/>
      <c r="C154" s="74"/>
      <c r="D154" s="74"/>
      <c r="E154" s="74"/>
      <c r="F154" s="74"/>
      <c r="G154" s="74"/>
      <c r="H154" s="74"/>
      <c r="I154" s="75" t="s">
        <v>1849</v>
      </c>
      <c r="J154" s="75" t="s">
        <v>1341</v>
      </c>
      <c r="K154" s="74" t="s">
        <v>1350</v>
      </c>
      <c r="L154" s="76" t="s">
        <v>0</v>
      </c>
      <c r="M154" s="57"/>
      <c r="N154" s="77">
        <v>437</v>
      </c>
      <c r="O154" s="57">
        <f t="shared" si="5"/>
        <v>0</v>
      </c>
      <c r="P154" s="77">
        <v>4478</v>
      </c>
      <c r="Q154" s="73">
        <f t="shared" si="6"/>
        <v>0</v>
      </c>
      <c r="R154" s="57"/>
      <c r="S154" s="57"/>
      <c r="T154" s="57"/>
      <c r="U154" s="57"/>
      <c r="V154" s="73">
        <f t="shared" si="7"/>
        <v>0</v>
      </c>
      <c r="W154" s="106"/>
      <c r="X154" s="64"/>
    </row>
    <row r="155" spans="1:24" s="66" customFormat="1" ht="12" hidden="1" customHeight="1">
      <c r="A155" s="74" t="s">
        <v>25</v>
      </c>
      <c r="B155" s="74"/>
      <c r="C155" s="74"/>
      <c r="D155" s="74"/>
      <c r="E155" s="74"/>
      <c r="F155" s="74"/>
      <c r="G155" s="74"/>
      <c r="H155" s="74"/>
      <c r="I155" s="75" t="s">
        <v>1850</v>
      </c>
      <c r="J155" s="75" t="s">
        <v>1341</v>
      </c>
      <c r="K155" s="74" t="s">
        <v>1349</v>
      </c>
      <c r="L155" s="76" t="s">
        <v>0</v>
      </c>
      <c r="M155" s="57"/>
      <c r="N155" s="77">
        <v>552</v>
      </c>
      <c r="O155" s="57">
        <f t="shared" si="5"/>
        <v>0</v>
      </c>
      <c r="P155" s="77">
        <v>5480</v>
      </c>
      <c r="Q155" s="73">
        <f t="shared" si="6"/>
        <v>0</v>
      </c>
      <c r="R155" s="57"/>
      <c r="S155" s="57"/>
      <c r="T155" s="57"/>
      <c r="U155" s="57"/>
      <c r="V155" s="73">
        <f t="shared" si="7"/>
        <v>0</v>
      </c>
      <c r="W155" s="106"/>
      <c r="X155" s="64"/>
    </row>
    <row r="156" spans="1:24" s="66" customFormat="1" ht="12" hidden="1" customHeight="1">
      <c r="A156" s="74" t="s">
        <v>26</v>
      </c>
      <c r="B156" s="74"/>
      <c r="C156" s="74"/>
      <c r="D156" s="74"/>
      <c r="E156" s="74"/>
      <c r="F156" s="74"/>
      <c r="G156" s="74"/>
      <c r="H156" s="74"/>
      <c r="I156" s="75" t="s">
        <v>1850</v>
      </c>
      <c r="J156" s="75" t="s">
        <v>1341</v>
      </c>
      <c r="K156" s="74" t="s">
        <v>1348</v>
      </c>
      <c r="L156" s="76" t="s">
        <v>0</v>
      </c>
      <c r="M156" s="57"/>
      <c r="N156" s="77">
        <v>782</v>
      </c>
      <c r="O156" s="57">
        <f t="shared" si="5"/>
        <v>0</v>
      </c>
      <c r="P156" s="77">
        <v>5480</v>
      </c>
      <c r="Q156" s="73">
        <f t="shared" si="6"/>
        <v>0</v>
      </c>
      <c r="R156" s="57"/>
      <c r="S156" s="57"/>
      <c r="T156" s="57"/>
      <c r="U156" s="57"/>
      <c r="V156" s="73">
        <f t="shared" si="7"/>
        <v>0</v>
      </c>
      <c r="W156" s="106"/>
      <c r="X156" s="64"/>
    </row>
    <row r="157" spans="1:24" s="66" customFormat="1" ht="12" hidden="1" customHeight="1">
      <c r="A157" s="74" t="s">
        <v>27</v>
      </c>
      <c r="B157" s="74"/>
      <c r="C157" s="74"/>
      <c r="D157" s="74"/>
      <c r="E157" s="74"/>
      <c r="F157" s="74"/>
      <c r="G157" s="74"/>
      <c r="H157" s="74"/>
      <c r="I157" s="75" t="s">
        <v>1851</v>
      </c>
      <c r="J157" s="75" t="s">
        <v>1341</v>
      </c>
      <c r="K157" s="74" t="s">
        <v>1347</v>
      </c>
      <c r="L157" s="76" t="s">
        <v>0</v>
      </c>
      <c r="M157" s="57"/>
      <c r="N157" s="77">
        <v>1127</v>
      </c>
      <c r="O157" s="57">
        <f t="shared" si="5"/>
        <v>0</v>
      </c>
      <c r="P157" s="77">
        <v>6871</v>
      </c>
      <c r="Q157" s="73">
        <f t="shared" si="6"/>
        <v>0</v>
      </c>
      <c r="R157" s="57"/>
      <c r="S157" s="57"/>
      <c r="T157" s="57"/>
      <c r="U157" s="57"/>
      <c r="V157" s="73">
        <f t="shared" si="7"/>
        <v>0</v>
      </c>
      <c r="W157" s="106"/>
      <c r="X157" s="64"/>
    </row>
    <row r="158" spans="1:24" s="66" customFormat="1" ht="12" hidden="1" customHeight="1">
      <c r="A158" s="74" t="s">
        <v>28</v>
      </c>
      <c r="B158" s="74"/>
      <c r="C158" s="74"/>
      <c r="D158" s="74"/>
      <c r="E158" s="74"/>
      <c r="F158" s="74"/>
      <c r="G158" s="74"/>
      <c r="H158" s="74"/>
      <c r="I158" s="75" t="s">
        <v>1851</v>
      </c>
      <c r="J158" s="75" t="s">
        <v>1341</v>
      </c>
      <c r="K158" s="74" t="s">
        <v>1346</v>
      </c>
      <c r="L158" s="76" t="s">
        <v>0</v>
      </c>
      <c r="M158" s="57"/>
      <c r="N158" s="77">
        <v>1484</v>
      </c>
      <c r="O158" s="57">
        <f t="shared" si="5"/>
        <v>0</v>
      </c>
      <c r="P158" s="77">
        <v>6871</v>
      </c>
      <c r="Q158" s="73">
        <f t="shared" si="6"/>
        <v>0</v>
      </c>
      <c r="R158" s="57"/>
      <c r="S158" s="57"/>
      <c r="T158" s="57"/>
      <c r="U158" s="57"/>
      <c r="V158" s="73">
        <f t="shared" si="7"/>
        <v>0</v>
      </c>
      <c r="W158" s="106"/>
      <c r="X158" s="64"/>
    </row>
    <row r="159" spans="1:24" s="66" customFormat="1" ht="12" hidden="1" customHeight="1">
      <c r="A159" s="74" t="s">
        <v>29</v>
      </c>
      <c r="B159" s="74"/>
      <c r="C159" s="74"/>
      <c r="D159" s="74"/>
      <c r="E159" s="74"/>
      <c r="F159" s="74"/>
      <c r="G159" s="74"/>
      <c r="H159" s="74"/>
      <c r="I159" s="75" t="s">
        <v>1852</v>
      </c>
      <c r="J159" s="75" t="s">
        <v>1341</v>
      </c>
      <c r="K159" s="74" t="s">
        <v>1345</v>
      </c>
      <c r="L159" s="76" t="s">
        <v>0</v>
      </c>
      <c r="M159" s="57"/>
      <c r="N159" s="77">
        <v>2013</v>
      </c>
      <c r="O159" s="57">
        <f t="shared" si="5"/>
        <v>0</v>
      </c>
      <c r="P159" s="77">
        <v>10185</v>
      </c>
      <c r="Q159" s="73">
        <f t="shared" si="6"/>
        <v>0</v>
      </c>
      <c r="R159" s="57"/>
      <c r="S159" s="57"/>
      <c r="T159" s="57"/>
      <c r="U159" s="57"/>
      <c r="V159" s="73">
        <f t="shared" si="7"/>
        <v>0</v>
      </c>
      <c r="W159" s="106"/>
      <c r="X159" s="64"/>
    </row>
    <row r="160" spans="1:24" s="66" customFormat="1" ht="12" hidden="1" customHeight="1">
      <c r="A160" s="74" t="s">
        <v>30</v>
      </c>
      <c r="B160" s="74"/>
      <c r="C160" s="74"/>
      <c r="D160" s="74"/>
      <c r="E160" s="74"/>
      <c r="F160" s="74"/>
      <c r="G160" s="74"/>
      <c r="H160" s="74"/>
      <c r="I160" s="75" t="s">
        <v>1853</v>
      </c>
      <c r="J160" s="75" t="s">
        <v>1341</v>
      </c>
      <c r="K160" s="74" t="s">
        <v>1344</v>
      </c>
      <c r="L160" s="76" t="s">
        <v>0</v>
      </c>
      <c r="M160" s="57"/>
      <c r="N160" s="77">
        <v>3128</v>
      </c>
      <c r="O160" s="57">
        <f t="shared" si="5"/>
        <v>0</v>
      </c>
      <c r="P160" s="77">
        <v>13581</v>
      </c>
      <c r="Q160" s="73">
        <f t="shared" si="6"/>
        <v>0</v>
      </c>
      <c r="R160" s="57"/>
      <c r="S160" s="57"/>
      <c r="T160" s="57"/>
      <c r="U160" s="57"/>
      <c r="V160" s="73">
        <f t="shared" si="7"/>
        <v>0</v>
      </c>
      <c r="W160" s="106"/>
      <c r="X160" s="64"/>
    </row>
    <row r="161" spans="1:24" s="66" customFormat="1" ht="12" hidden="1" customHeight="1">
      <c r="A161" s="74" t="s">
        <v>31</v>
      </c>
      <c r="B161" s="74"/>
      <c r="C161" s="74"/>
      <c r="D161" s="74"/>
      <c r="E161" s="74"/>
      <c r="F161" s="74"/>
      <c r="G161" s="74"/>
      <c r="H161" s="74"/>
      <c r="I161" s="75" t="s">
        <v>1854</v>
      </c>
      <c r="J161" s="75" t="s">
        <v>1341</v>
      </c>
      <c r="K161" s="74" t="s">
        <v>1343</v>
      </c>
      <c r="L161" s="76" t="s">
        <v>0</v>
      </c>
      <c r="M161" s="57"/>
      <c r="N161" s="77">
        <v>4083</v>
      </c>
      <c r="O161" s="57">
        <f t="shared" si="5"/>
        <v>0</v>
      </c>
      <c r="P161" s="77">
        <v>16896</v>
      </c>
      <c r="Q161" s="73">
        <f t="shared" si="6"/>
        <v>0</v>
      </c>
      <c r="R161" s="57"/>
      <c r="S161" s="57"/>
      <c r="T161" s="57"/>
      <c r="U161" s="57"/>
      <c r="V161" s="73">
        <f t="shared" si="7"/>
        <v>0</v>
      </c>
      <c r="W161" s="106"/>
      <c r="X161" s="64"/>
    </row>
    <row r="162" spans="1:24" s="66" customFormat="1" ht="12" hidden="1" customHeight="1">
      <c r="A162" s="74" t="s">
        <v>32</v>
      </c>
      <c r="B162" s="74"/>
      <c r="C162" s="74"/>
      <c r="D162" s="74"/>
      <c r="E162" s="74"/>
      <c r="F162" s="74"/>
      <c r="G162" s="74"/>
      <c r="H162" s="74"/>
      <c r="I162" s="75" t="s">
        <v>1855</v>
      </c>
      <c r="J162" s="75" t="s">
        <v>1341</v>
      </c>
      <c r="K162" s="74" t="s">
        <v>1342</v>
      </c>
      <c r="L162" s="76" t="s">
        <v>0</v>
      </c>
      <c r="M162" s="57"/>
      <c r="N162" s="77">
        <v>7188</v>
      </c>
      <c r="O162" s="57">
        <f t="shared" si="5"/>
        <v>0</v>
      </c>
      <c r="P162" s="77">
        <v>20291</v>
      </c>
      <c r="Q162" s="73">
        <f t="shared" si="6"/>
        <v>0</v>
      </c>
      <c r="R162" s="57"/>
      <c r="S162" s="57"/>
      <c r="T162" s="57"/>
      <c r="U162" s="57"/>
      <c r="V162" s="73">
        <f t="shared" si="7"/>
        <v>0</v>
      </c>
      <c r="W162" s="106"/>
      <c r="X162" s="64"/>
    </row>
    <row r="163" spans="1:24" s="66" customFormat="1" ht="12" hidden="1" customHeight="1">
      <c r="A163" s="74" t="s">
        <v>33</v>
      </c>
      <c r="B163" s="74"/>
      <c r="C163" s="74"/>
      <c r="D163" s="74"/>
      <c r="E163" s="74"/>
      <c r="F163" s="74"/>
      <c r="G163" s="74"/>
      <c r="H163" s="74"/>
      <c r="I163" s="75" t="s">
        <v>1856</v>
      </c>
      <c r="J163" s="75" t="s">
        <v>1341</v>
      </c>
      <c r="K163" s="74" t="s">
        <v>1340</v>
      </c>
      <c r="L163" s="76" t="s">
        <v>0</v>
      </c>
      <c r="M163" s="57"/>
      <c r="N163" s="77">
        <v>8027</v>
      </c>
      <c r="O163" s="57">
        <f t="shared" si="5"/>
        <v>0</v>
      </c>
      <c r="P163" s="77">
        <v>22296</v>
      </c>
      <c r="Q163" s="73">
        <f t="shared" si="6"/>
        <v>0</v>
      </c>
      <c r="R163" s="57"/>
      <c r="S163" s="57"/>
      <c r="T163" s="57"/>
      <c r="U163" s="57"/>
      <c r="V163" s="73">
        <f t="shared" si="7"/>
        <v>0</v>
      </c>
      <c r="W163" s="106"/>
      <c r="X163" s="64"/>
    </row>
    <row r="164" spans="1:24" s="66" customFormat="1" ht="12" hidden="1" customHeight="1">
      <c r="A164" s="74" t="s">
        <v>163</v>
      </c>
      <c r="B164" s="74"/>
      <c r="C164" s="74"/>
      <c r="D164" s="74"/>
      <c r="E164" s="74"/>
      <c r="F164" s="74"/>
      <c r="G164" s="74"/>
      <c r="H164" s="74"/>
      <c r="I164" s="75" t="s">
        <v>1827</v>
      </c>
      <c r="J164" s="75" t="s">
        <v>1287</v>
      </c>
      <c r="K164" s="74" t="s">
        <v>830</v>
      </c>
      <c r="L164" s="76" t="s">
        <v>0</v>
      </c>
      <c r="M164" s="57"/>
      <c r="N164" s="77">
        <v>11470</v>
      </c>
      <c r="O164" s="57">
        <f t="shared" si="5"/>
        <v>0</v>
      </c>
      <c r="P164" s="77">
        <v>59590</v>
      </c>
      <c r="Q164" s="73">
        <f t="shared" si="6"/>
        <v>0</v>
      </c>
      <c r="R164" s="57"/>
      <c r="S164" s="57"/>
      <c r="T164" s="57"/>
      <c r="U164" s="57"/>
      <c r="V164" s="73">
        <f t="shared" si="7"/>
        <v>0</v>
      </c>
      <c r="W164" s="106"/>
      <c r="X164" s="64"/>
    </row>
    <row r="165" spans="1:24" s="66" customFormat="1" ht="12" hidden="1" customHeight="1">
      <c r="A165" s="74" t="s">
        <v>164</v>
      </c>
      <c r="B165" s="74"/>
      <c r="C165" s="74"/>
      <c r="D165" s="74"/>
      <c r="E165" s="74"/>
      <c r="F165" s="74"/>
      <c r="G165" s="74"/>
      <c r="H165" s="74"/>
      <c r="I165" s="75" t="s">
        <v>1827</v>
      </c>
      <c r="J165" s="75" t="s">
        <v>1287</v>
      </c>
      <c r="K165" s="74" t="s">
        <v>831</v>
      </c>
      <c r="L165" s="76" t="s">
        <v>0</v>
      </c>
      <c r="M165" s="57"/>
      <c r="N165" s="77">
        <v>11980</v>
      </c>
      <c r="O165" s="57">
        <f t="shared" si="5"/>
        <v>0</v>
      </c>
      <c r="P165" s="77">
        <v>59590</v>
      </c>
      <c r="Q165" s="73">
        <f t="shared" si="6"/>
        <v>0</v>
      </c>
      <c r="R165" s="57"/>
      <c r="S165" s="57"/>
      <c r="T165" s="57"/>
      <c r="U165" s="57"/>
      <c r="V165" s="73">
        <f t="shared" si="7"/>
        <v>0</v>
      </c>
      <c r="W165" s="106"/>
      <c r="X165" s="64"/>
    </row>
    <row r="166" spans="1:24" s="66" customFormat="1" ht="12" hidden="1" customHeight="1">
      <c r="A166" s="74" t="s">
        <v>165</v>
      </c>
      <c r="B166" s="74"/>
      <c r="C166" s="74"/>
      <c r="D166" s="74"/>
      <c r="E166" s="74"/>
      <c r="F166" s="74"/>
      <c r="G166" s="74"/>
      <c r="H166" s="74"/>
      <c r="I166" s="75" t="s">
        <v>1827</v>
      </c>
      <c r="J166" s="75" t="s">
        <v>1287</v>
      </c>
      <c r="K166" s="74" t="s">
        <v>832</v>
      </c>
      <c r="L166" s="76" t="s">
        <v>0</v>
      </c>
      <c r="M166" s="57"/>
      <c r="N166" s="77">
        <v>12960</v>
      </c>
      <c r="O166" s="57">
        <f t="shared" si="5"/>
        <v>0</v>
      </c>
      <c r="P166" s="77">
        <v>59590</v>
      </c>
      <c r="Q166" s="73">
        <f t="shared" si="6"/>
        <v>0</v>
      </c>
      <c r="R166" s="57"/>
      <c r="S166" s="57"/>
      <c r="T166" s="57"/>
      <c r="U166" s="57"/>
      <c r="V166" s="73">
        <f t="shared" si="7"/>
        <v>0</v>
      </c>
      <c r="W166" s="106"/>
      <c r="X166" s="64"/>
    </row>
    <row r="167" spans="1:24" s="66" customFormat="1" ht="12" hidden="1" customHeight="1">
      <c r="A167" s="74" t="s">
        <v>166</v>
      </c>
      <c r="B167" s="74"/>
      <c r="C167" s="74"/>
      <c r="D167" s="74"/>
      <c r="E167" s="74"/>
      <c r="F167" s="74"/>
      <c r="G167" s="74"/>
      <c r="H167" s="74"/>
      <c r="I167" s="75" t="s">
        <v>1828</v>
      </c>
      <c r="J167" s="75" t="s">
        <v>1287</v>
      </c>
      <c r="K167" s="74" t="s">
        <v>833</v>
      </c>
      <c r="L167" s="76" t="s">
        <v>0</v>
      </c>
      <c r="M167" s="57"/>
      <c r="N167" s="77">
        <v>13980</v>
      </c>
      <c r="O167" s="57">
        <f t="shared" ref="O167:O230" si="8">M167*N167*$O$3</f>
        <v>0</v>
      </c>
      <c r="P167" s="77">
        <v>77726</v>
      </c>
      <c r="Q167" s="73">
        <f t="shared" si="6"/>
        <v>0</v>
      </c>
      <c r="R167" s="57"/>
      <c r="S167" s="57"/>
      <c r="T167" s="57"/>
      <c r="U167" s="57"/>
      <c r="V167" s="73">
        <f t="shared" si="7"/>
        <v>0</v>
      </c>
      <c r="W167" s="106"/>
      <c r="X167" s="64"/>
    </row>
    <row r="168" spans="1:24" s="66" customFormat="1" ht="12" hidden="1" customHeight="1">
      <c r="A168" s="74" t="s">
        <v>167</v>
      </c>
      <c r="B168" s="74"/>
      <c r="C168" s="74"/>
      <c r="D168" s="74"/>
      <c r="E168" s="74"/>
      <c r="F168" s="74"/>
      <c r="G168" s="74"/>
      <c r="H168" s="74"/>
      <c r="I168" s="75" t="s">
        <v>1828</v>
      </c>
      <c r="J168" s="75" t="s">
        <v>1287</v>
      </c>
      <c r="K168" s="74" t="s">
        <v>834</v>
      </c>
      <c r="L168" s="76" t="s">
        <v>0</v>
      </c>
      <c r="M168" s="57"/>
      <c r="N168" s="77">
        <v>14980</v>
      </c>
      <c r="O168" s="57">
        <f t="shared" si="8"/>
        <v>0</v>
      </c>
      <c r="P168" s="77">
        <v>77726</v>
      </c>
      <c r="Q168" s="73">
        <f t="shared" si="6"/>
        <v>0</v>
      </c>
      <c r="R168" s="57"/>
      <c r="S168" s="57"/>
      <c r="T168" s="57"/>
      <c r="U168" s="57"/>
      <c r="V168" s="73">
        <f t="shared" si="7"/>
        <v>0</v>
      </c>
      <c r="W168" s="106"/>
      <c r="X168" s="64"/>
    </row>
    <row r="169" spans="1:24" s="66" customFormat="1" ht="12" hidden="1" customHeight="1">
      <c r="A169" s="74" t="s">
        <v>168</v>
      </c>
      <c r="B169" s="74"/>
      <c r="C169" s="74"/>
      <c r="D169" s="74"/>
      <c r="E169" s="74"/>
      <c r="F169" s="74"/>
      <c r="G169" s="74"/>
      <c r="H169" s="74"/>
      <c r="I169" s="75" t="s">
        <v>1829</v>
      </c>
      <c r="J169" s="75" t="s">
        <v>1287</v>
      </c>
      <c r="K169" s="74" t="s">
        <v>835</v>
      </c>
      <c r="L169" s="76" t="s">
        <v>0</v>
      </c>
      <c r="M169" s="57"/>
      <c r="N169" s="77">
        <v>15980</v>
      </c>
      <c r="O169" s="57">
        <f t="shared" si="8"/>
        <v>0</v>
      </c>
      <c r="P169" s="77">
        <v>93272</v>
      </c>
      <c r="Q169" s="73">
        <f t="shared" si="6"/>
        <v>0</v>
      </c>
      <c r="R169" s="57"/>
      <c r="S169" s="57"/>
      <c r="T169" s="57"/>
      <c r="U169" s="57"/>
      <c r="V169" s="73">
        <f t="shared" si="7"/>
        <v>0</v>
      </c>
      <c r="W169" s="106"/>
      <c r="X169" s="64"/>
    </row>
    <row r="170" spans="1:24" s="66" customFormat="1" ht="12" hidden="1" customHeight="1">
      <c r="A170" s="74" t="s">
        <v>169</v>
      </c>
      <c r="B170" s="74"/>
      <c r="C170" s="74"/>
      <c r="D170" s="74"/>
      <c r="E170" s="74"/>
      <c r="F170" s="74"/>
      <c r="G170" s="74"/>
      <c r="H170" s="74"/>
      <c r="I170" s="75" t="s">
        <v>1830</v>
      </c>
      <c r="J170" s="75" t="s">
        <v>1287</v>
      </c>
      <c r="K170" s="74" t="s">
        <v>836</v>
      </c>
      <c r="L170" s="76" t="s">
        <v>0</v>
      </c>
      <c r="M170" s="57"/>
      <c r="N170" s="77">
        <v>17000</v>
      </c>
      <c r="O170" s="57">
        <f t="shared" si="8"/>
        <v>0</v>
      </c>
      <c r="P170" s="77">
        <v>124362</v>
      </c>
      <c r="Q170" s="73">
        <f t="shared" si="6"/>
        <v>0</v>
      </c>
      <c r="R170" s="57"/>
      <c r="S170" s="57"/>
      <c r="T170" s="57"/>
      <c r="U170" s="57"/>
      <c r="V170" s="73">
        <f t="shared" si="7"/>
        <v>0</v>
      </c>
      <c r="W170" s="106"/>
      <c r="X170" s="64"/>
    </row>
    <row r="171" spans="1:24" s="66" customFormat="1" ht="12" hidden="1" customHeight="1">
      <c r="A171" s="74" t="s">
        <v>170</v>
      </c>
      <c r="B171" s="74"/>
      <c r="C171" s="74"/>
      <c r="D171" s="74"/>
      <c r="E171" s="74"/>
      <c r="F171" s="74"/>
      <c r="G171" s="74"/>
      <c r="H171" s="74"/>
      <c r="I171" s="75" t="s">
        <v>1830</v>
      </c>
      <c r="J171" s="75" t="s">
        <v>1287</v>
      </c>
      <c r="K171" s="74" t="s">
        <v>837</v>
      </c>
      <c r="L171" s="76" t="s">
        <v>0</v>
      </c>
      <c r="M171" s="57"/>
      <c r="N171" s="77">
        <v>18060</v>
      </c>
      <c r="O171" s="57">
        <f t="shared" si="8"/>
        <v>0</v>
      </c>
      <c r="P171" s="77">
        <v>124362</v>
      </c>
      <c r="Q171" s="73">
        <f t="shared" si="6"/>
        <v>0</v>
      </c>
      <c r="R171" s="57"/>
      <c r="S171" s="57"/>
      <c r="T171" s="57"/>
      <c r="U171" s="57"/>
      <c r="V171" s="73">
        <f t="shared" si="7"/>
        <v>0</v>
      </c>
      <c r="W171" s="106"/>
      <c r="X171" s="64"/>
    </row>
    <row r="172" spans="1:24" s="66" customFormat="1" ht="12" hidden="1" customHeight="1">
      <c r="A172" s="74" t="s">
        <v>171</v>
      </c>
      <c r="B172" s="74"/>
      <c r="C172" s="74"/>
      <c r="D172" s="74"/>
      <c r="E172" s="74"/>
      <c r="F172" s="74"/>
      <c r="G172" s="74"/>
      <c r="H172" s="74"/>
      <c r="I172" s="75" t="s">
        <v>1831</v>
      </c>
      <c r="J172" s="75" t="s">
        <v>1287</v>
      </c>
      <c r="K172" s="74" t="s">
        <v>838</v>
      </c>
      <c r="L172" s="76" t="s">
        <v>0</v>
      </c>
      <c r="M172" s="57"/>
      <c r="N172" s="77">
        <v>19010</v>
      </c>
      <c r="O172" s="57">
        <f t="shared" si="8"/>
        <v>0</v>
      </c>
      <c r="P172" s="77">
        <v>139908</v>
      </c>
      <c r="Q172" s="73">
        <f t="shared" si="6"/>
        <v>0</v>
      </c>
      <c r="R172" s="57"/>
      <c r="S172" s="57"/>
      <c r="T172" s="57"/>
      <c r="U172" s="57"/>
      <c r="V172" s="73">
        <f t="shared" si="7"/>
        <v>0</v>
      </c>
      <c r="W172" s="106"/>
      <c r="X172" s="64"/>
    </row>
    <row r="173" spans="1:24" s="66" customFormat="1" ht="12" hidden="1" customHeight="1">
      <c r="A173" s="74" t="s">
        <v>172</v>
      </c>
      <c r="B173" s="74"/>
      <c r="C173" s="74"/>
      <c r="D173" s="74"/>
      <c r="E173" s="74"/>
      <c r="F173" s="74"/>
      <c r="G173" s="74"/>
      <c r="H173" s="74"/>
      <c r="I173" s="75" t="s">
        <v>1832</v>
      </c>
      <c r="J173" s="75" t="s">
        <v>1287</v>
      </c>
      <c r="K173" s="74" t="s">
        <v>893</v>
      </c>
      <c r="L173" s="76" t="s">
        <v>0</v>
      </c>
      <c r="M173" s="57"/>
      <c r="N173" s="77">
        <v>20180</v>
      </c>
      <c r="O173" s="57">
        <f t="shared" si="8"/>
        <v>0</v>
      </c>
      <c r="P173" s="77">
        <v>186544</v>
      </c>
      <c r="Q173" s="73">
        <f t="shared" si="6"/>
        <v>0</v>
      </c>
      <c r="R173" s="57"/>
      <c r="S173" s="57"/>
      <c r="T173" s="57"/>
      <c r="U173" s="57"/>
      <c r="V173" s="73">
        <f t="shared" si="7"/>
        <v>0</v>
      </c>
      <c r="W173" s="106"/>
      <c r="X173" s="64"/>
    </row>
    <row r="174" spans="1:24" s="66" customFormat="1" ht="12" hidden="1" customHeight="1">
      <c r="A174" s="74" t="s">
        <v>173</v>
      </c>
      <c r="B174" s="74"/>
      <c r="C174" s="74"/>
      <c r="D174" s="74"/>
      <c r="E174" s="74"/>
      <c r="F174" s="74"/>
      <c r="G174" s="74"/>
      <c r="H174" s="74"/>
      <c r="I174" s="75" t="s">
        <v>1832</v>
      </c>
      <c r="J174" s="75" t="s">
        <v>1287</v>
      </c>
      <c r="K174" s="74" t="s">
        <v>894</v>
      </c>
      <c r="L174" s="76" t="s">
        <v>0</v>
      </c>
      <c r="M174" s="57"/>
      <c r="N174" s="77">
        <v>22200</v>
      </c>
      <c r="O174" s="57">
        <f t="shared" si="8"/>
        <v>0</v>
      </c>
      <c r="P174" s="77">
        <v>186544</v>
      </c>
      <c r="Q174" s="73">
        <f t="shared" si="6"/>
        <v>0</v>
      </c>
      <c r="R174" s="57"/>
      <c r="S174" s="57"/>
      <c r="T174" s="57"/>
      <c r="U174" s="57"/>
      <c r="V174" s="73">
        <f t="shared" si="7"/>
        <v>0</v>
      </c>
      <c r="W174" s="106"/>
      <c r="X174" s="64"/>
    </row>
    <row r="175" spans="1:24" s="66" customFormat="1" ht="12" hidden="1" customHeight="1">
      <c r="A175" s="74" t="s">
        <v>174</v>
      </c>
      <c r="B175" s="74"/>
      <c r="C175" s="74"/>
      <c r="D175" s="74"/>
      <c r="E175" s="74"/>
      <c r="F175" s="74"/>
      <c r="G175" s="74"/>
      <c r="H175" s="74"/>
      <c r="I175" s="75" t="s">
        <v>1827</v>
      </c>
      <c r="J175" s="75" t="s">
        <v>1287</v>
      </c>
      <c r="K175" s="74" t="s">
        <v>839</v>
      </c>
      <c r="L175" s="76" t="s">
        <v>0</v>
      </c>
      <c r="M175" s="57"/>
      <c r="N175" s="77">
        <v>14320</v>
      </c>
      <c r="O175" s="57">
        <f t="shared" si="8"/>
        <v>0</v>
      </c>
      <c r="P175" s="77">
        <v>59590</v>
      </c>
      <c r="Q175" s="73">
        <f t="shared" si="6"/>
        <v>0</v>
      </c>
      <c r="R175" s="57"/>
      <c r="S175" s="57"/>
      <c r="T175" s="57"/>
      <c r="U175" s="57"/>
      <c r="V175" s="73">
        <f t="shared" si="7"/>
        <v>0</v>
      </c>
      <c r="W175" s="106"/>
      <c r="X175" s="64"/>
    </row>
    <row r="176" spans="1:24" s="66" customFormat="1" ht="12" hidden="1" customHeight="1">
      <c r="A176" s="74" t="s">
        <v>175</v>
      </c>
      <c r="B176" s="74"/>
      <c r="C176" s="74"/>
      <c r="D176" s="74"/>
      <c r="E176" s="74"/>
      <c r="F176" s="74"/>
      <c r="G176" s="74"/>
      <c r="H176" s="74"/>
      <c r="I176" s="75" t="s">
        <v>1827</v>
      </c>
      <c r="J176" s="75" t="s">
        <v>1287</v>
      </c>
      <c r="K176" s="74" t="s">
        <v>840</v>
      </c>
      <c r="L176" s="76" t="s">
        <v>0</v>
      </c>
      <c r="M176" s="57"/>
      <c r="N176" s="77">
        <v>16250</v>
      </c>
      <c r="O176" s="57">
        <f t="shared" si="8"/>
        <v>0</v>
      </c>
      <c r="P176" s="77">
        <v>59590</v>
      </c>
      <c r="Q176" s="73">
        <f t="shared" si="6"/>
        <v>0</v>
      </c>
      <c r="R176" s="57"/>
      <c r="S176" s="57"/>
      <c r="T176" s="57"/>
      <c r="U176" s="57"/>
      <c r="V176" s="73">
        <f t="shared" si="7"/>
        <v>0</v>
      </c>
      <c r="W176" s="106"/>
      <c r="X176" s="64"/>
    </row>
    <row r="177" spans="1:24" s="66" customFormat="1" ht="12" hidden="1" customHeight="1">
      <c r="A177" s="74" t="s">
        <v>176</v>
      </c>
      <c r="B177" s="74"/>
      <c r="C177" s="74"/>
      <c r="D177" s="74"/>
      <c r="E177" s="74"/>
      <c r="F177" s="74"/>
      <c r="G177" s="74"/>
      <c r="H177" s="74"/>
      <c r="I177" s="75" t="s">
        <v>1827</v>
      </c>
      <c r="J177" s="75" t="s">
        <v>1287</v>
      </c>
      <c r="K177" s="74" t="s">
        <v>841</v>
      </c>
      <c r="L177" s="76" t="s">
        <v>0</v>
      </c>
      <c r="M177" s="57"/>
      <c r="N177" s="77">
        <v>19120</v>
      </c>
      <c r="O177" s="57">
        <f t="shared" si="8"/>
        <v>0</v>
      </c>
      <c r="P177" s="77">
        <v>59590</v>
      </c>
      <c r="Q177" s="73">
        <f t="shared" si="6"/>
        <v>0</v>
      </c>
      <c r="R177" s="57"/>
      <c r="S177" s="57"/>
      <c r="T177" s="57"/>
      <c r="U177" s="57"/>
      <c r="V177" s="73">
        <f t="shared" si="7"/>
        <v>0</v>
      </c>
      <c r="W177" s="106"/>
      <c r="X177" s="64"/>
    </row>
    <row r="178" spans="1:24" s="66" customFormat="1" ht="12" hidden="1" customHeight="1">
      <c r="A178" s="74" t="s">
        <v>177</v>
      </c>
      <c r="B178" s="74"/>
      <c r="C178" s="74"/>
      <c r="D178" s="74"/>
      <c r="E178" s="74"/>
      <c r="F178" s="74"/>
      <c r="G178" s="74"/>
      <c r="H178" s="74"/>
      <c r="I178" s="75" t="s">
        <v>1828</v>
      </c>
      <c r="J178" s="75" t="s">
        <v>1287</v>
      </c>
      <c r="K178" s="74" t="s">
        <v>842</v>
      </c>
      <c r="L178" s="76" t="s">
        <v>0</v>
      </c>
      <c r="M178" s="57"/>
      <c r="N178" s="77">
        <v>20610</v>
      </c>
      <c r="O178" s="57">
        <f t="shared" si="8"/>
        <v>0</v>
      </c>
      <c r="P178" s="77">
        <v>77726</v>
      </c>
      <c r="Q178" s="73">
        <f t="shared" si="6"/>
        <v>0</v>
      </c>
      <c r="R178" s="57"/>
      <c r="S178" s="57"/>
      <c r="T178" s="57"/>
      <c r="U178" s="57"/>
      <c r="V178" s="73">
        <f t="shared" si="7"/>
        <v>0</v>
      </c>
      <c r="W178" s="106"/>
      <c r="X178" s="64"/>
    </row>
    <row r="179" spans="1:24" s="66" customFormat="1" ht="12" hidden="1" customHeight="1">
      <c r="A179" s="74" t="s">
        <v>178</v>
      </c>
      <c r="B179" s="74"/>
      <c r="C179" s="74"/>
      <c r="D179" s="74"/>
      <c r="E179" s="74"/>
      <c r="F179" s="74"/>
      <c r="G179" s="74"/>
      <c r="H179" s="74"/>
      <c r="I179" s="75" t="s">
        <v>1828</v>
      </c>
      <c r="J179" s="75" t="s">
        <v>1287</v>
      </c>
      <c r="K179" s="74" t="s">
        <v>843</v>
      </c>
      <c r="L179" s="76" t="s">
        <v>0</v>
      </c>
      <c r="M179" s="57"/>
      <c r="N179" s="77">
        <v>22730</v>
      </c>
      <c r="O179" s="57">
        <f t="shared" si="8"/>
        <v>0</v>
      </c>
      <c r="P179" s="77">
        <v>77726</v>
      </c>
      <c r="Q179" s="73">
        <f t="shared" si="6"/>
        <v>0</v>
      </c>
      <c r="R179" s="57"/>
      <c r="S179" s="57"/>
      <c r="T179" s="57"/>
      <c r="U179" s="57"/>
      <c r="V179" s="73">
        <f t="shared" si="7"/>
        <v>0</v>
      </c>
      <c r="W179" s="106"/>
      <c r="X179" s="64"/>
    </row>
    <row r="180" spans="1:24" s="66" customFormat="1" ht="12" hidden="1" customHeight="1">
      <c r="A180" s="74" t="s">
        <v>179</v>
      </c>
      <c r="B180" s="74"/>
      <c r="C180" s="74"/>
      <c r="D180" s="74"/>
      <c r="E180" s="74"/>
      <c r="F180" s="74"/>
      <c r="G180" s="74"/>
      <c r="H180" s="74"/>
      <c r="I180" s="75" t="s">
        <v>1829</v>
      </c>
      <c r="J180" s="75" t="s">
        <v>1287</v>
      </c>
      <c r="K180" s="74" t="s">
        <v>844</v>
      </c>
      <c r="L180" s="76" t="s">
        <v>0</v>
      </c>
      <c r="M180" s="57"/>
      <c r="N180" s="77">
        <v>24730</v>
      </c>
      <c r="O180" s="57">
        <f t="shared" si="8"/>
        <v>0</v>
      </c>
      <c r="P180" s="77">
        <v>93272</v>
      </c>
      <c r="Q180" s="73">
        <f t="shared" si="6"/>
        <v>0</v>
      </c>
      <c r="R180" s="57"/>
      <c r="S180" s="57"/>
      <c r="T180" s="57"/>
      <c r="U180" s="57"/>
      <c r="V180" s="73">
        <f t="shared" si="7"/>
        <v>0</v>
      </c>
      <c r="W180" s="106"/>
      <c r="X180" s="64"/>
    </row>
    <row r="181" spans="1:24" s="66" customFormat="1" ht="12" hidden="1" customHeight="1">
      <c r="A181" s="74" t="s">
        <v>180</v>
      </c>
      <c r="B181" s="74"/>
      <c r="C181" s="74"/>
      <c r="D181" s="74"/>
      <c r="E181" s="74"/>
      <c r="F181" s="74"/>
      <c r="G181" s="74"/>
      <c r="H181" s="74"/>
      <c r="I181" s="75" t="s">
        <v>1830</v>
      </c>
      <c r="J181" s="75" t="s">
        <v>1287</v>
      </c>
      <c r="K181" s="74" t="s">
        <v>845</v>
      </c>
      <c r="L181" s="76" t="s">
        <v>0</v>
      </c>
      <c r="M181" s="57"/>
      <c r="N181" s="77">
        <v>27230</v>
      </c>
      <c r="O181" s="57">
        <f t="shared" si="8"/>
        <v>0</v>
      </c>
      <c r="P181" s="77">
        <v>124362</v>
      </c>
      <c r="Q181" s="73">
        <f t="shared" si="6"/>
        <v>0</v>
      </c>
      <c r="R181" s="57"/>
      <c r="S181" s="57"/>
      <c r="T181" s="57"/>
      <c r="U181" s="57"/>
      <c r="V181" s="73">
        <f t="shared" si="7"/>
        <v>0</v>
      </c>
      <c r="W181" s="106"/>
      <c r="X181" s="64"/>
    </row>
    <row r="182" spans="1:24" s="66" customFormat="1" ht="12" hidden="1" customHeight="1">
      <c r="A182" s="74" t="s">
        <v>181</v>
      </c>
      <c r="B182" s="74"/>
      <c r="C182" s="74"/>
      <c r="D182" s="74"/>
      <c r="E182" s="74"/>
      <c r="F182" s="74"/>
      <c r="G182" s="74"/>
      <c r="H182" s="74"/>
      <c r="I182" s="75" t="s">
        <v>1830</v>
      </c>
      <c r="J182" s="75" t="s">
        <v>1287</v>
      </c>
      <c r="K182" s="74" t="s">
        <v>846</v>
      </c>
      <c r="L182" s="76" t="s">
        <v>0</v>
      </c>
      <c r="M182" s="57"/>
      <c r="N182" s="77">
        <v>30590</v>
      </c>
      <c r="O182" s="57">
        <f t="shared" si="8"/>
        <v>0</v>
      </c>
      <c r="P182" s="77">
        <v>124362</v>
      </c>
      <c r="Q182" s="73">
        <f t="shared" si="6"/>
        <v>0</v>
      </c>
      <c r="R182" s="57"/>
      <c r="S182" s="57"/>
      <c r="T182" s="57"/>
      <c r="U182" s="57"/>
      <c r="V182" s="73">
        <f t="shared" si="7"/>
        <v>0</v>
      </c>
      <c r="W182" s="106"/>
      <c r="X182" s="64"/>
    </row>
    <row r="183" spans="1:24" s="66" customFormat="1" ht="12" hidden="1" customHeight="1">
      <c r="A183" s="74" t="s">
        <v>182</v>
      </c>
      <c r="B183" s="74"/>
      <c r="C183" s="74"/>
      <c r="D183" s="74"/>
      <c r="E183" s="74"/>
      <c r="F183" s="74"/>
      <c r="G183" s="74"/>
      <c r="H183" s="74"/>
      <c r="I183" s="75" t="s">
        <v>1831</v>
      </c>
      <c r="J183" s="75" t="s">
        <v>1287</v>
      </c>
      <c r="K183" s="74" t="s">
        <v>847</v>
      </c>
      <c r="L183" s="76" t="s">
        <v>0</v>
      </c>
      <c r="M183" s="57"/>
      <c r="N183" s="77">
        <v>33030</v>
      </c>
      <c r="O183" s="57">
        <f t="shared" si="8"/>
        <v>0</v>
      </c>
      <c r="P183" s="77">
        <v>139908</v>
      </c>
      <c r="Q183" s="73">
        <f t="shared" si="6"/>
        <v>0</v>
      </c>
      <c r="R183" s="57"/>
      <c r="S183" s="57"/>
      <c r="T183" s="57"/>
      <c r="U183" s="57"/>
      <c r="V183" s="73">
        <f t="shared" si="7"/>
        <v>0</v>
      </c>
      <c r="W183" s="106"/>
      <c r="X183" s="64"/>
    </row>
    <row r="184" spans="1:24" s="66" customFormat="1" ht="12" hidden="1" customHeight="1">
      <c r="A184" s="74" t="s">
        <v>183</v>
      </c>
      <c r="B184" s="74"/>
      <c r="C184" s="74"/>
      <c r="D184" s="74"/>
      <c r="E184" s="74"/>
      <c r="F184" s="74"/>
      <c r="G184" s="74"/>
      <c r="H184" s="74"/>
      <c r="I184" s="75" t="s">
        <v>1832</v>
      </c>
      <c r="J184" s="75" t="s">
        <v>1287</v>
      </c>
      <c r="K184" s="74" t="s">
        <v>895</v>
      </c>
      <c r="L184" s="76" t="s">
        <v>0</v>
      </c>
      <c r="M184" s="57"/>
      <c r="N184" s="77">
        <v>36330</v>
      </c>
      <c r="O184" s="57">
        <f t="shared" si="8"/>
        <v>0</v>
      </c>
      <c r="P184" s="77">
        <v>186544</v>
      </c>
      <c r="Q184" s="73">
        <f t="shared" si="6"/>
        <v>0</v>
      </c>
      <c r="R184" s="57"/>
      <c r="S184" s="57"/>
      <c r="T184" s="57"/>
      <c r="U184" s="57"/>
      <c r="V184" s="73">
        <f t="shared" si="7"/>
        <v>0</v>
      </c>
      <c r="W184" s="106"/>
      <c r="X184" s="64"/>
    </row>
    <row r="185" spans="1:24" s="66" customFormat="1" ht="12" hidden="1" customHeight="1">
      <c r="A185" s="74" t="s">
        <v>184</v>
      </c>
      <c r="B185" s="74"/>
      <c r="C185" s="74"/>
      <c r="D185" s="74"/>
      <c r="E185" s="74"/>
      <c r="F185" s="74"/>
      <c r="G185" s="74"/>
      <c r="H185" s="74"/>
      <c r="I185" s="75" t="s">
        <v>1832</v>
      </c>
      <c r="J185" s="75" t="s">
        <v>1287</v>
      </c>
      <c r="K185" s="74" t="s">
        <v>896</v>
      </c>
      <c r="L185" s="76" t="s">
        <v>0</v>
      </c>
      <c r="M185" s="57"/>
      <c r="N185" s="77">
        <v>42000</v>
      </c>
      <c r="O185" s="57">
        <f t="shared" si="8"/>
        <v>0</v>
      </c>
      <c r="P185" s="77">
        <v>186544</v>
      </c>
      <c r="Q185" s="73">
        <f t="shared" si="6"/>
        <v>0</v>
      </c>
      <c r="R185" s="57"/>
      <c r="S185" s="57"/>
      <c r="T185" s="57"/>
      <c r="U185" s="57"/>
      <c r="V185" s="73">
        <f t="shared" si="7"/>
        <v>0</v>
      </c>
      <c r="W185" s="106"/>
      <c r="X185" s="64"/>
    </row>
    <row r="186" spans="1:24" s="66" customFormat="1" ht="12" hidden="1" customHeight="1">
      <c r="A186" s="74" t="s">
        <v>185</v>
      </c>
      <c r="B186" s="74"/>
      <c r="C186" s="74"/>
      <c r="D186" s="74"/>
      <c r="E186" s="74"/>
      <c r="F186" s="74"/>
      <c r="G186" s="74"/>
      <c r="H186" s="74"/>
      <c r="I186" s="75" t="s">
        <v>1827</v>
      </c>
      <c r="J186" s="75" t="s">
        <v>1287</v>
      </c>
      <c r="K186" s="74" t="s">
        <v>848</v>
      </c>
      <c r="L186" s="76" t="s">
        <v>0</v>
      </c>
      <c r="M186" s="57"/>
      <c r="N186" s="77">
        <v>14980</v>
      </c>
      <c r="O186" s="57">
        <f t="shared" si="8"/>
        <v>0</v>
      </c>
      <c r="P186" s="77">
        <v>59590</v>
      </c>
      <c r="Q186" s="73">
        <f t="shared" si="6"/>
        <v>0</v>
      </c>
      <c r="R186" s="57"/>
      <c r="S186" s="57"/>
      <c r="T186" s="57"/>
      <c r="U186" s="57"/>
      <c r="V186" s="73">
        <f t="shared" si="7"/>
        <v>0</v>
      </c>
      <c r="W186" s="106"/>
      <c r="X186" s="64"/>
    </row>
    <row r="187" spans="1:24" s="66" customFormat="1" ht="12" hidden="1" customHeight="1">
      <c r="A187" s="74" t="s">
        <v>186</v>
      </c>
      <c r="B187" s="74"/>
      <c r="C187" s="74"/>
      <c r="D187" s="74"/>
      <c r="E187" s="74"/>
      <c r="F187" s="74"/>
      <c r="G187" s="74"/>
      <c r="H187" s="74"/>
      <c r="I187" s="75" t="s">
        <v>1827</v>
      </c>
      <c r="J187" s="75" t="s">
        <v>1287</v>
      </c>
      <c r="K187" s="74" t="s">
        <v>849</v>
      </c>
      <c r="L187" s="76" t="s">
        <v>0</v>
      </c>
      <c r="M187" s="57"/>
      <c r="N187" s="77">
        <v>16040</v>
      </c>
      <c r="O187" s="57">
        <f t="shared" si="8"/>
        <v>0</v>
      </c>
      <c r="P187" s="77">
        <v>59590</v>
      </c>
      <c r="Q187" s="73">
        <f t="shared" si="6"/>
        <v>0</v>
      </c>
      <c r="R187" s="57"/>
      <c r="S187" s="57"/>
      <c r="T187" s="57"/>
      <c r="U187" s="57"/>
      <c r="V187" s="73">
        <f t="shared" si="7"/>
        <v>0</v>
      </c>
      <c r="W187" s="106"/>
      <c r="X187" s="64"/>
    </row>
    <row r="188" spans="1:24" s="66" customFormat="1" ht="12" hidden="1" customHeight="1">
      <c r="A188" s="74" t="s">
        <v>187</v>
      </c>
      <c r="B188" s="74"/>
      <c r="C188" s="74"/>
      <c r="D188" s="74"/>
      <c r="E188" s="74"/>
      <c r="F188" s="74"/>
      <c r="G188" s="74"/>
      <c r="H188" s="74"/>
      <c r="I188" s="75" t="s">
        <v>1827</v>
      </c>
      <c r="J188" s="75" t="s">
        <v>1287</v>
      </c>
      <c r="K188" s="74" t="s">
        <v>850</v>
      </c>
      <c r="L188" s="76" t="s">
        <v>0</v>
      </c>
      <c r="M188" s="57"/>
      <c r="N188" s="77">
        <v>18270</v>
      </c>
      <c r="O188" s="57">
        <f t="shared" si="8"/>
        <v>0</v>
      </c>
      <c r="P188" s="77">
        <v>59590</v>
      </c>
      <c r="Q188" s="73">
        <f t="shared" si="6"/>
        <v>0</v>
      </c>
      <c r="R188" s="57"/>
      <c r="S188" s="57"/>
      <c r="T188" s="57"/>
      <c r="U188" s="57"/>
      <c r="V188" s="73">
        <f t="shared" si="7"/>
        <v>0</v>
      </c>
      <c r="W188" s="106"/>
      <c r="X188" s="64"/>
    </row>
    <row r="189" spans="1:24" s="66" customFormat="1" ht="12" hidden="1" customHeight="1">
      <c r="A189" s="74" t="s">
        <v>188</v>
      </c>
      <c r="B189" s="74"/>
      <c r="C189" s="74"/>
      <c r="D189" s="74"/>
      <c r="E189" s="74"/>
      <c r="F189" s="74"/>
      <c r="G189" s="74"/>
      <c r="H189" s="74"/>
      <c r="I189" s="75" t="s">
        <v>1828</v>
      </c>
      <c r="J189" s="75" t="s">
        <v>1287</v>
      </c>
      <c r="K189" s="74" t="s">
        <v>851</v>
      </c>
      <c r="L189" s="76" t="s">
        <v>0</v>
      </c>
      <c r="M189" s="57"/>
      <c r="N189" s="77">
        <v>20500</v>
      </c>
      <c r="O189" s="57">
        <f t="shared" si="8"/>
        <v>0</v>
      </c>
      <c r="P189" s="77">
        <v>77726</v>
      </c>
      <c r="Q189" s="73">
        <f t="shared" si="6"/>
        <v>0</v>
      </c>
      <c r="R189" s="57"/>
      <c r="S189" s="57"/>
      <c r="T189" s="57"/>
      <c r="U189" s="57"/>
      <c r="V189" s="73">
        <f t="shared" si="7"/>
        <v>0</v>
      </c>
      <c r="W189" s="106"/>
      <c r="X189" s="64"/>
    </row>
    <row r="190" spans="1:24" s="66" customFormat="1" ht="12" hidden="1" customHeight="1">
      <c r="A190" s="74" t="s">
        <v>189</v>
      </c>
      <c r="B190" s="74"/>
      <c r="C190" s="74"/>
      <c r="D190" s="74"/>
      <c r="E190" s="74"/>
      <c r="F190" s="74"/>
      <c r="G190" s="74"/>
      <c r="H190" s="74"/>
      <c r="I190" s="75" t="s">
        <v>1828</v>
      </c>
      <c r="J190" s="75" t="s">
        <v>1287</v>
      </c>
      <c r="K190" s="74" t="s">
        <v>852</v>
      </c>
      <c r="L190" s="76" t="s">
        <v>0</v>
      </c>
      <c r="M190" s="57"/>
      <c r="N190" s="77">
        <v>22630</v>
      </c>
      <c r="O190" s="57">
        <f t="shared" si="8"/>
        <v>0</v>
      </c>
      <c r="P190" s="77">
        <v>77726</v>
      </c>
      <c r="Q190" s="73">
        <f t="shared" si="6"/>
        <v>0</v>
      </c>
      <c r="R190" s="57"/>
      <c r="S190" s="57"/>
      <c r="T190" s="57"/>
      <c r="U190" s="57"/>
      <c r="V190" s="73">
        <f t="shared" si="7"/>
        <v>0</v>
      </c>
      <c r="W190" s="106"/>
      <c r="X190" s="64"/>
    </row>
    <row r="191" spans="1:24" s="66" customFormat="1" ht="12" hidden="1" customHeight="1">
      <c r="A191" s="74" t="s">
        <v>190</v>
      </c>
      <c r="B191" s="74"/>
      <c r="C191" s="74"/>
      <c r="D191" s="74"/>
      <c r="E191" s="74"/>
      <c r="F191" s="74"/>
      <c r="G191" s="74"/>
      <c r="H191" s="74"/>
      <c r="I191" s="75" t="s">
        <v>1829</v>
      </c>
      <c r="J191" s="75" t="s">
        <v>1287</v>
      </c>
      <c r="K191" s="74" t="s">
        <v>853</v>
      </c>
      <c r="L191" s="76" t="s">
        <v>0</v>
      </c>
      <c r="M191" s="57"/>
      <c r="N191" s="77">
        <v>24430</v>
      </c>
      <c r="O191" s="57">
        <f t="shared" si="8"/>
        <v>0</v>
      </c>
      <c r="P191" s="77">
        <v>93272</v>
      </c>
      <c r="Q191" s="73">
        <f t="shared" si="6"/>
        <v>0</v>
      </c>
      <c r="R191" s="57"/>
      <c r="S191" s="57"/>
      <c r="T191" s="57"/>
      <c r="U191" s="57"/>
      <c r="V191" s="73">
        <f t="shared" si="7"/>
        <v>0</v>
      </c>
      <c r="W191" s="106"/>
      <c r="X191" s="64"/>
    </row>
    <row r="192" spans="1:24" s="66" customFormat="1" ht="12" hidden="1" customHeight="1">
      <c r="A192" s="74" t="s">
        <v>191</v>
      </c>
      <c r="B192" s="74"/>
      <c r="C192" s="74"/>
      <c r="D192" s="74"/>
      <c r="E192" s="74"/>
      <c r="F192" s="74"/>
      <c r="G192" s="74"/>
      <c r="H192" s="74"/>
      <c r="I192" s="75" t="s">
        <v>1830</v>
      </c>
      <c r="J192" s="75" t="s">
        <v>1287</v>
      </c>
      <c r="K192" s="74" t="s">
        <v>854</v>
      </c>
      <c r="L192" s="76" t="s">
        <v>0</v>
      </c>
      <c r="M192" s="57"/>
      <c r="N192" s="77">
        <v>26240</v>
      </c>
      <c r="O192" s="57">
        <f t="shared" si="8"/>
        <v>0</v>
      </c>
      <c r="P192" s="77">
        <v>124362</v>
      </c>
      <c r="Q192" s="73">
        <f t="shared" si="6"/>
        <v>0</v>
      </c>
      <c r="R192" s="57"/>
      <c r="S192" s="57"/>
      <c r="T192" s="57"/>
      <c r="U192" s="57"/>
      <c r="V192" s="73">
        <f t="shared" si="7"/>
        <v>0</v>
      </c>
      <c r="W192" s="106"/>
      <c r="X192" s="64"/>
    </row>
    <row r="193" spans="1:24" s="66" customFormat="1" ht="12" hidden="1" customHeight="1">
      <c r="A193" s="74" t="s">
        <v>192</v>
      </c>
      <c r="B193" s="74"/>
      <c r="C193" s="74"/>
      <c r="D193" s="74"/>
      <c r="E193" s="74"/>
      <c r="F193" s="74"/>
      <c r="G193" s="74"/>
      <c r="H193" s="74"/>
      <c r="I193" s="75" t="s">
        <v>1830</v>
      </c>
      <c r="J193" s="75" t="s">
        <v>1287</v>
      </c>
      <c r="K193" s="74" t="s">
        <v>855</v>
      </c>
      <c r="L193" s="76" t="s">
        <v>0</v>
      </c>
      <c r="M193" s="57"/>
      <c r="N193" s="77">
        <v>27830</v>
      </c>
      <c r="O193" s="57">
        <f t="shared" si="8"/>
        <v>0</v>
      </c>
      <c r="P193" s="77">
        <v>124362</v>
      </c>
      <c r="Q193" s="73">
        <f t="shared" si="6"/>
        <v>0</v>
      </c>
      <c r="R193" s="57"/>
      <c r="S193" s="57"/>
      <c r="T193" s="57"/>
      <c r="U193" s="57"/>
      <c r="V193" s="73">
        <f t="shared" si="7"/>
        <v>0</v>
      </c>
      <c r="W193" s="106"/>
      <c r="X193" s="64"/>
    </row>
    <row r="194" spans="1:24" s="66" customFormat="1" ht="12" hidden="1" customHeight="1">
      <c r="A194" s="74" t="s">
        <v>193</v>
      </c>
      <c r="B194" s="74"/>
      <c r="C194" s="74"/>
      <c r="D194" s="74"/>
      <c r="E194" s="74"/>
      <c r="F194" s="74"/>
      <c r="G194" s="74"/>
      <c r="H194" s="74"/>
      <c r="I194" s="75" t="s">
        <v>1831</v>
      </c>
      <c r="J194" s="75" t="s">
        <v>1287</v>
      </c>
      <c r="K194" s="74" t="s">
        <v>856</v>
      </c>
      <c r="L194" s="76" t="s">
        <v>0</v>
      </c>
      <c r="M194" s="57"/>
      <c r="N194" s="77">
        <v>29210</v>
      </c>
      <c r="O194" s="57">
        <f t="shared" si="8"/>
        <v>0</v>
      </c>
      <c r="P194" s="77">
        <v>139908</v>
      </c>
      <c r="Q194" s="73">
        <f t="shared" si="6"/>
        <v>0</v>
      </c>
      <c r="R194" s="57"/>
      <c r="S194" s="57"/>
      <c r="T194" s="57"/>
      <c r="U194" s="57"/>
      <c r="V194" s="73">
        <f t="shared" si="7"/>
        <v>0</v>
      </c>
      <c r="W194" s="106"/>
      <c r="X194" s="64"/>
    </row>
    <row r="195" spans="1:24" s="66" customFormat="1" ht="12" hidden="1" customHeight="1">
      <c r="A195" s="74" t="s">
        <v>194</v>
      </c>
      <c r="B195" s="74"/>
      <c r="C195" s="74"/>
      <c r="D195" s="74"/>
      <c r="E195" s="74"/>
      <c r="F195" s="74"/>
      <c r="G195" s="74"/>
      <c r="H195" s="74"/>
      <c r="I195" s="75" t="s">
        <v>1832</v>
      </c>
      <c r="J195" s="75" t="s">
        <v>1287</v>
      </c>
      <c r="K195" s="74" t="s">
        <v>897</v>
      </c>
      <c r="L195" s="76" t="s">
        <v>0</v>
      </c>
      <c r="M195" s="57"/>
      <c r="N195" s="77">
        <v>30380</v>
      </c>
      <c r="O195" s="57">
        <f t="shared" si="8"/>
        <v>0</v>
      </c>
      <c r="P195" s="77">
        <v>186544</v>
      </c>
      <c r="Q195" s="73">
        <f t="shared" si="6"/>
        <v>0</v>
      </c>
      <c r="R195" s="57"/>
      <c r="S195" s="57"/>
      <c r="T195" s="57"/>
      <c r="U195" s="57"/>
      <c r="V195" s="73">
        <f t="shared" si="7"/>
        <v>0</v>
      </c>
      <c r="W195" s="106"/>
      <c r="X195" s="64"/>
    </row>
    <row r="196" spans="1:24" s="66" customFormat="1" ht="12" hidden="1" customHeight="1">
      <c r="A196" s="74" t="s">
        <v>195</v>
      </c>
      <c r="B196" s="74"/>
      <c r="C196" s="74"/>
      <c r="D196" s="74"/>
      <c r="E196" s="74"/>
      <c r="F196" s="74"/>
      <c r="G196" s="74"/>
      <c r="H196" s="74"/>
      <c r="I196" s="75" t="s">
        <v>1832</v>
      </c>
      <c r="J196" s="75" t="s">
        <v>1287</v>
      </c>
      <c r="K196" s="74" t="s">
        <v>898</v>
      </c>
      <c r="L196" s="76" t="s">
        <v>0</v>
      </c>
      <c r="M196" s="57"/>
      <c r="N196" s="77">
        <v>32290</v>
      </c>
      <c r="O196" s="57">
        <f t="shared" si="8"/>
        <v>0</v>
      </c>
      <c r="P196" s="77">
        <v>186544</v>
      </c>
      <c r="Q196" s="73">
        <f t="shared" si="6"/>
        <v>0</v>
      </c>
      <c r="R196" s="57"/>
      <c r="S196" s="57"/>
      <c r="T196" s="57"/>
      <c r="U196" s="57"/>
      <c r="V196" s="73">
        <f t="shared" si="7"/>
        <v>0</v>
      </c>
      <c r="W196" s="106"/>
      <c r="X196" s="64"/>
    </row>
    <row r="197" spans="1:24" s="66" customFormat="1" ht="12" hidden="1" customHeight="1">
      <c r="A197" s="74" t="s">
        <v>196</v>
      </c>
      <c r="B197" s="74"/>
      <c r="C197" s="74"/>
      <c r="D197" s="74"/>
      <c r="E197" s="74"/>
      <c r="F197" s="74"/>
      <c r="G197" s="74"/>
      <c r="H197" s="74"/>
      <c r="I197" s="75" t="s">
        <v>1827</v>
      </c>
      <c r="J197" s="75" t="s">
        <v>1287</v>
      </c>
      <c r="K197" s="74" t="s">
        <v>857</v>
      </c>
      <c r="L197" s="76" t="s">
        <v>0</v>
      </c>
      <c r="M197" s="57"/>
      <c r="N197" s="77">
        <v>25710</v>
      </c>
      <c r="O197" s="57">
        <f t="shared" si="8"/>
        <v>0</v>
      </c>
      <c r="P197" s="77">
        <v>59590</v>
      </c>
      <c r="Q197" s="73">
        <f t="shared" si="6"/>
        <v>0</v>
      </c>
      <c r="R197" s="57"/>
      <c r="S197" s="57"/>
      <c r="T197" s="57"/>
      <c r="U197" s="57"/>
      <c r="V197" s="73">
        <f t="shared" si="7"/>
        <v>0</v>
      </c>
      <c r="W197" s="106"/>
      <c r="X197" s="64"/>
    </row>
    <row r="198" spans="1:24" s="66" customFormat="1" ht="12" hidden="1" customHeight="1">
      <c r="A198" s="74" t="s">
        <v>197</v>
      </c>
      <c r="B198" s="74"/>
      <c r="C198" s="74"/>
      <c r="D198" s="74"/>
      <c r="E198" s="74"/>
      <c r="F198" s="74"/>
      <c r="G198" s="74"/>
      <c r="H198" s="74"/>
      <c r="I198" s="75" t="s">
        <v>1827</v>
      </c>
      <c r="J198" s="75" t="s">
        <v>1287</v>
      </c>
      <c r="K198" s="74" t="s">
        <v>858</v>
      </c>
      <c r="L198" s="76" t="s">
        <v>0</v>
      </c>
      <c r="M198" s="57"/>
      <c r="N198" s="77">
        <v>27690</v>
      </c>
      <c r="O198" s="57">
        <f t="shared" si="8"/>
        <v>0</v>
      </c>
      <c r="P198" s="77">
        <v>59590</v>
      </c>
      <c r="Q198" s="73">
        <f t="shared" si="6"/>
        <v>0</v>
      </c>
      <c r="R198" s="57"/>
      <c r="S198" s="57"/>
      <c r="T198" s="57"/>
      <c r="U198" s="57"/>
      <c r="V198" s="73">
        <f t="shared" si="7"/>
        <v>0</v>
      </c>
      <c r="W198" s="106"/>
      <c r="X198" s="64"/>
    </row>
    <row r="199" spans="1:24" s="66" customFormat="1" ht="12" hidden="1" customHeight="1">
      <c r="A199" s="74" t="s">
        <v>198</v>
      </c>
      <c r="B199" s="74"/>
      <c r="C199" s="74"/>
      <c r="D199" s="74"/>
      <c r="E199" s="74"/>
      <c r="F199" s="74"/>
      <c r="G199" s="74"/>
      <c r="H199" s="74"/>
      <c r="I199" s="75" t="s">
        <v>1827</v>
      </c>
      <c r="J199" s="75" t="s">
        <v>1287</v>
      </c>
      <c r="K199" s="74" t="s">
        <v>859</v>
      </c>
      <c r="L199" s="76" t="s">
        <v>0</v>
      </c>
      <c r="M199" s="57"/>
      <c r="N199" s="77">
        <v>30120</v>
      </c>
      <c r="O199" s="57">
        <f t="shared" si="8"/>
        <v>0</v>
      </c>
      <c r="P199" s="77">
        <v>59590</v>
      </c>
      <c r="Q199" s="73">
        <f t="shared" si="6"/>
        <v>0</v>
      </c>
      <c r="R199" s="57"/>
      <c r="S199" s="57"/>
      <c r="T199" s="57"/>
      <c r="U199" s="57"/>
      <c r="V199" s="73">
        <f t="shared" si="7"/>
        <v>0</v>
      </c>
      <c r="W199" s="106"/>
      <c r="X199" s="64"/>
    </row>
    <row r="200" spans="1:24" s="66" customFormat="1" ht="12" hidden="1" customHeight="1">
      <c r="A200" s="74" t="s">
        <v>199</v>
      </c>
      <c r="B200" s="74"/>
      <c r="C200" s="74"/>
      <c r="D200" s="74"/>
      <c r="E200" s="74"/>
      <c r="F200" s="74"/>
      <c r="G200" s="74"/>
      <c r="H200" s="74"/>
      <c r="I200" s="75" t="s">
        <v>1828</v>
      </c>
      <c r="J200" s="75" t="s">
        <v>1287</v>
      </c>
      <c r="K200" s="74" t="s">
        <v>860</v>
      </c>
      <c r="L200" s="76" t="s">
        <v>0</v>
      </c>
      <c r="M200" s="57"/>
      <c r="N200" s="77">
        <v>32250</v>
      </c>
      <c r="O200" s="57">
        <f t="shared" si="8"/>
        <v>0</v>
      </c>
      <c r="P200" s="77">
        <v>77726</v>
      </c>
      <c r="Q200" s="73">
        <f t="shared" si="6"/>
        <v>0</v>
      </c>
      <c r="R200" s="57"/>
      <c r="S200" s="57"/>
      <c r="T200" s="57"/>
      <c r="U200" s="57"/>
      <c r="V200" s="73">
        <f t="shared" si="7"/>
        <v>0</v>
      </c>
      <c r="W200" s="106"/>
      <c r="X200" s="64"/>
    </row>
    <row r="201" spans="1:24" s="66" customFormat="1" ht="12" hidden="1" customHeight="1">
      <c r="A201" s="74" t="s">
        <v>200</v>
      </c>
      <c r="B201" s="74"/>
      <c r="C201" s="74"/>
      <c r="D201" s="74"/>
      <c r="E201" s="74"/>
      <c r="F201" s="74"/>
      <c r="G201" s="74"/>
      <c r="H201" s="74"/>
      <c r="I201" s="75" t="s">
        <v>1828</v>
      </c>
      <c r="J201" s="75" t="s">
        <v>1287</v>
      </c>
      <c r="K201" s="74" t="s">
        <v>861</v>
      </c>
      <c r="L201" s="76" t="s">
        <v>0</v>
      </c>
      <c r="M201" s="57"/>
      <c r="N201" s="77">
        <v>34510</v>
      </c>
      <c r="O201" s="57">
        <f t="shared" si="8"/>
        <v>0</v>
      </c>
      <c r="P201" s="77">
        <v>77726</v>
      </c>
      <c r="Q201" s="73">
        <f t="shared" si="6"/>
        <v>0</v>
      </c>
      <c r="R201" s="57"/>
      <c r="S201" s="57"/>
      <c r="T201" s="57"/>
      <c r="U201" s="57"/>
      <c r="V201" s="73">
        <f t="shared" si="7"/>
        <v>0</v>
      </c>
      <c r="W201" s="106"/>
      <c r="X201" s="64"/>
    </row>
    <row r="202" spans="1:24" s="66" customFormat="1" ht="12" hidden="1" customHeight="1">
      <c r="A202" s="74" t="s">
        <v>201</v>
      </c>
      <c r="B202" s="74"/>
      <c r="C202" s="74"/>
      <c r="D202" s="74"/>
      <c r="E202" s="74"/>
      <c r="F202" s="74"/>
      <c r="G202" s="74"/>
      <c r="H202" s="74"/>
      <c r="I202" s="75" t="s">
        <v>1829</v>
      </c>
      <c r="J202" s="75" t="s">
        <v>1287</v>
      </c>
      <c r="K202" s="74" t="s">
        <v>862</v>
      </c>
      <c r="L202" s="76" t="s">
        <v>0</v>
      </c>
      <c r="M202" s="57"/>
      <c r="N202" s="77">
        <v>36800</v>
      </c>
      <c r="O202" s="57">
        <f t="shared" si="8"/>
        <v>0</v>
      </c>
      <c r="P202" s="77">
        <v>93272</v>
      </c>
      <c r="Q202" s="73">
        <f t="shared" si="6"/>
        <v>0</v>
      </c>
      <c r="R202" s="57"/>
      <c r="S202" s="57"/>
      <c r="T202" s="57"/>
      <c r="U202" s="57"/>
      <c r="V202" s="73">
        <f t="shared" si="7"/>
        <v>0</v>
      </c>
      <c r="W202" s="106"/>
      <c r="X202" s="64"/>
    </row>
    <row r="203" spans="1:24" s="66" customFormat="1" ht="12" hidden="1" customHeight="1">
      <c r="A203" s="74" t="s">
        <v>202</v>
      </c>
      <c r="B203" s="74"/>
      <c r="C203" s="74"/>
      <c r="D203" s="74"/>
      <c r="E203" s="74"/>
      <c r="F203" s="74"/>
      <c r="G203" s="74"/>
      <c r="H203" s="74"/>
      <c r="I203" s="75" t="s">
        <v>1830</v>
      </c>
      <c r="J203" s="75" t="s">
        <v>1287</v>
      </c>
      <c r="K203" s="74" t="s">
        <v>863</v>
      </c>
      <c r="L203" s="76" t="s">
        <v>0</v>
      </c>
      <c r="M203" s="57"/>
      <c r="N203" s="77">
        <v>41360</v>
      </c>
      <c r="O203" s="57">
        <f t="shared" si="8"/>
        <v>0</v>
      </c>
      <c r="P203" s="77">
        <v>124362</v>
      </c>
      <c r="Q203" s="73">
        <f t="shared" ref="Q203:Q266" si="9">IF(W203="",M203*P203*$Q$3*$W$3,M203*P203*$Q$3*W203)</f>
        <v>0</v>
      </c>
      <c r="R203" s="57"/>
      <c r="S203" s="57"/>
      <c r="T203" s="57"/>
      <c r="U203" s="57"/>
      <c r="V203" s="73">
        <f t="shared" ref="V203:V266" si="10">SUM(O203+Q203)+S203+U203</f>
        <v>0</v>
      </c>
      <c r="W203" s="106"/>
      <c r="X203" s="64"/>
    </row>
    <row r="204" spans="1:24" s="66" customFormat="1" ht="12" hidden="1" customHeight="1">
      <c r="A204" s="74" t="s">
        <v>203</v>
      </c>
      <c r="B204" s="74"/>
      <c r="C204" s="74"/>
      <c r="D204" s="74"/>
      <c r="E204" s="74"/>
      <c r="F204" s="74"/>
      <c r="G204" s="74"/>
      <c r="H204" s="74"/>
      <c r="I204" s="75" t="s">
        <v>1830</v>
      </c>
      <c r="J204" s="75" t="s">
        <v>1287</v>
      </c>
      <c r="K204" s="74" t="s">
        <v>864</v>
      </c>
      <c r="L204" s="76" t="s">
        <v>0</v>
      </c>
      <c r="M204" s="57"/>
      <c r="N204" s="77">
        <v>45680</v>
      </c>
      <c r="O204" s="57">
        <f t="shared" si="8"/>
        <v>0</v>
      </c>
      <c r="P204" s="77">
        <v>124362</v>
      </c>
      <c r="Q204" s="73">
        <f t="shared" si="9"/>
        <v>0</v>
      </c>
      <c r="R204" s="57"/>
      <c r="S204" s="57"/>
      <c r="T204" s="57"/>
      <c r="U204" s="57"/>
      <c r="V204" s="73">
        <f t="shared" si="10"/>
        <v>0</v>
      </c>
      <c r="W204" s="106"/>
      <c r="X204" s="64"/>
    </row>
    <row r="205" spans="1:24" s="66" customFormat="1" ht="12" hidden="1" customHeight="1">
      <c r="A205" s="74" t="s">
        <v>204</v>
      </c>
      <c r="B205" s="74"/>
      <c r="C205" s="74"/>
      <c r="D205" s="74"/>
      <c r="E205" s="74"/>
      <c r="F205" s="74"/>
      <c r="G205" s="74"/>
      <c r="H205" s="74"/>
      <c r="I205" s="75" t="s">
        <v>1831</v>
      </c>
      <c r="J205" s="75" t="s">
        <v>1287</v>
      </c>
      <c r="K205" s="74" t="s">
        <v>865</v>
      </c>
      <c r="L205" s="76" t="s">
        <v>0</v>
      </c>
      <c r="M205" s="57"/>
      <c r="N205" s="77">
        <v>50000</v>
      </c>
      <c r="O205" s="57">
        <f t="shared" si="8"/>
        <v>0</v>
      </c>
      <c r="P205" s="77">
        <v>139908</v>
      </c>
      <c r="Q205" s="73">
        <f t="shared" si="9"/>
        <v>0</v>
      </c>
      <c r="R205" s="57"/>
      <c r="S205" s="57"/>
      <c r="T205" s="57"/>
      <c r="U205" s="57"/>
      <c r="V205" s="73">
        <f t="shared" si="10"/>
        <v>0</v>
      </c>
      <c r="W205" s="106"/>
      <c r="X205" s="64"/>
    </row>
    <row r="206" spans="1:24" s="66" customFormat="1" ht="12" hidden="1" customHeight="1">
      <c r="A206" s="74" t="s">
        <v>205</v>
      </c>
      <c r="B206" s="74"/>
      <c r="C206" s="74"/>
      <c r="D206" s="74"/>
      <c r="E206" s="74"/>
      <c r="F206" s="74"/>
      <c r="G206" s="74"/>
      <c r="H206" s="74"/>
      <c r="I206" s="75" t="s">
        <v>1832</v>
      </c>
      <c r="J206" s="75" t="s">
        <v>1287</v>
      </c>
      <c r="K206" s="74" t="s">
        <v>899</v>
      </c>
      <c r="L206" s="76" t="s">
        <v>0</v>
      </c>
      <c r="M206" s="57"/>
      <c r="N206" s="77">
        <v>53630</v>
      </c>
      <c r="O206" s="57">
        <f t="shared" si="8"/>
        <v>0</v>
      </c>
      <c r="P206" s="77">
        <v>186544</v>
      </c>
      <c r="Q206" s="73">
        <f t="shared" si="9"/>
        <v>0</v>
      </c>
      <c r="R206" s="57"/>
      <c r="S206" s="57"/>
      <c r="T206" s="57"/>
      <c r="U206" s="57"/>
      <c r="V206" s="73">
        <f t="shared" si="10"/>
        <v>0</v>
      </c>
      <c r="W206" s="106"/>
      <c r="X206" s="64"/>
    </row>
    <row r="207" spans="1:24" s="66" customFormat="1" ht="12" hidden="1" customHeight="1">
      <c r="A207" s="74" t="s">
        <v>206</v>
      </c>
      <c r="B207" s="74"/>
      <c r="C207" s="74"/>
      <c r="D207" s="74"/>
      <c r="E207" s="74"/>
      <c r="F207" s="74"/>
      <c r="G207" s="74"/>
      <c r="H207" s="74"/>
      <c r="I207" s="75" t="s">
        <v>1832</v>
      </c>
      <c r="J207" s="75" t="s">
        <v>1287</v>
      </c>
      <c r="K207" s="74" t="s">
        <v>900</v>
      </c>
      <c r="L207" s="76" t="s">
        <v>0</v>
      </c>
      <c r="M207" s="57"/>
      <c r="N207" s="77">
        <v>60280</v>
      </c>
      <c r="O207" s="57">
        <f t="shared" si="8"/>
        <v>0</v>
      </c>
      <c r="P207" s="77">
        <v>186544</v>
      </c>
      <c r="Q207" s="73">
        <f t="shared" si="9"/>
        <v>0</v>
      </c>
      <c r="R207" s="57"/>
      <c r="S207" s="57"/>
      <c r="T207" s="57"/>
      <c r="U207" s="57"/>
      <c r="V207" s="73">
        <f t="shared" si="10"/>
        <v>0</v>
      </c>
      <c r="W207" s="106"/>
      <c r="X207" s="64"/>
    </row>
    <row r="208" spans="1:24" s="66" customFormat="1" ht="12" hidden="1" customHeight="1">
      <c r="A208" s="74" t="s">
        <v>207</v>
      </c>
      <c r="B208" s="74"/>
      <c r="C208" s="74"/>
      <c r="D208" s="74"/>
      <c r="E208" s="74"/>
      <c r="F208" s="74"/>
      <c r="G208" s="74"/>
      <c r="H208" s="74"/>
      <c r="I208" s="75" t="s">
        <v>1827</v>
      </c>
      <c r="J208" s="75" t="s">
        <v>1287</v>
      </c>
      <c r="K208" s="74" t="s">
        <v>866</v>
      </c>
      <c r="L208" s="76" t="s">
        <v>0</v>
      </c>
      <c r="M208" s="57"/>
      <c r="N208" s="77">
        <v>26340</v>
      </c>
      <c r="O208" s="57">
        <f t="shared" si="8"/>
        <v>0</v>
      </c>
      <c r="P208" s="77">
        <v>59590</v>
      </c>
      <c r="Q208" s="73">
        <f t="shared" si="9"/>
        <v>0</v>
      </c>
      <c r="R208" s="57"/>
      <c r="S208" s="57"/>
      <c r="T208" s="57"/>
      <c r="U208" s="57"/>
      <c r="V208" s="73">
        <f t="shared" si="10"/>
        <v>0</v>
      </c>
      <c r="W208" s="106"/>
      <c r="X208" s="64"/>
    </row>
    <row r="209" spans="1:24" s="66" customFormat="1" ht="12" hidden="1" customHeight="1">
      <c r="A209" s="74" t="s">
        <v>208</v>
      </c>
      <c r="B209" s="74"/>
      <c r="C209" s="74"/>
      <c r="D209" s="74"/>
      <c r="E209" s="74"/>
      <c r="F209" s="74"/>
      <c r="G209" s="74"/>
      <c r="H209" s="74"/>
      <c r="I209" s="75" t="s">
        <v>1827</v>
      </c>
      <c r="J209" s="75" t="s">
        <v>1287</v>
      </c>
      <c r="K209" s="74" t="s">
        <v>867</v>
      </c>
      <c r="L209" s="76" t="s">
        <v>0</v>
      </c>
      <c r="M209" s="57"/>
      <c r="N209" s="77">
        <v>29100</v>
      </c>
      <c r="O209" s="57">
        <f t="shared" si="8"/>
        <v>0</v>
      </c>
      <c r="P209" s="77">
        <v>59590</v>
      </c>
      <c r="Q209" s="73">
        <f t="shared" si="9"/>
        <v>0</v>
      </c>
      <c r="R209" s="57"/>
      <c r="S209" s="57"/>
      <c r="T209" s="57"/>
      <c r="U209" s="57"/>
      <c r="V209" s="73">
        <f t="shared" si="10"/>
        <v>0</v>
      </c>
      <c r="W209" s="106"/>
      <c r="X209" s="64"/>
    </row>
    <row r="210" spans="1:24" s="66" customFormat="1" ht="12" hidden="1" customHeight="1">
      <c r="A210" s="74" t="s">
        <v>209</v>
      </c>
      <c r="B210" s="74"/>
      <c r="C210" s="74"/>
      <c r="D210" s="74"/>
      <c r="E210" s="74"/>
      <c r="F210" s="74"/>
      <c r="G210" s="74"/>
      <c r="H210" s="74"/>
      <c r="I210" s="75" t="s">
        <v>1827</v>
      </c>
      <c r="J210" s="75" t="s">
        <v>1287</v>
      </c>
      <c r="K210" s="74" t="s">
        <v>868</v>
      </c>
      <c r="L210" s="76" t="s">
        <v>0</v>
      </c>
      <c r="M210" s="57"/>
      <c r="N210" s="77">
        <v>31970</v>
      </c>
      <c r="O210" s="57">
        <f t="shared" si="8"/>
        <v>0</v>
      </c>
      <c r="P210" s="77">
        <v>59590</v>
      </c>
      <c r="Q210" s="73">
        <f t="shared" si="9"/>
        <v>0</v>
      </c>
      <c r="R210" s="57"/>
      <c r="S210" s="57"/>
      <c r="T210" s="57"/>
      <c r="U210" s="57"/>
      <c r="V210" s="73">
        <f t="shared" si="10"/>
        <v>0</v>
      </c>
      <c r="W210" s="106"/>
      <c r="X210" s="64"/>
    </row>
    <row r="211" spans="1:24" s="66" customFormat="1" ht="12" hidden="1" customHeight="1">
      <c r="A211" s="74" t="s">
        <v>210</v>
      </c>
      <c r="B211" s="74"/>
      <c r="C211" s="74"/>
      <c r="D211" s="74"/>
      <c r="E211" s="74"/>
      <c r="F211" s="74"/>
      <c r="G211" s="74"/>
      <c r="H211" s="74"/>
      <c r="I211" s="75" t="s">
        <v>1828</v>
      </c>
      <c r="J211" s="75" t="s">
        <v>1287</v>
      </c>
      <c r="K211" s="74" t="s">
        <v>869</v>
      </c>
      <c r="L211" s="76" t="s">
        <v>0</v>
      </c>
      <c r="M211" s="57"/>
      <c r="N211" s="77">
        <v>34200</v>
      </c>
      <c r="O211" s="57">
        <f t="shared" si="8"/>
        <v>0</v>
      </c>
      <c r="P211" s="77">
        <v>77726</v>
      </c>
      <c r="Q211" s="73">
        <f t="shared" si="9"/>
        <v>0</v>
      </c>
      <c r="R211" s="57"/>
      <c r="S211" s="57"/>
      <c r="T211" s="57"/>
      <c r="U211" s="57"/>
      <c r="V211" s="73">
        <f t="shared" si="10"/>
        <v>0</v>
      </c>
      <c r="W211" s="106"/>
      <c r="X211" s="64"/>
    </row>
    <row r="212" spans="1:24" s="66" customFormat="1" ht="12" hidden="1" customHeight="1">
      <c r="A212" s="74" t="s">
        <v>211</v>
      </c>
      <c r="B212" s="74"/>
      <c r="C212" s="74"/>
      <c r="D212" s="74"/>
      <c r="E212" s="74"/>
      <c r="F212" s="74"/>
      <c r="G212" s="74"/>
      <c r="H212" s="74"/>
      <c r="I212" s="75" t="s">
        <v>1828</v>
      </c>
      <c r="J212" s="75" t="s">
        <v>1287</v>
      </c>
      <c r="K212" s="74" t="s">
        <v>870</v>
      </c>
      <c r="L212" s="76" t="s">
        <v>0</v>
      </c>
      <c r="M212" s="57"/>
      <c r="N212" s="77">
        <v>36860</v>
      </c>
      <c r="O212" s="57">
        <f t="shared" si="8"/>
        <v>0</v>
      </c>
      <c r="P212" s="77">
        <v>77726</v>
      </c>
      <c r="Q212" s="73">
        <f t="shared" si="9"/>
        <v>0</v>
      </c>
      <c r="R212" s="57"/>
      <c r="S212" s="57"/>
      <c r="T212" s="57"/>
      <c r="U212" s="57"/>
      <c r="V212" s="73">
        <f t="shared" si="10"/>
        <v>0</v>
      </c>
      <c r="W212" s="106"/>
      <c r="X212" s="64"/>
    </row>
    <row r="213" spans="1:24" s="66" customFormat="1" ht="12" hidden="1" customHeight="1">
      <c r="A213" s="74" t="s">
        <v>212</v>
      </c>
      <c r="B213" s="74"/>
      <c r="C213" s="74"/>
      <c r="D213" s="74"/>
      <c r="E213" s="74"/>
      <c r="F213" s="74"/>
      <c r="G213" s="74"/>
      <c r="H213" s="74"/>
      <c r="I213" s="75" t="s">
        <v>1829</v>
      </c>
      <c r="J213" s="75" t="s">
        <v>1287</v>
      </c>
      <c r="K213" s="74" t="s">
        <v>871</v>
      </c>
      <c r="L213" s="76" t="s">
        <v>0</v>
      </c>
      <c r="M213" s="57"/>
      <c r="N213" s="77">
        <v>38560</v>
      </c>
      <c r="O213" s="57">
        <f t="shared" si="8"/>
        <v>0</v>
      </c>
      <c r="P213" s="77">
        <v>93272</v>
      </c>
      <c r="Q213" s="73">
        <f t="shared" si="9"/>
        <v>0</v>
      </c>
      <c r="R213" s="57"/>
      <c r="S213" s="57"/>
      <c r="T213" s="57"/>
      <c r="U213" s="57"/>
      <c r="V213" s="73">
        <f t="shared" si="10"/>
        <v>0</v>
      </c>
      <c r="W213" s="106"/>
      <c r="X213" s="64"/>
    </row>
    <row r="214" spans="1:24" s="66" customFormat="1" ht="12" hidden="1" customHeight="1">
      <c r="A214" s="74" t="s">
        <v>213</v>
      </c>
      <c r="B214" s="74"/>
      <c r="C214" s="74"/>
      <c r="D214" s="74"/>
      <c r="E214" s="74"/>
      <c r="F214" s="74"/>
      <c r="G214" s="74"/>
      <c r="H214" s="74"/>
      <c r="I214" s="75" t="s">
        <v>1830</v>
      </c>
      <c r="J214" s="75" t="s">
        <v>1287</v>
      </c>
      <c r="K214" s="74" t="s">
        <v>872</v>
      </c>
      <c r="L214" s="76" t="s">
        <v>0</v>
      </c>
      <c r="M214" s="57"/>
      <c r="N214" s="77">
        <v>40890</v>
      </c>
      <c r="O214" s="57">
        <f t="shared" si="8"/>
        <v>0</v>
      </c>
      <c r="P214" s="77">
        <v>124362</v>
      </c>
      <c r="Q214" s="73">
        <f t="shared" si="9"/>
        <v>0</v>
      </c>
      <c r="R214" s="57"/>
      <c r="S214" s="57"/>
      <c r="T214" s="57"/>
      <c r="U214" s="57"/>
      <c r="V214" s="73">
        <f t="shared" si="10"/>
        <v>0</v>
      </c>
      <c r="W214" s="106"/>
      <c r="X214" s="64"/>
    </row>
    <row r="215" spans="1:24" s="66" customFormat="1" ht="12" hidden="1" customHeight="1">
      <c r="A215" s="74" t="s">
        <v>214</v>
      </c>
      <c r="B215" s="74"/>
      <c r="C215" s="74"/>
      <c r="D215" s="74"/>
      <c r="E215" s="74"/>
      <c r="F215" s="74"/>
      <c r="G215" s="74"/>
      <c r="H215" s="74"/>
      <c r="I215" s="75" t="s">
        <v>1830</v>
      </c>
      <c r="J215" s="75" t="s">
        <v>1287</v>
      </c>
      <c r="K215" s="74" t="s">
        <v>873</v>
      </c>
      <c r="L215" s="76" t="s">
        <v>0</v>
      </c>
      <c r="M215" s="57"/>
      <c r="N215" s="77">
        <v>43020</v>
      </c>
      <c r="O215" s="57">
        <f t="shared" si="8"/>
        <v>0</v>
      </c>
      <c r="P215" s="77">
        <v>124362</v>
      </c>
      <c r="Q215" s="73">
        <f t="shared" si="9"/>
        <v>0</v>
      </c>
      <c r="R215" s="57"/>
      <c r="S215" s="57"/>
      <c r="T215" s="57"/>
      <c r="U215" s="57"/>
      <c r="V215" s="73">
        <f t="shared" si="10"/>
        <v>0</v>
      </c>
      <c r="W215" s="106"/>
      <c r="X215" s="64"/>
    </row>
    <row r="216" spans="1:24" s="66" customFormat="1" ht="12" hidden="1" customHeight="1">
      <c r="A216" s="74" t="s">
        <v>215</v>
      </c>
      <c r="B216" s="74"/>
      <c r="C216" s="74"/>
      <c r="D216" s="74"/>
      <c r="E216" s="74"/>
      <c r="F216" s="74"/>
      <c r="G216" s="74"/>
      <c r="H216" s="74"/>
      <c r="I216" s="75" t="s">
        <v>1831</v>
      </c>
      <c r="J216" s="75" t="s">
        <v>1287</v>
      </c>
      <c r="K216" s="74" t="s">
        <v>874</v>
      </c>
      <c r="L216" s="76" t="s">
        <v>0</v>
      </c>
      <c r="M216" s="57"/>
      <c r="N216" s="77">
        <v>45460</v>
      </c>
      <c r="O216" s="57">
        <f t="shared" si="8"/>
        <v>0</v>
      </c>
      <c r="P216" s="77">
        <v>139908</v>
      </c>
      <c r="Q216" s="73">
        <f t="shared" si="9"/>
        <v>0</v>
      </c>
      <c r="R216" s="57"/>
      <c r="S216" s="57"/>
      <c r="T216" s="57"/>
      <c r="U216" s="57"/>
      <c r="V216" s="73">
        <f t="shared" si="10"/>
        <v>0</v>
      </c>
      <c r="W216" s="106"/>
      <c r="X216" s="64"/>
    </row>
    <row r="217" spans="1:24" s="66" customFormat="1" ht="12" hidden="1" customHeight="1">
      <c r="A217" s="74" t="s">
        <v>216</v>
      </c>
      <c r="B217" s="74"/>
      <c r="C217" s="74"/>
      <c r="D217" s="74"/>
      <c r="E217" s="74"/>
      <c r="F217" s="74"/>
      <c r="G217" s="74"/>
      <c r="H217" s="74"/>
      <c r="I217" s="75" t="s">
        <v>1832</v>
      </c>
      <c r="J217" s="75" t="s">
        <v>1287</v>
      </c>
      <c r="K217" s="74" t="s">
        <v>901</v>
      </c>
      <c r="L217" s="76" t="s">
        <v>0</v>
      </c>
      <c r="M217" s="57"/>
      <c r="N217" s="77">
        <v>48430</v>
      </c>
      <c r="O217" s="57">
        <f t="shared" si="8"/>
        <v>0</v>
      </c>
      <c r="P217" s="77">
        <v>186544</v>
      </c>
      <c r="Q217" s="73">
        <f t="shared" si="9"/>
        <v>0</v>
      </c>
      <c r="R217" s="57"/>
      <c r="S217" s="57"/>
      <c r="T217" s="57"/>
      <c r="U217" s="57"/>
      <c r="V217" s="73">
        <f t="shared" si="10"/>
        <v>0</v>
      </c>
      <c r="W217" s="106"/>
      <c r="X217" s="64"/>
    </row>
    <row r="218" spans="1:24" s="66" customFormat="1" ht="12" hidden="1" customHeight="1">
      <c r="A218" s="74" t="s">
        <v>217</v>
      </c>
      <c r="B218" s="74"/>
      <c r="C218" s="74"/>
      <c r="D218" s="74"/>
      <c r="E218" s="74"/>
      <c r="F218" s="74"/>
      <c r="G218" s="74"/>
      <c r="H218" s="74"/>
      <c r="I218" s="75" t="s">
        <v>1832</v>
      </c>
      <c r="J218" s="75" t="s">
        <v>1287</v>
      </c>
      <c r="K218" s="74" t="s">
        <v>902</v>
      </c>
      <c r="L218" s="76" t="s">
        <v>0</v>
      </c>
      <c r="M218" s="57"/>
      <c r="N218" s="77">
        <v>52470</v>
      </c>
      <c r="O218" s="57">
        <f t="shared" si="8"/>
        <v>0</v>
      </c>
      <c r="P218" s="77">
        <v>186544</v>
      </c>
      <c r="Q218" s="73">
        <f t="shared" si="9"/>
        <v>0</v>
      </c>
      <c r="R218" s="57"/>
      <c r="S218" s="57"/>
      <c r="T218" s="57"/>
      <c r="U218" s="57"/>
      <c r="V218" s="73">
        <f t="shared" si="10"/>
        <v>0</v>
      </c>
      <c r="W218" s="106"/>
      <c r="X218" s="64"/>
    </row>
    <row r="219" spans="1:24" s="66" customFormat="1" ht="12" hidden="1" customHeight="1">
      <c r="A219" s="74" t="s">
        <v>218</v>
      </c>
      <c r="B219" s="74"/>
      <c r="C219" s="74"/>
      <c r="D219" s="74"/>
      <c r="E219" s="74"/>
      <c r="F219" s="74"/>
      <c r="G219" s="74"/>
      <c r="H219" s="74"/>
      <c r="I219" s="75" t="s">
        <v>1827</v>
      </c>
      <c r="J219" s="75" t="s">
        <v>1287</v>
      </c>
      <c r="K219" s="74" t="s">
        <v>875</v>
      </c>
      <c r="L219" s="76" t="s">
        <v>0</v>
      </c>
      <c r="M219" s="57"/>
      <c r="N219" s="77">
        <v>29090</v>
      </c>
      <c r="O219" s="57">
        <f t="shared" si="8"/>
        <v>0</v>
      </c>
      <c r="P219" s="77">
        <v>59590</v>
      </c>
      <c r="Q219" s="73">
        <f t="shared" si="9"/>
        <v>0</v>
      </c>
      <c r="R219" s="57"/>
      <c r="S219" s="57"/>
      <c r="T219" s="57"/>
      <c r="U219" s="57"/>
      <c r="V219" s="73">
        <f t="shared" si="10"/>
        <v>0</v>
      </c>
      <c r="W219" s="106"/>
      <c r="X219" s="64"/>
    </row>
    <row r="220" spans="1:24" s="66" customFormat="1" ht="12" hidden="1" customHeight="1">
      <c r="A220" s="74" t="s">
        <v>219</v>
      </c>
      <c r="B220" s="74"/>
      <c r="C220" s="74"/>
      <c r="D220" s="74"/>
      <c r="E220" s="74"/>
      <c r="F220" s="74"/>
      <c r="G220" s="74"/>
      <c r="H220" s="74"/>
      <c r="I220" s="75" t="s">
        <v>1827</v>
      </c>
      <c r="J220" s="75" t="s">
        <v>1287</v>
      </c>
      <c r="K220" s="74" t="s">
        <v>876</v>
      </c>
      <c r="L220" s="76" t="s">
        <v>0</v>
      </c>
      <c r="M220" s="57"/>
      <c r="N220" s="77">
        <v>30730</v>
      </c>
      <c r="O220" s="57">
        <f t="shared" si="8"/>
        <v>0</v>
      </c>
      <c r="P220" s="77">
        <v>59590</v>
      </c>
      <c r="Q220" s="73">
        <f t="shared" si="9"/>
        <v>0</v>
      </c>
      <c r="R220" s="57"/>
      <c r="S220" s="57"/>
      <c r="T220" s="57"/>
      <c r="U220" s="57"/>
      <c r="V220" s="73">
        <f t="shared" si="10"/>
        <v>0</v>
      </c>
      <c r="W220" s="106"/>
      <c r="X220" s="64"/>
    </row>
    <row r="221" spans="1:24" s="66" customFormat="1" ht="12" hidden="1" customHeight="1">
      <c r="A221" s="74" t="s">
        <v>220</v>
      </c>
      <c r="B221" s="74"/>
      <c r="C221" s="74"/>
      <c r="D221" s="74"/>
      <c r="E221" s="74"/>
      <c r="F221" s="74"/>
      <c r="G221" s="74"/>
      <c r="H221" s="74"/>
      <c r="I221" s="75" t="s">
        <v>1827</v>
      </c>
      <c r="J221" s="75" t="s">
        <v>1287</v>
      </c>
      <c r="K221" s="74" t="s">
        <v>877</v>
      </c>
      <c r="L221" s="76" t="s">
        <v>0</v>
      </c>
      <c r="M221" s="57"/>
      <c r="N221" s="77">
        <v>32950</v>
      </c>
      <c r="O221" s="57">
        <f t="shared" si="8"/>
        <v>0</v>
      </c>
      <c r="P221" s="77">
        <v>59590</v>
      </c>
      <c r="Q221" s="73">
        <f t="shared" si="9"/>
        <v>0</v>
      </c>
      <c r="R221" s="57"/>
      <c r="S221" s="57"/>
      <c r="T221" s="57"/>
      <c r="U221" s="57"/>
      <c r="V221" s="73">
        <f t="shared" si="10"/>
        <v>0</v>
      </c>
      <c r="W221" s="106"/>
      <c r="X221" s="64"/>
    </row>
    <row r="222" spans="1:24" s="66" customFormat="1" ht="12" hidden="1" customHeight="1">
      <c r="A222" s="74" t="s">
        <v>221</v>
      </c>
      <c r="B222" s="74"/>
      <c r="C222" s="74"/>
      <c r="D222" s="74"/>
      <c r="E222" s="74"/>
      <c r="F222" s="74"/>
      <c r="G222" s="74"/>
      <c r="H222" s="74"/>
      <c r="I222" s="75" t="s">
        <v>1828</v>
      </c>
      <c r="J222" s="75" t="s">
        <v>1287</v>
      </c>
      <c r="K222" s="74" t="s">
        <v>878</v>
      </c>
      <c r="L222" s="76" t="s">
        <v>0</v>
      </c>
      <c r="M222" s="57"/>
      <c r="N222" s="77">
        <v>35520</v>
      </c>
      <c r="O222" s="57">
        <f t="shared" si="8"/>
        <v>0</v>
      </c>
      <c r="P222" s="77">
        <v>77726</v>
      </c>
      <c r="Q222" s="73">
        <f t="shared" si="9"/>
        <v>0</v>
      </c>
      <c r="R222" s="57"/>
      <c r="S222" s="57"/>
      <c r="T222" s="57"/>
      <c r="U222" s="57"/>
      <c r="V222" s="73">
        <f t="shared" si="10"/>
        <v>0</v>
      </c>
      <c r="W222" s="106"/>
      <c r="X222" s="64"/>
    </row>
    <row r="223" spans="1:24" s="66" customFormat="1" ht="12" hidden="1" customHeight="1">
      <c r="A223" s="74" t="s">
        <v>222</v>
      </c>
      <c r="B223" s="74"/>
      <c r="C223" s="74"/>
      <c r="D223" s="74"/>
      <c r="E223" s="74"/>
      <c r="F223" s="74"/>
      <c r="G223" s="74"/>
      <c r="H223" s="74"/>
      <c r="I223" s="75" t="s">
        <v>1828</v>
      </c>
      <c r="J223" s="75" t="s">
        <v>1287</v>
      </c>
      <c r="K223" s="74" t="s">
        <v>879</v>
      </c>
      <c r="L223" s="76" t="s">
        <v>0</v>
      </c>
      <c r="M223" s="57"/>
      <c r="N223" s="77">
        <v>38440</v>
      </c>
      <c r="O223" s="57">
        <f t="shared" si="8"/>
        <v>0</v>
      </c>
      <c r="P223" s="77">
        <v>77726</v>
      </c>
      <c r="Q223" s="73">
        <f t="shared" si="9"/>
        <v>0</v>
      </c>
      <c r="R223" s="57"/>
      <c r="S223" s="57"/>
      <c r="T223" s="57"/>
      <c r="U223" s="57"/>
      <c r="V223" s="73">
        <f t="shared" si="10"/>
        <v>0</v>
      </c>
      <c r="W223" s="106"/>
      <c r="X223" s="64"/>
    </row>
    <row r="224" spans="1:24" s="66" customFormat="1" ht="12" hidden="1" customHeight="1">
      <c r="A224" s="74" t="s">
        <v>223</v>
      </c>
      <c r="B224" s="74"/>
      <c r="C224" s="74"/>
      <c r="D224" s="74"/>
      <c r="E224" s="74"/>
      <c r="F224" s="74"/>
      <c r="G224" s="74"/>
      <c r="H224" s="74"/>
      <c r="I224" s="75" t="s">
        <v>1829</v>
      </c>
      <c r="J224" s="75" t="s">
        <v>1287</v>
      </c>
      <c r="K224" s="74" t="s">
        <v>880</v>
      </c>
      <c r="L224" s="76" t="s">
        <v>0</v>
      </c>
      <c r="M224" s="57"/>
      <c r="N224" s="77">
        <v>41130</v>
      </c>
      <c r="O224" s="57">
        <f t="shared" si="8"/>
        <v>0</v>
      </c>
      <c r="P224" s="77">
        <v>93272</v>
      </c>
      <c r="Q224" s="73">
        <f t="shared" si="9"/>
        <v>0</v>
      </c>
      <c r="R224" s="57"/>
      <c r="S224" s="57"/>
      <c r="T224" s="57"/>
      <c r="U224" s="57"/>
      <c r="V224" s="73">
        <f t="shared" si="10"/>
        <v>0</v>
      </c>
      <c r="W224" s="106"/>
      <c r="X224" s="64"/>
    </row>
    <row r="225" spans="1:24" s="66" customFormat="1" ht="12" hidden="1" customHeight="1">
      <c r="A225" s="74" t="s">
        <v>224</v>
      </c>
      <c r="B225" s="74"/>
      <c r="C225" s="74"/>
      <c r="D225" s="74"/>
      <c r="E225" s="74"/>
      <c r="F225" s="74"/>
      <c r="G225" s="74"/>
      <c r="H225" s="74"/>
      <c r="I225" s="75" t="s">
        <v>1830</v>
      </c>
      <c r="J225" s="75" t="s">
        <v>1287</v>
      </c>
      <c r="K225" s="74" t="s">
        <v>881</v>
      </c>
      <c r="L225" s="76" t="s">
        <v>0</v>
      </c>
      <c r="M225" s="57"/>
      <c r="N225" s="77">
        <v>44980</v>
      </c>
      <c r="O225" s="57">
        <f t="shared" si="8"/>
        <v>0</v>
      </c>
      <c r="P225" s="77">
        <v>124362</v>
      </c>
      <c r="Q225" s="73">
        <f t="shared" si="9"/>
        <v>0</v>
      </c>
      <c r="R225" s="57"/>
      <c r="S225" s="57"/>
      <c r="T225" s="57"/>
      <c r="U225" s="57"/>
      <c r="V225" s="73">
        <f t="shared" si="10"/>
        <v>0</v>
      </c>
      <c r="W225" s="106"/>
      <c r="X225" s="64"/>
    </row>
    <row r="226" spans="1:24" s="66" customFormat="1" ht="12" hidden="1" customHeight="1">
      <c r="A226" s="74" t="s">
        <v>225</v>
      </c>
      <c r="B226" s="74"/>
      <c r="C226" s="74"/>
      <c r="D226" s="74"/>
      <c r="E226" s="74"/>
      <c r="F226" s="74"/>
      <c r="G226" s="74"/>
      <c r="H226" s="74"/>
      <c r="I226" s="75" t="s">
        <v>1830</v>
      </c>
      <c r="J226" s="75" t="s">
        <v>1287</v>
      </c>
      <c r="K226" s="74" t="s">
        <v>882</v>
      </c>
      <c r="L226" s="76" t="s">
        <v>0</v>
      </c>
      <c r="M226" s="57"/>
      <c r="N226" s="77">
        <v>50700</v>
      </c>
      <c r="O226" s="57">
        <f t="shared" si="8"/>
        <v>0</v>
      </c>
      <c r="P226" s="77">
        <v>124362</v>
      </c>
      <c r="Q226" s="73">
        <f t="shared" si="9"/>
        <v>0</v>
      </c>
      <c r="R226" s="57"/>
      <c r="S226" s="57"/>
      <c r="T226" s="57"/>
      <c r="U226" s="57"/>
      <c r="V226" s="73">
        <f t="shared" si="10"/>
        <v>0</v>
      </c>
      <c r="W226" s="106"/>
      <c r="X226" s="64"/>
    </row>
    <row r="227" spans="1:24" s="66" customFormat="1" ht="12" hidden="1" customHeight="1">
      <c r="A227" s="74" t="s">
        <v>226</v>
      </c>
      <c r="B227" s="74"/>
      <c r="C227" s="74"/>
      <c r="D227" s="74"/>
      <c r="E227" s="74"/>
      <c r="F227" s="74"/>
      <c r="G227" s="74"/>
      <c r="H227" s="74"/>
      <c r="I227" s="75" t="s">
        <v>1831</v>
      </c>
      <c r="J227" s="75" t="s">
        <v>1287</v>
      </c>
      <c r="K227" s="74" t="s">
        <v>883</v>
      </c>
      <c r="L227" s="76" t="s">
        <v>0</v>
      </c>
      <c r="M227" s="57"/>
      <c r="N227" s="77">
        <v>55610</v>
      </c>
      <c r="O227" s="57">
        <f t="shared" si="8"/>
        <v>0</v>
      </c>
      <c r="P227" s="77">
        <v>139908</v>
      </c>
      <c r="Q227" s="73">
        <f t="shared" si="9"/>
        <v>0</v>
      </c>
      <c r="R227" s="57"/>
      <c r="S227" s="57"/>
      <c r="T227" s="57"/>
      <c r="U227" s="57"/>
      <c r="V227" s="73">
        <f t="shared" si="10"/>
        <v>0</v>
      </c>
      <c r="W227" s="106"/>
      <c r="X227" s="64"/>
    </row>
    <row r="228" spans="1:24" s="66" customFormat="1" ht="12" hidden="1" customHeight="1">
      <c r="A228" s="74" t="s">
        <v>227</v>
      </c>
      <c r="B228" s="74"/>
      <c r="C228" s="74"/>
      <c r="D228" s="74"/>
      <c r="E228" s="74"/>
      <c r="F228" s="74"/>
      <c r="G228" s="74"/>
      <c r="H228" s="74"/>
      <c r="I228" s="75" t="s">
        <v>1832</v>
      </c>
      <c r="J228" s="75" t="s">
        <v>1287</v>
      </c>
      <c r="K228" s="74" t="s">
        <v>903</v>
      </c>
      <c r="L228" s="76" t="s">
        <v>0</v>
      </c>
      <c r="M228" s="57"/>
      <c r="N228" s="77">
        <v>59580</v>
      </c>
      <c r="O228" s="57">
        <f t="shared" si="8"/>
        <v>0</v>
      </c>
      <c r="P228" s="77">
        <v>186544</v>
      </c>
      <c r="Q228" s="73">
        <f t="shared" si="9"/>
        <v>0</v>
      </c>
      <c r="R228" s="57"/>
      <c r="S228" s="57"/>
      <c r="T228" s="57"/>
      <c r="U228" s="57"/>
      <c r="V228" s="73">
        <f t="shared" si="10"/>
        <v>0</v>
      </c>
      <c r="W228" s="106"/>
      <c r="X228" s="64"/>
    </row>
    <row r="229" spans="1:24" s="66" customFormat="1" ht="12" hidden="1" customHeight="1">
      <c r="A229" s="74" t="s">
        <v>228</v>
      </c>
      <c r="B229" s="74"/>
      <c r="C229" s="74"/>
      <c r="D229" s="74"/>
      <c r="E229" s="74"/>
      <c r="F229" s="74"/>
      <c r="G229" s="74"/>
      <c r="H229" s="74"/>
      <c r="I229" s="75" t="s">
        <v>1832</v>
      </c>
      <c r="J229" s="75" t="s">
        <v>1287</v>
      </c>
      <c r="K229" s="74" t="s">
        <v>904</v>
      </c>
      <c r="L229" s="76" t="s">
        <v>0</v>
      </c>
      <c r="M229" s="57"/>
      <c r="N229" s="77">
        <v>66480</v>
      </c>
      <c r="O229" s="57">
        <f t="shared" si="8"/>
        <v>0</v>
      </c>
      <c r="P229" s="77">
        <v>186544</v>
      </c>
      <c r="Q229" s="73">
        <f t="shared" si="9"/>
        <v>0</v>
      </c>
      <c r="R229" s="57"/>
      <c r="S229" s="57"/>
      <c r="T229" s="57"/>
      <c r="U229" s="57"/>
      <c r="V229" s="73">
        <f t="shared" si="10"/>
        <v>0</v>
      </c>
      <c r="W229" s="106"/>
      <c r="X229" s="64"/>
    </row>
    <row r="230" spans="1:24" s="66" customFormat="1" ht="12" hidden="1" customHeight="1">
      <c r="A230" s="74" t="s">
        <v>229</v>
      </c>
      <c r="B230" s="74"/>
      <c r="C230" s="74"/>
      <c r="D230" s="74"/>
      <c r="E230" s="74"/>
      <c r="F230" s="74"/>
      <c r="G230" s="74"/>
      <c r="H230" s="74"/>
      <c r="I230" s="75" t="s">
        <v>1827</v>
      </c>
      <c r="J230" s="75" t="s">
        <v>1287</v>
      </c>
      <c r="K230" s="74" t="s">
        <v>884</v>
      </c>
      <c r="L230" s="76" t="s">
        <v>0</v>
      </c>
      <c r="M230" s="57"/>
      <c r="N230" s="77">
        <v>12010</v>
      </c>
      <c r="O230" s="57">
        <f t="shared" si="8"/>
        <v>0</v>
      </c>
      <c r="P230" s="77">
        <v>59590</v>
      </c>
      <c r="Q230" s="73">
        <f t="shared" si="9"/>
        <v>0</v>
      </c>
      <c r="R230" s="57"/>
      <c r="S230" s="57"/>
      <c r="T230" s="57"/>
      <c r="U230" s="57"/>
      <c r="V230" s="73">
        <f t="shared" si="10"/>
        <v>0</v>
      </c>
      <c r="W230" s="106"/>
      <c r="X230" s="64"/>
    </row>
    <row r="231" spans="1:24" s="66" customFormat="1" ht="12" hidden="1" customHeight="1">
      <c r="A231" s="74" t="s">
        <v>230</v>
      </c>
      <c r="B231" s="74"/>
      <c r="C231" s="74"/>
      <c r="D231" s="74"/>
      <c r="E231" s="74"/>
      <c r="F231" s="74"/>
      <c r="G231" s="74"/>
      <c r="H231" s="74"/>
      <c r="I231" s="75" t="s">
        <v>1827</v>
      </c>
      <c r="J231" s="75" t="s">
        <v>1287</v>
      </c>
      <c r="K231" s="74" t="s">
        <v>885</v>
      </c>
      <c r="L231" s="76" t="s">
        <v>0</v>
      </c>
      <c r="M231" s="57"/>
      <c r="N231" s="77">
        <v>12580</v>
      </c>
      <c r="O231" s="57">
        <f t="shared" ref="O231:O300" si="11">M231*N231*$O$3</f>
        <v>0</v>
      </c>
      <c r="P231" s="77">
        <v>59590</v>
      </c>
      <c r="Q231" s="73">
        <f t="shared" si="9"/>
        <v>0</v>
      </c>
      <c r="R231" s="57"/>
      <c r="S231" s="57"/>
      <c r="T231" s="57"/>
      <c r="U231" s="57"/>
      <c r="V231" s="73">
        <f t="shared" si="10"/>
        <v>0</v>
      </c>
      <c r="W231" s="106"/>
      <c r="X231" s="64"/>
    </row>
    <row r="232" spans="1:24" s="66" customFormat="1" ht="12" hidden="1" customHeight="1">
      <c r="A232" s="74" t="s">
        <v>231</v>
      </c>
      <c r="B232" s="74"/>
      <c r="C232" s="74"/>
      <c r="D232" s="74"/>
      <c r="E232" s="74"/>
      <c r="F232" s="74"/>
      <c r="G232" s="74"/>
      <c r="H232" s="74"/>
      <c r="I232" s="75" t="s">
        <v>1827</v>
      </c>
      <c r="J232" s="75" t="s">
        <v>1287</v>
      </c>
      <c r="K232" s="74" t="s">
        <v>886</v>
      </c>
      <c r="L232" s="76" t="s">
        <v>0</v>
      </c>
      <c r="M232" s="57"/>
      <c r="N232" s="77">
        <v>13600</v>
      </c>
      <c r="O232" s="57">
        <f t="shared" si="11"/>
        <v>0</v>
      </c>
      <c r="P232" s="77">
        <v>59590</v>
      </c>
      <c r="Q232" s="73">
        <f t="shared" si="9"/>
        <v>0</v>
      </c>
      <c r="R232" s="57"/>
      <c r="S232" s="57"/>
      <c r="T232" s="57"/>
      <c r="U232" s="57"/>
      <c r="V232" s="73">
        <f t="shared" si="10"/>
        <v>0</v>
      </c>
      <c r="W232" s="106"/>
      <c r="X232" s="64"/>
    </row>
    <row r="233" spans="1:24" s="66" customFormat="1" ht="12" hidden="1" customHeight="1">
      <c r="A233" s="74" t="s">
        <v>232</v>
      </c>
      <c r="B233" s="74"/>
      <c r="C233" s="74"/>
      <c r="D233" s="74"/>
      <c r="E233" s="74"/>
      <c r="F233" s="74"/>
      <c r="G233" s="74"/>
      <c r="H233" s="74"/>
      <c r="I233" s="75" t="s">
        <v>1828</v>
      </c>
      <c r="J233" s="75" t="s">
        <v>1287</v>
      </c>
      <c r="K233" s="74" t="s">
        <v>887</v>
      </c>
      <c r="L233" s="76" t="s">
        <v>0</v>
      </c>
      <c r="M233" s="57"/>
      <c r="N233" s="77">
        <v>14660</v>
      </c>
      <c r="O233" s="57">
        <f t="shared" si="11"/>
        <v>0</v>
      </c>
      <c r="P233" s="77">
        <v>77726</v>
      </c>
      <c r="Q233" s="73">
        <f t="shared" si="9"/>
        <v>0</v>
      </c>
      <c r="R233" s="57"/>
      <c r="S233" s="57"/>
      <c r="T233" s="57"/>
      <c r="U233" s="57"/>
      <c r="V233" s="73">
        <f t="shared" si="10"/>
        <v>0</v>
      </c>
      <c r="W233" s="106"/>
      <c r="X233" s="64"/>
    </row>
    <row r="234" spans="1:24" s="66" customFormat="1" ht="12" hidden="1" customHeight="1">
      <c r="A234" s="74" t="s">
        <v>233</v>
      </c>
      <c r="B234" s="74"/>
      <c r="C234" s="74"/>
      <c r="D234" s="74"/>
      <c r="E234" s="74"/>
      <c r="F234" s="74"/>
      <c r="G234" s="74"/>
      <c r="H234" s="74"/>
      <c r="I234" s="75" t="s">
        <v>1828</v>
      </c>
      <c r="J234" s="75" t="s">
        <v>1287</v>
      </c>
      <c r="K234" s="74" t="s">
        <v>888</v>
      </c>
      <c r="L234" s="76" t="s">
        <v>0</v>
      </c>
      <c r="M234" s="57"/>
      <c r="N234" s="77">
        <v>15730</v>
      </c>
      <c r="O234" s="57">
        <f t="shared" si="11"/>
        <v>0</v>
      </c>
      <c r="P234" s="77">
        <v>77726</v>
      </c>
      <c r="Q234" s="73">
        <f t="shared" si="9"/>
        <v>0</v>
      </c>
      <c r="R234" s="57"/>
      <c r="S234" s="57"/>
      <c r="T234" s="57"/>
      <c r="U234" s="57"/>
      <c r="V234" s="73">
        <f t="shared" si="10"/>
        <v>0</v>
      </c>
      <c r="W234" s="106"/>
      <c r="X234" s="64"/>
    </row>
    <row r="235" spans="1:24" s="66" customFormat="1" ht="12" hidden="1" customHeight="1">
      <c r="A235" s="74" t="s">
        <v>234</v>
      </c>
      <c r="B235" s="74"/>
      <c r="C235" s="74"/>
      <c r="D235" s="74"/>
      <c r="E235" s="74"/>
      <c r="F235" s="74"/>
      <c r="G235" s="74"/>
      <c r="H235" s="74"/>
      <c r="I235" s="75" t="s">
        <v>1829</v>
      </c>
      <c r="J235" s="75" t="s">
        <v>1287</v>
      </c>
      <c r="K235" s="74" t="s">
        <v>889</v>
      </c>
      <c r="L235" s="76" t="s">
        <v>0</v>
      </c>
      <c r="M235" s="57"/>
      <c r="N235" s="77">
        <v>16780</v>
      </c>
      <c r="O235" s="57">
        <f t="shared" si="11"/>
        <v>0</v>
      </c>
      <c r="P235" s="77">
        <v>93272</v>
      </c>
      <c r="Q235" s="73">
        <f t="shared" si="9"/>
        <v>0</v>
      </c>
      <c r="R235" s="57"/>
      <c r="S235" s="57"/>
      <c r="T235" s="57"/>
      <c r="U235" s="57"/>
      <c r="V235" s="73">
        <f t="shared" si="10"/>
        <v>0</v>
      </c>
      <c r="W235" s="106"/>
      <c r="X235" s="64"/>
    </row>
    <row r="236" spans="1:24" s="66" customFormat="1" ht="12" hidden="1" customHeight="1">
      <c r="A236" s="74" t="s">
        <v>235</v>
      </c>
      <c r="B236" s="74"/>
      <c r="C236" s="74"/>
      <c r="D236" s="74"/>
      <c r="E236" s="74"/>
      <c r="F236" s="74"/>
      <c r="G236" s="74"/>
      <c r="H236" s="74"/>
      <c r="I236" s="75" t="s">
        <v>1830</v>
      </c>
      <c r="J236" s="75" t="s">
        <v>1287</v>
      </c>
      <c r="K236" s="74" t="s">
        <v>890</v>
      </c>
      <c r="L236" s="76" t="s">
        <v>0</v>
      </c>
      <c r="M236" s="57"/>
      <c r="N236" s="77">
        <v>17950</v>
      </c>
      <c r="O236" s="57">
        <f t="shared" si="11"/>
        <v>0</v>
      </c>
      <c r="P236" s="77">
        <v>124362</v>
      </c>
      <c r="Q236" s="73">
        <f t="shared" si="9"/>
        <v>0</v>
      </c>
      <c r="R236" s="57"/>
      <c r="S236" s="57"/>
      <c r="T236" s="57"/>
      <c r="U236" s="57"/>
      <c r="V236" s="73">
        <f t="shared" si="10"/>
        <v>0</v>
      </c>
      <c r="W236" s="106"/>
      <c r="X236" s="64"/>
    </row>
    <row r="237" spans="1:24" s="66" customFormat="1" ht="12" hidden="1" customHeight="1">
      <c r="A237" s="74" t="s">
        <v>236</v>
      </c>
      <c r="B237" s="74"/>
      <c r="C237" s="74"/>
      <c r="D237" s="74"/>
      <c r="E237" s="74"/>
      <c r="F237" s="74"/>
      <c r="G237" s="74"/>
      <c r="H237" s="74"/>
      <c r="I237" s="75" t="s">
        <v>1830</v>
      </c>
      <c r="J237" s="75" t="s">
        <v>1287</v>
      </c>
      <c r="K237" s="74" t="s">
        <v>891</v>
      </c>
      <c r="L237" s="76" t="s">
        <v>0</v>
      </c>
      <c r="M237" s="57"/>
      <c r="N237" s="77">
        <v>18960</v>
      </c>
      <c r="O237" s="57">
        <f t="shared" si="11"/>
        <v>0</v>
      </c>
      <c r="P237" s="77">
        <v>124362</v>
      </c>
      <c r="Q237" s="73">
        <f t="shared" si="9"/>
        <v>0</v>
      </c>
      <c r="R237" s="57"/>
      <c r="S237" s="57"/>
      <c r="T237" s="57"/>
      <c r="U237" s="57"/>
      <c r="V237" s="73">
        <f t="shared" si="10"/>
        <v>0</v>
      </c>
      <c r="W237" s="106"/>
      <c r="X237" s="64"/>
    </row>
    <row r="238" spans="1:24" s="66" customFormat="1" ht="12" hidden="1" customHeight="1">
      <c r="A238" s="74" t="s">
        <v>237</v>
      </c>
      <c r="B238" s="74"/>
      <c r="C238" s="74"/>
      <c r="D238" s="74"/>
      <c r="E238" s="74"/>
      <c r="F238" s="74"/>
      <c r="G238" s="74"/>
      <c r="H238" s="74"/>
      <c r="I238" s="75" t="s">
        <v>1831</v>
      </c>
      <c r="J238" s="75" t="s">
        <v>1287</v>
      </c>
      <c r="K238" s="74" t="s">
        <v>892</v>
      </c>
      <c r="L238" s="76" t="s">
        <v>0</v>
      </c>
      <c r="M238" s="57"/>
      <c r="N238" s="77">
        <v>19970</v>
      </c>
      <c r="O238" s="57">
        <f t="shared" si="11"/>
        <v>0</v>
      </c>
      <c r="P238" s="77">
        <v>139908</v>
      </c>
      <c r="Q238" s="73">
        <f t="shared" si="9"/>
        <v>0</v>
      </c>
      <c r="R238" s="57"/>
      <c r="S238" s="57"/>
      <c r="T238" s="57"/>
      <c r="U238" s="57"/>
      <c r="V238" s="73">
        <f t="shared" si="10"/>
        <v>0</v>
      </c>
      <c r="W238" s="106"/>
      <c r="X238" s="64"/>
    </row>
    <row r="239" spans="1:24" s="66" customFormat="1" ht="12" hidden="1" customHeight="1">
      <c r="A239" s="74" t="s">
        <v>238</v>
      </c>
      <c r="B239" s="74"/>
      <c r="C239" s="74"/>
      <c r="D239" s="74"/>
      <c r="E239" s="74"/>
      <c r="F239" s="74"/>
      <c r="G239" s="74"/>
      <c r="H239" s="74"/>
      <c r="I239" s="75" t="s">
        <v>1832</v>
      </c>
      <c r="J239" s="75" t="s">
        <v>1287</v>
      </c>
      <c r="K239" s="74" t="s">
        <v>905</v>
      </c>
      <c r="L239" s="76" t="s">
        <v>0</v>
      </c>
      <c r="M239" s="57"/>
      <c r="N239" s="77">
        <v>21140</v>
      </c>
      <c r="O239" s="57">
        <f t="shared" si="11"/>
        <v>0</v>
      </c>
      <c r="P239" s="77">
        <v>186544</v>
      </c>
      <c r="Q239" s="73">
        <f t="shared" si="9"/>
        <v>0</v>
      </c>
      <c r="R239" s="57"/>
      <c r="S239" s="57"/>
      <c r="T239" s="57"/>
      <c r="U239" s="57"/>
      <c r="V239" s="73">
        <f t="shared" si="10"/>
        <v>0</v>
      </c>
      <c r="W239" s="106"/>
      <c r="X239" s="64"/>
    </row>
    <row r="240" spans="1:24" s="66" customFormat="1" ht="12" hidden="1" customHeight="1">
      <c r="A240" s="74" t="s">
        <v>239</v>
      </c>
      <c r="B240" s="74"/>
      <c r="C240" s="74"/>
      <c r="D240" s="74"/>
      <c r="E240" s="74"/>
      <c r="F240" s="74"/>
      <c r="G240" s="74"/>
      <c r="H240" s="74"/>
      <c r="I240" s="75" t="s">
        <v>1832</v>
      </c>
      <c r="J240" s="75" t="s">
        <v>1287</v>
      </c>
      <c r="K240" s="74" t="s">
        <v>906</v>
      </c>
      <c r="L240" s="76" t="s">
        <v>0</v>
      </c>
      <c r="M240" s="57"/>
      <c r="N240" s="77">
        <v>23260</v>
      </c>
      <c r="O240" s="57">
        <f t="shared" si="11"/>
        <v>0</v>
      </c>
      <c r="P240" s="77">
        <v>186544</v>
      </c>
      <c r="Q240" s="73">
        <f t="shared" si="9"/>
        <v>0</v>
      </c>
      <c r="R240" s="57"/>
      <c r="S240" s="57"/>
      <c r="T240" s="57"/>
      <c r="U240" s="57"/>
      <c r="V240" s="73">
        <f t="shared" si="10"/>
        <v>0</v>
      </c>
      <c r="W240" s="106"/>
      <c r="X240" s="64"/>
    </row>
    <row r="241" spans="1:24" s="66" customFormat="1" ht="12" hidden="1" customHeight="1">
      <c r="A241" s="74" t="s">
        <v>248</v>
      </c>
      <c r="B241" s="74"/>
      <c r="C241" s="74"/>
      <c r="D241" s="74"/>
      <c r="E241" s="74"/>
      <c r="F241" s="74"/>
      <c r="G241" s="74"/>
      <c r="H241" s="74"/>
      <c r="I241" s="75" t="s">
        <v>1846</v>
      </c>
      <c r="J241" s="75" t="s">
        <v>803</v>
      </c>
      <c r="K241" s="74" t="s">
        <v>804</v>
      </c>
      <c r="L241" s="76" t="s">
        <v>0</v>
      </c>
      <c r="M241" s="57"/>
      <c r="N241" s="77">
        <v>2930</v>
      </c>
      <c r="O241" s="57">
        <f t="shared" si="11"/>
        <v>0</v>
      </c>
      <c r="P241" s="77">
        <v>51817</v>
      </c>
      <c r="Q241" s="73">
        <f t="shared" si="9"/>
        <v>0</v>
      </c>
      <c r="R241" s="57"/>
      <c r="S241" s="57"/>
      <c r="T241" s="57"/>
      <c r="U241" s="57"/>
      <c r="V241" s="73">
        <f t="shared" si="10"/>
        <v>0</v>
      </c>
      <c r="W241" s="106"/>
      <c r="X241" s="64"/>
    </row>
    <row r="242" spans="1:24" s="66" customFormat="1" ht="12" hidden="1" customHeight="1">
      <c r="A242" s="74" t="s">
        <v>249</v>
      </c>
      <c r="B242" s="74"/>
      <c r="C242" s="74"/>
      <c r="D242" s="74"/>
      <c r="E242" s="74"/>
      <c r="F242" s="74"/>
      <c r="G242" s="74"/>
      <c r="H242" s="74"/>
      <c r="I242" s="75" t="s">
        <v>1999</v>
      </c>
      <c r="J242" s="75" t="s">
        <v>803</v>
      </c>
      <c r="K242" s="74" t="s">
        <v>806</v>
      </c>
      <c r="L242" s="76" t="s">
        <v>0</v>
      </c>
      <c r="M242" s="57"/>
      <c r="N242" s="77">
        <v>3350</v>
      </c>
      <c r="O242" s="57">
        <f t="shared" si="11"/>
        <v>0</v>
      </c>
      <c r="P242" s="77">
        <v>77726</v>
      </c>
      <c r="Q242" s="73">
        <f t="shared" si="9"/>
        <v>0</v>
      </c>
      <c r="R242" s="57"/>
      <c r="S242" s="57"/>
      <c r="T242" s="57"/>
      <c r="U242" s="57"/>
      <c r="V242" s="73">
        <f t="shared" si="10"/>
        <v>0</v>
      </c>
      <c r="W242" s="106"/>
      <c r="X242" s="64"/>
    </row>
    <row r="243" spans="1:24" s="66" customFormat="1" ht="12" hidden="1" customHeight="1">
      <c r="A243" s="74" t="s">
        <v>250</v>
      </c>
      <c r="B243" s="74"/>
      <c r="C243" s="74"/>
      <c r="D243" s="74"/>
      <c r="E243" s="74"/>
      <c r="F243" s="74"/>
      <c r="G243" s="74"/>
      <c r="H243" s="74"/>
      <c r="I243" s="75" t="s">
        <v>2000</v>
      </c>
      <c r="J243" s="75" t="s">
        <v>803</v>
      </c>
      <c r="K243" s="74" t="s">
        <v>807</v>
      </c>
      <c r="L243" s="76" t="s">
        <v>0</v>
      </c>
      <c r="M243" s="57"/>
      <c r="N243" s="77">
        <v>4850</v>
      </c>
      <c r="O243" s="57">
        <f t="shared" si="11"/>
        <v>0</v>
      </c>
      <c r="P243" s="77">
        <v>132135</v>
      </c>
      <c r="Q243" s="73">
        <f t="shared" si="9"/>
        <v>0</v>
      </c>
      <c r="R243" s="57"/>
      <c r="S243" s="57"/>
      <c r="T243" s="57"/>
      <c r="U243" s="57"/>
      <c r="V243" s="73">
        <f t="shared" si="10"/>
        <v>0</v>
      </c>
      <c r="W243" s="106"/>
      <c r="X243" s="64"/>
    </row>
    <row r="244" spans="1:24" s="66" customFormat="1" ht="12" hidden="1" customHeight="1">
      <c r="A244" s="74" t="s">
        <v>251</v>
      </c>
      <c r="B244" s="74"/>
      <c r="C244" s="74"/>
      <c r="D244" s="74"/>
      <c r="E244" s="74"/>
      <c r="F244" s="74"/>
      <c r="G244" s="74"/>
      <c r="H244" s="74"/>
      <c r="I244" s="75" t="s">
        <v>2001</v>
      </c>
      <c r="J244" s="75" t="s">
        <v>805</v>
      </c>
      <c r="K244" s="74" t="s">
        <v>804</v>
      </c>
      <c r="L244" s="76" t="s">
        <v>20</v>
      </c>
      <c r="M244" s="57"/>
      <c r="N244" s="77">
        <v>1810</v>
      </c>
      <c r="O244" s="57">
        <f t="shared" si="11"/>
        <v>0</v>
      </c>
      <c r="P244" s="77">
        <v>10363</v>
      </c>
      <c r="Q244" s="73">
        <f t="shared" si="9"/>
        <v>0</v>
      </c>
      <c r="R244" s="57"/>
      <c r="S244" s="57"/>
      <c r="T244" s="57"/>
      <c r="U244" s="57"/>
      <c r="V244" s="73">
        <f t="shared" si="10"/>
        <v>0</v>
      </c>
      <c r="W244" s="106"/>
      <c r="X244" s="64"/>
    </row>
    <row r="245" spans="1:24" s="66" customFormat="1" ht="12" hidden="1" customHeight="1">
      <c r="A245" s="74" t="s">
        <v>252</v>
      </c>
      <c r="B245" s="74"/>
      <c r="C245" s="74"/>
      <c r="D245" s="74"/>
      <c r="E245" s="74"/>
      <c r="F245" s="74"/>
      <c r="G245" s="74"/>
      <c r="H245" s="74"/>
      <c r="I245" s="75" t="s">
        <v>2001</v>
      </c>
      <c r="J245" s="75" t="s">
        <v>805</v>
      </c>
      <c r="K245" s="74" t="s">
        <v>806</v>
      </c>
      <c r="L245" s="76" t="s">
        <v>20</v>
      </c>
      <c r="M245" s="57"/>
      <c r="N245" s="77">
        <v>2130</v>
      </c>
      <c r="O245" s="57">
        <f t="shared" si="11"/>
        <v>0</v>
      </c>
      <c r="P245" s="77">
        <v>10363</v>
      </c>
      <c r="Q245" s="73">
        <f t="shared" si="9"/>
        <v>0</v>
      </c>
      <c r="R245" s="57"/>
      <c r="S245" s="57"/>
      <c r="T245" s="57"/>
      <c r="U245" s="57"/>
      <c r="V245" s="73">
        <f t="shared" si="10"/>
        <v>0</v>
      </c>
      <c r="W245" s="106"/>
      <c r="X245" s="64"/>
    </row>
    <row r="246" spans="1:24" s="66" customFormat="1" ht="12" hidden="1" customHeight="1">
      <c r="A246" s="74" t="s">
        <v>253</v>
      </c>
      <c r="B246" s="74"/>
      <c r="C246" s="74"/>
      <c r="D246" s="74"/>
      <c r="E246" s="74"/>
      <c r="F246" s="74"/>
      <c r="G246" s="74"/>
      <c r="H246" s="74"/>
      <c r="I246" s="75" t="s">
        <v>2001</v>
      </c>
      <c r="J246" s="75" t="s">
        <v>805</v>
      </c>
      <c r="K246" s="74" t="s">
        <v>807</v>
      </c>
      <c r="L246" s="76" t="s">
        <v>20</v>
      </c>
      <c r="M246" s="57"/>
      <c r="N246" s="77">
        <v>3190</v>
      </c>
      <c r="O246" s="57">
        <f t="shared" si="11"/>
        <v>0</v>
      </c>
      <c r="P246" s="77">
        <v>10363</v>
      </c>
      <c r="Q246" s="73">
        <f t="shared" si="9"/>
        <v>0</v>
      </c>
      <c r="R246" s="57"/>
      <c r="S246" s="57"/>
      <c r="T246" s="57"/>
      <c r="U246" s="57"/>
      <c r="V246" s="73">
        <f t="shared" si="10"/>
        <v>0</v>
      </c>
      <c r="W246" s="106"/>
      <c r="X246" s="64"/>
    </row>
    <row r="247" spans="1:24" s="66" customFormat="1" ht="12" hidden="1" customHeight="1">
      <c r="A247" s="74" t="s">
        <v>157</v>
      </c>
      <c r="B247" s="74"/>
      <c r="C247" s="74"/>
      <c r="D247" s="74"/>
      <c r="E247" s="74"/>
      <c r="F247" s="74"/>
      <c r="G247" s="74"/>
      <c r="H247" s="74"/>
      <c r="I247" s="75" t="s">
        <v>1825</v>
      </c>
      <c r="J247" s="75" t="s">
        <v>1679</v>
      </c>
      <c r="K247" s="74" t="s">
        <v>1680</v>
      </c>
      <c r="L247" s="76" t="s">
        <v>0</v>
      </c>
      <c r="M247" s="57"/>
      <c r="N247" s="77">
        <v>15000</v>
      </c>
      <c r="O247" s="57">
        <f t="shared" si="11"/>
        <v>0</v>
      </c>
      <c r="P247" s="77">
        <v>38863</v>
      </c>
      <c r="Q247" s="73">
        <f t="shared" si="9"/>
        <v>0</v>
      </c>
      <c r="R247" s="57"/>
      <c r="S247" s="57"/>
      <c r="T247" s="57"/>
      <c r="U247" s="57"/>
      <c r="V247" s="73">
        <f t="shared" si="10"/>
        <v>0</v>
      </c>
      <c r="W247" s="106"/>
      <c r="X247" s="64"/>
    </row>
    <row r="248" spans="1:24" s="66" customFormat="1" ht="12" hidden="1" customHeight="1">
      <c r="A248" s="74" t="s">
        <v>158</v>
      </c>
      <c r="B248" s="74"/>
      <c r="C248" s="74"/>
      <c r="D248" s="74"/>
      <c r="E248" s="74"/>
      <c r="F248" s="74"/>
      <c r="G248" s="74"/>
      <c r="H248" s="74"/>
      <c r="I248" s="75" t="s">
        <v>1826</v>
      </c>
      <c r="J248" s="75" t="s">
        <v>1679</v>
      </c>
      <c r="K248" s="74" t="s">
        <v>1681</v>
      </c>
      <c r="L248" s="76" t="s">
        <v>0</v>
      </c>
      <c r="M248" s="57"/>
      <c r="N248" s="77">
        <v>20000</v>
      </c>
      <c r="O248" s="57">
        <f t="shared" si="11"/>
        <v>0</v>
      </c>
      <c r="P248" s="77">
        <v>51817</v>
      </c>
      <c r="Q248" s="73">
        <f t="shared" si="9"/>
        <v>0</v>
      </c>
      <c r="R248" s="57"/>
      <c r="S248" s="57"/>
      <c r="T248" s="57"/>
      <c r="U248" s="57"/>
      <c r="V248" s="73">
        <f t="shared" si="10"/>
        <v>0</v>
      </c>
      <c r="W248" s="106"/>
      <c r="X248" s="64"/>
    </row>
    <row r="249" spans="1:24" s="66" customFormat="1" ht="12" hidden="1" customHeight="1">
      <c r="A249" s="74" t="s">
        <v>159</v>
      </c>
      <c r="B249" s="74"/>
      <c r="C249" s="74"/>
      <c r="D249" s="74"/>
      <c r="E249" s="74"/>
      <c r="F249" s="74"/>
      <c r="G249" s="74"/>
      <c r="H249" s="74"/>
      <c r="I249" s="75" t="s">
        <v>1826</v>
      </c>
      <c r="J249" s="75" t="s">
        <v>1679</v>
      </c>
      <c r="K249" s="74" t="s">
        <v>1682</v>
      </c>
      <c r="L249" s="76" t="s">
        <v>0</v>
      </c>
      <c r="M249" s="57"/>
      <c r="N249" s="77">
        <v>20000</v>
      </c>
      <c r="O249" s="57">
        <f t="shared" si="11"/>
        <v>0</v>
      </c>
      <c r="P249" s="77">
        <v>51817</v>
      </c>
      <c r="Q249" s="73">
        <f t="shared" si="9"/>
        <v>0</v>
      </c>
      <c r="R249" s="57"/>
      <c r="S249" s="57"/>
      <c r="T249" s="57"/>
      <c r="U249" s="57"/>
      <c r="V249" s="73">
        <f t="shared" si="10"/>
        <v>0</v>
      </c>
      <c r="W249" s="106"/>
      <c r="X249" s="64"/>
    </row>
    <row r="250" spans="1:24" s="66" customFormat="1" ht="12" hidden="1" customHeight="1">
      <c r="A250" s="74" t="s">
        <v>160</v>
      </c>
      <c r="B250" s="74"/>
      <c r="C250" s="74"/>
      <c r="D250" s="74"/>
      <c r="E250" s="74"/>
      <c r="F250" s="74"/>
      <c r="G250" s="74"/>
      <c r="H250" s="74"/>
      <c r="I250" s="75" t="s">
        <v>1826</v>
      </c>
      <c r="J250" s="75" t="s">
        <v>1679</v>
      </c>
      <c r="K250" s="74" t="s">
        <v>1683</v>
      </c>
      <c r="L250" s="76" t="s">
        <v>0</v>
      </c>
      <c r="M250" s="57"/>
      <c r="N250" s="77">
        <v>25000</v>
      </c>
      <c r="O250" s="57">
        <f t="shared" si="11"/>
        <v>0</v>
      </c>
      <c r="P250" s="77">
        <v>51817</v>
      </c>
      <c r="Q250" s="73">
        <f t="shared" si="9"/>
        <v>0</v>
      </c>
      <c r="R250" s="57"/>
      <c r="S250" s="57"/>
      <c r="T250" s="57"/>
      <c r="U250" s="57"/>
      <c r="V250" s="73">
        <f t="shared" si="10"/>
        <v>0</v>
      </c>
      <c r="W250" s="106"/>
      <c r="X250" s="64"/>
    </row>
    <row r="251" spans="1:24" s="66" customFormat="1" ht="12" hidden="1" customHeight="1">
      <c r="A251" s="74" t="s">
        <v>161</v>
      </c>
      <c r="B251" s="74"/>
      <c r="C251" s="74"/>
      <c r="D251" s="74"/>
      <c r="E251" s="74"/>
      <c r="F251" s="74"/>
      <c r="G251" s="74"/>
      <c r="H251" s="74"/>
      <c r="I251" s="75" t="s">
        <v>1823</v>
      </c>
      <c r="J251" s="75" t="s">
        <v>1679</v>
      </c>
      <c r="K251" s="74" t="s">
        <v>1684</v>
      </c>
      <c r="L251" s="76" t="s">
        <v>0</v>
      </c>
      <c r="M251" s="57"/>
      <c r="N251" s="77">
        <v>35000</v>
      </c>
      <c r="O251" s="57">
        <f t="shared" si="11"/>
        <v>0</v>
      </c>
      <c r="P251" s="77">
        <v>77726</v>
      </c>
      <c r="Q251" s="73">
        <f t="shared" si="9"/>
        <v>0</v>
      </c>
      <c r="R251" s="57"/>
      <c r="S251" s="57"/>
      <c r="T251" s="57"/>
      <c r="U251" s="57"/>
      <c r="V251" s="73">
        <f t="shared" si="10"/>
        <v>0</v>
      </c>
      <c r="W251" s="106"/>
      <c r="X251" s="64"/>
    </row>
    <row r="252" spans="1:24" s="66" customFormat="1" ht="12" hidden="1" customHeight="1">
      <c r="A252" s="74" t="s">
        <v>162</v>
      </c>
      <c r="B252" s="74"/>
      <c r="C252" s="74"/>
      <c r="D252" s="74"/>
      <c r="E252" s="74"/>
      <c r="F252" s="74"/>
      <c r="G252" s="74"/>
      <c r="H252" s="74"/>
      <c r="I252" s="75" t="s">
        <v>1824</v>
      </c>
      <c r="J252" s="75" t="s">
        <v>1679</v>
      </c>
      <c r="K252" s="74" t="s">
        <v>1685</v>
      </c>
      <c r="L252" s="76" t="s">
        <v>0</v>
      </c>
      <c r="M252" s="57"/>
      <c r="N252" s="77">
        <v>50000</v>
      </c>
      <c r="O252" s="57">
        <f t="shared" si="11"/>
        <v>0</v>
      </c>
      <c r="P252" s="77">
        <v>103635</v>
      </c>
      <c r="Q252" s="73">
        <f t="shared" si="9"/>
        <v>0</v>
      </c>
      <c r="R252" s="57"/>
      <c r="S252" s="57"/>
      <c r="T252" s="57"/>
      <c r="U252" s="57"/>
      <c r="V252" s="73">
        <f t="shared" si="10"/>
        <v>0</v>
      </c>
      <c r="W252" s="106"/>
      <c r="X252" s="64"/>
    </row>
    <row r="253" spans="1:24" s="66" customFormat="1" ht="12" hidden="1" customHeight="1">
      <c r="A253" s="74" t="s">
        <v>240</v>
      </c>
      <c r="B253" s="74"/>
      <c r="C253" s="74"/>
      <c r="D253" s="74"/>
      <c r="E253" s="74"/>
      <c r="F253" s="74"/>
      <c r="G253" s="74"/>
      <c r="H253" s="74"/>
      <c r="I253" s="75" t="s">
        <v>1833</v>
      </c>
      <c r="J253" s="75" t="s">
        <v>1834</v>
      </c>
      <c r="K253" s="74" t="s">
        <v>1835</v>
      </c>
      <c r="L253" s="76" t="s">
        <v>0</v>
      </c>
      <c r="M253" s="57"/>
      <c r="N253" s="77">
        <v>3500</v>
      </c>
      <c r="O253" s="57">
        <f t="shared" si="11"/>
        <v>0</v>
      </c>
      <c r="P253" s="77">
        <v>41454</v>
      </c>
      <c r="Q253" s="73">
        <f t="shared" si="9"/>
        <v>0</v>
      </c>
      <c r="R253" s="57"/>
      <c r="S253" s="57"/>
      <c r="T253" s="57"/>
      <c r="U253" s="57"/>
      <c r="V253" s="73">
        <f t="shared" si="10"/>
        <v>0</v>
      </c>
      <c r="W253" s="106"/>
      <c r="X253" s="64"/>
    </row>
    <row r="254" spans="1:24" s="66" customFormat="1" ht="12" hidden="1" customHeight="1">
      <c r="A254" s="74" t="s">
        <v>241</v>
      </c>
      <c r="B254" s="74"/>
      <c r="C254" s="74"/>
      <c r="D254" s="74"/>
      <c r="E254" s="74"/>
      <c r="F254" s="74"/>
      <c r="G254" s="74"/>
      <c r="H254" s="74"/>
      <c r="I254" s="75" t="s">
        <v>1836</v>
      </c>
      <c r="J254" s="75" t="s">
        <v>1834</v>
      </c>
      <c r="K254" s="74" t="s">
        <v>1837</v>
      </c>
      <c r="L254" s="76" t="s">
        <v>0</v>
      </c>
      <c r="M254" s="57"/>
      <c r="N254" s="77">
        <v>5000</v>
      </c>
      <c r="O254" s="57">
        <f t="shared" si="11"/>
        <v>0</v>
      </c>
      <c r="P254" s="77">
        <v>46636</v>
      </c>
      <c r="Q254" s="73">
        <f t="shared" si="9"/>
        <v>0</v>
      </c>
      <c r="R254" s="57"/>
      <c r="S254" s="57"/>
      <c r="T254" s="57"/>
      <c r="U254" s="57"/>
      <c r="V254" s="73">
        <f t="shared" si="10"/>
        <v>0</v>
      </c>
      <c r="W254" s="106"/>
      <c r="X254" s="64"/>
    </row>
    <row r="255" spans="1:24" s="66" customFormat="1" ht="12" hidden="1" customHeight="1">
      <c r="A255" s="74" t="s">
        <v>242</v>
      </c>
      <c r="B255" s="74"/>
      <c r="C255" s="74"/>
      <c r="D255" s="74"/>
      <c r="E255" s="74"/>
      <c r="F255" s="74"/>
      <c r="G255" s="74"/>
      <c r="H255" s="74"/>
      <c r="I255" s="75" t="s">
        <v>1838</v>
      </c>
      <c r="J255" s="75" t="s">
        <v>1834</v>
      </c>
      <c r="K255" s="74" t="s">
        <v>1839</v>
      </c>
      <c r="L255" s="76" t="s">
        <v>0</v>
      </c>
      <c r="M255" s="57"/>
      <c r="N255" s="77">
        <v>9000</v>
      </c>
      <c r="O255" s="57">
        <f t="shared" si="11"/>
        <v>0</v>
      </c>
      <c r="P255" s="77">
        <v>56999</v>
      </c>
      <c r="Q255" s="73">
        <f t="shared" si="9"/>
        <v>0</v>
      </c>
      <c r="R255" s="57"/>
      <c r="S255" s="57"/>
      <c r="T255" s="57"/>
      <c r="U255" s="57"/>
      <c r="V255" s="73">
        <f t="shared" si="10"/>
        <v>0</v>
      </c>
      <c r="W255" s="106"/>
      <c r="X255" s="64"/>
    </row>
    <row r="256" spans="1:24" s="66" customFormat="1" ht="12" hidden="1" customHeight="1">
      <c r="A256" s="74" t="s">
        <v>243</v>
      </c>
      <c r="B256" s="74"/>
      <c r="C256" s="74"/>
      <c r="D256" s="74"/>
      <c r="E256" s="74"/>
      <c r="F256" s="74"/>
      <c r="G256" s="74"/>
      <c r="H256" s="74"/>
      <c r="I256" s="75" t="s">
        <v>1833</v>
      </c>
      <c r="J256" s="75" t="s">
        <v>1840</v>
      </c>
      <c r="K256" s="74" t="s">
        <v>1841</v>
      </c>
      <c r="L256" s="76" t="s">
        <v>0</v>
      </c>
      <c r="M256" s="57"/>
      <c r="N256" s="77">
        <v>480</v>
      </c>
      <c r="O256" s="57">
        <f t="shared" si="11"/>
        <v>0</v>
      </c>
      <c r="P256" s="77">
        <v>41454</v>
      </c>
      <c r="Q256" s="73">
        <f t="shared" si="9"/>
        <v>0</v>
      </c>
      <c r="R256" s="57"/>
      <c r="S256" s="57"/>
      <c r="T256" s="57"/>
      <c r="U256" s="57"/>
      <c r="V256" s="73">
        <f t="shared" si="10"/>
        <v>0</v>
      </c>
      <c r="W256" s="106"/>
      <c r="X256" s="64"/>
    </row>
    <row r="257" spans="1:24" s="66" customFormat="1" ht="12" hidden="1" customHeight="1">
      <c r="A257" s="74" t="s">
        <v>244</v>
      </c>
      <c r="B257" s="74"/>
      <c r="C257" s="74"/>
      <c r="D257" s="74"/>
      <c r="E257" s="74"/>
      <c r="F257" s="74"/>
      <c r="G257" s="74"/>
      <c r="H257" s="74"/>
      <c r="I257" s="75" t="s">
        <v>1833</v>
      </c>
      <c r="J257" s="75" t="s">
        <v>1840</v>
      </c>
      <c r="K257" s="74" t="s">
        <v>1842</v>
      </c>
      <c r="L257" s="76" t="s">
        <v>0</v>
      </c>
      <c r="M257" s="57"/>
      <c r="N257" s="77">
        <v>800</v>
      </c>
      <c r="O257" s="57">
        <f t="shared" si="11"/>
        <v>0</v>
      </c>
      <c r="P257" s="77">
        <v>41454</v>
      </c>
      <c r="Q257" s="73">
        <f t="shared" si="9"/>
        <v>0</v>
      </c>
      <c r="R257" s="57"/>
      <c r="S257" s="57"/>
      <c r="T257" s="57"/>
      <c r="U257" s="57"/>
      <c r="V257" s="73">
        <f t="shared" si="10"/>
        <v>0</v>
      </c>
      <c r="W257" s="106"/>
      <c r="X257" s="64"/>
    </row>
    <row r="258" spans="1:24" s="66" customFormat="1" ht="12" hidden="1" customHeight="1">
      <c r="A258" s="74" t="s">
        <v>245</v>
      </c>
      <c r="B258" s="74"/>
      <c r="C258" s="74"/>
      <c r="D258" s="74"/>
      <c r="E258" s="74"/>
      <c r="F258" s="74"/>
      <c r="G258" s="74"/>
      <c r="H258" s="74"/>
      <c r="I258" s="75" t="s">
        <v>1833</v>
      </c>
      <c r="J258" s="75" t="s">
        <v>1840</v>
      </c>
      <c r="K258" s="74" t="s">
        <v>1843</v>
      </c>
      <c r="L258" s="76" t="s">
        <v>0</v>
      </c>
      <c r="M258" s="57"/>
      <c r="N258" s="77">
        <v>700</v>
      </c>
      <c r="O258" s="57">
        <f t="shared" si="11"/>
        <v>0</v>
      </c>
      <c r="P258" s="77">
        <v>41454</v>
      </c>
      <c r="Q258" s="73">
        <f t="shared" si="9"/>
        <v>0</v>
      </c>
      <c r="R258" s="57"/>
      <c r="S258" s="57"/>
      <c r="T258" s="57"/>
      <c r="U258" s="57"/>
      <c r="V258" s="73">
        <f t="shared" si="10"/>
        <v>0</v>
      </c>
      <c r="W258" s="106"/>
      <c r="X258" s="64"/>
    </row>
    <row r="259" spans="1:24" s="66" customFormat="1" ht="12" hidden="1" customHeight="1">
      <c r="A259" s="74" t="s">
        <v>246</v>
      </c>
      <c r="B259" s="74"/>
      <c r="C259" s="74"/>
      <c r="D259" s="74"/>
      <c r="E259" s="74"/>
      <c r="F259" s="74"/>
      <c r="G259" s="74"/>
      <c r="H259" s="74"/>
      <c r="I259" s="75" t="s">
        <v>1833</v>
      </c>
      <c r="J259" s="75" t="s">
        <v>1840</v>
      </c>
      <c r="K259" s="74" t="s">
        <v>1844</v>
      </c>
      <c r="L259" s="76" t="s">
        <v>0</v>
      </c>
      <c r="M259" s="57"/>
      <c r="N259" s="77">
        <v>1200</v>
      </c>
      <c r="O259" s="57">
        <f t="shared" si="11"/>
        <v>0</v>
      </c>
      <c r="P259" s="77">
        <v>41454</v>
      </c>
      <c r="Q259" s="73">
        <f t="shared" si="9"/>
        <v>0</v>
      </c>
      <c r="R259" s="57"/>
      <c r="S259" s="57"/>
      <c r="T259" s="57"/>
      <c r="U259" s="57"/>
      <c r="V259" s="73">
        <f t="shared" si="10"/>
        <v>0</v>
      </c>
      <c r="W259" s="106"/>
      <c r="X259" s="64"/>
    </row>
    <row r="260" spans="1:24" s="66" customFormat="1" ht="12" hidden="1" customHeight="1">
      <c r="A260" s="74" t="s">
        <v>247</v>
      </c>
      <c r="B260" s="74"/>
      <c r="C260" s="74"/>
      <c r="D260" s="74"/>
      <c r="E260" s="74"/>
      <c r="F260" s="74"/>
      <c r="G260" s="74"/>
      <c r="H260" s="74"/>
      <c r="I260" s="75" t="s">
        <v>1833</v>
      </c>
      <c r="J260" s="75" t="s">
        <v>1840</v>
      </c>
      <c r="K260" s="74" t="s">
        <v>1845</v>
      </c>
      <c r="L260" s="76" t="s">
        <v>0</v>
      </c>
      <c r="M260" s="57"/>
      <c r="N260" s="77">
        <v>960</v>
      </c>
      <c r="O260" s="57">
        <f t="shared" si="11"/>
        <v>0</v>
      </c>
      <c r="P260" s="77">
        <v>41454</v>
      </c>
      <c r="Q260" s="73">
        <f t="shared" si="9"/>
        <v>0</v>
      </c>
      <c r="R260" s="57"/>
      <c r="S260" s="57"/>
      <c r="T260" s="57"/>
      <c r="U260" s="57"/>
      <c r="V260" s="73">
        <f t="shared" si="10"/>
        <v>0</v>
      </c>
      <c r="W260" s="106"/>
      <c r="X260" s="64"/>
    </row>
    <row r="261" spans="1:24" s="66" customFormat="1" ht="12" hidden="1" customHeight="1">
      <c r="A261" s="74" t="s">
        <v>752</v>
      </c>
      <c r="B261" s="74"/>
      <c r="C261" s="74"/>
      <c r="D261" s="74"/>
      <c r="E261" s="74"/>
      <c r="F261" s="74"/>
      <c r="G261" s="74"/>
      <c r="H261" s="74"/>
      <c r="I261" s="75" t="s">
        <v>1952</v>
      </c>
      <c r="J261" s="75" t="s">
        <v>1306</v>
      </c>
      <c r="K261" s="74" t="s">
        <v>1310</v>
      </c>
      <c r="L261" s="76" t="s">
        <v>20</v>
      </c>
      <c r="M261" s="57"/>
      <c r="N261" s="77">
        <v>28000</v>
      </c>
      <c r="O261" s="57">
        <f t="shared" si="11"/>
        <v>0</v>
      </c>
      <c r="P261" s="77">
        <v>142498</v>
      </c>
      <c r="Q261" s="73">
        <f t="shared" si="9"/>
        <v>0</v>
      </c>
      <c r="R261" s="57"/>
      <c r="S261" s="57"/>
      <c r="T261" s="57"/>
      <c r="U261" s="57"/>
      <c r="V261" s="73">
        <f t="shared" si="10"/>
        <v>0</v>
      </c>
      <c r="W261" s="106"/>
      <c r="X261" s="64"/>
    </row>
    <row r="262" spans="1:24" s="66" customFormat="1" ht="12" hidden="1" customHeight="1">
      <c r="A262" s="74" t="s">
        <v>753</v>
      </c>
      <c r="B262" s="74"/>
      <c r="C262" s="74"/>
      <c r="D262" s="74"/>
      <c r="E262" s="74"/>
      <c r="F262" s="74"/>
      <c r="G262" s="74"/>
      <c r="H262" s="74"/>
      <c r="I262" s="75" t="s">
        <v>1952</v>
      </c>
      <c r="J262" s="75" t="s">
        <v>1306</v>
      </c>
      <c r="K262" s="74" t="s">
        <v>1309</v>
      </c>
      <c r="L262" s="76" t="s">
        <v>20</v>
      </c>
      <c r="M262" s="57"/>
      <c r="N262" s="77">
        <v>25100</v>
      </c>
      <c r="O262" s="57">
        <f t="shared" si="11"/>
        <v>0</v>
      </c>
      <c r="P262" s="77">
        <v>142498</v>
      </c>
      <c r="Q262" s="73">
        <f t="shared" si="9"/>
        <v>0</v>
      </c>
      <c r="R262" s="57"/>
      <c r="S262" s="57"/>
      <c r="T262" s="57"/>
      <c r="U262" s="57"/>
      <c r="V262" s="73">
        <f t="shared" si="10"/>
        <v>0</v>
      </c>
      <c r="W262" s="106"/>
      <c r="X262" s="64"/>
    </row>
    <row r="263" spans="1:24" s="66" customFormat="1" ht="12" hidden="1" customHeight="1">
      <c r="A263" s="74" t="s">
        <v>754</v>
      </c>
      <c r="B263" s="74"/>
      <c r="C263" s="74"/>
      <c r="D263" s="74"/>
      <c r="E263" s="74"/>
      <c r="F263" s="74"/>
      <c r="G263" s="74"/>
      <c r="H263" s="74"/>
      <c r="I263" s="75" t="s">
        <v>1952</v>
      </c>
      <c r="J263" s="75" t="s">
        <v>1306</v>
      </c>
      <c r="K263" s="74" t="s">
        <v>1308</v>
      </c>
      <c r="L263" s="76" t="s">
        <v>20</v>
      </c>
      <c r="M263" s="57"/>
      <c r="N263" s="77">
        <v>25590</v>
      </c>
      <c r="O263" s="57">
        <f t="shared" si="11"/>
        <v>0</v>
      </c>
      <c r="P263" s="77">
        <v>142498</v>
      </c>
      <c r="Q263" s="73">
        <f t="shared" si="9"/>
        <v>0</v>
      </c>
      <c r="R263" s="57"/>
      <c r="S263" s="57"/>
      <c r="T263" s="57"/>
      <c r="U263" s="57"/>
      <c r="V263" s="73">
        <f t="shared" si="10"/>
        <v>0</v>
      </c>
      <c r="W263" s="106"/>
      <c r="X263" s="64"/>
    </row>
    <row r="264" spans="1:24" s="66" customFormat="1" ht="12" hidden="1" customHeight="1">
      <c r="A264" s="74" t="s">
        <v>755</v>
      </c>
      <c r="B264" s="74"/>
      <c r="C264" s="74"/>
      <c r="D264" s="74"/>
      <c r="E264" s="74"/>
      <c r="F264" s="74"/>
      <c r="G264" s="74"/>
      <c r="H264" s="74"/>
      <c r="I264" s="75" t="s">
        <v>1953</v>
      </c>
      <c r="J264" s="75" t="s">
        <v>1306</v>
      </c>
      <c r="K264" s="74" t="s">
        <v>1305</v>
      </c>
      <c r="L264" s="76" t="s">
        <v>20</v>
      </c>
      <c r="M264" s="57"/>
      <c r="N264" s="77">
        <v>56960</v>
      </c>
      <c r="O264" s="57">
        <f t="shared" si="11"/>
        <v>0</v>
      </c>
      <c r="P264" s="77">
        <v>170998</v>
      </c>
      <c r="Q264" s="73">
        <f t="shared" si="9"/>
        <v>0</v>
      </c>
      <c r="R264" s="57"/>
      <c r="S264" s="57"/>
      <c r="T264" s="57"/>
      <c r="U264" s="57"/>
      <c r="V264" s="73">
        <f t="shared" si="10"/>
        <v>0</v>
      </c>
      <c r="W264" s="106"/>
      <c r="X264" s="64"/>
    </row>
    <row r="265" spans="1:24" s="66" customFormat="1" ht="12" hidden="1" customHeight="1">
      <c r="A265" s="74" t="s">
        <v>152</v>
      </c>
      <c r="B265" s="74"/>
      <c r="C265" s="74"/>
      <c r="D265" s="74"/>
      <c r="E265" s="74"/>
      <c r="F265" s="74"/>
      <c r="G265" s="74"/>
      <c r="H265" s="74"/>
      <c r="I265" s="75" t="s">
        <v>1953</v>
      </c>
      <c r="J265" s="75" t="s">
        <v>1306</v>
      </c>
      <c r="K265" s="74" t="s">
        <v>1310</v>
      </c>
      <c r="L265" s="76" t="s">
        <v>20</v>
      </c>
      <c r="M265" s="57"/>
      <c r="N265" s="77">
        <v>28000</v>
      </c>
      <c r="O265" s="57">
        <f t="shared" si="11"/>
        <v>0</v>
      </c>
      <c r="P265" s="77">
        <v>170998</v>
      </c>
      <c r="Q265" s="73">
        <f t="shared" si="9"/>
        <v>0</v>
      </c>
      <c r="R265" s="57"/>
      <c r="S265" s="57"/>
      <c r="T265" s="57"/>
      <c r="U265" s="57"/>
      <c r="V265" s="73">
        <f t="shared" si="10"/>
        <v>0</v>
      </c>
      <c r="W265" s="106"/>
      <c r="X265" s="64"/>
    </row>
    <row r="266" spans="1:24" s="66" customFormat="1" ht="12" hidden="1" customHeight="1">
      <c r="A266" s="74" t="s">
        <v>153</v>
      </c>
      <c r="B266" s="74"/>
      <c r="C266" s="74"/>
      <c r="D266" s="74"/>
      <c r="E266" s="74"/>
      <c r="F266" s="74"/>
      <c r="G266" s="74"/>
      <c r="H266" s="74"/>
      <c r="I266" s="75" t="s">
        <v>1953</v>
      </c>
      <c r="J266" s="75" t="s">
        <v>1306</v>
      </c>
      <c r="K266" s="74" t="s">
        <v>1309</v>
      </c>
      <c r="L266" s="76" t="s">
        <v>20</v>
      </c>
      <c r="M266" s="57"/>
      <c r="N266" s="77">
        <v>25100</v>
      </c>
      <c r="O266" s="57">
        <f t="shared" si="11"/>
        <v>0</v>
      </c>
      <c r="P266" s="77">
        <v>170998</v>
      </c>
      <c r="Q266" s="73">
        <f t="shared" si="9"/>
        <v>0</v>
      </c>
      <c r="R266" s="57"/>
      <c r="S266" s="57"/>
      <c r="T266" s="57"/>
      <c r="U266" s="57"/>
      <c r="V266" s="73">
        <f t="shared" si="10"/>
        <v>0</v>
      </c>
      <c r="W266" s="106"/>
      <c r="X266" s="64"/>
    </row>
    <row r="267" spans="1:24" s="66" customFormat="1" ht="12" hidden="1" customHeight="1">
      <c r="A267" s="74" t="s">
        <v>154</v>
      </c>
      <c r="B267" s="74"/>
      <c r="C267" s="74"/>
      <c r="D267" s="74"/>
      <c r="E267" s="74"/>
      <c r="F267" s="74"/>
      <c r="G267" s="74"/>
      <c r="H267" s="74"/>
      <c r="I267" s="75" t="s">
        <v>1953</v>
      </c>
      <c r="J267" s="75" t="s">
        <v>1306</v>
      </c>
      <c r="K267" s="74" t="s">
        <v>1308</v>
      </c>
      <c r="L267" s="76" t="s">
        <v>20</v>
      </c>
      <c r="M267" s="57"/>
      <c r="N267" s="77">
        <v>25590</v>
      </c>
      <c r="O267" s="57">
        <f t="shared" si="11"/>
        <v>0</v>
      </c>
      <c r="P267" s="77">
        <v>170998</v>
      </c>
      <c r="Q267" s="73">
        <f t="shared" ref="Q267:Q330" si="12">IF(W267="",M267*P267*$Q$3*$W$3,M267*P267*$Q$3*W267)</f>
        <v>0</v>
      </c>
      <c r="R267" s="57"/>
      <c r="S267" s="57"/>
      <c r="T267" s="57"/>
      <c r="U267" s="57"/>
      <c r="V267" s="73">
        <f t="shared" ref="V267:V330" si="13">SUM(O267+Q267)+S267+U267</f>
        <v>0</v>
      </c>
      <c r="W267" s="106"/>
      <c r="X267" s="64"/>
    </row>
    <row r="268" spans="1:24" s="66" customFormat="1" ht="12" hidden="1" customHeight="1">
      <c r="A268" s="74" t="s">
        <v>155</v>
      </c>
      <c r="B268" s="74"/>
      <c r="C268" s="74"/>
      <c r="D268" s="74"/>
      <c r="E268" s="74"/>
      <c r="F268" s="74"/>
      <c r="G268" s="74"/>
      <c r="H268" s="74"/>
      <c r="I268" s="75" t="s">
        <v>1953</v>
      </c>
      <c r="J268" s="75" t="s">
        <v>1306</v>
      </c>
      <c r="K268" s="74" t="s">
        <v>1307</v>
      </c>
      <c r="L268" s="76" t="s">
        <v>20</v>
      </c>
      <c r="M268" s="57"/>
      <c r="N268" s="77">
        <v>38620</v>
      </c>
      <c r="O268" s="57">
        <f t="shared" si="11"/>
        <v>0</v>
      </c>
      <c r="P268" s="77">
        <v>170998</v>
      </c>
      <c r="Q268" s="73">
        <f t="shared" si="12"/>
        <v>0</v>
      </c>
      <c r="R268" s="57"/>
      <c r="S268" s="57"/>
      <c r="T268" s="57"/>
      <c r="U268" s="57"/>
      <c r="V268" s="73">
        <f t="shared" si="13"/>
        <v>0</v>
      </c>
      <c r="W268" s="106"/>
      <c r="X268" s="64"/>
    </row>
    <row r="269" spans="1:24" s="66" customFormat="1" ht="12" hidden="1" customHeight="1">
      <c r="A269" s="74" t="s">
        <v>156</v>
      </c>
      <c r="B269" s="74"/>
      <c r="C269" s="74"/>
      <c r="D269" s="74"/>
      <c r="E269" s="74"/>
      <c r="F269" s="74"/>
      <c r="G269" s="74"/>
      <c r="H269" s="74"/>
      <c r="I269" s="75" t="s">
        <v>1954</v>
      </c>
      <c r="J269" s="75" t="s">
        <v>1306</v>
      </c>
      <c r="K269" s="74" t="s">
        <v>1305</v>
      </c>
      <c r="L269" s="76" t="s">
        <v>20</v>
      </c>
      <c r="M269" s="57"/>
      <c r="N269" s="77">
        <v>56960</v>
      </c>
      <c r="O269" s="57">
        <f t="shared" si="11"/>
        <v>0</v>
      </c>
      <c r="P269" s="77">
        <v>246134</v>
      </c>
      <c r="Q269" s="73">
        <f t="shared" si="12"/>
        <v>0</v>
      </c>
      <c r="R269" s="57"/>
      <c r="S269" s="57"/>
      <c r="T269" s="57"/>
      <c r="U269" s="57"/>
      <c r="V269" s="73">
        <f t="shared" si="13"/>
        <v>0</v>
      </c>
      <c r="W269" s="106"/>
      <c r="X269" s="64"/>
    </row>
    <row r="270" spans="1:24" s="66" customFormat="1" ht="12" hidden="1" customHeight="1">
      <c r="A270" s="74" t="s">
        <v>130</v>
      </c>
      <c r="B270" s="74"/>
      <c r="C270" s="74"/>
      <c r="D270" s="74"/>
      <c r="E270" s="74"/>
      <c r="F270" s="74"/>
      <c r="G270" s="74"/>
      <c r="H270" s="74"/>
      <c r="I270" s="75" t="s">
        <v>1951</v>
      </c>
      <c r="J270" s="75" t="s">
        <v>1288</v>
      </c>
      <c r="K270" s="74" t="s">
        <v>808</v>
      </c>
      <c r="L270" s="76" t="s">
        <v>20</v>
      </c>
      <c r="M270" s="57"/>
      <c r="N270" s="77">
        <v>2475</v>
      </c>
      <c r="O270" s="57">
        <f t="shared" si="11"/>
        <v>0</v>
      </c>
      <c r="P270" s="77">
        <v>44045</v>
      </c>
      <c r="Q270" s="73">
        <f t="shared" si="12"/>
        <v>0</v>
      </c>
      <c r="R270" s="57"/>
      <c r="S270" s="57"/>
      <c r="T270" s="57"/>
      <c r="U270" s="57"/>
      <c r="V270" s="73">
        <f t="shared" si="13"/>
        <v>0</v>
      </c>
      <c r="W270" s="106"/>
      <c r="X270" s="64"/>
    </row>
    <row r="271" spans="1:24" s="66" customFormat="1" ht="12" hidden="1" customHeight="1">
      <c r="A271" s="74" t="s">
        <v>131</v>
      </c>
      <c r="B271" s="74"/>
      <c r="C271" s="74"/>
      <c r="D271" s="74"/>
      <c r="E271" s="74"/>
      <c r="F271" s="74"/>
      <c r="G271" s="74"/>
      <c r="H271" s="74"/>
      <c r="I271" s="75" t="s">
        <v>1951</v>
      </c>
      <c r="J271" s="75" t="s">
        <v>1288</v>
      </c>
      <c r="K271" s="74" t="s">
        <v>809</v>
      </c>
      <c r="L271" s="76" t="s">
        <v>20</v>
      </c>
      <c r="M271" s="57"/>
      <c r="N271" s="77">
        <v>2728</v>
      </c>
      <c r="O271" s="57">
        <f t="shared" si="11"/>
        <v>0</v>
      </c>
      <c r="P271" s="77">
        <v>44045</v>
      </c>
      <c r="Q271" s="73">
        <f t="shared" si="12"/>
        <v>0</v>
      </c>
      <c r="R271" s="57"/>
      <c r="S271" s="57"/>
      <c r="T271" s="57"/>
      <c r="U271" s="57"/>
      <c r="V271" s="73">
        <f t="shared" si="13"/>
        <v>0</v>
      </c>
      <c r="W271" s="106"/>
      <c r="X271" s="64"/>
    </row>
    <row r="272" spans="1:24" s="66" customFormat="1" ht="12" hidden="1" customHeight="1">
      <c r="A272" s="74" t="s">
        <v>132</v>
      </c>
      <c r="B272" s="74"/>
      <c r="C272" s="74"/>
      <c r="D272" s="74"/>
      <c r="E272" s="74"/>
      <c r="F272" s="74"/>
      <c r="G272" s="74"/>
      <c r="H272" s="74"/>
      <c r="I272" s="75" t="s">
        <v>1951</v>
      </c>
      <c r="J272" s="75" t="s">
        <v>1288</v>
      </c>
      <c r="K272" s="74" t="s">
        <v>810</v>
      </c>
      <c r="L272" s="76" t="s">
        <v>20</v>
      </c>
      <c r="M272" s="57"/>
      <c r="N272" s="77">
        <v>2937</v>
      </c>
      <c r="O272" s="57">
        <f t="shared" si="11"/>
        <v>0</v>
      </c>
      <c r="P272" s="77">
        <v>44045</v>
      </c>
      <c r="Q272" s="73">
        <f t="shared" si="12"/>
        <v>0</v>
      </c>
      <c r="R272" s="57"/>
      <c r="S272" s="57"/>
      <c r="T272" s="57"/>
      <c r="U272" s="57"/>
      <c r="V272" s="73">
        <f t="shared" si="13"/>
        <v>0</v>
      </c>
      <c r="W272" s="106"/>
      <c r="X272" s="64"/>
    </row>
    <row r="273" spans="1:24" s="66" customFormat="1" ht="12" hidden="1" customHeight="1">
      <c r="A273" s="74" t="s">
        <v>133</v>
      </c>
      <c r="B273" s="74"/>
      <c r="C273" s="74"/>
      <c r="D273" s="74"/>
      <c r="E273" s="74"/>
      <c r="F273" s="74"/>
      <c r="G273" s="74"/>
      <c r="H273" s="74"/>
      <c r="I273" s="75" t="s">
        <v>1952</v>
      </c>
      <c r="J273" s="75" t="s">
        <v>1288</v>
      </c>
      <c r="K273" s="74" t="s">
        <v>811</v>
      </c>
      <c r="L273" s="76" t="s">
        <v>20</v>
      </c>
      <c r="M273" s="57"/>
      <c r="N273" s="77">
        <v>3245</v>
      </c>
      <c r="O273" s="57">
        <f t="shared" si="11"/>
        <v>0</v>
      </c>
      <c r="P273" s="77">
        <v>142498</v>
      </c>
      <c r="Q273" s="73">
        <f t="shared" si="12"/>
        <v>0</v>
      </c>
      <c r="R273" s="57"/>
      <c r="S273" s="57"/>
      <c r="T273" s="57"/>
      <c r="U273" s="57"/>
      <c r="V273" s="73">
        <f t="shared" si="13"/>
        <v>0</v>
      </c>
      <c r="W273" s="106"/>
      <c r="X273" s="64"/>
    </row>
    <row r="274" spans="1:24" s="66" customFormat="1" ht="12" hidden="1" customHeight="1">
      <c r="A274" s="74" t="s">
        <v>134</v>
      </c>
      <c r="B274" s="74"/>
      <c r="C274" s="74"/>
      <c r="D274" s="74"/>
      <c r="E274" s="74"/>
      <c r="F274" s="74"/>
      <c r="G274" s="74"/>
      <c r="H274" s="74"/>
      <c r="I274" s="75" t="s">
        <v>1952</v>
      </c>
      <c r="J274" s="75" t="s">
        <v>1288</v>
      </c>
      <c r="K274" s="74" t="s">
        <v>812</v>
      </c>
      <c r="L274" s="76" t="s">
        <v>20</v>
      </c>
      <c r="M274" s="57"/>
      <c r="N274" s="77">
        <v>3608</v>
      </c>
      <c r="O274" s="57">
        <f t="shared" si="11"/>
        <v>0</v>
      </c>
      <c r="P274" s="77">
        <v>142498</v>
      </c>
      <c r="Q274" s="73">
        <f t="shared" si="12"/>
        <v>0</v>
      </c>
      <c r="R274" s="57"/>
      <c r="S274" s="57"/>
      <c r="T274" s="57"/>
      <c r="U274" s="57"/>
      <c r="V274" s="73">
        <f t="shared" si="13"/>
        <v>0</v>
      </c>
      <c r="W274" s="106"/>
      <c r="X274" s="64"/>
    </row>
    <row r="275" spans="1:24" s="66" customFormat="1" ht="12" hidden="1" customHeight="1">
      <c r="A275" s="74" t="s">
        <v>135</v>
      </c>
      <c r="B275" s="74"/>
      <c r="C275" s="74"/>
      <c r="D275" s="74"/>
      <c r="E275" s="74"/>
      <c r="F275" s="74"/>
      <c r="G275" s="74"/>
      <c r="H275" s="74"/>
      <c r="I275" s="75" t="s">
        <v>1952</v>
      </c>
      <c r="J275" s="75" t="s">
        <v>1288</v>
      </c>
      <c r="K275" s="74" t="s">
        <v>813</v>
      </c>
      <c r="L275" s="76" t="s">
        <v>20</v>
      </c>
      <c r="M275" s="57"/>
      <c r="N275" s="77">
        <v>4378</v>
      </c>
      <c r="O275" s="57">
        <f t="shared" si="11"/>
        <v>0</v>
      </c>
      <c r="P275" s="77">
        <v>142498</v>
      </c>
      <c r="Q275" s="73">
        <f t="shared" si="12"/>
        <v>0</v>
      </c>
      <c r="R275" s="57"/>
      <c r="S275" s="57"/>
      <c r="T275" s="57"/>
      <c r="U275" s="57"/>
      <c r="V275" s="73">
        <f t="shared" si="13"/>
        <v>0</v>
      </c>
      <c r="W275" s="106"/>
      <c r="X275" s="64"/>
    </row>
    <row r="276" spans="1:24" s="66" customFormat="1" ht="12" hidden="1" customHeight="1">
      <c r="A276" s="74" t="s">
        <v>136</v>
      </c>
      <c r="B276" s="74"/>
      <c r="C276" s="74"/>
      <c r="D276" s="74"/>
      <c r="E276" s="74"/>
      <c r="F276" s="74"/>
      <c r="G276" s="74"/>
      <c r="H276" s="74"/>
      <c r="I276" s="75" t="s">
        <v>1952</v>
      </c>
      <c r="J276" s="75" t="s">
        <v>1288</v>
      </c>
      <c r="K276" s="74" t="s">
        <v>814</v>
      </c>
      <c r="L276" s="76" t="s">
        <v>20</v>
      </c>
      <c r="M276" s="57"/>
      <c r="N276" s="77">
        <v>5379</v>
      </c>
      <c r="O276" s="57">
        <f t="shared" si="11"/>
        <v>0</v>
      </c>
      <c r="P276" s="77">
        <v>142498</v>
      </c>
      <c r="Q276" s="73">
        <f t="shared" si="12"/>
        <v>0</v>
      </c>
      <c r="R276" s="57"/>
      <c r="S276" s="57"/>
      <c r="T276" s="57"/>
      <c r="U276" s="57"/>
      <c r="V276" s="73">
        <f t="shared" si="13"/>
        <v>0</v>
      </c>
      <c r="W276" s="106"/>
      <c r="X276" s="64"/>
    </row>
    <row r="277" spans="1:24" s="66" customFormat="1" ht="12" hidden="1" customHeight="1">
      <c r="A277" s="74" t="s">
        <v>137</v>
      </c>
      <c r="B277" s="74"/>
      <c r="C277" s="74"/>
      <c r="D277" s="74"/>
      <c r="E277" s="74"/>
      <c r="F277" s="74"/>
      <c r="G277" s="74"/>
      <c r="H277" s="74"/>
      <c r="I277" s="75" t="s">
        <v>1952</v>
      </c>
      <c r="J277" s="75" t="s">
        <v>1288</v>
      </c>
      <c r="K277" s="74" t="s">
        <v>815</v>
      </c>
      <c r="L277" s="76" t="s">
        <v>20</v>
      </c>
      <c r="M277" s="57"/>
      <c r="N277" s="77">
        <v>6479</v>
      </c>
      <c r="O277" s="57">
        <f t="shared" si="11"/>
        <v>0</v>
      </c>
      <c r="P277" s="77">
        <v>142498</v>
      </c>
      <c r="Q277" s="73">
        <f t="shared" si="12"/>
        <v>0</v>
      </c>
      <c r="R277" s="57"/>
      <c r="S277" s="57"/>
      <c r="T277" s="57"/>
      <c r="U277" s="57"/>
      <c r="V277" s="73">
        <f t="shared" si="13"/>
        <v>0</v>
      </c>
      <c r="W277" s="106"/>
      <c r="X277" s="64"/>
    </row>
    <row r="278" spans="1:24" s="66" customFormat="1" ht="12" hidden="1" customHeight="1">
      <c r="A278" s="74" t="s">
        <v>138</v>
      </c>
      <c r="B278" s="74"/>
      <c r="C278" s="74"/>
      <c r="D278" s="74"/>
      <c r="E278" s="74"/>
      <c r="F278" s="74"/>
      <c r="G278" s="74"/>
      <c r="H278" s="74"/>
      <c r="I278" s="75" t="s">
        <v>1952</v>
      </c>
      <c r="J278" s="75" t="s">
        <v>1288</v>
      </c>
      <c r="K278" s="74" t="s">
        <v>816</v>
      </c>
      <c r="L278" s="76" t="s">
        <v>20</v>
      </c>
      <c r="M278" s="57"/>
      <c r="N278" s="77">
        <v>7975</v>
      </c>
      <c r="O278" s="57">
        <f t="shared" si="11"/>
        <v>0</v>
      </c>
      <c r="P278" s="77">
        <v>142498</v>
      </c>
      <c r="Q278" s="73">
        <f t="shared" si="12"/>
        <v>0</v>
      </c>
      <c r="R278" s="57"/>
      <c r="S278" s="57"/>
      <c r="T278" s="57"/>
      <c r="U278" s="57"/>
      <c r="V278" s="73">
        <f t="shared" si="13"/>
        <v>0</v>
      </c>
      <c r="W278" s="106"/>
      <c r="X278" s="64"/>
    </row>
    <row r="279" spans="1:24" s="66" customFormat="1" ht="12" hidden="1" customHeight="1">
      <c r="A279" s="74" t="s">
        <v>139</v>
      </c>
      <c r="B279" s="74"/>
      <c r="C279" s="74"/>
      <c r="D279" s="74"/>
      <c r="E279" s="74"/>
      <c r="F279" s="74"/>
      <c r="G279" s="74"/>
      <c r="H279" s="74"/>
      <c r="I279" s="75" t="s">
        <v>1952</v>
      </c>
      <c r="J279" s="75" t="s">
        <v>1288</v>
      </c>
      <c r="K279" s="74" t="s">
        <v>817</v>
      </c>
      <c r="L279" s="76" t="s">
        <v>20</v>
      </c>
      <c r="M279" s="57"/>
      <c r="N279" s="77">
        <v>9834</v>
      </c>
      <c r="O279" s="57">
        <f t="shared" si="11"/>
        <v>0</v>
      </c>
      <c r="P279" s="77">
        <v>142498</v>
      </c>
      <c r="Q279" s="73">
        <f t="shared" si="12"/>
        <v>0</v>
      </c>
      <c r="R279" s="57"/>
      <c r="S279" s="57"/>
      <c r="T279" s="57"/>
      <c r="U279" s="57"/>
      <c r="V279" s="73">
        <f t="shared" si="13"/>
        <v>0</v>
      </c>
      <c r="W279" s="106"/>
      <c r="X279" s="64"/>
    </row>
    <row r="280" spans="1:24" s="66" customFormat="1" ht="12" hidden="1" customHeight="1">
      <c r="A280" s="74" t="s">
        <v>140</v>
      </c>
      <c r="B280" s="74"/>
      <c r="C280" s="74"/>
      <c r="D280" s="74"/>
      <c r="E280" s="74"/>
      <c r="F280" s="74"/>
      <c r="G280" s="74"/>
      <c r="H280" s="74"/>
      <c r="I280" s="75" t="s">
        <v>1952</v>
      </c>
      <c r="J280" s="75" t="s">
        <v>1288</v>
      </c>
      <c r="K280" s="74" t="s">
        <v>818</v>
      </c>
      <c r="L280" s="76" t="s">
        <v>20</v>
      </c>
      <c r="M280" s="57"/>
      <c r="N280" s="77">
        <v>10285</v>
      </c>
      <c r="O280" s="57">
        <f t="shared" si="11"/>
        <v>0</v>
      </c>
      <c r="P280" s="77">
        <v>142498</v>
      </c>
      <c r="Q280" s="73">
        <f t="shared" si="12"/>
        <v>0</v>
      </c>
      <c r="R280" s="57"/>
      <c r="S280" s="57"/>
      <c r="T280" s="57"/>
      <c r="U280" s="57"/>
      <c r="V280" s="73">
        <f t="shared" si="13"/>
        <v>0</v>
      </c>
      <c r="W280" s="106"/>
      <c r="X280" s="64"/>
    </row>
    <row r="281" spans="1:24" s="66" customFormat="1" ht="12" hidden="1" customHeight="1">
      <c r="A281" s="74" t="s">
        <v>141</v>
      </c>
      <c r="B281" s="74"/>
      <c r="C281" s="74"/>
      <c r="D281" s="74"/>
      <c r="E281" s="74"/>
      <c r="F281" s="74"/>
      <c r="G281" s="74"/>
      <c r="H281" s="74"/>
      <c r="I281" s="75" t="s">
        <v>1953</v>
      </c>
      <c r="J281" s="75" t="s">
        <v>1288</v>
      </c>
      <c r="K281" s="74" t="s">
        <v>819</v>
      </c>
      <c r="L281" s="76" t="s">
        <v>20</v>
      </c>
      <c r="M281" s="57"/>
      <c r="N281" s="77">
        <v>9515</v>
      </c>
      <c r="O281" s="57">
        <f t="shared" si="11"/>
        <v>0</v>
      </c>
      <c r="P281" s="77">
        <v>170998</v>
      </c>
      <c r="Q281" s="73">
        <f t="shared" si="12"/>
        <v>0</v>
      </c>
      <c r="R281" s="57"/>
      <c r="S281" s="57"/>
      <c r="T281" s="57"/>
      <c r="U281" s="57"/>
      <c r="V281" s="73">
        <f t="shared" si="13"/>
        <v>0</v>
      </c>
      <c r="W281" s="106"/>
      <c r="X281" s="64"/>
    </row>
    <row r="282" spans="1:24" s="66" customFormat="1" ht="12" hidden="1" customHeight="1">
      <c r="A282" s="74" t="s">
        <v>142</v>
      </c>
      <c r="B282" s="74"/>
      <c r="C282" s="74"/>
      <c r="D282" s="74"/>
      <c r="E282" s="74"/>
      <c r="F282" s="74"/>
      <c r="G282" s="74"/>
      <c r="H282" s="74"/>
      <c r="I282" s="75" t="s">
        <v>1953</v>
      </c>
      <c r="J282" s="75" t="s">
        <v>1288</v>
      </c>
      <c r="K282" s="74" t="s">
        <v>820</v>
      </c>
      <c r="L282" s="76" t="s">
        <v>20</v>
      </c>
      <c r="M282" s="57"/>
      <c r="N282" s="77">
        <v>10725</v>
      </c>
      <c r="O282" s="57">
        <f t="shared" si="11"/>
        <v>0</v>
      </c>
      <c r="P282" s="77">
        <v>170998</v>
      </c>
      <c r="Q282" s="73">
        <f t="shared" si="12"/>
        <v>0</v>
      </c>
      <c r="R282" s="57"/>
      <c r="S282" s="57"/>
      <c r="T282" s="57"/>
      <c r="U282" s="57"/>
      <c r="V282" s="73">
        <f t="shared" si="13"/>
        <v>0</v>
      </c>
      <c r="W282" s="106"/>
      <c r="X282" s="64"/>
    </row>
    <row r="283" spans="1:24" s="66" customFormat="1" ht="12" hidden="1" customHeight="1">
      <c r="A283" s="74" t="s">
        <v>143</v>
      </c>
      <c r="B283" s="74"/>
      <c r="C283" s="74"/>
      <c r="D283" s="74"/>
      <c r="E283" s="74"/>
      <c r="F283" s="74"/>
      <c r="G283" s="74"/>
      <c r="H283" s="74"/>
      <c r="I283" s="75" t="s">
        <v>1953</v>
      </c>
      <c r="J283" s="75" t="s">
        <v>1288</v>
      </c>
      <c r="K283" s="74" t="s">
        <v>821</v>
      </c>
      <c r="L283" s="76" t="s">
        <v>20</v>
      </c>
      <c r="M283" s="57"/>
      <c r="N283" s="77">
        <v>11935</v>
      </c>
      <c r="O283" s="57">
        <f t="shared" si="11"/>
        <v>0</v>
      </c>
      <c r="P283" s="77">
        <v>170998</v>
      </c>
      <c r="Q283" s="73">
        <f t="shared" si="12"/>
        <v>0</v>
      </c>
      <c r="R283" s="57"/>
      <c r="S283" s="57"/>
      <c r="T283" s="57"/>
      <c r="U283" s="57"/>
      <c r="V283" s="73">
        <f t="shared" si="13"/>
        <v>0</v>
      </c>
      <c r="W283" s="106"/>
      <c r="X283" s="64"/>
    </row>
    <row r="284" spans="1:24" s="66" customFormat="1" ht="12" hidden="1" customHeight="1">
      <c r="A284" s="74" t="s">
        <v>144</v>
      </c>
      <c r="B284" s="74"/>
      <c r="C284" s="74"/>
      <c r="D284" s="74"/>
      <c r="E284" s="74"/>
      <c r="F284" s="74"/>
      <c r="G284" s="74"/>
      <c r="H284" s="74"/>
      <c r="I284" s="75" t="s">
        <v>1953</v>
      </c>
      <c r="J284" s="75" t="s">
        <v>1288</v>
      </c>
      <c r="K284" s="74" t="s">
        <v>822</v>
      </c>
      <c r="L284" s="76" t="s">
        <v>20</v>
      </c>
      <c r="M284" s="57"/>
      <c r="N284" s="77">
        <v>14949</v>
      </c>
      <c r="O284" s="57">
        <f t="shared" si="11"/>
        <v>0</v>
      </c>
      <c r="P284" s="77">
        <v>170998</v>
      </c>
      <c r="Q284" s="73">
        <f t="shared" si="12"/>
        <v>0</v>
      </c>
      <c r="R284" s="57"/>
      <c r="S284" s="57"/>
      <c r="T284" s="57"/>
      <c r="U284" s="57"/>
      <c r="V284" s="73">
        <f t="shared" si="13"/>
        <v>0</v>
      </c>
      <c r="W284" s="106"/>
      <c r="X284" s="64"/>
    </row>
    <row r="285" spans="1:24" s="66" customFormat="1" ht="12" hidden="1" customHeight="1">
      <c r="A285" s="74" t="s">
        <v>145</v>
      </c>
      <c r="B285" s="74"/>
      <c r="C285" s="74"/>
      <c r="D285" s="74"/>
      <c r="E285" s="74"/>
      <c r="F285" s="74"/>
      <c r="G285" s="74"/>
      <c r="H285" s="74"/>
      <c r="I285" s="75" t="s">
        <v>1953</v>
      </c>
      <c r="J285" s="75" t="s">
        <v>1288</v>
      </c>
      <c r="K285" s="74" t="s">
        <v>823</v>
      </c>
      <c r="L285" s="76" t="s">
        <v>20</v>
      </c>
      <c r="M285" s="57"/>
      <c r="N285" s="77">
        <v>19228</v>
      </c>
      <c r="O285" s="57">
        <f t="shared" si="11"/>
        <v>0</v>
      </c>
      <c r="P285" s="77">
        <v>170998</v>
      </c>
      <c r="Q285" s="73">
        <f t="shared" si="12"/>
        <v>0</v>
      </c>
      <c r="R285" s="57"/>
      <c r="S285" s="57"/>
      <c r="T285" s="57"/>
      <c r="U285" s="57"/>
      <c r="V285" s="73">
        <f t="shared" si="13"/>
        <v>0</v>
      </c>
      <c r="W285" s="106"/>
      <c r="X285" s="64"/>
    </row>
    <row r="286" spans="1:24" s="66" customFormat="1" ht="12" hidden="1" customHeight="1">
      <c r="A286" s="74" t="s">
        <v>146</v>
      </c>
      <c r="B286" s="74"/>
      <c r="C286" s="74"/>
      <c r="D286" s="74"/>
      <c r="E286" s="74"/>
      <c r="F286" s="74"/>
      <c r="G286" s="74"/>
      <c r="H286" s="74"/>
      <c r="I286" s="75" t="s">
        <v>1953</v>
      </c>
      <c r="J286" s="75" t="s">
        <v>1288</v>
      </c>
      <c r="K286" s="74" t="s">
        <v>824</v>
      </c>
      <c r="L286" s="76" t="s">
        <v>20</v>
      </c>
      <c r="M286" s="57"/>
      <c r="N286" s="77">
        <v>21175</v>
      </c>
      <c r="O286" s="57">
        <f t="shared" si="11"/>
        <v>0</v>
      </c>
      <c r="P286" s="77">
        <v>170998</v>
      </c>
      <c r="Q286" s="73">
        <f t="shared" si="12"/>
        <v>0</v>
      </c>
      <c r="R286" s="57"/>
      <c r="S286" s="57"/>
      <c r="T286" s="57"/>
      <c r="U286" s="57"/>
      <c r="V286" s="73">
        <f t="shared" si="13"/>
        <v>0</v>
      </c>
      <c r="W286" s="106"/>
      <c r="X286" s="64"/>
    </row>
    <row r="287" spans="1:24" s="66" customFormat="1" ht="12" hidden="1" customHeight="1">
      <c r="A287" s="74" t="s">
        <v>147</v>
      </c>
      <c r="B287" s="74"/>
      <c r="C287" s="74"/>
      <c r="D287" s="74"/>
      <c r="E287" s="74"/>
      <c r="F287" s="74"/>
      <c r="G287" s="74"/>
      <c r="H287" s="74"/>
      <c r="I287" s="75" t="s">
        <v>1953</v>
      </c>
      <c r="J287" s="75" t="s">
        <v>1288</v>
      </c>
      <c r="K287" s="74" t="s">
        <v>825</v>
      </c>
      <c r="L287" s="76" t="s">
        <v>20</v>
      </c>
      <c r="M287" s="57"/>
      <c r="N287" s="77">
        <v>27225</v>
      </c>
      <c r="O287" s="57">
        <f t="shared" si="11"/>
        <v>0</v>
      </c>
      <c r="P287" s="77">
        <v>170998</v>
      </c>
      <c r="Q287" s="73">
        <f t="shared" si="12"/>
        <v>0</v>
      </c>
      <c r="R287" s="57"/>
      <c r="S287" s="57"/>
      <c r="T287" s="57"/>
      <c r="U287" s="57"/>
      <c r="V287" s="73">
        <f t="shared" si="13"/>
        <v>0</v>
      </c>
      <c r="W287" s="106"/>
      <c r="X287" s="64"/>
    </row>
    <row r="288" spans="1:24" s="66" customFormat="1" ht="12" hidden="1" customHeight="1">
      <c r="A288" s="74" t="s">
        <v>148</v>
      </c>
      <c r="B288" s="74"/>
      <c r="C288" s="74"/>
      <c r="D288" s="74"/>
      <c r="E288" s="74"/>
      <c r="F288" s="74"/>
      <c r="G288" s="74"/>
      <c r="H288" s="74"/>
      <c r="I288" s="75" t="s">
        <v>1954</v>
      </c>
      <c r="J288" s="75" t="s">
        <v>1288</v>
      </c>
      <c r="K288" s="74" t="s">
        <v>826</v>
      </c>
      <c r="L288" s="76" t="s">
        <v>20</v>
      </c>
      <c r="M288" s="57"/>
      <c r="N288" s="77">
        <v>35805</v>
      </c>
      <c r="O288" s="57">
        <f t="shared" si="11"/>
        <v>0</v>
      </c>
      <c r="P288" s="77">
        <v>246134</v>
      </c>
      <c r="Q288" s="73">
        <f t="shared" si="12"/>
        <v>0</v>
      </c>
      <c r="R288" s="57"/>
      <c r="S288" s="57"/>
      <c r="T288" s="57"/>
      <c r="U288" s="57"/>
      <c r="V288" s="73">
        <f t="shared" si="13"/>
        <v>0</v>
      </c>
      <c r="W288" s="106"/>
      <c r="X288" s="64"/>
    </row>
    <row r="289" spans="1:24" s="66" customFormat="1" ht="12" hidden="1" customHeight="1">
      <c r="A289" s="74" t="s">
        <v>149</v>
      </c>
      <c r="B289" s="74"/>
      <c r="C289" s="74"/>
      <c r="D289" s="74"/>
      <c r="E289" s="74"/>
      <c r="F289" s="74"/>
      <c r="G289" s="74"/>
      <c r="H289" s="74"/>
      <c r="I289" s="75" t="s">
        <v>1954</v>
      </c>
      <c r="J289" s="75" t="s">
        <v>1288</v>
      </c>
      <c r="K289" s="74" t="s">
        <v>827</v>
      </c>
      <c r="L289" s="76" t="s">
        <v>20</v>
      </c>
      <c r="M289" s="57"/>
      <c r="N289" s="77">
        <v>39380</v>
      </c>
      <c r="O289" s="57">
        <f t="shared" si="11"/>
        <v>0</v>
      </c>
      <c r="P289" s="77">
        <v>246134</v>
      </c>
      <c r="Q289" s="73">
        <f t="shared" si="12"/>
        <v>0</v>
      </c>
      <c r="R289" s="57"/>
      <c r="S289" s="57"/>
      <c r="T289" s="57"/>
      <c r="U289" s="57"/>
      <c r="V289" s="73">
        <f t="shared" si="13"/>
        <v>0</v>
      </c>
      <c r="W289" s="106"/>
      <c r="X289" s="64"/>
    </row>
    <row r="290" spans="1:24" s="66" customFormat="1" ht="12" hidden="1" customHeight="1">
      <c r="A290" s="74" t="s">
        <v>150</v>
      </c>
      <c r="B290" s="74"/>
      <c r="C290" s="74"/>
      <c r="D290" s="74"/>
      <c r="E290" s="74"/>
      <c r="F290" s="74"/>
      <c r="G290" s="74"/>
      <c r="H290" s="74"/>
      <c r="I290" s="75" t="s">
        <v>1954</v>
      </c>
      <c r="J290" s="75" t="s">
        <v>1288</v>
      </c>
      <c r="K290" s="74" t="s">
        <v>828</v>
      </c>
      <c r="L290" s="76" t="s">
        <v>20</v>
      </c>
      <c r="M290" s="57"/>
      <c r="N290" s="77">
        <v>49500</v>
      </c>
      <c r="O290" s="57">
        <f t="shared" si="11"/>
        <v>0</v>
      </c>
      <c r="P290" s="77">
        <v>246134</v>
      </c>
      <c r="Q290" s="73">
        <f t="shared" si="12"/>
        <v>0</v>
      </c>
      <c r="R290" s="57"/>
      <c r="S290" s="57"/>
      <c r="T290" s="57"/>
      <c r="U290" s="57"/>
      <c r="V290" s="73">
        <f t="shared" si="13"/>
        <v>0</v>
      </c>
      <c r="W290" s="106"/>
      <c r="X290" s="64"/>
    </row>
    <row r="291" spans="1:24" s="66" customFormat="1" ht="12" hidden="1" customHeight="1">
      <c r="A291" s="74" t="s">
        <v>151</v>
      </c>
      <c r="B291" s="74"/>
      <c r="C291" s="74"/>
      <c r="D291" s="74"/>
      <c r="E291" s="74"/>
      <c r="F291" s="74"/>
      <c r="G291" s="74"/>
      <c r="H291" s="74"/>
      <c r="I291" s="75" t="s">
        <v>1954</v>
      </c>
      <c r="J291" s="75" t="s">
        <v>1288</v>
      </c>
      <c r="K291" s="74" t="s">
        <v>829</v>
      </c>
      <c r="L291" s="76" t="s">
        <v>20</v>
      </c>
      <c r="M291" s="57"/>
      <c r="N291" s="77">
        <v>63720</v>
      </c>
      <c r="O291" s="57">
        <f t="shared" si="11"/>
        <v>0</v>
      </c>
      <c r="P291" s="77">
        <v>246134</v>
      </c>
      <c r="Q291" s="73">
        <f t="shared" si="12"/>
        <v>0</v>
      </c>
      <c r="R291" s="57"/>
      <c r="S291" s="57"/>
      <c r="T291" s="57"/>
      <c r="U291" s="57"/>
      <c r="V291" s="73">
        <f t="shared" si="13"/>
        <v>0</v>
      </c>
      <c r="W291" s="106"/>
      <c r="X291" s="64"/>
    </row>
    <row r="292" spans="1:24" s="66" customFormat="1" ht="12" hidden="1" customHeight="1">
      <c r="A292" s="74" t="s">
        <v>107</v>
      </c>
      <c r="B292" s="74"/>
      <c r="C292" s="74"/>
      <c r="D292" s="74"/>
      <c r="E292" s="74"/>
      <c r="F292" s="74"/>
      <c r="G292" s="74"/>
      <c r="H292" s="74"/>
      <c r="I292" s="75" t="s">
        <v>1947</v>
      </c>
      <c r="J292" s="75" t="s">
        <v>1298</v>
      </c>
      <c r="K292" s="74" t="s">
        <v>1304</v>
      </c>
      <c r="L292" s="76" t="s">
        <v>20</v>
      </c>
      <c r="M292" s="57"/>
      <c r="N292" s="77">
        <v>500</v>
      </c>
      <c r="O292" s="57">
        <f t="shared" si="11"/>
        <v>0</v>
      </c>
      <c r="P292" s="77">
        <v>51817</v>
      </c>
      <c r="Q292" s="73">
        <f t="shared" si="12"/>
        <v>0</v>
      </c>
      <c r="R292" s="57"/>
      <c r="S292" s="57"/>
      <c r="T292" s="57"/>
      <c r="U292" s="57"/>
      <c r="V292" s="73">
        <f t="shared" si="13"/>
        <v>0</v>
      </c>
      <c r="W292" s="106"/>
      <c r="X292" s="64"/>
    </row>
    <row r="293" spans="1:24" s="66" customFormat="1" ht="12" hidden="1" customHeight="1">
      <c r="A293" s="74" t="s">
        <v>108</v>
      </c>
      <c r="B293" s="74"/>
      <c r="C293" s="74"/>
      <c r="D293" s="74"/>
      <c r="E293" s="74"/>
      <c r="F293" s="74"/>
      <c r="G293" s="74"/>
      <c r="H293" s="74"/>
      <c r="I293" s="75" t="s">
        <v>1947</v>
      </c>
      <c r="J293" s="75" t="s">
        <v>1298</v>
      </c>
      <c r="K293" s="74" t="s">
        <v>1303</v>
      </c>
      <c r="L293" s="76" t="s">
        <v>20</v>
      </c>
      <c r="M293" s="57"/>
      <c r="N293" s="77">
        <v>583</v>
      </c>
      <c r="O293" s="57">
        <f t="shared" si="11"/>
        <v>0</v>
      </c>
      <c r="P293" s="77">
        <v>51817</v>
      </c>
      <c r="Q293" s="73">
        <f t="shared" si="12"/>
        <v>0</v>
      </c>
      <c r="R293" s="57"/>
      <c r="S293" s="57"/>
      <c r="T293" s="57"/>
      <c r="U293" s="57"/>
      <c r="V293" s="73">
        <f t="shared" si="13"/>
        <v>0</v>
      </c>
      <c r="W293" s="106"/>
      <c r="X293" s="64"/>
    </row>
    <row r="294" spans="1:24" s="66" customFormat="1" ht="12" hidden="1" customHeight="1">
      <c r="A294" s="74" t="s">
        <v>109</v>
      </c>
      <c r="B294" s="74"/>
      <c r="C294" s="74"/>
      <c r="D294" s="74"/>
      <c r="E294" s="74"/>
      <c r="F294" s="74"/>
      <c r="G294" s="74"/>
      <c r="H294" s="74"/>
      <c r="I294" s="75" t="s">
        <v>1947</v>
      </c>
      <c r="J294" s="75" t="s">
        <v>1298</v>
      </c>
      <c r="K294" s="74" t="s">
        <v>1302</v>
      </c>
      <c r="L294" s="76" t="s">
        <v>20</v>
      </c>
      <c r="M294" s="57"/>
      <c r="N294" s="77">
        <v>1265</v>
      </c>
      <c r="O294" s="57">
        <f t="shared" si="11"/>
        <v>0</v>
      </c>
      <c r="P294" s="77">
        <v>51817</v>
      </c>
      <c r="Q294" s="73">
        <f t="shared" si="12"/>
        <v>0</v>
      </c>
      <c r="R294" s="57"/>
      <c r="S294" s="57"/>
      <c r="T294" s="57"/>
      <c r="U294" s="57"/>
      <c r="V294" s="73">
        <f t="shared" si="13"/>
        <v>0</v>
      </c>
      <c r="W294" s="106"/>
      <c r="X294" s="64"/>
    </row>
    <row r="295" spans="1:24" s="66" customFormat="1" ht="12" hidden="1" customHeight="1">
      <c r="A295" s="74" t="s">
        <v>110</v>
      </c>
      <c r="B295" s="74"/>
      <c r="C295" s="74"/>
      <c r="D295" s="74"/>
      <c r="E295" s="74"/>
      <c r="F295" s="74"/>
      <c r="G295" s="74"/>
      <c r="H295" s="74"/>
      <c r="I295" s="75" t="s">
        <v>1947</v>
      </c>
      <c r="J295" s="75" t="s">
        <v>1298</v>
      </c>
      <c r="K295" s="74" t="s">
        <v>1301</v>
      </c>
      <c r="L295" s="76" t="s">
        <v>20</v>
      </c>
      <c r="M295" s="57"/>
      <c r="N295" s="77">
        <v>753</v>
      </c>
      <c r="O295" s="57">
        <f t="shared" si="11"/>
        <v>0</v>
      </c>
      <c r="P295" s="77">
        <v>51817</v>
      </c>
      <c r="Q295" s="73">
        <f t="shared" si="12"/>
        <v>0</v>
      </c>
      <c r="R295" s="57"/>
      <c r="S295" s="57"/>
      <c r="T295" s="57"/>
      <c r="U295" s="57"/>
      <c r="V295" s="73">
        <f t="shared" si="13"/>
        <v>0</v>
      </c>
      <c r="W295" s="106"/>
      <c r="X295" s="64"/>
    </row>
    <row r="296" spans="1:24" s="66" customFormat="1" ht="12" hidden="1" customHeight="1">
      <c r="A296" s="74" t="s">
        <v>111</v>
      </c>
      <c r="B296" s="74"/>
      <c r="C296" s="74"/>
      <c r="D296" s="74"/>
      <c r="E296" s="74"/>
      <c r="F296" s="74"/>
      <c r="G296" s="74"/>
      <c r="H296" s="74"/>
      <c r="I296" s="75" t="s">
        <v>1947</v>
      </c>
      <c r="J296" s="75" t="s">
        <v>1298</v>
      </c>
      <c r="K296" s="74" t="s">
        <v>1300</v>
      </c>
      <c r="L296" s="76" t="s">
        <v>20</v>
      </c>
      <c r="M296" s="57"/>
      <c r="N296" s="77">
        <v>811</v>
      </c>
      <c r="O296" s="57">
        <f t="shared" si="11"/>
        <v>0</v>
      </c>
      <c r="P296" s="77">
        <v>51817</v>
      </c>
      <c r="Q296" s="73">
        <f t="shared" si="12"/>
        <v>0</v>
      </c>
      <c r="R296" s="57"/>
      <c r="S296" s="57"/>
      <c r="T296" s="57"/>
      <c r="U296" s="57"/>
      <c r="V296" s="73">
        <f t="shared" si="13"/>
        <v>0</v>
      </c>
      <c r="W296" s="106"/>
      <c r="X296" s="64"/>
    </row>
    <row r="297" spans="1:24" s="66" customFormat="1" ht="12" hidden="1" customHeight="1">
      <c r="A297" s="74" t="s">
        <v>112</v>
      </c>
      <c r="B297" s="74"/>
      <c r="C297" s="74"/>
      <c r="D297" s="74"/>
      <c r="E297" s="74"/>
      <c r="F297" s="74"/>
      <c r="G297" s="74"/>
      <c r="H297" s="74"/>
      <c r="I297" s="75" t="s">
        <v>1947</v>
      </c>
      <c r="J297" s="75" t="s">
        <v>1298</v>
      </c>
      <c r="K297" s="74" t="s">
        <v>1299</v>
      </c>
      <c r="L297" s="76" t="s">
        <v>20</v>
      </c>
      <c r="M297" s="57"/>
      <c r="N297" s="77">
        <v>1424</v>
      </c>
      <c r="O297" s="57">
        <f t="shared" si="11"/>
        <v>0</v>
      </c>
      <c r="P297" s="77">
        <v>51817</v>
      </c>
      <c r="Q297" s="73">
        <f t="shared" si="12"/>
        <v>0</v>
      </c>
      <c r="R297" s="57"/>
      <c r="S297" s="57"/>
      <c r="T297" s="57"/>
      <c r="U297" s="57"/>
      <c r="V297" s="73">
        <f t="shared" si="13"/>
        <v>0</v>
      </c>
      <c r="W297" s="106"/>
      <c r="X297" s="64"/>
    </row>
    <row r="298" spans="1:24" s="66" customFormat="1" ht="12" hidden="1" customHeight="1">
      <c r="A298" s="74" t="s">
        <v>113</v>
      </c>
      <c r="B298" s="74"/>
      <c r="C298" s="74"/>
      <c r="D298" s="74"/>
      <c r="E298" s="74"/>
      <c r="F298" s="74"/>
      <c r="G298" s="74"/>
      <c r="H298" s="74"/>
      <c r="I298" s="75" t="s">
        <v>1948</v>
      </c>
      <c r="J298" s="75" t="s">
        <v>1294</v>
      </c>
      <c r="K298" s="74" t="s">
        <v>1297</v>
      </c>
      <c r="L298" s="76" t="s">
        <v>20</v>
      </c>
      <c r="M298" s="57"/>
      <c r="N298" s="77">
        <v>636</v>
      </c>
      <c r="O298" s="57">
        <f t="shared" si="11"/>
        <v>0</v>
      </c>
      <c r="P298" s="77">
        <v>31090</v>
      </c>
      <c r="Q298" s="73">
        <f t="shared" si="12"/>
        <v>0</v>
      </c>
      <c r="R298" s="57"/>
      <c r="S298" s="57"/>
      <c r="T298" s="57"/>
      <c r="U298" s="57"/>
      <c r="V298" s="73">
        <f t="shared" si="13"/>
        <v>0</v>
      </c>
      <c r="W298" s="106"/>
      <c r="X298" s="64"/>
    </row>
    <row r="299" spans="1:24" s="66" customFormat="1" ht="12" hidden="1" customHeight="1">
      <c r="A299" s="74" t="s">
        <v>114</v>
      </c>
      <c r="B299" s="74"/>
      <c r="C299" s="74"/>
      <c r="D299" s="74"/>
      <c r="E299" s="74"/>
      <c r="F299" s="74"/>
      <c r="G299" s="74"/>
      <c r="H299" s="74"/>
      <c r="I299" s="75" t="s">
        <v>1948</v>
      </c>
      <c r="J299" s="75" t="s">
        <v>1294</v>
      </c>
      <c r="K299" s="74" t="s">
        <v>1296</v>
      </c>
      <c r="L299" s="76" t="s">
        <v>20</v>
      </c>
      <c r="M299" s="57"/>
      <c r="N299" s="77">
        <v>1272</v>
      </c>
      <c r="O299" s="57">
        <f t="shared" si="11"/>
        <v>0</v>
      </c>
      <c r="P299" s="77">
        <v>31090</v>
      </c>
      <c r="Q299" s="73">
        <f t="shared" si="12"/>
        <v>0</v>
      </c>
      <c r="R299" s="57"/>
      <c r="S299" s="57"/>
      <c r="T299" s="57"/>
      <c r="U299" s="57"/>
      <c r="V299" s="73">
        <f t="shared" si="13"/>
        <v>0</v>
      </c>
      <c r="W299" s="106"/>
      <c r="X299" s="64"/>
    </row>
    <row r="300" spans="1:24" s="66" customFormat="1" ht="12" hidden="1" customHeight="1">
      <c r="A300" s="74" t="s">
        <v>115</v>
      </c>
      <c r="B300" s="74"/>
      <c r="C300" s="74"/>
      <c r="D300" s="74"/>
      <c r="E300" s="74"/>
      <c r="F300" s="74"/>
      <c r="G300" s="74"/>
      <c r="H300" s="74"/>
      <c r="I300" s="75" t="s">
        <v>1948</v>
      </c>
      <c r="J300" s="75" t="s">
        <v>1294</v>
      </c>
      <c r="K300" s="74" t="s">
        <v>1295</v>
      </c>
      <c r="L300" s="76" t="s">
        <v>20</v>
      </c>
      <c r="M300" s="57"/>
      <c r="N300" s="77">
        <v>836</v>
      </c>
      <c r="O300" s="57">
        <f t="shared" si="11"/>
        <v>0</v>
      </c>
      <c r="P300" s="77">
        <v>31090</v>
      </c>
      <c r="Q300" s="73">
        <f t="shared" si="12"/>
        <v>0</v>
      </c>
      <c r="R300" s="57"/>
      <c r="S300" s="57"/>
      <c r="T300" s="57"/>
      <c r="U300" s="57"/>
      <c r="V300" s="73">
        <f t="shared" si="13"/>
        <v>0</v>
      </c>
      <c r="W300" s="106"/>
      <c r="X300" s="64"/>
    </row>
    <row r="301" spans="1:24" s="66" customFormat="1" ht="12" hidden="1" customHeight="1">
      <c r="A301" s="74" t="s">
        <v>116</v>
      </c>
      <c r="B301" s="74"/>
      <c r="C301" s="74"/>
      <c r="D301" s="74"/>
      <c r="E301" s="74"/>
      <c r="F301" s="74"/>
      <c r="G301" s="74"/>
      <c r="H301" s="74"/>
      <c r="I301" s="75" t="s">
        <v>1948</v>
      </c>
      <c r="J301" s="75" t="s">
        <v>1294</v>
      </c>
      <c r="K301" s="74" t="s">
        <v>1293</v>
      </c>
      <c r="L301" s="76" t="s">
        <v>20</v>
      </c>
      <c r="M301" s="57"/>
      <c r="N301" s="77">
        <v>1383</v>
      </c>
      <c r="O301" s="57">
        <f t="shared" ref="O301:O364" si="14">M301*N301*$O$3</f>
        <v>0</v>
      </c>
      <c r="P301" s="77">
        <v>31090</v>
      </c>
      <c r="Q301" s="73">
        <f t="shared" si="12"/>
        <v>0</v>
      </c>
      <c r="R301" s="57"/>
      <c r="S301" s="57"/>
      <c r="T301" s="57"/>
      <c r="U301" s="57"/>
      <c r="V301" s="73">
        <f t="shared" si="13"/>
        <v>0</v>
      </c>
      <c r="W301" s="106"/>
      <c r="X301" s="64"/>
    </row>
    <row r="302" spans="1:24" s="66" customFormat="1" ht="12" hidden="1" customHeight="1">
      <c r="A302" s="74" t="s">
        <v>117</v>
      </c>
      <c r="B302" s="74"/>
      <c r="C302" s="74"/>
      <c r="D302" s="74"/>
      <c r="E302" s="74"/>
      <c r="F302" s="74"/>
      <c r="G302" s="74"/>
      <c r="H302" s="74"/>
      <c r="I302" s="75" t="s">
        <v>1949</v>
      </c>
      <c r="J302" s="75" t="s">
        <v>1292</v>
      </c>
      <c r="K302" s="74" t="s">
        <v>1291</v>
      </c>
      <c r="L302" s="76" t="s">
        <v>20</v>
      </c>
      <c r="M302" s="57"/>
      <c r="N302" s="77">
        <v>627</v>
      </c>
      <c r="O302" s="57">
        <f t="shared" si="14"/>
        <v>0</v>
      </c>
      <c r="P302" s="77">
        <v>51817</v>
      </c>
      <c r="Q302" s="73">
        <f t="shared" si="12"/>
        <v>0</v>
      </c>
      <c r="R302" s="57"/>
      <c r="S302" s="57"/>
      <c r="T302" s="57"/>
      <c r="U302" s="57"/>
      <c r="V302" s="73">
        <f t="shared" si="13"/>
        <v>0</v>
      </c>
      <c r="W302" s="106"/>
      <c r="X302" s="64"/>
    </row>
    <row r="303" spans="1:24" s="66" customFormat="1" ht="12" hidden="1" customHeight="1">
      <c r="A303" s="74" t="s">
        <v>118</v>
      </c>
      <c r="B303" s="74"/>
      <c r="C303" s="74"/>
      <c r="D303" s="74"/>
      <c r="E303" s="74"/>
      <c r="F303" s="74"/>
      <c r="G303" s="74"/>
      <c r="H303" s="74"/>
      <c r="I303" s="75" t="s">
        <v>1949</v>
      </c>
      <c r="J303" s="75" t="s">
        <v>1292</v>
      </c>
      <c r="K303" s="74" t="s">
        <v>1290</v>
      </c>
      <c r="L303" s="76" t="s">
        <v>20</v>
      </c>
      <c r="M303" s="57"/>
      <c r="N303" s="77">
        <v>704</v>
      </c>
      <c r="O303" s="57">
        <f t="shared" si="14"/>
        <v>0</v>
      </c>
      <c r="P303" s="77">
        <v>51817</v>
      </c>
      <c r="Q303" s="73">
        <f t="shared" si="12"/>
        <v>0</v>
      </c>
      <c r="R303" s="57"/>
      <c r="S303" s="57"/>
      <c r="T303" s="57"/>
      <c r="U303" s="57"/>
      <c r="V303" s="73">
        <f t="shared" si="13"/>
        <v>0</v>
      </c>
      <c r="W303" s="106"/>
      <c r="X303" s="64"/>
    </row>
    <row r="304" spans="1:24" s="66" customFormat="1" ht="12" hidden="1" customHeight="1">
      <c r="A304" s="74" t="s">
        <v>119</v>
      </c>
      <c r="B304" s="74"/>
      <c r="C304" s="74"/>
      <c r="D304" s="74"/>
      <c r="E304" s="74"/>
      <c r="F304" s="74"/>
      <c r="G304" s="74"/>
      <c r="H304" s="74"/>
      <c r="I304" s="75" t="s">
        <v>1949</v>
      </c>
      <c r="J304" s="75" t="s">
        <v>1292</v>
      </c>
      <c r="K304" s="74" t="s">
        <v>1289</v>
      </c>
      <c r="L304" s="76" t="s">
        <v>20</v>
      </c>
      <c r="M304" s="57"/>
      <c r="N304" s="77">
        <v>1375</v>
      </c>
      <c r="O304" s="57">
        <f t="shared" si="14"/>
        <v>0</v>
      </c>
      <c r="P304" s="77">
        <v>51817</v>
      </c>
      <c r="Q304" s="73">
        <f t="shared" si="12"/>
        <v>0</v>
      </c>
      <c r="R304" s="57"/>
      <c r="S304" s="57"/>
      <c r="T304" s="57"/>
      <c r="U304" s="57"/>
      <c r="V304" s="73">
        <f t="shared" si="13"/>
        <v>0</v>
      </c>
      <c r="W304" s="106"/>
      <c r="X304" s="64"/>
    </row>
    <row r="305" spans="1:24" s="66" customFormat="1" ht="12" hidden="1" customHeight="1">
      <c r="A305" s="74" t="s">
        <v>120</v>
      </c>
      <c r="B305" s="74"/>
      <c r="C305" s="74"/>
      <c r="D305" s="74"/>
      <c r="E305" s="74"/>
      <c r="F305" s="74"/>
      <c r="G305" s="74"/>
      <c r="H305" s="74"/>
      <c r="I305" s="75" t="s">
        <v>1950</v>
      </c>
      <c r="J305" s="75" t="s">
        <v>1352</v>
      </c>
      <c r="K305" s="74" t="s">
        <v>1358</v>
      </c>
      <c r="L305" s="76" t="s">
        <v>20</v>
      </c>
      <c r="M305" s="57"/>
      <c r="N305" s="77">
        <v>2830</v>
      </c>
      <c r="O305" s="57">
        <f t="shared" si="14"/>
        <v>0</v>
      </c>
      <c r="P305" s="77">
        <v>75135</v>
      </c>
      <c r="Q305" s="73">
        <f t="shared" si="12"/>
        <v>0</v>
      </c>
      <c r="R305" s="57"/>
      <c r="S305" s="57"/>
      <c r="T305" s="57"/>
      <c r="U305" s="57"/>
      <c r="V305" s="73">
        <f t="shared" si="13"/>
        <v>0</v>
      </c>
      <c r="W305" s="106"/>
      <c r="X305" s="64"/>
    </row>
    <row r="306" spans="1:24" s="66" customFormat="1" ht="12" hidden="1" customHeight="1">
      <c r="A306" s="74" t="s">
        <v>121</v>
      </c>
      <c r="B306" s="74"/>
      <c r="C306" s="74"/>
      <c r="D306" s="74"/>
      <c r="E306" s="74"/>
      <c r="F306" s="74"/>
      <c r="G306" s="74"/>
      <c r="H306" s="74"/>
      <c r="I306" s="75" t="s">
        <v>1950</v>
      </c>
      <c r="J306" s="75" t="s">
        <v>1352</v>
      </c>
      <c r="K306" s="74" t="s">
        <v>1356</v>
      </c>
      <c r="L306" s="76" t="s">
        <v>20</v>
      </c>
      <c r="M306" s="57"/>
      <c r="N306" s="77">
        <v>3080</v>
      </c>
      <c r="O306" s="57">
        <f t="shared" si="14"/>
        <v>0</v>
      </c>
      <c r="P306" s="77">
        <v>75135</v>
      </c>
      <c r="Q306" s="73">
        <f t="shared" si="12"/>
        <v>0</v>
      </c>
      <c r="R306" s="57"/>
      <c r="S306" s="57"/>
      <c r="T306" s="57"/>
      <c r="U306" s="57"/>
      <c r="V306" s="73">
        <f t="shared" si="13"/>
        <v>0</v>
      </c>
      <c r="W306" s="106"/>
      <c r="X306" s="64"/>
    </row>
    <row r="307" spans="1:24" s="66" customFormat="1" ht="12" hidden="1" customHeight="1">
      <c r="A307" s="74" t="s">
        <v>122</v>
      </c>
      <c r="B307" s="74"/>
      <c r="C307" s="74"/>
      <c r="D307" s="74"/>
      <c r="E307" s="74"/>
      <c r="F307" s="74"/>
      <c r="G307" s="74"/>
      <c r="H307" s="74"/>
      <c r="I307" s="75" t="s">
        <v>1950</v>
      </c>
      <c r="J307" s="75" t="s">
        <v>1352</v>
      </c>
      <c r="K307" s="74" t="s">
        <v>1354</v>
      </c>
      <c r="L307" s="76" t="s">
        <v>20</v>
      </c>
      <c r="M307" s="57"/>
      <c r="N307" s="77">
        <v>4960</v>
      </c>
      <c r="O307" s="57">
        <f t="shared" si="14"/>
        <v>0</v>
      </c>
      <c r="P307" s="77">
        <v>75135</v>
      </c>
      <c r="Q307" s="73">
        <f t="shared" si="12"/>
        <v>0</v>
      </c>
      <c r="R307" s="57"/>
      <c r="S307" s="57"/>
      <c r="T307" s="57"/>
      <c r="U307" s="57"/>
      <c r="V307" s="73">
        <f t="shared" si="13"/>
        <v>0</v>
      </c>
      <c r="W307" s="106"/>
      <c r="X307" s="64"/>
    </row>
    <row r="308" spans="1:24" s="66" customFormat="1" ht="12" hidden="1" customHeight="1">
      <c r="A308" s="74" t="s">
        <v>123</v>
      </c>
      <c r="B308" s="74"/>
      <c r="C308" s="74"/>
      <c r="D308" s="74"/>
      <c r="E308" s="74"/>
      <c r="F308" s="74"/>
      <c r="G308" s="74"/>
      <c r="H308" s="74"/>
      <c r="I308" s="75" t="s">
        <v>1950</v>
      </c>
      <c r="J308" s="75" t="s">
        <v>1352</v>
      </c>
      <c r="K308" s="74" t="s">
        <v>1357</v>
      </c>
      <c r="L308" s="76" t="s">
        <v>20</v>
      </c>
      <c r="M308" s="57"/>
      <c r="N308" s="77">
        <v>3000</v>
      </c>
      <c r="O308" s="57">
        <f t="shared" si="14"/>
        <v>0</v>
      </c>
      <c r="P308" s="77">
        <v>75135</v>
      </c>
      <c r="Q308" s="73">
        <f t="shared" si="12"/>
        <v>0</v>
      </c>
      <c r="R308" s="57"/>
      <c r="S308" s="57"/>
      <c r="T308" s="57"/>
      <c r="U308" s="57"/>
      <c r="V308" s="73">
        <f t="shared" si="13"/>
        <v>0</v>
      </c>
      <c r="W308" s="106"/>
      <c r="X308" s="64"/>
    </row>
    <row r="309" spans="1:24" s="66" customFormat="1" ht="12" hidden="1" customHeight="1">
      <c r="A309" s="74" t="s">
        <v>124</v>
      </c>
      <c r="B309" s="74"/>
      <c r="C309" s="74"/>
      <c r="D309" s="74"/>
      <c r="E309" s="74"/>
      <c r="F309" s="74"/>
      <c r="G309" s="74"/>
      <c r="H309" s="74"/>
      <c r="I309" s="75" t="s">
        <v>1950</v>
      </c>
      <c r="J309" s="75" t="s">
        <v>1352</v>
      </c>
      <c r="K309" s="74" t="s">
        <v>1355</v>
      </c>
      <c r="L309" s="76" t="s">
        <v>20</v>
      </c>
      <c r="M309" s="57"/>
      <c r="N309" s="77">
        <v>3420</v>
      </c>
      <c r="O309" s="57">
        <f t="shared" si="14"/>
        <v>0</v>
      </c>
      <c r="P309" s="77">
        <v>75135</v>
      </c>
      <c r="Q309" s="73">
        <f t="shared" si="12"/>
        <v>0</v>
      </c>
      <c r="R309" s="57"/>
      <c r="S309" s="57"/>
      <c r="T309" s="57"/>
      <c r="U309" s="57"/>
      <c r="V309" s="73">
        <f t="shared" si="13"/>
        <v>0</v>
      </c>
      <c r="W309" s="106"/>
      <c r="X309" s="64"/>
    </row>
    <row r="310" spans="1:24" s="66" customFormat="1" ht="12" hidden="1" customHeight="1">
      <c r="A310" s="74" t="s">
        <v>125</v>
      </c>
      <c r="B310" s="74"/>
      <c r="C310" s="74"/>
      <c r="D310" s="74"/>
      <c r="E310" s="74"/>
      <c r="F310" s="74"/>
      <c r="G310" s="74"/>
      <c r="H310" s="74"/>
      <c r="I310" s="75" t="s">
        <v>1950</v>
      </c>
      <c r="J310" s="75" t="s">
        <v>1352</v>
      </c>
      <c r="K310" s="74" t="s">
        <v>1353</v>
      </c>
      <c r="L310" s="76" t="s">
        <v>20</v>
      </c>
      <c r="M310" s="57"/>
      <c r="N310" s="77">
        <v>5650</v>
      </c>
      <c r="O310" s="57">
        <f t="shared" si="14"/>
        <v>0</v>
      </c>
      <c r="P310" s="77">
        <v>75135</v>
      </c>
      <c r="Q310" s="73">
        <f t="shared" si="12"/>
        <v>0</v>
      </c>
      <c r="R310" s="57"/>
      <c r="S310" s="57"/>
      <c r="T310" s="57"/>
      <c r="U310" s="57"/>
      <c r="V310" s="73">
        <f t="shared" si="13"/>
        <v>0</v>
      </c>
      <c r="W310" s="106"/>
      <c r="X310" s="64"/>
    </row>
    <row r="311" spans="1:24" s="66" customFormat="1" ht="12" hidden="1" customHeight="1">
      <c r="A311" s="74" t="s">
        <v>126</v>
      </c>
      <c r="B311" s="74"/>
      <c r="C311" s="74"/>
      <c r="D311" s="74"/>
      <c r="E311" s="74"/>
      <c r="F311" s="74"/>
      <c r="G311" s="74"/>
      <c r="H311" s="74"/>
      <c r="I311" s="75" t="s">
        <v>1950</v>
      </c>
      <c r="J311" s="75" t="s">
        <v>1351</v>
      </c>
      <c r="K311" s="74" t="s">
        <v>1358</v>
      </c>
      <c r="L311" s="76" t="s">
        <v>20</v>
      </c>
      <c r="M311" s="57"/>
      <c r="N311" s="77">
        <v>3600</v>
      </c>
      <c r="O311" s="57">
        <f t="shared" si="14"/>
        <v>0</v>
      </c>
      <c r="P311" s="77">
        <v>75135</v>
      </c>
      <c r="Q311" s="73">
        <f t="shared" si="12"/>
        <v>0</v>
      </c>
      <c r="R311" s="57"/>
      <c r="S311" s="57"/>
      <c r="T311" s="57"/>
      <c r="U311" s="57"/>
      <c r="V311" s="73">
        <f t="shared" si="13"/>
        <v>0</v>
      </c>
      <c r="W311" s="106"/>
      <c r="X311" s="64"/>
    </row>
    <row r="312" spans="1:24" s="66" customFormat="1" ht="12" hidden="1" customHeight="1">
      <c r="A312" s="74" t="s">
        <v>127</v>
      </c>
      <c r="B312" s="74"/>
      <c r="C312" s="74"/>
      <c r="D312" s="74"/>
      <c r="E312" s="74"/>
      <c r="F312" s="74"/>
      <c r="G312" s="74"/>
      <c r="H312" s="74"/>
      <c r="I312" s="75" t="s">
        <v>1950</v>
      </c>
      <c r="J312" s="75" t="s">
        <v>1351</v>
      </c>
      <c r="K312" s="74" t="s">
        <v>1356</v>
      </c>
      <c r="L312" s="76" t="s">
        <v>20</v>
      </c>
      <c r="M312" s="57"/>
      <c r="N312" s="77">
        <v>3850</v>
      </c>
      <c r="O312" s="57">
        <f t="shared" si="14"/>
        <v>0</v>
      </c>
      <c r="P312" s="77">
        <v>75135</v>
      </c>
      <c r="Q312" s="73">
        <f t="shared" si="12"/>
        <v>0</v>
      </c>
      <c r="R312" s="57"/>
      <c r="S312" s="57"/>
      <c r="T312" s="57"/>
      <c r="U312" s="57"/>
      <c r="V312" s="73">
        <f t="shared" si="13"/>
        <v>0</v>
      </c>
      <c r="W312" s="106"/>
      <c r="X312" s="64"/>
    </row>
    <row r="313" spans="1:24" s="66" customFormat="1" ht="12" hidden="1" customHeight="1">
      <c r="A313" s="74" t="s">
        <v>128</v>
      </c>
      <c r="B313" s="74"/>
      <c r="C313" s="74"/>
      <c r="D313" s="74"/>
      <c r="E313" s="74"/>
      <c r="F313" s="74"/>
      <c r="G313" s="74"/>
      <c r="H313" s="74"/>
      <c r="I313" s="75" t="s">
        <v>1950</v>
      </c>
      <c r="J313" s="75" t="s">
        <v>1351</v>
      </c>
      <c r="K313" s="74" t="s">
        <v>1357</v>
      </c>
      <c r="L313" s="76" t="s">
        <v>20</v>
      </c>
      <c r="M313" s="57"/>
      <c r="N313" s="77">
        <v>3850</v>
      </c>
      <c r="O313" s="57">
        <f t="shared" si="14"/>
        <v>0</v>
      </c>
      <c r="P313" s="77">
        <v>75135</v>
      </c>
      <c r="Q313" s="73">
        <f t="shared" si="12"/>
        <v>0</v>
      </c>
      <c r="R313" s="57"/>
      <c r="S313" s="57"/>
      <c r="T313" s="57"/>
      <c r="U313" s="57"/>
      <c r="V313" s="73">
        <f t="shared" si="13"/>
        <v>0</v>
      </c>
      <c r="W313" s="106"/>
      <c r="X313" s="64"/>
    </row>
    <row r="314" spans="1:24" s="66" customFormat="1" ht="12" hidden="1" customHeight="1">
      <c r="A314" s="74" t="s">
        <v>129</v>
      </c>
      <c r="B314" s="74"/>
      <c r="C314" s="74"/>
      <c r="D314" s="74"/>
      <c r="E314" s="74"/>
      <c r="F314" s="74"/>
      <c r="G314" s="74"/>
      <c r="H314" s="74"/>
      <c r="I314" s="75" t="s">
        <v>1950</v>
      </c>
      <c r="J314" s="75" t="s">
        <v>1351</v>
      </c>
      <c r="K314" s="74" t="s">
        <v>1355</v>
      </c>
      <c r="L314" s="76" t="s">
        <v>20</v>
      </c>
      <c r="M314" s="57"/>
      <c r="N314" s="77">
        <v>4280</v>
      </c>
      <c r="O314" s="57">
        <f t="shared" si="14"/>
        <v>0</v>
      </c>
      <c r="P314" s="77">
        <v>75135</v>
      </c>
      <c r="Q314" s="73">
        <f t="shared" si="12"/>
        <v>0</v>
      </c>
      <c r="R314" s="57"/>
      <c r="S314" s="57"/>
      <c r="T314" s="57"/>
      <c r="U314" s="57"/>
      <c r="V314" s="73">
        <f t="shared" si="13"/>
        <v>0</v>
      </c>
      <c r="W314" s="106"/>
      <c r="X314" s="64"/>
    </row>
    <row r="315" spans="1:24" s="66" customFormat="1" ht="12" hidden="1" customHeight="1">
      <c r="A315" s="74" t="s">
        <v>1714</v>
      </c>
      <c r="B315" s="74"/>
      <c r="C315" s="74"/>
      <c r="D315" s="74"/>
      <c r="E315" s="74"/>
      <c r="F315" s="74"/>
      <c r="G315" s="74"/>
      <c r="H315" s="74"/>
      <c r="I315" s="75" t="s">
        <v>1955</v>
      </c>
      <c r="J315" s="75" t="s">
        <v>1624</v>
      </c>
      <c r="K315" s="74" t="s">
        <v>1625</v>
      </c>
      <c r="L315" s="76" t="s">
        <v>20</v>
      </c>
      <c r="M315" s="57"/>
      <c r="N315" s="58"/>
      <c r="O315" s="57">
        <f t="shared" si="14"/>
        <v>0</v>
      </c>
      <c r="P315" s="77">
        <v>163226</v>
      </c>
      <c r="Q315" s="73">
        <f t="shared" si="12"/>
        <v>0</v>
      </c>
      <c r="R315" s="57"/>
      <c r="S315" s="57"/>
      <c r="T315" s="57"/>
      <c r="U315" s="57"/>
      <c r="V315" s="73">
        <f t="shared" si="13"/>
        <v>0</v>
      </c>
      <c r="W315" s="106"/>
      <c r="X315" s="64"/>
    </row>
    <row r="316" spans="1:24" s="66" customFormat="1" ht="12" hidden="1" customHeight="1">
      <c r="A316" s="74" t="s">
        <v>1715</v>
      </c>
      <c r="B316" s="74"/>
      <c r="C316" s="74"/>
      <c r="D316" s="74"/>
      <c r="E316" s="74"/>
      <c r="F316" s="74"/>
      <c r="G316" s="74"/>
      <c r="H316" s="74"/>
      <c r="I316" s="75" t="s">
        <v>1956</v>
      </c>
      <c r="J316" s="75" t="s">
        <v>1626</v>
      </c>
      <c r="K316" s="74" t="s">
        <v>1627</v>
      </c>
      <c r="L316" s="76" t="s">
        <v>20</v>
      </c>
      <c r="M316" s="57"/>
      <c r="N316" s="58"/>
      <c r="O316" s="57">
        <f t="shared" si="14"/>
        <v>0</v>
      </c>
      <c r="P316" s="77">
        <v>64772</v>
      </c>
      <c r="Q316" s="73">
        <f t="shared" si="12"/>
        <v>0</v>
      </c>
      <c r="R316" s="57"/>
      <c r="S316" s="57"/>
      <c r="T316" s="57"/>
      <c r="U316" s="57"/>
      <c r="V316" s="73">
        <f t="shared" si="13"/>
        <v>0</v>
      </c>
      <c r="W316" s="106"/>
      <c r="X316" s="64"/>
    </row>
    <row r="317" spans="1:24" s="66" customFormat="1" ht="12" hidden="1" customHeight="1">
      <c r="A317" s="74" t="s">
        <v>534</v>
      </c>
      <c r="B317" s="74"/>
      <c r="C317" s="74"/>
      <c r="D317" s="74"/>
      <c r="E317" s="74"/>
      <c r="F317" s="74"/>
      <c r="G317" s="74"/>
      <c r="H317" s="74"/>
      <c r="I317" s="75" t="s">
        <v>2035</v>
      </c>
      <c r="J317" s="75" t="s">
        <v>1096</v>
      </c>
      <c r="K317" s="74" t="s">
        <v>1099</v>
      </c>
      <c r="L317" s="76" t="s">
        <v>20</v>
      </c>
      <c r="M317" s="57"/>
      <c r="N317" s="77">
        <v>4730</v>
      </c>
      <c r="O317" s="57">
        <f t="shared" si="14"/>
        <v>0</v>
      </c>
      <c r="P317" s="77">
        <v>22022</v>
      </c>
      <c r="Q317" s="73">
        <f t="shared" si="12"/>
        <v>0</v>
      </c>
      <c r="R317" s="57"/>
      <c r="S317" s="57"/>
      <c r="T317" s="57"/>
      <c r="U317" s="57"/>
      <c r="V317" s="73">
        <f t="shared" si="13"/>
        <v>0</v>
      </c>
      <c r="W317" s="106"/>
      <c r="X317" s="64"/>
    </row>
    <row r="318" spans="1:24" s="66" customFormat="1" ht="12" hidden="1" customHeight="1">
      <c r="A318" s="74" t="s">
        <v>535</v>
      </c>
      <c r="B318" s="74"/>
      <c r="C318" s="74"/>
      <c r="D318" s="74"/>
      <c r="E318" s="74"/>
      <c r="F318" s="74"/>
      <c r="G318" s="74"/>
      <c r="H318" s="74"/>
      <c r="I318" s="75" t="s">
        <v>2035</v>
      </c>
      <c r="J318" s="75" t="s">
        <v>1095</v>
      </c>
      <c r="K318" s="74" t="s">
        <v>1099</v>
      </c>
      <c r="L318" s="76" t="s">
        <v>20</v>
      </c>
      <c r="M318" s="57"/>
      <c r="N318" s="77">
        <v>5710</v>
      </c>
      <c r="O318" s="57">
        <f t="shared" si="14"/>
        <v>0</v>
      </c>
      <c r="P318" s="77">
        <v>22022</v>
      </c>
      <c r="Q318" s="73">
        <f t="shared" si="12"/>
        <v>0</v>
      </c>
      <c r="R318" s="57"/>
      <c r="S318" s="57"/>
      <c r="T318" s="57"/>
      <c r="U318" s="57"/>
      <c r="V318" s="73">
        <f t="shared" si="13"/>
        <v>0</v>
      </c>
      <c r="W318" s="106"/>
      <c r="X318" s="64"/>
    </row>
    <row r="319" spans="1:24" s="66" customFormat="1" ht="12" hidden="1" customHeight="1">
      <c r="A319" s="74" t="s">
        <v>536</v>
      </c>
      <c r="B319" s="74"/>
      <c r="C319" s="74"/>
      <c r="D319" s="74"/>
      <c r="E319" s="74"/>
      <c r="F319" s="74"/>
      <c r="G319" s="74"/>
      <c r="H319" s="74"/>
      <c r="I319" s="75" t="s">
        <v>2035</v>
      </c>
      <c r="J319" s="75" t="s">
        <v>1094</v>
      </c>
      <c r="K319" s="74" t="s">
        <v>1099</v>
      </c>
      <c r="L319" s="76" t="s">
        <v>20</v>
      </c>
      <c r="M319" s="57"/>
      <c r="N319" s="77">
        <v>6640</v>
      </c>
      <c r="O319" s="57">
        <f t="shared" si="14"/>
        <v>0</v>
      </c>
      <c r="P319" s="77">
        <v>22022</v>
      </c>
      <c r="Q319" s="73">
        <f t="shared" si="12"/>
        <v>0</v>
      </c>
      <c r="R319" s="57"/>
      <c r="S319" s="57"/>
      <c r="T319" s="57"/>
      <c r="U319" s="57"/>
      <c r="V319" s="73">
        <f t="shared" si="13"/>
        <v>0</v>
      </c>
      <c r="W319" s="106"/>
      <c r="X319" s="64"/>
    </row>
    <row r="320" spans="1:24" s="66" customFormat="1" ht="12" hidden="1" customHeight="1">
      <c r="A320" s="74" t="s">
        <v>537</v>
      </c>
      <c r="B320" s="74"/>
      <c r="C320" s="74"/>
      <c r="D320" s="74"/>
      <c r="E320" s="74"/>
      <c r="F320" s="74"/>
      <c r="G320" s="74"/>
      <c r="H320" s="74"/>
      <c r="I320" s="75" t="s">
        <v>2035</v>
      </c>
      <c r="J320" s="75" t="s">
        <v>1093</v>
      </c>
      <c r="K320" s="74" t="s">
        <v>1099</v>
      </c>
      <c r="L320" s="76" t="s">
        <v>20</v>
      </c>
      <c r="M320" s="57"/>
      <c r="N320" s="77">
        <v>7570</v>
      </c>
      <c r="O320" s="57">
        <f t="shared" si="14"/>
        <v>0</v>
      </c>
      <c r="P320" s="77">
        <v>22022</v>
      </c>
      <c r="Q320" s="73">
        <f t="shared" si="12"/>
        <v>0</v>
      </c>
      <c r="R320" s="57"/>
      <c r="S320" s="57"/>
      <c r="T320" s="57"/>
      <c r="U320" s="57"/>
      <c r="V320" s="73">
        <f t="shared" si="13"/>
        <v>0</v>
      </c>
      <c r="W320" s="106"/>
      <c r="X320" s="64"/>
    </row>
    <row r="321" spans="1:24" s="66" customFormat="1" ht="12" hidden="1" customHeight="1">
      <c r="A321" s="74" t="s">
        <v>538</v>
      </c>
      <c r="B321" s="74"/>
      <c r="C321" s="74"/>
      <c r="D321" s="74"/>
      <c r="E321" s="74"/>
      <c r="F321" s="74"/>
      <c r="G321" s="74"/>
      <c r="H321" s="74"/>
      <c r="I321" s="75" t="s">
        <v>2035</v>
      </c>
      <c r="J321" s="75" t="s">
        <v>1092</v>
      </c>
      <c r="K321" s="74" t="s">
        <v>1099</v>
      </c>
      <c r="L321" s="76" t="s">
        <v>20</v>
      </c>
      <c r="M321" s="57"/>
      <c r="N321" s="77">
        <v>2420</v>
      </c>
      <c r="O321" s="57">
        <f t="shared" si="14"/>
        <v>0</v>
      </c>
      <c r="P321" s="77">
        <v>22022</v>
      </c>
      <c r="Q321" s="73">
        <f t="shared" si="12"/>
        <v>0</v>
      </c>
      <c r="R321" s="57"/>
      <c r="S321" s="57"/>
      <c r="T321" s="57"/>
      <c r="U321" s="57"/>
      <c r="V321" s="73">
        <f t="shared" si="13"/>
        <v>0</v>
      </c>
      <c r="W321" s="106"/>
      <c r="X321" s="64"/>
    </row>
    <row r="322" spans="1:24" s="66" customFormat="1" ht="12" hidden="1" customHeight="1">
      <c r="A322" s="74" t="s">
        <v>539</v>
      </c>
      <c r="B322" s="74"/>
      <c r="C322" s="74"/>
      <c r="D322" s="74"/>
      <c r="E322" s="74"/>
      <c r="F322" s="74"/>
      <c r="G322" s="74"/>
      <c r="H322" s="74"/>
      <c r="I322" s="75" t="s">
        <v>2035</v>
      </c>
      <c r="J322" s="75" t="s">
        <v>1091</v>
      </c>
      <c r="K322" s="74" t="s">
        <v>1099</v>
      </c>
      <c r="L322" s="76" t="s">
        <v>20</v>
      </c>
      <c r="M322" s="57"/>
      <c r="N322" s="77">
        <v>4990</v>
      </c>
      <c r="O322" s="57">
        <f t="shared" si="14"/>
        <v>0</v>
      </c>
      <c r="P322" s="77">
        <v>22022</v>
      </c>
      <c r="Q322" s="73">
        <f t="shared" si="12"/>
        <v>0</v>
      </c>
      <c r="R322" s="57"/>
      <c r="S322" s="57"/>
      <c r="T322" s="57"/>
      <c r="U322" s="57"/>
      <c r="V322" s="73">
        <f t="shared" si="13"/>
        <v>0</v>
      </c>
      <c r="W322" s="106"/>
      <c r="X322" s="64"/>
    </row>
    <row r="323" spans="1:24" s="66" customFormat="1" ht="12" hidden="1" customHeight="1">
      <c r="A323" s="74" t="s">
        <v>540</v>
      </c>
      <c r="B323" s="74"/>
      <c r="C323" s="74"/>
      <c r="D323" s="74"/>
      <c r="E323" s="74"/>
      <c r="F323" s="74"/>
      <c r="G323" s="74"/>
      <c r="H323" s="74"/>
      <c r="I323" s="75" t="s">
        <v>2035</v>
      </c>
      <c r="J323" s="75" t="s">
        <v>1090</v>
      </c>
      <c r="K323" s="74" t="s">
        <v>1099</v>
      </c>
      <c r="L323" s="76" t="s">
        <v>20</v>
      </c>
      <c r="M323" s="57"/>
      <c r="N323" s="77">
        <v>6240</v>
      </c>
      <c r="O323" s="57">
        <f t="shared" si="14"/>
        <v>0</v>
      </c>
      <c r="P323" s="77">
        <v>22022</v>
      </c>
      <c r="Q323" s="73">
        <f t="shared" si="12"/>
        <v>0</v>
      </c>
      <c r="R323" s="57"/>
      <c r="S323" s="57"/>
      <c r="T323" s="57"/>
      <c r="U323" s="57"/>
      <c r="V323" s="73">
        <f t="shared" si="13"/>
        <v>0</v>
      </c>
      <c r="W323" s="106"/>
      <c r="X323" s="64"/>
    </row>
    <row r="324" spans="1:24" s="66" customFormat="1" ht="12" hidden="1" customHeight="1">
      <c r="A324" s="74" t="s">
        <v>541</v>
      </c>
      <c r="B324" s="74"/>
      <c r="C324" s="74"/>
      <c r="D324" s="74"/>
      <c r="E324" s="74"/>
      <c r="F324" s="74"/>
      <c r="G324" s="74"/>
      <c r="H324" s="74"/>
      <c r="I324" s="75" t="s">
        <v>2035</v>
      </c>
      <c r="J324" s="75" t="s">
        <v>1089</v>
      </c>
      <c r="K324" s="74" t="s">
        <v>1099</v>
      </c>
      <c r="L324" s="76" t="s">
        <v>20</v>
      </c>
      <c r="M324" s="57"/>
      <c r="N324" s="77">
        <v>7490</v>
      </c>
      <c r="O324" s="57">
        <f t="shared" si="14"/>
        <v>0</v>
      </c>
      <c r="P324" s="77">
        <v>22022</v>
      </c>
      <c r="Q324" s="73">
        <f t="shared" si="12"/>
        <v>0</v>
      </c>
      <c r="R324" s="57"/>
      <c r="S324" s="57"/>
      <c r="T324" s="57"/>
      <c r="U324" s="57"/>
      <c r="V324" s="73">
        <f t="shared" si="13"/>
        <v>0</v>
      </c>
      <c r="W324" s="106"/>
      <c r="X324" s="64"/>
    </row>
    <row r="325" spans="1:24" s="66" customFormat="1" ht="12" hidden="1" customHeight="1">
      <c r="A325" s="74" t="s">
        <v>542</v>
      </c>
      <c r="B325" s="74"/>
      <c r="C325" s="74"/>
      <c r="D325" s="74"/>
      <c r="E325" s="74"/>
      <c r="F325" s="74"/>
      <c r="G325" s="74"/>
      <c r="H325" s="74"/>
      <c r="I325" s="75" t="s">
        <v>2035</v>
      </c>
      <c r="J325" s="75" t="s">
        <v>1088</v>
      </c>
      <c r="K325" s="74" t="s">
        <v>1099</v>
      </c>
      <c r="L325" s="76" t="s">
        <v>20</v>
      </c>
      <c r="M325" s="57"/>
      <c r="N325" s="77">
        <v>8860</v>
      </c>
      <c r="O325" s="57">
        <f t="shared" si="14"/>
        <v>0</v>
      </c>
      <c r="P325" s="77">
        <v>22022</v>
      </c>
      <c r="Q325" s="73">
        <f t="shared" si="12"/>
        <v>0</v>
      </c>
      <c r="R325" s="57"/>
      <c r="S325" s="57"/>
      <c r="T325" s="57"/>
      <c r="U325" s="57"/>
      <c r="V325" s="73">
        <f t="shared" si="13"/>
        <v>0</v>
      </c>
      <c r="W325" s="106"/>
      <c r="X325" s="64"/>
    </row>
    <row r="326" spans="1:24" s="66" customFormat="1" ht="12" hidden="1" customHeight="1">
      <c r="A326" s="74" t="s">
        <v>543</v>
      </c>
      <c r="B326" s="74"/>
      <c r="C326" s="74"/>
      <c r="D326" s="74"/>
      <c r="E326" s="74"/>
      <c r="F326" s="74"/>
      <c r="G326" s="74"/>
      <c r="H326" s="74"/>
      <c r="I326" s="75" t="s">
        <v>2035</v>
      </c>
      <c r="J326" s="75" t="s">
        <v>1087</v>
      </c>
      <c r="K326" s="74" t="s">
        <v>1099</v>
      </c>
      <c r="L326" s="76" t="s">
        <v>20</v>
      </c>
      <c r="M326" s="57"/>
      <c r="N326" s="77">
        <v>10230</v>
      </c>
      <c r="O326" s="57">
        <f t="shared" si="14"/>
        <v>0</v>
      </c>
      <c r="P326" s="77">
        <v>22022</v>
      </c>
      <c r="Q326" s="73">
        <f t="shared" si="12"/>
        <v>0</v>
      </c>
      <c r="R326" s="57"/>
      <c r="S326" s="57"/>
      <c r="T326" s="57"/>
      <c r="U326" s="57"/>
      <c r="V326" s="73">
        <f t="shared" si="13"/>
        <v>0</v>
      </c>
      <c r="W326" s="106"/>
      <c r="X326" s="64"/>
    </row>
    <row r="327" spans="1:24" s="66" customFormat="1" ht="12" hidden="1" customHeight="1">
      <c r="A327" s="74" t="s">
        <v>544</v>
      </c>
      <c r="B327" s="74"/>
      <c r="C327" s="74"/>
      <c r="D327" s="74"/>
      <c r="E327" s="74"/>
      <c r="F327" s="74"/>
      <c r="G327" s="74"/>
      <c r="H327" s="74"/>
      <c r="I327" s="75" t="s">
        <v>2036</v>
      </c>
      <c r="J327" s="75" t="s">
        <v>1086</v>
      </c>
      <c r="K327" s="74" t="s">
        <v>1099</v>
      </c>
      <c r="L327" s="76" t="s">
        <v>20</v>
      </c>
      <c r="M327" s="57"/>
      <c r="N327" s="77">
        <v>2950</v>
      </c>
      <c r="O327" s="57">
        <f t="shared" si="14"/>
        <v>0</v>
      </c>
      <c r="P327" s="77">
        <v>22022</v>
      </c>
      <c r="Q327" s="73">
        <f t="shared" si="12"/>
        <v>0</v>
      </c>
      <c r="R327" s="57"/>
      <c r="S327" s="57"/>
      <c r="T327" s="57"/>
      <c r="U327" s="57"/>
      <c r="V327" s="73">
        <f t="shared" si="13"/>
        <v>0</v>
      </c>
      <c r="W327" s="106"/>
      <c r="X327" s="64"/>
    </row>
    <row r="328" spans="1:24" s="66" customFormat="1" ht="12" hidden="1" customHeight="1">
      <c r="A328" s="74" t="s">
        <v>545</v>
      </c>
      <c r="B328" s="74"/>
      <c r="C328" s="74"/>
      <c r="D328" s="74"/>
      <c r="E328" s="74"/>
      <c r="F328" s="74"/>
      <c r="G328" s="74"/>
      <c r="H328" s="74"/>
      <c r="I328" s="75" t="s">
        <v>2036</v>
      </c>
      <c r="J328" s="75" t="s">
        <v>1085</v>
      </c>
      <c r="K328" s="74" t="s">
        <v>1099</v>
      </c>
      <c r="L328" s="76" t="s">
        <v>20</v>
      </c>
      <c r="M328" s="57"/>
      <c r="N328" s="77">
        <v>4980</v>
      </c>
      <c r="O328" s="57">
        <f t="shared" si="14"/>
        <v>0</v>
      </c>
      <c r="P328" s="77">
        <v>22022</v>
      </c>
      <c r="Q328" s="73">
        <f t="shared" si="12"/>
        <v>0</v>
      </c>
      <c r="R328" s="57"/>
      <c r="S328" s="57"/>
      <c r="T328" s="57"/>
      <c r="U328" s="57"/>
      <c r="V328" s="73">
        <f t="shared" si="13"/>
        <v>0</v>
      </c>
      <c r="W328" s="106"/>
      <c r="X328" s="64"/>
    </row>
    <row r="329" spans="1:24" s="66" customFormat="1" ht="12" hidden="1" customHeight="1">
      <c r="A329" s="74" t="s">
        <v>546</v>
      </c>
      <c r="B329" s="74"/>
      <c r="C329" s="74"/>
      <c r="D329" s="74"/>
      <c r="E329" s="74"/>
      <c r="F329" s="74"/>
      <c r="G329" s="74"/>
      <c r="H329" s="74"/>
      <c r="I329" s="75" t="s">
        <v>2036</v>
      </c>
      <c r="J329" s="75" t="s">
        <v>1084</v>
      </c>
      <c r="K329" s="74" t="s">
        <v>1099</v>
      </c>
      <c r="L329" s="76" t="s">
        <v>20</v>
      </c>
      <c r="M329" s="57"/>
      <c r="N329" s="77">
        <v>6870</v>
      </c>
      <c r="O329" s="57">
        <f t="shared" si="14"/>
        <v>0</v>
      </c>
      <c r="P329" s="77">
        <v>22022</v>
      </c>
      <c r="Q329" s="73">
        <f t="shared" si="12"/>
        <v>0</v>
      </c>
      <c r="R329" s="57"/>
      <c r="S329" s="57"/>
      <c r="T329" s="57"/>
      <c r="U329" s="57"/>
      <c r="V329" s="73">
        <f t="shared" si="13"/>
        <v>0</v>
      </c>
      <c r="W329" s="106"/>
      <c r="X329" s="64"/>
    </row>
    <row r="330" spans="1:24" s="66" customFormat="1" ht="12" hidden="1" customHeight="1">
      <c r="A330" s="74" t="s">
        <v>547</v>
      </c>
      <c r="B330" s="74"/>
      <c r="C330" s="74"/>
      <c r="D330" s="74"/>
      <c r="E330" s="74"/>
      <c r="F330" s="74"/>
      <c r="G330" s="74"/>
      <c r="H330" s="74"/>
      <c r="I330" s="75" t="s">
        <v>2036</v>
      </c>
      <c r="J330" s="75" t="s">
        <v>1083</v>
      </c>
      <c r="K330" s="74" t="s">
        <v>1099</v>
      </c>
      <c r="L330" s="76" t="s">
        <v>20</v>
      </c>
      <c r="M330" s="57"/>
      <c r="N330" s="77">
        <v>2790</v>
      </c>
      <c r="O330" s="57">
        <f t="shared" si="14"/>
        <v>0</v>
      </c>
      <c r="P330" s="77">
        <v>22022</v>
      </c>
      <c r="Q330" s="73">
        <f t="shared" si="12"/>
        <v>0</v>
      </c>
      <c r="R330" s="57"/>
      <c r="S330" s="57"/>
      <c r="T330" s="57"/>
      <c r="U330" s="57"/>
      <c r="V330" s="73">
        <f t="shared" si="13"/>
        <v>0</v>
      </c>
      <c r="W330" s="106"/>
      <c r="X330" s="64"/>
    </row>
    <row r="331" spans="1:24" s="66" customFormat="1" ht="12" hidden="1" customHeight="1">
      <c r="A331" s="74" t="s">
        <v>548</v>
      </c>
      <c r="B331" s="74"/>
      <c r="C331" s="74"/>
      <c r="D331" s="74"/>
      <c r="E331" s="74"/>
      <c r="F331" s="74"/>
      <c r="G331" s="74"/>
      <c r="H331" s="74"/>
      <c r="I331" s="75" t="s">
        <v>2036</v>
      </c>
      <c r="J331" s="75" t="s">
        <v>1082</v>
      </c>
      <c r="K331" s="74" t="s">
        <v>1099</v>
      </c>
      <c r="L331" s="76" t="s">
        <v>20</v>
      </c>
      <c r="M331" s="57"/>
      <c r="N331" s="77">
        <v>4570</v>
      </c>
      <c r="O331" s="57">
        <f t="shared" si="14"/>
        <v>0</v>
      </c>
      <c r="P331" s="77">
        <v>22022</v>
      </c>
      <c r="Q331" s="73">
        <f t="shared" ref="Q331:Q394" si="15">IF(W331="",M331*P331*$Q$3*$W$3,M331*P331*$Q$3*W331)</f>
        <v>0</v>
      </c>
      <c r="R331" s="57"/>
      <c r="S331" s="57"/>
      <c r="T331" s="57"/>
      <c r="U331" s="57"/>
      <c r="V331" s="73">
        <f t="shared" ref="V331:V394" si="16">SUM(O331+Q331)+S331+U331</f>
        <v>0</v>
      </c>
      <c r="W331" s="106"/>
      <c r="X331" s="64"/>
    </row>
    <row r="332" spans="1:24" s="66" customFormat="1" ht="12" hidden="1" customHeight="1">
      <c r="A332" s="74" t="s">
        <v>549</v>
      </c>
      <c r="B332" s="74"/>
      <c r="C332" s="74"/>
      <c r="D332" s="74"/>
      <c r="E332" s="74"/>
      <c r="F332" s="74"/>
      <c r="G332" s="74"/>
      <c r="H332" s="74"/>
      <c r="I332" s="75" t="s">
        <v>2036</v>
      </c>
      <c r="J332" s="75" t="s">
        <v>1081</v>
      </c>
      <c r="K332" s="74" t="s">
        <v>1099</v>
      </c>
      <c r="L332" s="76" t="s">
        <v>20</v>
      </c>
      <c r="M332" s="57"/>
      <c r="N332" s="77">
        <v>6330</v>
      </c>
      <c r="O332" s="57">
        <f t="shared" si="14"/>
        <v>0</v>
      </c>
      <c r="P332" s="77">
        <v>22022</v>
      </c>
      <c r="Q332" s="73">
        <f t="shared" si="15"/>
        <v>0</v>
      </c>
      <c r="R332" s="57"/>
      <c r="S332" s="57"/>
      <c r="T332" s="57"/>
      <c r="U332" s="57"/>
      <c r="V332" s="73">
        <f t="shared" si="16"/>
        <v>0</v>
      </c>
      <c r="W332" s="106"/>
      <c r="X332" s="64"/>
    </row>
    <row r="333" spans="1:24" s="66" customFormat="1" ht="12" hidden="1" customHeight="1">
      <c r="A333" s="74" t="s">
        <v>551</v>
      </c>
      <c r="B333" s="74"/>
      <c r="C333" s="74"/>
      <c r="D333" s="74"/>
      <c r="E333" s="74"/>
      <c r="F333" s="74"/>
      <c r="G333" s="74"/>
      <c r="H333" s="74"/>
      <c r="I333" s="75" t="s">
        <v>2035</v>
      </c>
      <c r="J333" s="75" t="s">
        <v>1078</v>
      </c>
      <c r="K333" s="74" t="s">
        <v>1079</v>
      </c>
      <c r="L333" s="76" t="s">
        <v>20</v>
      </c>
      <c r="M333" s="57"/>
      <c r="N333" s="77">
        <v>44080</v>
      </c>
      <c r="O333" s="57">
        <f t="shared" si="14"/>
        <v>0</v>
      </c>
      <c r="P333" s="77">
        <v>22022</v>
      </c>
      <c r="Q333" s="73">
        <f t="shared" si="15"/>
        <v>0</v>
      </c>
      <c r="R333" s="57"/>
      <c r="S333" s="57"/>
      <c r="T333" s="57"/>
      <c r="U333" s="57"/>
      <c r="V333" s="73">
        <f t="shared" si="16"/>
        <v>0</v>
      </c>
      <c r="W333" s="106"/>
      <c r="X333" s="64"/>
    </row>
    <row r="334" spans="1:24" s="66" customFormat="1" ht="12" hidden="1" customHeight="1">
      <c r="A334" s="74" t="s">
        <v>550</v>
      </c>
      <c r="B334" s="74"/>
      <c r="C334" s="74"/>
      <c r="D334" s="74"/>
      <c r="E334" s="74"/>
      <c r="F334" s="74"/>
      <c r="G334" s="74"/>
      <c r="H334" s="74"/>
      <c r="I334" s="75" t="s">
        <v>2035</v>
      </c>
      <c r="J334" s="75" t="s">
        <v>1078</v>
      </c>
      <c r="K334" s="74" t="s">
        <v>1080</v>
      </c>
      <c r="L334" s="76" t="s">
        <v>20</v>
      </c>
      <c r="M334" s="57"/>
      <c r="N334" s="77">
        <v>42480</v>
      </c>
      <c r="O334" s="57">
        <f t="shared" si="14"/>
        <v>0</v>
      </c>
      <c r="P334" s="77">
        <v>22022</v>
      </c>
      <c r="Q334" s="73">
        <f t="shared" si="15"/>
        <v>0</v>
      </c>
      <c r="R334" s="57"/>
      <c r="S334" s="57"/>
      <c r="T334" s="57"/>
      <c r="U334" s="57"/>
      <c r="V334" s="73">
        <f t="shared" si="16"/>
        <v>0</v>
      </c>
      <c r="W334" s="106"/>
      <c r="X334" s="64"/>
    </row>
    <row r="335" spans="1:24" s="66" customFormat="1" ht="12" hidden="1" customHeight="1">
      <c r="A335" s="74" t="s">
        <v>533</v>
      </c>
      <c r="B335" s="74"/>
      <c r="C335" s="74"/>
      <c r="D335" s="74"/>
      <c r="E335" s="74"/>
      <c r="F335" s="74"/>
      <c r="G335" s="74"/>
      <c r="H335" s="74"/>
      <c r="I335" s="75" t="s">
        <v>2035</v>
      </c>
      <c r="J335" s="75" t="s">
        <v>1097</v>
      </c>
      <c r="K335" s="74" t="s">
        <v>1099</v>
      </c>
      <c r="L335" s="76" t="s">
        <v>20</v>
      </c>
      <c r="M335" s="57"/>
      <c r="N335" s="77">
        <v>3990</v>
      </c>
      <c r="O335" s="57">
        <f t="shared" si="14"/>
        <v>0</v>
      </c>
      <c r="P335" s="77">
        <v>22022</v>
      </c>
      <c r="Q335" s="73">
        <f t="shared" si="15"/>
        <v>0</v>
      </c>
      <c r="R335" s="57"/>
      <c r="S335" s="57"/>
      <c r="T335" s="57"/>
      <c r="U335" s="57"/>
      <c r="V335" s="73">
        <f t="shared" si="16"/>
        <v>0</v>
      </c>
      <c r="W335" s="106"/>
      <c r="X335" s="64"/>
    </row>
    <row r="336" spans="1:24" s="66" customFormat="1" ht="12" hidden="1" customHeight="1">
      <c r="A336" s="74" t="s">
        <v>1775</v>
      </c>
      <c r="B336" s="74"/>
      <c r="C336" s="74"/>
      <c r="D336" s="74"/>
      <c r="E336" s="74"/>
      <c r="F336" s="74"/>
      <c r="G336" s="74"/>
      <c r="H336" s="74"/>
      <c r="I336" s="75" t="s">
        <v>2172</v>
      </c>
      <c r="J336" s="75" t="s">
        <v>1555</v>
      </c>
      <c r="K336" s="74" t="s">
        <v>1556</v>
      </c>
      <c r="L336" s="76" t="s">
        <v>20</v>
      </c>
      <c r="M336" s="57"/>
      <c r="N336" s="77">
        <v>0</v>
      </c>
      <c r="O336" s="57">
        <f t="shared" si="14"/>
        <v>0</v>
      </c>
      <c r="P336" s="77">
        <v>16840</v>
      </c>
      <c r="Q336" s="73">
        <f t="shared" si="15"/>
        <v>0</v>
      </c>
      <c r="R336" s="57"/>
      <c r="S336" s="57"/>
      <c r="T336" s="57"/>
      <c r="U336" s="57"/>
      <c r="V336" s="73">
        <f t="shared" si="16"/>
        <v>0</v>
      </c>
      <c r="W336" s="106"/>
      <c r="X336" s="64"/>
    </row>
    <row r="337" spans="1:24" s="66" customFormat="1" ht="12" hidden="1" customHeight="1">
      <c r="A337" s="74" t="s">
        <v>1776</v>
      </c>
      <c r="B337" s="74"/>
      <c r="C337" s="74"/>
      <c r="D337" s="74"/>
      <c r="E337" s="74"/>
      <c r="F337" s="74"/>
      <c r="G337" s="74"/>
      <c r="H337" s="74"/>
      <c r="I337" s="75" t="s">
        <v>2035</v>
      </c>
      <c r="J337" s="75" t="s">
        <v>1553</v>
      </c>
      <c r="K337" s="74" t="s">
        <v>1554</v>
      </c>
      <c r="L337" s="76" t="s">
        <v>20</v>
      </c>
      <c r="M337" s="57"/>
      <c r="N337" s="77">
        <v>0</v>
      </c>
      <c r="O337" s="57">
        <f t="shared" si="14"/>
        <v>0</v>
      </c>
      <c r="P337" s="77">
        <v>22022</v>
      </c>
      <c r="Q337" s="73">
        <f t="shared" si="15"/>
        <v>0</v>
      </c>
      <c r="R337" s="57"/>
      <c r="S337" s="57"/>
      <c r="T337" s="57"/>
      <c r="U337" s="57"/>
      <c r="V337" s="73">
        <f t="shared" si="16"/>
        <v>0</v>
      </c>
      <c r="W337" s="106"/>
      <c r="X337" s="64"/>
    </row>
    <row r="338" spans="1:24" s="66" customFormat="1" ht="12" hidden="1" customHeight="1">
      <c r="A338" s="74" t="s">
        <v>1777</v>
      </c>
      <c r="B338" s="74"/>
      <c r="C338" s="74"/>
      <c r="D338" s="74"/>
      <c r="E338" s="74"/>
      <c r="F338" s="74"/>
      <c r="G338" s="74"/>
      <c r="H338" s="74"/>
      <c r="I338" s="75" t="s">
        <v>2173</v>
      </c>
      <c r="J338" s="75" t="s">
        <v>1557</v>
      </c>
      <c r="K338" s="74" t="s">
        <v>1558</v>
      </c>
      <c r="L338" s="76" t="s">
        <v>20</v>
      </c>
      <c r="M338" s="57"/>
      <c r="N338" s="77">
        <v>0</v>
      </c>
      <c r="O338" s="57">
        <f t="shared" si="14"/>
        <v>0</v>
      </c>
      <c r="P338" s="77">
        <v>85499</v>
      </c>
      <c r="Q338" s="73">
        <f t="shared" si="15"/>
        <v>0</v>
      </c>
      <c r="R338" s="57"/>
      <c r="S338" s="57"/>
      <c r="T338" s="57"/>
      <c r="U338" s="57"/>
      <c r="V338" s="73">
        <f t="shared" si="16"/>
        <v>0</v>
      </c>
      <c r="W338" s="106"/>
      <c r="X338" s="64"/>
    </row>
    <row r="339" spans="1:24" s="66" customFormat="1" ht="12" hidden="1" customHeight="1">
      <c r="A339" s="74" t="s">
        <v>532</v>
      </c>
      <c r="B339" s="74"/>
      <c r="C339" s="74"/>
      <c r="D339" s="74"/>
      <c r="E339" s="74"/>
      <c r="F339" s="74"/>
      <c r="G339" s="74"/>
      <c r="H339" s="74"/>
      <c r="I339" s="75" t="s">
        <v>2035</v>
      </c>
      <c r="J339" s="75" t="s">
        <v>1098</v>
      </c>
      <c r="K339" s="74" t="s">
        <v>1099</v>
      </c>
      <c r="L339" s="76" t="s">
        <v>20</v>
      </c>
      <c r="M339" s="57"/>
      <c r="N339" s="77">
        <v>1960</v>
      </c>
      <c r="O339" s="57">
        <f t="shared" si="14"/>
        <v>0</v>
      </c>
      <c r="P339" s="77">
        <v>22022</v>
      </c>
      <c r="Q339" s="73">
        <f t="shared" si="15"/>
        <v>0</v>
      </c>
      <c r="R339" s="57"/>
      <c r="S339" s="57"/>
      <c r="T339" s="57"/>
      <c r="U339" s="57"/>
      <c r="V339" s="73">
        <f t="shared" si="16"/>
        <v>0</v>
      </c>
      <c r="W339" s="106"/>
      <c r="X339" s="64"/>
    </row>
    <row r="340" spans="1:24" s="66" customFormat="1" ht="12" hidden="1" customHeight="1">
      <c r="A340" s="74" t="s">
        <v>1779</v>
      </c>
      <c r="B340" s="74"/>
      <c r="C340" s="74"/>
      <c r="D340" s="74"/>
      <c r="E340" s="74"/>
      <c r="F340" s="74"/>
      <c r="G340" s="74"/>
      <c r="H340" s="74"/>
      <c r="I340" s="75" t="s">
        <v>2179</v>
      </c>
      <c r="J340" s="75" t="s">
        <v>1550</v>
      </c>
      <c r="K340" s="74" t="s">
        <v>1551</v>
      </c>
      <c r="L340" s="76" t="s">
        <v>20</v>
      </c>
      <c r="M340" s="57"/>
      <c r="N340" s="77">
        <v>0</v>
      </c>
      <c r="O340" s="57">
        <f t="shared" si="14"/>
        <v>0</v>
      </c>
      <c r="P340" s="77">
        <v>28499</v>
      </c>
      <c r="Q340" s="73">
        <f t="shared" si="15"/>
        <v>0</v>
      </c>
      <c r="R340" s="57"/>
      <c r="S340" s="57"/>
      <c r="T340" s="57"/>
      <c r="U340" s="57"/>
      <c r="V340" s="73">
        <f t="shared" si="16"/>
        <v>0</v>
      </c>
      <c r="W340" s="106"/>
      <c r="X340" s="64"/>
    </row>
    <row r="341" spans="1:24" s="66" customFormat="1" ht="12" hidden="1" customHeight="1">
      <c r="A341" s="74" t="s">
        <v>1774</v>
      </c>
      <c r="B341" s="74"/>
      <c r="C341" s="74"/>
      <c r="D341" s="74"/>
      <c r="E341" s="74"/>
      <c r="F341" s="74"/>
      <c r="G341" s="74"/>
      <c r="H341" s="74"/>
      <c r="I341" s="75" t="s">
        <v>2171</v>
      </c>
      <c r="J341" s="75" t="s">
        <v>1548</v>
      </c>
      <c r="K341" s="74" t="s">
        <v>1549</v>
      </c>
      <c r="L341" s="76" t="s">
        <v>20</v>
      </c>
      <c r="M341" s="57"/>
      <c r="N341" s="77">
        <v>0</v>
      </c>
      <c r="O341" s="57">
        <f t="shared" si="14"/>
        <v>0</v>
      </c>
      <c r="P341" s="77">
        <v>22022</v>
      </c>
      <c r="Q341" s="73">
        <f t="shared" si="15"/>
        <v>0</v>
      </c>
      <c r="R341" s="57"/>
      <c r="S341" s="57"/>
      <c r="T341" s="57"/>
      <c r="U341" s="57"/>
      <c r="V341" s="73">
        <f t="shared" si="16"/>
        <v>0</v>
      </c>
      <c r="W341" s="106"/>
      <c r="X341" s="64"/>
    </row>
    <row r="342" spans="1:24" s="66" customFormat="1" ht="12" hidden="1" customHeight="1">
      <c r="A342" s="74" t="s">
        <v>512</v>
      </c>
      <c r="B342" s="74"/>
      <c r="C342" s="74"/>
      <c r="D342" s="74"/>
      <c r="E342" s="74"/>
      <c r="F342" s="74"/>
      <c r="G342" s="74"/>
      <c r="H342" s="74"/>
      <c r="I342" s="75" t="s">
        <v>2139</v>
      </c>
      <c r="J342" s="75" t="s">
        <v>1073</v>
      </c>
      <c r="K342" s="74" t="s">
        <v>1077</v>
      </c>
      <c r="L342" s="76" t="s">
        <v>20</v>
      </c>
      <c r="M342" s="57"/>
      <c r="N342" s="77">
        <v>1843</v>
      </c>
      <c r="O342" s="57">
        <f t="shared" si="14"/>
        <v>0</v>
      </c>
      <c r="P342" s="77">
        <v>20727</v>
      </c>
      <c r="Q342" s="73">
        <f t="shared" si="15"/>
        <v>0</v>
      </c>
      <c r="R342" s="57"/>
      <c r="S342" s="57"/>
      <c r="T342" s="57"/>
      <c r="U342" s="57"/>
      <c r="V342" s="73">
        <f t="shared" si="16"/>
        <v>0</v>
      </c>
      <c r="W342" s="106"/>
      <c r="X342" s="64"/>
    </row>
    <row r="343" spans="1:24" s="66" customFormat="1" ht="12" hidden="1" customHeight="1">
      <c r="A343" s="74" t="s">
        <v>513</v>
      </c>
      <c r="B343" s="74"/>
      <c r="C343" s="74"/>
      <c r="D343" s="74"/>
      <c r="E343" s="74"/>
      <c r="F343" s="74"/>
      <c r="G343" s="74"/>
      <c r="H343" s="74"/>
      <c r="I343" s="75" t="s">
        <v>2139</v>
      </c>
      <c r="J343" s="75" t="s">
        <v>1073</v>
      </c>
      <c r="K343" s="74" t="s">
        <v>1076</v>
      </c>
      <c r="L343" s="76" t="s">
        <v>20</v>
      </c>
      <c r="M343" s="57"/>
      <c r="N343" s="77">
        <v>2273</v>
      </c>
      <c r="O343" s="57">
        <f t="shared" si="14"/>
        <v>0</v>
      </c>
      <c r="P343" s="77">
        <v>20727</v>
      </c>
      <c r="Q343" s="73">
        <f t="shared" si="15"/>
        <v>0</v>
      </c>
      <c r="R343" s="57"/>
      <c r="S343" s="57"/>
      <c r="T343" s="57"/>
      <c r="U343" s="57"/>
      <c r="V343" s="73">
        <f t="shared" si="16"/>
        <v>0</v>
      </c>
      <c r="W343" s="106"/>
      <c r="X343" s="64"/>
    </row>
    <row r="344" spans="1:24" s="66" customFormat="1" ht="12" hidden="1" customHeight="1">
      <c r="A344" s="74" t="s">
        <v>514</v>
      </c>
      <c r="B344" s="74"/>
      <c r="C344" s="74"/>
      <c r="D344" s="74"/>
      <c r="E344" s="74"/>
      <c r="F344" s="74"/>
      <c r="G344" s="74"/>
      <c r="H344" s="74"/>
      <c r="I344" s="75" t="s">
        <v>2140</v>
      </c>
      <c r="J344" s="75" t="s">
        <v>1073</v>
      </c>
      <c r="K344" s="74" t="s">
        <v>1075</v>
      </c>
      <c r="L344" s="76" t="s">
        <v>20</v>
      </c>
      <c r="M344" s="57"/>
      <c r="N344" s="77">
        <v>5487</v>
      </c>
      <c r="O344" s="57">
        <f t="shared" si="14"/>
        <v>0</v>
      </c>
      <c r="P344" s="77">
        <v>38863</v>
      </c>
      <c r="Q344" s="73">
        <f t="shared" si="15"/>
        <v>0</v>
      </c>
      <c r="R344" s="57"/>
      <c r="S344" s="57"/>
      <c r="T344" s="57"/>
      <c r="U344" s="57"/>
      <c r="V344" s="73">
        <f t="shared" si="16"/>
        <v>0</v>
      </c>
      <c r="W344" s="106"/>
      <c r="X344" s="64"/>
    </row>
    <row r="345" spans="1:24" s="66" customFormat="1" ht="12" hidden="1" customHeight="1">
      <c r="A345" s="74" t="s">
        <v>515</v>
      </c>
      <c r="B345" s="74"/>
      <c r="C345" s="74"/>
      <c r="D345" s="74"/>
      <c r="E345" s="74"/>
      <c r="F345" s="74"/>
      <c r="G345" s="74"/>
      <c r="H345" s="74"/>
      <c r="I345" s="75" t="s">
        <v>2139</v>
      </c>
      <c r="J345" s="75" t="s">
        <v>1073</v>
      </c>
      <c r="K345" s="74" t="s">
        <v>1074</v>
      </c>
      <c r="L345" s="76" t="s">
        <v>20</v>
      </c>
      <c r="M345" s="57"/>
      <c r="N345" s="77">
        <v>2950</v>
      </c>
      <c r="O345" s="57">
        <f t="shared" si="14"/>
        <v>0</v>
      </c>
      <c r="P345" s="77">
        <v>20727</v>
      </c>
      <c r="Q345" s="73">
        <f t="shared" si="15"/>
        <v>0</v>
      </c>
      <c r="R345" s="57"/>
      <c r="S345" s="57"/>
      <c r="T345" s="57"/>
      <c r="U345" s="57"/>
      <c r="V345" s="73">
        <f t="shared" si="16"/>
        <v>0</v>
      </c>
      <c r="W345" s="106"/>
      <c r="X345" s="64"/>
    </row>
    <row r="346" spans="1:24" s="66" customFormat="1" ht="12" hidden="1" customHeight="1">
      <c r="A346" s="74" t="s">
        <v>516</v>
      </c>
      <c r="B346" s="74"/>
      <c r="C346" s="74"/>
      <c r="D346" s="74"/>
      <c r="E346" s="74"/>
      <c r="F346" s="74"/>
      <c r="G346" s="74"/>
      <c r="H346" s="74"/>
      <c r="I346" s="75" t="s">
        <v>2139</v>
      </c>
      <c r="J346" s="75" t="s">
        <v>1073</v>
      </c>
      <c r="K346" s="74" t="s">
        <v>1072</v>
      </c>
      <c r="L346" s="76" t="s">
        <v>20</v>
      </c>
      <c r="M346" s="57"/>
      <c r="N346" s="77">
        <v>3280</v>
      </c>
      <c r="O346" s="57">
        <f t="shared" si="14"/>
        <v>0</v>
      </c>
      <c r="P346" s="77">
        <v>20727</v>
      </c>
      <c r="Q346" s="73">
        <f t="shared" si="15"/>
        <v>0</v>
      </c>
      <c r="R346" s="57"/>
      <c r="S346" s="57"/>
      <c r="T346" s="57"/>
      <c r="U346" s="57"/>
      <c r="V346" s="73">
        <f t="shared" si="16"/>
        <v>0</v>
      </c>
      <c r="W346" s="106"/>
      <c r="X346" s="64"/>
    </row>
    <row r="347" spans="1:24" s="66" customFormat="1" ht="12" hidden="1" customHeight="1">
      <c r="A347" s="74" t="s">
        <v>517</v>
      </c>
      <c r="B347" s="74"/>
      <c r="C347" s="74"/>
      <c r="D347" s="74"/>
      <c r="E347" s="74"/>
      <c r="F347" s="74"/>
      <c r="G347" s="74"/>
      <c r="H347" s="74"/>
      <c r="I347" s="75" t="s">
        <v>2139</v>
      </c>
      <c r="J347" s="75" t="s">
        <v>1056</v>
      </c>
      <c r="K347" s="74" t="s">
        <v>1061</v>
      </c>
      <c r="L347" s="76" t="s">
        <v>20</v>
      </c>
      <c r="M347" s="57"/>
      <c r="N347" s="77">
        <v>1800</v>
      </c>
      <c r="O347" s="57">
        <f t="shared" si="14"/>
        <v>0</v>
      </c>
      <c r="P347" s="77">
        <v>20727</v>
      </c>
      <c r="Q347" s="73">
        <f t="shared" si="15"/>
        <v>0</v>
      </c>
      <c r="R347" s="57"/>
      <c r="S347" s="57"/>
      <c r="T347" s="57"/>
      <c r="U347" s="57"/>
      <c r="V347" s="73">
        <f t="shared" si="16"/>
        <v>0</v>
      </c>
      <c r="W347" s="106"/>
      <c r="X347" s="64"/>
    </row>
    <row r="348" spans="1:24" s="66" customFormat="1" ht="12" hidden="1" customHeight="1">
      <c r="A348" s="74" t="s">
        <v>518</v>
      </c>
      <c r="B348" s="74"/>
      <c r="C348" s="74"/>
      <c r="D348" s="74"/>
      <c r="E348" s="74"/>
      <c r="F348" s="74"/>
      <c r="G348" s="74"/>
      <c r="H348" s="74"/>
      <c r="I348" s="75" t="s">
        <v>2141</v>
      </c>
      <c r="J348" s="75" t="s">
        <v>1056</v>
      </c>
      <c r="K348" s="74" t="s">
        <v>1060</v>
      </c>
      <c r="L348" s="76" t="s">
        <v>20</v>
      </c>
      <c r="M348" s="57"/>
      <c r="N348" s="77">
        <v>3345</v>
      </c>
      <c r="O348" s="57">
        <f t="shared" si="14"/>
        <v>0</v>
      </c>
      <c r="P348" s="77">
        <v>37567</v>
      </c>
      <c r="Q348" s="73">
        <f t="shared" si="15"/>
        <v>0</v>
      </c>
      <c r="R348" s="57"/>
      <c r="S348" s="57"/>
      <c r="T348" s="57"/>
      <c r="U348" s="57"/>
      <c r="V348" s="73">
        <f t="shared" si="16"/>
        <v>0</v>
      </c>
      <c r="W348" s="106"/>
      <c r="X348" s="64"/>
    </row>
    <row r="349" spans="1:24" s="66" customFormat="1" ht="12" hidden="1" customHeight="1">
      <c r="A349" s="74" t="s">
        <v>519</v>
      </c>
      <c r="B349" s="74"/>
      <c r="C349" s="74"/>
      <c r="D349" s="74"/>
      <c r="E349" s="74"/>
      <c r="F349" s="74"/>
      <c r="G349" s="74"/>
      <c r="H349" s="74"/>
      <c r="I349" s="75" t="s">
        <v>2141</v>
      </c>
      <c r="J349" s="75" t="s">
        <v>1056</v>
      </c>
      <c r="K349" s="74" t="s">
        <v>1059</v>
      </c>
      <c r="L349" s="76" t="s">
        <v>20</v>
      </c>
      <c r="M349" s="57"/>
      <c r="N349" s="77">
        <v>6996</v>
      </c>
      <c r="O349" s="57">
        <f t="shared" si="14"/>
        <v>0</v>
      </c>
      <c r="P349" s="77">
        <v>37567</v>
      </c>
      <c r="Q349" s="73">
        <f t="shared" si="15"/>
        <v>0</v>
      </c>
      <c r="R349" s="57"/>
      <c r="S349" s="57"/>
      <c r="T349" s="57"/>
      <c r="U349" s="57"/>
      <c r="V349" s="73">
        <f t="shared" si="16"/>
        <v>0</v>
      </c>
      <c r="W349" s="106"/>
      <c r="X349" s="64"/>
    </row>
    <row r="350" spans="1:24" s="66" customFormat="1" ht="12" hidden="1" customHeight="1">
      <c r="A350" s="74" t="s">
        <v>520</v>
      </c>
      <c r="B350" s="74"/>
      <c r="C350" s="74"/>
      <c r="D350" s="74"/>
      <c r="E350" s="74"/>
      <c r="F350" s="74"/>
      <c r="G350" s="74"/>
      <c r="H350" s="74"/>
      <c r="I350" s="75" t="s">
        <v>2140</v>
      </c>
      <c r="J350" s="75" t="s">
        <v>1056</v>
      </c>
      <c r="K350" s="74" t="s">
        <v>1058</v>
      </c>
      <c r="L350" s="76" t="s">
        <v>20</v>
      </c>
      <c r="M350" s="57"/>
      <c r="N350" s="77">
        <v>7257</v>
      </c>
      <c r="O350" s="57">
        <f t="shared" si="14"/>
        <v>0</v>
      </c>
      <c r="P350" s="77">
        <v>38863</v>
      </c>
      <c r="Q350" s="73">
        <f t="shared" si="15"/>
        <v>0</v>
      </c>
      <c r="R350" s="57"/>
      <c r="S350" s="57"/>
      <c r="T350" s="57"/>
      <c r="U350" s="57"/>
      <c r="V350" s="73">
        <f t="shared" si="16"/>
        <v>0</v>
      </c>
      <c r="W350" s="106"/>
      <c r="X350" s="64"/>
    </row>
    <row r="351" spans="1:24" s="66" customFormat="1" ht="12" hidden="1" customHeight="1">
      <c r="A351" s="74" t="s">
        <v>521</v>
      </c>
      <c r="B351" s="74"/>
      <c r="C351" s="74"/>
      <c r="D351" s="74"/>
      <c r="E351" s="74"/>
      <c r="F351" s="74"/>
      <c r="G351" s="74"/>
      <c r="H351" s="74"/>
      <c r="I351" s="75" t="s">
        <v>2140</v>
      </c>
      <c r="J351" s="75" t="s">
        <v>1056</v>
      </c>
      <c r="K351" s="74" t="s">
        <v>1057</v>
      </c>
      <c r="L351" s="76" t="s">
        <v>20</v>
      </c>
      <c r="M351" s="57"/>
      <c r="N351" s="77">
        <v>8600</v>
      </c>
      <c r="O351" s="57">
        <f t="shared" si="14"/>
        <v>0</v>
      </c>
      <c r="P351" s="77">
        <v>38863</v>
      </c>
      <c r="Q351" s="73">
        <f t="shared" si="15"/>
        <v>0</v>
      </c>
      <c r="R351" s="57"/>
      <c r="S351" s="57"/>
      <c r="T351" s="57"/>
      <c r="U351" s="57"/>
      <c r="V351" s="73">
        <f t="shared" si="16"/>
        <v>0</v>
      </c>
      <c r="W351" s="106"/>
      <c r="X351" s="64"/>
    </row>
    <row r="352" spans="1:24" s="66" customFormat="1" ht="12" hidden="1" customHeight="1">
      <c r="A352" s="74" t="s">
        <v>522</v>
      </c>
      <c r="B352" s="74"/>
      <c r="C352" s="74"/>
      <c r="D352" s="74"/>
      <c r="E352" s="74"/>
      <c r="F352" s="74"/>
      <c r="G352" s="74"/>
      <c r="H352" s="74"/>
      <c r="I352" s="75" t="s">
        <v>2140</v>
      </c>
      <c r="J352" s="75" t="s">
        <v>1056</v>
      </c>
      <c r="K352" s="74" t="s">
        <v>1055</v>
      </c>
      <c r="L352" s="76" t="s">
        <v>20</v>
      </c>
      <c r="M352" s="57"/>
      <c r="N352" s="77">
        <v>7038</v>
      </c>
      <c r="O352" s="57">
        <f t="shared" si="14"/>
        <v>0</v>
      </c>
      <c r="P352" s="77">
        <v>38863</v>
      </c>
      <c r="Q352" s="73">
        <f t="shared" si="15"/>
        <v>0</v>
      </c>
      <c r="R352" s="57"/>
      <c r="S352" s="57"/>
      <c r="T352" s="57"/>
      <c r="U352" s="57"/>
      <c r="V352" s="73">
        <f t="shared" si="16"/>
        <v>0</v>
      </c>
      <c r="W352" s="106"/>
      <c r="X352" s="64"/>
    </row>
    <row r="353" spans="1:24" s="66" customFormat="1" ht="12" hidden="1" customHeight="1">
      <c r="A353" s="74" t="s">
        <v>523</v>
      </c>
      <c r="B353" s="74"/>
      <c r="C353" s="74"/>
      <c r="D353" s="74"/>
      <c r="E353" s="74"/>
      <c r="F353" s="74"/>
      <c r="G353" s="74"/>
      <c r="H353" s="74"/>
      <c r="I353" s="75" t="s">
        <v>2139</v>
      </c>
      <c r="J353" s="75" t="s">
        <v>1062</v>
      </c>
      <c r="K353" s="74" t="s">
        <v>1071</v>
      </c>
      <c r="L353" s="76" t="s">
        <v>20</v>
      </c>
      <c r="M353" s="57"/>
      <c r="N353" s="77">
        <v>2605</v>
      </c>
      <c r="O353" s="57">
        <f t="shared" si="14"/>
        <v>0</v>
      </c>
      <c r="P353" s="77">
        <v>20727</v>
      </c>
      <c r="Q353" s="73">
        <f t="shared" si="15"/>
        <v>0</v>
      </c>
      <c r="R353" s="57"/>
      <c r="S353" s="57"/>
      <c r="T353" s="57"/>
      <c r="U353" s="57"/>
      <c r="V353" s="73">
        <f t="shared" si="16"/>
        <v>0</v>
      </c>
      <c r="W353" s="106"/>
      <c r="X353" s="64"/>
    </row>
    <row r="354" spans="1:24" s="66" customFormat="1" ht="12" hidden="1" customHeight="1">
      <c r="A354" s="74" t="s">
        <v>524</v>
      </c>
      <c r="B354" s="74"/>
      <c r="C354" s="74"/>
      <c r="D354" s="74"/>
      <c r="E354" s="74"/>
      <c r="F354" s="74"/>
      <c r="G354" s="74"/>
      <c r="H354" s="74"/>
      <c r="I354" s="75" t="s">
        <v>2139</v>
      </c>
      <c r="J354" s="75" t="s">
        <v>1062</v>
      </c>
      <c r="K354" s="74" t="s">
        <v>1064</v>
      </c>
      <c r="L354" s="76" t="s">
        <v>20</v>
      </c>
      <c r="M354" s="57"/>
      <c r="N354" s="77">
        <v>1690</v>
      </c>
      <c r="O354" s="57">
        <f t="shared" si="14"/>
        <v>0</v>
      </c>
      <c r="P354" s="77">
        <v>20727</v>
      </c>
      <c r="Q354" s="73">
        <f t="shared" si="15"/>
        <v>0</v>
      </c>
      <c r="R354" s="57"/>
      <c r="S354" s="57"/>
      <c r="T354" s="57"/>
      <c r="U354" s="57"/>
      <c r="V354" s="73">
        <f t="shared" si="16"/>
        <v>0</v>
      </c>
      <c r="W354" s="106"/>
      <c r="X354" s="64"/>
    </row>
    <row r="355" spans="1:24" s="66" customFormat="1" ht="12" hidden="1" customHeight="1">
      <c r="A355" s="74" t="s">
        <v>525</v>
      </c>
      <c r="B355" s="74"/>
      <c r="C355" s="74"/>
      <c r="D355" s="74"/>
      <c r="E355" s="74"/>
      <c r="F355" s="74"/>
      <c r="G355" s="74"/>
      <c r="H355" s="74"/>
      <c r="I355" s="75" t="s">
        <v>2139</v>
      </c>
      <c r="J355" s="75" t="s">
        <v>1062</v>
      </c>
      <c r="K355" s="74" t="s">
        <v>1063</v>
      </c>
      <c r="L355" s="76" t="s">
        <v>20</v>
      </c>
      <c r="M355" s="57"/>
      <c r="N355" s="77">
        <v>2340</v>
      </c>
      <c r="O355" s="57">
        <f t="shared" si="14"/>
        <v>0</v>
      </c>
      <c r="P355" s="77">
        <v>20727</v>
      </c>
      <c r="Q355" s="73">
        <f t="shared" si="15"/>
        <v>0</v>
      </c>
      <c r="R355" s="57"/>
      <c r="S355" s="57"/>
      <c r="T355" s="57"/>
      <c r="U355" s="57"/>
      <c r="V355" s="73">
        <f t="shared" si="16"/>
        <v>0</v>
      </c>
      <c r="W355" s="106"/>
      <c r="X355" s="64"/>
    </row>
    <row r="356" spans="1:24" s="66" customFormat="1" ht="12" hidden="1" customHeight="1">
      <c r="A356" s="74" t="s">
        <v>526</v>
      </c>
      <c r="B356" s="74"/>
      <c r="C356" s="74"/>
      <c r="D356" s="74"/>
      <c r="E356" s="74"/>
      <c r="F356" s="74"/>
      <c r="G356" s="74"/>
      <c r="H356" s="74"/>
      <c r="I356" s="75" t="s">
        <v>2141</v>
      </c>
      <c r="J356" s="75" t="s">
        <v>1062</v>
      </c>
      <c r="K356" s="74" t="s">
        <v>1070</v>
      </c>
      <c r="L356" s="76" t="s">
        <v>20</v>
      </c>
      <c r="M356" s="57"/>
      <c r="N356" s="77">
        <v>3244</v>
      </c>
      <c r="O356" s="57">
        <f t="shared" si="14"/>
        <v>0</v>
      </c>
      <c r="P356" s="77">
        <v>37567</v>
      </c>
      <c r="Q356" s="73">
        <f t="shared" si="15"/>
        <v>0</v>
      </c>
      <c r="R356" s="57"/>
      <c r="S356" s="57"/>
      <c r="T356" s="57"/>
      <c r="U356" s="57"/>
      <c r="V356" s="73">
        <f t="shared" si="16"/>
        <v>0</v>
      </c>
      <c r="W356" s="106"/>
      <c r="X356" s="64"/>
    </row>
    <row r="357" spans="1:24" s="66" customFormat="1" ht="12" hidden="1" customHeight="1">
      <c r="A357" s="74" t="s">
        <v>527</v>
      </c>
      <c r="B357" s="74"/>
      <c r="C357" s="74"/>
      <c r="D357" s="74"/>
      <c r="E357" s="74"/>
      <c r="F357" s="74"/>
      <c r="G357" s="74"/>
      <c r="H357" s="74"/>
      <c r="I357" s="75" t="s">
        <v>2141</v>
      </c>
      <c r="J357" s="75" t="s">
        <v>1062</v>
      </c>
      <c r="K357" s="74" t="s">
        <v>1069</v>
      </c>
      <c r="L357" s="76" t="s">
        <v>20</v>
      </c>
      <c r="M357" s="57"/>
      <c r="N357" s="77">
        <v>5376</v>
      </c>
      <c r="O357" s="57">
        <f t="shared" si="14"/>
        <v>0</v>
      </c>
      <c r="P357" s="77">
        <v>37567</v>
      </c>
      <c r="Q357" s="73">
        <f t="shared" si="15"/>
        <v>0</v>
      </c>
      <c r="R357" s="57"/>
      <c r="S357" s="57"/>
      <c r="T357" s="57"/>
      <c r="U357" s="57"/>
      <c r="V357" s="73">
        <f t="shared" si="16"/>
        <v>0</v>
      </c>
      <c r="W357" s="106"/>
      <c r="X357" s="64"/>
    </row>
    <row r="358" spans="1:24" s="66" customFormat="1" ht="12" hidden="1" customHeight="1">
      <c r="A358" s="74" t="s">
        <v>528</v>
      </c>
      <c r="B358" s="74"/>
      <c r="C358" s="74"/>
      <c r="D358" s="74"/>
      <c r="E358" s="74"/>
      <c r="F358" s="74"/>
      <c r="G358" s="74"/>
      <c r="H358" s="74"/>
      <c r="I358" s="75" t="s">
        <v>2141</v>
      </c>
      <c r="J358" s="75" t="s">
        <v>1062</v>
      </c>
      <c r="K358" s="74" t="s">
        <v>1068</v>
      </c>
      <c r="L358" s="76" t="s">
        <v>20</v>
      </c>
      <c r="M358" s="57"/>
      <c r="N358" s="77">
        <v>5941</v>
      </c>
      <c r="O358" s="57">
        <f t="shared" si="14"/>
        <v>0</v>
      </c>
      <c r="P358" s="77">
        <v>37567</v>
      </c>
      <c r="Q358" s="73">
        <f t="shared" si="15"/>
        <v>0</v>
      </c>
      <c r="R358" s="57"/>
      <c r="S358" s="57"/>
      <c r="T358" s="57"/>
      <c r="U358" s="57"/>
      <c r="V358" s="73">
        <f t="shared" si="16"/>
        <v>0</v>
      </c>
      <c r="W358" s="106"/>
      <c r="X358" s="64"/>
    </row>
    <row r="359" spans="1:24" s="66" customFormat="1" ht="12" hidden="1" customHeight="1">
      <c r="A359" s="74" t="s">
        <v>529</v>
      </c>
      <c r="B359" s="74"/>
      <c r="C359" s="74"/>
      <c r="D359" s="74"/>
      <c r="E359" s="74"/>
      <c r="F359" s="74"/>
      <c r="G359" s="74"/>
      <c r="H359" s="74"/>
      <c r="I359" s="75" t="s">
        <v>2140</v>
      </c>
      <c r="J359" s="75" t="s">
        <v>1062</v>
      </c>
      <c r="K359" s="74" t="s">
        <v>1067</v>
      </c>
      <c r="L359" s="76" t="s">
        <v>20</v>
      </c>
      <c r="M359" s="57"/>
      <c r="N359" s="77">
        <v>4183</v>
      </c>
      <c r="O359" s="57">
        <f t="shared" si="14"/>
        <v>0</v>
      </c>
      <c r="P359" s="77">
        <v>38863</v>
      </c>
      <c r="Q359" s="73">
        <f t="shared" si="15"/>
        <v>0</v>
      </c>
      <c r="R359" s="57"/>
      <c r="S359" s="57"/>
      <c r="T359" s="57"/>
      <c r="U359" s="57"/>
      <c r="V359" s="73">
        <f t="shared" si="16"/>
        <v>0</v>
      </c>
      <c r="W359" s="106"/>
      <c r="X359" s="64"/>
    </row>
    <row r="360" spans="1:24" s="66" customFormat="1" ht="12" hidden="1" customHeight="1">
      <c r="A360" s="74" t="s">
        <v>530</v>
      </c>
      <c r="B360" s="74"/>
      <c r="C360" s="74"/>
      <c r="D360" s="74"/>
      <c r="E360" s="74"/>
      <c r="F360" s="74"/>
      <c r="G360" s="74"/>
      <c r="H360" s="74"/>
      <c r="I360" s="75" t="s">
        <v>2140</v>
      </c>
      <c r="J360" s="75" t="s">
        <v>1062</v>
      </c>
      <c r="K360" s="74" t="s">
        <v>1066</v>
      </c>
      <c r="L360" s="76" t="s">
        <v>20</v>
      </c>
      <c r="M360" s="57"/>
      <c r="N360" s="77">
        <v>6800</v>
      </c>
      <c r="O360" s="57">
        <f t="shared" si="14"/>
        <v>0</v>
      </c>
      <c r="P360" s="77">
        <v>38863</v>
      </c>
      <c r="Q360" s="73">
        <f t="shared" si="15"/>
        <v>0</v>
      </c>
      <c r="R360" s="57"/>
      <c r="S360" s="57"/>
      <c r="T360" s="57"/>
      <c r="U360" s="57"/>
      <c r="V360" s="73">
        <f t="shared" si="16"/>
        <v>0</v>
      </c>
      <c r="W360" s="106"/>
      <c r="X360" s="64"/>
    </row>
    <row r="361" spans="1:24" s="66" customFormat="1" ht="12" hidden="1" customHeight="1">
      <c r="A361" s="74" t="s">
        <v>531</v>
      </c>
      <c r="B361" s="74"/>
      <c r="C361" s="74"/>
      <c r="D361" s="74"/>
      <c r="E361" s="74"/>
      <c r="F361" s="74"/>
      <c r="G361" s="74"/>
      <c r="H361" s="74"/>
      <c r="I361" s="75" t="s">
        <v>2140</v>
      </c>
      <c r="J361" s="75" t="s">
        <v>1062</v>
      </c>
      <c r="K361" s="74" t="s">
        <v>1065</v>
      </c>
      <c r="L361" s="76" t="s">
        <v>20</v>
      </c>
      <c r="M361" s="57"/>
      <c r="N361" s="77">
        <v>8010</v>
      </c>
      <c r="O361" s="57">
        <f t="shared" si="14"/>
        <v>0</v>
      </c>
      <c r="P361" s="77">
        <v>38863</v>
      </c>
      <c r="Q361" s="73">
        <f t="shared" si="15"/>
        <v>0</v>
      </c>
      <c r="R361" s="57"/>
      <c r="S361" s="57"/>
      <c r="T361" s="57"/>
      <c r="U361" s="57"/>
      <c r="V361" s="73">
        <f t="shared" si="16"/>
        <v>0</v>
      </c>
      <c r="W361" s="106"/>
      <c r="X361" s="64"/>
    </row>
    <row r="362" spans="1:24" s="66" customFormat="1" ht="12" hidden="1" customHeight="1">
      <c r="A362" s="74" t="s">
        <v>1757</v>
      </c>
      <c r="B362" s="74"/>
      <c r="C362" s="74"/>
      <c r="D362" s="74"/>
      <c r="E362" s="74"/>
      <c r="F362" s="74"/>
      <c r="G362" s="74"/>
      <c r="H362" s="74"/>
      <c r="I362" s="75" t="s">
        <v>2140</v>
      </c>
      <c r="J362" s="75" t="s">
        <v>1552</v>
      </c>
      <c r="K362" s="74" t="s">
        <v>1551</v>
      </c>
      <c r="L362" s="76" t="s">
        <v>20</v>
      </c>
      <c r="M362" s="57"/>
      <c r="N362" s="77">
        <v>0</v>
      </c>
      <c r="O362" s="57">
        <f t="shared" si="14"/>
        <v>0</v>
      </c>
      <c r="P362" s="77">
        <v>38863</v>
      </c>
      <c r="Q362" s="73">
        <f t="shared" si="15"/>
        <v>0</v>
      </c>
      <c r="R362" s="57"/>
      <c r="S362" s="57"/>
      <c r="T362" s="57"/>
      <c r="U362" s="57"/>
      <c r="V362" s="73">
        <f t="shared" si="16"/>
        <v>0</v>
      </c>
      <c r="W362" s="106"/>
      <c r="X362" s="64"/>
    </row>
    <row r="363" spans="1:24" s="66" customFormat="1" ht="12" hidden="1" customHeight="1">
      <c r="A363" s="74" t="s">
        <v>34</v>
      </c>
      <c r="B363" s="74"/>
      <c r="C363" s="74"/>
      <c r="D363" s="74"/>
      <c r="E363" s="74"/>
      <c r="F363" s="74"/>
      <c r="G363" s="74"/>
      <c r="H363" s="74"/>
      <c r="I363" s="75" t="s">
        <v>1857</v>
      </c>
      <c r="J363" s="75" t="s">
        <v>1867</v>
      </c>
      <c r="K363" s="74" t="s">
        <v>1868</v>
      </c>
      <c r="L363" s="76" t="s">
        <v>1135</v>
      </c>
      <c r="M363" s="57"/>
      <c r="N363" s="77">
        <v>670</v>
      </c>
      <c r="O363" s="57">
        <f t="shared" si="14"/>
        <v>0</v>
      </c>
      <c r="P363" s="77">
        <v>73516</v>
      </c>
      <c r="Q363" s="73">
        <f t="shared" si="15"/>
        <v>0</v>
      </c>
      <c r="R363" s="57"/>
      <c r="S363" s="57"/>
      <c r="T363" s="57"/>
      <c r="U363" s="57"/>
      <c r="V363" s="73">
        <f t="shared" si="16"/>
        <v>0</v>
      </c>
      <c r="W363" s="106"/>
      <c r="X363" s="64"/>
    </row>
    <row r="364" spans="1:24" s="66" customFormat="1" ht="12" hidden="1" customHeight="1">
      <c r="A364" s="74" t="s">
        <v>35</v>
      </c>
      <c r="B364" s="74"/>
      <c r="C364" s="74"/>
      <c r="D364" s="74"/>
      <c r="E364" s="74"/>
      <c r="F364" s="74"/>
      <c r="G364" s="74"/>
      <c r="H364" s="74"/>
      <c r="I364" s="75" t="s">
        <v>1858</v>
      </c>
      <c r="J364" s="75" t="s">
        <v>1867</v>
      </c>
      <c r="K364" s="74" t="s">
        <v>1869</v>
      </c>
      <c r="L364" s="76" t="s">
        <v>1135</v>
      </c>
      <c r="M364" s="57"/>
      <c r="N364" s="77">
        <v>770</v>
      </c>
      <c r="O364" s="57">
        <f t="shared" si="14"/>
        <v>0</v>
      </c>
      <c r="P364" s="77">
        <v>89853</v>
      </c>
      <c r="Q364" s="73">
        <f t="shared" si="15"/>
        <v>0</v>
      </c>
      <c r="R364" s="57"/>
      <c r="S364" s="57"/>
      <c r="T364" s="57"/>
      <c r="U364" s="57"/>
      <c r="V364" s="73">
        <f t="shared" si="16"/>
        <v>0</v>
      </c>
      <c r="W364" s="106"/>
      <c r="X364" s="64"/>
    </row>
    <row r="365" spans="1:24" s="66" customFormat="1" ht="12" hidden="1" customHeight="1">
      <c r="A365" s="74" t="s">
        <v>36</v>
      </c>
      <c r="B365" s="74"/>
      <c r="C365" s="74"/>
      <c r="D365" s="74"/>
      <c r="E365" s="74"/>
      <c r="F365" s="74"/>
      <c r="G365" s="74"/>
      <c r="H365" s="74"/>
      <c r="I365" s="75" t="s">
        <v>1859</v>
      </c>
      <c r="J365" s="75" t="s">
        <v>1867</v>
      </c>
      <c r="K365" s="74" t="s">
        <v>1870</v>
      </c>
      <c r="L365" s="76" t="s">
        <v>1135</v>
      </c>
      <c r="M365" s="57"/>
      <c r="N365" s="77">
        <v>1000</v>
      </c>
      <c r="O365" s="57">
        <f t="shared" ref="O365:O438" si="17">M365*N365*$O$3</f>
        <v>0</v>
      </c>
      <c r="P365" s="77">
        <v>98021</v>
      </c>
      <c r="Q365" s="73">
        <f t="shared" si="15"/>
        <v>0</v>
      </c>
      <c r="R365" s="57"/>
      <c r="S365" s="57"/>
      <c r="T365" s="57"/>
      <c r="U365" s="57"/>
      <c r="V365" s="73">
        <f t="shared" si="16"/>
        <v>0</v>
      </c>
      <c r="W365" s="106"/>
      <c r="X365" s="64"/>
    </row>
    <row r="366" spans="1:24" s="66" customFormat="1" ht="12" hidden="1" customHeight="1">
      <c r="A366" s="74" t="s">
        <v>37</v>
      </c>
      <c r="B366" s="74"/>
      <c r="C366" s="74"/>
      <c r="D366" s="74"/>
      <c r="E366" s="74"/>
      <c r="F366" s="74"/>
      <c r="G366" s="74"/>
      <c r="H366" s="74"/>
      <c r="I366" s="75" t="s">
        <v>1860</v>
      </c>
      <c r="J366" s="75" t="s">
        <v>1867</v>
      </c>
      <c r="K366" s="74" t="s">
        <v>1871</v>
      </c>
      <c r="L366" s="76" t="s">
        <v>1135</v>
      </c>
      <c r="M366" s="57"/>
      <c r="N366" s="77">
        <v>1460</v>
      </c>
      <c r="O366" s="57">
        <f t="shared" si="17"/>
        <v>0</v>
      </c>
      <c r="P366" s="77">
        <v>108912</v>
      </c>
      <c r="Q366" s="73">
        <f t="shared" si="15"/>
        <v>0</v>
      </c>
      <c r="R366" s="57"/>
      <c r="S366" s="57"/>
      <c r="T366" s="57"/>
      <c r="U366" s="57"/>
      <c r="V366" s="73">
        <f t="shared" si="16"/>
        <v>0</v>
      </c>
      <c r="W366" s="106"/>
      <c r="X366" s="64"/>
    </row>
    <row r="367" spans="1:24" s="66" customFormat="1" ht="12" hidden="1" customHeight="1">
      <c r="A367" s="74" t="s">
        <v>38</v>
      </c>
      <c r="B367" s="74"/>
      <c r="C367" s="74"/>
      <c r="D367" s="74"/>
      <c r="E367" s="74"/>
      <c r="F367" s="74"/>
      <c r="G367" s="74"/>
      <c r="H367" s="74"/>
      <c r="I367" s="75" t="s">
        <v>1861</v>
      </c>
      <c r="J367" s="75" t="s">
        <v>1867</v>
      </c>
      <c r="K367" s="74" t="s">
        <v>1872</v>
      </c>
      <c r="L367" s="76" t="s">
        <v>1135</v>
      </c>
      <c r="M367" s="57"/>
      <c r="N367" s="77">
        <v>1900</v>
      </c>
      <c r="O367" s="57">
        <f t="shared" si="17"/>
        <v>0</v>
      </c>
      <c r="P367" s="77">
        <v>127972</v>
      </c>
      <c r="Q367" s="73">
        <f t="shared" si="15"/>
        <v>0</v>
      </c>
      <c r="R367" s="57"/>
      <c r="S367" s="57"/>
      <c r="T367" s="57"/>
      <c r="U367" s="57"/>
      <c r="V367" s="73">
        <f t="shared" si="16"/>
        <v>0</v>
      </c>
      <c r="W367" s="106"/>
      <c r="X367" s="64"/>
    </row>
    <row r="368" spans="1:24" s="66" customFormat="1" ht="12" hidden="1" customHeight="1">
      <c r="A368" s="74" t="s">
        <v>39</v>
      </c>
      <c r="B368" s="74"/>
      <c r="C368" s="74"/>
      <c r="D368" s="74"/>
      <c r="E368" s="74"/>
      <c r="F368" s="74"/>
      <c r="G368" s="74"/>
      <c r="H368" s="74"/>
      <c r="I368" s="75" t="s">
        <v>1862</v>
      </c>
      <c r="J368" s="75" t="s">
        <v>1867</v>
      </c>
      <c r="K368" s="74" t="s">
        <v>1873</v>
      </c>
      <c r="L368" s="76" t="s">
        <v>1135</v>
      </c>
      <c r="M368" s="57"/>
      <c r="N368" s="77">
        <v>2680</v>
      </c>
      <c r="O368" s="57">
        <f t="shared" si="17"/>
        <v>0</v>
      </c>
      <c r="P368" s="77">
        <v>136141</v>
      </c>
      <c r="Q368" s="73">
        <f t="shared" si="15"/>
        <v>0</v>
      </c>
      <c r="R368" s="57"/>
      <c r="S368" s="57"/>
      <c r="T368" s="57"/>
      <c r="U368" s="57"/>
      <c r="V368" s="73">
        <f t="shared" si="16"/>
        <v>0</v>
      </c>
      <c r="W368" s="106"/>
      <c r="X368" s="64"/>
    </row>
    <row r="369" spans="1:24" s="66" customFormat="1" ht="12" hidden="1" customHeight="1">
      <c r="A369" s="74" t="s">
        <v>40</v>
      </c>
      <c r="B369" s="74"/>
      <c r="C369" s="74"/>
      <c r="D369" s="74"/>
      <c r="E369" s="74"/>
      <c r="F369" s="74"/>
      <c r="G369" s="74"/>
      <c r="H369" s="74"/>
      <c r="I369" s="75" t="s">
        <v>1863</v>
      </c>
      <c r="J369" s="75" t="s">
        <v>1867</v>
      </c>
      <c r="K369" s="74" t="s">
        <v>1874</v>
      </c>
      <c r="L369" s="76" t="s">
        <v>1135</v>
      </c>
      <c r="M369" s="57"/>
      <c r="N369" s="77">
        <v>3350</v>
      </c>
      <c r="O369" s="57">
        <f t="shared" si="17"/>
        <v>0</v>
      </c>
      <c r="P369" s="77">
        <v>155200</v>
      </c>
      <c r="Q369" s="73">
        <f t="shared" si="15"/>
        <v>0</v>
      </c>
      <c r="R369" s="57"/>
      <c r="S369" s="57"/>
      <c r="T369" s="57"/>
      <c r="U369" s="57"/>
      <c r="V369" s="73">
        <f t="shared" si="16"/>
        <v>0</v>
      </c>
      <c r="W369" s="106"/>
      <c r="X369" s="64"/>
    </row>
    <row r="370" spans="1:24" s="66" customFormat="1" ht="12" hidden="1" customHeight="1">
      <c r="A370" s="74" t="s">
        <v>41</v>
      </c>
      <c r="B370" s="74"/>
      <c r="C370" s="74"/>
      <c r="D370" s="74"/>
      <c r="E370" s="74"/>
      <c r="F370" s="74"/>
      <c r="G370" s="74"/>
      <c r="H370" s="74"/>
      <c r="I370" s="75" t="s">
        <v>1864</v>
      </c>
      <c r="J370" s="75" t="s">
        <v>1867</v>
      </c>
      <c r="K370" s="74" t="s">
        <v>1875</v>
      </c>
      <c r="L370" s="76" t="s">
        <v>1135</v>
      </c>
      <c r="M370" s="57"/>
      <c r="N370" s="77">
        <v>4480</v>
      </c>
      <c r="O370" s="57">
        <f t="shared" si="17"/>
        <v>0</v>
      </c>
      <c r="P370" s="77">
        <v>185151</v>
      </c>
      <c r="Q370" s="73">
        <f t="shared" si="15"/>
        <v>0</v>
      </c>
      <c r="R370" s="57"/>
      <c r="S370" s="57"/>
      <c r="T370" s="57"/>
      <c r="U370" s="57"/>
      <c r="V370" s="73">
        <f t="shared" si="16"/>
        <v>0</v>
      </c>
      <c r="W370" s="106"/>
      <c r="X370" s="64"/>
    </row>
    <row r="371" spans="1:24" s="66" customFormat="1" ht="12" hidden="1" customHeight="1">
      <c r="A371" s="74" t="s">
        <v>42</v>
      </c>
      <c r="B371" s="74"/>
      <c r="C371" s="74"/>
      <c r="D371" s="74"/>
      <c r="E371" s="74"/>
      <c r="F371" s="74"/>
      <c r="G371" s="74"/>
      <c r="H371" s="74"/>
      <c r="I371" s="75" t="s">
        <v>1864</v>
      </c>
      <c r="J371" s="75" t="s">
        <v>1867</v>
      </c>
      <c r="K371" s="74" t="s">
        <v>1876</v>
      </c>
      <c r="L371" s="76" t="s">
        <v>1135</v>
      </c>
      <c r="M371" s="57"/>
      <c r="N371" s="77">
        <v>5590</v>
      </c>
      <c r="O371" s="57">
        <f t="shared" si="17"/>
        <v>0</v>
      </c>
      <c r="P371" s="77">
        <v>185151</v>
      </c>
      <c r="Q371" s="73">
        <f t="shared" si="15"/>
        <v>0</v>
      </c>
      <c r="R371" s="57"/>
      <c r="S371" s="57"/>
      <c r="T371" s="57"/>
      <c r="U371" s="57"/>
      <c r="V371" s="73">
        <f t="shared" si="16"/>
        <v>0</v>
      </c>
      <c r="W371" s="106"/>
      <c r="X371" s="64"/>
    </row>
    <row r="372" spans="1:24" s="66" customFormat="1" ht="12" hidden="1" customHeight="1">
      <c r="A372" s="74" t="s">
        <v>43</v>
      </c>
      <c r="B372" s="74"/>
      <c r="C372" s="74"/>
      <c r="D372" s="74"/>
      <c r="E372" s="74"/>
      <c r="F372" s="74"/>
      <c r="G372" s="74"/>
      <c r="H372" s="74"/>
      <c r="I372" s="75" t="s">
        <v>1865</v>
      </c>
      <c r="J372" s="75" t="s">
        <v>1867</v>
      </c>
      <c r="K372" s="74" t="s">
        <v>1877</v>
      </c>
      <c r="L372" s="76" t="s">
        <v>1135</v>
      </c>
      <c r="M372" s="57"/>
      <c r="N372" s="77">
        <v>7830</v>
      </c>
      <c r="O372" s="57">
        <f t="shared" si="17"/>
        <v>0</v>
      </c>
      <c r="P372" s="77">
        <v>209657</v>
      </c>
      <c r="Q372" s="73">
        <f t="shared" si="15"/>
        <v>0</v>
      </c>
      <c r="R372" s="57"/>
      <c r="S372" s="57"/>
      <c r="T372" s="57"/>
      <c r="U372" s="57"/>
      <c r="V372" s="73">
        <f t="shared" si="16"/>
        <v>0</v>
      </c>
      <c r="W372" s="106"/>
      <c r="X372" s="64"/>
    </row>
    <row r="373" spans="1:24" s="66" customFormat="1" ht="12" hidden="1" customHeight="1">
      <c r="A373" s="74" t="s">
        <v>44</v>
      </c>
      <c r="B373" s="74"/>
      <c r="C373" s="74"/>
      <c r="D373" s="74"/>
      <c r="E373" s="74"/>
      <c r="F373" s="74"/>
      <c r="G373" s="74"/>
      <c r="H373" s="74"/>
      <c r="I373" s="75" t="s">
        <v>1866</v>
      </c>
      <c r="J373" s="75" t="s">
        <v>1867</v>
      </c>
      <c r="K373" s="74" t="s">
        <v>1878</v>
      </c>
      <c r="L373" s="76" t="s">
        <v>1135</v>
      </c>
      <c r="M373" s="57"/>
      <c r="N373" s="77">
        <v>11190</v>
      </c>
      <c r="O373" s="57">
        <f t="shared" si="17"/>
        <v>0</v>
      </c>
      <c r="P373" s="77">
        <v>228716</v>
      </c>
      <c r="Q373" s="73">
        <f t="shared" si="15"/>
        <v>0</v>
      </c>
      <c r="R373" s="57"/>
      <c r="S373" s="57"/>
      <c r="T373" s="57"/>
      <c r="U373" s="57"/>
      <c r="V373" s="73">
        <f t="shared" si="16"/>
        <v>0</v>
      </c>
      <c r="W373" s="106"/>
      <c r="X373" s="64"/>
    </row>
    <row r="374" spans="1:24" s="66" customFormat="1" ht="12" hidden="1" customHeight="1">
      <c r="A374" s="74" t="s">
        <v>45</v>
      </c>
      <c r="B374" s="74"/>
      <c r="C374" s="74"/>
      <c r="D374" s="74"/>
      <c r="E374" s="74"/>
      <c r="F374" s="74"/>
      <c r="G374" s="74"/>
      <c r="H374" s="74"/>
      <c r="I374" s="75" t="s">
        <v>1879</v>
      </c>
      <c r="J374" s="75" t="s">
        <v>1867</v>
      </c>
      <c r="K374" s="74" t="s">
        <v>1880</v>
      </c>
      <c r="L374" s="76" t="s">
        <v>1135</v>
      </c>
      <c r="M374" s="57"/>
      <c r="N374" s="77">
        <v>13430</v>
      </c>
      <c r="O374" s="57">
        <f t="shared" si="17"/>
        <v>0</v>
      </c>
      <c r="P374" s="77">
        <v>264113</v>
      </c>
      <c r="Q374" s="73">
        <f t="shared" si="15"/>
        <v>0</v>
      </c>
      <c r="R374" s="57"/>
      <c r="S374" s="57"/>
      <c r="T374" s="57"/>
      <c r="U374" s="57"/>
      <c r="V374" s="73">
        <f t="shared" si="16"/>
        <v>0</v>
      </c>
      <c r="W374" s="106"/>
      <c r="X374" s="64"/>
    </row>
    <row r="375" spans="1:24" s="66" customFormat="1" ht="12" hidden="1" customHeight="1">
      <c r="A375" s="74" t="s">
        <v>46</v>
      </c>
      <c r="B375" s="74"/>
      <c r="C375" s="74"/>
      <c r="D375" s="74"/>
      <c r="E375" s="74"/>
      <c r="F375" s="74"/>
      <c r="G375" s="74"/>
      <c r="H375" s="74"/>
      <c r="I375" s="75" t="s">
        <v>1881</v>
      </c>
      <c r="J375" s="75" t="s">
        <v>1867</v>
      </c>
      <c r="K375" s="74" t="s">
        <v>1882</v>
      </c>
      <c r="L375" s="76" t="s">
        <v>1135</v>
      </c>
      <c r="M375" s="57"/>
      <c r="N375" s="77">
        <v>15670</v>
      </c>
      <c r="O375" s="57">
        <f t="shared" si="17"/>
        <v>0</v>
      </c>
      <c r="P375" s="77">
        <v>291341</v>
      </c>
      <c r="Q375" s="73">
        <f t="shared" si="15"/>
        <v>0</v>
      </c>
      <c r="R375" s="57"/>
      <c r="S375" s="57"/>
      <c r="T375" s="57"/>
      <c r="U375" s="57"/>
      <c r="V375" s="73">
        <f t="shared" si="16"/>
        <v>0</v>
      </c>
      <c r="W375" s="106"/>
      <c r="X375" s="64"/>
    </row>
    <row r="376" spans="1:24" s="66" customFormat="1" ht="12" hidden="1" customHeight="1">
      <c r="A376" s="74" t="s">
        <v>1686</v>
      </c>
      <c r="B376" s="74"/>
      <c r="C376" s="74"/>
      <c r="D376" s="74"/>
      <c r="E376" s="74"/>
      <c r="F376" s="74"/>
      <c r="G376" s="74"/>
      <c r="H376" s="74"/>
      <c r="I376" s="75" t="s">
        <v>1858</v>
      </c>
      <c r="J376" s="75" t="s">
        <v>1883</v>
      </c>
      <c r="K376" s="74" t="s">
        <v>1884</v>
      </c>
      <c r="L376" s="76" t="s">
        <v>1135</v>
      </c>
      <c r="M376" s="57"/>
      <c r="N376" s="77">
        <v>739</v>
      </c>
      <c r="O376" s="57">
        <f t="shared" si="17"/>
        <v>0</v>
      </c>
      <c r="P376" s="77">
        <v>89853</v>
      </c>
      <c r="Q376" s="73">
        <f t="shared" si="15"/>
        <v>0</v>
      </c>
      <c r="R376" s="57"/>
      <c r="S376" s="57"/>
      <c r="T376" s="57"/>
      <c r="U376" s="57"/>
      <c r="V376" s="73">
        <f t="shared" si="16"/>
        <v>0</v>
      </c>
      <c r="W376" s="106"/>
      <c r="X376" s="64"/>
    </row>
    <row r="377" spans="1:24" s="66" customFormat="1" ht="12" hidden="1" customHeight="1">
      <c r="A377" s="74" t="s">
        <v>1687</v>
      </c>
      <c r="B377" s="74"/>
      <c r="C377" s="74"/>
      <c r="D377" s="74"/>
      <c r="E377" s="74"/>
      <c r="F377" s="74"/>
      <c r="G377" s="74"/>
      <c r="H377" s="74"/>
      <c r="I377" s="75" t="s">
        <v>1859</v>
      </c>
      <c r="J377" s="75" t="s">
        <v>1883</v>
      </c>
      <c r="K377" s="74" t="s">
        <v>1885</v>
      </c>
      <c r="L377" s="76" t="s">
        <v>1135</v>
      </c>
      <c r="M377" s="57"/>
      <c r="N377" s="77">
        <v>986</v>
      </c>
      <c r="O377" s="57">
        <f t="shared" si="17"/>
        <v>0</v>
      </c>
      <c r="P377" s="77">
        <v>98021</v>
      </c>
      <c r="Q377" s="73">
        <f t="shared" si="15"/>
        <v>0</v>
      </c>
      <c r="R377" s="57"/>
      <c r="S377" s="57"/>
      <c r="T377" s="57"/>
      <c r="U377" s="57"/>
      <c r="V377" s="73">
        <f t="shared" si="16"/>
        <v>0</v>
      </c>
      <c r="W377" s="106"/>
      <c r="X377" s="64"/>
    </row>
    <row r="378" spans="1:24" s="66" customFormat="1" ht="12" hidden="1" customHeight="1">
      <c r="A378" s="74" t="s">
        <v>1688</v>
      </c>
      <c r="B378" s="74"/>
      <c r="C378" s="74"/>
      <c r="D378" s="74"/>
      <c r="E378" s="74"/>
      <c r="F378" s="74"/>
      <c r="G378" s="74"/>
      <c r="H378" s="74"/>
      <c r="I378" s="75" t="s">
        <v>1860</v>
      </c>
      <c r="J378" s="75" t="s">
        <v>1883</v>
      </c>
      <c r="K378" s="74" t="s">
        <v>1886</v>
      </c>
      <c r="L378" s="76" t="s">
        <v>1135</v>
      </c>
      <c r="M378" s="57"/>
      <c r="N378" s="77">
        <v>1320</v>
      </c>
      <c r="O378" s="57">
        <f t="shared" si="17"/>
        <v>0</v>
      </c>
      <c r="P378" s="77">
        <v>108912</v>
      </c>
      <c r="Q378" s="73">
        <f t="shared" si="15"/>
        <v>0</v>
      </c>
      <c r="R378" s="57"/>
      <c r="S378" s="57"/>
      <c r="T378" s="57"/>
      <c r="U378" s="57"/>
      <c r="V378" s="73">
        <f t="shared" si="16"/>
        <v>0</v>
      </c>
      <c r="W378" s="106"/>
      <c r="X378" s="64"/>
    </row>
    <row r="379" spans="1:24" s="66" customFormat="1" ht="12" hidden="1" customHeight="1">
      <c r="A379" s="74" t="s">
        <v>1689</v>
      </c>
      <c r="B379" s="74"/>
      <c r="C379" s="74"/>
      <c r="D379" s="74"/>
      <c r="E379" s="74"/>
      <c r="F379" s="74"/>
      <c r="G379" s="74"/>
      <c r="H379" s="74"/>
      <c r="I379" s="75" t="s">
        <v>1861</v>
      </c>
      <c r="J379" s="75" t="s">
        <v>1883</v>
      </c>
      <c r="K379" s="74" t="s">
        <v>1887</v>
      </c>
      <c r="L379" s="76" t="s">
        <v>1135</v>
      </c>
      <c r="M379" s="57"/>
      <c r="N379" s="77">
        <v>2147</v>
      </c>
      <c r="O379" s="57">
        <f t="shared" si="17"/>
        <v>0</v>
      </c>
      <c r="P379" s="77">
        <v>127972</v>
      </c>
      <c r="Q379" s="73">
        <f t="shared" si="15"/>
        <v>0</v>
      </c>
      <c r="R379" s="57"/>
      <c r="S379" s="57"/>
      <c r="T379" s="57"/>
      <c r="U379" s="57"/>
      <c r="V379" s="73">
        <f t="shared" si="16"/>
        <v>0</v>
      </c>
      <c r="W379" s="106"/>
      <c r="X379" s="64"/>
    </row>
    <row r="380" spans="1:24" s="66" customFormat="1" ht="12" hidden="1" customHeight="1">
      <c r="A380" s="74" t="s">
        <v>1690</v>
      </c>
      <c r="B380" s="74"/>
      <c r="C380" s="74"/>
      <c r="D380" s="74"/>
      <c r="E380" s="74"/>
      <c r="F380" s="74"/>
      <c r="G380" s="74"/>
      <c r="H380" s="74"/>
      <c r="I380" s="75" t="s">
        <v>1862</v>
      </c>
      <c r="J380" s="75" t="s">
        <v>1883</v>
      </c>
      <c r="K380" s="74" t="s">
        <v>1888</v>
      </c>
      <c r="L380" s="76" t="s">
        <v>1135</v>
      </c>
      <c r="M380" s="57"/>
      <c r="N380" s="77">
        <v>2816</v>
      </c>
      <c r="O380" s="57">
        <f t="shared" si="17"/>
        <v>0</v>
      </c>
      <c r="P380" s="77">
        <v>136141</v>
      </c>
      <c r="Q380" s="73">
        <f t="shared" si="15"/>
        <v>0</v>
      </c>
      <c r="R380" s="57"/>
      <c r="S380" s="57"/>
      <c r="T380" s="57"/>
      <c r="U380" s="57"/>
      <c r="V380" s="73">
        <f t="shared" si="16"/>
        <v>0</v>
      </c>
      <c r="W380" s="106"/>
      <c r="X380" s="64"/>
    </row>
    <row r="381" spans="1:24" s="66" customFormat="1" ht="12" hidden="1" customHeight="1">
      <c r="A381" s="74" t="s">
        <v>1691</v>
      </c>
      <c r="B381" s="74"/>
      <c r="C381" s="74"/>
      <c r="D381" s="74"/>
      <c r="E381" s="74"/>
      <c r="F381" s="74"/>
      <c r="G381" s="74"/>
      <c r="H381" s="74"/>
      <c r="I381" s="75" t="s">
        <v>1863</v>
      </c>
      <c r="J381" s="75" t="s">
        <v>1883</v>
      </c>
      <c r="K381" s="74" t="s">
        <v>1889</v>
      </c>
      <c r="L381" s="76" t="s">
        <v>1135</v>
      </c>
      <c r="M381" s="57"/>
      <c r="N381" s="77">
        <v>3942</v>
      </c>
      <c r="O381" s="57">
        <f t="shared" si="17"/>
        <v>0</v>
      </c>
      <c r="P381" s="77">
        <v>155200</v>
      </c>
      <c r="Q381" s="73">
        <f t="shared" si="15"/>
        <v>0</v>
      </c>
      <c r="R381" s="57"/>
      <c r="S381" s="57"/>
      <c r="T381" s="57"/>
      <c r="U381" s="57"/>
      <c r="V381" s="73">
        <f t="shared" si="16"/>
        <v>0</v>
      </c>
      <c r="W381" s="106"/>
      <c r="X381" s="64"/>
    </row>
    <row r="382" spans="1:24" s="66" customFormat="1" ht="12" hidden="1" customHeight="1">
      <c r="A382" s="74" t="s">
        <v>1692</v>
      </c>
      <c r="B382" s="74"/>
      <c r="C382" s="74"/>
      <c r="D382" s="74"/>
      <c r="E382" s="74"/>
      <c r="F382" s="74"/>
      <c r="G382" s="74"/>
      <c r="H382" s="74"/>
      <c r="I382" s="75" t="s">
        <v>1864</v>
      </c>
      <c r="J382" s="75" t="s">
        <v>1883</v>
      </c>
      <c r="K382" s="74" t="s">
        <v>1890</v>
      </c>
      <c r="L382" s="76" t="s">
        <v>1135</v>
      </c>
      <c r="M382" s="57"/>
      <c r="N382" s="77">
        <v>4946</v>
      </c>
      <c r="O382" s="57">
        <f t="shared" si="17"/>
        <v>0</v>
      </c>
      <c r="P382" s="77">
        <v>185151</v>
      </c>
      <c r="Q382" s="73">
        <f t="shared" si="15"/>
        <v>0</v>
      </c>
      <c r="R382" s="57"/>
      <c r="S382" s="57"/>
      <c r="T382" s="57"/>
      <c r="U382" s="57"/>
      <c r="V382" s="73">
        <f t="shared" si="16"/>
        <v>0</v>
      </c>
      <c r="W382" s="106"/>
      <c r="X382" s="64"/>
    </row>
    <row r="383" spans="1:24" s="66" customFormat="1" ht="12" hidden="1" customHeight="1">
      <c r="A383" s="74" t="s">
        <v>1693</v>
      </c>
      <c r="B383" s="74"/>
      <c r="C383" s="74"/>
      <c r="D383" s="74"/>
      <c r="E383" s="74"/>
      <c r="F383" s="74"/>
      <c r="G383" s="74"/>
      <c r="H383" s="74"/>
      <c r="I383" s="75" t="s">
        <v>1864</v>
      </c>
      <c r="J383" s="75" t="s">
        <v>1883</v>
      </c>
      <c r="K383" s="74" t="s">
        <v>1891</v>
      </c>
      <c r="L383" s="76" t="s">
        <v>1135</v>
      </c>
      <c r="M383" s="57"/>
      <c r="N383" s="77">
        <v>5966</v>
      </c>
      <c r="O383" s="57">
        <f t="shared" si="17"/>
        <v>0</v>
      </c>
      <c r="P383" s="77">
        <v>185151</v>
      </c>
      <c r="Q383" s="73">
        <f t="shared" si="15"/>
        <v>0</v>
      </c>
      <c r="R383" s="57"/>
      <c r="S383" s="57"/>
      <c r="T383" s="57"/>
      <c r="U383" s="57"/>
      <c r="V383" s="73">
        <f t="shared" si="16"/>
        <v>0</v>
      </c>
      <c r="W383" s="106"/>
      <c r="X383" s="64"/>
    </row>
    <row r="384" spans="1:24" s="66" customFormat="1" ht="12" hidden="1" customHeight="1">
      <c r="A384" s="74" t="s">
        <v>1694</v>
      </c>
      <c r="B384" s="74"/>
      <c r="C384" s="74"/>
      <c r="D384" s="74"/>
      <c r="E384" s="74"/>
      <c r="F384" s="74"/>
      <c r="G384" s="74"/>
      <c r="H384" s="74"/>
      <c r="I384" s="75" t="s">
        <v>1865</v>
      </c>
      <c r="J384" s="75" t="s">
        <v>1883</v>
      </c>
      <c r="K384" s="74" t="s">
        <v>1892</v>
      </c>
      <c r="L384" s="76" t="s">
        <v>1135</v>
      </c>
      <c r="M384" s="57"/>
      <c r="N384" s="77">
        <v>10208</v>
      </c>
      <c r="O384" s="57">
        <f t="shared" si="17"/>
        <v>0</v>
      </c>
      <c r="P384" s="77">
        <v>209657</v>
      </c>
      <c r="Q384" s="73">
        <f t="shared" si="15"/>
        <v>0</v>
      </c>
      <c r="R384" s="57"/>
      <c r="S384" s="57"/>
      <c r="T384" s="57"/>
      <c r="U384" s="57"/>
      <c r="V384" s="73">
        <f t="shared" si="16"/>
        <v>0</v>
      </c>
      <c r="W384" s="106"/>
      <c r="X384" s="64"/>
    </row>
    <row r="385" spans="1:24" s="66" customFormat="1" ht="12" hidden="1" customHeight="1">
      <c r="A385" s="74" t="s">
        <v>1695</v>
      </c>
      <c r="B385" s="74"/>
      <c r="C385" s="74"/>
      <c r="D385" s="74"/>
      <c r="E385" s="74"/>
      <c r="F385" s="74"/>
      <c r="G385" s="74"/>
      <c r="H385" s="74"/>
      <c r="I385" s="75" t="s">
        <v>1866</v>
      </c>
      <c r="J385" s="75" t="s">
        <v>1883</v>
      </c>
      <c r="K385" s="74" t="s">
        <v>1893</v>
      </c>
      <c r="L385" s="76" t="s">
        <v>1135</v>
      </c>
      <c r="M385" s="57"/>
      <c r="N385" s="77">
        <v>13658</v>
      </c>
      <c r="O385" s="57">
        <f t="shared" si="17"/>
        <v>0</v>
      </c>
      <c r="P385" s="77">
        <v>228716</v>
      </c>
      <c r="Q385" s="73">
        <f t="shared" si="15"/>
        <v>0</v>
      </c>
      <c r="R385" s="57"/>
      <c r="S385" s="57"/>
      <c r="T385" s="57"/>
      <c r="U385" s="57"/>
      <c r="V385" s="73">
        <f t="shared" si="16"/>
        <v>0</v>
      </c>
      <c r="W385" s="106"/>
      <c r="X385" s="64"/>
    </row>
    <row r="386" spans="1:24" s="66" customFormat="1" ht="12" hidden="1" customHeight="1">
      <c r="A386" s="74" t="s">
        <v>1696</v>
      </c>
      <c r="B386" s="74"/>
      <c r="C386" s="74"/>
      <c r="D386" s="74"/>
      <c r="E386" s="74"/>
      <c r="F386" s="74"/>
      <c r="G386" s="74"/>
      <c r="H386" s="74"/>
      <c r="I386" s="75" t="s">
        <v>1879</v>
      </c>
      <c r="J386" s="75" t="s">
        <v>1883</v>
      </c>
      <c r="K386" s="74" t="s">
        <v>1894</v>
      </c>
      <c r="L386" s="76" t="s">
        <v>1135</v>
      </c>
      <c r="M386" s="57"/>
      <c r="N386" s="77">
        <v>19378</v>
      </c>
      <c r="O386" s="57">
        <f t="shared" si="17"/>
        <v>0</v>
      </c>
      <c r="P386" s="77">
        <v>264113</v>
      </c>
      <c r="Q386" s="73">
        <f t="shared" si="15"/>
        <v>0</v>
      </c>
      <c r="R386" s="57"/>
      <c r="S386" s="57"/>
      <c r="T386" s="57"/>
      <c r="U386" s="57"/>
      <c r="V386" s="73">
        <f t="shared" si="16"/>
        <v>0</v>
      </c>
      <c r="W386" s="106"/>
      <c r="X386" s="64"/>
    </row>
    <row r="387" spans="1:24" s="66" customFormat="1" ht="12" hidden="1" customHeight="1">
      <c r="A387" s="74" t="s">
        <v>1697</v>
      </c>
      <c r="B387" s="74"/>
      <c r="C387" s="74"/>
      <c r="D387" s="74"/>
      <c r="E387" s="74"/>
      <c r="F387" s="74"/>
      <c r="G387" s="74"/>
      <c r="H387" s="74"/>
      <c r="I387" s="75" t="s">
        <v>1881</v>
      </c>
      <c r="J387" s="75" t="s">
        <v>1883</v>
      </c>
      <c r="K387" s="74" t="s">
        <v>1895</v>
      </c>
      <c r="L387" s="76" t="s">
        <v>1135</v>
      </c>
      <c r="M387" s="57"/>
      <c r="N387" s="77">
        <v>20430</v>
      </c>
      <c r="O387" s="57">
        <f t="shared" si="17"/>
        <v>0</v>
      </c>
      <c r="P387" s="77">
        <v>291341</v>
      </c>
      <c r="Q387" s="73">
        <f t="shared" si="15"/>
        <v>0</v>
      </c>
      <c r="R387" s="57"/>
      <c r="S387" s="57"/>
      <c r="T387" s="57"/>
      <c r="U387" s="57"/>
      <c r="V387" s="73">
        <f t="shared" si="16"/>
        <v>0</v>
      </c>
      <c r="W387" s="106"/>
      <c r="X387" s="64"/>
    </row>
    <row r="388" spans="1:24" s="66" customFormat="1" ht="12" hidden="1" customHeight="1">
      <c r="A388" s="74" t="s">
        <v>1698</v>
      </c>
      <c r="B388" s="74"/>
      <c r="C388" s="74"/>
      <c r="D388" s="74"/>
      <c r="E388" s="74"/>
      <c r="F388" s="74"/>
      <c r="G388" s="74"/>
      <c r="H388" s="74"/>
      <c r="I388" s="75" t="s">
        <v>1858</v>
      </c>
      <c r="J388" s="75" t="s">
        <v>1883</v>
      </c>
      <c r="K388" s="74" t="s">
        <v>1896</v>
      </c>
      <c r="L388" s="76" t="s">
        <v>1135</v>
      </c>
      <c r="M388" s="57"/>
      <c r="N388" s="77">
        <v>1280</v>
      </c>
      <c r="O388" s="57">
        <f t="shared" si="17"/>
        <v>0</v>
      </c>
      <c r="P388" s="77">
        <v>89853</v>
      </c>
      <c r="Q388" s="73">
        <f t="shared" si="15"/>
        <v>0</v>
      </c>
      <c r="R388" s="57"/>
      <c r="S388" s="57"/>
      <c r="T388" s="57"/>
      <c r="U388" s="57"/>
      <c r="V388" s="73">
        <f t="shared" si="16"/>
        <v>0</v>
      </c>
      <c r="W388" s="106"/>
      <c r="X388" s="64"/>
    </row>
    <row r="389" spans="1:24" s="66" customFormat="1" ht="12" hidden="1" customHeight="1">
      <c r="A389" s="74" t="s">
        <v>1699</v>
      </c>
      <c r="B389" s="74"/>
      <c r="C389" s="74"/>
      <c r="D389" s="74"/>
      <c r="E389" s="74"/>
      <c r="F389" s="74"/>
      <c r="G389" s="74"/>
      <c r="H389" s="74"/>
      <c r="I389" s="75" t="s">
        <v>1859</v>
      </c>
      <c r="J389" s="75" t="s">
        <v>1883</v>
      </c>
      <c r="K389" s="74" t="s">
        <v>1897</v>
      </c>
      <c r="L389" s="76" t="s">
        <v>1135</v>
      </c>
      <c r="M389" s="57"/>
      <c r="N389" s="77">
        <v>1540</v>
      </c>
      <c r="O389" s="57">
        <f t="shared" si="17"/>
        <v>0</v>
      </c>
      <c r="P389" s="77">
        <v>98021</v>
      </c>
      <c r="Q389" s="73">
        <f t="shared" si="15"/>
        <v>0</v>
      </c>
      <c r="R389" s="57"/>
      <c r="S389" s="57"/>
      <c r="T389" s="57"/>
      <c r="U389" s="57"/>
      <c r="V389" s="73">
        <f t="shared" si="16"/>
        <v>0</v>
      </c>
      <c r="W389" s="106"/>
      <c r="X389" s="64"/>
    </row>
    <row r="390" spans="1:24" s="66" customFormat="1" ht="12" hidden="1" customHeight="1">
      <c r="A390" s="74" t="s">
        <v>1700</v>
      </c>
      <c r="B390" s="74"/>
      <c r="C390" s="74"/>
      <c r="D390" s="74"/>
      <c r="E390" s="74"/>
      <c r="F390" s="74"/>
      <c r="G390" s="74"/>
      <c r="H390" s="74"/>
      <c r="I390" s="75" t="s">
        <v>1860</v>
      </c>
      <c r="J390" s="75" t="s">
        <v>1883</v>
      </c>
      <c r="K390" s="74" t="s">
        <v>1898</v>
      </c>
      <c r="L390" s="76" t="s">
        <v>1135</v>
      </c>
      <c r="M390" s="57"/>
      <c r="N390" s="77">
        <v>2040</v>
      </c>
      <c r="O390" s="57">
        <f t="shared" si="17"/>
        <v>0</v>
      </c>
      <c r="P390" s="77">
        <v>108912</v>
      </c>
      <c r="Q390" s="73">
        <f t="shared" si="15"/>
        <v>0</v>
      </c>
      <c r="R390" s="57"/>
      <c r="S390" s="57"/>
      <c r="T390" s="57"/>
      <c r="U390" s="57"/>
      <c r="V390" s="73">
        <f t="shared" si="16"/>
        <v>0</v>
      </c>
      <c r="W390" s="106"/>
      <c r="X390" s="64"/>
    </row>
    <row r="391" spans="1:24" s="66" customFormat="1" ht="12" hidden="1" customHeight="1">
      <c r="A391" s="74" t="s">
        <v>1701</v>
      </c>
      <c r="B391" s="74"/>
      <c r="C391" s="74"/>
      <c r="D391" s="74"/>
      <c r="E391" s="74"/>
      <c r="F391" s="74"/>
      <c r="G391" s="74"/>
      <c r="H391" s="74"/>
      <c r="I391" s="75" t="s">
        <v>1861</v>
      </c>
      <c r="J391" s="75" t="s">
        <v>1883</v>
      </c>
      <c r="K391" s="74" t="s">
        <v>1899</v>
      </c>
      <c r="L391" s="76" t="s">
        <v>1135</v>
      </c>
      <c r="M391" s="57"/>
      <c r="N391" s="77">
        <v>4030</v>
      </c>
      <c r="O391" s="57">
        <f t="shared" si="17"/>
        <v>0</v>
      </c>
      <c r="P391" s="77">
        <v>127972</v>
      </c>
      <c r="Q391" s="73">
        <f t="shared" si="15"/>
        <v>0</v>
      </c>
      <c r="R391" s="57"/>
      <c r="S391" s="57"/>
      <c r="T391" s="57"/>
      <c r="U391" s="57"/>
      <c r="V391" s="73">
        <f t="shared" si="16"/>
        <v>0</v>
      </c>
      <c r="W391" s="106"/>
      <c r="X391" s="64"/>
    </row>
    <row r="392" spans="1:24" s="66" customFormat="1" ht="12" hidden="1" customHeight="1">
      <c r="A392" s="74" t="s">
        <v>1702</v>
      </c>
      <c r="B392" s="74"/>
      <c r="C392" s="74"/>
      <c r="D392" s="74"/>
      <c r="E392" s="74"/>
      <c r="F392" s="74"/>
      <c r="G392" s="74"/>
      <c r="H392" s="74"/>
      <c r="I392" s="75" t="s">
        <v>1862</v>
      </c>
      <c r="J392" s="75" t="s">
        <v>1883</v>
      </c>
      <c r="K392" s="74" t="s">
        <v>1900</v>
      </c>
      <c r="L392" s="76" t="s">
        <v>1135</v>
      </c>
      <c r="M392" s="57"/>
      <c r="N392" s="77">
        <v>5157</v>
      </c>
      <c r="O392" s="57">
        <f t="shared" si="17"/>
        <v>0</v>
      </c>
      <c r="P392" s="77">
        <v>136141</v>
      </c>
      <c r="Q392" s="73">
        <f t="shared" si="15"/>
        <v>0</v>
      </c>
      <c r="R392" s="57"/>
      <c r="S392" s="57"/>
      <c r="T392" s="57"/>
      <c r="U392" s="57"/>
      <c r="V392" s="73">
        <f t="shared" si="16"/>
        <v>0</v>
      </c>
      <c r="W392" s="106"/>
      <c r="X392" s="64"/>
    </row>
    <row r="393" spans="1:24" s="66" customFormat="1" ht="12" hidden="1" customHeight="1">
      <c r="A393" s="74" t="s">
        <v>1703</v>
      </c>
      <c r="B393" s="74"/>
      <c r="C393" s="74"/>
      <c r="D393" s="74"/>
      <c r="E393" s="74"/>
      <c r="F393" s="74"/>
      <c r="G393" s="74"/>
      <c r="H393" s="74"/>
      <c r="I393" s="75" t="s">
        <v>1863</v>
      </c>
      <c r="J393" s="75" t="s">
        <v>1883</v>
      </c>
      <c r="K393" s="74" t="s">
        <v>1901</v>
      </c>
      <c r="L393" s="76" t="s">
        <v>1135</v>
      </c>
      <c r="M393" s="57"/>
      <c r="N393" s="77">
        <v>6618</v>
      </c>
      <c r="O393" s="57">
        <f t="shared" si="17"/>
        <v>0</v>
      </c>
      <c r="P393" s="77">
        <v>155200</v>
      </c>
      <c r="Q393" s="73">
        <f t="shared" si="15"/>
        <v>0</v>
      </c>
      <c r="R393" s="57"/>
      <c r="S393" s="57"/>
      <c r="T393" s="57"/>
      <c r="U393" s="57"/>
      <c r="V393" s="73">
        <f t="shared" si="16"/>
        <v>0</v>
      </c>
      <c r="W393" s="106"/>
      <c r="X393" s="64"/>
    </row>
    <row r="394" spans="1:24" s="66" customFormat="1" ht="12" hidden="1" customHeight="1">
      <c r="A394" s="74" t="s">
        <v>1704</v>
      </c>
      <c r="B394" s="74"/>
      <c r="C394" s="74"/>
      <c r="D394" s="74"/>
      <c r="E394" s="74"/>
      <c r="F394" s="74"/>
      <c r="G394" s="74"/>
      <c r="H394" s="74"/>
      <c r="I394" s="75" t="s">
        <v>1864</v>
      </c>
      <c r="J394" s="75" t="s">
        <v>1883</v>
      </c>
      <c r="K394" s="74" t="s">
        <v>1902</v>
      </c>
      <c r="L394" s="76" t="s">
        <v>1135</v>
      </c>
      <c r="M394" s="57"/>
      <c r="N394" s="77">
        <v>7850</v>
      </c>
      <c r="O394" s="57">
        <f t="shared" si="17"/>
        <v>0</v>
      </c>
      <c r="P394" s="77">
        <v>185151</v>
      </c>
      <c r="Q394" s="73">
        <f t="shared" si="15"/>
        <v>0</v>
      </c>
      <c r="R394" s="57"/>
      <c r="S394" s="57"/>
      <c r="T394" s="57"/>
      <c r="U394" s="57"/>
      <c r="V394" s="73">
        <f t="shared" si="16"/>
        <v>0</v>
      </c>
      <c r="W394" s="106"/>
      <c r="X394" s="64"/>
    </row>
    <row r="395" spans="1:24" s="66" customFormat="1" ht="12" hidden="1" customHeight="1">
      <c r="A395" s="74" t="s">
        <v>1705</v>
      </c>
      <c r="B395" s="74"/>
      <c r="C395" s="74"/>
      <c r="D395" s="74"/>
      <c r="E395" s="74"/>
      <c r="F395" s="74"/>
      <c r="G395" s="74"/>
      <c r="H395" s="74"/>
      <c r="I395" s="75" t="s">
        <v>1864</v>
      </c>
      <c r="J395" s="75" t="s">
        <v>1883</v>
      </c>
      <c r="K395" s="74" t="s">
        <v>1903</v>
      </c>
      <c r="L395" s="76" t="s">
        <v>1135</v>
      </c>
      <c r="M395" s="57"/>
      <c r="N395" s="77">
        <v>10437</v>
      </c>
      <c r="O395" s="57">
        <f t="shared" si="17"/>
        <v>0</v>
      </c>
      <c r="P395" s="77">
        <v>185151</v>
      </c>
      <c r="Q395" s="73">
        <f t="shared" ref="Q395:Q458" si="18">IF(W395="",M395*P395*$Q$3*$W$3,M395*P395*$Q$3*W395)</f>
        <v>0</v>
      </c>
      <c r="R395" s="57"/>
      <c r="S395" s="57"/>
      <c r="T395" s="57"/>
      <c r="U395" s="57"/>
      <c r="V395" s="73">
        <f t="shared" ref="V395:V458" si="19">SUM(O395+Q395)+S395+U395</f>
        <v>0</v>
      </c>
      <c r="W395" s="106"/>
      <c r="X395" s="64"/>
    </row>
    <row r="396" spans="1:24" s="66" customFormat="1" ht="12" hidden="1" customHeight="1">
      <c r="A396" s="74" t="s">
        <v>1706</v>
      </c>
      <c r="B396" s="74"/>
      <c r="C396" s="74"/>
      <c r="D396" s="74"/>
      <c r="E396" s="74"/>
      <c r="F396" s="74"/>
      <c r="G396" s="74"/>
      <c r="H396" s="74"/>
      <c r="I396" s="75" t="s">
        <v>1865</v>
      </c>
      <c r="J396" s="75" t="s">
        <v>1883</v>
      </c>
      <c r="K396" s="74" t="s">
        <v>1904</v>
      </c>
      <c r="L396" s="76" t="s">
        <v>1135</v>
      </c>
      <c r="M396" s="57"/>
      <c r="N396" s="77">
        <v>13290</v>
      </c>
      <c r="O396" s="57">
        <f t="shared" si="17"/>
        <v>0</v>
      </c>
      <c r="P396" s="77">
        <v>209657</v>
      </c>
      <c r="Q396" s="73">
        <f t="shared" si="18"/>
        <v>0</v>
      </c>
      <c r="R396" s="57"/>
      <c r="S396" s="57"/>
      <c r="T396" s="57"/>
      <c r="U396" s="57"/>
      <c r="V396" s="73">
        <f t="shared" si="19"/>
        <v>0</v>
      </c>
      <c r="W396" s="106"/>
      <c r="X396" s="64"/>
    </row>
    <row r="397" spans="1:24" s="66" customFormat="1" ht="12" hidden="1" customHeight="1">
      <c r="A397" s="74" t="s">
        <v>1707</v>
      </c>
      <c r="B397" s="74"/>
      <c r="C397" s="74"/>
      <c r="D397" s="74"/>
      <c r="E397" s="74"/>
      <c r="F397" s="74"/>
      <c r="G397" s="74"/>
      <c r="H397" s="74"/>
      <c r="I397" s="75" t="s">
        <v>1866</v>
      </c>
      <c r="J397" s="75" t="s">
        <v>1883</v>
      </c>
      <c r="K397" s="74" t="s">
        <v>1905</v>
      </c>
      <c r="L397" s="76" t="s">
        <v>1135</v>
      </c>
      <c r="M397" s="57"/>
      <c r="N397" s="77">
        <v>20680</v>
      </c>
      <c r="O397" s="57">
        <f t="shared" si="17"/>
        <v>0</v>
      </c>
      <c r="P397" s="77">
        <v>228716</v>
      </c>
      <c r="Q397" s="73">
        <f t="shared" si="18"/>
        <v>0</v>
      </c>
      <c r="R397" s="57"/>
      <c r="S397" s="57"/>
      <c r="T397" s="57"/>
      <c r="U397" s="57"/>
      <c r="V397" s="73">
        <f t="shared" si="19"/>
        <v>0</v>
      </c>
      <c r="W397" s="106"/>
      <c r="X397" s="64"/>
    </row>
    <row r="398" spans="1:24" s="66" customFormat="1" ht="12" hidden="1" customHeight="1">
      <c r="A398" s="74" t="s">
        <v>1708</v>
      </c>
      <c r="B398" s="74"/>
      <c r="C398" s="74"/>
      <c r="D398" s="74"/>
      <c r="E398" s="74"/>
      <c r="F398" s="74"/>
      <c r="G398" s="74"/>
      <c r="H398" s="74"/>
      <c r="I398" s="75" t="s">
        <v>1879</v>
      </c>
      <c r="J398" s="75" t="s">
        <v>1883</v>
      </c>
      <c r="K398" s="74" t="s">
        <v>1906</v>
      </c>
      <c r="L398" s="76" t="s">
        <v>1135</v>
      </c>
      <c r="M398" s="57"/>
      <c r="N398" s="77">
        <v>20990</v>
      </c>
      <c r="O398" s="57">
        <f t="shared" si="17"/>
        <v>0</v>
      </c>
      <c r="P398" s="77">
        <v>264113</v>
      </c>
      <c r="Q398" s="73">
        <f t="shared" si="18"/>
        <v>0</v>
      </c>
      <c r="R398" s="57"/>
      <c r="S398" s="57"/>
      <c r="T398" s="57"/>
      <c r="U398" s="57"/>
      <c r="V398" s="73">
        <f t="shared" si="19"/>
        <v>0</v>
      </c>
      <c r="W398" s="106"/>
      <c r="X398" s="64"/>
    </row>
    <row r="399" spans="1:24" s="66" customFormat="1" ht="12" hidden="1" customHeight="1">
      <c r="A399" s="74" t="s">
        <v>1709</v>
      </c>
      <c r="B399" s="74"/>
      <c r="C399" s="74"/>
      <c r="D399" s="74"/>
      <c r="E399" s="74"/>
      <c r="F399" s="74"/>
      <c r="G399" s="74"/>
      <c r="H399" s="74"/>
      <c r="I399" s="75" t="s">
        <v>1881</v>
      </c>
      <c r="J399" s="75" t="s">
        <v>1883</v>
      </c>
      <c r="K399" s="74" t="s">
        <v>1907</v>
      </c>
      <c r="L399" s="76" t="s">
        <v>1135</v>
      </c>
      <c r="M399" s="57"/>
      <c r="N399" s="77">
        <v>30020</v>
      </c>
      <c r="O399" s="57">
        <f t="shared" si="17"/>
        <v>0</v>
      </c>
      <c r="P399" s="77">
        <v>291341</v>
      </c>
      <c r="Q399" s="73">
        <f t="shared" si="18"/>
        <v>0</v>
      </c>
      <c r="R399" s="57"/>
      <c r="S399" s="57"/>
      <c r="T399" s="57"/>
      <c r="U399" s="57"/>
      <c r="V399" s="73">
        <f t="shared" si="19"/>
        <v>0</v>
      </c>
      <c r="W399" s="106"/>
      <c r="X399" s="64"/>
    </row>
    <row r="400" spans="1:24" s="66" customFormat="1" ht="12" hidden="1" customHeight="1">
      <c r="A400" s="74" t="s">
        <v>47</v>
      </c>
      <c r="B400" s="74"/>
      <c r="C400" s="74"/>
      <c r="D400" s="74"/>
      <c r="E400" s="74"/>
      <c r="F400" s="74"/>
      <c r="G400" s="74"/>
      <c r="H400" s="74"/>
      <c r="I400" s="75" t="s">
        <v>1858</v>
      </c>
      <c r="J400" s="75" t="s">
        <v>1867</v>
      </c>
      <c r="K400" s="74" t="s">
        <v>1908</v>
      </c>
      <c r="L400" s="76" t="s">
        <v>1135</v>
      </c>
      <c r="M400" s="57"/>
      <c r="N400" s="77">
        <v>1230</v>
      </c>
      <c r="O400" s="57">
        <f t="shared" si="17"/>
        <v>0</v>
      </c>
      <c r="P400" s="77">
        <v>89853</v>
      </c>
      <c r="Q400" s="73">
        <f t="shared" si="18"/>
        <v>0</v>
      </c>
      <c r="R400" s="57"/>
      <c r="S400" s="57"/>
      <c r="T400" s="57"/>
      <c r="U400" s="57"/>
      <c r="V400" s="73">
        <f t="shared" si="19"/>
        <v>0</v>
      </c>
      <c r="W400" s="106"/>
      <c r="X400" s="64"/>
    </row>
    <row r="401" spans="1:24" s="66" customFormat="1" ht="12" hidden="1" customHeight="1">
      <c r="A401" s="74" t="s">
        <v>48</v>
      </c>
      <c r="B401" s="74"/>
      <c r="C401" s="74"/>
      <c r="D401" s="74"/>
      <c r="E401" s="74"/>
      <c r="F401" s="74"/>
      <c r="G401" s="74"/>
      <c r="H401" s="74"/>
      <c r="I401" s="75" t="s">
        <v>1859</v>
      </c>
      <c r="J401" s="75" t="s">
        <v>1867</v>
      </c>
      <c r="K401" s="74" t="s">
        <v>1909</v>
      </c>
      <c r="L401" s="76" t="s">
        <v>1135</v>
      </c>
      <c r="M401" s="57"/>
      <c r="N401" s="77">
        <v>1460</v>
      </c>
      <c r="O401" s="57">
        <f t="shared" si="17"/>
        <v>0</v>
      </c>
      <c r="P401" s="77">
        <v>98021</v>
      </c>
      <c r="Q401" s="73">
        <f t="shared" si="18"/>
        <v>0</v>
      </c>
      <c r="R401" s="57"/>
      <c r="S401" s="57"/>
      <c r="T401" s="57"/>
      <c r="U401" s="57"/>
      <c r="V401" s="73">
        <f t="shared" si="19"/>
        <v>0</v>
      </c>
      <c r="W401" s="106"/>
      <c r="X401" s="64"/>
    </row>
    <row r="402" spans="1:24" s="66" customFormat="1" ht="12" hidden="1" customHeight="1">
      <c r="A402" s="74" t="s">
        <v>49</v>
      </c>
      <c r="B402" s="74"/>
      <c r="C402" s="74"/>
      <c r="D402" s="74"/>
      <c r="E402" s="74"/>
      <c r="F402" s="74"/>
      <c r="G402" s="74"/>
      <c r="H402" s="74"/>
      <c r="I402" s="75" t="s">
        <v>1860</v>
      </c>
      <c r="J402" s="75" t="s">
        <v>1867</v>
      </c>
      <c r="K402" s="74" t="s">
        <v>1910</v>
      </c>
      <c r="L402" s="76" t="s">
        <v>1135</v>
      </c>
      <c r="M402" s="57"/>
      <c r="N402" s="77">
        <v>2010</v>
      </c>
      <c r="O402" s="57">
        <f t="shared" si="17"/>
        <v>0</v>
      </c>
      <c r="P402" s="77">
        <v>108912</v>
      </c>
      <c r="Q402" s="73">
        <f t="shared" si="18"/>
        <v>0</v>
      </c>
      <c r="R402" s="57"/>
      <c r="S402" s="57"/>
      <c r="T402" s="57"/>
      <c r="U402" s="57"/>
      <c r="V402" s="73">
        <f t="shared" si="19"/>
        <v>0</v>
      </c>
      <c r="W402" s="106"/>
      <c r="X402" s="64"/>
    </row>
    <row r="403" spans="1:24" s="66" customFormat="1" ht="12" hidden="1" customHeight="1">
      <c r="A403" s="74" t="s">
        <v>50</v>
      </c>
      <c r="B403" s="74"/>
      <c r="C403" s="74"/>
      <c r="D403" s="74"/>
      <c r="E403" s="74"/>
      <c r="F403" s="74"/>
      <c r="G403" s="74"/>
      <c r="H403" s="74"/>
      <c r="I403" s="75" t="s">
        <v>1861</v>
      </c>
      <c r="J403" s="75" t="s">
        <v>1867</v>
      </c>
      <c r="K403" s="74" t="s">
        <v>1911</v>
      </c>
      <c r="L403" s="76" t="s">
        <v>1135</v>
      </c>
      <c r="M403" s="57"/>
      <c r="N403" s="77">
        <v>2910</v>
      </c>
      <c r="O403" s="57">
        <f t="shared" si="17"/>
        <v>0</v>
      </c>
      <c r="P403" s="77">
        <v>127972</v>
      </c>
      <c r="Q403" s="73">
        <f t="shared" si="18"/>
        <v>0</v>
      </c>
      <c r="R403" s="57"/>
      <c r="S403" s="57"/>
      <c r="T403" s="57"/>
      <c r="U403" s="57"/>
      <c r="V403" s="73">
        <f t="shared" si="19"/>
        <v>0</v>
      </c>
      <c r="W403" s="106"/>
      <c r="X403" s="64"/>
    </row>
    <row r="404" spans="1:24" s="66" customFormat="1" ht="12" hidden="1" customHeight="1">
      <c r="A404" s="74" t="s">
        <v>51</v>
      </c>
      <c r="B404" s="74"/>
      <c r="C404" s="74"/>
      <c r="D404" s="74"/>
      <c r="E404" s="74"/>
      <c r="F404" s="74"/>
      <c r="G404" s="74"/>
      <c r="H404" s="74"/>
      <c r="I404" s="75" t="s">
        <v>1862</v>
      </c>
      <c r="J404" s="75" t="s">
        <v>1867</v>
      </c>
      <c r="K404" s="74" t="s">
        <v>1912</v>
      </c>
      <c r="L404" s="76" t="s">
        <v>1135</v>
      </c>
      <c r="M404" s="57"/>
      <c r="N404" s="77">
        <v>3580</v>
      </c>
      <c r="O404" s="57">
        <f t="shared" si="17"/>
        <v>0</v>
      </c>
      <c r="P404" s="77">
        <v>136141</v>
      </c>
      <c r="Q404" s="73">
        <f t="shared" si="18"/>
        <v>0</v>
      </c>
      <c r="R404" s="57"/>
      <c r="S404" s="57"/>
      <c r="T404" s="57"/>
      <c r="U404" s="57"/>
      <c r="V404" s="73">
        <f t="shared" si="19"/>
        <v>0</v>
      </c>
      <c r="W404" s="106"/>
      <c r="X404" s="64"/>
    </row>
    <row r="405" spans="1:24" s="66" customFormat="1" ht="12" hidden="1" customHeight="1">
      <c r="A405" s="74" t="s">
        <v>52</v>
      </c>
      <c r="B405" s="74"/>
      <c r="C405" s="74"/>
      <c r="D405" s="74"/>
      <c r="E405" s="74"/>
      <c r="F405" s="74"/>
      <c r="G405" s="74"/>
      <c r="H405" s="74"/>
      <c r="I405" s="75" t="s">
        <v>1863</v>
      </c>
      <c r="J405" s="75" t="s">
        <v>1867</v>
      </c>
      <c r="K405" s="74" t="s">
        <v>1913</v>
      </c>
      <c r="L405" s="76" t="s">
        <v>1135</v>
      </c>
      <c r="M405" s="57"/>
      <c r="N405" s="77">
        <v>4480</v>
      </c>
      <c r="O405" s="57">
        <f t="shared" si="17"/>
        <v>0</v>
      </c>
      <c r="P405" s="77">
        <v>155200</v>
      </c>
      <c r="Q405" s="73">
        <f t="shared" si="18"/>
        <v>0</v>
      </c>
      <c r="R405" s="57"/>
      <c r="S405" s="57"/>
      <c r="T405" s="57"/>
      <c r="U405" s="57"/>
      <c r="V405" s="73">
        <f t="shared" si="19"/>
        <v>0</v>
      </c>
      <c r="W405" s="106"/>
      <c r="X405" s="64"/>
    </row>
    <row r="406" spans="1:24" s="66" customFormat="1" ht="12" hidden="1" customHeight="1">
      <c r="A406" s="74" t="s">
        <v>53</v>
      </c>
      <c r="B406" s="74"/>
      <c r="C406" s="74"/>
      <c r="D406" s="74"/>
      <c r="E406" s="74"/>
      <c r="F406" s="74"/>
      <c r="G406" s="74"/>
      <c r="H406" s="74"/>
      <c r="I406" s="75" t="s">
        <v>1864</v>
      </c>
      <c r="J406" s="75" t="s">
        <v>1867</v>
      </c>
      <c r="K406" s="74" t="s">
        <v>1914</v>
      </c>
      <c r="L406" s="76" t="s">
        <v>1135</v>
      </c>
      <c r="M406" s="57"/>
      <c r="N406" s="77">
        <v>5820</v>
      </c>
      <c r="O406" s="57">
        <f t="shared" si="17"/>
        <v>0</v>
      </c>
      <c r="P406" s="77">
        <v>185151</v>
      </c>
      <c r="Q406" s="73">
        <f t="shared" si="18"/>
        <v>0</v>
      </c>
      <c r="R406" s="57"/>
      <c r="S406" s="57"/>
      <c r="T406" s="57"/>
      <c r="U406" s="57"/>
      <c r="V406" s="73">
        <f t="shared" si="19"/>
        <v>0</v>
      </c>
      <c r="W406" s="106"/>
      <c r="X406" s="64"/>
    </row>
    <row r="407" spans="1:24" s="66" customFormat="1" ht="12" hidden="1" customHeight="1">
      <c r="A407" s="74" t="s">
        <v>54</v>
      </c>
      <c r="B407" s="74"/>
      <c r="C407" s="74"/>
      <c r="D407" s="74"/>
      <c r="E407" s="74"/>
      <c r="F407" s="74"/>
      <c r="G407" s="74"/>
      <c r="H407" s="74"/>
      <c r="I407" s="75" t="s">
        <v>1864</v>
      </c>
      <c r="J407" s="75" t="s">
        <v>1867</v>
      </c>
      <c r="K407" s="74" t="s">
        <v>1915</v>
      </c>
      <c r="L407" s="76" t="s">
        <v>1135</v>
      </c>
      <c r="M407" s="57"/>
      <c r="N407" s="77">
        <v>7830</v>
      </c>
      <c r="O407" s="57">
        <f t="shared" si="17"/>
        <v>0</v>
      </c>
      <c r="P407" s="77">
        <v>185151</v>
      </c>
      <c r="Q407" s="73">
        <f t="shared" si="18"/>
        <v>0</v>
      </c>
      <c r="R407" s="57"/>
      <c r="S407" s="57"/>
      <c r="T407" s="57"/>
      <c r="U407" s="57"/>
      <c r="V407" s="73">
        <f t="shared" si="19"/>
        <v>0</v>
      </c>
      <c r="W407" s="106"/>
      <c r="X407" s="64"/>
    </row>
    <row r="408" spans="1:24" s="66" customFormat="1" ht="12" hidden="1" customHeight="1">
      <c r="A408" s="74" t="s">
        <v>55</v>
      </c>
      <c r="B408" s="74"/>
      <c r="C408" s="74"/>
      <c r="D408" s="74"/>
      <c r="E408" s="74"/>
      <c r="F408" s="74"/>
      <c r="G408" s="74"/>
      <c r="H408" s="74"/>
      <c r="I408" s="75" t="s">
        <v>1865</v>
      </c>
      <c r="J408" s="75" t="s">
        <v>1867</v>
      </c>
      <c r="K408" s="74" t="s">
        <v>1916</v>
      </c>
      <c r="L408" s="76" t="s">
        <v>1135</v>
      </c>
      <c r="M408" s="57"/>
      <c r="N408" s="77">
        <v>8950</v>
      </c>
      <c r="O408" s="57">
        <f t="shared" si="17"/>
        <v>0</v>
      </c>
      <c r="P408" s="77">
        <v>209657</v>
      </c>
      <c r="Q408" s="73">
        <f t="shared" si="18"/>
        <v>0</v>
      </c>
      <c r="R408" s="57"/>
      <c r="S408" s="57"/>
      <c r="T408" s="57"/>
      <c r="U408" s="57"/>
      <c r="V408" s="73">
        <f t="shared" si="19"/>
        <v>0</v>
      </c>
      <c r="W408" s="106"/>
      <c r="X408" s="64"/>
    </row>
    <row r="409" spans="1:24" s="66" customFormat="1" ht="12" hidden="1" customHeight="1">
      <c r="A409" s="74" t="s">
        <v>56</v>
      </c>
      <c r="B409" s="74"/>
      <c r="C409" s="74"/>
      <c r="D409" s="74"/>
      <c r="E409" s="74"/>
      <c r="F409" s="74"/>
      <c r="G409" s="74"/>
      <c r="H409" s="74"/>
      <c r="I409" s="75" t="s">
        <v>1866</v>
      </c>
      <c r="J409" s="75" t="s">
        <v>1867</v>
      </c>
      <c r="K409" s="74" t="s">
        <v>1917</v>
      </c>
      <c r="L409" s="76" t="s">
        <v>1135</v>
      </c>
      <c r="M409" s="57"/>
      <c r="N409" s="77">
        <v>14540</v>
      </c>
      <c r="O409" s="57">
        <f t="shared" si="17"/>
        <v>0</v>
      </c>
      <c r="P409" s="77">
        <v>228716</v>
      </c>
      <c r="Q409" s="73">
        <f t="shared" si="18"/>
        <v>0</v>
      </c>
      <c r="R409" s="57"/>
      <c r="S409" s="57"/>
      <c r="T409" s="57"/>
      <c r="U409" s="57"/>
      <c r="V409" s="73">
        <f t="shared" si="19"/>
        <v>0</v>
      </c>
      <c r="W409" s="106"/>
      <c r="X409" s="64"/>
    </row>
    <row r="410" spans="1:24" s="66" customFormat="1" ht="12" hidden="1" customHeight="1">
      <c r="A410" s="74" t="s">
        <v>57</v>
      </c>
      <c r="B410" s="74"/>
      <c r="C410" s="74"/>
      <c r="D410" s="74"/>
      <c r="E410" s="74"/>
      <c r="F410" s="74"/>
      <c r="G410" s="74"/>
      <c r="H410" s="74"/>
      <c r="I410" s="75" t="s">
        <v>1879</v>
      </c>
      <c r="J410" s="75" t="s">
        <v>1867</v>
      </c>
      <c r="K410" s="74" t="s">
        <v>1918</v>
      </c>
      <c r="L410" s="76" t="s">
        <v>1135</v>
      </c>
      <c r="M410" s="57"/>
      <c r="N410" s="77">
        <v>17910</v>
      </c>
      <c r="O410" s="57">
        <f t="shared" si="17"/>
        <v>0</v>
      </c>
      <c r="P410" s="77">
        <v>264113</v>
      </c>
      <c r="Q410" s="73">
        <f t="shared" si="18"/>
        <v>0</v>
      </c>
      <c r="R410" s="57"/>
      <c r="S410" s="57"/>
      <c r="T410" s="57"/>
      <c r="U410" s="57"/>
      <c r="V410" s="73">
        <f t="shared" si="19"/>
        <v>0</v>
      </c>
      <c r="W410" s="106"/>
      <c r="X410" s="64"/>
    </row>
    <row r="411" spans="1:24" s="66" customFormat="1" ht="12" hidden="1" customHeight="1">
      <c r="A411" s="74" t="s">
        <v>58</v>
      </c>
      <c r="B411" s="74"/>
      <c r="C411" s="74"/>
      <c r="D411" s="74"/>
      <c r="E411" s="74"/>
      <c r="F411" s="74"/>
      <c r="G411" s="74"/>
      <c r="H411" s="74"/>
      <c r="I411" s="75" t="s">
        <v>1881</v>
      </c>
      <c r="J411" s="75" t="s">
        <v>1867</v>
      </c>
      <c r="K411" s="74" t="s">
        <v>1919</v>
      </c>
      <c r="L411" s="76" t="s">
        <v>1135</v>
      </c>
      <c r="M411" s="57"/>
      <c r="N411" s="77">
        <v>21250</v>
      </c>
      <c r="O411" s="57">
        <f t="shared" si="17"/>
        <v>0</v>
      </c>
      <c r="P411" s="77">
        <v>291341</v>
      </c>
      <c r="Q411" s="73">
        <f t="shared" si="18"/>
        <v>0</v>
      </c>
      <c r="R411" s="57"/>
      <c r="S411" s="57"/>
      <c r="T411" s="57"/>
      <c r="U411" s="57"/>
      <c r="V411" s="73">
        <f t="shared" si="19"/>
        <v>0</v>
      </c>
      <c r="W411" s="106"/>
      <c r="X411" s="64"/>
    </row>
    <row r="412" spans="1:24" s="66" customFormat="1" ht="12" hidden="1" customHeight="1">
      <c r="A412" s="74" t="s">
        <v>59</v>
      </c>
      <c r="B412" s="74"/>
      <c r="C412" s="74"/>
      <c r="D412" s="74"/>
      <c r="E412" s="74"/>
      <c r="F412" s="74"/>
      <c r="G412" s="74"/>
      <c r="H412" s="74"/>
      <c r="I412" s="75" t="s">
        <v>1857</v>
      </c>
      <c r="J412" s="75" t="s">
        <v>1369</v>
      </c>
      <c r="K412" s="74" t="s">
        <v>1379</v>
      </c>
      <c r="L412" s="76" t="s">
        <v>1135</v>
      </c>
      <c r="M412" s="57"/>
      <c r="N412" s="77">
        <v>127</v>
      </c>
      <c r="O412" s="57">
        <f t="shared" si="17"/>
        <v>0</v>
      </c>
      <c r="P412" s="77">
        <v>73516</v>
      </c>
      <c r="Q412" s="73">
        <f t="shared" si="18"/>
        <v>0</v>
      </c>
      <c r="R412" s="57"/>
      <c r="S412" s="57"/>
      <c r="T412" s="57"/>
      <c r="U412" s="57"/>
      <c r="V412" s="73">
        <f t="shared" si="19"/>
        <v>0</v>
      </c>
      <c r="W412" s="106"/>
      <c r="X412" s="64"/>
    </row>
    <row r="413" spans="1:24" s="66" customFormat="1" ht="12" hidden="1" customHeight="1">
      <c r="A413" s="74" t="s">
        <v>60</v>
      </c>
      <c r="B413" s="74"/>
      <c r="C413" s="74"/>
      <c r="D413" s="74"/>
      <c r="E413" s="74"/>
      <c r="F413" s="74"/>
      <c r="G413" s="74"/>
      <c r="H413" s="74"/>
      <c r="I413" s="75" t="s">
        <v>1858</v>
      </c>
      <c r="J413" s="75" t="s">
        <v>1369</v>
      </c>
      <c r="K413" s="74" t="s">
        <v>1378</v>
      </c>
      <c r="L413" s="76" t="s">
        <v>1135</v>
      </c>
      <c r="M413" s="57"/>
      <c r="N413" s="77">
        <v>191</v>
      </c>
      <c r="O413" s="57">
        <f t="shared" si="17"/>
        <v>0</v>
      </c>
      <c r="P413" s="77">
        <v>89853</v>
      </c>
      <c r="Q413" s="73">
        <f t="shared" si="18"/>
        <v>0</v>
      </c>
      <c r="R413" s="57"/>
      <c r="S413" s="57"/>
      <c r="T413" s="57"/>
      <c r="U413" s="57"/>
      <c r="V413" s="73">
        <f t="shared" si="19"/>
        <v>0</v>
      </c>
      <c r="W413" s="106"/>
      <c r="X413" s="64"/>
    </row>
    <row r="414" spans="1:24" s="66" customFormat="1" ht="12" hidden="1" customHeight="1">
      <c r="A414" s="74" t="s">
        <v>61</v>
      </c>
      <c r="B414" s="74"/>
      <c r="C414" s="74"/>
      <c r="D414" s="74"/>
      <c r="E414" s="74"/>
      <c r="F414" s="74"/>
      <c r="G414" s="74"/>
      <c r="H414" s="74"/>
      <c r="I414" s="75" t="s">
        <v>1859</v>
      </c>
      <c r="J414" s="75" t="s">
        <v>1369</v>
      </c>
      <c r="K414" s="74" t="s">
        <v>1377</v>
      </c>
      <c r="L414" s="76" t="s">
        <v>1135</v>
      </c>
      <c r="M414" s="57"/>
      <c r="N414" s="77">
        <v>297</v>
      </c>
      <c r="O414" s="57">
        <f t="shared" si="17"/>
        <v>0</v>
      </c>
      <c r="P414" s="77">
        <v>98021</v>
      </c>
      <c r="Q414" s="73">
        <f t="shared" si="18"/>
        <v>0</v>
      </c>
      <c r="R414" s="57"/>
      <c r="S414" s="57"/>
      <c r="T414" s="57"/>
      <c r="U414" s="57"/>
      <c r="V414" s="73">
        <f t="shared" si="19"/>
        <v>0</v>
      </c>
      <c r="W414" s="106"/>
      <c r="X414" s="64"/>
    </row>
    <row r="415" spans="1:24" s="66" customFormat="1" ht="12" hidden="1" customHeight="1">
      <c r="A415" s="74" t="s">
        <v>62</v>
      </c>
      <c r="B415" s="74"/>
      <c r="C415" s="74"/>
      <c r="D415" s="74"/>
      <c r="E415" s="74"/>
      <c r="F415" s="74"/>
      <c r="G415" s="74"/>
      <c r="H415" s="74"/>
      <c r="I415" s="75" t="s">
        <v>1860</v>
      </c>
      <c r="J415" s="75" t="s">
        <v>1369</v>
      </c>
      <c r="K415" s="74" t="s">
        <v>1376</v>
      </c>
      <c r="L415" s="76" t="s">
        <v>1135</v>
      </c>
      <c r="M415" s="57"/>
      <c r="N415" s="77">
        <v>470</v>
      </c>
      <c r="O415" s="57">
        <f t="shared" si="17"/>
        <v>0</v>
      </c>
      <c r="P415" s="77">
        <v>108912</v>
      </c>
      <c r="Q415" s="73">
        <f t="shared" si="18"/>
        <v>0</v>
      </c>
      <c r="R415" s="57"/>
      <c r="S415" s="57"/>
      <c r="T415" s="57"/>
      <c r="U415" s="57"/>
      <c r="V415" s="73">
        <f t="shared" si="19"/>
        <v>0</v>
      </c>
      <c r="W415" s="106"/>
      <c r="X415" s="64"/>
    </row>
    <row r="416" spans="1:24" s="66" customFormat="1" ht="12" hidden="1" customHeight="1">
      <c r="A416" s="74" t="s">
        <v>63</v>
      </c>
      <c r="B416" s="74"/>
      <c r="C416" s="74"/>
      <c r="D416" s="74"/>
      <c r="E416" s="74"/>
      <c r="F416" s="74"/>
      <c r="G416" s="74"/>
      <c r="H416" s="74"/>
      <c r="I416" s="75" t="s">
        <v>1861</v>
      </c>
      <c r="J416" s="75" t="s">
        <v>1369</v>
      </c>
      <c r="K416" s="74" t="s">
        <v>1375</v>
      </c>
      <c r="L416" s="76" t="s">
        <v>1135</v>
      </c>
      <c r="M416" s="57"/>
      <c r="N416" s="77">
        <v>770</v>
      </c>
      <c r="O416" s="57">
        <f t="shared" si="17"/>
        <v>0</v>
      </c>
      <c r="P416" s="77">
        <v>127972</v>
      </c>
      <c r="Q416" s="73">
        <f t="shared" si="18"/>
        <v>0</v>
      </c>
      <c r="R416" s="57"/>
      <c r="S416" s="57"/>
      <c r="T416" s="57"/>
      <c r="U416" s="57"/>
      <c r="V416" s="73">
        <f t="shared" si="19"/>
        <v>0</v>
      </c>
      <c r="W416" s="106"/>
      <c r="X416" s="64"/>
    </row>
    <row r="417" spans="1:24" s="66" customFormat="1" ht="12" hidden="1" customHeight="1">
      <c r="A417" s="74" t="s">
        <v>64</v>
      </c>
      <c r="B417" s="74"/>
      <c r="C417" s="74"/>
      <c r="D417" s="74"/>
      <c r="E417" s="74"/>
      <c r="F417" s="74"/>
      <c r="G417" s="74"/>
      <c r="H417" s="74"/>
      <c r="I417" s="75" t="s">
        <v>1862</v>
      </c>
      <c r="J417" s="75" t="s">
        <v>1369</v>
      </c>
      <c r="K417" s="74" t="s">
        <v>1374</v>
      </c>
      <c r="L417" s="76" t="s">
        <v>1135</v>
      </c>
      <c r="M417" s="57"/>
      <c r="N417" s="77">
        <v>900</v>
      </c>
      <c r="O417" s="57">
        <f t="shared" si="17"/>
        <v>0</v>
      </c>
      <c r="P417" s="77">
        <v>136141</v>
      </c>
      <c r="Q417" s="73">
        <f t="shared" si="18"/>
        <v>0</v>
      </c>
      <c r="R417" s="57"/>
      <c r="S417" s="57"/>
      <c r="T417" s="57"/>
      <c r="U417" s="57"/>
      <c r="V417" s="73">
        <f t="shared" si="19"/>
        <v>0</v>
      </c>
      <c r="W417" s="106"/>
      <c r="X417" s="64"/>
    </row>
    <row r="418" spans="1:24" s="66" customFormat="1" ht="12" hidden="1" customHeight="1">
      <c r="A418" s="74" t="s">
        <v>65</v>
      </c>
      <c r="B418" s="74"/>
      <c r="C418" s="74"/>
      <c r="D418" s="74"/>
      <c r="E418" s="74"/>
      <c r="F418" s="74"/>
      <c r="G418" s="74"/>
      <c r="H418" s="74"/>
      <c r="I418" s="75" t="s">
        <v>1863</v>
      </c>
      <c r="J418" s="75" t="s">
        <v>1369</v>
      </c>
      <c r="K418" s="74" t="s">
        <v>1373</v>
      </c>
      <c r="L418" s="76" t="s">
        <v>1135</v>
      </c>
      <c r="M418" s="57"/>
      <c r="N418" s="77">
        <v>1410</v>
      </c>
      <c r="O418" s="57">
        <f t="shared" si="17"/>
        <v>0</v>
      </c>
      <c r="P418" s="77">
        <v>155200</v>
      </c>
      <c r="Q418" s="73">
        <f t="shared" si="18"/>
        <v>0</v>
      </c>
      <c r="R418" s="57"/>
      <c r="S418" s="57"/>
      <c r="T418" s="57"/>
      <c r="U418" s="57"/>
      <c r="V418" s="73">
        <f t="shared" si="19"/>
        <v>0</v>
      </c>
      <c r="W418" s="106"/>
      <c r="X418" s="64"/>
    </row>
    <row r="419" spans="1:24" s="66" customFormat="1" ht="12" hidden="1" customHeight="1">
      <c r="A419" s="74" t="s">
        <v>66</v>
      </c>
      <c r="B419" s="74"/>
      <c r="C419" s="74"/>
      <c r="D419" s="74"/>
      <c r="E419" s="74"/>
      <c r="F419" s="74"/>
      <c r="G419" s="74"/>
      <c r="H419" s="74"/>
      <c r="I419" s="75" t="s">
        <v>1864</v>
      </c>
      <c r="J419" s="75" t="s">
        <v>1369</v>
      </c>
      <c r="K419" s="74" t="s">
        <v>1372</v>
      </c>
      <c r="L419" s="76" t="s">
        <v>1135</v>
      </c>
      <c r="M419" s="57"/>
      <c r="N419" s="77">
        <v>1530</v>
      </c>
      <c r="O419" s="57">
        <f t="shared" si="17"/>
        <v>0</v>
      </c>
      <c r="P419" s="77">
        <v>185151</v>
      </c>
      <c r="Q419" s="73">
        <f t="shared" si="18"/>
        <v>0</v>
      </c>
      <c r="R419" s="57"/>
      <c r="S419" s="57"/>
      <c r="T419" s="57"/>
      <c r="U419" s="57"/>
      <c r="V419" s="73">
        <f t="shared" si="19"/>
        <v>0</v>
      </c>
      <c r="W419" s="106"/>
      <c r="X419" s="64"/>
    </row>
    <row r="420" spans="1:24" s="66" customFormat="1" ht="12" hidden="1" customHeight="1">
      <c r="A420" s="74" t="s">
        <v>67</v>
      </c>
      <c r="B420" s="74"/>
      <c r="C420" s="74"/>
      <c r="D420" s="74"/>
      <c r="E420" s="74"/>
      <c r="F420" s="74"/>
      <c r="G420" s="74"/>
      <c r="H420" s="74"/>
      <c r="I420" s="75" t="s">
        <v>1864</v>
      </c>
      <c r="J420" s="75" t="s">
        <v>1369</v>
      </c>
      <c r="K420" s="74" t="s">
        <v>1371</v>
      </c>
      <c r="L420" s="76" t="s">
        <v>1135</v>
      </c>
      <c r="M420" s="57"/>
      <c r="N420" s="77">
        <v>2040</v>
      </c>
      <c r="O420" s="57">
        <f t="shared" si="17"/>
        <v>0</v>
      </c>
      <c r="P420" s="77">
        <v>185151</v>
      </c>
      <c r="Q420" s="73">
        <f t="shared" si="18"/>
        <v>0</v>
      </c>
      <c r="R420" s="57"/>
      <c r="S420" s="57"/>
      <c r="T420" s="57"/>
      <c r="U420" s="57"/>
      <c r="V420" s="73">
        <f t="shared" si="19"/>
        <v>0</v>
      </c>
      <c r="W420" s="106"/>
      <c r="X420" s="64"/>
    </row>
    <row r="421" spans="1:24" s="66" customFormat="1" ht="12" hidden="1" customHeight="1">
      <c r="A421" s="74" t="s">
        <v>68</v>
      </c>
      <c r="B421" s="74"/>
      <c r="C421" s="74"/>
      <c r="D421" s="74"/>
      <c r="E421" s="74"/>
      <c r="F421" s="74"/>
      <c r="G421" s="74"/>
      <c r="H421" s="74"/>
      <c r="I421" s="75" t="s">
        <v>1865</v>
      </c>
      <c r="J421" s="75" t="s">
        <v>1369</v>
      </c>
      <c r="K421" s="74" t="s">
        <v>1370</v>
      </c>
      <c r="L421" s="76" t="s">
        <v>1135</v>
      </c>
      <c r="M421" s="57"/>
      <c r="N421" s="77">
        <v>2940</v>
      </c>
      <c r="O421" s="57">
        <f t="shared" si="17"/>
        <v>0</v>
      </c>
      <c r="P421" s="77">
        <v>209657</v>
      </c>
      <c r="Q421" s="73">
        <f t="shared" si="18"/>
        <v>0</v>
      </c>
      <c r="R421" s="57"/>
      <c r="S421" s="57"/>
      <c r="T421" s="57"/>
      <c r="U421" s="57"/>
      <c r="V421" s="73">
        <f t="shared" si="19"/>
        <v>0</v>
      </c>
      <c r="W421" s="106"/>
      <c r="X421" s="64"/>
    </row>
    <row r="422" spans="1:24" s="66" customFormat="1" ht="12" hidden="1" customHeight="1">
      <c r="A422" s="74" t="s">
        <v>23</v>
      </c>
      <c r="B422" s="74"/>
      <c r="C422" s="74"/>
      <c r="D422" s="74"/>
      <c r="E422" s="74"/>
      <c r="F422" s="74"/>
      <c r="G422" s="74"/>
      <c r="H422" s="74"/>
      <c r="I422" s="75" t="s">
        <v>1848</v>
      </c>
      <c r="J422" s="75" t="s">
        <v>756</v>
      </c>
      <c r="K422" s="74" t="s">
        <v>1359</v>
      </c>
      <c r="L422" s="76" t="s">
        <v>0</v>
      </c>
      <c r="M422" s="57"/>
      <c r="N422" s="77">
        <v>41635</v>
      </c>
      <c r="O422" s="57">
        <f t="shared" si="17"/>
        <v>0</v>
      </c>
      <c r="P422" s="77">
        <v>7295</v>
      </c>
      <c r="Q422" s="73">
        <f t="shared" si="18"/>
        <v>0</v>
      </c>
      <c r="R422" s="57"/>
      <c r="S422" s="57"/>
      <c r="T422" s="57"/>
      <c r="U422" s="57"/>
      <c r="V422" s="73">
        <f t="shared" si="19"/>
        <v>0</v>
      </c>
      <c r="W422" s="106"/>
      <c r="X422" s="64"/>
    </row>
    <row r="423" spans="1:24" s="66" customFormat="1" ht="12" hidden="1" customHeight="1">
      <c r="A423" s="74" t="s">
        <v>21</v>
      </c>
      <c r="B423" s="74"/>
      <c r="C423" s="74"/>
      <c r="D423" s="74"/>
      <c r="E423" s="74"/>
      <c r="F423" s="74"/>
      <c r="G423" s="74"/>
      <c r="H423" s="74"/>
      <c r="I423" s="75" t="s">
        <v>1847</v>
      </c>
      <c r="J423" s="75" t="s">
        <v>756</v>
      </c>
      <c r="K423" s="74" t="s">
        <v>1361</v>
      </c>
      <c r="L423" s="76" t="s">
        <v>0</v>
      </c>
      <c r="M423" s="57"/>
      <c r="N423" s="77">
        <v>25636</v>
      </c>
      <c r="O423" s="57">
        <f t="shared" si="17"/>
        <v>0</v>
      </c>
      <c r="P423" s="77">
        <v>6008</v>
      </c>
      <c r="Q423" s="73">
        <f t="shared" si="18"/>
        <v>0</v>
      </c>
      <c r="R423" s="57"/>
      <c r="S423" s="57"/>
      <c r="T423" s="57"/>
      <c r="U423" s="57"/>
      <c r="V423" s="73">
        <f t="shared" si="19"/>
        <v>0</v>
      </c>
      <c r="W423" s="106"/>
      <c r="X423" s="64"/>
    </row>
    <row r="424" spans="1:24" s="66" customFormat="1" ht="12" hidden="1" customHeight="1">
      <c r="A424" s="74" t="s">
        <v>22</v>
      </c>
      <c r="B424" s="74"/>
      <c r="C424" s="74"/>
      <c r="D424" s="74"/>
      <c r="E424" s="74"/>
      <c r="F424" s="74"/>
      <c r="G424" s="74"/>
      <c r="H424" s="74"/>
      <c r="I424" s="75" t="s">
        <v>1847</v>
      </c>
      <c r="J424" s="75" t="s">
        <v>756</v>
      </c>
      <c r="K424" s="74" t="s">
        <v>1360</v>
      </c>
      <c r="L424" s="76" t="s">
        <v>0</v>
      </c>
      <c r="M424" s="57"/>
      <c r="N424" s="77">
        <v>33626</v>
      </c>
      <c r="O424" s="57">
        <f t="shared" si="17"/>
        <v>0</v>
      </c>
      <c r="P424" s="77">
        <v>6008</v>
      </c>
      <c r="Q424" s="73">
        <f t="shared" si="18"/>
        <v>0</v>
      </c>
      <c r="R424" s="57"/>
      <c r="S424" s="57"/>
      <c r="T424" s="57"/>
      <c r="U424" s="57"/>
      <c r="V424" s="73">
        <f t="shared" si="19"/>
        <v>0</v>
      </c>
      <c r="W424" s="106"/>
      <c r="X424" s="64"/>
    </row>
    <row r="425" spans="1:24" s="66" customFormat="1" ht="12" hidden="1" customHeight="1">
      <c r="A425" s="74" t="s">
        <v>709</v>
      </c>
      <c r="B425" s="74"/>
      <c r="C425" s="74"/>
      <c r="D425" s="74"/>
      <c r="E425" s="74"/>
      <c r="F425" s="74"/>
      <c r="G425" s="74"/>
      <c r="H425" s="74"/>
      <c r="I425" s="75" t="s">
        <v>2189</v>
      </c>
      <c r="J425" s="75" t="s">
        <v>756</v>
      </c>
      <c r="K425" s="74" t="s">
        <v>1367</v>
      </c>
      <c r="L425" s="76" t="s">
        <v>0</v>
      </c>
      <c r="M425" s="57"/>
      <c r="N425" s="77">
        <v>688</v>
      </c>
      <c r="O425" s="57">
        <f t="shared" si="17"/>
        <v>0</v>
      </c>
      <c r="P425" s="77">
        <v>2575</v>
      </c>
      <c r="Q425" s="73">
        <f t="shared" si="18"/>
        <v>0</v>
      </c>
      <c r="R425" s="57"/>
      <c r="S425" s="57"/>
      <c r="T425" s="57"/>
      <c r="U425" s="57"/>
      <c r="V425" s="73">
        <f t="shared" si="19"/>
        <v>0</v>
      </c>
      <c r="W425" s="106"/>
      <c r="X425" s="64"/>
    </row>
    <row r="426" spans="1:24" s="66" customFormat="1" ht="12" hidden="1" customHeight="1">
      <c r="A426" s="74" t="s">
        <v>710</v>
      </c>
      <c r="B426" s="74"/>
      <c r="C426" s="74"/>
      <c r="D426" s="74"/>
      <c r="E426" s="74"/>
      <c r="F426" s="74"/>
      <c r="G426" s="74"/>
      <c r="H426" s="74"/>
      <c r="I426" s="75" t="s">
        <v>2189</v>
      </c>
      <c r="J426" s="75" t="s">
        <v>756</v>
      </c>
      <c r="K426" s="74" t="s">
        <v>1366</v>
      </c>
      <c r="L426" s="76" t="s">
        <v>0</v>
      </c>
      <c r="M426" s="57"/>
      <c r="N426" s="77">
        <v>956</v>
      </c>
      <c r="O426" s="57">
        <f t="shared" si="17"/>
        <v>0</v>
      </c>
      <c r="P426" s="77">
        <v>2575</v>
      </c>
      <c r="Q426" s="73">
        <f t="shared" si="18"/>
        <v>0</v>
      </c>
      <c r="R426" s="57"/>
      <c r="S426" s="57"/>
      <c r="T426" s="57"/>
      <c r="U426" s="57"/>
      <c r="V426" s="73">
        <f t="shared" si="19"/>
        <v>0</v>
      </c>
      <c r="W426" s="106"/>
      <c r="X426" s="64"/>
    </row>
    <row r="427" spans="1:24" s="66" customFormat="1" ht="12" hidden="1" customHeight="1">
      <c r="A427" s="74" t="s">
        <v>711</v>
      </c>
      <c r="B427" s="74"/>
      <c r="C427" s="74"/>
      <c r="D427" s="74"/>
      <c r="E427" s="74"/>
      <c r="F427" s="74"/>
      <c r="G427" s="74"/>
      <c r="H427" s="74"/>
      <c r="I427" s="75" t="s">
        <v>2189</v>
      </c>
      <c r="J427" s="75" t="s">
        <v>756</v>
      </c>
      <c r="K427" s="74" t="s">
        <v>1365</v>
      </c>
      <c r="L427" s="76" t="s">
        <v>0</v>
      </c>
      <c r="M427" s="57"/>
      <c r="N427" s="77">
        <v>1088</v>
      </c>
      <c r="O427" s="57">
        <f t="shared" si="17"/>
        <v>0</v>
      </c>
      <c r="P427" s="77">
        <v>2575</v>
      </c>
      <c r="Q427" s="73">
        <f t="shared" si="18"/>
        <v>0</v>
      </c>
      <c r="R427" s="57"/>
      <c r="S427" s="57"/>
      <c r="T427" s="57"/>
      <c r="U427" s="57"/>
      <c r="V427" s="73">
        <f t="shared" si="19"/>
        <v>0</v>
      </c>
      <c r="W427" s="106"/>
      <c r="X427" s="64"/>
    </row>
    <row r="428" spans="1:24" s="66" customFormat="1" ht="12" hidden="1" customHeight="1">
      <c r="A428" s="74" t="s">
        <v>712</v>
      </c>
      <c r="B428" s="74"/>
      <c r="C428" s="74"/>
      <c r="D428" s="74"/>
      <c r="E428" s="74"/>
      <c r="F428" s="74"/>
      <c r="G428" s="74"/>
      <c r="H428" s="74"/>
      <c r="I428" s="75" t="s">
        <v>2189</v>
      </c>
      <c r="J428" s="75" t="s">
        <v>756</v>
      </c>
      <c r="K428" s="74" t="s">
        <v>1364</v>
      </c>
      <c r="L428" s="76" t="s">
        <v>0</v>
      </c>
      <c r="M428" s="57"/>
      <c r="N428" s="77">
        <v>1834</v>
      </c>
      <c r="O428" s="57">
        <f t="shared" si="17"/>
        <v>0</v>
      </c>
      <c r="P428" s="77">
        <v>2575</v>
      </c>
      <c r="Q428" s="73">
        <f t="shared" si="18"/>
        <v>0</v>
      </c>
      <c r="R428" s="57"/>
      <c r="S428" s="57"/>
      <c r="T428" s="57"/>
      <c r="U428" s="57"/>
      <c r="V428" s="73">
        <f t="shared" si="19"/>
        <v>0</v>
      </c>
      <c r="W428" s="106"/>
      <c r="X428" s="64"/>
    </row>
    <row r="429" spans="1:24" s="66" customFormat="1" ht="12" hidden="1" customHeight="1">
      <c r="A429" s="74" t="s">
        <v>713</v>
      </c>
      <c r="B429" s="74"/>
      <c r="C429" s="74"/>
      <c r="D429" s="74"/>
      <c r="E429" s="74"/>
      <c r="F429" s="74"/>
      <c r="G429" s="74"/>
      <c r="H429" s="74"/>
      <c r="I429" s="75" t="s">
        <v>2190</v>
      </c>
      <c r="J429" s="75" t="s">
        <v>756</v>
      </c>
      <c r="K429" s="74" t="s">
        <v>1120</v>
      </c>
      <c r="L429" s="76" t="s">
        <v>0</v>
      </c>
      <c r="M429" s="57"/>
      <c r="N429" s="77">
        <v>2504</v>
      </c>
      <c r="O429" s="57">
        <f t="shared" si="17"/>
        <v>0</v>
      </c>
      <c r="P429" s="77">
        <v>3004</v>
      </c>
      <c r="Q429" s="73">
        <f t="shared" si="18"/>
        <v>0</v>
      </c>
      <c r="R429" s="57"/>
      <c r="S429" s="57"/>
      <c r="T429" s="57"/>
      <c r="U429" s="57"/>
      <c r="V429" s="73">
        <f t="shared" si="19"/>
        <v>0</v>
      </c>
      <c r="W429" s="106"/>
      <c r="X429" s="64"/>
    </row>
    <row r="430" spans="1:24" s="66" customFormat="1" ht="12" hidden="1" customHeight="1">
      <c r="A430" s="74" t="s">
        <v>714</v>
      </c>
      <c r="B430" s="74"/>
      <c r="C430" s="74"/>
      <c r="D430" s="74"/>
      <c r="E430" s="74"/>
      <c r="F430" s="74"/>
      <c r="G430" s="74"/>
      <c r="H430" s="74"/>
      <c r="I430" s="75" t="s">
        <v>2190</v>
      </c>
      <c r="J430" s="75" t="s">
        <v>756</v>
      </c>
      <c r="K430" s="74" t="s">
        <v>1363</v>
      </c>
      <c r="L430" s="76" t="s">
        <v>0</v>
      </c>
      <c r="M430" s="57"/>
      <c r="N430" s="77">
        <v>3846</v>
      </c>
      <c r="O430" s="57">
        <f t="shared" si="17"/>
        <v>0</v>
      </c>
      <c r="P430" s="77">
        <v>3004</v>
      </c>
      <c r="Q430" s="73">
        <f t="shared" si="18"/>
        <v>0</v>
      </c>
      <c r="R430" s="57"/>
      <c r="S430" s="57"/>
      <c r="T430" s="57"/>
      <c r="U430" s="57"/>
      <c r="V430" s="73">
        <f t="shared" si="19"/>
        <v>0</v>
      </c>
      <c r="W430" s="106"/>
      <c r="X430" s="64"/>
    </row>
    <row r="431" spans="1:24" s="66" customFormat="1" ht="12" hidden="1" customHeight="1">
      <c r="A431" s="74" t="s">
        <v>715</v>
      </c>
      <c r="B431" s="74"/>
      <c r="C431" s="74"/>
      <c r="D431" s="74"/>
      <c r="E431" s="74"/>
      <c r="F431" s="74"/>
      <c r="G431" s="74"/>
      <c r="H431" s="74"/>
      <c r="I431" s="75" t="s">
        <v>2190</v>
      </c>
      <c r="J431" s="75" t="s">
        <v>756</v>
      </c>
      <c r="K431" s="74" t="s">
        <v>1362</v>
      </c>
      <c r="L431" s="76" t="s">
        <v>0</v>
      </c>
      <c r="M431" s="57"/>
      <c r="N431" s="77">
        <v>5432</v>
      </c>
      <c r="O431" s="57">
        <f t="shared" si="17"/>
        <v>0</v>
      </c>
      <c r="P431" s="77">
        <v>3004</v>
      </c>
      <c r="Q431" s="73">
        <f t="shared" si="18"/>
        <v>0</v>
      </c>
      <c r="R431" s="57"/>
      <c r="S431" s="57"/>
      <c r="T431" s="57"/>
      <c r="U431" s="57"/>
      <c r="V431" s="73">
        <f t="shared" si="19"/>
        <v>0</v>
      </c>
      <c r="W431" s="106"/>
      <c r="X431" s="64"/>
    </row>
    <row r="432" spans="1:24" s="66" customFormat="1" ht="12" hidden="1" customHeight="1">
      <c r="A432" s="74" t="s">
        <v>716</v>
      </c>
      <c r="B432" s="74"/>
      <c r="C432" s="74"/>
      <c r="D432" s="74"/>
      <c r="E432" s="74"/>
      <c r="F432" s="74"/>
      <c r="G432" s="74"/>
      <c r="H432" s="74"/>
      <c r="I432" s="75" t="s">
        <v>2191</v>
      </c>
      <c r="J432" s="75" t="s">
        <v>756</v>
      </c>
      <c r="K432" s="74" t="s">
        <v>1119</v>
      </c>
      <c r="L432" s="76" t="s">
        <v>0</v>
      </c>
      <c r="M432" s="57"/>
      <c r="N432" s="77">
        <v>7384</v>
      </c>
      <c r="O432" s="57">
        <f t="shared" si="17"/>
        <v>0</v>
      </c>
      <c r="P432" s="77">
        <v>3433</v>
      </c>
      <c r="Q432" s="73">
        <f t="shared" si="18"/>
        <v>0</v>
      </c>
      <c r="R432" s="57"/>
      <c r="S432" s="57"/>
      <c r="T432" s="57"/>
      <c r="U432" s="57"/>
      <c r="V432" s="73">
        <f t="shared" si="19"/>
        <v>0</v>
      </c>
      <c r="W432" s="106"/>
      <c r="X432" s="64"/>
    </row>
    <row r="433" spans="1:24" s="66" customFormat="1" ht="12" hidden="1" customHeight="1">
      <c r="A433" s="74" t="s">
        <v>717</v>
      </c>
      <c r="B433" s="74"/>
      <c r="C433" s="74"/>
      <c r="D433" s="74"/>
      <c r="E433" s="74"/>
      <c r="F433" s="74"/>
      <c r="G433" s="74"/>
      <c r="H433" s="74"/>
      <c r="I433" s="75" t="s">
        <v>2191</v>
      </c>
      <c r="J433" s="75" t="s">
        <v>756</v>
      </c>
      <c r="K433" s="74" t="s">
        <v>1118</v>
      </c>
      <c r="L433" s="76" t="s">
        <v>0</v>
      </c>
      <c r="M433" s="57"/>
      <c r="N433" s="77">
        <v>10399</v>
      </c>
      <c r="O433" s="57">
        <f t="shared" si="17"/>
        <v>0</v>
      </c>
      <c r="P433" s="77">
        <v>3433</v>
      </c>
      <c r="Q433" s="73">
        <f t="shared" si="18"/>
        <v>0</v>
      </c>
      <c r="R433" s="57"/>
      <c r="S433" s="57"/>
      <c r="T433" s="57"/>
      <c r="U433" s="57"/>
      <c r="V433" s="73">
        <f t="shared" si="19"/>
        <v>0</v>
      </c>
      <c r="W433" s="106"/>
      <c r="X433" s="64"/>
    </row>
    <row r="434" spans="1:24" s="66" customFormat="1" ht="12" hidden="1" customHeight="1">
      <c r="A434" s="74" t="s">
        <v>718</v>
      </c>
      <c r="B434" s="74"/>
      <c r="C434" s="74"/>
      <c r="D434" s="74"/>
      <c r="E434" s="74"/>
      <c r="F434" s="74"/>
      <c r="G434" s="74"/>
      <c r="H434" s="74"/>
      <c r="I434" s="75" t="s">
        <v>2191</v>
      </c>
      <c r="J434" s="75" t="s">
        <v>756</v>
      </c>
      <c r="K434" s="74" t="s">
        <v>1117</v>
      </c>
      <c r="L434" s="76" t="s">
        <v>0</v>
      </c>
      <c r="M434" s="57"/>
      <c r="N434" s="77">
        <v>13998</v>
      </c>
      <c r="O434" s="57">
        <f t="shared" si="17"/>
        <v>0</v>
      </c>
      <c r="P434" s="77">
        <v>3433</v>
      </c>
      <c r="Q434" s="73">
        <f t="shared" si="18"/>
        <v>0</v>
      </c>
      <c r="R434" s="57"/>
      <c r="S434" s="57"/>
      <c r="T434" s="57"/>
      <c r="U434" s="57"/>
      <c r="V434" s="73">
        <f t="shared" si="19"/>
        <v>0</v>
      </c>
      <c r="W434" s="106"/>
      <c r="X434" s="64"/>
    </row>
    <row r="435" spans="1:24" s="66" customFormat="1" ht="12" hidden="1" customHeight="1">
      <c r="A435" s="74" t="s">
        <v>719</v>
      </c>
      <c r="B435" s="74"/>
      <c r="C435" s="74"/>
      <c r="D435" s="74"/>
      <c r="E435" s="74"/>
      <c r="F435" s="74"/>
      <c r="G435" s="74"/>
      <c r="H435" s="74"/>
      <c r="I435" s="75" t="s">
        <v>2192</v>
      </c>
      <c r="J435" s="75" t="s">
        <v>756</v>
      </c>
      <c r="K435" s="74" t="s">
        <v>1116</v>
      </c>
      <c r="L435" s="76" t="s">
        <v>0</v>
      </c>
      <c r="M435" s="57"/>
      <c r="N435" s="77">
        <v>17117</v>
      </c>
      <c r="O435" s="57">
        <f t="shared" si="17"/>
        <v>0</v>
      </c>
      <c r="P435" s="77">
        <v>4720</v>
      </c>
      <c r="Q435" s="73">
        <f t="shared" si="18"/>
        <v>0</v>
      </c>
      <c r="R435" s="57"/>
      <c r="S435" s="57"/>
      <c r="T435" s="57"/>
      <c r="U435" s="57"/>
      <c r="V435" s="73">
        <f t="shared" si="19"/>
        <v>0</v>
      </c>
      <c r="W435" s="106"/>
      <c r="X435" s="64"/>
    </row>
    <row r="436" spans="1:24" s="66" customFormat="1" ht="12" hidden="1" customHeight="1">
      <c r="A436" s="74" t="s">
        <v>720</v>
      </c>
      <c r="B436" s="74"/>
      <c r="C436" s="74"/>
      <c r="D436" s="74"/>
      <c r="E436" s="74"/>
      <c r="F436" s="74"/>
      <c r="G436" s="74"/>
      <c r="H436" s="74"/>
      <c r="I436" s="75" t="s">
        <v>2192</v>
      </c>
      <c r="J436" s="75" t="s">
        <v>756</v>
      </c>
      <c r="K436" s="74" t="s">
        <v>1115</v>
      </c>
      <c r="L436" s="76" t="s">
        <v>0</v>
      </c>
      <c r="M436" s="57"/>
      <c r="N436" s="77">
        <v>20812</v>
      </c>
      <c r="O436" s="57">
        <f t="shared" si="17"/>
        <v>0</v>
      </c>
      <c r="P436" s="77">
        <v>4720</v>
      </c>
      <c r="Q436" s="73">
        <f t="shared" si="18"/>
        <v>0</v>
      </c>
      <c r="R436" s="57"/>
      <c r="S436" s="57"/>
      <c r="T436" s="57"/>
      <c r="U436" s="57"/>
      <c r="V436" s="73">
        <f t="shared" si="19"/>
        <v>0</v>
      </c>
      <c r="W436" s="106"/>
      <c r="X436" s="64"/>
    </row>
    <row r="437" spans="1:24" s="66" customFormat="1" ht="12" hidden="1" customHeight="1">
      <c r="A437" s="74" t="s">
        <v>1780</v>
      </c>
      <c r="B437" s="74"/>
      <c r="C437" s="74"/>
      <c r="D437" s="74"/>
      <c r="E437" s="74"/>
      <c r="F437" s="74"/>
      <c r="G437" s="74"/>
      <c r="H437" s="74"/>
      <c r="I437" s="75" t="s">
        <v>2002</v>
      </c>
      <c r="J437" s="75" t="s">
        <v>756</v>
      </c>
      <c r="K437" s="74" t="s">
        <v>1367</v>
      </c>
      <c r="L437" s="76" t="s">
        <v>0</v>
      </c>
      <c r="M437" s="57"/>
      <c r="N437" s="77">
        <v>688</v>
      </c>
      <c r="O437" s="57">
        <f t="shared" si="17"/>
        <v>0</v>
      </c>
      <c r="P437" s="77">
        <v>2590</v>
      </c>
      <c r="Q437" s="73">
        <f t="shared" si="18"/>
        <v>0</v>
      </c>
      <c r="R437" s="57"/>
      <c r="S437" s="57"/>
      <c r="T437" s="57"/>
      <c r="U437" s="57"/>
      <c r="V437" s="73">
        <f t="shared" si="19"/>
        <v>0</v>
      </c>
      <c r="W437" s="106"/>
      <c r="X437" s="64"/>
    </row>
    <row r="438" spans="1:24" s="66" customFormat="1" ht="12" hidden="1" customHeight="1">
      <c r="A438" s="74" t="s">
        <v>1781</v>
      </c>
      <c r="B438" s="74"/>
      <c r="C438" s="74"/>
      <c r="D438" s="74"/>
      <c r="E438" s="74"/>
      <c r="F438" s="74"/>
      <c r="G438" s="74"/>
      <c r="H438" s="74"/>
      <c r="I438" s="75" t="s">
        <v>2002</v>
      </c>
      <c r="J438" s="75" t="s">
        <v>756</v>
      </c>
      <c r="K438" s="74" t="s">
        <v>1366</v>
      </c>
      <c r="L438" s="76" t="s">
        <v>0</v>
      </c>
      <c r="M438" s="57"/>
      <c r="N438" s="77">
        <v>956</v>
      </c>
      <c r="O438" s="57">
        <f t="shared" si="17"/>
        <v>0</v>
      </c>
      <c r="P438" s="77">
        <v>2590</v>
      </c>
      <c r="Q438" s="73">
        <f t="shared" si="18"/>
        <v>0</v>
      </c>
      <c r="R438" s="57"/>
      <c r="S438" s="57"/>
      <c r="T438" s="57"/>
      <c r="U438" s="57"/>
      <c r="V438" s="73">
        <f t="shared" si="19"/>
        <v>0</v>
      </c>
      <c r="W438" s="106"/>
      <c r="X438" s="64"/>
    </row>
    <row r="439" spans="1:24" s="66" customFormat="1" ht="12" hidden="1" customHeight="1">
      <c r="A439" s="74" t="s">
        <v>1782</v>
      </c>
      <c r="B439" s="74"/>
      <c r="C439" s="74"/>
      <c r="D439" s="74"/>
      <c r="E439" s="74"/>
      <c r="F439" s="74"/>
      <c r="G439" s="74"/>
      <c r="H439" s="74"/>
      <c r="I439" s="75" t="s">
        <v>2002</v>
      </c>
      <c r="J439" s="75" t="s">
        <v>756</v>
      </c>
      <c r="K439" s="74" t="s">
        <v>1365</v>
      </c>
      <c r="L439" s="76" t="s">
        <v>0</v>
      </c>
      <c r="M439" s="57"/>
      <c r="N439" s="77">
        <v>1088</v>
      </c>
      <c r="O439" s="57">
        <f t="shared" ref="O439:O502" si="20">M439*N439*$O$3</f>
        <v>0</v>
      </c>
      <c r="P439" s="77">
        <v>2590</v>
      </c>
      <c r="Q439" s="73">
        <f t="shared" si="18"/>
        <v>0</v>
      </c>
      <c r="R439" s="57"/>
      <c r="S439" s="57"/>
      <c r="T439" s="57"/>
      <c r="U439" s="57"/>
      <c r="V439" s="73">
        <f t="shared" si="19"/>
        <v>0</v>
      </c>
      <c r="W439" s="106"/>
      <c r="X439" s="64"/>
    </row>
    <row r="440" spans="1:24" s="66" customFormat="1" ht="12" hidden="1" customHeight="1">
      <c r="A440" s="74" t="s">
        <v>257</v>
      </c>
      <c r="B440" s="74"/>
      <c r="C440" s="74"/>
      <c r="D440" s="74"/>
      <c r="E440" s="74"/>
      <c r="F440" s="74"/>
      <c r="G440" s="74"/>
      <c r="H440" s="74"/>
      <c r="I440" s="75" t="s">
        <v>2002</v>
      </c>
      <c r="J440" s="75" t="s">
        <v>757</v>
      </c>
      <c r="K440" s="74" t="s">
        <v>760</v>
      </c>
      <c r="L440" s="76" t="s">
        <v>0</v>
      </c>
      <c r="M440" s="57"/>
      <c r="N440" s="77">
        <v>1441</v>
      </c>
      <c r="O440" s="57">
        <f t="shared" si="20"/>
        <v>0</v>
      </c>
      <c r="P440" s="77">
        <v>2590</v>
      </c>
      <c r="Q440" s="73">
        <f t="shared" si="18"/>
        <v>0</v>
      </c>
      <c r="R440" s="57"/>
      <c r="S440" s="57"/>
      <c r="T440" s="57"/>
      <c r="U440" s="57"/>
      <c r="V440" s="73">
        <f t="shared" si="19"/>
        <v>0</v>
      </c>
      <c r="W440" s="106"/>
      <c r="X440" s="64"/>
    </row>
    <row r="441" spans="1:24" s="66" customFormat="1" ht="12" hidden="1" customHeight="1">
      <c r="A441" s="74" t="s">
        <v>3186</v>
      </c>
      <c r="B441" s="74"/>
      <c r="C441" s="74"/>
      <c r="D441" s="74"/>
      <c r="E441" s="74"/>
      <c r="F441" s="74"/>
      <c r="G441" s="74"/>
      <c r="H441" s="74"/>
      <c r="I441" s="75" t="s">
        <v>2003</v>
      </c>
      <c r="J441" s="75" t="s">
        <v>757</v>
      </c>
      <c r="K441" s="74" t="s">
        <v>3187</v>
      </c>
      <c r="L441" s="76" t="s">
        <v>0</v>
      </c>
      <c r="M441" s="57"/>
      <c r="N441" s="77">
        <v>2773</v>
      </c>
      <c r="O441" s="57">
        <f t="shared" si="20"/>
        <v>0</v>
      </c>
      <c r="P441" s="77">
        <v>5959</v>
      </c>
      <c r="Q441" s="73">
        <f t="shared" si="18"/>
        <v>0</v>
      </c>
      <c r="R441" s="57"/>
      <c r="S441" s="57"/>
      <c r="T441" s="57"/>
      <c r="U441" s="57"/>
      <c r="V441" s="73">
        <f t="shared" si="19"/>
        <v>0</v>
      </c>
      <c r="W441" s="106"/>
      <c r="X441" s="64"/>
    </row>
    <row r="442" spans="1:24" s="66" customFormat="1" ht="12" hidden="1" customHeight="1">
      <c r="A442" s="74" t="s">
        <v>3188</v>
      </c>
      <c r="B442" s="74"/>
      <c r="C442" s="74"/>
      <c r="D442" s="74"/>
      <c r="E442" s="74"/>
      <c r="F442" s="74"/>
      <c r="G442" s="74"/>
      <c r="H442" s="74"/>
      <c r="I442" s="75" t="s">
        <v>2003</v>
      </c>
      <c r="J442" s="75" t="s">
        <v>757</v>
      </c>
      <c r="K442" s="74" t="s">
        <v>3189</v>
      </c>
      <c r="L442" s="76" t="s">
        <v>0</v>
      </c>
      <c r="M442" s="57"/>
      <c r="N442" s="77">
        <v>3770</v>
      </c>
      <c r="O442" s="57">
        <f t="shared" si="20"/>
        <v>0</v>
      </c>
      <c r="P442" s="77">
        <v>5959</v>
      </c>
      <c r="Q442" s="73">
        <f t="shared" si="18"/>
        <v>0</v>
      </c>
      <c r="R442" s="57"/>
      <c r="S442" s="57"/>
      <c r="T442" s="57"/>
      <c r="U442" s="57"/>
      <c r="V442" s="73">
        <f t="shared" si="19"/>
        <v>0</v>
      </c>
      <c r="W442" s="106"/>
      <c r="X442" s="64"/>
    </row>
    <row r="443" spans="1:24" s="66" customFormat="1" ht="12" hidden="1" customHeight="1">
      <c r="A443" s="74" t="s">
        <v>3190</v>
      </c>
      <c r="B443" s="74"/>
      <c r="C443" s="74"/>
      <c r="D443" s="74"/>
      <c r="E443" s="74"/>
      <c r="F443" s="74"/>
      <c r="G443" s="74"/>
      <c r="H443" s="74"/>
      <c r="I443" s="75" t="s">
        <v>2004</v>
      </c>
      <c r="J443" s="75" t="s">
        <v>757</v>
      </c>
      <c r="K443" s="74" t="s">
        <v>3191</v>
      </c>
      <c r="L443" s="76" t="s">
        <v>0</v>
      </c>
      <c r="M443" s="57"/>
      <c r="N443" s="77">
        <v>5927</v>
      </c>
      <c r="O443" s="57">
        <f t="shared" si="20"/>
        <v>0</v>
      </c>
      <c r="P443" s="77">
        <v>8031</v>
      </c>
      <c r="Q443" s="73">
        <f t="shared" si="18"/>
        <v>0</v>
      </c>
      <c r="R443" s="57"/>
      <c r="S443" s="57"/>
      <c r="T443" s="57"/>
      <c r="U443" s="57"/>
      <c r="V443" s="73">
        <f t="shared" si="19"/>
        <v>0</v>
      </c>
      <c r="W443" s="106"/>
      <c r="X443" s="64"/>
    </row>
    <row r="444" spans="1:24" s="66" customFormat="1" ht="12" hidden="1" customHeight="1">
      <c r="A444" s="74" t="s">
        <v>3192</v>
      </c>
      <c r="B444" s="74"/>
      <c r="C444" s="74"/>
      <c r="D444" s="74"/>
      <c r="E444" s="74"/>
      <c r="F444" s="74"/>
      <c r="G444" s="74"/>
      <c r="H444" s="74"/>
      <c r="I444" s="75" t="s">
        <v>2004</v>
      </c>
      <c r="J444" s="75" t="s">
        <v>757</v>
      </c>
      <c r="K444" s="74" t="s">
        <v>3193</v>
      </c>
      <c r="L444" s="76" t="s">
        <v>0</v>
      </c>
      <c r="M444" s="57"/>
      <c r="N444" s="77">
        <v>7832</v>
      </c>
      <c r="O444" s="57">
        <f t="shared" si="20"/>
        <v>0</v>
      </c>
      <c r="P444" s="77">
        <v>8031</v>
      </c>
      <c r="Q444" s="73">
        <f t="shared" si="18"/>
        <v>0</v>
      </c>
      <c r="R444" s="57"/>
      <c r="S444" s="57"/>
      <c r="T444" s="57"/>
      <c r="U444" s="57"/>
      <c r="V444" s="73">
        <f t="shared" si="19"/>
        <v>0</v>
      </c>
      <c r="W444" s="106"/>
      <c r="X444" s="64"/>
    </row>
    <row r="445" spans="1:24" s="66" customFormat="1" ht="12" hidden="1" customHeight="1">
      <c r="A445" s="74" t="s">
        <v>3194</v>
      </c>
      <c r="B445" s="74"/>
      <c r="C445" s="74"/>
      <c r="D445" s="74"/>
      <c r="E445" s="74"/>
      <c r="F445" s="74"/>
      <c r="G445" s="74"/>
      <c r="H445" s="74"/>
      <c r="I445" s="75" t="s">
        <v>2005</v>
      </c>
      <c r="J445" s="75" t="s">
        <v>757</v>
      </c>
      <c r="K445" s="74" t="s">
        <v>3195</v>
      </c>
      <c r="L445" s="76" t="s">
        <v>0</v>
      </c>
      <c r="M445" s="57"/>
      <c r="N445" s="77">
        <v>10887</v>
      </c>
      <c r="O445" s="57">
        <f t="shared" si="20"/>
        <v>0</v>
      </c>
      <c r="P445" s="77">
        <v>11140</v>
      </c>
      <c r="Q445" s="73">
        <f t="shared" si="18"/>
        <v>0</v>
      </c>
      <c r="R445" s="57"/>
      <c r="S445" s="57"/>
      <c r="T445" s="57"/>
      <c r="U445" s="57"/>
      <c r="V445" s="73">
        <f t="shared" si="19"/>
        <v>0</v>
      </c>
      <c r="W445" s="106"/>
      <c r="X445" s="64"/>
    </row>
    <row r="446" spans="1:24" s="66" customFormat="1" ht="12" hidden="1" customHeight="1">
      <c r="A446" s="74" t="s">
        <v>3196</v>
      </c>
      <c r="B446" s="74"/>
      <c r="C446" s="74"/>
      <c r="D446" s="74"/>
      <c r="E446" s="74"/>
      <c r="F446" s="74"/>
      <c r="G446" s="74"/>
      <c r="H446" s="74"/>
      <c r="I446" s="75" t="s">
        <v>2006</v>
      </c>
      <c r="J446" s="75" t="s">
        <v>757</v>
      </c>
      <c r="K446" s="74" t="s">
        <v>3197</v>
      </c>
      <c r="L446" s="76" t="s">
        <v>0</v>
      </c>
      <c r="M446" s="57"/>
      <c r="N446" s="77">
        <v>14712</v>
      </c>
      <c r="O446" s="57">
        <f t="shared" si="20"/>
        <v>0</v>
      </c>
      <c r="P446" s="77">
        <v>15804</v>
      </c>
      <c r="Q446" s="73">
        <f t="shared" si="18"/>
        <v>0</v>
      </c>
      <c r="R446" s="57"/>
      <c r="S446" s="57"/>
      <c r="T446" s="57"/>
      <c r="U446" s="57"/>
      <c r="V446" s="73">
        <f t="shared" si="19"/>
        <v>0</v>
      </c>
      <c r="W446" s="106"/>
      <c r="X446" s="64"/>
    </row>
    <row r="447" spans="1:24" s="66" customFormat="1" ht="12" hidden="1" customHeight="1">
      <c r="A447" s="74" t="s">
        <v>3198</v>
      </c>
      <c r="B447" s="74"/>
      <c r="C447" s="74"/>
      <c r="D447" s="74"/>
      <c r="E447" s="74"/>
      <c r="F447" s="74"/>
      <c r="G447" s="74"/>
      <c r="H447" s="74"/>
      <c r="I447" s="75" t="s">
        <v>2007</v>
      </c>
      <c r="J447" s="75" t="s">
        <v>757</v>
      </c>
      <c r="K447" s="74" t="s">
        <v>3199</v>
      </c>
      <c r="L447" s="76" t="s">
        <v>0</v>
      </c>
      <c r="M447" s="57"/>
      <c r="N447" s="77">
        <v>20189</v>
      </c>
      <c r="O447" s="57">
        <f t="shared" si="20"/>
        <v>0</v>
      </c>
      <c r="P447" s="77">
        <v>16581</v>
      </c>
      <c r="Q447" s="73">
        <f t="shared" si="18"/>
        <v>0</v>
      </c>
      <c r="R447" s="57"/>
      <c r="S447" s="57"/>
      <c r="T447" s="57"/>
      <c r="U447" s="57"/>
      <c r="V447" s="73">
        <f t="shared" si="19"/>
        <v>0</v>
      </c>
      <c r="W447" s="106"/>
      <c r="X447" s="64"/>
    </row>
    <row r="448" spans="1:24" s="66" customFormat="1" ht="12" hidden="1" customHeight="1">
      <c r="A448" s="74" t="s">
        <v>3200</v>
      </c>
      <c r="B448" s="74"/>
      <c r="C448" s="74"/>
      <c r="D448" s="74"/>
      <c r="E448" s="74"/>
      <c r="F448" s="74"/>
      <c r="G448" s="74"/>
      <c r="H448" s="74"/>
      <c r="I448" s="75" t="s">
        <v>2008</v>
      </c>
      <c r="J448" s="75" t="s">
        <v>757</v>
      </c>
      <c r="K448" s="74" t="s">
        <v>3201</v>
      </c>
      <c r="L448" s="76" t="s">
        <v>0</v>
      </c>
      <c r="M448" s="57"/>
      <c r="N448" s="77">
        <v>23514</v>
      </c>
      <c r="O448" s="57">
        <f t="shared" si="20"/>
        <v>0</v>
      </c>
      <c r="P448" s="77">
        <v>19949</v>
      </c>
      <c r="Q448" s="73">
        <f t="shared" si="18"/>
        <v>0</v>
      </c>
      <c r="R448" s="57"/>
      <c r="S448" s="57"/>
      <c r="T448" s="57"/>
      <c r="U448" s="57"/>
      <c r="V448" s="73">
        <f t="shared" si="19"/>
        <v>0</v>
      </c>
      <c r="W448" s="106"/>
      <c r="X448" s="64"/>
    </row>
    <row r="449" spans="1:24" s="66" customFormat="1" ht="12" hidden="1" customHeight="1">
      <c r="A449" s="74" t="s">
        <v>3202</v>
      </c>
      <c r="B449" s="74"/>
      <c r="C449" s="74"/>
      <c r="D449" s="74"/>
      <c r="E449" s="74"/>
      <c r="F449" s="74"/>
      <c r="G449" s="74"/>
      <c r="H449" s="74"/>
      <c r="I449" s="75" t="s">
        <v>2009</v>
      </c>
      <c r="J449" s="75" t="s">
        <v>757</v>
      </c>
      <c r="K449" s="74" t="s">
        <v>3203</v>
      </c>
      <c r="L449" s="76" t="s">
        <v>0</v>
      </c>
      <c r="M449" s="57"/>
      <c r="N449" s="77">
        <v>28674</v>
      </c>
      <c r="O449" s="57">
        <f t="shared" si="20"/>
        <v>0</v>
      </c>
      <c r="P449" s="77">
        <v>22799</v>
      </c>
      <c r="Q449" s="73">
        <f t="shared" si="18"/>
        <v>0</v>
      </c>
      <c r="R449" s="57"/>
      <c r="S449" s="57"/>
      <c r="T449" s="57"/>
      <c r="U449" s="57"/>
      <c r="V449" s="73">
        <f t="shared" si="19"/>
        <v>0</v>
      </c>
      <c r="W449" s="106"/>
      <c r="X449" s="64"/>
    </row>
    <row r="450" spans="1:24" s="66" customFormat="1" ht="12" hidden="1" customHeight="1">
      <c r="A450" s="74" t="s">
        <v>3204</v>
      </c>
      <c r="B450" s="74"/>
      <c r="C450" s="74"/>
      <c r="D450" s="74"/>
      <c r="E450" s="74"/>
      <c r="F450" s="74"/>
      <c r="G450" s="74"/>
      <c r="H450" s="74"/>
      <c r="I450" s="75" t="s">
        <v>2010</v>
      </c>
      <c r="J450" s="75" t="s">
        <v>757</v>
      </c>
      <c r="K450" s="74" t="s">
        <v>3205</v>
      </c>
      <c r="L450" s="76" t="s">
        <v>0</v>
      </c>
      <c r="M450" s="57"/>
      <c r="N450" s="77">
        <v>36472</v>
      </c>
      <c r="O450" s="57">
        <f t="shared" si="20"/>
        <v>0</v>
      </c>
      <c r="P450" s="77">
        <v>27722</v>
      </c>
      <c r="Q450" s="73">
        <f t="shared" si="18"/>
        <v>0</v>
      </c>
      <c r="R450" s="57"/>
      <c r="S450" s="57"/>
      <c r="T450" s="57"/>
      <c r="U450" s="57"/>
      <c r="V450" s="73">
        <f t="shared" si="19"/>
        <v>0</v>
      </c>
      <c r="W450" s="106"/>
      <c r="X450" s="64"/>
    </row>
    <row r="451" spans="1:24" s="66" customFormat="1" ht="12" hidden="1" customHeight="1">
      <c r="A451" s="74" t="s">
        <v>3206</v>
      </c>
      <c r="B451" s="74"/>
      <c r="C451" s="74"/>
      <c r="D451" s="74"/>
      <c r="E451" s="74"/>
      <c r="F451" s="74"/>
      <c r="G451" s="74"/>
      <c r="H451" s="74"/>
      <c r="I451" s="75" t="s">
        <v>2011</v>
      </c>
      <c r="J451" s="75" t="s">
        <v>757</v>
      </c>
      <c r="K451" s="74" t="s">
        <v>3207</v>
      </c>
      <c r="L451" s="76" t="s">
        <v>0</v>
      </c>
      <c r="M451" s="57"/>
      <c r="N451" s="77">
        <v>47976</v>
      </c>
      <c r="O451" s="57">
        <f t="shared" si="20"/>
        <v>0</v>
      </c>
      <c r="P451" s="77">
        <v>33681</v>
      </c>
      <c r="Q451" s="73">
        <f t="shared" si="18"/>
        <v>0</v>
      </c>
      <c r="R451" s="57"/>
      <c r="S451" s="57"/>
      <c r="T451" s="57"/>
      <c r="U451" s="57"/>
      <c r="V451" s="73">
        <f t="shared" si="19"/>
        <v>0</v>
      </c>
      <c r="W451" s="106"/>
      <c r="X451" s="64"/>
    </row>
    <row r="452" spans="1:24" s="66" customFormat="1" ht="12" hidden="1" customHeight="1">
      <c r="A452" s="74" t="s">
        <v>3208</v>
      </c>
      <c r="B452" s="74"/>
      <c r="C452" s="74"/>
      <c r="D452" s="74"/>
      <c r="E452" s="74"/>
      <c r="F452" s="74"/>
      <c r="G452" s="74"/>
      <c r="H452" s="74"/>
      <c r="I452" s="75" t="s">
        <v>3209</v>
      </c>
      <c r="J452" s="75" t="s">
        <v>757</v>
      </c>
      <c r="K452" s="74" t="s">
        <v>3210</v>
      </c>
      <c r="L452" s="76" t="s">
        <v>0</v>
      </c>
      <c r="M452" s="57"/>
      <c r="N452" s="77">
        <v>60582</v>
      </c>
      <c r="O452" s="57">
        <f t="shared" si="20"/>
        <v>0</v>
      </c>
      <c r="P452" s="77">
        <v>38345</v>
      </c>
      <c r="Q452" s="73">
        <f t="shared" si="18"/>
        <v>0</v>
      </c>
      <c r="R452" s="57"/>
      <c r="S452" s="57"/>
      <c r="T452" s="57"/>
      <c r="U452" s="57"/>
      <c r="V452" s="73">
        <f t="shared" si="19"/>
        <v>0</v>
      </c>
      <c r="W452" s="106"/>
      <c r="X452" s="64"/>
    </row>
    <row r="453" spans="1:24" s="66" customFormat="1" ht="12" hidden="1" customHeight="1">
      <c r="A453" s="74" t="s">
        <v>3211</v>
      </c>
      <c r="B453" s="74"/>
      <c r="C453" s="74"/>
      <c r="D453" s="74"/>
      <c r="E453" s="74"/>
      <c r="F453" s="74"/>
      <c r="G453" s="74"/>
      <c r="H453" s="74"/>
      <c r="I453" s="75" t="s">
        <v>3212</v>
      </c>
      <c r="J453" s="75" t="s">
        <v>757</v>
      </c>
      <c r="K453" s="74" t="s">
        <v>3213</v>
      </c>
      <c r="L453" s="76" t="s">
        <v>0</v>
      </c>
      <c r="M453" s="57"/>
      <c r="N453" s="77">
        <v>75468</v>
      </c>
      <c r="O453" s="57">
        <f t="shared" si="20"/>
        <v>0</v>
      </c>
      <c r="P453" s="77">
        <v>51040</v>
      </c>
      <c r="Q453" s="73">
        <f t="shared" si="18"/>
        <v>0</v>
      </c>
      <c r="R453" s="57"/>
      <c r="S453" s="57"/>
      <c r="T453" s="57"/>
      <c r="U453" s="57"/>
      <c r="V453" s="73">
        <f t="shared" si="19"/>
        <v>0</v>
      </c>
      <c r="W453" s="106"/>
      <c r="X453" s="64"/>
    </row>
    <row r="454" spans="1:24" s="66" customFormat="1" ht="12" hidden="1" customHeight="1">
      <c r="A454" s="74" t="s">
        <v>255</v>
      </c>
      <c r="B454" s="74"/>
      <c r="C454" s="74"/>
      <c r="D454" s="74"/>
      <c r="E454" s="74"/>
      <c r="F454" s="74"/>
      <c r="G454" s="74"/>
      <c r="H454" s="74"/>
      <c r="I454" s="75" t="s">
        <v>2002</v>
      </c>
      <c r="J454" s="75" t="s">
        <v>757</v>
      </c>
      <c r="K454" s="74" t="s">
        <v>758</v>
      </c>
      <c r="L454" s="76" t="s">
        <v>0</v>
      </c>
      <c r="M454" s="57"/>
      <c r="N454" s="77">
        <v>613</v>
      </c>
      <c r="O454" s="57">
        <f t="shared" si="20"/>
        <v>0</v>
      </c>
      <c r="P454" s="77">
        <v>2590</v>
      </c>
      <c r="Q454" s="73">
        <f t="shared" si="18"/>
        <v>0</v>
      </c>
      <c r="R454" s="57"/>
      <c r="S454" s="57"/>
      <c r="T454" s="57"/>
      <c r="U454" s="57"/>
      <c r="V454" s="73">
        <f t="shared" si="19"/>
        <v>0</v>
      </c>
      <c r="W454" s="106"/>
      <c r="X454" s="64"/>
    </row>
    <row r="455" spans="1:24" s="66" customFormat="1" ht="12" hidden="1" customHeight="1">
      <c r="A455" s="74" t="s">
        <v>256</v>
      </c>
      <c r="B455" s="74"/>
      <c r="C455" s="74"/>
      <c r="D455" s="74"/>
      <c r="E455" s="74"/>
      <c r="F455" s="74"/>
      <c r="G455" s="74"/>
      <c r="H455" s="74"/>
      <c r="I455" s="75" t="s">
        <v>2002</v>
      </c>
      <c r="J455" s="75" t="s">
        <v>757</v>
      </c>
      <c r="K455" s="74" t="s">
        <v>759</v>
      </c>
      <c r="L455" s="76" t="s">
        <v>0</v>
      </c>
      <c r="M455" s="57"/>
      <c r="N455" s="77">
        <v>1007</v>
      </c>
      <c r="O455" s="57">
        <f t="shared" si="20"/>
        <v>0</v>
      </c>
      <c r="P455" s="77">
        <v>2590</v>
      </c>
      <c r="Q455" s="73">
        <f t="shared" si="18"/>
        <v>0</v>
      </c>
      <c r="R455" s="57"/>
      <c r="S455" s="57"/>
      <c r="T455" s="57"/>
      <c r="U455" s="57"/>
      <c r="V455" s="73">
        <f t="shared" si="19"/>
        <v>0</v>
      </c>
      <c r="W455" s="106"/>
      <c r="X455" s="64"/>
    </row>
    <row r="456" spans="1:24" s="66" customFormat="1" ht="12" hidden="1" customHeight="1">
      <c r="A456" s="74" t="s">
        <v>258</v>
      </c>
      <c r="B456" s="74"/>
      <c r="C456" s="74"/>
      <c r="D456" s="74"/>
      <c r="E456" s="74"/>
      <c r="F456" s="74"/>
      <c r="G456" s="74"/>
      <c r="H456" s="74"/>
      <c r="I456" s="75" t="s">
        <v>2002</v>
      </c>
      <c r="J456" s="75" t="s">
        <v>762</v>
      </c>
      <c r="K456" s="74" t="s">
        <v>1368</v>
      </c>
      <c r="L456" s="76" t="s">
        <v>0</v>
      </c>
      <c r="M456" s="57"/>
      <c r="N456" s="77">
        <v>299</v>
      </c>
      <c r="O456" s="57">
        <f t="shared" si="20"/>
        <v>0</v>
      </c>
      <c r="P456" s="77">
        <v>2590</v>
      </c>
      <c r="Q456" s="73">
        <f t="shared" si="18"/>
        <v>0</v>
      </c>
      <c r="R456" s="57"/>
      <c r="S456" s="57"/>
      <c r="T456" s="57"/>
      <c r="U456" s="57"/>
      <c r="V456" s="73">
        <f t="shared" si="19"/>
        <v>0</v>
      </c>
      <c r="W456" s="106"/>
      <c r="X456" s="64"/>
    </row>
    <row r="457" spans="1:24" s="66" customFormat="1" ht="12" hidden="1" customHeight="1">
      <c r="A457" s="74" t="s">
        <v>259</v>
      </c>
      <c r="B457" s="74"/>
      <c r="C457" s="74"/>
      <c r="D457" s="74"/>
      <c r="E457" s="74"/>
      <c r="F457" s="74"/>
      <c r="G457" s="74"/>
      <c r="H457" s="74"/>
      <c r="I457" s="75" t="s">
        <v>2002</v>
      </c>
      <c r="J457" s="75" t="s">
        <v>762</v>
      </c>
      <c r="K457" s="74" t="s">
        <v>1367</v>
      </c>
      <c r="L457" s="76" t="s">
        <v>0</v>
      </c>
      <c r="M457" s="57"/>
      <c r="N457" s="77">
        <v>479</v>
      </c>
      <c r="O457" s="57">
        <f t="shared" si="20"/>
        <v>0</v>
      </c>
      <c r="P457" s="77">
        <v>2590</v>
      </c>
      <c r="Q457" s="73">
        <f t="shared" si="18"/>
        <v>0</v>
      </c>
      <c r="R457" s="57"/>
      <c r="S457" s="57"/>
      <c r="T457" s="57"/>
      <c r="U457" s="57"/>
      <c r="V457" s="73">
        <f t="shared" si="19"/>
        <v>0</v>
      </c>
      <c r="W457" s="106"/>
      <c r="X457" s="64"/>
    </row>
    <row r="458" spans="1:24" s="66" customFormat="1" ht="12" hidden="1" customHeight="1">
      <c r="A458" s="74" t="s">
        <v>260</v>
      </c>
      <c r="B458" s="74"/>
      <c r="C458" s="74"/>
      <c r="D458" s="74"/>
      <c r="E458" s="74"/>
      <c r="F458" s="74"/>
      <c r="G458" s="74"/>
      <c r="H458" s="74"/>
      <c r="I458" s="75" t="s">
        <v>2002</v>
      </c>
      <c r="J458" s="75" t="s">
        <v>762</v>
      </c>
      <c r="K458" s="74" t="s">
        <v>1366</v>
      </c>
      <c r="L458" s="76" t="s">
        <v>0</v>
      </c>
      <c r="M458" s="57"/>
      <c r="N458" s="77">
        <v>740</v>
      </c>
      <c r="O458" s="57">
        <f t="shared" si="20"/>
        <v>0</v>
      </c>
      <c r="P458" s="77">
        <v>2590</v>
      </c>
      <c r="Q458" s="73">
        <f t="shared" si="18"/>
        <v>0</v>
      </c>
      <c r="R458" s="57"/>
      <c r="S458" s="57"/>
      <c r="T458" s="57"/>
      <c r="U458" s="57"/>
      <c r="V458" s="73">
        <f t="shared" si="19"/>
        <v>0</v>
      </c>
      <c r="W458" s="106"/>
      <c r="X458" s="64"/>
    </row>
    <row r="459" spans="1:24" s="66" customFormat="1" ht="12" hidden="1" customHeight="1">
      <c r="A459" s="74" t="s">
        <v>261</v>
      </c>
      <c r="B459" s="74"/>
      <c r="C459" s="74"/>
      <c r="D459" s="74"/>
      <c r="E459" s="74"/>
      <c r="F459" s="74"/>
      <c r="G459" s="74"/>
      <c r="H459" s="74"/>
      <c r="I459" s="75" t="s">
        <v>2002</v>
      </c>
      <c r="J459" s="75" t="s">
        <v>762</v>
      </c>
      <c r="K459" s="74" t="s">
        <v>1365</v>
      </c>
      <c r="L459" s="76" t="s">
        <v>0</v>
      </c>
      <c r="M459" s="57"/>
      <c r="N459" s="77">
        <v>1097</v>
      </c>
      <c r="O459" s="57">
        <f t="shared" si="20"/>
        <v>0</v>
      </c>
      <c r="P459" s="77">
        <v>2590</v>
      </c>
      <c r="Q459" s="73">
        <f t="shared" ref="Q459:Q522" si="21">IF(W459="",M459*P459*$Q$3*$W$3,M459*P459*$Q$3*W459)</f>
        <v>0</v>
      </c>
      <c r="R459" s="57"/>
      <c r="S459" s="57"/>
      <c r="T459" s="57"/>
      <c r="U459" s="57"/>
      <c r="V459" s="73">
        <f t="shared" ref="V459:V522" si="22">SUM(O459+Q459)+S459+U459</f>
        <v>0</v>
      </c>
      <c r="W459" s="106"/>
      <c r="X459" s="64"/>
    </row>
    <row r="460" spans="1:24" s="66" customFormat="1" ht="12" hidden="1" customHeight="1">
      <c r="A460" s="74" t="s">
        <v>262</v>
      </c>
      <c r="B460" s="74"/>
      <c r="C460" s="74"/>
      <c r="D460" s="74"/>
      <c r="E460" s="74"/>
      <c r="F460" s="74"/>
      <c r="G460" s="74"/>
      <c r="H460" s="74"/>
      <c r="I460" s="75" t="s">
        <v>2003</v>
      </c>
      <c r="J460" s="75" t="s">
        <v>762</v>
      </c>
      <c r="K460" s="74" t="s">
        <v>1364</v>
      </c>
      <c r="L460" s="76" t="s">
        <v>0</v>
      </c>
      <c r="M460" s="57"/>
      <c r="N460" s="77">
        <v>1855</v>
      </c>
      <c r="O460" s="57">
        <f t="shared" si="20"/>
        <v>0</v>
      </c>
      <c r="P460" s="77">
        <v>5959</v>
      </c>
      <c r="Q460" s="73">
        <f t="shared" si="21"/>
        <v>0</v>
      </c>
      <c r="R460" s="57"/>
      <c r="S460" s="57"/>
      <c r="T460" s="57"/>
      <c r="U460" s="57"/>
      <c r="V460" s="73">
        <f t="shared" si="22"/>
        <v>0</v>
      </c>
      <c r="W460" s="106"/>
      <c r="X460" s="64"/>
    </row>
    <row r="461" spans="1:24" s="66" customFormat="1" ht="12" hidden="1" customHeight="1">
      <c r="A461" s="74" t="s">
        <v>263</v>
      </c>
      <c r="B461" s="74"/>
      <c r="C461" s="74"/>
      <c r="D461" s="74"/>
      <c r="E461" s="74"/>
      <c r="F461" s="74"/>
      <c r="G461" s="74"/>
      <c r="H461" s="74"/>
      <c r="I461" s="75" t="s">
        <v>2003</v>
      </c>
      <c r="J461" s="75" t="s">
        <v>762</v>
      </c>
      <c r="K461" s="74" t="s">
        <v>1120</v>
      </c>
      <c r="L461" s="76" t="s">
        <v>0</v>
      </c>
      <c r="M461" s="57"/>
      <c r="N461" s="77">
        <v>2885</v>
      </c>
      <c r="O461" s="57">
        <f t="shared" si="20"/>
        <v>0</v>
      </c>
      <c r="P461" s="77">
        <v>5959</v>
      </c>
      <c r="Q461" s="73">
        <f t="shared" si="21"/>
        <v>0</v>
      </c>
      <c r="R461" s="57"/>
      <c r="S461" s="57"/>
      <c r="T461" s="57"/>
      <c r="U461" s="57"/>
      <c r="V461" s="73">
        <f t="shared" si="22"/>
        <v>0</v>
      </c>
      <c r="W461" s="106"/>
      <c r="X461" s="64"/>
    </row>
    <row r="462" spans="1:24" s="66" customFormat="1" ht="12" hidden="1" customHeight="1">
      <c r="A462" s="74" t="s">
        <v>264</v>
      </c>
      <c r="B462" s="74"/>
      <c r="C462" s="74"/>
      <c r="D462" s="74"/>
      <c r="E462" s="74"/>
      <c r="F462" s="74"/>
      <c r="G462" s="74"/>
      <c r="H462" s="74"/>
      <c r="I462" s="75" t="s">
        <v>2004</v>
      </c>
      <c r="J462" s="75" t="s">
        <v>762</v>
      </c>
      <c r="K462" s="74" t="s">
        <v>1363</v>
      </c>
      <c r="L462" s="76" t="s">
        <v>0</v>
      </c>
      <c r="M462" s="57"/>
      <c r="N462" s="77">
        <v>4487</v>
      </c>
      <c r="O462" s="57">
        <f t="shared" si="20"/>
        <v>0</v>
      </c>
      <c r="P462" s="77">
        <v>8031</v>
      </c>
      <c r="Q462" s="73">
        <f t="shared" si="21"/>
        <v>0</v>
      </c>
      <c r="R462" s="57"/>
      <c r="S462" s="57"/>
      <c r="T462" s="57"/>
      <c r="U462" s="57"/>
      <c r="V462" s="73">
        <f t="shared" si="22"/>
        <v>0</v>
      </c>
      <c r="W462" s="106"/>
      <c r="X462" s="64"/>
    </row>
    <row r="463" spans="1:24" s="66" customFormat="1" ht="12" hidden="1" customHeight="1">
      <c r="A463" s="74" t="s">
        <v>265</v>
      </c>
      <c r="B463" s="74"/>
      <c r="C463" s="74"/>
      <c r="D463" s="74"/>
      <c r="E463" s="74"/>
      <c r="F463" s="74"/>
      <c r="G463" s="74"/>
      <c r="H463" s="74"/>
      <c r="I463" s="75" t="s">
        <v>2004</v>
      </c>
      <c r="J463" s="75" t="s">
        <v>762</v>
      </c>
      <c r="K463" s="74" t="s">
        <v>1362</v>
      </c>
      <c r="L463" s="76" t="s">
        <v>0</v>
      </c>
      <c r="M463" s="57"/>
      <c r="N463" s="77">
        <v>6284</v>
      </c>
      <c r="O463" s="57">
        <f t="shared" si="20"/>
        <v>0</v>
      </c>
      <c r="P463" s="77">
        <v>8031</v>
      </c>
      <c r="Q463" s="73">
        <f t="shared" si="21"/>
        <v>0</v>
      </c>
      <c r="R463" s="57"/>
      <c r="S463" s="57"/>
      <c r="T463" s="57"/>
      <c r="U463" s="57"/>
      <c r="V463" s="73">
        <f t="shared" si="22"/>
        <v>0</v>
      </c>
      <c r="W463" s="106"/>
      <c r="X463" s="64"/>
    </row>
    <row r="464" spans="1:24" s="66" customFormat="1" ht="12" hidden="1" customHeight="1">
      <c r="A464" s="74" t="s">
        <v>266</v>
      </c>
      <c r="B464" s="74"/>
      <c r="C464" s="74"/>
      <c r="D464" s="74"/>
      <c r="E464" s="74"/>
      <c r="F464" s="74"/>
      <c r="G464" s="74"/>
      <c r="H464" s="74"/>
      <c r="I464" s="75" t="s">
        <v>2005</v>
      </c>
      <c r="J464" s="75" t="s">
        <v>762</v>
      </c>
      <c r="K464" s="74" t="s">
        <v>1119</v>
      </c>
      <c r="L464" s="76" t="s">
        <v>0</v>
      </c>
      <c r="M464" s="57"/>
      <c r="N464" s="77">
        <v>8928</v>
      </c>
      <c r="O464" s="57">
        <f t="shared" si="20"/>
        <v>0</v>
      </c>
      <c r="P464" s="77">
        <v>11140</v>
      </c>
      <c r="Q464" s="73">
        <f t="shared" si="21"/>
        <v>0</v>
      </c>
      <c r="R464" s="57"/>
      <c r="S464" s="57"/>
      <c r="T464" s="57"/>
      <c r="U464" s="57"/>
      <c r="V464" s="73">
        <f t="shared" si="22"/>
        <v>0</v>
      </c>
      <c r="W464" s="106"/>
      <c r="X464" s="64"/>
    </row>
    <row r="465" spans="1:24" s="66" customFormat="1" ht="12" hidden="1" customHeight="1">
      <c r="A465" s="74" t="s">
        <v>267</v>
      </c>
      <c r="B465" s="74"/>
      <c r="C465" s="74"/>
      <c r="D465" s="74"/>
      <c r="E465" s="74"/>
      <c r="F465" s="74"/>
      <c r="G465" s="74"/>
      <c r="H465" s="74"/>
      <c r="I465" s="75" t="s">
        <v>2006</v>
      </c>
      <c r="J465" s="75" t="s">
        <v>762</v>
      </c>
      <c r="K465" s="74" t="s">
        <v>1118</v>
      </c>
      <c r="L465" s="76" t="s">
        <v>0</v>
      </c>
      <c r="M465" s="57"/>
      <c r="N465" s="77">
        <v>12448</v>
      </c>
      <c r="O465" s="57">
        <f t="shared" si="20"/>
        <v>0</v>
      </c>
      <c r="P465" s="77">
        <v>15804</v>
      </c>
      <c r="Q465" s="73">
        <f t="shared" si="21"/>
        <v>0</v>
      </c>
      <c r="R465" s="57"/>
      <c r="S465" s="57"/>
      <c r="T465" s="57"/>
      <c r="U465" s="57"/>
      <c r="V465" s="73">
        <f t="shared" si="22"/>
        <v>0</v>
      </c>
      <c r="W465" s="106"/>
      <c r="X465" s="64"/>
    </row>
    <row r="466" spans="1:24" s="66" customFormat="1" ht="12" hidden="1" customHeight="1">
      <c r="A466" s="74" t="s">
        <v>268</v>
      </c>
      <c r="B466" s="74"/>
      <c r="C466" s="74"/>
      <c r="D466" s="74"/>
      <c r="E466" s="74"/>
      <c r="F466" s="74"/>
      <c r="G466" s="74"/>
      <c r="H466" s="74"/>
      <c r="I466" s="75" t="s">
        <v>2007</v>
      </c>
      <c r="J466" s="75" t="s">
        <v>762</v>
      </c>
      <c r="K466" s="74" t="s">
        <v>1117</v>
      </c>
      <c r="L466" s="76" t="s">
        <v>0</v>
      </c>
      <c r="M466" s="57"/>
      <c r="N466" s="77">
        <v>17977</v>
      </c>
      <c r="O466" s="57">
        <f t="shared" si="20"/>
        <v>0</v>
      </c>
      <c r="P466" s="77">
        <v>16581</v>
      </c>
      <c r="Q466" s="73">
        <f t="shared" si="21"/>
        <v>0</v>
      </c>
      <c r="R466" s="57"/>
      <c r="S466" s="57"/>
      <c r="T466" s="57"/>
      <c r="U466" s="57"/>
      <c r="V466" s="73">
        <f t="shared" si="22"/>
        <v>0</v>
      </c>
      <c r="W466" s="106"/>
      <c r="X466" s="64"/>
    </row>
    <row r="467" spans="1:24" s="66" customFormat="1" ht="12" hidden="1" customHeight="1">
      <c r="A467" s="74" t="s">
        <v>269</v>
      </c>
      <c r="B467" s="74"/>
      <c r="C467" s="74"/>
      <c r="D467" s="74"/>
      <c r="E467" s="74"/>
      <c r="F467" s="74"/>
      <c r="G467" s="74"/>
      <c r="H467" s="74"/>
      <c r="I467" s="75" t="s">
        <v>2008</v>
      </c>
      <c r="J467" s="75" t="s">
        <v>762</v>
      </c>
      <c r="K467" s="74" t="s">
        <v>1116</v>
      </c>
      <c r="L467" s="76" t="s">
        <v>0</v>
      </c>
      <c r="M467" s="57"/>
      <c r="N467" s="77">
        <v>22811</v>
      </c>
      <c r="O467" s="57">
        <f t="shared" si="20"/>
        <v>0</v>
      </c>
      <c r="P467" s="77">
        <v>19949</v>
      </c>
      <c r="Q467" s="73">
        <f t="shared" si="21"/>
        <v>0</v>
      </c>
      <c r="R467" s="57"/>
      <c r="S467" s="57"/>
      <c r="T467" s="57"/>
      <c r="U467" s="57"/>
      <c r="V467" s="73">
        <f t="shared" si="22"/>
        <v>0</v>
      </c>
      <c r="W467" s="106"/>
      <c r="X467" s="64"/>
    </row>
    <row r="468" spans="1:24" s="66" customFormat="1" ht="12" hidden="1" customHeight="1">
      <c r="A468" s="74" t="s">
        <v>270</v>
      </c>
      <c r="B468" s="74"/>
      <c r="C468" s="74"/>
      <c r="D468" s="74"/>
      <c r="E468" s="74"/>
      <c r="F468" s="74"/>
      <c r="G468" s="74"/>
      <c r="H468" s="74"/>
      <c r="I468" s="75" t="s">
        <v>2009</v>
      </c>
      <c r="J468" s="75" t="s">
        <v>762</v>
      </c>
      <c r="K468" s="74" t="s">
        <v>1115</v>
      </c>
      <c r="L468" s="76" t="s">
        <v>0</v>
      </c>
      <c r="M468" s="57"/>
      <c r="N468" s="77">
        <v>28551</v>
      </c>
      <c r="O468" s="57">
        <f t="shared" si="20"/>
        <v>0</v>
      </c>
      <c r="P468" s="77">
        <v>22799</v>
      </c>
      <c r="Q468" s="73">
        <f t="shared" si="21"/>
        <v>0</v>
      </c>
      <c r="R468" s="57"/>
      <c r="S468" s="57"/>
      <c r="T468" s="57"/>
      <c r="U468" s="57"/>
      <c r="V468" s="73">
        <f t="shared" si="22"/>
        <v>0</v>
      </c>
      <c r="W468" s="106"/>
      <c r="X468" s="64"/>
    </row>
    <row r="469" spans="1:24" s="66" customFormat="1" ht="12" hidden="1" customHeight="1">
      <c r="A469" s="74" t="s">
        <v>271</v>
      </c>
      <c r="B469" s="74"/>
      <c r="C469" s="74"/>
      <c r="D469" s="74"/>
      <c r="E469" s="74"/>
      <c r="F469" s="74"/>
      <c r="G469" s="74"/>
      <c r="H469" s="74"/>
      <c r="I469" s="75" t="s">
        <v>2010</v>
      </c>
      <c r="J469" s="75" t="s">
        <v>762</v>
      </c>
      <c r="K469" s="74" t="s">
        <v>1361</v>
      </c>
      <c r="L469" s="76" t="s">
        <v>0</v>
      </c>
      <c r="M469" s="57"/>
      <c r="N469" s="77">
        <v>38068</v>
      </c>
      <c r="O469" s="57">
        <f t="shared" si="20"/>
        <v>0</v>
      </c>
      <c r="P469" s="77">
        <v>27722</v>
      </c>
      <c r="Q469" s="73">
        <f t="shared" si="21"/>
        <v>0</v>
      </c>
      <c r="R469" s="57"/>
      <c r="S469" s="57"/>
      <c r="T469" s="57"/>
      <c r="U469" s="57"/>
      <c r="V469" s="73">
        <f t="shared" si="22"/>
        <v>0</v>
      </c>
      <c r="W469" s="106"/>
      <c r="X469" s="64"/>
    </row>
    <row r="470" spans="1:24" s="66" customFormat="1" ht="12" hidden="1" customHeight="1">
      <c r="A470" s="74" t="s">
        <v>272</v>
      </c>
      <c r="B470" s="74"/>
      <c r="C470" s="74"/>
      <c r="D470" s="74"/>
      <c r="E470" s="74"/>
      <c r="F470" s="74"/>
      <c r="G470" s="74"/>
      <c r="H470" s="74"/>
      <c r="I470" s="75" t="s">
        <v>2011</v>
      </c>
      <c r="J470" s="75" t="s">
        <v>762</v>
      </c>
      <c r="K470" s="74" t="s">
        <v>1360</v>
      </c>
      <c r="L470" s="76" t="s">
        <v>0</v>
      </c>
      <c r="M470" s="57"/>
      <c r="N470" s="77">
        <v>46377</v>
      </c>
      <c r="O470" s="57">
        <f t="shared" si="20"/>
        <v>0</v>
      </c>
      <c r="P470" s="77">
        <v>33681</v>
      </c>
      <c r="Q470" s="73">
        <f t="shared" si="21"/>
        <v>0</v>
      </c>
      <c r="R470" s="57"/>
      <c r="S470" s="57"/>
      <c r="T470" s="57"/>
      <c r="U470" s="57"/>
      <c r="V470" s="73">
        <f t="shared" si="22"/>
        <v>0</v>
      </c>
      <c r="W470" s="106"/>
      <c r="X470" s="64"/>
    </row>
    <row r="471" spans="1:24" s="66" customFormat="1" ht="12" hidden="1" customHeight="1">
      <c r="A471" s="74" t="s">
        <v>273</v>
      </c>
      <c r="B471" s="74"/>
      <c r="C471" s="74"/>
      <c r="D471" s="74"/>
      <c r="E471" s="74"/>
      <c r="F471" s="74"/>
      <c r="G471" s="74"/>
      <c r="H471" s="74"/>
      <c r="I471" s="75" t="s">
        <v>1957</v>
      </c>
      <c r="J471" s="75" t="s">
        <v>761</v>
      </c>
      <c r="K471" s="74" t="s">
        <v>1483</v>
      </c>
      <c r="L471" s="76" t="s">
        <v>0</v>
      </c>
      <c r="M471" s="57"/>
      <c r="N471" s="77">
        <v>880</v>
      </c>
      <c r="O471" s="57">
        <f t="shared" si="20"/>
        <v>0</v>
      </c>
      <c r="P471" s="77">
        <v>3811</v>
      </c>
      <c r="Q471" s="73">
        <f t="shared" si="21"/>
        <v>0</v>
      </c>
      <c r="R471" s="57"/>
      <c r="S471" s="57"/>
      <c r="T471" s="57"/>
      <c r="U471" s="57"/>
      <c r="V471" s="73">
        <f t="shared" si="22"/>
        <v>0</v>
      </c>
      <c r="W471" s="106"/>
      <c r="X471" s="64"/>
    </row>
    <row r="472" spans="1:24" s="66" customFormat="1" ht="12" hidden="1" customHeight="1">
      <c r="A472" s="74" t="s">
        <v>274</v>
      </c>
      <c r="B472" s="74"/>
      <c r="C472" s="74"/>
      <c r="D472" s="74"/>
      <c r="E472" s="74"/>
      <c r="F472" s="74"/>
      <c r="G472" s="74"/>
      <c r="H472" s="74"/>
      <c r="I472" s="75" t="s">
        <v>1957</v>
      </c>
      <c r="J472" s="75" t="s">
        <v>761</v>
      </c>
      <c r="K472" s="74" t="s">
        <v>1482</v>
      </c>
      <c r="L472" s="76" t="s">
        <v>0</v>
      </c>
      <c r="M472" s="57"/>
      <c r="N472" s="77">
        <v>1110</v>
      </c>
      <c r="O472" s="57">
        <f t="shared" si="20"/>
        <v>0</v>
      </c>
      <c r="P472" s="77">
        <v>3811</v>
      </c>
      <c r="Q472" s="73">
        <f t="shared" si="21"/>
        <v>0</v>
      </c>
      <c r="R472" s="57"/>
      <c r="S472" s="57"/>
      <c r="T472" s="57"/>
      <c r="U472" s="57"/>
      <c r="V472" s="73">
        <f t="shared" si="22"/>
        <v>0</v>
      </c>
      <c r="W472" s="106"/>
      <c r="X472" s="64"/>
    </row>
    <row r="473" spans="1:24" s="66" customFormat="1" ht="12" hidden="1" customHeight="1">
      <c r="A473" s="74" t="s">
        <v>275</v>
      </c>
      <c r="B473" s="74"/>
      <c r="C473" s="74"/>
      <c r="D473" s="74"/>
      <c r="E473" s="74"/>
      <c r="F473" s="74"/>
      <c r="G473" s="74"/>
      <c r="H473" s="74"/>
      <c r="I473" s="75" t="s">
        <v>1957</v>
      </c>
      <c r="J473" s="75" t="s">
        <v>761</v>
      </c>
      <c r="K473" s="74" t="s">
        <v>1481</v>
      </c>
      <c r="L473" s="76" t="s">
        <v>0</v>
      </c>
      <c r="M473" s="57"/>
      <c r="N473" s="77">
        <v>1620</v>
      </c>
      <c r="O473" s="57">
        <f t="shared" si="20"/>
        <v>0</v>
      </c>
      <c r="P473" s="77">
        <v>3811</v>
      </c>
      <c r="Q473" s="73">
        <f t="shared" si="21"/>
        <v>0</v>
      </c>
      <c r="R473" s="57"/>
      <c r="S473" s="57"/>
      <c r="T473" s="57"/>
      <c r="U473" s="57"/>
      <c r="V473" s="73">
        <f t="shared" si="22"/>
        <v>0</v>
      </c>
      <c r="W473" s="106"/>
      <c r="X473" s="64"/>
    </row>
    <row r="474" spans="1:24" s="66" customFormat="1" ht="12" hidden="1" customHeight="1">
      <c r="A474" s="74" t="s">
        <v>276</v>
      </c>
      <c r="B474" s="74"/>
      <c r="C474" s="74"/>
      <c r="D474" s="74"/>
      <c r="E474" s="74"/>
      <c r="F474" s="74"/>
      <c r="G474" s="74"/>
      <c r="H474" s="74"/>
      <c r="I474" s="75" t="s">
        <v>1958</v>
      </c>
      <c r="J474" s="75" t="s">
        <v>761</v>
      </c>
      <c r="K474" s="74" t="s">
        <v>1480</v>
      </c>
      <c r="L474" s="76" t="s">
        <v>0</v>
      </c>
      <c r="M474" s="57"/>
      <c r="N474" s="77">
        <v>2370</v>
      </c>
      <c r="O474" s="57">
        <f t="shared" si="20"/>
        <v>0</v>
      </c>
      <c r="P474" s="77">
        <v>4356</v>
      </c>
      <c r="Q474" s="73">
        <f t="shared" si="21"/>
        <v>0</v>
      </c>
      <c r="R474" s="57"/>
      <c r="S474" s="57"/>
      <c r="T474" s="57"/>
      <c r="U474" s="57"/>
      <c r="V474" s="73">
        <f t="shared" si="22"/>
        <v>0</v>
      </c>
      <c r="W474" s="106"/>
      <c r="X474" s="64"/>
    </row>
    <row r="475" spans="1:24" s="66" customFormat="1" ht="12" hidden="1" customHeight="1">
      <c r="A475" s="74" t="s">
        <v>277</v>
      </c>
      <c r="B475" s="74"/>
      <c r="C475" s="74"/>
      <c r="D475" s="74"/>
      <c r="E475" s="74"/>
      <c r="F475" s="74"/>
      <c r="G475" s="74"/>
      <c r="H475" s="74"/>
      <c r="I475" s="75" t="s">
        <v>1959</v>
      </c>
      <c r="J475" s="75" t="s">
        <v>761</v>
      </c>
      <c r="K475" s="74" t="s">
        <v>1479</v>
      </c>
      <c r="L475" s="76" t="s">
        <v>0</v>
      </c>
      <c r="M475" s="57"/>
      <c r="N475" s="77">
        <v>3350</v>
      </c>
      <c r="O475" s="57">
        <f t="shared" si="20"/>
        <v>0</v>
      </c>
      <c r="P475" s="77">
        <v>4901</v>
      </c>
      <c r="Q475" s="73">
        <f t="shared" si="21"/>
        <v>0</v>
      </c>
      <c r="R475" s="57"/>
      <c r="S475" s="57"/>
      <c r="T475" s="57"/>
      <c r="U475" s="57"/>
      <c r="V475" s="73">
        <f t="shared" si="22"/>
        <v>0</v>
      </c>
      <c r="W475" s="106"/>
      <c r="X475" s="64"/>
    </row>
    <row r="476" spans="1:24" s="66" customFormat="1" ht="12" hidden="1" customHeight="1">
      <c r="A476" s="74" t="s">
        <v>278</v>
      </c>
      <c r="B476" s="74"/>
      <c r="C476" s="74"/>
      <c r="D476" s="74"/>
      <c r="E476" s="74"/>
      <c r="F476" s="74"/>
      <c r="G476" s="74"/>
      <c r="H476" s="74"/>
      <c r="I476" s="75" t="s">
        <v>2012</v>
      </c>
      <c r="J476" s="75" t="s">
        <v>761</v>
      </c>
      <c r="K476" s="74" t="s">
        <v>1478</v>
      </c>
      <c r="L476" s="76" t="s">
        <v>0</v>
      </c>
      <c r="M476" s="57"/>
      <c r="N476" s="77">
        <v>5320</v>
      </c>
      <c r="O476" s="57">
        <f t="shared" si="20"/>
        <v>0</v>
      </c>
      <c r="P476" s="77">
        <v>6807</v>
      </c>
      <c r="Q476" s="73">
        <f t="shared" si="21"/>
        <v>0</v>
      </c>
      <c r="R476" s="57"/>
      <c r="S476" s="57"/>
      <c r="T476" s="57"/>
      <c r="U476" s="57"/>
      <c r="V476" s="73">
        <f t="shared" si="22"/>
        <v>0</v>
      </c>
      <c r="W476" s="106"/>
      <c r="X476" s="64"/>
    </row>
    <row r="477" spans="1:24" s="66" customFormat="1" ht="12" hidden="1" customHeight="1">
      <c r="A477" s="74" t="s">
        <v>279</v>
      </c>
      <c r="B477" s="74"/>
      <c r="C477" s="74"/>
      <c r="D477" s="74"/>
      <c r="E477" s="74"/>
      <c r="F477" s="74"/>
      <c r="G477" s="74"/>
      <c r="H477" s="74"/>
      <c r="I477" s="75" t="s">
        <v>2013</v>
      </c>
      <c r="J477" s="75" t="s">
        <v>761</v>
      </c>
      <c r="K477" s="74" t="s">
        <v>1477</v>
      </c>
      <c r="L477" s="76" t="s">
        <v>0</v>
      </c>
      <c r="M477" s="57"/>
      <c r="N477" s="77">
        <v>8220</v>
      </c>
      <c r="O477" s="57">
        <f t="shared" si="20"/>
        <v>0</v>
      </c>
      <c r="P477" s="77">
        <v>6262</v>
      </c>
      <c r="Q477" s="73">
        <f t="shared" si="21"/>
        <v>0</v>
      </c>
      <c r="R477" s="57"/>
      <c r="S477" s="57"/>
      <c r="T477" s="57"/>
      <c r="U477" s="57"/>
      <c r="V477" s="73">
        <f t="shared" si="22"/>
        <v>0</v>
      </c>
      <c r="W477" s="106"/>
      <c r="X477" s="64"/>
    </row>
    <row r="478" spans="1:24" s="66" customFormat="1" ht="12" hidden="1" customHeight="1">
      <c r="A478" s="74" t="s">
        <v>280</v>
      </c>
      <c r="B478" s="74"/>
      <c r="C478" s="74"/>
      <c r="D478" s="74"/>
      <c r="E478" s="74"/>
      <c r="F478" s="74"/>
      <c r="G478" s="74"/>
      <c r="H478" s="74"/>
      <c r="I478" s="75" t="s">
        <v>2014</v>
      </c>
      <c r="J478" s="75" t="s">
        <v>761</v>
      </c>
      <c r="K478" s="74" t="s">
        <v>1476</v>
      </c>
      <c r="L478" s="76" t="s">
        <v>0</v>
      </c>
      <c r="M478" s="57"/>
      <c r="N478" s="77">
        <v>12680</v>
      </c>
      <c r="O478" s="57">
        <f t="shared" si="20"/>
        <v>0</v>
      </c>
      <c r="P478" s="77">
        <v>8168</v>
      </c>
      <c r="Q478" s="73">
        <f t="shared" si="21"/>
        <v>0</v>
      </c>
      <c r="R478" s="57"/>
      <c r="S478" s="57"/>
      <c r="T478" s="57"/>
      <c r="U478" s="57"/>
      <c r="V478" s="73">
        <f t="shared" si="22"/>
        <v>0</v>
      </c>
      <c r="W478" s="106"/>
      <c r="X478" s="64"/>
    </row>
    <row r="479" spans="1:24" s="66" customFormat="1" ht="12" hidden="1" customHeight="1">
      <c r="A479" s="74" t="s">
        <v>281</v>
      </c>
      <c r="B479" s="74"/>
      <c r="C479" s="74"/>
      <c r="D479" s="74"/>
      <c r="E479" s="74"/>
      <c r="F479" s="74"/>
      <c r="G479" s="74"/>
      <c r="H479" s="74"/>
      <c r="I479" s="75" t="s">
        <v>2015</v>
      </c>
      <c r="J479" s="75" t="s">
        <v>761</v>
      </c>
      <c r="K479" s="74" t="s">
        <v>1475</v>
      </c>
      <c r="L479" s="76" t="s">
        <v>0</v>
      </c>
      <c r="M479" s="57"/>
      <c r="N479" s="77">
        <v>17390</v>
      </c>
      <c r="O479" s="57">
        <f t="shared" si="20"/>
        <v>0</v>
      </c>
      <c r="P479" s="77">
        <v>9802</v>
      </c>
      <c r="Q479" s="73">
        <f t="shared" si="21"/>
        <v>0</v>
      </c>
      <c r="R479" s="57"/>
      <c r="S479" s="57"/>
      <c r="T479" s="57"/>
      <c r="U479" s="57"/>
      <c r="V479" s="73">
        <f t="shared" si="22"/>
        <v>0</v>
      </c>
      <c r="W479" s="106"/>
      <c r="X479" s="64"/>
    </row>
    <row r="480" spans="1:24" s="66" customFormat="1" ht="12" hidden="1" customHeight="1">
      <c r="A480" s="74" t="s">
        <v>282</v>
      </c>
      <c r="B480" s="74"/>
      <c r="C480" s="74"/>
      <c r="D480" s="74"/>
      <c r="E480" s="74"/>
      <c r="F480" s="74"/>
      <c r="G480" s="74"/>
      <c r="H480" s="74"/>
      <c r="I480" s="75" t="s">
        <v>1960</v>
      </c>
      <c r="J480" s="75" t="s">
        <v>761</v>
      </c>
      <c r="K480" s="74" t="s">
        <v>1474</v>
      </c>
      <c r="L480" s="76" t="s">
        <v>0</v>
      </c>
      <c r="M480" s="57"/>
      <c r="N480" s="77">
        <v>1120</v>
      </c>
      <c r="O480" s="57">
        <f t="shared" si="20"/>
        <v>0</v>
      </c>
      <c r="P480" s="77">
        <v>5173</v>
      </c>
      <c r="Q480" s="73">
        <f t="shared" si="21"/>
        <v>0</v>
      </c>
      <c r="R480" s="57"/>
      <c r="S480" s="57"/>
      <c r="T480" s="57"/>
      <c r="U480" s="57"/>
      <c r="V480" s="73">
        <f t="shared" si="22"/>
        <v>0</v>
      </c>
      <c r="W480" s="106"/>
      <c r="X480" s="64"/>
    </row>
    <row r="481" spans="1:24" s="66" customFormat="1" ht="12" hidden="1" customHeight="1">
      <c r="A481" s="74" t="s">
        <v>283</v>
      </c>
      <c r="B481" s="74"/>
      <c r="C481" s="74"/>
      <c r="D481" s="74"/>
      <c r="E481" s="74"/>
      <c r="F481" s="74"/>
      <c r="G481" s="74"/>
      <c r="H481" s="74"/>
      <c r="I481" s="75" t="s">
        <v>1960</v>
      </c>
      <c r="J481" s="75" t="s">
        <v>761</v>
      </c>
      <c r="K481" s="74" t="s">
        <v>1473</v>
      </c>
      <c r="L481" s="76" t="s">
        <v>0</v>
      </c>
      <c r="M481" s="57"/>
      <c r="N481" s="77">
        <v>1430</v>
      </c>
      <c r="O481" s="57">
        <f t="shared" si="20"/>
        <v>0</v>
      </c>
      <c r="P481" s="77">
        <v>5173</v>
      </c>
      <c r="Q481" s="73">
        <f t="shared" si="21"/>
        <v>0</v>
      </c>
      <c r="R481" s="57"/>
      <c r="S481" s="57"/>
      <c r="T481" s="57"/>
      <c r="U481" s="57"/>
      <c r="V481" s="73">
        <f t="shared" si="22"/>
        <v>0</v>
      </c>
      <c r="W481" s="106"/>
      <c r="X481" s="64"/>
    </row>
    <row r="482" spans="1:24" s="66" customFormat="1" ht="12" hidden="1" customHeight="1">
      <c r="A482" s="74" t="s">
        <v>284</v>
      </c>
      <c r="B482" s="74"/>
      <c r="C482" s="74"/>
      <c r="D482" s="74"/>
      <c r="E482" s="74"/>
      <c r="F482" s="74"/>
      <c r="G482" s="74"/>
      <c r="H482" s="74"/>
      <c r="I482" s="75" t="s">
        <v>1960</v>
      </c>
      <c r="J482" s="75" t="s">
        <v>761</v>
      </c>
      <c r="K482" s="74" t="s">
        <v>1472</v>
      </c>
      <c r="L482" s="76" t="s">
        <v>0</v>
      </c>
      <c r="M482" s="57"/>
      <c r="N482" s="77">
        <v>2200</v>
      </c>
      <c r="O482" s="57">
        <f t="shared" si="20"/>
        <v>0</v>
      </c>
      <c r="P482" s="77">
        <v>5173</v>
      </c>
      <c r="Q482" s="73">
        <f t="shared" si="21"/>
        <v>0</v>
      </c>
      <c r="R482" s="57"/>
      <c r="S482" s="57"/>
      <c r="T482" s="57"/>
      <c r="U482" s="57"/>
      <c r="V482" s="73">
        <f t="shared" si="22"/>
        <v>0</v>
      </c>
      <c r="W482" s="106"/>
      <c r="X482" s="64"/>
    </row>
    <row r="483" spans="1:24" s="66" customFormat="1" ht="12" hidden="1" customHeight="1">
      <c r="A483" s="74" t="s">
        <v>285</v>
      </c>
      <c r="B483" s="74"/>
      <c r="C483" s="74"/>
      <c r="D483" s="74"/>
      <c r="E483" s="74"/>
      <c r="F483" s="74"/>
      <c r="G483" s="74"/>
      <c r="H483" s="74"/>
      <c r="I483" s="75" t="s">
        <v>1961</v>
      </c>
      <c r="J483" s="75" t="s">
        <v>761</v>
      </c>
      <c r="K483" s="74" t="s">
        <v>1471</v>
      </c>
      <c r="L483" s="76" t="s">
        <v>0</v>
      </c>
      <c r="M483" s="57"/>
      <c r="N483" s="77">
        <v>3250</v>
      </c>
      <c r="O483" s="57">
        <f t="shared" si="20"/>
        <v>0</v>
      </c>
      <c r="P483" s="77">
        <v>5990</v>
      </c>
      <c r="Q483" s="73">
        <f t="shared" si="21"/>
        <v>0</v>
      </c>
      <c r="R483" s="57"/>
      <c r="S483" s="57"/>
      <c r="T483" s="57"/>
      <c r="U483" s="57"/>
      <c r="V483" s="73">
        <f t="shared" si="22"/>
        <v>0</v>
      </c>
      <c r="W483" s="106"/>
      <c r="X483" s="64"/>
    </row>
    <row r="484" spans="1:24" s="66" customFormat="1" ht="12" hidden="1" customHeight="1">
      <c r="A484" s="74" t="s">
        <v>286</v>
      </c>
      <c r="B484" s="74"/>
      <c r="C484" s="74"/>
      <c r="D484" s="74"/>
      <c r="E484" s="74"/>
      <c r="F484" s="74"/>
      <c r="G484" s="74"/>
      <c r="H484" s="74"/>
      <c r="I484" s="75" t="s">
        <v>1962</v>
      </c>
      <c r="J484" s="75" t="s">
        <v>761</v>
      </c>
      <c r="K484" s="74" t="s">
        <v>1470</v>
      </c>
      <c r="L484" s="76" t="s">
        <v>0</v>
      </c>
      <c r="M484" s="57"/>
      <c r="N484" s="77">
        <v>4630</v>
      </c>
      <c r="O484" s="57">
        <f t="shared" si="20"/>
        <v>0</v>
      </c>
      <c r="P484" s="77">
        <v>7079</v>
      </c>
      <c r="Q484" s="73">
        <f t="shared" si="21"/>
        <v>0</v>
      </c>
      <c r="R484" s="57"/>
      <c r="S484" s="57"/>
      <c r="T484" s="57"/>
      <c r="U484" s="57"/>
      <c r="V484" s="73">
        <f t="shared" si="22"/>
        <v>0</v>
      </c>
      <c r="W484" s="106"/>
      <c r="X484" s="64"/>
    </row>
    <row r="485" spans="1:24" s="66" customFormat="1" ht="12" hidden="1" customHeight="1">
      <c r="A485" s="74" t="s">
        <v>287</v>
      </c>
      <c r="B485" s="74"/>
      <c r="C485" s="74"/>
      <c r="D485" s="74"/>
      <c r="E485" s="74"/>
      <c r="F485" s="74"/>
      <c r="G485" s="74"/>
      <c r="H485" s="74"/>
      <c r="I485" s="75" t="s">
        <v>2016</v>
      </c>
      <c r="J485" s="75" t="s">
        <v>761</v>
      </c>
      <c r="K485" s="74" t="s">
        <v>1469</v>
      </c>
      <c r="L485" s="76" t="s">
        <v>0</v>
      </c>
      <c r="M485" s="57"/>
      <c r="N485" s="77">
        <v>6660</v>
      </c>
      <c r="O485" s="57">
        <f t="shared" si="20"/>
        <v>0</v>
      </c>
      <c r="P485" s="77">
        <v>9802</v>
      </c>
      <c r="Q485" s="73">
        <f t="shared" si="21"/>
        <v>0</v>
      </c>
      <c r="R485" s="57"/>
      <c r="S485" s="57"/>
      <c r="T485" s="57"/>
      <c r="U485" s="57"/>
      <c r="V485" s="73">
        <f t="shared" si="22"/>
        <v>0</v>
      </c>
      <c r="W485" s="106"/>
      <c r="X485" s="64"/>
    </row>
    <row r="486" spans="1:24" s="66" customFormat="1" ht="12" hidden="1" customHeight="1">
      <c r="A486" s="74" t="s">
        <v>288</v>
      </c>
      <c r="B486" s="74"/>
      <c r="C486" s="74"/>
      <c r="D486" s="74"/>
      <c r="E486" s="74"/>
      <c r="F486" s="74"/>
      <c r="G486" s="74"/>
      <c r="H486" s="74"/>
      <c r="I486" s="75" t="s">
        <v>2013</v>
      </c>
      <c r="J486" s="75" t="s">
        <v>761</v>
      </c>
      <c r="K486" s="74" t="s">
        <v>1468</v>
      </c>
      <c r="L486" s="76" t="s">
        <v>0</v>
      </c>
      <c r="M486" s="57"/>
      <c r="N486" s="77">
        <v>11650</v>
      </c>
      <c r="O486" s="57">
        <f t="shared" si="20"/>
        <v>0</v>
      </c>
      <c r="P486" s="77">
        <v>6262</v>
      </c>
      <c r="Q486" s="73">
        <f t="shared" si="21"/>
        <v>0</v>
      </c>
      <c r="R486" s="57"/>
      <c r="S486" s="57"/>
      <c r="T486" s="57"/>
      <c r="U486" s="57"/>
      <c r="V486" s="73">
        <f t="shared" si="22"/>
        <v>0</v>
      </c>
      <c r="W486" s="106"/>
      <c r="X486" s="64"/>
    </row>
    <row r="487" spans="1:24" s="66" customFormat="1" ht="12" hidden="1" customHeight="1">
      <c r="A487" s="74" t="s">
        <v>289</v>
      </c>
      <c r="B487" s="74"/>
      <c r="C487" s="74"/>
      <c r="D487" s="74"/>
      <c r="E487" s="74"/>
      <c r="F487" s="74"/>
      <c r="G487" s="74"/>
      <c r="H487" s="74"/>
      <c r="I487" s="75" t="s">
        <v>2014</v>
      </c>
      <c r="J487" s="75" t="s">
        <v>761</v>
      </c>
      <c r="K487" s="74" t="s">
        <v>1467</v>
      </c>
      <c r="L487" s="76" t="s">
        <v>0</v>
      </c>
      <c r="M487" s="57"/>
      <c r="N487" s="77">
        <v>18090</v>
      </c>
      <c r="O487" s="57">
        <f t="shared" si="20"/>
        <v>0</v>
      </c>
      <c r="P487" s="77">
        <v>8168</v>
      </c>
      <c r="Q487" s="73">
        <f t="shared" si="21"/>
        <v>0</v>
      </c>
      <c r="R487" s="57"/>
      <c r="S487" s="57"/>
      <c r="T487" s="57"/>
      <c r="U487" s="57"/>
      <c r="V487" s="73">
        <f t="shared" si="22"/>
        <v>0</v>
      </c>
      <c r="W487" s="106"/>
      <c r="X487" s="64"/>
    </row>
    <row r="488" spans="1:24" s="66" customFormat="1" ht="12" hidden="1" customHeight="1">
      <c r="A488" s="74" t="s">
        <v>290</v>
      </c>
      <c r="B488" s="74"/>
      <c r="C488" s="74"/>
      <c r="D488" s="74"/>
      <c r="E488" s="74"/>
      <c r="F488" s="74"/>
      <c r="G488" s="74"/>
      <c r="H488" s="74"/>
      <c r="I488" s="75" t="s">
        <v>2015</v>
      </c>
      <c r="J488" s="75" t="s">
        <v>761</v>
      </c>
      <c r="K488" s="74" t="s">
        <v>1466</v>
      </c>
      <c r="L488" s="76" t="s">
        <v>0</v>
      </c>
      <c r="M488" s="57"/>
      <c r="N488" s="77">
        <v>24890</v>
      </c>
      <c r="O488" s="57">
        <f t="shared" si="20"/>
        <v>0</v>
      </c>
      <c r="P488" s="77">
        <v>9802</v>
      </c>
      <c r="Q488" s="73">
        <f t="shared" si="21"/>
        <v>0</v>
      </c>
      <c r="R488" s="57"/>
      <c r="S488" s="57"/>
      <c r="T488" s="57"/>
      <c r="U488" s="57"/>
      <c r="V488" s="73">
        <f t="shared" si="22"/>
        <v>0</v>
      </c>
      <c r="W488" s="106"/>
      <c r="X488" s="64"/>
    </row>
    <row r="489" spans="1:24" s="66" customFormat="1" ht="12" hidden="1" customHeight="1">
      <c r="A489" s="74" t="s">
        <v>291</v>
      </c>
      <c r="B489" s="74"/>
      <c r="C489" s="74"/>
      <c r="D489" s="74"/>
      <c r="E489" s="74"/>
      <c r="F489" s="74"/>
      <c r="G489" s="74"/>
      <c r="H489" s="74"/>
      <c r="I489" s="75" t="s">
        <v>1963</v>
      </c>
      <c r="J489" s="75" t="s">
        <v>761</v>
      </c>
      <c r="K489" s="74" t="s">
        <v>1465</v>
      </c>
      <c r="L489" s="76" t="s">
        <v>0</v>
      </c>
      <c r="M489" s="57"/>
      <c r="N489" s="77">
        <v>1420</v>
      </c>
      <c r="O489" s="57">
        <f t="shared" si="20"/>
        <v>0</v>
      </c>
      <c r="P489" s="77">
        <v>7079</v>
      </c>
      <c r="Q489" s="73">
        <f t="shared" si="21"/>
        <v>0</v>
      </c>
      <c r="R489" s="57"/>
      <c r="S489" s="57"/>
      <c r="T489" s="57"/>
      <c r="U489" s="57"/>
      <c r="V489" s="73">
        <f t="shared" si="22"/>
        <v>0</v>
      </c>
      <c r="W489" s="106"/>
      <c r="X489" s="64"/>
    </row>
    <row r="490" spans="1:24" s="66" customFormat="1" ht="12" hidden="1" customHeight="1">
      <c r="A490" s="74" t="s">
        <v>292</v>
      </c>
      <c r="B490" s="74"/>
      <c r="C490" s="74"/>
      <c r="D490" s="74"/>
      <c r="E490" s="74"/>
      <c r="F490" s="74"/>
      <c r="G490" s="74"/>
      <c r="H490" s="74"/>
      <c r="I490" s="75" t="s">
        <v>1963</v>
      </c>
      <c r="J490" s="75" t="s">
        <v>761</v>
      </c>
      <c r="K490" s="74" t="s">
        <v>1464</v>
      </c>
      <c r="L490" s="76" t="s">
        <v>0</v>
      </c>
      <c r="M490" s="57"/>
      <c r="N490" s="77">
        <v>1820</v>
      </c>
      <c r="O490" s="57">
        <f t="shared" si="20"/>
        <v>0</v>
      </c>
      <c r="P490" s="77">
        <v>7079</v>
      </c>
      <c r="Q490" s="73">
        <f t="shared" si="21"/>
        <v>0</v>
      </c>
      <c r="R490" s="57"/>
      <c r="S490" s="57"/>
      <c r="T490" s="57"/>
      <c r="U490" s="57"/>
      <c r="V490" s="73">
        <f t="shared" si="22"/>
        <v>0</v>
      </c>
      <c r="W490" s="106"/>
      <c r="X490" s="64"/>
    </row>
    <row r="491" spans="1:24" s="66" customFormat="1" ht="12" hidden="1" customHeight="1">
      <c r="A491" s="74" t="s">
        <v>293</v>
      </c>
      <c r="B491" s="74"/>
      <c r="C491" s="74"/>
      <c r="D491" s="74"/>
      <c r="E491" s="74"/>
      <c r="F491" s="74"/>
      <c r="G491" s="74"/>
      <c r="H491" s="74"/>
      <c r="I491" s="75" t="s">
        <v>1963</v>
      </c>
      <c r="J491" s="75" t="s">
        <v>761</v>
      </c>
      <c r="K491" s="74" t="s">
        <v>1463</v>
      </c>
      <c r="L491" s="76" t="s">
        <v>0</v>
      </c>
      <c r="M491" s="57"/>
      <c r="N491" s="77">
        <v>2800</v>
      </c>
      <c r="O491" s="57">
        <f t="shared" si="20"/>
        <v>0</v>
      </c>
      <c r="P491" s="77">
        <v>7079</v>
      </c>
      <c r="Q491" s="73">
        <f t="shared" si="21"/>
        <v>0</v>
      </c>
      <c r="R491" s="57"/>
      <c r="S491" s="57"/>
      <c r="T491" s="57"/>
      <c r="U491" s="57"/>
      <c r="V491" s="73">
        <f t="shared" si="22"/>
        <v>0</v>
      </c>
      <c r="W491" s="106"/>
      <c r="X491" s="64"/>
    </row>
    <row r="492" spans="1:24" s="66" customFormat="1" ht="12" hidden="1" customHeight="1">
      <c r="A492" s="74" t="s">
        <v>294</v>
      </c>
      <c r="B492" s="74"/>
      <c r="C492" s="74"/>
      <c r="D492" s="74"/>
      <c r="E492" s="74"/>
      <c r="F492" s="74"/>
      <c r="G492" s="74"/>
      <c r="H492" s="74"/>
      <c r="I492" s="75" t="s">
        <v>1964</v>
      </c>
      <c r="J492" s="75" t="s">
        <v>761</v>
      </c>
      <c r="K492" s="74" t="s">
        <v>1462</v>
      </c>
      <c r="L492" s="76" t="s">
        <v>0</v>
      </c>
      <c r="M492" s="57"/>
      <c r="N492" s="77">
        <v>4230</v>
      </c>
      <c r="O492" s="57">
        <f t="shared" si="20"/>
        <v>0</v>
      </c>
      <c r="P492" s="77">
        <v>7896</v>
      </c>
      <c r="Q492" s="73">
        <f t="shared" si="21"/>
        <v>0</v>
      </c>
      <c r="R492" s="57"/>
      <c r="S492" s="57"/>
      <c r="T492" s="57"/>
      <c r="U492" s="57"/>
      <c r="V492" s="73">
        <f t="shared" si="22"/>
        <v>0</v>
      </c>
      <c r="W492" s="106"/>
      <c r="X492" s="64"/>
    </row>
    <row r="493" spans="1:24" s="66" customFormat="1" ht="12" hidden="1" customHeight="1">
      <c r="A493" s="74" t="s">
        <v>295</v>
      </c>
      <c r="B493" s="74"/>
      <c r="C493" s="74"/>
      <c r="D493" s="74"/>
      <c r="E493" s="74"/>
      <c r="F493" s="74"/>
      <c r="G493" s="74"/>
      <c r="H493" s="74"/>
      <c r="I493" s="75" t="s">
        <v>1965</v>
      </c>
      <c r="J493" s="75" t="s">
        <v>761</v>
      </c>
      <c r="K493" s="74" t="s">
        <v>1461</v>
      </c>
      <c r="L493" s="76" t="s">
        <v>0</v>
      </c>
      <c r="M493" s="57"/>
      <c r="N493" s="77">
        <v>5990</v>
      </c>
      <c r="O493" s="57">
        <f t="shared" si="20"/>
        <v>0</v>
      </c>
      <c r="P493" s="77">
        <v>9257</v>
      </c>
      <c r="Q493" s="73">
        <f t="shared" si="21"/>
        <v>0</v>
      </c>
      <c r="R493" s="57"/>
      <c r="S493" s="57"/>
      <c r="T493" s="57"/>
      <c r="U493" s="57"/>
      <c r="V493" s="73">
        <f t="shared" si="22"/>
        <v>0</v>
      </c>
      <c r="W493" s="106"/>
      <c r="X493" s="64"/>
    </row>
    <row r="494" spans="1:24" s="66" customFormat="1" ht="12" hidden="1" customHeight="1">
      <c r="A494" s="74" t="s">
        <v>296</v>
      </c>
      <c r="B494" s="74"/>
      <c r="C494" s="74"/>
      <c r="D494" s="74"/>
      <c r="E494" s="74"/>
      <c r="F494" s="74"/>
      <c r="G494" s="74"/>
      <c r="H494" s="74"/>
      <c r="I494" s="75" t="s">
        <v>2017</v>
      </c>
      <c r="J494" s="75" t="s">
        <v>761</v>
      </c>
      <c r="K494" s="74" t="s">
        <v>1460</v>
      </c>
      <c r="L494" s="76" t="s">
        <v>0</v>
      </c>
      <c r="M494" s="57"/>
      <c r="N494" s="77">
        <v>9760</v>
      </c>
      <c r="O494" s="57">
        <f t="shared" si="20"/>
        <v>0</v>
      </c>
      <c r="P494" s="77">
        <v>13341</v>
      </c>
      <c r="Q494" s="73">
        <f t="shared" si="21"/>
        <v>0</v>
      </c>
      <c r="R494" s="57"/>
      <c r="S494" s="57"/>
      <c r="T494" s="57"/>
      <c r="U494" s="57"/>
      <c r="V494" s="73">
        <f t="shared" si="22"/>
        <v>0</v>
      </c>
      <c r="W494" s="106"/>
      <c r="X494" s="64"/>
    </row>
    <row r="495" spans="1:24" s="66" customFormat="1" ht="12" hidden="1" customHeight="1">
      <c r="A495" s="74" t="s">
        <v>297</v>
      </c>
      <c r="B495" s="74"/>
      <c r="C495" s="74"/>
      <c r="D495" s="74"/>
      <c r="E495" s="74"/>
      <c r="F495" s="74"/>
      <c r="G495" s="74"/>
      <c r="H495" s="74"/>
      <c r="I495" s="75" t="s">
        <v>2013</v>
      </c>
      <c r="J495" s="75" t="s">
        <v>761</v>
      </c>
      <c r="K495" s="74" t="s">
        <v>1459</v>
      </c>
      <c r="L495" s="76" t="s">
        <v>0</v>
      </c>
      <c r="M495" s="57"/>
      <c r="N495" s="77">
        <v>15280</v>
      </c>
      <c r="O495" s="57">
        <f t="shared" si="20"/>
        <v>0</v>
      </c>
      <c r="P495" s="77">
        <v>6262</v>
      </c>
      <c r="Q495" s="73">
        <f t="shared" si="21"/>
        <v>0</v>
      </c>
      <c r="R495" s="57"/>
      <c r="S495" s="57"/>
      <c r="T495" s="57"/>
      <c r="U495" s="57"/>
      <c r="V495" s="73">
        <f t="shared" si="22"/>
        <v>0</v>
      </c>
      <c r="W495" s="106"/>
      <c r="X495" s="64"/>
    </row>
    <row r="496" spans="1:24" s="66" customFormat="1" ht="12" hidden="1" customHeight="1">
      <c r="A496" s="74" t="s">
        <v>298</v>
      </c>
      <c r="B496" s="74"/>
      <c r="C496" s="74"/>
      <c r="D496" s="74"/>
      <c r="E496" s="74"/>
      <c r="F496" s="74"/>
      <c r="G496" s="74"/>
      <c r="H496" s="74"/>
      <c r="I496" s="75" t="s">
        <v>2014</v>
      </c>
      <c r="J496" s="75" t="s">
        <v>761</v>
      </c>
      <c r="K496" s="74" t="s">
        <v>1458</v>
      </c>
      <c r="L496" s="76" t="s">
        <v>0</v>
      </c>
      <c r="M496" s="57"/>
      <c r="N496" s="77">
        <v>23800</v>
      </c>
      <c r="O496" s="57">
        <f t="shared" si="20"/>
        <v>0</v>
      </c>
      <c r="P496" s="77">
        <v>8168</v>
      </c>
      <c r="Q496" s="73">
        <f t="shared" si="21"/>
        <v>0</v>
      </c>
      <c r="R496" s="57"/>
      <c r="S496" s="57"/>
      <c r="T496" s="57"/>
      <c r="U496" s="57"/>
      <c r="V496" s="73">
        <f t="shared" si="22"/>
        <v>0</v>
      </c>
      <c r="W496" s="106"/>
      <c r="X496" s="64"/>
    </row>
    <row r="497" spans="1:24" s="66" customFormat="1" ht="12" hidden="1" customHeight="1">
      <c r="A497" s="74" t="s">
        <v>299</v>
      </c>
      <c r="B497" s="74"/>
      <c r="C497" s="74"/>
      <c r="D497" s="74"/>
      <c r="E497" s="74"/>
      <c r="F497" s="74"/>
      <c r="G497" s="74"/>
      <c r="H497" s="74"/>
      <c r="I497" s="75" t="s">
        <v>2015</v>
      </c>
      <c r="J497" s="75" t="s">
        <v>761</v>
      </c>
      <c r="K497" s="74" t="s">
        <v>1457</v>
      </c>
      <c r="L497" s="76" t="s">
        <v>0</v>
      </c>
      <c r="M497" s="57"/>
      <c r="N497" s="77">
        <v>32860</v>
      </c>
      <c r="O497" s="57">
        <f t="shared" si="20"/>
        <v>0</v>
      </c>
      <c r="P497" s="77">
        <v>9802</v>
      </c>
      <c r="Q497" s="73">
        <f t="shared" si="21"/>
        <v>0</v>
      </c>
      <c r="R497" s="57"/>
      <c r="S497" s="57"/>
      <c r="T497" s="57"/>
      <c r="U497" s="57"/>
      <c r="V497" s="73">
        <f t="shared" si="22"/>
        <v>0</v>
      </c>
      <c r="W497" s="106"/>
      <c r="X497" s="64"/>
    </row>
    <row r="498" spans="1:24" s="66" customFormat="1" ht="12" hidden="1" customHeight="1">
      <c r="A498" s="74" t="s">
        <v>300</v>
      </c>
      <c r="B498" s="74"/>
      <c r="C498" s="74"/>
      <c r="D498" s="74"/>
      <c r="E498" s="74"/>
      <c r="F498" s="74"/>
      <c r="G498" s="74"/>
      <c r="H498" s="74"/>
      <c r="I498" s="75" t="s">
        <v>1966</v>
      </c>
      <c r="J498" s="75" t="s">
        <v>761</v>
      </c>
      <c r="K498" s="74" t="s">
        <v>1456</v>
      </c>
      <c r="L498" s="76" t="s">
        <v>0</v>
      </c>
      <c r="M498" s="57"/>
      <c r="N498" s="77">
        <v>1630</v>
      </c>
      <c r="O498" s="57">
        <f t="shared" si="20"/>
        <v>0</v>
      </c>
      <c r="P498" s="77">
        <v>8713</v>
      </c>
      <c r="Q498" s="73">
        <f t="shared" si="21"/>
        <v>0</v>
      </c>
      <c r="R498" s="57"/>
      <c r="S498" s="57"/>
      <c r="T498" s="57"/>
      <c r="U498" s="57"/>
      <c r="V498" s="73">
        <f t="shared" si="22"/>
        <v>0</v>
      </c>
      <c r="W498" s="106"/>
      <c r="X498" s="64"/>
    </row>
    <row r="499" spans="1:24" s="66" customFormat="1" ht="12" hidden="1" customHeight="1">
      <c r="A499" s="74" t="s">
        <v>301</v>
      </c>
      <c r="B499" s="74"/>
      <c r="C499" s="74"/>
      <c r="D499" s="74"/>
      <c r="E499" s="74"/>
      <c r="F499" s="74"/>
      <c r="G499" s="74"/>
      <c r="H499" s="74"/>
      <c r="I499" s="75" t="s">
        <v>1966</v>
      </c>
      <c r="J499" s="75" t="s">
        <v>761</v>
      </c>
      <c r="K499" s="74" t="s">
        <v>1455</v>
      </c>
      <c r="L499" s="76" t="s">
        <v>0</v>
      </c>
      <c r="M499" s="57"/>
      <c r="N499" s="77">
        <v>2130</v>
      </c>
      <c r="O499" s="57">
        <f t="shared" si="20"/>
        <v>0</v>
      </c>
      <c r="P499" s="77">
        <v>8713</v>
      </c>
      <c r="Q499" s="73">
        <f t="shared" si="21"/>
        <v>0</v>
      </c>
      <c r="R499" s="57"/>
      <c r="S499" s="57"/>
      <c r="T499" s="57"/>
      <c r="U499" s="57"/>
      <c r="V499" s="73">
        <f t="shared" si="22"/>
        <v>0</v>
      </c>
      <c r="W499" s="106"/>
      <c r="X499" s="64"/>
    </row>
    <row r="500" spans="1:24" s="66" customFormat="1" ht="12" hidden="1" customHeight="1">
      <c r="A500" s="74" t="s">
        <v>302</v>
      </c>
      <c r="B500" s="74"/>
      <c r="C500" s="74"/>
      <c r="D500" s="74"/>
      <c r="E500" s="74"/>
      <c r="F500" s="74"/>
      <c r="G500" s="74"/>
      <c r="H500" s="74"/>
      <c r="I500" s="75" t="s">
        <v>1966</v>
      </c>
      <c r="J500" s="75" t="s">
        <v>761</v>
      </c>
      <c r="K500" s="74" t="s">
        <v>1454</v>
      </c>
      <c r="L500" s="76" t="s">
        <v>0</v>
      </c>
      <c r="M500" s="57"/>
      <c r="N500" s="77">
        <v>3230</v>
      </c>
      <c r="O500" s="57">
        <f t="shared" si="20"/>
        <v>0</v>
      </c>
      <c r="P500" s="77">
        <v>8713</v>
      </c>
      <c r="Q500" s="73">
        <f t="shared" si="21"/>
        <v>0</v>
      </c>
      <c r="R500" s="57"/>
      <c r="S500" s="57"/>
      <c r="T500" s="57"/>
      <c r="U500" s="57"/>
      <c r="V500" s="73">
        <f t="shared" si="22"/>
        <v>0</v>
      </c>
      <c r="W500" s="106"/>
      <c r="X500" s="64"/>
    </row>
    <row r="501" spans="1:24" s="66" customFormat="1" ht="12" hidden="1" customHeight="1">
      <c r="A501" s="74" t="s">
        <v>303</v>
      </c>
      <c r="B501" s="74"/>
      <c r="C501" s="74"/>
      <c r="D501" s="74"/>
      <c r="E501" s="74"/>
      <c r="F501" s="74"/>
      <c r="G501" s="74"/>
      <c r="H501" s="74"/>
      <c r="I501" s="75" t="s">
        <v>1968</v>
      </c>
      <c r="J501" s="75" t="s">
        <v>761</v>
      </c>
      <c r="K501" s="74" t="s">
        <v>1453</v>
      </c>
      <c r="L501" s="76" t="s">
        <v>0</v>
      </c>
      <c r="M501" s="57"/>
      <c r="N501" s="77">
        <v>5050</v>
      </c>
      <c r="O501" s="57">
        <f t="shared" si="20"/>
        <v>0</v>
      </c>
      <c r="P501" s="77">
        <v>9257</v>
      </c>
      <c r="Q501" s="73">
        <f t="shared" si="21"/>
        <v>0</v>
      </c>
      <c r="R501" s="57"/>
      <c r="S501" s="57"/>
      <c r="T501" s="57"/>
      <c r="U501" s="57"/>
      <c r="V501" s="73">
        <f t="shared" si="22"/>
        <v>0</v>
      </c>
      <c r="W501" s="106"/>
      <c r="X501" s="64"/>
    </row>
    <row r="502" spans="1:24" s="66" customFormat="1" ht="12" hidden="1" customHeight="1">
      <c r="A502" s="74" t="s">
        <v>304</v>
      </c>
      <c r="B502" s="74"/>
      <c r="C502" s="74"/>
      <c r="D502" s="74"/>
      <c r="E502" s="74"/>
      <c r="F502" s="74"/>
      <c r="G502" s="74"/>
      <c r="H502" s="74"/>
      <c r="I502" s="75" t="s">
        <v>1969</v>
      </c>
      <c r="J502" s="75" t="s">
        <v>761</v>
      </c>
      <c r="K502" s="74" t="s">
        <v>1452</v>
      </c>
      <c r="L502" s="76" t="s">
        <v>0</v>
      </c>
      <c r="M502" s="57"/>
      <c r="N502" s="77">
        <v>7150</v>
      </c>
      <c r="O502" s="57">
        <f t="shared" si="20"/>
        <v>0</v>
      </c>
      <c r="P502" s="77">
        <v>10618</v>
      </c>
      <c r="Q502" s="73">
        <f t="shared" si="21"/>
        <v>0</v>
      </c>
      <c r="R502" s="57"/>
      <c r="S502" s="57"/>
      <c r="T502" s="57"/>
      <c r="U502" s="57"/>
      <c r="V502" s="73">
        <f t="shared" si="22"/>
        <v>0</v>
      </c>
      <c r="W502" s="106"/>
      <c r="X502" s="64"/>
    </row>
    <row r="503" spans="1:24" s="66" customFormat="1" ht="12" hidden="1" customHeight="1">
      <c r="A503" s="74" t="s">
        <v>305</v>
      </c>
      <c r="B503" s="74"/>
      <c r="C503" s="74"/>
      <c r="D503" s="74"/>
      <c r="E503" s="74"/>
      <c r="F503" s="74"/>
      <c r="G503" s="74"/>
      <c r="H503" s="74"/>
      <c r="I503" s="75" t="s">
        <v>2018</v>
      </c>
      <c r="J503" s="75" t="s">
        <v>761</v>
      </c>
      <c r="K503" s="74" t="s">
        <v>1451</v>
      </c>
      <c r="L503" s="76" t="s">
        <v>0</v>
      </c>
      <c r="M503" s="57"/>
      <c r="N503" s="77">
        <v>11710</v>
      </c>
      <c r="O503" s="57">
        <f t="shared" ref="O503:O566" si="23">M503*N503*$O$3</f>
        <v>0</v>
      </c>
      <c r="P503" s="77">
        <v>14975</v>
      </c>
      <c r="Q503" s="73">
        <f t="shared" si="21"/>
        <v>0</v>
      </c>
      <c r="R503" s="57"/>
      <c r="S503" s="57"/>
      <c r="T503" s="57"/>
      <c r="U503" s="57"/>
      <c r="V503" s="73">
        <f t="shared" si="22"/>
        <v>0</v>
      </c>
      <c r="W503" s="106"/>
      <c r="X503" s="64"/>
    </row>
    <row r="504" spans="1:24" s="66" customFormat="1" ht="12" hidden="1" customHeight="1">
      <c r="A504" s="74" t="s">
        <v>306</v>
      </c>
      <c r="B504" s="74"/>
      <c r="C504" s="74"/>
      <c r="D504" s="74"/>
      <c r="E504" s="74"/>
      <c r="F504" s="74"/>
      <c r="G504" s="74"/>
      <c r="H504" s="74"/>
      <c r="I504" s="75" t="s">
        <v>1970</v>
      </c>
      <c r="J504" s="75" t="s">
        <v>761</v>
      </c>
      <c r="K504" s="74" t="s">
        <v>767</v>
      </c>
      <c r="L504" s="76" t="s">
        <v>0</v>
      </c>
      <c r="M504" s="57"/>
      <c r="N504" s="77">
        <v>1590</v>
      </c>
      <c r="O504" s="57">
        <f t="shared" si="23"/>
        <v>0</v>
      </c>
      <c r="P504" s="77">
        <v>9529</v>
      </c>
      <c r="Q504" s="73">
        <f t="shared" si="21"/>
        <v>0</v>
      </c>
      <c r="R504" s="57"/>
      <c r="S504" s="57"/>
      <c r="T504" s="57"/>
      <c r="U504" s="57"/>
      <c r="V504" s="73">
        <f t="shared" si="22"/>
        <v>0</v>
      </c>
      <c r="W504" s="106"/>
      <c r="X504" s="64"/>
    </row>
    <row r="505" spans="1:24" s="66" customFormat="1" ht="12" hidden="1" customHeight="1">
      <c r="A505" s="74" t="s">
        <v>307</v>
      </c>
      <c r="B505" s="74"/>
      <c r="C505" s="74"/>
      <c r="D505" s="74"/>
      <c r="E505" s="74"/>
      <c r="F505" s="74"/>
      <c r="G505" s="74"/>
      <c r="H505" s="74"/>
      <c r="I505" s="75" t="s">
        <v>1970</v>
      </c>
      <c r="J505" s="75" t="s">
        <v>761</v>
      </c>
      <c r="K505" s="74" t="s">
        <v>763</v>
      </c>
      <c r="L505" s="76" t="s">
        <v>0</v>
      </c>
      <c r="M505" s="57"/>
      <c r="N505" s="77">
        <v>2190</v>
      </c>
      <c r="O505" s="57">
        <f t="shared" si="23"/>
        <v>0</v>
      </c>
      <c r="P505" s="77">
        <v>9529</v>
      </c>
      <c r="Q505" s="73">
        <f t="shared" si="21"/>
        <v>0</v>
      </c>
      <c r="R505" s="57"/>
      <c r="S505" s="57"/>
      <c r="T505" s="57"/>
      <c r="U505" s="57"/>
      <c r="V505" s="73">
        <f t="shared" si="22"/>
        <v>0</v>
      </c>
      <c r="W505" s="106"/>
      <c r="X505" s="64"/>
    </row>
    <row r="506" spans="1:24" s="66" customFormat="1" ht="12" hidden="1" customHeight="1">
      <c r="A506" s="74" t="s">
        <v>308</v>
      </c>
      <c r="B506" s="74"/>
      <c r="C506" s="74"/>
      <c r="D506" s="74"/>
      <c r="E506" s="74"/>
      <c r="F506" s="74"/>
      <c r="G506" s="74"/>
      <c r="H506" s="74"/>
      <c r="I506" s="75" t="s">
        <v>1970</v>
      </c>
      <c r="J506" s="75" t="s">
        <v>761</v>
      </c>
      <c r="K506" s="74" t="s">
        <v>764</v>
      </c>
      <c r="L506" s="76" t="s">
        <v>0</v>
      </c>
      <c r="M506" s="57"/>
      <c r="N506" s="77">
        <v>3420</v>
      </c>
      <c r="O506" s="57">
        <f t="shared" si="23"/>
        <v>0</v>
      </c>
      <c r="P506" s="77">
        <v>9529</v>
      </c>
      <c r="Q506" s="73">
        <f t="shared" si="21"/>
        <v>0</v>
      </c>
      <c r="R506" s="57"/>
      <c r="S506" s="57"/>
      <c r="T506" s="57"/>
      <c r="U506" s="57"/>
      <c r="V506" s="73">
        <f t="shared" si="22"/>
        <v>0</v>
      </c>
      <c r="W506" s="106"/>
      <c r="X506" s="64"/>
    </row>
    <row r="507" spans="1:24" s="66" customFormat="1" ht="12" hidden="1" customHeight="1">
      <c r="A507" s="74" t="s">
        <v>309</v>
      </c>
      <c r="B507" s="74"/>
      <c r="C507" s="74"/>
      <c r="D507" s="74"/>
      <c r="E507" s="74"/>
      <c r="F507" s="74"/>
      <c r="G507" s="74"/>
      <c r="H507" s="74"/>
      <c r="I507" s="75" t="s">
        <v>1972</v>
      </c>
      <c r="J507" s="75" t="s">
        <v>761</v>
      </c>
      <c r="K507" s="74" t="s">
        <v>765</v>
      </c>
      <c r="L507" s="76" t="s">
        <v>0</v>
      </c>
      <c r="M507" s="57"/>
      <c r="N507" s="77">
        <v>5430</v>
      </c>
      <c r="O507" s="57">
        <f t="shared" si="23"/>
        <v>0</v>
      </c>
      <c r="P507" s="77">
        <v>10346</v>
      </c>
      <c r="Q507" s="73">
        <f t="shared" si="21"/>
        <v>0</v>
      </c>
      <c r="R507" s="57"/>
      <c r="S507" s="57"/>
      <c r="T507" s="57"/>
      <c r="U507" s="57"/>
      <c r="V507" s="73">
        <f t="shared" si="22"/>
        <v>0</v>
      </c>
      <c r="W507" s="106"/>
      <c r="X507" s="64"/>
    </row>
    <row r="508" spans="1:24" s="66" customFormat="1" ht="12" hidden="1" customHeight="1">
      <c r="A508" s="74" t="s">
        <v>310</v>
      </c>
      <c r="B508" s="74"/>
      <c r="C508" s="74"/>
      <c r="D508" s="74"/>
      <c r="E508" s="74"/>
      <c r="F508" s="74"/>
      <c r="G508" s="74"/>
      <c r="H508" s="74"/>
      <c r="I508" s="75" t="s">
        <v>1973</v>
      </c>
      <c r="J508" s="75" t="s">
        <v>761</v>
      </c>
      <c r="K508" s="74" t="s">
        <v>766</v>
      </c>
      <c r="L508" s="76" t="s">
        <v>0</v>
      </c>
      <c r="M508" s="57"/>
      <c r="N508" s="77">
        <v>8420</v>
      </c>
      <c r="O508" s="57">
        <f t="shared" si="23"/>
        <v>0</v>
      </c>
      <c r="P508" s="77">
        <v>11980</v>
      </c>
      <c r="Q508" s="73">
        <f t="shared" si="21"/>
        <v>0</v>
      </c>
      <c r="R508" s="57"/>
      <c r="S508" s="57"/>
      <c r="T508" s="57"/>
      <c r="U508" s="57"/>
      <c r="V508" s="73">
        <f t="shared" si="22"/>
        <v>0</v>
      </c>
      <c r="W508" s="106"/>
      <c r="X508" s="64"/>
    </row>
    <row r="509" spans="1:24" s="66" customFormat="1" ht="12" hidden="1" customHeight="1">
      <c r="A509" s="74" t="s">
        <v>311</v>
      </c>
      <c r="B509" s="74"/>
      <c r="C509" s="74"/>
      <c r="D509" s="74"/>
      <c r="E509" s="74"/>
      <c r="F509" s="74"/>
      <c r="G509" s="74"/>
      <c r="H509" s="74"/>
      <c r="I509" s="75" t="s">
        <v>2019</v>
      </c>
      <c r="J509" s="75" t="s">
        <v>761</v>
      </c>
      <c r="K509" s="74" t="s">
        <v>768</v>
      </c>
      <c r="L509" s="76" t="s">
        <v>0</v>
      </c>
      <c r="M509" s="57"/>
      <c r="N509" s="77">
        <v>13970</v>
      </c>
      <c r="O509" s="57">
        <f t="shared" si="23"/>
        <v>0</v>
      </c>
      <c r="P509" s="77">
        <v>17153</v>
      </c>
      <c r="Q509" s="73">
        <f t="shared" si="21"/>
        <v>0</v>
      </c>
      <c r="R509" s="57"/>
      <c r="S509" s="57"/>
      <c r="T509" s="57"/>
      <c r="U509" s="57"/>
      <c r="V509" s="73">
        <f t="shared" si="22"/>
        <v>0</v>
      </c>
      <c r="W509" s="106"/>
      <c r="X509" s="64"/>
    </row>
    <row r="510" spans="1:24" s="66" customFormat="1" ht="12" hidden="1" customHeight="1">
      <c r="A510" s="74" t="s">
        <v>312</v>
      </c>
      <c r="B510" s="74"/>
      <c r="C510" s="74"/>
      <c r="D510" s="74"/>
      <c r="E510" s="74"/>
      <c r="F510" s="74"/>
      <c r="G510" s="74"/>
      <c r="H510" s="74"/>
      <c r="I510" s="75" t="s">
        <v>1978</v>
      </c>
      <c r="J510" s="75" t="s">
        <v>761</v>
      </c>
      <c r="K510" s="74" t="s">
        <v>1450</v>
      </c>
      <c r="L510" s="76" t="s">
        <v>0</v>
      </c>
      <c r="M510" s="57"/>
      <c r="N510" s="77">
        <v>2390</v>
      </c>
      <c r="O510" s="57">
        <f t="shared" si="23"/>
        <v>0</v>
      </c>
      <c r="P510" s="77">
        <v>11435</v>
      </c>
      <c r="Q510" s="73">
        <f t="shared" si="21"/>
        <v>0</v>
      </c>
      <c r="R510" s="57"/>
      <c r="S510" s="57"/>
      <c r="T510" s="57"/>
      <c r="U510" s="57"/>
      <c r="V510" s="73">
        <f t="shared" si="22"/>
        <v>0</v>
      </c>
      <c r="W510" s="106"/>
      <c r="X510" s="64"/>
    </row>
    <row r="511" spans="1:24" s="66" customFormat="1" ht="12" hidden="1" customHeight="1">
      <c r="A511" s="74" t="s">
        <v>313</v>
      </c>
      <c r="B511" s="74"/>
      <c r="C511" s="74"/>
      <c r="D511" s="74"/>
      <c r="E511" s="74"/>
      <c r="F511" s="74"/>
      <c r="G511" s="74"/>
      <c r="H511" s="74"/>
      <c r="I511" s="75" t="s">
        <v>1978</v>
      </c>
      <c r="J511" s="75" t="s">
        <v>761</v>
      </c>
      <c r="K511" s="74" t="s">
        <v>1449</v>
      </c>
      <c r="L511" s="76" t="s">
        <v>0</v>
      </c>
      <c r="M511" s="57"/>
      <c r="N511" s="77">
        <v>3190</v>
      </c>
      <c r="O511" s="57">
        <f t="shared" si="23"/>
        <v>0</v>
      </c>
      <c r="P511" s="77">
        <v>11435</v>
      </c>
      <c r="Q511" s="73">
        <f t="shared" si="21"/>
        <v>0</v>
      </c>
      <c r="R511" s="57"/>
      <c r="S511" s="57"/>
      <c r="T511" s="57"/>
      <c r="U511" s="57"/>
      <c r="V511" s="73">
        <f t="shared" si="22"/>
        <v>0</v>
      </c>
      <c r="W511" s="106"/>
      <c r="X511" s="64"/>
    </row>
    <row r="512" spans="1:24" s="66" customFormat="1" ht="12" hidden="1" customHeight="1">
      <c r="A512" s="74" t="s">
        <v>314</v>
      </c>
      <c r="B512" s="74"/>
      <c r="C512" s="74"/>
      <c r="D512" s="74"/>
      <c r="E512" s="74"/>
      <c r="F512" s="74"/>
      <c r="G512" s="74"/>
      <c r="H512" s="74"/>
      <c r="I512" s="75" t="s">
        <v>1978</v>
      </c>
      <c r="J512" s="75" t="s">
        <v>761</v>
      </c>
      <c r="K512" s="74" t="s">
        <v>1448</v>
      </c>
      <c r="L512" s="76" t="s">
        <v>0</v>
      </c>
      <c r="M512" s="57"/>
      <c r="N512" s="77">
        <v>4920</v>
      </c>
      <c r="O512" s="57">
        <f t="shared" si="23"/>
        <v>0</v>
      </c>
      <c r="P512" s="77">
        <v>11435</v>
      </c>
      <c r="Q512" s="73">
        <f t="shared" si="21"/>
        <v>0</v>
      </c>
      <c r="R512" s="57"/>
      <c r="S512" s="57"/>
      <c r="T512" s="57"/>
      <c r="U512" s="57"/>
      <c r="V512" s="73">
        <f t="shared" si="22"/>
        <v>0</v>
      </c>
      <c r="W512" s="106"/>
      <c r="X512" s="64"/>
    </row>
    <row r="513" spans="1:24" s="66" customFormat="1" ht="12" hidden="1" customHeight="1">
      <c r="A513" s="74" t="s">
        <v>315</v>
      </c>
      <c r="B513" s="74"/>
      <c r="C513" s="74"/>
      <c r="D513" s="74"/>
      <c r="E513" s="74"/>
      <c r="F513" s="74"/>
      <c r="G513" s="74"/>
      <c r="H513" s="74"/>
      <c r="I513" s="75" t="s">
        <v>1980</v>
      </c>
      <c r="J513" s="75" t="s">
        <v>761</v>
      </c>
      <c r="K513" s="74" t="s">
        <v>1447</v>
      </c>
      <c r="L513" s="76" t="s">
        <v>0</v>
      </c>
      <c r="M513" s="57"/>
      <c r="N513" s="77">
        <v>7740</v>
      </c>
      <c r="O513" s="57">
        <f t="shared" si="23"/>
        <v>0</v>
      </c>
      <c r="P513" s="77">
        <v>12524</v>
      </c>
      <c r="Q513" s="73">
        <f t="shared" si="21"/>
        <v>0</v>
      </c>
      <c r="R513" s="57"/>
      <c r="S513" s="57"/>
      <c r="T513" s="57"/>
      <c r="U513" s="57"/>
      <c r="V513" s="73">
        <f t="shared" si="22"/>
        <v>0</v>
      </c>
      <c r="W513" s="106"/>
      <c r="X513" s="64"/>
    </row>
    <row r="514" spans="1:24" s="66" customFormat="1" ht="12" hidden="1" customHeight="1">
      <c r="A514" s="74" t="s">
        <v>316</v>
      </c>
      <c r="B514" s="74"/>
      <c r="C514" s="74"/>
      <c r="D514" s="74"/>
      <c r="E514" s="74"/>
      <c r="F514" s="74"/>
      <c r="G514" s="74"/>
      <c r="H514" s="74"/>
      <c r="I514" s="75" t="s">
        <v>1981</v>
      </c>
      <c r="J514" s="75" t="s">
        <v>761</v>
      </c>
      <c r="K514" s="74" t="s">
        <v>1446</v>
      </c>
      <c r="L514" s="76" t="s">
        <v>0</v>
      </c>
      <c r="M514" s="57"/>
      <c r="N514" s="77">
        <v>11090</v>
      </c>
      <c r="O514" s="57">
        <f t="shared" si="23"/>
        <v>0</v>
      </c>
      <c r="P514" s="77">
        <v>14158</v>
      </c>
      <c r="Q514" s="73">
        <f t="shared" si="21"/>
        <v>0</v>
      </c>
      <c r="R514" s="57"/>
      <c r="S514" s="57"/>
      <c r="T514" s="57"/>
      <c r="U514" s="57"/>
      <c r="V514" s="73">
        <f t="shared" si="22"/>
        <v>0</v>
      </c>
      <c r="W514" s="106"/>
      <c r="X514" s="64"/>
    </row>
    <row r="515" spans="1:24" s="66" customFormat="1" ht="12" hidden="1" customHeight="1">
      <c r="A515" s="74" t="s">
        <v>317</v>
      </c>
      <c r="B515" s="74"/>
      <c r="C515" s="74"/>
      <c r="D515" s="74"/>
      <c r="E515" s="74"/>
      <c r="F515" s="74"/>
      <c r="G515" s="74"/>
      <c r="H515" s="74"/>
      <c r="I515" s="75" t="s">
        <v>1982</v>
      </c>
      <c r="J515" s="75" t="s">
        <v>761</v>
      </c>
      <c r="K515" s="74" t="s">
        <v>1445</v>
      </c>
      <c r="L515" s="76" t="s">
        <v>0</v>
      </c>
      <c r="M515" s="57"/>
      <c r="N515" s="77">
        <v>2930</v>
      </c>
      <c r="O515" s="57">
        <f t="shared" si="23"/>
        <v>0</v>
      </c>
      <c r="P515" s="77">
        <v>13069</v>
      </c>
      <c r="Q515" s="73">
        <f t="shared" si="21"/>
        <v>0</v>
      </c>
      <c r="R515" s="57"/>
      <c r="S515" s="57"/>
      <c r="T515" s="57"/>
      <c r="U515" s="57"/>
      <c r="V515" s="73">
        <f t="shared" si="22"/>
        <v>0</v>
      </c>
      <c r="W515" s="106"/>
      <c r="X515" s="64"/>
    </row>
    <row r="516" spans="1:24" s="66" customFormat="1" ht="12" hidden="1" customHeight="1">
      <c r="A516" s="74" t="s">
        <v>318</v>
      </c>
      <c r="B516" s="74"/>
      <c r="C516" s="74"/>
      <c r="D516" s="74"/>
      <c r="E516" s="74"/>
      <c r="F516" s="74"/>
      <c r="G516" s="74"/>
      <c r="H516" s="74"/>
      <c r="I516" s="75" t="s">
        <v>1982</v>
      </c>
      <c r="J516" s="75" t="s">
        <v>761</v>
      </c>
      <c r="K516" s="74" t="s">
        <v>1444</v>
      </c>
      <c r="L516" s="76" t="s">
        <v>0</v>
      </c>
      <c r="M516" s="57"/>
      <c r="N516" s="77">
        <v>3950</v>
      </c>
      <c r="O516" s="57">
        <f t="shared" si="23"/>
        <v>0</v>
      </c>
      <c r="P516" s="77">
        <v>13069</v>
      </c>
      <c r="Q516" s="73">
        <f t="shared" si="21"/>
        <v>0</v>
      </c>
      <c r="R516" s="57"/>
      <c r="S516" s="57"/>
      <c r="T516" s="57"/>
      <c r="U516" s="57"/>
      <c r="V516" s="73">
        <f t="shared" si="22"/>
        <v>0</v>
      </c>
      <c r="W516" s="106"/>
      <c r="X516" s="64"/>
    </row>
    <row r="517" spans="1:24" s="66" customFormat="1" ht="12" hidden="1" customHeight="1">
      <c r="A517" s="74" t="s">
        <v>319</v>
      </c>
      <c r="B517" s="74"/>
      <c r="C517" s="74"/>
      <c r="D517" s="74"/>
      <c r="E517" s="74"/>
      <c r="F517" s="74"/>
      <c r="G517" s="74"/>
      <c r="H517" s="74"/>
      <c r="I517" s="75" t="s">
        <v>1982</v>
      </c>
      <c r="J517" s="75" t="s">
        <v>761</v>
      </c>
      <c r="K517" s="74" t="s">
        <v>1443</v>
      </c>
      <c r="L517" s="76" t="s">
        <v>0</v>
      </c>
      <c r="M517" s="57"/>
      <c r="N517" s="77">
        <v>6110</v>
      </c>
      <c r="O517" s="57">
        <f t="shared" si="23"/>
        <v>0</v>
      </c>
      <c r="P517" s="77">
        <v>13069</v>
      </c>
      <c r="Q517" s="73">
        <f t="shared" si="21"/>
        <v>0</v>
      </c>
      <c r="R517" s="57"/>
      <c r="S517" s="57"/>
      <c r="T517" s="57"/>
      <c r="U517" s="57"/>
      <c r="V517" s="73">
        <f t="shared" si="22"/>
        <v>0</v>
      </c>
      <c r="W517" s="106"/>
      <c r="X517" s="64"/>
    </row>
    <row r="518" spans="1:24" s="66" customFormat="1" ht="12" hidden="1" customHeight="1">
      <c r="A518" s="74" t="s">
        <v>320</v>
      </c>
      <c r="B518" s="74"/>
      <c r="C518" s="74"/>
      <c r="D518" s="74"/>
      <c r="E518" s="74"/>
      <c r="F518" s="74"/>
      <c r="G518" s="74"/>
      <c r="H518" s="74"/>
      <c r="I518" s="75" t="s">
        <v>1983</v>
      </c>
      <c r="J518" s="75" t="s">
        <v>761</v>
      </c>
      <c r="K518" s="74" t="s">
        <v>1442</v>
      </c>
      <c r="L518" s="76" t="s">
        <v>0</v>
      </c>
      <c r="M518" s="57"/>
      <c r="N518" s="77">
        <v>9440</v>
      </c>
      <c r="O518" s="57">
        <f t="shared" si="23"/>
        <v>0</v>
      </c>
      <c r="P518" s="77">
        <v>14158</v>
      </c>
      <c r="Q518" s="73">
        <f t="shared" si="21"/>
        <v>0</v>
      </c>
      <c r="R518" s="57"/>
      <c r="S518" s="57"/>
      <c r="T518" s="57"/>
      <c r="U518" s="57"/>
      <c r="V518" s="73">
        <f t="shared" si="22"/>
        <v>0</v>
      </c>
      <c r="W518" s="106"/>
      <c r="X518" s="64"/>
    </row>
    <row r="519" spans="1:24" s="66" customFormat="1" ht="12" hidden="1" customHeight="1">
      <c r="A519" s="74" t="s">
        <v>321</v>
      </c>
      <c r="B519" s="74"/>
      <c r="C519" s="74"/>
      <c r="D519" s="74"/>
      <c r="E519" s="74"/>
      <c r="F519" s="74"/>
      <c r="G519" s="74"/>
      <c r="H519" s="74"/>
      <c r="I519" s="75" t="s">
        <v>1984</v>
      </c>
      <c r="J519" s="75" t="s">
        <v>761</v>
      </c>
      <c r="K519" s="74" t="s">
        <v>1441</v>
      </c>
      <c r="L519" s="76" t="s">
        <v>0</v>
      </c>
      <c r="M519" s="57"/>
      <c r="N519" s="77">
        <v>13790</v>
      </c>
      <c r="O519" s="57">
        <f t="shared" si="23"/>
        <v>0</v>
      </c>
      <c r="P519" s="77">
        <v>16064</v>
      </c>
      <c r="Q519" s="73">
        <f t="shared" si="21"/>
        <v>0</v>
      </c>
      <c r="R519" s="57"/>
      <c r="S519" s="57"/>
      <c r="T519" s="57"/>
      <c r="U519" s="57"/>
      <c r="V519" s="73">
        <f t="shared" si="22"/>
        <v>0</v>
      </c>
      <c r="W519" s="106"/>
      <c r="X519" s="64"/>
    </row>
    <row r="520" spans="1:24" s="66" customFormat="1" ht="12" hidden="1" customHeight="1">
      <c r="A520" s="74" t="s">
        <v>322</v>
      </c>
      <c r="B520" s="74"/>
      <c r="C520" s="74"/>
      <c r="D520" s="74"/>
      <c r="E520" s="74"/>
      <c r="F520" s="74"/>
      <c r="G520" s="74"/>
      <c r="H520" s="74"/>
      <c r="I520" s="75" t="s">
        <v>1985</v>
      </c>
      <c r="J520" s="75" t="s">
        <v>761</v>
      </c>
      <c r="K520" s="74" t="s">
        <v>1440</v>
      </c>
      <c r="L520" s="76" t="s">
        <v>0</v>
      </c>
      <c r="M520" s="57"/>
      <c r="N520" s="77">
        <v>3440</v>
      </c>
      <c r="O520" s="57">
        <f t="shared" si="23"/>
        <v>0</v>
      </c>
      <c r="P520" s="77">
        <v>14703</v>
      </c>
      <c r="Q520" s="73">
        <f t="shared" si="21"/>
        <v>0</v>
      </c>
      <c r="R520" s="57"/>
      <c r="S520" s="57"/>
      <c r="T520" s="57"/>
      <c r="U520" s="57"/>
      <c r="V520" s="73">
        <f t="shared" si="22"/>
        <v>0</v>
      </c>
      <c r="W520" s="106"/>
      <c r="X520" s="64"/>
    </row>
    <row r="521" spans="1:24" s="66" customFormat="1" ht="12" hidden="1" customHeight="1">
      <c r="A521" s="74" t="s">
        <v>323</v>
      </c>
      <c r="B521" s="74"/>
      <c r="C521" s="74"/>
      <c r="D521" s="74"/>
      <c r="E521" s="74"/>
      <c r="F521" s="74"/>
      <c r="G521" s="74"/>
      <c r="H521" s="74"/>
      <c r="I521" s="75" t="s">
        <v>1985</v>
      </c>
      <c r="J521" s="75" t="s">
        <v>761</v>
      </c>
      <c r="K521" s="74" t="s">
        <v>1439</v>
      </c>
      <c r="L521" s="76" t="s">
        <v>0</v>
      </c>
      <c r="M521" s="57"/>
      <c r="N521" s="77">
        <v>4630</v>
      </c>
      <c r="O521" s="57">
        <f t="shared" si="23"/>
        <v>0</v>
      </c>
      <c r="P521" s="77">
        <v>14703</v>
      </c>
      <c r="Q521" s="73">
        <f t="shared" si="21"/>
        <v>0</v>
      </c>
      <c r="R521" s="57"/>
      <c r="S521" s="57"/>
      <c r="T521" s="57"/>
      <c r="U521" s="57"/>
      <c r="V521" s="73">
        <f t="shared" si="22"/>
        <v>0</v>
      </c>
      <c r="W521" s="106"/>
      <c r="X521" s="64"/>
    </row>
    <row r="522" spans="1:24" s="66" customFormat="1" ht="12" hidden="1" customHeight="1">
      <c r="A522" s="74" t="s">
        <v>324</v>
      </c>
      <c r="B522" s="74"/>
      <c r="C522" s="74"/>
      <c r="D522" s="74"/>
      <c r="E522" s="74"/>
      <c r="F522" s="74"/>
      <c r="G522" s="74"/>
      <c r="H522" s="74"/>
      <c r="I522" s="75" t="s">
        <v>1985</v>
      </c>
      <c r="J522" s="75" t="s">
        <v>761</v>
      </c>
      <c r="K522" s="74" t="s">
        <v>1438</v>
      </c>
      <c r="L522" s="76" t="s">
        <v>0</v>
      </c>
      <c r="M522" s="57"/>
      <c r="N522" s="77">
        <v>7240</v>
      </c>
      <c r="O522" s="57">
        <f t="shared" si="23"/>
        <v>0</v>
      </c>
      <c r="P522" s="77">
        <v>14703</v>
      </c>
      <c r="Q522" s="73">
        <f t="shared" si="21"/>
        <v>0</v>
      </c>
      <c r="R522" s="57"/>
      <c r="S522" s="57"/>
      <c r="T522" s="57"/>
      <c r="U522" s="57"/>
      <c r="V522" s="73">
        <f t="shared" si="22"/>
        <v>0</v>
      </c>
      <c r="W522" s="106"/>
      <c r="X522" s="64"/>
    </row>
    <row r="523" spans="1:24" s="66" customFormat="1" ht="12" hidden="1" customHeight="1">
      <c r="A523" s="74" t="s">
        <v>325</v>
      </c>
      <c r="B523" s="74"/>
      <c r="C523" s="74"/>
      <c r="D523" s="74"/>
      <c r="E523" s="74"/>
      <c r="F523" s="74"/>
      <c r="G523" s="74"/>
      <c r="H523" s="74"/>
      <c r="I523" s="75" t="s">
        <v>1987</v>
      </c>
      <c r="J523" s="75" t="s">
        <v>761</v>
      </c>
      <c r="K523" s="74" t="s">
        <v>1437</v>
      </c>
      <c r="L523" s="76" t="s">
        <v>0</v>
      </c>
      <c r="M523" s="57"/>
      <c r="N523" s="77">
        <v>11240</v>
      </c>
      <c r="O523" s="57">
        <f t="shared" si="23"/>
        <v>0</v>
      </c>
      <c r="P523" s="77">
        <v>15792</v>
      </c>
      <c r="Q523" s="73">
        <f t="shared" ref="Q523:Q586" si="24">IF(W523="",M523*P523*$Q$3*$W$3,M523*P523*$Q$3*W523)</f>
        <v>0</v>
      </c>
      <c r="R523" s="57"/>
      <c r="S523" s="57"/>
      <c r="T523" s="57"/>
      <c r="U523" s="57"/>
      <c r="V523" s="73">
        <f t="shared" ref="V523:V586" si="25">SUM(O523+Q523)+S523+U523</f>
        <v>0</v>
      </c>
      <c r="W523" s="106"/>
      <c r="X523" s="64"/>
    </row>
    <row r="524" spans="1:24" s="66" customFormat="1" ht="12" hidden="1" customHeight="1">
      <c r="A524" s="74" t="s">
        <v>326</v>
      </c>
      <c r="B524" s="74"/>
      <c r="C524" s="74"/>
      <c r="D524" s="74"/>
      <c r="E524" s="74"/>
      <c r="F524" s="74"/>
      <c r="G524" s="74"/>
      <c r="H524" s="74"/>
      <c r="I524" s="75" t="s">
        <v>1989</v>
      </c>
      <c r="J524" s="75" t="s">
        <v>761</v>
      </c>
      <c r="K524" s="74" t="s">
        <v>1436</v>
      </c>
      <c r="L524" s="76" t="s">
        <v>0</v>
      </c>
      <c r="M524" s="57"/>
      <c r="N524" s="77">
        <v>4190</v>
      </c>
      <c r="O524" s="57">
        <f t="shared" si="23"/>
        <v>0</v>
      </c>
      <c r="P524" s="77">
        <v>16881</v>
      </c>
      <c r="Q524" s="73">
        <f t="shared" si="24"/>
        <v>0</v>
      </c>
      <c r="R524" s="57"/>
      <c r="S524" s="57"/>
      <c r="T524" s="57"/>
      <c r="U524" s="57"/>
      <c r="V524" s="73">
        <f t="shared" si="25"/>
        <v>0</v>
      </c>
      <c r="W524" s="106"/>
      <c r="X524" s="64"/>
    </row>
    <row r="525" spans="1:24" s="66" customFormat="1" ht="12" hidden="1" customHeight="1">
      <c r="A525" s="74" t="s">
        <v>327</v>
      </c>
      <c r="B525" s="74"/>
      <c r="C525" s="74"/>
      <c r="D525" s="74"/>
      <c r="E525" s="74"/>
      <c r="F525" s="74"/>
      <c r="G525" s="74"/>
      <c r="H525" s="74"/>
      <c r="I525" s="75" t="s">
        <v>1989</v>
      </c>
      <c r="J525" s="75" t="s">
        <v>761</v>
      </c>
      <c r="K525" s="74" t="s">
        <v>1435</v>
      </c>
      <c r="L525" s="76" t="s">
        <v>0</v>
      </c>
      <c r="M525" s="57"/>
      <c r="N525" s="77">
        <v>5670</v>
      </c>
      <c r="O525" s="57">
        <f t="shared" si="23"/>
        <v>0</v>
      </c>
      <c r="P525" s="77">
        <v>16881</v>
      </c>
      <c r="Q525" s="73">
        <f t="shared" si="24"/>
        <v>0</v>
      </c>
      <c r="R525" s="57"/>
      <c r="S525" s="57"/>
      <c r="T525" s="57"/>
      <c r="U525" s="57"/>
      <c r="V525" s="73">
        <f t="shared" si="25"/>
        <v>0</v>
      </c>
      <c r="W525" s="106"/>
      <c r="X525" s="64"/>
    </row>
    <row r="526" spans="1:24" s="66" customFormat="1" ht="12" hidden="1" customHeight="1">
      <c r="A526" s="74" t="s">
        <v>328</v>
      </c>
      <c r="B526" s="74"/>
      <c r="C526" s="74"/>
      <c r="D526" s="74"/>
      <c r="E526" s="74"/>
      <c r="F526" s="74"/>
      <c r="G526" s="74"/>
      <c r="H526" s="74"/>
      <c r="I526" s="75" t="s">
        <v>1989</v>
      </c>
      <c r="J526" s="75" t="s">
        <v>761</v>
      </c>
      <c r="K526" s="74" t="s">
        <v>1434</v>
      </c>
      <c r="L526" s="76" t="s">
        <v>0</v>
      </c>
      <c r="M526" s="57"/>
      <c r="N526" s="77">
        <v>8890</v>
      </c>
      <c r="O526" s="57">
        <f t="shared" si="23"/>
        <v>0</v>
      </c>
      <c r="P526" s="77">
        <v>16881</v>
      </c>
      <c r="Q526" s="73">
        <f t="shared" si="24"/>
        <v>0</v>
      </c>
      <c r="R526" s="57"/>
      <c r="S526" s="57"/>
      <c r="T526" s="57"/>
      <c r="U526" s="57"/>
      <c r="V526" s="73">
        <f t="shared" si="25"/>
        <v>0</v>
      </c>
      <c r="W526" s="106"/>
      <c r="X526" s="64"/>
    </row>
    <row r="527" spans="1:24" s="66" customFormat="1" ht="12" hidden="1" customHeight="1">
      <c r="A527" s="74" t="s">
        <v>329</v>
      </c>
      <c r="B527" s="74"/>
      <c r="C527" s="74"/>
      <c r="D527" s="74"/>
      <c r="E527" s="74"/>
      <c r="F527" s="74"/>
      <c r="G527" s="74"/>
      <c r="H527" s="74"/>
      <c r="I527" s="75" t="s">
        <v>1991</v>
      </c>
      <c r="J527" s="75" t="s">
        <v>761</v>
      </c>
      <c r="K527" s="74" t="s">
        <v>1433</v>
      </c>
      <c r="L527" s="76" t="s">
        <v>0</v>
      </c>
      <c r="M527" s="57"/>
      <c r="N527" s="77">
        <v>13890</v>
      </c>
      <c r="O527" s="57">
        <f t="shared" si="23"/>
        <v>0</v>
      </c>
      <c r="P527" s="77">
        <v>18242</v>
      </c>
      <c r="Q527" s="73">
        <f t="shared" si="24"/>
        <v>0</v>
      </c>
      <c r="R527" s="57"/>
      <c r="S527" s="57"/>
      <c r="T527" s="57"/>
      <c r="U527" s="57"/>
      <c r="V527" s="73">
        <f t="shared" si="25"/>
        <v>0</v>
      </c>
      <c r="W527" s="106"/>
      <c r="X527" s="64"/>
    </row>
    <row r="528" spans="1:24" s="66" customFormat="1" ht="12" hidden="1" customHeight="1">
      <c r="A528" s="74" t="s">
        <v>330</v>
      </c>
      <c r="B528" s="74"/>
      <c r="C528" s="74"/>
      <c r="D528" s="74"/>
      <c r="E528" s="74"/>
      <c r="F528" s="74"/>
      <c r="G528" s="74"/>
      <c r="H528" s="74"/>
      <c r="I528" s="75" t="s">
        <v>1995</v>
      </c>
      <c r="J528" s="75" t="s">
        <v>761</v>
      </c>
      <c r="K528" s="74" t="s">
        <v>1432</v>
      </c>
      <c r="L528" s="76" t="s">
        <v>0</v>
      </c>
      <c r="M528" s="57"/>
      <c r="N528" s="77">
        <v>6690</v>
      </c>
      <c r="O528" s="57">
        <f t="shared" si="23"/>
        <v>0</v>
      </c>
      <c r="P528" s="77">
        <v>26683</v>
      </c>
      <c r="Q528" s="73">
        <f t="shared" si="24"/>
        <v>0</v>
      </c>
      <c r="R528" s="57"/>
      <c r="S528" s="57"/>
      <c r="T528" s="57"/>
      <c r="U528" s="57"/>
      <c r="V528" s="73">
        <f t="shared" si="25"/>
        <v>0</v>
      </c>
      <c r="W528" s="106"/>
      <c r="X528" s="64"/>
    </row>
    <row r="529" spans="1:24" s="66" customFormat="1" ht="12" hidden="1" customHeight="1">
      <c r="A529" s="74" t="s">
        <v>331</v>
      </c>
      <c r="B529" s="74"/>
      <c r="C529" s="74"/>
      <c r="D529" s="74"/>
      <c r="E529" s="74"/>
      <c r="F529" s="74"/>
      <c r="G529" s="74"/>
      <c r="H529" s="74"/>
      <c r="I529" s="75" t="s">
        <v>1995</v>
      </c>
      <c r="J529" s="75" t="s">
        <v>761</v>
      </c>
      <c r="K529" s="74" t="s">
        <v>1431</v>
      </c>
      <c r="L529" s="76" t="s">
        <v>0</v>
      </c>
      <c r="M529" s="57"/>
      <c r="N529" s="77">
        <v>9160</v>
      </c>
      <c r="O529" s="57">
        <f t="shared" si="23"/>
        <v>0</v>
      </c>
      <c r="P529" s="77">
        <v>26683</v>
      </c>
      <c r="Q529" s="73">
        <f t="shared" si="24"/>
        <v>0</v>
      </c>
      <c r="R529" s="57"/>
      <c r="S529" s="57"/>
      <c r="T529" s="57"/>
      <c r="U529" s="57"/>
      <c r="V529" s="73">
        <f t="shared" si="25"/>
        <v>0</v>
      </c>
      <c r="W529" s="106"/>
      <c r="X529" s="64"/>
    </row>
    <row r="530" spans="1:24" s="66" customFormat="1" ht="12" hidden="1" customHeight="1">
      <c r="A530" s="74" t="s">
        <v>332</v>
      </c>
      <c r="B530" s="74"/>
      <c r="C530" s="74"/>
      <c r="D530" s="74"/>
      <c r="E530" s="74"/>
      <c r="F530" s="74"/>
      <c r="G530" s="74"/>
      <c r="H530" s="74"/>
      <c r="I530" s="75" t="s">
        <v>1995</v>
      </c>
      <c r="J530" s="75" t="s">
        <v>761</v>
      </c>
      <c r="K530" s="74" t="s">
        <v>1430</v>
      </c>
      <c r="L530" s="76" t="s">
        <v>0</v>
      </c>
      <c r="M530" s="57"/>
      <c r="N530" s="77">
        <v>14480</v>
      </c>
      <c r="O530" s="57">
        <f t="shared" si="23"/>
        <v>0</v>
      </c>
      <c r="P530" s="77">
        <v>26683</v>
      </c>
      <c r="Q530" s="73">
        <f t="shared" si="24"/>
        <v>0</v>
      </c>
      <c r="R530" s="57"/>
      <c r="S530" s="57"/>
      <c r="T530" s="57"/>
      <c r="U530" s="57"/>
      <c r="V530" s="73">
        <f t="shared" si="25"/>
        <v>0</v>
      </c>
      <c r="W530" s="106"/>
      <c r="X530" s="64"/>
    </row>
    <row r="531" spans="1:24" s="66" customFormat="1" ht="12" hidden="1" customHeight="1">
      <c r="A531" s="74" t="s">
        <v>333</v>
      </c>
      <c r="B531" s="74"/>
      <c r="C531" s="74"/>
      <c r="D531" s="74"/>
      <c r="E531" s="74"/>
      <c r="F531" s="74"/>
      <c r="G531" s="74"/>
      <c r="H531" s="74"/>
      <c r="I531" s="75" t="s">
        <v>1995</v>
      </c>
      <c r="J531" s="75" t="s">
        <v>761</v>
      </c>
      <c r="K531" s="74" t="s">
        <v>1429</v>
      </c>
      <c r="L531" s="76" t="s">
        <v>0</v>
      </c>
      <c r="M531" s="57"/>
      <c r="N531" s="77">
        <v>7900</v>
      </c>
      <c r="O531" s="57">
        <f t="shared" si="23"/>
        <v>0</v>
      </c>
      <c r="P531" s="77">
        <v>26683</v>
      </c>
      <c r="Q531" s="73">
        <f t="shared" si="24"/>
        <v>0</v>
      </c>
      <c r="R531" s="57"/>
      <c r="S531" s="57"/>
      <c r="T531" s="57"/>
      <c r="U531" s="57"/>
      <c r="V531" s="73">
        <f t="shared" si="25"/>
        <v>0</v>
      </c>
      <c r="W531" s="106"/>
      <c r="X531" s="64"/>
    </row>
    <row r="532" spans="1:24" s="66" customFormat="1" ht="12" hidden="1" customHeight="1">
      <c r="A532" s="74" t="s">
        <v>334</v>
      </c>
      <c r="B532" s="74"/>
      <c r="C532" s="74"/>
      <c r="D532" s="74"/>
      <c r="E532" s="74"/>
      <c r="F532" s="74"/>
      <c r="G532" s="74"/>
      <c r="H532" s="74"/>
      <c r="I532" s="75" t="s">
        <v>1995</v>
      </c>
      <c r="J532" s="75" t="s">
        <v>761</v>
      </c>
      <c r="K532" s="74" t="s">
        <v>1428</v>
      </c>
      <c r="L532" s="76" t="s">
        <v>0</v>
      </c>
      <c r="M532" s="57"/>
      <c r="N532" s="77">
        <v>10850</v>
      </c>
      <c r="O532" s="57">
        <f t="shared" si="23"/>
        <v>0</v>
      </c>
      <c r="P532" s="77">
        <v>26683</v>
      </c>
      <c r="Q532" s="73">
        <f t="shared" si="24"/>
        <v>0</v>
      </c>
      <c r="R532" s="57"/>
      <c r="S532" s="57"/>
      <c r="T532" s="57"/>
      <c r="U532" s="57"/>
      <c r="V532" s="73">
        <f t="shared" si="25"/>
        <v>0</v>
      </c>
      <c r="W532" s="106"/>
      <c r="X532" s="64"/>
    </row>
    <row r="533" spans="1:24" s="66" customFormat="1" ht="12" hidden="1" customHeight="1">
      <c r="A533" s="74" t="s">
        <v>335</v>
      </c>
      <c r="B533" s="74"/>
      <c r="C533" s="74"/>
      <c r="D533" s="74"/>
      <c r="E533" s="74"/>
      <c r="F533" s="74"/>
      <c r="G533" s="74"/>
      <c r="H533" s="74"/>
      <c r="I533" s="75" t="s">
        <v>1995</v>
      </c>
      <c r="J533" s="75" t="s">
        <v>761</v>
      </c>
      <c r="K533" s="74" t="s">
        <v>1427</v>
      </c>
      <c r="L533" s="76" t="s">
        <v>0</v>
      </c>
      <c r="M533" s="57"/>
      <c r="N533" s="77">
        <v>17230</v>
      </c>
      <c r="O533" s="57">
        <f t="shared" si="23"/>
        <v>0</v>
      </c>
      <c r="P533" s="77">
        <v>26683</v>
      </c>
      <c r="Q533" s="73">
        <f t="shared" si="24"/>
        <v>0</v>
      </c>
      <c r="R533" s="57"/>
      <c r="S533" s="57"/>
      <c r="T533" s="57"/>
      <c r="U533" s="57"/>
      <c r="V533" s="73">
        <f t="shared" si="25"/>
        <v>0</v>
      </c>
      <c r="W533" s="106"/>
      <c r="X533" s="64"/>
    </row>
    <row r="534" spans="1:24" s="66" customFormat="1" ht="12" hidden="1" customHeight="1">
      <c r="A534" s="74" t="s">
        <v>336</v>
      </c>
      <c r="B534" s="74"/>
      <c r="C534" s="74"/>
      <c r="D534" s="74"/>
      <c r="E534" s="74"/>
      <c r="F534" s="74"/>
      <c r="G534" s="74"/>
      <c r="H534" s="74"/>
      <c r="I534" s="75" t="s">
        <v>2020</v>
      </c>
      <c r="J534" s="75" t="s">
        <v>1382</v>
      </c>
      <c r="K534" s="74" t="s">
        <v>1426</v>
      </c>
      <c r="L534" s="76" t="s">
        <v>0</v>
      </c>
      <c r="M534" s="57"/>
      <c r="N534" s="77">
        <v>720</v>
      </c>
      <c r="O534" s="57">
        <f t="shared" si="23"/>
        <v>0</v>
      </c>
      <c r="P534" s="77">
        <v>2722</v>
      </c>
      <c r="Q534" s="73">
        <f t="shared" si="24"/>
        <v>0</v>
      </c>
      <c r="R534" s="57"/>
      <c r="S534" s="57"/>
      <c r="T534" s="57"/>
      <c r="U534" s="57"/>
      <c r="V534" s="73">
        <f t="shared" si="25"/>
        <v>0</v>
      </c>
      <c r="W534" s="106"/>
      <c r="X534" s="64"/>
    </row>
    <row r="535" spans="1:24" s="66" customFormat="1" ht="12" hidden="1" customHeight="1">
      <c r="A535" s="74" t="s">
        <v>337</v>
      </c>
      <c r="B535" s="74"/>
      <c r="C535" s="74"/>
      <c r="D535" s="74"/>
      <c r="E535" s="74"/>
      <c r="F535" s="74"/>
      <c r="G535" s="74"/>
      <c r="H535" s="74"/>
      <c r="I535" s="75" t="s">
        <v>2020</v>
      </c>
      <c r="J535" s="75" t="s">
        <v>1382</v>
      </c>
      <c r="K535" s="74" t="s">
        <v>1425</v>
      </c>
      <c r="L535" s="76" t="s">
        <v>0</v>
      </c>
      <c r="M535" s="57"/>
      <c r="N535" s="77">
        <v>566</v>
      </c>
      <c r="O535" s="57">
        <f t="shared" si="23"/>
        <v>0</v>
      </c>
      <c r="P535" s="77">
        <v>2722</v>
      </c>
      <c r="Q535" s="73">
        <f t="shared" si="24"/>
        <v>0</v>
      </c>
      <c r="R535" s="57"/>
      <c r="S535" s="57"/>
      <c r="T535" s="57"/>
      <c r="U535" s="57"/>
      <c r="V535" s="73">
        <f t="shared" si="25"/>
        <v>0</v>
      </c>
      <c r="W535" s="106"/>
      <c r="X535" s="64"/>
    </row>
    <row r="536" spans="1:24" s="66" customFormat="1" ht="12" hidden="1" customHeight="1">
      <c r="A536" s="74" t="s">
        <v>338</v>
      </c>
      <c r="B536" s="74"/>
      <c r="C536" s="74"/>
      <c r="D536" s="74"/>
      <c r="E536" s="74"/>
      <c r="F536" s="74"/>
      <c r="G536" s="74"/>
      <c r="H536" s="74"/>
      <c r="I536" s="75" t="s">
        <v>2021</v>
      </c>
      <c r="J536" s="75" t="s">
        <v>1382</v>
      </c>
      <c r="K536" s="74" t="s">
        <v>1424</v>
      </c>
      <c r="L536" s="76" t="s">
        <v>0</v>
      </c>
      <c r="M536" s="57"/>
      <c r="N536" s="77">
        <v>800</v>
      </c>
      <c r="O536" s="57">
        <f t="shared" si="23"/>
        <v>0</v>
      </c>
      <c r="P536" s="77">
        <v>2995</v>
      </c>
      <c r="Q536" s="73">
        <f t="shared" si="24"/>
        <v>0</v>
      </c>
      <c r="R536" s="57"/>
      <c r="S536" s="57"/>
      <c r="T536" s="57"/>
      <c r="U536" s="57"/>
      <c r="V536" s="73">
        <f t="shared" si="25"/>
        <v>0</v>
      </c>
      <c r="W536" s="106"/>
      <c r="X536" s="64"/>
    </row>
    <row r="537" spans="1:24" s="66" customFormat="1" ht="12" hidden="1" customHeight="1">
      <c r="A537" s="74" t="s">
        <v>339</v>
      </c>
      <c r="B537" s="74"/>
      <c r="C537" s="74"/>
      <c r="D537" s="74"/>
      <c r="E537" s="74"/>
      <c r="F537" s="74"/>
      <c r="G537" s="74"/>
      <c r="H537" s="74"/>
      <c r="I537" s="75" t="s">
        <v>2022</v>
      </c>
      <c r="J537" s="75" t="s">
        <v>1382</v>
      </c>
      <c r="K537" s="74" t="s">
        <v>1423</v>
      </c>
      <c r="L537" s="76" t="s">
        <v>0</v>
      </c>
      <c r="M537" s="57"/>
      <c r="N537" s="77">
        <v>1172</v>
      </c>
      <c r="O537" s="57">
        <f t="shared" si="23"/>
        <v>0</v>
      </c>
      <c r="P537" s="77">
        <v>3539</v>
      </c>
      <c r="Q537" s="73">
        <f t="shared" si="24"/>
        <v>0</v>
      </c>
      <c r="R537" s="57"/>
      <c r="S537" s="57"/>
      <c r="T537" s="57"/>
      <c r="U537" s="57"/>
      <c r="V537" s="73">
        <f t="shared" si="25"/>
        <v>0</v>
      </c>
      <c r="W537" s="106"/>
      <c r="X537" s="64"/>
    </row>
    <row r="538" spans="1:24" s="66" customFormat="1" ht="12" hidden="1" customHeight="1">
      <c r="A538" s="74" t="s">
        <v>340</v>
      </c>
      <c r="B538" s="74"/>
      <c r="C538" s="74"/>
      <c r="D538" s="74"/>
      <c r="E538" s="74"/>
      <c r="F538" s="74"/>
      <c r="G538" s="74"/>
      <c r="H538" s="74"/>
      <c r="I538" s="75" t="s">
        <v>2023</v>
      </c>
      <c r="J538" s="75" t="s">
        <v>1382</v>
      </c>
      <c r="K538" s="74" t="s">
        <v>1422</v>
      </c>
      <c r="L538" s="76" t="s">
        <v>0</v>
      </c>
      <c r="M538" s="57"/>
      <c r="N538" s="77">
        <v>1820</v>
      </c>
      <c r="O538" s="57">
        <f t="shared" si="23"/>
        <v>0</v>
      </c>
      <c r="P538" s="77">
        <v>4901</v>
      </c>
      <c r="Q538" s="73">
        <f t="shared" si="24"/>
        <v>0</v>
      </c>
      <c r="R538" s="57"/>
      <c r="S538" s="57"/>
      <c r="T538" s="57"/>
      <c r="U538" s="57"/>
      <c r="V538" s="73">
        <f t="shared" si="25"/>
        <v>0</v>
      </c>
      <c r="W538" s="106"/>
      <c r="X538" s="64"/>
    </row>
    <row r="539" spans="1:24" s="66" customFormat="1" ht="12" hidden="1" customHeight="1">
      <c r="A539" s="74" t="s">
        <v>341</v>
      </c>
      <c r="B539" s="74"/>
      <c r="C539" s="74"/>
      <c r="D539" s="74"/>
      <c r="E539" s="74"/>
      <c r="F539" s="74"/>
      <c r="G539" s="74"/>
      <c r="H539" s="74"/>
      <c r="I539" s="75" t="s">
        <v>2013</v>
      </c>
      <c r="J539" s="75" t="s">
        <v>1382</v>
      </c>
      <c r="K539" s="74" t="s">
        <v>1421</v>
      </c>
      <c r="L539" s="76" t="s">
        <v>0</v>
      </c>
      <c r="M539" s="57"/>
      <c r="N539" s="77">
        <v>2897</v>
      </c>
      <c r="O539" s="57">
        <f t="shared" si="23"/>
        <v>0</v>
      </c>
      <c r="P539" s="77">
        <v>6262</v>
      </c>
      <c r="Q539" s="73">
        <f t="shared" si="24"/>
        <v>0</v>
      </c>
      <c r="R539" s="57"/>
      <c r="S539" s="57"/>
      <c r="T539" s="57"/>
      <c r="U539" s="57"/>
      <c r="V539" s="73">
        <f t="shared" si="25"/>
        <v>0</v>
      </c>
      <c r="W539" s="106"/>
      <c r="X539" s="64"/>
    </row>
    <row r="540" spans="1:24" s="66" customFormat="1" ht="12" hidden="1" customHeight="1">
      <c r="A540" s="74" t="s">
        <v>342</v>
      </c>
      <c r="B540" s="74"/>
      <c r="C540" s="74"/>
      <c r="D540" s="74"/>
      <c r="E540" s="74"/>
      <c r="F540" s="74"/>
      <c r="G540" s="74"/>
      <c r="H540" s="74"/>
      <c r="I540" s="75" t="s">
        <v>2014</v>
      </c>
      <c r="J540" s="75" t="s">
        <v>1382</v>
      </c>
      <c r="K540" s="74" t="s">
        <v>1656</v>
      </c>
      <c r="L540" s="76" t="s">
        <v>0</v>
      </c>
      <c r="M540" s="57"/>
      <c r="N540" s="77">
        <v>4375</v>
      </c>
      <c r="O540" s="57">
        <f t="shared" si="23"/>
        <v>0</v>
      </c>
      <c r="P540" s="77">
        <v>8168</v>
      </c>
      <c r="Q540" s="73">
        <f t="shared" si="24"/>
        <v>0</v>
      </c>
      <c r="R540" s="57"/>
      <c r="S540" s="57"/>
      <c r="T540" s="57"/>
      <c r="U540" s="57"/>
      <c r="V540" s="73">
        <f t="shared" si="25"/>
        <v>0</v>
      </c>
      <c r="W540" s="106"/>
      <c r="X540" s="64"/>
    </row>
    <row r="541" spans="1:24" s="66" customFormat="1" ht="12" hidden="1" customHeight="1">
      <c r="A541" s="74" t="s">
        <v>343</v>
      </c>
      <c r="B541" s="74"/>
      <c r="C541" s="74"/>
      <c r="D541" s="74"/>
      <c r="E541" s="74"/>
      <c r="F541" s="74"/>
      <c r="G541" s="74"/>
      <c r="H541" s="74"/>
      <c r="I541" s="75" t="s">
        <v>2015</v>
      </c>
      <c r="J541" s="75" t="s">
        <v>1382</v>
      </c>
      <c r="K541" s="74" t="s">
        <v>1657</v>
      </c>
      <c r="L541" s="76" t="s">
        <v>0</v>
      </c>
      <c r="M541" s="57"/>
      <c r="N541" s="77">
        <v>5971</v>
      </c>
      <c r="O541" s="57">
        <f t="shared" si="23"/>
        <v>0</v>
      </c>
      <c r="P541" s="77">
        <v>9802</v>
      </c>
      <c r="Q541" s="73">
        <f t="shared" si="24"/>
        <v>0</v>
      </c>
      <c r="R541" s="57"/>
      <c r="S541" s="57"/>
      <c r="T541" s="57"/>
      <c r="U541" s="57"/>
      <c r="V541" s="73">
        <f t="shared" si="25"/>
        <v>0</v>
      </c>
      <c r="W541" s="106"/>
      <c r="X541" s="64"/>
    </row>
    <row r="542" spans="1:24" s="66" customFormat="1" ht="12" hidden="1" customHeight="1">
      <c r="A542" s="74" t="s">
        <v>344</v>
      </c>
      <c r="B542" s="74"/>
      <c r="C542" s="74"/>
      <c r="D542" s="74"/>
      <c r="E542" s="74"/>
      <c r="F542" s="74"/>
      <c r="G542" s="74"/>
      <c r="H542" s="74"/>
      <c r="I542" s="75" t="s">
        <v>2024</v>
      </c>
      <c r="J542" s="75" t="s">
        <v>1382</v>
      </c>
      <c r="K542" s="74" t="s">
        <v>1658</v>
      </c>
      <c r="L542" s="76" t="s">
        <v>0</v>
      </c>
      <c r="M542" s="57"/>
      <c r="N542" s="77">
        <v>7981</v>
      </c>
      <c r="O542" s="57">
        <f t="shared" si="23"/>
        <v>0</v>
      </c>
      <c r="P542" s="77">
        <v>11708</v>
      </c>
      <c r="Q542" s="73">
        <f t="shared" si="24"/>
        <v>0</v>
      </c>
      <c r="R542" s="57"/>
      <c r="S542" s="57"/>
      <c r="T542" s="57"/>
      <c r="U542" s="57"/>
      <c r="V542" s="73">
        <f t="shared" si="25"/>
        <v>0</v>
      </c>
      <c r="W542" s="106"/>
      <c r="X542" s="64"/>
    </row>
    <row r="543" spans="1:24" s="66" customFormat="1" ht="12" hidden="1" customHeight="1">
      <c r="A543" s="74" t="s">
        <v>345</v>
      </c>
      <c r="B543" s="74"/>
      <c r="C543" s="74"/>
      <c r="D543" s="74"/>
      <c r="E543" s="74"/>
      <c r="F543" s="74"/>
      <c r="G543" s="74"/>
      <c r="H543" s="74"/>
      <c r="I543" s="75" t="s">
        <v>2025</v>
      </c>
      <c r="J543" s="75" t="s">
        <v>1382</v>
      </c>
      <c r="K543" s="74" t="s">
        <v>1659</v>
      </c>
      <c r="L543" s="76" t="s">
        <v>0</v>
      </c>
      <c r="M543" s="57"/>
      <c r="N543" s="77">
        <v>11130</v>
      </c>
      <c r="O543" s="57">
        <f t="shared" si="23"/>
        <v>0</v>
      </c>
      <c r="P543" s="77">
        <v>15520</v>
      </c>
      <c r="Q543" s="73">
        <f t="shared" si="24"/>
        <v>0</v>
      </c>
      <c r="R543" s="57"/>
      <c r="S543" s="57"/>
      <c r="T543" s="57"/>
      <c r="U543" s="57"/>
      <c r="V543" s="73">
        <f t="shared" si="25"/>
        <v>0</v>
      </c>
      <c r="W543" s="106"/>
      <c r="X543" s="64"/>
    </row>
    <row r="544" spans="1:24" s="66" customFormat="1" ht="12" hidden="1" customHeight="1">
      <c r="A544" s="74" t="s">
        <v>346</v>
      </c>
      <c r="B544" s="74"/>
      <c r="C544" s="74"/>
      <c r="D544" s="74"/>
      <c r="E544" s="74"/>
      <c r="F544" s="74"/>
      <c r="G544" s="74"/>
      <c r="H544" s="74"/>
      <c r="I544" s="75" t="s">
        <v>2026</v>
      </c>
      <c r="J544" s="75" t="s">
        <v>1382</v>
      </c>
      <c r="K544" s="74" t="s">
        <v>1660</v>
      </c>
      <c r="L544" s="76" t="s">
        <v>0</v>
      </c>
      <c r="M544" s="57"/>
      <c r="N544" s="77">
        <v>15396</v>
      </c>
      <c r="O544" s="57">
        <f t="shared" si="23"/>
        <v>0</v>
      </c>
      <c r="P544" s="77">
        <v>19332</v>
      </c>
      <c r="Q544" s="73">
        <f t="shared" si="24"/>
        <v>0</v>
      </c>
      <c r="R544" s="57"/>
      <c r="S544" s="57"/>
      <c r="T544" s="57"/>
      <c r="U544" s="57"/>
      <c r="V544" s="73">
        <f t="shared" si="25"/>
        <v>0</v>
      </c>
      <c r="W544" s="106"/>
      <c r="X544" s="64"/>
    </row>
    <row r="545" spans="1:24" s="66" customFormat="1" ht="12" hidden="1" customHeight="1">
      <c r="A545" s="74" t="s">
        <v>347</v>
      </c>
      <c r="B545" s="74"/>
      <c r="C545" s="74"/>
      <c r="D545" s="74"/>
      <c r="E545" s="74"/>
      <c r="F545" s="74"/>
      <c r="G545" s="74"/>
      <c r="H545" s="74"/>
      <c r="I545" s="75" t="s">
        <v>2027</v>
      </c>
      <c r="J545" s="75" t="s">
        <v>1382</v>
      </c>
      <c r="K545" s="74" t="s">
        <v>1661</v>
      </c>
      <c r="L545" s="76" t="s">
        <v>0</v>
      </c>
      <c r="M545" s="57"/>
      <c r="N545" s="77">
        <v>19057</v>
      </c>
      <c r="O545" s="57">
        <f t="shared" si="23"/>
        <v>0</v>
      </c>
      <c r="P545" s="77">
        <v>22871</v>
      </c>
      <c r="Q545" s="73">
        <f t="shared" si="24"/>
        <v>0</v>
      </c>
      <c r="R545" s="57"/>
      <c r="S545" s="57"/>
      <c r="T545" s="57"/>
      <c r="U545" s="57"/>
      <c r="V545" s="73">
        <f t="shared" si="25"/>
        <v>0</v>
      </c>
      <c r="W545" s="106"/>
      <c r="X545" s="64"/>
    </row>
    <row r="546" spans="1:24" s="66" customFormat="1" ht="12" hidden="1" customHeight="1">
      <c r="A546" s="74" t="s">
        <v>348</v>
      </c>
      <c r="B546" s="74"/>
      <c r="C546" s="74"/>
      <c r="D546" s="74"/>
      <c r="E546" s="74"/>
      <c r="F546" s="74"/>
      <c r="G546" s="74"/>
      <c r="H546" s="74"/>
      <c r="I546" s="75" t="s">
        <v>2028</v>
      </c>
      <c r="J546" s="75" t="s">
        <v>1382</v>
      </c>
      <c r="K546" s="74" t="s">
        <v>1662</v>
      </c>
      <c r="L546" s="76" t="s">
        <v>0</v>
      </c>
      <c r="M546" s="57"/>
      <c r="N546" s="77">
        <v>23486</v>
      </c>
      <c r="O546" s="57">
        <f t="shared" si="23"/>
        <v>0</v>
      </c>
      <c r="P546" s="77">
        <v>26411</v>
      </c>
      <c r="Q546" s="73">
        <f t="shared" si="24"/>
        <v>0</v>
      </c>
      <c r="R546" s="57"/>
      <c r="S546" s="57"/>
      <c r="T546" s="57"/>
      <c r="U546" s="57"/>
      <c r="V546" s="73">
        <f t="shared" si="25"/>
        <v>0</v>
      </c>
      <c r="W546" s="106"/>
      <c r="X546" s="64"/>
    </row>
    <row r="547" spans="1:24" s="66" customFormat="1" ht="12" hidden="1" customHeight="1">
      <c r="A547" s="74" t="s">
        <v>349</v>
      </c>
      <c r="B547" s="74"/>
      <c r="C547" s="74"/>
      <c r="D547" s="74"/>
      <c r="E547" s="74"/>
      <c r="F547" s="74"/>
      <c r="G547" s="74"/>
      <c r="H547" s="74"/>
      <c r="I547" s="75" t="s">
        <v>2029</v>
      </c>
      <c r="J547" s="75" t="s">
        <v>1382</v>
      </c>
      <c r="K547" s="74" t="s">
        <v>1663</v>
      </c>
      <c r="L547" s="76" t="s">
        <v>0</v>
      </c>
      <c r="M547" s="57"/>
      <c r="N547" s="77">
        <v>29060</v>
      </c>
      <c r="O547" s="57">
        <f t="shared" si="23"/>
        <v>0</v>
      </c>
      <c r="P547" s="77">
        <v>29406</v>
      </c>
      <c r="Q547" s="73">
        <f t="shared" si="24"/>
        <v>0</v>
      </c>
      <c r="R547" s="57"/>
      <c r="S547" s="57"/>
      <c r="T547" s="57"/>
      <c r="U547" s="57"/>
      <c r="V547" s="73">
        <f t="shared" si="25"/>
        <v>0</v>
      </c>
      <c r="W547" s="106"/>
      <c r="X547" s="64"/>
    </row>
    <row r="548" spans="1:24" s="66" customFormat="1" ht="12" hidden="1" customHeight="1">
      <c r="A548" s="74" t="s">
        <v>350</v>
      </c>
      <c r="B548" s="74"/>
      <c r="C548" s="74"/>
      <c r="D548" s="74"/>
      <c r="E548" s="74"/>
      <c r="F548" s="74"/>
      <c r="G548" s="74"/>
      <c r="H548" s="74"/>
      <c r="I548" s="75" t="s">
        <v>2030</v>
      </c>
      <c r="J548" s="75" t="s">
        <v>1382</v>
      </c>
      <c r="K548" s="74" t="s">
        <v>1664</v>
      </c>
      <c r="L548" s="76" t="s">
        <v>0</v>
      </c>
      <c r="M548" s="57"/>
      <c r="N548" s="77">
        <v>37450</v>
      </c>
      <c r="O548" s="57">
        <f t="shared" si="23"/>
        <v>0</v>
      </c>
      <c r="P548" s="77">
        <v>37030</v>
      </c>
      <c r="Q548" s="73">
        <f t="shared" si="24"/>
        <v>0</v>
      </c>
      <c r="R548" s="57"/>
      <c r="S548" s="57"/>
      <c r="T548" s="57"/>
      <c r="U548" s="57"/>
      <c r="V548" s="73">
        <f t="shared" si="25"/>
        <v>0</v>
      </c>
      <c r="W548" s="106"/>
      <c r="X548" s="64"/>
    </row>
    <row r="549" spans="1:24" s="66" customFormat="1" ht="12" hidden="1" customHeight="1">
      <c r="A549" s="74" t="s">
        <v>351</v>
      </c>
      <c r="B549" s="74"/>
      <c r="C549" s="74"/>
      <c r="D549" s="74"/>
      <c r="E549" s="74"/>
      <c r="F549" s="74"/>
      <c r="G549" s="74"/>
      <c r="H549" s="74"/>
      <c r="I549" s="75" t="s">
        <v>2031</v>
      </c>
      <c r="J549" s="75" t="s">
        <v>1382</v>
      </c>
      <c r="K549" s="74" t="s">
        <v>1665</v>
      </c>
      <c r="L549" s="76" t="s">
        <v>0</v>
      </c>
      <c r="M549" s="57"/>
      <c r="N549" s="77">
        <v>47680</v>
      </c>
      <c r="O549" s="57">
        <f t="shared" si="23"/>
        <v>0</v>
      </c>
      <c r="P549" s="77">
        <v>43292</v>
      </c>
      <c r="Q549" s="73">
        <f t="shared" si="24"/>
        <v>0</v>
      </c>
      <c r="R549" s="57"/>
      <c r="S549" s="57"/>
      <c r="T549" s="57"/>
      <c r="U549" s="57"/>
      <c r="V549" s="73">
        <f t="shared" si="25"/>
        <v>0</v>
      </c>
      <c r="W549" s="106"/>
      <c r="X549" s="64"/>
    </row>
    <row r="550" spans="1:24" s="66" customFormat="1" ht="12" hidden="1" customHeight="1">
      <c r="A550" s="74" t="s">
        <v>352</v>
      </c>
      <c r="B550" s="74"/>
      <c r="C550" s="74"/>
      <c r="D550" s="74"/>
      <c r="E550" s="74"/>
      <c r="F550" s="74"/>
      <c r="G550" s="74"/>
      <c r="H550" s="74"/>
      <c r="I550" s="75" t="s">
        <v>2032</v>
      </c>
      <c r="J550" s="75" t="s">
        <v>1382</v>
      </c>
      <c r="K550" s="74" t="s">
        <v>1666</v>
      </c>
      <c r="L550" s="76" t="s">
        <v>0</v>
      </c>
      <c r="M550" s="57"/>
      <c r="N550" s="77">
        <v>66553</v>
      </c>
      <c r="O550" s="57">
        <f t="shared" si="23"/>
        <v>0</v>
      </c>
      <c r="P550" s="77">
        <v>55817</v>
      </c>
      <c r="Q550" s="73">
        <f t="shared" si="24"/>
        <v>0</v>
      </c>
      <c r="R550" s="57"/>
      <c r="S550" s="57"/>
      <c r="T550" s="57"/>
      <c r="U550" s="57"/>
      <c r="V550" s="73">
        <f t="shared" si="25"/>
        <v>0</v>
      </c>
      <c r="W550" s="106"/>
      <c r="X550" s="64"/>
    </row>
    <row r="551" spans="1:24" s="66" customFormat="1" ht="12" hidden="1" customHeight="1">
      <c r="A551" s="74" t="s">
        <v>353</v>
      </c>
      <c r="B551" s="74"/>
      <c r="C551" s="74"/>
      <c r="D551" s="74"/>
      <c r="E551" s="74"/>
      <c r="F551" s="74"/>
      <c r="G551" s="74"/>
      <c r="H551" s="74"/>
      <c r="I551" s="75" t="s">
        <v>2033</v>
      </c>
      <c r="J551" s="75" t="s">
        <v>1382</v>
      </c>
      <c r="K551" s="74" t="s">
        <v>1667</v>
      </c>
      <c r="L551" s="76" t="s">
        <v>0</v>
      </c>
      <c r="M551" s="57"/>
      <c r="N551" s="77">
        <v>82419</v>
      </c>
      <c r="O551" s="57">
        <f t="shared" si="23"/>
        <v>0</v>
      </c>
      <c r="P551" s="77">
        <v>65347</v>
      </c>
      <c r="Q551" s="73">
        <f t="shared" si="24"/>
        <v>0</v>
      </c>
      <c r="R551" s="57"/>
      <c r="S551" s="57"/>
      <c r="T551" s="57"/>
      <c r="U551" s="57"/>
      <c r="V551" s="73">
        <f t="shared" si="25"/>
        <v>0</v>
      </c>
      <c r="W551" s="106"/>
      <c r="X551" s="64"/>
    </row>
    <row r="552" spans="1:24" s="66" customFormat="1" ht="12" hidden="1" customHeight="1">
      <c r="A552" s="74" t="s">
        <v>354</v>
      </c>
      <c r="B552" s="74"/>
      <c r="C552" s="74"/>
      <c r="D552" s="74"/>
      <c r="E552" s="74"/>
      <c r="F552" s="74"/>
      <c r="G552" s="74"/>
      <c r="H552" s="74"/>
      <c r="I552" s="75" t="s">
        <v>2034</v>
      </c>
      <c r="J552" s="75" t="s">
        <v>1382</v>
      </c>
      <c r="K552" s="74" t="s">
        <v>1668</v>
      </c>
      <c r="L552" s="76" t="s">
        <v>0</v>
      </c>
      <c r="M552" s="57"/>
      <c r="N552" s="77">
        <v>105077</v>
      </c>
      <c r="O552" s="57">
        <f t="shared" si="23"/>
        <v>0</v>
      </c>
      <c r="P552" s="77">
        <v>77600</v>
      </c>
      <c r="Q552" s="73">
        <f t="shared" si="24"/>
        <v>0</v>
      </c>
      <c r="R552" s="57"/>
      <c r="S552" s="57"/>
      <c r="T552" s="57"/>
      <c r="U552" s="57"/>
      <c r="V552" s="73">
        <f t="shared" si="25"/>
        <v>0</v>
      </c>
      <c r="W552" s="106"/>
      <c r="X552" s="64"/>
    </row>
    <row r="553" spans="1:24" s="66" customFormat="1" ht="12" hidden="1" customHeight="1">
      <c r="A553" s="74" t="s">
        <v>355</v>
      </c>
      <c r="B553" s="74"/>
      <c r="C553" s="74"/>
      <c r="D553" s="74"/>
      <c r="E553" s="74"/>
      <c r="F553" s="74"/>
      <c r="G553" s="74"/>
      <c r="H553" s="74"/>
      <c r="I553" s="75" t="s">
        <v>1957</v>
      </c>
      <c r="J553" s="75" t="s">
        <v>1382</v>
      </c>
      <c r="K553" s="74" t="s">
        <v>1420</v>
      </c>
      <c r="L553" s="76" t="s">
        <v>0</v>
      </c>
      <c r="M553" s="57"/>
      <c r="N553" s="77">
        <v>1048</v>
      </c>
      <c r="O553" s="57">
        <f t="shared" si="23"/>
        <v>0</v>
      </c>
      <c r="P553" s="77">
        <v>3811</v>
      </c>
      <c r="Q553" s="73">
        <f t="shared" si="24"/>
        <v>0</v>
      </c>
      <c r="R553" s="57"/>
      <c r="S553" s="57"/>
      <c r="T553" s="57"/>
      <c r="U553" s="57"/>
      <c r="V553" s="73">
        <f t="shared" si="25"/>
        <v>0</v>
      </c>
      <c r="W553" s="106"/>
      <c r="X553" s="64"/>
    </row>
    <row r="554" spans="1:24" s="66" customFormat="1" ht="12" hidden="1" customHeight="1">
      <c r="A554" s="74" t="s">
        <v>356</v>
      </c>
      <c r="B554" s="74"/>
      <c r="C554" s="74"/>
      <c r="D554" s="74"/>
      <c r="E554" s="74"/>
      <c r="F554" s="74"/>
      <c r="G554" s="74"/>
      <c r="H554" s="74"/>
      <c r="I554" s="75" t="s">
        <v>1957</v>
      </c>
      <c r="J554" s="75" t="s">
        <v>1382</v>
      </c>
      <c r="K554" s="74" t="s">
        <v>1419</v>
      </c>
      <c r="L554" s="76" t="s">
        <v>0</v>
      </c>
      <c r="M554" s="57"/>
      <c r="N554" s="77">
        <v>1379</v>
      </c>
      <c r="O554" s="57">
        <f t="shared" si="23"/>
        <v>0</v>
      </c>
      <c r="P554" s="77">
        <v>3811</v>
      </c>
      <c r="Q554" s="73">
        <f t="shared" si="24"/>
        <v>0</v>
      </c>
      <c r="R554" s="57"/>
      <c r="S554" s="57"/>
      <c r="T554" s="57"/>
      <c r="U554" s="57"/>
      <c r="V554" s="73">
        <f t="shared" si="25"/>
        <v>0</v>
      </c>
      <c r="W554" s="106"/>
      <c r="X554" s="64"/>
    </row>
    <row r="555" spans="1:24" s="66" customFormat="1" ht="12" hidden="1" customHeight="1">
      <c r="A555" s="74" t="s">
        <v>357</v>
      </c>
      <c r="B555" s="74"/>
      <c r="C555" s="74"/>
      <c r="D555" s="74"/>
      <c r="E555" s="74"/>
      <c r="F555" s="74"/>
      <c r="G555" s="74"/>
      <c r="H555" s="74"/>
      <c r="I555" s="75" t="s">
        <v>1958</v>
      </c>
      <c r="J555" s="75" t="s">
        <v>1382</v>
      </c>
      <c r="K555" s="74" t="s">
        <v>1418</v>
      </c>
      <c r="L555" s="76" t="s">
        <v>0</v>
      </c>
      <c r="M555" s="57"/>
      <c r="N555" s="77">
        <v>1916</v>
      </c>
      <c r="O555" s="57">
        <f t="shared" si="23"/>
        <v>0</v>
      </c>
      <c r="P555" s="77">
        <v>4356</v>
      </c>
      <c r="Q555" s="73">
        <f t="shared" si="24"/>
        <v>0</v>
      </c>
      <c r="R555" s="57"/>
      <c r="S555" s="57"/>
      <c r="T555" s="57"/>
      <c r="U555" s="57"/>
      <c r="V555" s="73">
        <f t="shared" si="25"/>
        <v>0</v>
      </c>
      <c r="W555" s="106"/>
      <c r="X555" s="64"/>
    </row>
    <row r="556" spans="1:24" s="66" customFormat="1" ht="12" hidden="1" customHeight="1">
      <c r="A556" s="74" t="s">
        <v>358</v>
      </c>
      <c r="B556" s="74"/>
      <c r="C556" s="74"/>
      <c r="D556" s="74"/>
      <c r="E556" s="74"/>
      <c r="F556" s="74"/>
      <c r="G556" s="74"/>
      <c r="H556" s="74"/>
      <c r="I556" s="75" t="s">
        <v>1959</v>
      </c>
      <c r="J556" s="75" t="s">
        <v>1382</v>
      </c>
      <c r="K556" s="74" t="s">
        <v>1417</v>
      </c>
      <c r="L556" s="76" t="s">
        <v>0</v>
      </c>
      <c r="M556" s="57"/>
      <c r="N556" s="77">
        <v>2591</v>
      </c>
      <c r="O556" s="57">
        <f t="shared" si="23"/>
        <v>0</v>
      </c>
      <c r="P556" s="77">
        <v>4901</v>
      </c>
      <c r="Q556" s="73">
        <f t="shared" si="24"/>
        <v>0</v>
      </c>
      <c r="R556" s="57"/>
      <c r="S556" s="57"/>
      <c r="T556" s="57"/>
      <c r="U556" s="57"/>
      <c r="V556" s="73">
        <f t="shared" si="25"/>
        <v>0</v>
      </c>
      <c r="W556" s="106"/>
      <c r="X556" s="64"/>
    </row>
    <row r="557" spans="1:24" s="66" customFormat="1" ht="12" hidden="1" customHeight="1">
      <c r="A557" s="74" t="s">
        <v>359</v>
      </c>
      <c r="B557" s="74"/>
      <c r="C557" s="74"/>
      <c r="D557" s="74"/>
      <c r="E557" s="74"/>
      <c r="F557" s="74"/>
      <c r="G557" s="74"/>
      <c r="H557" s="74"/>
      <c r="I557" s="75" t="s">
        <v>2012</v>
      </c>
      <c r="J557" s="75" t="s">
        <v>1382</v>
      </c>
      <c r="K557" s="74" t="s">
        <v>1416</v>
      </c>
      <c r="L557" s="76" t="s">
        <v>0</v>
      </c>
      <c r="M557" s="57"/>
      <c r="N557" s="77">
        <v>3942</v>
      </c>
      <c r="O557" s="57">
        <f t="shared" si="23"/>
        <v>0</v>
      </c>
      <c r="P557" s="77">
        <v>6807</v>
      </c>
      <c r="Q557" s="73">
        <f t="shared" si="24"/>
        <v>0</v>
      </c>
      <c r="R557" s="57"/>
      <c r="S557" s="57"/>
      <c r="T557" s="57"/>
      <c r="U557" s="57"/>
      <c r="V557" s="73">
        <f t="shared" si="25"/>
        <v>0</v>
      </c>
      <c r="W557" s="106"/>
      <c r="X557" s="64"/>
    </row>
    <row r="558" spans="1:24" s="66" customFormat="1" ht="12" hidden="1" customHeight="1">
      <c r="A558" s="74" t="s">
        <v>360</v>
      </c>
      <c r="B558" s="74"/>
      <c r="C558" s="74"/>
      <c r="D558" s="74"/>
      <c r="E558" s="74"/>
      <c r="F558" s="74"/>
      <c r="G558" s="74"/>
      <c r="H558" s="74"/>
      <c r="I558" s="75" t="s">
        <v>2013</v>
      </c>
      <c r="J558" s="75" t="s">
        <v>1382</v>
      </c>
      <c r="K558" s="74" t="s">
        <v>1415</v>
      </c>
      <c r="L558" s="76" t="s">
        <v>0</v>
      </c>
      <c r="M558" s="57"/>
      <c r="N558" s="77">
        <v>6163</v>
      </c>
      <c r="O558" s="57">
        <f t="shared" si="23"/>
        <v>0</v>
      </c>
      <c r="P558" s="77">
        <v>6262</v>
      </c>
      <c r="Q558" s="73">
        <f t="shared" si="24"/>
        <v>0</v>
      </c>
      <c r="R558" s="57"/>
      <c r="S558" s="57"/>
      <c r="T558" s="57"/>
      <c r="U558" s="57"/>
      <c r="V558" s="73">
        <f t="shared" si="25"/>
        <v>0</v>
      </c>
      <c r="W558" s="106"/>
      <c r="X558" s="64"/>
    </row>
    <row r="559" spans="1:24" s="66" customFormat="1" ht="12" hidden="1" customHeight="1">
      <c r="A559" s="74" t="s">
        <v>361</v>
      </c>
      <c r="B559" s="74"/>
      <c r="C559" s="74"/>
      <c r="D559" s="74"/>
      <c r="E559" s="74"/>
      <c r="F559" s="74"/>
      <c r="G559" s="74"/>
      <c r="H559" s="74"/>
      <c r="I559" s="75" t="s">
        <v>2014</v>
      </c>
      <c r="J559" s="75" t="s">
        <v>1382</v>
      </c>
      <c r="K559" s="74" t="s">
        <v>1414</v>
      </c>
      <c r="L559" s="76" t="s">
        <v>0</v>
      </c>
      <c r="M559" s="57"/>
      <c r="N559" s="77">
        <v>9430</v>
      </c>
      <c r="O559" s="57">
        <f t="shared" si="23"/>
        <v>0</v>
      </c>
      <c r="P559" s="77">
        <v>8168</v>
      </c>
      <c r="Q559" s="73">
        <f t="shared" si="24"/>
        <v>0</v>
      </c>
      <c r="R559" s="57"/>
      <c r="S559" s="57"/>
      <c r="T559" s="57"/>
      <c r="U559" s="57"/>
      <c r="V559" s="73">
        <f t="shared" si="25"/>
        <v>0</v>
      </c>
      <c r="W559" s="106"/>
      <c r="X559" s="64"/>
    </row>
    <row r="560" spans="1:24" s="66" customFormat="1" ht="12" hidden="1" customHeight="1">
      <c r="A560" s="74" t="s">
        <v>362</v>
      </c>
      <c r="B560" s="74"/>
      <c r="C560" s="74"/>
      <c r="D560" s="74"/>
      <c r="E560" s="74"/>
      <c r="F560" s="74"/>
      <c r="G560" s="74"/>
      <c r="H560" s="74"/>
      <c r="I560" s="75" t="s">
        <v>2015</v>
      </c>
      <c r="J560" s="75" t="s">
        <v>1382</v>
      </c>
      <c r="K560" s="74" t="s">
        <v>1413</v>
      </c>
      <c r="L560" s="76" t="s">
        <v>0</v>
      </c>
      <c r="M560" s="57"/>
      <c r="N560" s="77">
        <v>12519</v>
      </c>
      <c r="O560" s="57">
        <f t="shared" si="23"/>
        <v>0</v>
      </c>
      <c r="P560" s="77">
        <v>9802</v>
      </c>
      <c r="Q560" s="73">
        <f t="shared" si="24"/>
        <v>0</v>
      </c>
      <c r="R560" s="57"/>
      <c r="S560" s="57"/>
      <c r="T560" s="57"/>
      <c r="U560" s="57"/>
      <c r="V560" s="73">
        <f t="shared" si="25"/>
        <v>0</v>
      </c>
      <c r="W560" s="106"/>
      <c r="X560" s="64"/>
    </row>
    <row r="561" spans="1:24" s="66" customFormat="1" ht="12" hidden="1" customHeight="1">
      <c r="A561" s="74" t="s">
        <v>363</v>
      </c>
      <c r="B561" s="74"/>
      <c r="C561" s="74"/>
      <c r="D561" s="74"/>
      <c r="E561" s="74"/>
      <c r="F561" s="74"/>
      <c r="G561" s="74"/>
      <c r="H561" s="74"/>
      <c r="I561" s="75" t="s">
        <v>2024</v>
      </c>
      <c r="J561" s="75" t="s">
        <v>1382</v>
      </c>
      <c r="K561" s="74" t="s">
        <v>1412</v>
      </c>
      <c r="L561" s="76" t="s">
        <v>0</v>
      </c>
      <c r="M561" s="57"/>
      <c r="N561" s="77">
        <v>17278</v>
      </c>
      <c r="O561" s="57">
        <f t="shared" si="23"/>
        <v>0</v>
      </c>
      <c r="P561" s="77">
        <v>11708</v>
      </c>
      <c r="Q561" s="73">
        <f t="shared" si="24"/>
        <v>0</v>
      </c>
      <c r="R561" s="57"/>
      <c r="S561" s="57"/>
      <c r="T561" s="57"/>
      <c r="U561" s="57"/>
      <c r="V561" s="73">
        <f t="shared" si="25"/>
        <v>0</v>
      </c>
      <c r="W561" s="106"/>
      <c r="X561" s="64"/>
    </row>
    <row r="562" spans="1:24" s="66" customFormat="1" ht="12" hidden="1" customHeight="1">
      <c r="A562" s="74" t="s">
        <v>364</v>
      </c>
      <c r="B562" s="74"/>
      <c r="C562" s="74"/>
      <c r="D562" s="74"/>
      <c r="E562" s="74"/>
      <c r="F562" s="74"/>
      <c r="G562" s="74"/>
      <c r="H562" s="74"/>
      <c r="I562" s="75" t="s">
        <v>2025</v>
      </c>
      <c r="J562" s="75" t="s">
        <v>1382</v>
      </c>
      <c r="K562" s="74" t="s">
        <v>1411</v>
      </c>
      <c r="L562" s="76" t="s">
        <v>0</v>
      </c>
      <c r="M562" s="57"/>
      <c r="N562" s="77">
        <v>23900</v>
      </c>
      <c r="O562" s="57">
        <f t="shared" si="23"/>
        <v>0</v>
      </c>
      <c r="P562" s="77">
        <v>15520</v>
      </c>
      <c r="Q562" s="73">
        <f t="shared" si="24"/>
        <v>0</v>
      </c>
      <c r="R562" s="57"/>
      <c r="S562" s="57"/>
      <c r="T562" s="57"/>
      <c r="U562" s="57"/>
      <c r="V562" s="73">
        <f t="shared" si="25"/>
        <v>0</v>
      </c>
      <c r="W562" s="106"/>
      <c r="X562" s="64"/>
    </row>
    <row r="563" spans="1:24" s="66" customFormat="1" ht="12" hidden="1" customHeight="1">
      <c r="A563" s="74" t="s">
        <v>365</v>
      </c>
      <c r="B563" s="74"/>
      <c r="C563" s="74"/>
      <c r="D563" s="74"/>
      <c r="E563" s="74"/>
      <c r="F563" s="74"/>
      <c r="G563" s="74"/>
      <c r="H563" s="74"/>
      <c r="I563" s="75" t="s">
        <v>2026</v>
      </c>
      <c r="J563" s="75" t="s">
        <v>1382</v>
      </c>
      <c r="K563" s="74" t="s">
        <v>1410</v>
      </c>
      <c r="L563" s="76" t="s">
        <v>0</v>
      </c>
      <c r="M563" s="57"/>
      <c r="N563" s="77">
        <v>33383</v>
      </c>
      <c r="O563" s="57">
        <f t="shared" si="23"/>
        <v>0</v>
      </c>
      <c r="P563" s="77">
        <v>19332</v>
      </c>
      <c r="Q563" s="73">
        <f t="shared" si="24"/>
        <v>0</v>
      </c>
      <c r="R563" s="57"/>
      <c r="S563" s="57"/>
      <c r="T563" s="57"/>
      <c r="U563" s="57"/>
      <c r="V563" s="73">
        <f t="shared" si="25"/>
        <v>0</v>
      </c>
      <c r="W563" s="106"/>
      <c r="X563" s="64"/>
    </row>
    <row r="564" spans="1:24" s="66" customFormat="1" ht="12" hidden="1" customHeight="1">
      <c r="A564" s="74" t="s">
        <v>366</v>
      </c>
      <c r="B564" s="74"/>
      <c r="C564" s="74"/>
      <c r="D564" s="74"/>
      <c r="E564" s="74"/>
      <c r="F564" s="74"/>
      <c r="G564" s="74"/>
      <c r="H564" s="74"/>
      <c r="I564" s="75" t="s">
        <v>2027</v>
      </c>
      <c r="J564" s="75" t="s">
        <v>1382</v>
      </c>
      <c r="K564" s="74" t="s">
        <v>1409</v>
      </c>
      <c r="L564" s="76" t="s">
        <v>0</v>
      </c>
      <c r="M564" s="57"/>
      <c r="N564" s="77">
        <v>41338</v>
      </c>
      <c r="O564" s="57">
        <f t="shared" si="23"/>
        <v>0</v>
      </c>
      <c r="P564" s="77">
        <v>22871</v>
      </c>
      <c r="Q564" s="73">
        <f t="shared" si="24"/>
        <v>0</v>
      </c>
      <c r="R564" s="57"/>
      <c r="S564" s="57"/>
      <c r="T564" s="57"/>
      <c r="U564" s="57"/>
      <c r="V564" s="73">
        <f t="shared" si="25"/>
        <v>0</v>
      </c>
      <c r="W564" s="106"/>
      <c r="X564" s="64"/>
    </row>
    <row r="565" spans="1:24" s="66" customFormat="1" ht="12" hidden="1" customHeight="1">
      <c r="A565" s="74" t="s">
        <v>367</v>
      </c>
      <c r="B565" s="74"/>
      <c r="C565" s="74"/>
      <c r="D565" s="74"/>
      <c r="E565" s="74"/>
      <c r="F565" s="74"/>
      <c r="G565" s="74"/>
      <c r="H565" s="74"/>
      <c r="I565" s="75" t="s">
        <v>2028</v>
      </c>
      <c r="J565" s="75" t="s">
        <v>1382</v>
      </c>
      <c r="K565" s="74" t="s">
        <v>1408</v>
      </c>
      <c r="L565" s="76" t="s">
        <v>0</v>
      </c>
      <c r="M565" s="57"/>
      <c r="N565" s="77">
        <v>50768</v>
      </c>
      <c r="O565" s="57">
        <f t="shared" si="23"/>
        <v>0</v>
      </c>
      <c r="P565" s="77">
        <v>26411</v>
      </c>
      <c r="Q565" s="73">
        <f t="shared" si="24"/>
        <v>0</v>
      </c>
      <c r="R565" s="57"/>
      <c r="S565" s="57"/>
      <c r="T565" s="57"/>
      <c r="U565" s="57"/>
      <c r="V565" s="73">
        <f t="shared" si="25"/>
        <v>0</v>
      </c>
      <c r="W565" s="106"/>
      <c r="X565" s="64"/>
    </row>
    <row r="566" spans="1:24" s="66" customFormat="1" ht="12" hidden="1" customHeight="1">
      <c r="A566" s="74" t="s">
        <v>368</v>
      </c>
      <c r="B566" s="74"/>
      <c r="C566" s="74"/>
      <c r="D566" s="74"/>
      <c r="E566" s="74"/>
      <c r="F566" s="74"/>
      <c r="G566" s="74"/>
      <c r="H566" s="74"/>
      <c r="I566" s="75" t="s">
        <v>2029</v>
      </c>
      <c r="J566" s="75" t="s">
        <v>1382</v>
      </c>
      <c r="K566" s="74" t="s">
        <v>1407</v>
      </c>
      <c r="L566" s="76" t="s">
        <v>0</v>
      </c>
      <c r="M566" s="57"/>
      <c r="N566" s="77">
        <v>62970</v>
      </c>
      <c r="O566" s="57">
        <f t="shared" si="23"/>
        <v>0</v>
      </c>
      <c r="P566" s="77">
        <v>29406</v>
      </c>
      <c r="Q566" s="73">
        <f t="shared" si="24"/>
        <v>0</v>
      </c>
      <c r="R566" s="57"/>
      <c r="S566" s="57"/>
      <c r="T566" s="57"/>
      <c r="U566" s="57"/>
      <c r="V566" s="73">
        <f t="shared" si="25"/>
        <v>0</v>
      </c>
      <c r="W566" s="106"/>
      <c r="X566" s="64"/>
    </row>
    <row r="567" spans="1:24" s="66" customFormat="1" ht="12" hidden="1" customHeight="1">
      <c r="A567" s="74" t="s">
        <v>369</v>
      </c>
      <c r="B567" s="74"/>
      <c r="C567" s="74"/>
      <c r="D567" s="74"/>
      <c r="E567" s="74"/>
      <c r="F567" s="74"/>
      <c r="G567" s="74"/>
      <c r="H567" s="74"/>
      <c r="I567" s="75" t="s">
        <v>2030</v>
      </c>
      <c r="J567" s="75" t="s">
        <v>1382</v>
      </c>
      <c r="K567" s="74" t="s">
        <v>1406</v>
      </c>
      <c r="L567" s="76" t="s">
        <v>0</v>
      </c>
      <c r="M567" s="57"/>
      <c r="N567" s="77">
        <v>81109</v>
      </c>
      <c r="O567" s="57">
        <f t="shared" ref="O567:O630" si="26">M567*N567*$O$3</f>
        <v>0</v>
      </c>
      <c r="P567" s="77">
        <v>37030</v>
      </c>
      <c r="Q567" s="73">
        <f t="shared" si="24"/>
        <v>0</v>
      </c>
      <c r="R567" s="57"/>
      <c r="S567" s="57"/>
      <c r="T567" s="57"/>
      <c r="U567" s="57"/>
      <c r="V567" s="73">
        <f t="shared" si="25"/>
        <v>0</v>
      </c>
      <c r="W567" s="106"/>
      <c r="X567" s="64"/>
    </row>
    <row r="568" spans="1:24" s="66" customFormat="1" ht="12" hidden="1" customHeight="1">
      <c r="A568" s="74" t="s">
        <v>370</v>
      </c>
      <c r="B568" s="74"/>
      <c r="C568" s="74"/>
      <c r="D568" s="74"/>
      <c r="E568" s="74"/>
      <c r="F568" s="74"/>
      <c r="G568" s="74"/>
      <c r="H568" s="74"/>
      <c r="I568" s="75" t="s">
        <v>2031</v>
      </c>
      <c r="J568" s="75" t="s">
        <v>1382</v>
      </c>
      <c r="K568" s="74" t="s">
        <v>1405</v>
      </c>
      <c r="L568" s="76" t="s">
        <v>0</v>
      </c>
      <c r="M568" s="57"/>
      <c r="N568" s="77">
        <v>102405</v>
      </c>
      <c r="O568" s="57">
        <f t="shared" si="26"/>
        <v>0</v>
      </c>
      <c r="P568" s="77">
        <v>43292</v>
      </c>
      <c r="Q568" s="73">
        <f t="shared" si="24"/>
        <v>0</v>
      </c>
      <c r="R568" s="57"/>
      <c r="S568" s="57"/>
      <c r="T568" s="57"/>
      <c r="U568" s="57"/>
      <c r="V568" s="73">
        <f t="shared" si="25"/>
        <v>0</v>
      </c>
      <c r="W568" s="106"/>
      <c r="X568" s="64"/>
    </row>
    <row r="569" spans="1:24" s="66" customFormat="1" ht="12" hidden="1" customHeight="1">
      <c r="A569" s="74" t="s">
        <v>371</v>
      </c>
      <c r="B569" s="74"/>
      <c r="C569" s="74"/>
      <c r="D569" s="74"/>
      <c r="E569" s="74"/>
      <c r="F569" s="74"/>
      <c r="G569" s="74"/>
      <c r="H569" s="74"/>
      <c r="I569" s="75" t="s">
        <v>1960</v>
      </c>
      <c r="J569" s="75" t="s">
        <v>1382</v>
      </c>
      <c r="K569" s="74" t="s">
        <v>1404</v>
      </c>
      <c r="L569" s="76" t="s">
        <v>0</v>
      </c>
      <c r="M569" s="57"/>
      <c r="N569" s="77">
        <v>2300</v>
      </c>
      <c r="O569" s="57">
        <f t="shared" si="26"/>
        <v>0</v>
      </c>
      <c r="P569" s="77">
        <v>5173</v>
      </c>
      <c r="Q569" s="73">
        <f t="shared" si="24"/>
        <v>0</v>
      </c>
      <c r="R569" s="57"/>
      <c r="S569" s="57"/>
      <c r="T569" s="57"/>
      <c r="U569" s="57"/>
      <c r="V569" s="73">
        <f t="shared" si="25"/>
        <v>0</v>
      </c>
      <c r="W569" s="106"/>
      <c r="X569" s="64"/>
    </row>
    <row r="570" spans="1:24" s="66" customFormat="1" ht="12" hidden="1" customHeight="1">
      <c r="A570" s="74" t="s">
        <v>372</v>
      </c>
      <c r="B570" s="74"/>
      <c r="C570" s="74"/>
      <c r="D570" s="74"/>
      <c r="E570" s="74"/>
      <c r="F570" s="74"/>
      <c r="G570" s="74"/>
      <c r="H570" s="74"/>
      <c r="I570" s="75" t="s">
        <v>1960</v>
      </c>
      <c r="J570" s="75" t="s">
        <v>1382</v>
      </c>
      <c r="K570" s="74" t="s">
        <v>1403</v>
      </c>
      <c r="L570" s="76" t="s">
        <v>0</v>
      </c>
      <c r="M570" s="57"/>
      <c r="N570" s="77">
        <v>1793</v>
      </c>
      <c r="O570" s="57">
        <f t="shared" si="26"/>
        <v>0</v>
      </c>
      <c r="P570" s="77">
        <v>5173</v>
      </c>
      <c r="Q570" s="73">
        <f t="shared" si="24"/>
        <v>0</v>
      </c>
      <c r="R570" s="57"/>
      <c r="S570" s="57"/>
      <c r="T570" s="57"/>
      <c r="U570" s="57"/>
      <c r="V570" s="73">
        <f t="shared" si="25"/>
        <v>0</v>
      </c>
      <c r="W570" s="106"/>
      <c r="X570" s="64"/>
    </row>
    <row r="571" spans="1:24" s="66" customFormat="1" ht="12" hidden="1" customHeight="1">
      <c r="A571" s="74" t="s">
        <v>373</v>
      </c>
      <c r="B571" s="74"/>
      <c r="C571" s="74"/>
      <c r="D571" s="74"/>
      <c r="E571" s="74"/>
      <c r="F571" s="74"/>
      <c r="G571" s="74"/>
      <c r="H571" s="74"/>
      <c r="I571" s="75" t="s">
        <v>1961</v>
      </c>
      <c r="J571" s="75" t="s">
        <v>1382</v>
      </c>
      <c r="K571" s="74" t="s">
        <v>1402</v>
      </c>
      <c r="L571" s="76" t="s">
        <v>0</v>
      </c>
      <c r="M571" s="57"/>
      <c r="N571" s="77">
        <v>2536</v>
      </c>
      <c r="O571" s="57">
        <f t="shared" si="26"/>
        <v>0</v>
      </c>
      <c r="P571" s="77">
        <v>5990</v>
      </c>
      <c r="Q571" s="73">
        <f t="shared" si="24"/>
        <v>0</v>
      </c>
      <c r="R571" s="57"/>
      <c r="S571" s="57"/>
      <c r="T571" s="57"/>
      <c r="U571" s="57"/>
      <c r="V571" s="73">
        <f t="shared" si="25"/>
        <v>0</v>
      </c>
      <c r="W571" s="106"/>
      <c r="X571" s="64"/>
    </row>
    <row r="572" spans="1:24" s="66" customFormat="1" ht="12" hidden="1" customHeight="1">
      <c r="A572" s="74" t="s">
        <v>374</v>
      </c>
      <c r="B572" s="74"/>
      <c r="C572" s="74"/>
      <c r="D572" s="74"/>
      <c r="E572" s="74"/>
      <c r="F572" s="74"/>
      <c r="G572" s="74"/>
      <c r="H572" s="74"/>
      <c r="I572" s="75" t="s">
        <v>1962</v>
      </c>
      <c r="J572" s="75" t="s">
        <v>1382</v>
      </c>
      <c r="K572" s="74" t="s">
        <v>1401</v>
      </c>
      <c r="L572" s="76" t="s">
        <v>0</v>
      </c>
      <c r="M572" s="57"/>
      <c r="N572" s="77">
        <v>3502</v>
      </c>
      <c r="O572" s="57">
        <f t="shared" si="26"/>
        <v>0</v>
      </c>
      <c r="P572" s="77">
        <v>7079</v>
      </c>
      <c r="Q572" s="73">
        <f t="shared" si="24"/>
        <v>0</v>
      </c>
      <c r="R572" s="57"/>
      <c r="S572" s="57"/>
      <c r="T572" s="57"/>
      <c r="U572" s="57"/>
      <c r="V572" s="73">
        <f t="shared" si="25"/>
        <v>0</v>
      </c>
      <c r="W572" s="106"/>
      <c r="X572" s="64"/>
    </row>
    <row r="573" spans="1:24" s="66" customFormat="1" ht="12" hidden="1" customHeight="1">
      <c r="A573" s="74" t="s">
        <v>375</v>
      </c>
      <c r="B573" s="74"/>
      <c r="C573" s="74"/>
      <c r="D573" s="74"/>
      <c r="E573" s="74"/>
      <c r="F573" s="74"/>
      <c r="G573" s="74"/>
      <c r="H573" s="74"/>
      <c r="I573" s="75" t="s">
        <v>2016</v>
      </c>
      <c r="J573" s="75" t="s">
        <v>1382</v>
      </c>
      <c r="K573" s="74" t="s">
        <v>1400</v>
      </c>
      <c r="L573" s="76" t="s">
        <v>0</v>
      </c>
      <c r="M573" s="57"/>
      <c r="N573" s="77">
        <v>5569</v>
      </c>
      <c r="O573" s="57">
        <f t="shared" si="26"/>
        <v>0</v>
      </c>
      <c r="P573" s="77">
        <v>9802</v>
      </c>
      <c r="Q573" s="73">
        <f t="shared" si="24"/>
        <v>0</v>
      </c>
      <c r="R573" s="57"/>
      <c r="S573" s="57"/>
      <c r="T573" s="57"/>
      <c r="U573" s="57"/>
      <c r="V573" s="73">
        <f t="shared" si="25"/>
        <v>0</v>
      </c>
      <c r="W573" s="106"/>
      <c r="X573" s="64"/>
    </row>
    <row r="574" spans="1:24" s="66" customFormat="1" ht="12" hidden="1" customHeight="1">
      <c r="A574" s="74" t="s">
        <v>376</v>
      </c>
      <c r="B574" s="74"/>
      <c r="C574" s="74"/>
      <c r="D574" s="74"/>
      <c r="E574" s="74"/>
      <c r="F574" s="74"/>
      <c r="G574" s="74"/>
      <c r="H574" s="74"/>
      <c r="I574" s="75" t="s">
        <v>2013</v>
      </c>
      <c r="J574" s="75" t="s">
        <v>1382</v>
      </c>
      <c r="K574" s="74" t="s">
        <v>1399</v>
      </c>
      <c r="L574" s="76" t="s">
        <v>0</v>
      </c>
      <c r="M574" s="57"/>
      <c r="N574" s="77">
        <v>8691</v>
      </c>
      <c r="O574" s="57">
        <f t="shared" si="26"/>
        <v>0</v>
      </c>
      <c r="P574" s="77">
        <v>6262</v>
      </c>
      <c r="Q574" s="73">
        <f t="shared" si="24"/>
        <v>0</v>
      </c>
      <c r="R574" s="57"/>
      <c r="S574" s="57"/>
      <c r="T574" s="57"/>
      <c r="U574" s="57"/>
      <c r="V574" s="73">
        <f t="shared" si="25"/>
        <v>0</v>
      </c>
      <c r="W574" s="106"/>
      <c r="X574" s="64"/>
    </row>
    <row r="575" spans="1:24" s="66" customFormat="1" ht="12" hidden="1" customHeight="1">
      <c r="A575" s="74" t="s">
        <v>377</v>
      </c>
      <c r="B575" s="74"/>
      <c r="C575" s="74"/>
      <c r="D575" s="74"/>
      <c r="E575" s="74"/>
      <c r="F575" s="74"/>
      <c r="G575" s="74"/>
      <c r="H575" s="74"/>
      <c r="I575" s="75" t="s">
        <v>2014</v>
      </c>
      <c r="J575" s="75" t="s">
        <v>1382</v>
      </c>
      <c r="K575" s="74" t="s">
        <v>1669</v>
      </c>
      <c r="L575" s="76" t="s">
        <v>0</v>
      </c>
      <c r="M575" s="57"/>
      <c r="N575" s="77">
        <v>13509</v>
      </c>
      <c r="O575" s="57">
        <f t="shared" si="26"/>
        <v>0</v>
      </c>
      <c r="P575" s="77">
        <v>8168</v>
      </c>
      <c r="Q575" s="73">
        <f t="shared" si="24"/>
        <v>0</v>
      </c>
      <c r="R575" s="57"/>
      <c r="S575" s="57"/>
      <c r="T575" s="57"/>
      <c r="U575" s="57"/>
      <c r="V575" s="73">
        <f t="shared" si="25"/>
        <v>0</v>
      </c>
      <c r="W575" s="106"/>
      <c r="X575" s="64"/>
    </row>
    <row r="576" spans="1:24" s="66" customFormat="1" ht="12" hidden="1" customHeight="1">
      <c r="A576" s="74" t="s">
        <v>378</v>
      </c>
      <c r="B576" s="74"/>
      <c r="C576" s="74"/>
      <c r="D576" s="74"/>
      <c r="E576" s="74"/>
      <c r="F576" s="74"/>
      <c r="G576" s="74"/>
      <c r="H576" s="74"/>
      <c r="I576" s="75" t="s">
        <v>2015</v>
      </c>
      <c r="J576" s="75" t="s">
        <v>1382</v>
      </c>
      <c r="K576" s="74" t="s">
        <v>1670</v>
      </c>
      <c r="L576" s="76" t="s">
        <v>0</v>
      </c>
      <c r="M576" s="57"/>
      <c r="N576" s="77">
        <v>17966</v>
      </c>
      <c r="O576" s="57">
        <f t="shared" si="26"/>
        <v>0</v>
      </c>
      <c r="P576" s="77">
        <v>9802</v>
      </c>
      <c r="Q576" s="73">
        <f t="shared" si="24"/>
        <v>0</v>
      </c>
      <c r="R576" s="57"/>
      <c r="S576" s="57"/>
      <c r="T576" s="57"/>
      <c r="U576" s="57"/>
      <c r="V576" s="73">
        <f t="shared" si="25"/>
        <v>0</v>
      </c>
      <c r="W576" s="106"/>
      <c r="X576" s="64"/>
    </row>
    <row r="577" spans="1:24" s="66" customFormat="1" ht="12" hidden="1" customHeight="1">
      <c r="A577" s="74" t="s">
        <v>379</v>
      </c>
      <c r="B577" s="74"/>
      <c r="C577" s="74"/>
      <c r="D577" s="74"/>
      <c r="E577" s="74"/>
      <c r="F577" s="74"/>
      <c r="G577" s="74"/>
      <c r="H577" s="74"/>
      <c r="I577" s="75" t="s">
        <v>2024</v>
      </c>
      <c r="J577" s="75" t="s">
        <v>1382</v>
      </c>
      <c r="K577" s="74" t="s">
        <v>1671</v>
      </c>
      <c r="L577" s="76" t="s">
        <v>0</v>
      </c>
      <c r="M577" s="57"/>
      <c r="N577" s="77">
        <v>24447</v>
      </c>
      <c r="O577" s="57">
        <f t="shared" si="26"/>
        <v>0</v>
      </c>
      <c r="P577" s="77">
        <v>11708</v>
      </c>
      <c r="Q577" s="73">
        <f t="shared" si="24"/>
        <v>0</v>
      </c>
      <c r="R577" s="57"/>
      <c r="S577" s="57"/>
      <c r="T577" s="57"/>
      <c r="U577" s="57"/>
      <c r="V577" s="73">
        <f t="shared" si="25"/>
        <v>0</v>
      </c>
      <c r="W577" s="106"/>
      <c r="X577" s="64"/>
    </row>
    <row r="578" spans="1:24" s="66" customFormat="1" ht="12" hidden="1" customHeight="1">
      <c r="A578" s="74" t="s">
        <v>380</v>
      </c>
      <c r="B578" s="74"/>
      <c r="C578" s="74"/>
      <c r="D578" s="74"/>
      <c r="E578" s="74"/>
      <c r="F578" s="74"/>
      <c r="G578" s="74"/>
      <c r="H578" s="74"/>
      <c r="I578" s="75" t="s">
        <v>2025</v>
      </c>
      <c r="J578" s="75" t="s">
        <v>1382</v>
      </c>
      <c r="K578" s="74" t="s">
        <v>1672</v>
      </c>
      <c r="L578" s="76" t="s">
        <v>0</v>
      </c>
      <c r="M578" s="57"/>
      <c r="N578" s="77">
        <v>34660</v>
      </c>
      <c r="O578" s="57">
        <f t="shared" si="26"/>
        <v>0</v>
      </c>
      <c r="P578" s="77">
        <v>15520</v>
      </c>
      <c r="Q578" s="73">
        <f t="shared" si="24"/>
        <v>0</v>
      </c>
      <c r="R578" s="57"/>
      <c r="S578" s="57"/>
      <c r="T578" s="57"/>
      <c r="U578" s="57"/>
      <c r="V578" s="73">
        <f t="shared" si="25"/>
        <v>0</v>
      </c>
      <c r="W578" s="106"/>
      <c r="X578" s="64"/>
    </row>
    <row r="579" spans="1:24" s="66" customFormat="1" ht="12" hidden="1" customHeight="1">
      <c r="A579" s="74" t="s">
        <v>381</v>
      </c>
      <c r="B579" s="74"/>
      <c r="C579" s="74"/>
      <c r="D579" s="74"/>
      <c r="E579" s="74"/>
      <c r="F579" s="74"/>
      <c r="G579" s="74"/>
      <c r="H579" s="74"/>
      <c r="I579" s="75" t="s">
        <v>2026</v>
      </c>
      <c r="J579" s="75" t="s">
        <v>1382</v>
      </c>
      <c r="K579" s="74" t="s">
        <v>1673</v>
      </c>
      <c r="L579" s="76" t="s">
        <v>0</v>
      </c>
      <c r="M579" s="57"/>
      <c r="N579" s="77">
        <v>47921</v>
      </c>
      <c r="O579" s="57">
        <f t="shared" si="26"/>
        <v>0</v>
      </c>
      <c r="P579" s="77">
        <v>19332</v>
      </c>
      <c r="Q579" s="73">
        <f t="shared" si="24"/>
        <v>0</v>
      </c>
      <c r="R579" s="57"/>
      <c r="S579" s="57"/>
      <c r="T579" s="57"/>
      <c r="U579" s="57"/>
      <c r="V579" s="73">
        <f t="shared" si="25"/>
        <v>0</v>
      </c>
      <c r="W579" s="106"/>
      <c r="X579" s="64"/>
    </row>
    <row r="580" spans="1:24" s="66" customFormat="1" ht="12" hidden="1" customHeight="1">
      <c r="A580" s="74" t="s">
        <v>382</v>
      </c>
      <c r="B580" s="74"/>
      <c r="C580" s="74"/>
      <c r="D580" s="74"/>
      <c r="E580" s="74"/>
      <c r="F580" s="74"/>
      <c r="G580" s="74"/>
      <c r="H580" s="74"/>
      <c r="I580" s="75" t="s">
        <v>2027</v>
      </c>
      <c r="J580" s="75" t="s">
        <v>1382</v>
      </c>
      <c r="K580" s="74" t="s">
        <v>1674</v>
      </c>
      <c r="L580" s="76" t="s">
        <v>0</v>
      </c>
      <c r="M580" s="57"/>
      <c r="N580" s="77">
        <v>59265</v>
      </c>
      <c r="O580" s="57">
        <f t="shared" si="26"/>
        <v>0</v>
      </c>
      <c r="P580" s="77">
        <v>22871</v>
      </c>
      <c r="Q580" s="73">
        <f t="shared" si="24"/>
        <v>0</v>
      </c>
      <c r="R580" s="57"/>
      <c r="S580" s="57"/>
      <c r="T580" s="57"/>
      <c r="U580" s="57"/>
      <c r="V580" s="73">
        <f t="shared" si="25"/>
        <v>0</v>
      </c>
      <c r="W580" s="106"/>
      <c r="X580" s="64"/>
    </row>
    <row r="581" spans="1:24" s="66" customFormat="1" ht="12" hidden="1" customHeight="1">
      <c r="A581" s="74" t="s">
        <v>383</v>
      </c>
      <c r="B581" s="74"/>
      <c r="C581" s="74"/>
      <c r="D581" s="74"/>
      <c r="E581" s="74"/>
      <c r="F581" s="74"/>
      <c r="G581" s="74"/>
      <c r="H581" s="74"/>
      <c r="I581" s="75" t="s">
        <v>2028</v>
      </c>
      <c r="J581" s="75" t="s">
        <v>1382</v>
      </c>
      <c r="K581" s="74" t="s">
        <v>1675</v>
      </c>
      <c r="L581" s="76" t="s">
        <v>0</v>
      </c>
      <c r="M581" s="57"/>
      <c r="N581" s="77">
        <v>73290</v>
      </c>
      <c r="O581" s="57">
        <f t="shared" si="26"/>
        <v>0</v>
      </c>
      <c r="P581" s="77">
        <v>26411</v>
      </c>
      <c r="Q581" s="73">
        <f t="shared" si="24"/>
        <v>0</v>
      </c>
      <c r="R581" s="57"/>
      <c r="S581" s="57"/>
      <c r="T581" s="57"/>
      <c r="U581" s="57"/>
      <c r="V581" s="73">
        <f t="shared" si="25"/>
        <v>0</v>
      </c>
      <c r="W581" s="106"/>
      <c r="X581" s="64"/>
    </row>
    <row r="582" spans="1:24" s="66" customFormat="1" ht="12" hidden="1" customHeight="1">
      <c r="A582" s="74" t="s">
        <v>384</v>
      </c>
      <c r="B582" s="74"/>
      <c r="C582" s="74"/>
      <c r="D582" s="74"/>
      <c r="E582" s="74"/>
      <c r="F582" s="74"/>
      <c r="G582" s="74"/>
      <c r="H582" s="74"/>
      <c r="I582" s="75" t="s">
        <v>2029</v>
      </c>
      <c r="J582" s="75" t="s">
        <v>1382</v>
      </c>
      <c r="K582" s="74" t="s">
        <v>1676</v>
      </c>
      <c r="L582" s="76" t="s">
        <v>0</v>
      </c>
      <c r="M582" s="57"/>
      <c r="N582" s="77">
        <v>90802</v>
      </c>
      <c r="O582" s="57">
        <f t="shared" si="26"/>
        <v>0</v>
      </c>
      <c r="P582" s="77">
        <v>29406</v>
      </c>
      <c r="Q582" s="73">
        <f t="shared" si="24"/>
        <v>0</v>
      </c>
      <c r="R582" s="57"/>
      <c r="S582" s="57"/>
      <c r="T582" s="57"/>
      <c r="U582" s="57"/>
      <c r="V582" s="73">
        <f t="shared" si="25"/>
        <v>0</v>
      </c>
      <c r="W582" s="106"/>
      <c r="X582" s="64"/>
    </row>
    <row r="583" spans="1:24" s="66" customFormat="1" ht="12" hidden="1" customHeight="1">
      <c r="A583" s="74" t="s">
        <v>385</v>
      </c>
      <c r="B583" s="74"/>
      <c r="C583" s="74"/>
      <c r="D583" s="74"/>
      <c r="E583" s="74"/>
      <c r="F583" s="74"/>
      <c r="G583" s="74"/>
      <c r="H583" s="74"/>
      <c r="I583" s="75" t="s">
        <v>2030</v>
      </c>
      <c r="J583" s="75" t="s">
        <v>1382</v>
      </c>
      <c r="K583" s="74" t="s">
        <v>1677</v>
      </c>
      <c r="L583" s="76" t="s">
        <v>0</v>
      </c>
      <c r="M583" s="57"/>
      <c r="N583" s="77">
        <v>116646</v>
      </c>
      <c r="O583" s="57">
        <f t="shared" si="26"/>
        <v>0</v>
      </c>
      <c r="P583" s="77">
        <v>37030</v>
      </c>
      <c r="Q583" s="73">
        <f t="shared" si="24"/>
        <v>0</v>
      </c>
      <c r="R583" s="57"/>
      <c r="S583" s="57"/>
      <c r="T583" s="57"/>
      <c r="U583" s="57"/>
      <c r="V583" s="73">
        <f t="shared" si="25"/>
        <v>0</v>
      </c>
      <c r="W583" s="106"/>
      <c r="X583" s="64"/>
    </row>
    <row r="584" spans="1:24" s="66" customFormat="1" ht="12" hidden="1" customHeight="1">
      <c r="A584" s="74" t="s">
        <v>386</v>
      </c>
      <c r="B584" s="74"/>
      <c r="C584" s="74"/>
      <c r="D584" s="74"/>
      <c r="E584" s="74"/>
      <c r="F584" s="74"/>
      <c r="G584" s="74"/>
      <c r="H584" s="74"/>
      <c r="I584" s="75" t="s">
        <v>2031</v>
      </c>
      <c r="J584" s="75" t="s">
        <v>1382</v>
      </c>
      <c r="K584" s="74" t="s">
        <v>1678</v>
      </c>
      <c r="L584" s="76" t="s">
        <v>0</v>
      </c>
      <c r="M584" s="57"/>
      <c r="N584" s="77">
        <v>147966</v>
      </c>
      <c r="O584" s="57">
        <f t="shared" si="26"/>
        <v>0</v>
      </c>
      <c r="P584" s="77">
        <v>43292</v>
      </c>
      <c r="Q584" s="73">
        <f t="shared" si="24"/>
        <v>0</v>
      </c>
      <c r="R584" s="57"/>
      <c r="S584" s="57"/>
      <c r="T584" s="57"/>
      <c r="U584" s="57"/>
      <c r="V584" s="73">
        <f t="shared" si="25"/>
        <v>0</v>
      </c>
      <c r="W584" s="106"/>
      <c r="X584" s="64"/>
    </row>
    <row r="585" spans="1:24" s="66" customFormat="1" ht="12" hidden="1" customHeight="1">
      <c r="A585" s="74" t="s">
        <v>387</v>
      </c>
      <c r="B585" s="74"/>
      <c r="C585" s="74"/>
      <c r="D585" s="74"/>
      <c r="E585" s="74"/>
      <c r="F585" s="74"/>
      <c r="G585" s="74"/>
      <c r="H585" s="74"/>
      <c r="I585" s="75" t="s">
        <v>1963</v>
      </c>
      <c r="J585" s="75" t="s">
        <v>1382</v>
      </c>
      <c r="K585" s="74" t="s">
        <v>1398</v>
      </c>
      <c r="L585" s="76" t="s">
        <v>0</v>
      </c>
      <c r="M585" s="57"/>
      <c r="N585" s="77">
        <v>3050</v>
      </c>
      <c r="O585" s="57">
        <f t="shared" si="26"/>
        <v>0</v>
      </c>
      <c r="P585" s="77">
        <v>7079</v>
      </c>
      <c r="Q585" s="73">
        <f t="shared" si="24"/>
        <v>0</v>
      </c>
      <c r="R585" s="57"/>
      <c r="S585" s="57"/>
      <c r="T585" s="57"/>
      <c r="U585" s="57"/>
      <c r="V585" s="73">
        <f t="shared" si="25"/>
        <v>0</v>
      </c>
      <c r="W585" s="106"/>
      <c r="X585" s="64"/>
    </row>
    <row r="586" spans="1:24" s="66" customFormat="1" ht="12" hidden="1" customHeight="1">
      <c r="A586" s="74" t="s">
        <v>388</v>
      </c>
      <c r="B586" s="74"/>
      <c r="C586" s="74"/>
      <c r="D586" s="74"/>
      <c r="E586" s="74"/>
      <c r="F586" s="74"/>
      <c r="G586" s="74"/>
      <c r="H586" s="74"/>
      <c r="I586" s="75" t="s">
        <v>1963</v>
      </c>
      <c r="J586" s="75" t="s">
        <v>1382</v>
      </c>
      <c r="K586" s="74" t="s">
        <v>1397</v>
      </c>
      <c r="L586" s="76" t="s">
        <v>0</v>
      </c>
      <c r="M586" s="57"/>
      <c r="N586" s="77">
        <v>3590</v>
      </c>
      <c r="O586" s="57">
        <f t="shared" si="26"/>
        <v>0</v>
      </c>
      <c r="P586" s="77">
        <v>7079</v>
      </c>
      <c r="Q586" s="73">
        <f t="shared" si="24"/>
        <v>0</v>
      </c>
      <c r="R586" s="57"/>
      <c r="S586" s="57"/>
      <c r="T586" s="57"/>
      <c r="U586" s="57"/>
      <c r="V586" s="73">
        <f t="shared" si="25"/>
        <v>0</v>
      </c>
      <c r="W586" s="106"/>
      <c r="X586" s="64"/>
    </row>
    <row r="587" spans="1:24" s="66" customFormat="1" ht="12" hidden="1" customHeight="1">
      <c r="A587" s="74" t="s">
        <v>389</v>
      </c>
      <c r="B587" s="74"/>
      <c r="C587" s="74"/>
      <c r="D587" s="74"/>
      <c r="E587" s="74"/>
      <c r="F587" s="74"/>
      <c r="G587" s="74"/>
      <c r="H587" s="74"/>
      <c r="I587" s="75" t="s">
        <v>1964</v>
      </c>
      <c r="J587" s="75" t="s">
        <v>1382</v>
      </c>
      <c r="K587" s="74" t="s">
        <v>1396</v>
      </c>
      <c r="L587" s="76" t="s">
        <v>0</v>
      </c>
      <c r="M587" s="57"/>
      <c r="N587" s="77">
        <v>3212</v>
      </c>
      <c r="O587" s="57">
        <f t="shared" si="26"/>
        <v>0</v>
      </c>
      <c r="P587" s="77">
        <v>7896</v>
      </c>
      <c r="Q587" s="73">
        <f t="shared" ref="Q587:Q650" si="27">IF(W587="",M587*P587*$Q$3*$W$3,M587*P587*$Q$3*W587)</f>
        <v>0</v>
      </c>
      <c r="R587" s="57"/>
      <c r="S587" s="57"/>
      <c r="T587" s="57"/>
      <c r="U587" s="57"/>
      <c r="V587" s="73">
        <f t="shared" ref="V587:V650" si="28">SUM(O587+Q587)+S587+U587</f>
        <v>0</v>
      </c>
      <c r="W587" s="106"/>
      <c r="X587" s="64"/>
    </row>
    <row r="588" spans="1:24" s="66" customFormat="1" ht="12" hidden="1" customHeight="1">
      <c r="A588" s="74" t="s">
        <v>390</v>
      </c>
      <c r="B588" s="74"/>
      <c r="C588" s="74"/>
      <c r="D588" s="74"/>
      <c r="E588" s="74"/>
      <c r="F588" s="74"/>
      <c r="G588" s="74"/>
      <c r="H588" s="74"/>
      <c r="I588" s="75" t="s">
        <v>1965</v>
      </c>
      <c r="J588" s="75" t="s">
        <v>1382</v>
      </c>
      <c r="K588" s="74" t="s">
        <v>1395</v>
      </c>
      <c r="L588" s="76" t="s">
        <v>0</v>
      </c>
      <c r="M588" s="57"/>
      <c r="N588" s="77">
        <v>4508</v>
      </c>
      <c r="O588" s="57">
        <f t="shared" si="26"/>
        <v>0</v>
      </c>
      <c r="P588" s="77">
        <v>9257</v>
      </c>
      <c r="Q588" s="73">
        <f t="shared" si="27"/>
        <v>0</v>
      </c>
      <c r="R588" s="57"/>
      <c r="S588" s="57"/>
      <c r="T588" s="57"/>
      <c r="U588" s="57"/>
      <c r="V588" s="73">
        <f t="shared" si="28"/>
        <v>0</v>
      </c>
      <c r="W588" s="106"/>
      <c r="X588" s="64"/>
    </row>
    <row r="589" spans="1:24" s="66" customFormat="1" ht="12" hidden="1" customHeight="1">
      <c r="A589" s="74" t="s">
        <v>391</v>
      </c>
      <c r="B589" s="74"/>
      <c r="C589" s="74"/>
      <c r="D589" s="74"/>
      <c r="E589" s="74"/>
      <c r="F589" s="74"/>
      <c r="G589" s="74"/>
      <c r="H589" s="74"/>
      <c r="I589" s="75" t="s">
        <v>2017</v>
      </c>
      <c r="J589" s="75" t="s">
        <v>1382</v>
      </c>
      <c r="K589" s="74" t="s">
        <v>1394</v>
      </c>
      <c r="L589" s="76" t="s">
        <v>0</v>
      </c>
      <c r="M589" s="57"/>
      <c r="N589" s="77">
        <v>7154</v>
      </c>
      <c r="O589" s="57">
        <f t="shared" si="26"/>
        <v>0</v>
      </c>
      <c r="P589" s="77">
        <v>13341</v>
      </c>
      <c r="Q589" s="73">
        <f t="shared" si="27"/>
        <v>0</v>
      </c>
      <c r="R589" s="57"/>
      <c r="S589" s="57"/>
      <c r="T589" s="57"/>
      <c r="U589" s="57"/>
      <c r="V589" s="73">
        <f t="shared" si="28"/>
        <v>0</v>
      </c>
      <c r="W589" s="106"/>
      <c r="X589" s="64"/>
    </row>
    <row r="590" spans="1:24" s="66" customFormat="1" ht="12" hidden="1" customHeight="1">
      <c r="A590" s="74" t="s">
        <v>392</v>
      </c>
      <c r="B590" s="74"/>
      <c r="C590" s="74"/>
      <c r="D590" s="74"/>
      <c r="E590" s="74"/>
      <c r="F590" s="74"/>
      <c r="G590" s="74"/>
      <c r="H590" s="74"/>
      <c r="I590" s="75" t="s">
        <v>2013</v>
      </c>
      <c r="J590" s="75" t="s">
        <v>1382</v>
      </c>
      <c r="K590" s="74" t="s">
        <v>1393</v>
      </c>
      <c r="L590" s="76" t="s">
        <v>0</v>
      </c>
      <c r="M590" s="57"/>
      <c r="N590" s="77">
        <v>11508</v>
      </c>
      <c r="O590" s="57">
        <f t="shared" si="26"/>
        <v>0</v>
      </c>
      <c r="P590" s="77">
        <v>6262</v>
      </c>
      <c r="Q590" s="73">
        <f t="shared" si="27"/>
        <v>0</v>
      </c>
      <c r="R590" s="57"/>
      <c r="S590" s="57"/>
      <c r="T590" s="57"/>
      <c r="U590" s="57"/>
      <c r="V590" s="73">
        <f t="shared" si="28"/>
        <v>0</v>
      </c>
      <c r="W590" s="106"/>
      <c r="X590" s="64"/>
    </row>
    <row r="591" spans="1:24" s="66" customFormat="1" ht="12" hidden="1" customHeight="1">
      <c r="A591" s="74" t="s">
        <v>393</v>
      </c>
      <c r="B591" s="74"/>
      <c r="C591" s="74"/>
      <c r="D591" s="74"/>
      <c r="E591" s="74"/>
      <c r="F591" s="74"/>
      <c r="G591" s="74"/>
      <c r="H591" s="74"/>
      <c r="I591" s="75" t="s">
        <v>2014</v>
      </c>
      <c r="J591" s="75" t="s">
        <v>1382</v>
      </c>
      <c r="K591" s="74" t="s">
        <v>1392</v>
      </c>
      <c r="L591" s="76" t="s">
        <v>0</v>
      </c>
      <c r="M591" s="57"/>
      <c r="N591" s="77">
        <v>17766</v>
      </c>
      <c r="O591" s="57">
        <f t="shared" si="26"/>
        <v>0</v>
      </c>
      <c r="P591" s="77">
        <v>8168</v>
      </c>
      <c r="Q591" s="73">
        <f t="shared" si="27"/>
        <v>0</v>
      </c>
      <c r="R591" s="57"/>
      <c r="S591" s="57"/>
      <c r="T591" s="57"/>
      <c r="U591" s="57"/>
      <c r="V591" s="73">
        <f t="shared" si="28"/>
        <v>0</v>
      </c>
      <c r="W591" s="106"/>
      <c r="X591" s="64"/>
    </row>
    <row r="592" spans="1:24" s="66" customFormat="1" ht="12" hidden="1" customHeight="1">
      <c r="A592" s="74" t="s">
        <v>394</v>
      </c>
      <c r="B592" s="74"/>
      <c r="C592" s="74"/>
      <c r="D592" s="74"/>
      <c r="E592" s="74"/>
      <c r="F592" s="74"/>
      <c r="G592" s="74"/>
      <c r="H592" s="74"/>
      <c r="I592" s="75" t="s">
        <v>2015</v>
      </c>
      <c r="J592" s="75" t="s">
        <v>1382</v>
      </c>
      <c r="K592" s="74" t="s">
        <v>1391</v>
      </c>
      <c r="L592" s="76" t="s">
        <v>0</v>
      </c>
      <c r="M592" s="57"/>
      <c r="N592" s="77">
        <v>23723</v>
      </c>
      <c r="O592" s="57">
        <f t="shared" si="26"/>
        <v>0</v>
      </c>
      <c r="P592" s="77">
        <v>9802</v>
      </c>
      <c r="Q592" s="73">
        <f t="shared" si="27"/>
        <v>0</v>
      </c>
      <c r="R592" s="57"/>
      <c r="S592" s="57"/>
      <c r="T592" s="57"/>
      <c r="U592" s="57"/>
      <c r="V592" s="73">
        <f t="shared" si="28"/>
        <v>0</v>
      </c>
      <c r="W592" s="106"/>
      <c r="X592" s="64"/>
    </row>
    <row r="593" spans="1:24" s="66" customFormat="1" ht="12" hidden="1" customHeight="1">
      <c r="A593" s="74" t="s">
        <v>395</v>
      </c>
      <c r="B593" s="74"/>
      <c r="C593" s="74"/>
      <c r="D593" s="74"/>
      <c r="E593" s="74"/>
      <c r="F593" s="74"/>
      <c r="G593" s="74"/>
      <c r="H593" s="74"/>
      <c r="I593" s="75" t="s">
        <v>2024</v>
      </c>
      <c r="J593" s="75" t="s">
        <v>1382</v>
      </c>
      <c r="K593" s="74" t="s">
        <v>1390</v>
      </c>
      <c r="L593" s="76" t="s">
        <v>0</v>
      </c>
      <c r="M593" s="57"/>
      <c r="N593" s="77">
        <v>32665</v>
      </c>
      <c r="O593" s="57">
        <f t="shared" si="26"/>
        <v>0</v>
      </c>
      <c r="P593" s="77">
        <v>11708</v>
      </c>
      <c r="Q593" s="73">
        <f t="shared" si="27"/>
        <v>0</v>
      </c>
      <c r="R593" s="57"/>
      <c r="S593" s="57"/>
      <c r="T593" s="57"/>
      <c r="U593" s="57"/>
      <c r="V593" s="73">
        <f t="shared" si="28"/>
        <v>0</v>
      </c>
      <c r="W593" s="106"/>
      <c r="X593" s="64"/>
    </row>
    <row r="594" spans="1:24" s="66" customFormat="1" ht="12" hidden="1" customHeight="1">
      <c r="A594" s="74" t="s">
        <v>396</v>
      </c>
      <c r="B594" s="74"/>
      <c r="C594" s="74"/>
      <c r="D594" s="74"/>
      <c r="E594" s="74"/>
      <c r="F594" s="74"/>
      <c r="G594" s="74"/>
      <c r="H594" s="74"/>
      <c r="I594" s="75" t="s">
        <v>2025</v>
      </c>
      <c r="J594" s="75" t="s">
        <v>1382</v>
      </c>
      <c r="K594" s="74" t="s">
        <v>1389</v>
      </c>
      <c r="L594" s="76" t="s">
        <v>0</v>
      </c>
      <c r="M594" s="57"/>
      <c r="N594" s="77">
        <v>45893</v>
      </c>
      <c r="O594" s="57">
        <f t="shared" si="26"/>
        <v>0</v>
      </c>
      <c r="P594" s="77">
        <v>15520</v>
      </c>
      <c r="Q594" s="73">
        <f t="shared" si="27"/>
        <v>0</v>
      </c>
      <c r="R594" s="57"/>
      <c r="S594" s="57"/>
      <c r="T594" s="57"/>
      <c r="U594" s="57"/>
      <c r="V594" s="73">
        <f t="shared" si="28"/>
        <v>0</v>
      </c>
      <c r="W594" s="106"/>
      <c r="X594" s="64"/>
    </row>
    <row r="595" spans="1:24" s="66" customFormat="1" ht="12" hidden="1" customHeight="1">
      <c r="A595" s="74" t="s">
        <v>397</v>
      </c>
      <c r="B595" s="74"/>
      <c r="C595" s="74"/>
      <c r="D595" s="74"/>
      <c r="E595" s="74"/>
      <c r="F595" s="74"/>
      <c r="G595" s="74"/>
      <c r="H595" s="74"/>
      <c r="I595" s="75" t="s">
        <v>2026</v>
      </c>
      <c r="J595" s="75" t="s">
        <v>1382</v>
      </c>
      <c r="K595" s="74" t="s">
        <v>1388</v>
      </c>
      <c r="L595" s="76" t="s">
        <v>0</v>
      </c>
      <c r="M595" s="57"/>
      <c r="N595" s="77">
        <v>63784</v>
      </c>
      <c r="O595" s="57">
        <f t="shared" si="26"/>
        <v>0</v>
      </c>
      <c r="P595" s="77">
        <v>19332</v>
      </c>
      <c r="Q595" s="73">
        <f t="shared" si="27"/>
        <v>0</v>
      </c>
      <c r="R595" s="57"/>
      <c r="S595" s="57"/>
      <c r="T595" s="57"/>
      <c r="U595" s="57"/>
      <c r="V595" s="73">
        <f t="shared" si="28"/>
        <v>0</v>
      </c>
      <c r="W595" s="106"/>
      <c r="X595" s="64"/>
    </row>
    <row r="596" spans="1:24" s="66" customFormat="1" ht="12" hidden="1" customHeight="1">
      <c r="A596" s="74" t="s">
        <v>398</v>
      </c>
      <c r="B596" s="74"/>
      <c r="C596" s="74"/>
      <c r="D596" s="74"/>
      <c r="E596" s="74"/>
      <c r="F596" s="74"/>
      <c r="G596" s="74"/>
      <c r="H596" s="74"/>
      <c r="I596" s="75" t="s">
        <v>2027</v>
      </c>
      <c r="J596" s="75" t="s">
        <v>1382</v>
      </c>
      <c r="K596" s="74" t="s">
        <v>1387</v>
      </c>
      <c r="L596" s="76" t="s">
        <v>0</v>
      </c>
      <c r="M596" s="57"/>
      <c r="N596" s="77">
        <v>79316</v>
      </c>
      <c r="O596" s="57">
        <f t="shared" si="26"/>
        <v>0</v>
      </c>
      <c r="P596" s="77">
        <v>22871</v>
      </c>
      <c r="Q596" s="73">
        <f t="shared" si="27"/>
        <v>0</v>
      </c>
      <c r="R596" s="57"/>
      <c r="S596" s="57"/>
      <c r="T596" s="57"/>
      <c r="U596" s="57"/>
      <c r="V596" s="73">
        <f t="shared" si="28"/>
        <v>0</v>
      </c>
      <c r="W596" s="106"/>
      <c r="X596" s="64"/>
    </row>
    <row r="597" spans="1:24" s="66" customFormat="1" ht="12" hidden="1" customHeight="1">
      <c r="A597" s="74" t="s">
        <v>399</v>
      </c>
      <c r="B597" s="74"/>
      <c r="C597" s="74"/>
      <c r="D597" s="74"/>
      <c r="E597" s="74"/>
      <c r="F597" s="74"/>
      <c r="G597" s="74"/>
      <c r="H597" s="74"/>
      <c r="I597" s="75" t="s">
        <v>2028</v>
      </c>
      <c r="J597" s="75" t="s">
        <v>1382</v>
      </c>
      <c r="K597" s="74" t="s">
        <v>1386</v>
      </c>
      <c r="L597" s="76" t="s">
        <v>0</v>
      </c>
      <c r="M597" s="57"/>
      <c r="N597" s="77">
        <v>97740</v>
      </c>
      <c r="O597" s="57">
        <f t="shared" si="26"/>
        <v>0</v>
      </c>
      <c r="P597" s="77">
        <v>26411</v>
      </c>
      <c r="Q597" s="73">
        <f t="shared" si="27"/>
        <v>0</v>
      </c>
      <c r="R597" s="57"/>
      <c r="S597" s="57"/>
      <c r="T597" s="57"/>
      <c r="U597" s="57"/>
      <c r="V597" s="73">
        <f t="shared" si="28"/>
        <v>0</v>
      </c>
      <c r="W597" s="106"/>
      <c r="X597" s="64"/>
    </row>
    <row r="598" spans="1:24" s="66" customFormat="1" ht="12" hidden="1" customHeight="1">
      <c r="A598" s="74" t="s">
        <v>400</v>
      </c>
      <c r="B598" s="74"/>
      <c r="C598" s="74"/>
      <c r="D598" s="74"/>
      <c r="E598" s="74"/>
      <c r="F598" s="74"/>
      <c r="G598" s="74"/>
      <c r="H598" s="74"/>
      <c r="I598" s="75" t="s">
        <v>2029</v>
      </c>
      <c r="J598" s="75" t="s">
        <v>1382</v>
      </c>
      <c r="K598" s="74" t="s">
        <v>1385</v>
      </c>
      <c r="L598" s="76" t="s">
        <v>0</v>
      </c>
      <c r="M598" s="57"/>
      <c r="N598" s="77">
        <v>121406</v>
      </c>
      <c r="O598" s="57">
        <f t="shared" si="26"/>
        <v>0</v>
      </c>
      <c r="P598" s="77">
        <v>29406</v>
      </c>
      <c r="Q598" s="73">
        <f t="shared" si="27"/>
        <v>0</v>
      </c>
      <c r="R598" s="57"/>
      <c r="S598" s="57"/>
      <c r="T598" s="57"/>
      <c r="U598" s="57"/>
      <c r="V598" s="73">
        <f t="shared" si="28"/>
        <v>0</v>
      </c>
      <c r="W598" s="106"/>
      <c r="X598" s="64"/>
    </row>
    <row r="599" spans="1:24" s="66" customFormat="1" ht="12" hidden="1" customHeight="1">
      <c r="A599" s="74" t="s">
        <v>401</v>
      </c>
      <c r="B599" s="74"/>
      <c r="C599" s="74"/>
      <c r="D599" s="74"/>
      <c r="E599" s="74"/>
      <c r="F599" s="74"/>
      <c r="G599" s="74"/>
      <c r="H599" s="74"/>
      <c r="I599" s="75" t="s">
        <v>2030</v>
      </c>
      <c r="J599" s="75" t="s">
        <v>1382</v>
      </c>
      <c r="K599" s="74" t="s">
        <v>1384</v>
      </c>
      <c r="L599" s="76" t="s">
        <v>0</v>
      </c>
      <c r="M599" s="57"/>
      <c r="N599" s="77">
        <v>155920</v>
      </c>
      <c r="O599" s="57">
        <f t="shared" si="26"/>
        <v>0</v>
      </c>
      <c r="P599" s="77">
        <v>37030</v>
      </c>
      <c r="Q599" s="73">
        <f t="shared" si="27"/>
        <v>0</v>
      </c>
      <c r="R599" s="57"/>
      <c r="S599" s="57"/>
      <c r="T599" s="57"/>
      <c r="U599" s="57"/>
      <c r="V599" s="73">
        <f t="shared" si="28"/>
        <v>0</v>
      </c>
      <c r="W599" s="106"/>
      <c r="X599" s="64"/>
    </row>
    <row r="600" spans="1:24" s="66" customFormat="1" ht="12" hidden="1" customHeight="1">
      <c r="A600" s="74" t="s">
        <v>402</v>
      </c>
      <c r="B600" s="74"/>
      <c r="C600" s="74"/>
      <c r="D600" s="74"/>
      <c r="E600" s="74"/>
      <c r="F600" s="74"/>
      <c r="G600" s="74"/>
      <c r="H600" s="74"/>
      <c r="I600" s="75" t="s">
        <v>2031</v>
      </c>
      <c r="J600" s="75" t="s">
        <v>1382</v>
      </c>
      <c r="K600" s="74" t="s">
        <v>1383</v>
      </c>
      <c r="L600" s="76" t="s">
        <v>0</v>
      </c>
      <c r="M600" s="57"/>
      <c r="N600" s="77">
        <v>199457</v>
      </c>
      <c r="O600" s="57">
        <f t="shared" si="26"/>
        <v>0</v>
      </c>
      <c r="P600" s="77">
        <v>43292</v>
      </c>
      <c r="Q600" s="73">
        <f t="shared" si="27"/>
        <v>0</v>
      </c>
      <c r="R600" s="57"/>
      <c r="S600" s="57"/>
      <c r="T600" s="57"/>
      <c r="U600" s="57"/>
      <c r="V600" s="73">
        <f t="shared" si="28"/>
        <v>0</v>
      </c>
      <c r="W600" s="106"/>
      <c r="X600" s="64"/>
    </row>
    <row r="601" spans="1:24" s="66" customFormat="1" ht="12" hidden="1" customHeight="1">
      <c r="A601" s="74" t="s">
        <v>254</v>
      </c>
      <c r="B601" s="74"/>
      <c r="C601" s="74"/>
      <c r="D601" s="74"/>
      <c r="E601" s="74"/>
      <c r="F601" s="74"/>
      <c r="G601" s="74"/>
      <c r="H601" s="74"/>
      <c r="I601" s="75" t="s">
        <v>1958</v>
      </c>
      <c r="J601" s="75" t="s">
        <v>1380</v>
      </c>
      <c r="K601" s="74" t="s">
        <v>1381</v>
      </c>
      <c r="L601" s="76" t="s">
        <v>0</v>
      </c>
      <c r="M601" s="57"/>
      <c r="N601" s="77">
        <v>17530</v>
      </c>
      <c r="O601" s="57">
        <f t="shared" si="26"/>
        <v>0</v>
      </c>
      <c r="P601" s="77">
        <v>4356</v>
      </c>
      <c r="Q601" s="73">
        <f t="shared" si="27"/>
        <v>0</v>
      </c>
      <c r="R601" s="57"/>
      <c r="S601" s="57"/>
      <c r="T601" s="57"/>
      <c r="U601" s="57"/>
      <c r="V601" s="73">
        <f t="shared" si="28"/>
        <v>0</v>
      </c>
      <c r="W601" s="106"/>
      <c r="X601" s="64"/>
    </row>
    <row r="602" spans="1:24" s="66" customFormat="1" ht="12" hidden="1" customHeight="1">
      <c r="A602" s="74" t="s">
        <v>707</v>
      </c>
      <c r="B602" s="74"/>
      <c r="C602" s="74"/>
      <c r="D602" s="74"/>
      <c r="E602" s="74"/>
      <c r="F602" s="74"/>
      <c r="G602" s="74"/>
      <c r="H602" s="74"/>
      <c r="I602" s="75" t="s">
        <v>2002</v>
      </c>
      <c r="J602" s="75" t="s">
        <v>2194</v>
      </c>
      <c r="K602" s="74" t="s">
        <v>2195</v>
      </c>
      <c r="L602" s="76" t="s">
        <v>0</v>
      </c>
      <c r="M602" s="57"/>
      <c r="N602" s="77">
        <v>2230</v>
      </c>
      <c r="O602" s="57">
        <f t="shared" si="26"/>
        <v>0</v>
      </c>
      <c r="P602" s="77">
        <v>2590</v>
      </c>
      <c r="Q602" s="73">
        <f t="shared" si="27"/>
        <v>0</v>
      </c>
      <c r="R602" s="57"/>
      <c r="S602" s="57"/>
      <c r="T602" s="57"/>
      <c r="U602" s="57"/>
      <c r="V602" s="73">
        <f t="shared" si="28"/>
        <v>0</v>
      </c>
      <c r="W602" s="106"/>
      <c r="X602" s="64"/>
    </row>
    <row r="603" spans="1:24" s="66" customFormat="1" ht="12" hidden="1" customHeight="1">
      <c r="A603" s="74" t="s">
        <v>3214</v>
      </c>
      <c r="B603" s="74"/>
      <c r="C603" s="74"/>
      <c r="D603" s="74"/>
      <c r="E603" s="74"/>
      <c r="F603" s="74"/>
      <c r="G603" s="74"/>
      <c r="H603" s="74"/>
      <c r="I603" s="75" t="s">
        <v>2002</v>
      </c>
      <c r="J603" s="75" t="s">
        <v>2194</v>
      </c>
      <c r="K603" s="74" t="s">
        <v>2195</v>
      </c>
      <c r="L603" s="76" t="s">
        <v>0</v>
      </c>
      <c r="M603" s="57"/>
      <c r="N603" s="77">
        <v>2230</v>
      </c>
      <c r="O603" s="57">
        <f t="shared" si="26"/>
        <v>0</v>
      </c>
      <c r="P603" s="77">
        <v>2590</v>
      </c>
      <c r="Q603" s="73">
        <f t="shared" si="27"/>
        <v>0</v>
      </c>
      <c r="R603" s="57"/>
      <c r="S603" s="57"/>
      <c r="T603" s="57"/>
      <c r="U603" s="57"/>
      <c r="V603" s="73">
        <f t="shared" si="28"/>
        <v>0</v>
      </c>
      <c r="W603" s="106"/>
      <c r="X603" s="64"/>
    </row>
    <row r="604" spans="1:24" s="66" customFormat="1" ht="12" hidden="1" customHeight="1">
      <c r="A604" s="74" t="s">
        <v>668</v>
      </c>
      <c r="B604" s="74"/>
      <c r="C604" s="74"/>
      <c r="D604" s="74"/>
      <c r="E604" s="74"/>
      <c r="F604" s="74"/>
      <c r="G604" s="74"/>
      <c r="H604" s="74"/>
      <c r="I604" s="75" t="s">
        <v>2048</v>
      </c>
      <c r="J604" s="75" t="s">
        <v>1031</v>
      </c>
      <c r="K604" s="74" t="s">
        <v>1032</v>
      </c>
      <c r="L604" s="76" t="s">
        <v>1484</v>
      </c>
      <c r="M604" s="57"/>
      <c r="N604" s="77">
        <v>817740</v>
      </c>
      <c r="O604" s="57">
        <f t="shared" si="26"/>
        <v>0</v>
      </c>
      <c r="P604" s="77">
        <v>107262</v>
      </c>
      <c r="Q604" s="73">
        <f t="shared" si="27"/>
        <v>0</v>
      </c>
      <c r="R604" s="57"/>
      <c r="S604" s="57"/>
      <c r="T604" s="57"/>
      <c r="U604" s="57"/>
      <c r="V604" s="73">
        <f t="shared" si="28"/>
        <v>0</v>
      </c>
      <c r="W604" s="106"/>
      <c r="X604" s="64"/>
    </row>
    <row r="605" spans="1:24" s="66" customFormat="1" ht="12" hidden="1" customHeight="1">
      <c r="A605" s="74" t="s">
        <v>1716</v>
      </c>
      <c r="B605" s="74"/>
      <c r="C605" s="74"/>
      <c r="D605" s="74"/>
      <c r="E605" s="74"/>
      <c r="F605" s="74"/>
      <c r="G605" s="74"/>
      <c r="H605" s="74"/>
      <c r="I605" s="75" t="s">
        <v>2040</v>
      </c>
      <c r="J605" s="75" t="s">
        <v>2041</v>
      </c>
      <c r="K605" s="74" t="s">
        <v>1560</v>
      </c>
      <c r="L605" s="76" t="s">
        <v>1484</v>
      </c>
      <c r="M605" s="57"/>
      <c r="N605" s="77">
        <v>0</v>
      </c>
      <c r="O605" s="57">
        <f t="shared" si="26"/>
        <v>0</v>
      </c>
      <c r="P605" s="77">
        <v>63476</v>
      </c>
      <c r="Q605" s="73">
        <f t="shared" si="27"/>
        <v>0</v>
      </c>
      <c r="R605" s="57"/>
      <c r="S605" s="57"/>
      <c r="T605" s="57"/>
      <c r="U605" s="57"/>
      <c r="V605" s="73">
        <f t="shared" si="28"/>
        <v>0</v>
      </c>
      <c r="W605" s="106"/>
      <c r="X605" s="64"/>
    </row>
    <row r="606" spans="1:24" s="66" customFormat="1" ht="12" hidden="1" customHeight="1">
      <c r="A606" s="74" t="s">
        <v>552</v>
      </c>
      <c r="B606" s="74"/>
      <c r="C606" s="74"/>
      <c r="D606" s="74"/>
      <c r="E606" s="74"/>
      <c r="F606" s="74"/>
      <c r="G606" s="74"/>
      <c r="H606" s="74"/>
      <c r="I606" s="75" t="s">
        <v>2042</v>
      </c>
      <c r="J606" s="75" t="s">
        <v>1053</v>
      </c>
      <c r="K606" s="74" t="s">
        <v>1054</v>
      </c>
      <c r="L606" s="76" t="s">
        <v>1484</v>
      </c>
      <c r="M606" s="57"/>
      <c r="N606" s="77">
        <v>29990</v>
      </c>
      <c r="O606" s="57">
        <f t="shared" si="26"/>
        <v>0</v>
      </c>
      <c r="P606" s="77">
        <v>70731</v>
      </c>
      <c r="Q606" s="73">
        <f t="shared" si="27"/>
        <v>0</v>
      </c>
      <c r="R606" s="57"/>
      <c r="S606" s="57"/>
      <c r="T606" s="57"/>
      <c r="U606" s="57"/>
      <c r="V606" s="73">
        <f t="shared" si="28"/>
        <v>0</v>
      </c>
      <c r="W606" s="106"/>
      <c r="X606" s="64"/>
    </row>
    <row r="607" spans="1:24" s="66" customFormat="1" ht="12" hidden="1" customHeight="1">
      <c r="A607" s="74" t="s">
        <v>553</v>
      </c>
      <c r="B607" s="74"/>
      <c r="C607" s="74"/>
      <c r="D607" s="74"/>
      <c r="E607" s="74"/>
      <c r="F607" s="74"/>
      <c r="G607" s="74"/>
      <c r="H607" s="74"/>
      <c r="I607" s="75" t="s">
        <v>2043</v>
      </c>
      <c r="J607" s="75" t="s">
        <v>1053</v>
      </c>
      <c r="K607" s="74" t="s">
        <v>1052</v>
      </c>
      <c r="L607" s="76" t="s">
        <v>1484</v>
      </c>
      <c r="M607" s="57"/>
      <c r="N607" s="77">
        <v>30990</v>
      </c>
      <c r="O607" s="57">
        <f t="shared" si="26"/>
        <v>0</v>
      </c>
      <c r="P607" s="77">
        <v>108299</v>
      </c>
      <c r="Q607" s="73">
        <f t="shared" si="27"/>
        <v>0</v>
      </c>
      <c r="R607" s="57"/>
      <c r="S607" s="57"/>
      <c r="T607" s="57"/>
      <c r="U607" s="57"/>
      <c r="V607" s="73">
        <f t="shared" si="28"/>
        <v>0</v>
      </c>
      <c r="W607" s="106"/>
      <c r="X607" s="64"/>
    </row>
    <row r="608" spans="1:24" s="66" customFormat="1" ht="12" hidden="1" customHeight="1">
      <c r="A608" s="74" t="s">
        <v>554</v>
      </c>
      <c r="B608" s="74"/>
      <c r="C608" s="74"/>
      <c r="D608" s="74"/>
      <c r="E608" s="74"/>
      <c r="F608" s="74"/>
      <c r="G608" s="74"/>
      <c r="H608" s="74"/>
      <c r="I608" s="75" t="s">
        <v>2044</v>
      </c>
      <c r="J608" s="75" t="s">
        <v>1048</v>
      </c>
      <c r="K608" s="74" t="s">
        <v>1051</v>
      </c>
      <c r="L608" s="76" t="s">
        <v>1484</v>
      </c>
      <c r="M608" s="57"/>
      <c r="N608" s="77">
        <v>8990</v>
      </c>
      <c r="O608" s="57">
        <f t="shared" si="26"/>
        <v>0</v>
      </c>
      <c r="P608" s="77">
        <v>71767</v>
      </c>
      <c r="Q608" s="73">
        <f t="shared" si="27"/>
        <v>0</v>
      </c>
      <c r="R608" s="57"/>
      <c r="S608" s="57"/>
      <c r="T608" s="57"/>
      <c r="U608" s="57"/>
      <c r="V608" s="73">
        <f t="shared" si="28"/>
        <v>0</v>
      </c>
      <c r="W608" s="106"/>
      <c r="X608" s="64"/>
    </row>
    <row r="609" spans="1:24" s="66" customFormat="1" ht="12" hidden="1" customHeight="1">
      <c r="A609" s="74" t="s">
        <v>555</v>
      </c>
      <c r="B609" s="74"/>
      <c r="C609" s="74"/>
      <c r="D609" s="74"/>
      <c r="E609" s="74"/>
      <c r="F609" s="74"/>
      <c r="G609" s="74"/>
      <c r="H609" s="74"/>
      <c r="I609" s="75" t="s">
        <v>2045</v>
      </c>
      <c r="J609" s="75" t="s">
        <v>1048</v>
      </c>
      <c r="K609" s="74" t="s">
        <v>1050</v>
      </c>
      <c r="L609" s="76" t="s">
        <v>1484</v>
      </c>
      <c r="M609" s="57"/>
      <c r="N609" s="77">
        <v>17490</v>
      </c>
      <c r="O609" s="57">
        <f t="shared" si="26"/>
        <v>0</v>
      </c>
      <c r="P609" s="77">
        <v>121253</v>
      </c>
      <c r="Q609" s="73">
        <f t="shared" si="27"/>
        <v>0</v>
      </c>
      <c r="R609" s="57"/>
      <c r="S609" s="57"/>
      <c r="T609" s="57"/>
      <c r="U609" s="57"/>
      <c r="V609" s="73">
        <f t="shared" si="28"/>
        <v>0</v>
      </c>
      <c r="W609" s="106"/>
      <c r="X609" s="64"/>
    </row>
    <row r="610" spans="1:24" s="66" customFormat="1" ht="12" hidden="1" customHeight="1">
      <c r="A610" s="74" t="s">
        <v>556</v>
      </c>
      <c r="B610" s="74"/>
      <c r="C610" s="74"/>
      <c r="D610" s="74"/>
      <c r="E610" s="74"/>
      <c r="F610" s="74"/>
      <c r="G610" s="74"/>
      <c r="H610" s="74"/>
      <c r="I610" s="75" t="s">
        <v>2044</v>
      </c>
      <c r="J610" s="75" t="s">
        <v>1048</v>
      </c>
      <c r="K610" s="74" t="s">
        <v>1049</v>
      </c>
      <c r="L610" s="76" t="s">
        <v>1484</v>
      </c>
      <c r="M610" s="57"/>
      <c r="N610" s="77">
        <v>10490</v>
      </c>
      <c r="O610" s="57">
        <f t="shared" si="26"/>
        <v>0</v>
      </c>
      <c r="P610" s="77">
        <v>71767</v>
      </c>
      <c r="Q610" s="73">
        <f t="shared" si="27"/>
        <v>0</v>
      </c>
      <c r="R610" s="57"/>
      <c r="S610" s="57"/>
      <c r="T610" s="57"/>
      <c r="U610" s="57"/>
      <c r="V610" s="73">
        <f t="shared" si="28"/>
        <v>0</v>
      </c>
      <c r="W610" s="106"/>
      <c r="X610" s="64"/>
    </row>
    <row r="611" spans="1:24" s="66" customFormat="1" ht="12" hidden="1" customHeight="1">
      <c r="A611" s="74" t="s">
        <v>557</v>
      </c>
      <c r="B611" s="74"/>
      <c r="C611" s="74"/>
      <c r="D611" s="74"/>
      <c r="E611" s="74"/>
      <c r="F611" s="74"/>
      <c r="G611" s="74"/>
      <c r="H611" s="74"/>
      <c r="I611" s="75" t="s">
        <v>2045</v>
      </c>
      <c r="J611" s="75" t="s">
        <v>1048</v>
      </c>
      <c r="K611" s="74" t="s">
        <v>1047</v>
      </c>
      <c r="L611" s="76" t="s">
        <v>1484</v>
      </c>
      <c r="M611" s="57"/>
      <c r="N611" s="77">
        <v>19490</v>
      </c>
      <c r="O611" s="57">
        <f t="shared" si="26"/>
        <v>0</v>
      </c>
      <c r="P611" s="77">
        <v>121253</v>
      </c>
      <c r="Q611" s="73">
        <f t="shared" si="27"/>
        <v>0</v>
      </c>
      <c r="R611" s="57"/>
      <c r="S611" s="57"/>
      <c r="T611" s="57"/>
      <c r="U611" s="57"/>
      <c r="V611" s="73">
        <f t="shared" si="28"/>
        <v>0</v>
      </c>
      <c r="W611" s="106"/>
      <c r="X611" s="64"/>
    </row>
    <row r="612" spans="1:24" s="66" customFormat="1" ht="12" hidden="1" customHeight="1">
      <c r="A612" s="74" t="s">
        <v>558</v>
      </c>
      <c r="B612" s="74"/>
      <c r="C612" s="74"/>
      <c r="D612" s="74"/>
      <c r="E612" s="74"/>
      <c r="F612" s="74"/>
      <c r="G612" s="74"/>
      <c r="H612" s="74"/>
      <c r="I612" s="75" t="s">
        <v>2044</v>
      </c>
      <c r="J612" s="75" t="s">
        <v>1045</v>
      </c>
      <c r="K612" s="74" t="s">
        <v>1046</v>
      </c>
      <c r="L612" s="76" t="s">
        <v>1484</v>
      </c>
      <c r="M612" s="57"/>
      <c r="N612" s="77">
        <v>22310</v>
      </c>
      <c r="O612" s="57">
        <f t="shared" si="26"/>
        <v>0</v>
      </c>
      <c r="P612" s="77">
        <v>71767</v>
      </c>
      <c r="Q612" s="73">
        <f t="shared" si="27"/>
        <v>0</v>
      </c>
      <c r="R612" s="57"/>
      <c r="S612" s="57"/>
      <c r="T612" s="57"/>
      <c r="U612" s="57"/>
      <c r="V612" s="73">
        <f t="shared" si="28"/>
        <v>0</v>
      </c>
      <c r="W612" s="106"/>
      <c r="X612" s="64"/>
    </row>
    <row r="613" spans="1:24" s="66" customFormat="1" ht="12" hidden="1" customHeight="1">
      <c r="A613" s="74" t="s">
        <v>559</v>
      </c>
      <c r="B613" s="74"/>
      <c r="C613" s="74"/>
      <c r="D613" s="74"/>
      <c r="E613" s="74"/>
      <c r="F613" s="74"/>
      <c r="G613" s="74"/>
      <c r="H613" s="74"/>
      <c r="I613" s="75" t="s">
        <v>2044</v>
      </c>
      <c r="J613" s="75" t="s">
        <v>1045</v>
      </c>
      <c r="K613" s="74" t="s">
        <v>1044</v>
      </c>
      <c r="L613" s="76" t="s">
        <v>1484</v>
      </c>
      <c r="M613" s="57"/>
      <c r="N613" s="77">
        <v>23320</v>
      </c>
      <c r="O613" s="57">
        <f t="shared" si="26"/>
        <v>0</v>
      </c>
      <c r="P613" s="77">
        <v>71767</v>
      </c>
      <c r="Q613" s="73">
        <f t="shared" si="27"/>
        <v>0</v>
      </c>
      <c r="R613" s="57"/>
      <c r="S613" s="57"/>
      <c r="T613" s="57"/>
      <c r="U613" s="57"/>
      <c r="V613" s="73">
        <f t="shared" si="28"/>
        <v>0</v>
      </c>
      <c r="W613" s="106"/>
      <c r="X613" s="64"/>
    </row>
    <row r="614" spans="1:24" s="66" customFormat="1" ht="12" hidden="1" customHeight="1">
      <c r="A614" s="74" t="s">
        <v>560</v>
      </c>
      <c r="B614" s="74"/>
      <c r="C614" s="74"/>
      <c r="D614" s="74"/>
      <c r="E614" s="74"/>
      <c r="F614" s="74"/>
      <c r="G614" s="74"/>
      <c r="H614" s="74"/>
      <c r="I614" s="75" t="s">
        <v>2046</v>
      </c>
      <c r="J614" s="75" t="s">
        <v>1039</v>
      </c>
      <c r="K614" s="74" t="s">
        <v>1043</v>
      </c>
      <c r="L614" s="76" t="s">
        <v>1484</v>
      </c>
      <c r="M614" s="57"/>
      <c r="N614" s="77">
        <v>6580</v>
      </c>
      <c r="O614" s="57">
        <f t="shared" si="26"/>
        <v>0</v>
      </c>
      <c r="P614" s="77">
        <v>57776</v>
      </c>
      <c r="Q614" s="73">
        <f t="shared" si="27"/>
        <v>0</v>
      </c>
      <c r="R614" s="57"/>
      <c r="S614" s="57"/>
      <c r="T614" s="57"/>
      <c r="U614" s="57"/>
      <c r="V614" s="73">
        <f t="shared" si="28"/>
        <v>0</v>
      </c>
      <c r="W614" s="106"/>
      <c r="X614" s="64"/>
    </row>
    <row r="615" spans="1:24" s="66" customFormat="1" ht="12" hidden="1" customHeight="1">
      <c r="A615" s="74" t="s">
        <v>561</v>
      </c>
      <c r="B615" s="74"/>
      <c r="C615" s="74"/>
      <c r="D615" s="74"/>
      <c r="E615" s="74"/>
      <c r="F615" s="74"/>
      <c r="G615" s="74"/>
      <c r="H615" s="74"/>
      <c r="I615" s="75" t="s">
        <v>2046</v>
      </c>
      <c r="J615" s="75" t="s">
        <v>1039</v>
      </c>
      <c r="K615" s="74" t="s">
        <v>1042</v>
      </c>
      <c r="L615" s="76" t="s">
        <v>1484</v>
      </c>
      <c r="M615" s="57"/>
      <c r="N615" s="77">
        <v>7560</v>
      </c>
      <c r="O615" s="57">
        <f t="shared" si="26"/>
        <v>0</v>
      </c>
      <c r="P615" s="77">
        <v>57776</v>
      </c>
      <c r="Q615" s="73">
        <f t="shared" si="27"/>
        <v>0</v>
      </c>
      <c r="R615" s="57"/>
      <c r="S615" s="57"/>
      <c r="T615" s="57"/>
      <c r="U615" s="57"/>
      <c r="V615" s="73">
        <f t="shared" si="28"/>
        <v>0</v>
      </c>
      <c r="W615" s="106"/>
      <c r="X615" s="64"/>
    </row>
    <row r="616" spans="1:24" s="66" customFormat="1" ht="12" hidden="1" customHeight="1">
      <c r="A616" s="74" t="s">
        <v>562</v>
      </c>
      <c r="B616" s="74"/>
      <c r="C616" s="74"/>
      <c r="D616" s="74"/>
      <c r="E616" s="74"/>
      <c r="F616" s="74"/>
      <c r="G616" s="74"/>
      <c r="H616" s="74"/>
      <c r="I616" s="75" t="s">
        <v>2046</v>
      </c>
      <c r="J616" s="75" t="s">
        <v>1039</v>
      </c>
      <c r="K616" s="74" t="s">
        <v>1041</v>
      </c>
      <c r="L616" s="76" t="s">
        <v>1484</v>
      </c>
      <c r="M616" s="57"/>
      <c r="N616" s="77">
        <v>8170</v>
      </c>
      <c r="O616" s="57">
        <f t="shared" si="26"/>
        <v>0</v>
      </c>
      <c r="P616" s="77">
        <v>57776</v>
      </c>
      <c r="Q616" s="73">
        <f t="shared" si="27"/>
        <v>0</v>
      </c>
      <c r="R616" s="57"/>
      <c r="S616" s="57"/>
      <c r="T616" s="57"/>
      <c r="U616" s="57"/>
      <c r="V616" s="73">
        <f t="shared" si="28"/>
        <v>0</v>
      </c>
      <c r="W616" s="106"/>
      <c r="X616" s="64"/>
    </row>
    <row r="617" spans="1:24" s="66" customFormat="1" ht="12" hidden="1" customHeight="1">
      <c r="A617" s="74" t="s">
        <v>563</v>
      </c>
      <c r="B617" s="74"/>
      <c r="C617" s="74"/>
      <c r="D617" s="74"/>
      <c r="E617" s="74"/>
      <c r="F617" s="74"/>
      <c r="G617" s="74"/>
      <c r="H617" s="74"/>
      <c r="I617" s="75" t="s">
        <v>2046</v>
      </c>
      <c r="J617" s="75" t="s">
        <v>1039</v>
      </c>
      <c r="K617" s="74" t="s">
        <v>1040</v>
      </c>
      <c r="L617" s="76" t="s">
        <v>1484</v>
      </c>
      <c r="M617" s="57"/>
      <c r="N617" s="77">
        <v>8780</v>
      </c>
      <c r="O617" s="57">
        <f t="shared" si="26"/>
        <v>0</v>
      </c>
      <c r="P617" s="77">
        <v>57776</v>
      </c>
      <c r="Q617" s="73">
        <f t="shared" si="27"/>
        <v>0</v>
      </c>
      <c r="R617" s="57"/>
      <c r="S617" s="57"/>
      <c r="T617" s="57"/>
      <c r="U617" s="57"/>
      <c r="V617" s="73">
        <f t="shared" si="28"/>
        <v>0</v>
      </c>
      <c r="W617" s="106"/>
      <c r="X617" s="64"/>
    </row>
    <row r="618" spans="1:24" s="66" customFormat="1" ht="12" hidden="1" customHeight="1">
      <c r="A618" s="74" t="s">
        <v>564</v>
      </c>
      <c r="B618" s="74"/>
      <c r="C618" s="74"/>
      <c r="D618" s="74"/>
      <c r="E618" s="74"/>
      <c r="F618" s="74"/>
      <c r="G618" s="74"/>
      <c r="H618" s="74"/>
      <c r="I618" s="75" t="s">
        <v>2046</v>
      </c>
      <c r="J618" s="75" t="s">
        <v>1039</v>
      </c>
      <c r="K618" s="74" t="s">
        <v>1038</v>
      </c>
      <c r="L618" s="76" t="s">
        <v>1484</v>
      </c>
      <c r="M618" s="57"/>
      <c r="N618" s="77">
        <v>13310</v>
      </c>
      <c r="O618" s="57">
        <f t="shared" si="26"/>
        <v>0</v>
      </c>
      <c r="P618" s="77">
        <v>57776</v>
      </c>
      <c r="Q618" s="73">
        <f t="shared" si="27"/>
        <v>0</v>
      </c>
      <c r="R618" s="57"/>
      <c r="S618" s="57"/>
      <c r="T618" s="57"/>
      <c r="U618" s="57"/>
      <c r="V618" s="73">
        <f t="shared" si="28"/>
        <v>0</v>
      </c>
      <c r="W618" s="106"/>
      <c r="X618" s="64"/>
    </row>
    <row r="619" spans="1:24" s="66" customFormat="1" ht="12" hidden="1" customHeight="1">
      <c r="A619" s="74" t="s">
        <v>565</v>
      </c>
      <c r="B619" s="74"/>
      <c r="C619" s="74"/>
      <c r="D619" s="74"/>
      <c r="E619" s="74"/>
      <c r="F619" s="74"/>
      <c r="G619" s="74"/>
      <c r="H619" s="74"/>
      <c r="I619" s="75" t="s">
        <v>2047</v>
      </c>
      <c r="J619" s="75" t="s">
        <v>1016</v>
      </c>
      <c r="K619" s="74" t="s">
        <v>951</v>
      </c>
      <c r="L619" s="76" t="s">
        <v>1484</v>
      </c>
      <c r="M619" s="57"/>
      <c r="N619" s="77">
        <v>2350</v>
      </c>
      <c r="O619" s="57">
        <f t="shared" si="26"/>
        <v>0</v>
      </c>
      <c r="P619" s="77">
        <v>36531</v>
      </c>
      <c r="Q619" s="73">
        <f t="shared" si="27"/>
        <v>0</v>
      </c>
      <c r="R619" s="57"/>
      <c r="S619" s="57"/>
      <c r="T619" s="57"/>
      <c r="U619" s="57"/>
      <c r="V619" s="73">
        <f t="shared" si="28"/>
        <v>0</v>
      </c>
      <c r="W619" s="106"/>
      <c r="X619" s="64"/>
    </row>
    <row r="620" spans="1:24" s="66" customFormat="1" ht="12" hidden="1" customHeight="1">
      <c r="A620" s="74" t="s">
        <v>566</v>
      </c>
      <c r="B620" s="74"/>
      <c r="C620" s="74"/>
      <c r="D620" s="74"/>
      <c r="E620" s="74"/>
      <c r="F620" s="74"/>
      <c r="G620" s="74"/>
      <c r="H620" s="74"/>
      <c r="I620" s="75" t="s">
        <v>2046</v>
      </c>
      <c r="J620" s="75" t="s">
        <v>1016</v>
      </c>
      <c r="K620" s="74" t="s">
        <v>952</v>
      </c>
      <c r="L620" s="76" t="s">
        <v>1484</v>
      </c>
      <c r="M620" s="57"/>
      <c r="N620" s="77">
        <v>2700</v>
      </c>
      <c r="O620" s="57">
        <f t="shared" si="26"/>
        <v>0</v>
      </c>
      <c r="P620" s="77">
        <v>57776</v>
      </c>
      <c r="Q620" s="73">
        <f t="shared" si="27"/>
        <v>0</v>
      </c>
      <c r="R620" s="57"/>
      <c r="S620" s="57"/>
      <c r="T620" s="57"/>
      <c r="U620" s="57"/>
      <c r="V620" s="73">
        <f t="shared" si="28"/>
        <v>0</v>
      </c>
      <c r="W620" s="106"/>
      <c r="X620" s="64"/>
    </row>
    <row r="621" spans="1:24" s="66" customFormat="1" ht="12" hidden="1" customHeight="1">
      <c r="A621" s="74" t="s">
        <v>567</v>
      </c>
      <c r="B621" s="74"/>
      <c r="C621" s="74"/>
      <c r="D621" s="74"/>
      <c r="E621" s="74"/>
      <c r="F621" s="74"/>
      <c r="G621" s="74"/>
      <c r="H621" s="74"/>
      <c r="I621" s="75" t="s">
        <v>2046</v>
      </c>
      <c r="J621" s="75" t="s">
        <v>1016</v>
      </c>
      <c r="K621" s="74" t="s">
        <v>953</v>
      </c>
      <c r="L621" s="76" t="s">
        <v>1484</v>
      </c>
      <c r="M621" s="57"/>
      <c r="N621" s="77">
        <v>3830</v>
      </c>
      <c r="O621" s="57">
        <f t="shared" si="26"/>
        <v>0</v>
      </c>
      <c r="P621" s="77">
        <v>57776</v>
      </c>
      <c r="Q621" s="73">
        <f t="shared" si="27"/>
        <v>0</v>
      </c>
      <c r="R621" s="57"/>
      <c r="S621" s="57"/>
      <c r="T621" s="57"/>
      <c r="U621" s="57"/>
      <c r="V621" s="73">
        <f t="shared" si="28"/>
        <v>0</v>
      </c>
      <c r="W621" s="106"/>
      <c r="X621" s="64"/>
    </row>
    <row r="622" spans="1:24" s="66" customFormat="1" ht="12" hidden="1" customHeight="1">
      <c r="A622" s="74" t="s">
        <v>568</v>
      </c>
      <c r="B622" s="74"/>
      <c r="C622" s="74"/>
      <c r="D622" s="74"/>
      <c r="E622" s="74"/>
      <c r="F622" s="74"/>
      <c r="G622" s="74"/>
      <c r="H622" s="74"/>
      <c r="I622" s="75" t="s">
        <v>2047</v>
      </c>
      <c r="J622" s="75" t="s">
        <v>1015</v>
      </c>
      <c r="K622" s="74" t="s">
        <v>954</v>
      </c>
      <c r="L622" s="76" t="s">
        <v>1484</v>
      </c>
      <c r="M622" s="57"/>
      <c r="N622" s="77">
        <v>2020</v>
      </c>
      <c r="O622" s="57">
        <f t="shared" si="26"/>
        <v>0</v>
      </c>
      <c r="P622" s="77">
        <v>36531</v>
      </c>
      <c r="Q622" s="73">
        <f t="shared" si="27"/>
        <v>0</v>
      </c>
      <c r="R622" s="57"/>
      <c r="S622" s="57"/>
      <c r="T622" s="57"/>
      <c r="U622" s="57"/>
      <c r="V622" s="73">
        <f t="shared" si="28"/>
        <v>0</v>
      </c>
      <c r="W622" s="106"/>
      <c r="X622" s="64"/>
    </row>
    <row r="623" spans="1:24" s="66" customFormat="1" ht="12" hidden="1" customHeight="1">
      <c r="A623" s="74" t="s">
        <v>569</v>
      </c>
      <c r="B623" s="74"/>
      <c r="C623" s="74"/>
      <c r="D623" s="74"/>
      <c r="E623" s="74"/>
      <c r="F623" s="74"/>
      <c r="G623" s="74"/>
      <c r="H623" s="74"/>
      <c r="I623" s="75" t="s">
        <v>2046</v>
      </c>
      <c r="J623" s="75" t="s">
        <v>1015</v>
      </c>
      <c r="K623" s="74" t="s">
        <v>955</v>
      </c>
      <c r="L623" s="76" t="s">
        <v>1484</v>
      </c>
      <c r="M623" s="57"/>
      <c r="N623" s="77">
        <v>2040</v>
      </c>
      <c r="O623" s="57">
        <f t="shared" si="26"/>
        <v>0</v>
      </c>
      <c r="P623" s="77">
        <v>57776</v>
      </c>
      <c r="Q623" s="73">
        <f t="shared" si="27"/>
        <v>0</v>
      </c>
      <c r="R623" s="57"/>
      <c r="S623" s="57"/>
      <c r="T623" s="57"/>
      <c r="U623" s="57"/>
      <c r="V623" s="73">
        <f t="shared" si="28"/>
        <v>0</v>
      </c>
      <c r="W623" s="106"/>
      <c r="X623" s="64"/>
    </row>
    <row r="624" spans="1:24" s="66" customFormat="1" ht="12" hidden="1" customHeight="1">
      <c r="A624" s="74" t="s">
        <v>570</v>
      </c>
      <c r="B624" s="74"/>
      <c r="C624" s="74"/>
      <c r="D624" s="74"/>
      <c r="E624" s="74"/>
      <c r="F624" s="74"/>
      <c r="G624" s="74"/>
      <c r="H624" s="74"/>
      <c r="I624" s="75" t="s">
        <v>2046</v>
      </c>
      <c r="J624" s="75" t="s">
        <v>1015</v>
      </c>
      <c r="K624" s="74" t="s">
        <v>956</v>
      </c>
      <c r="L624" s="76" t="s">
        <v>1484</v>
      </c>
      <c r="M624" s="57"/>
      <c r="N624" s="77">
        <v>2140</v>
      </c>
      <c r="O624" s="57">
        <f t="shared" si="26"/>
        <v>0</v>
      </c>
      <c r="P624" s="77">
        <v>57776</v>
      </c>
      <c r="Q624" s="73">
        <f t="shared" si="27"/>
        <v>0</v>
      </c>
      <c r="R624" s="57"/>
      <c r="S624" s="57"/>
      <c r="T624" s="57"/>
      <c r="U624" s="57"/>
      <c r="V624" s="73">
        <f t="shared" si="28"/>
        <v>0</v>
      </c>
      <c r="W624" s="106"/>
      <c r="X624" s="64"/>
    </row>
    <row r="625" spans="1:24" s="66" customFormat="1" ht="12" hidden="1" customHeight="1">
      <c r="A625" s="74" t="s">
        <v>571</v>
      </c>
      <c r="B625" s="74"/>
      <c r="C625" s="74"/>
      <c r="D625" s="74"/>
      <c r="E625" s="74"/>
      <c r="F625" s="74"/>
      <c r="G625" s="74"/>
      <c r="H625" s="74"/>
      <c r="I625" s="75" t="s">
        <v>2048</v>
      </c>
      <c r="J625" s="75" t="s">
        <v>1015</v>
      </c>
      <c r="K625" s="74" t="s">
        <v>957</v>
      </c>
      <c r="L625" s="76" t="s">
        <v>1484</v>
      </c>
      <c r="M625" s="57"/>
      <c r="N625" s="77">
        <v>3210</v>
      </c>
      <c r="O625" s="57">
        <f t="shared" si="26"/>
        <v>0</v>
      </c>
      <c r="P625" s="77">
        <v>107262</v>
      </c>
      <c r="Q625" s="73">
        <f t="shared" si="27"/>
        <v>0</v>
      </c>
      <c r="R625" s="57"/>
      <c r="S625" s="57"/>
      <c r="T625" s="57"/>
      <c r="U625" s="57"/>
      <c r="V625" s="73">
        <f t="shared" si="28"/>
        <v>0</v>
      </c>
      <c r="W625" s="106"/>
      <c r="X625" s="64"/>
    </row>
    <row r="626" spans="1:24" s="66" customFormat="1" ht="12" hidden="1" customHeight="1">
      <c r="A626" s="74" t="s">
        <v>572</v>
      </c>
      <c r="B626" s="74"/>
      <c r="C626" s="74"/>
      <c r="D626" s="74"/>
      <c r="E626" s="74"/>
      <c r="F626" s="74"/>
      <c r="G626" s="74"/>
      <c r="H626" s="74"/>
      <c r="I626" s="75" t="s">
        <v>2049</v>
      </c>
      <c r="J626" s="75" t="s">
        <v>993</v>
      </c>
      <c r="K626" s="74" t="s">
        <v>995</v>
      </c>
      <c r="L626" s="76" t="s">
        <v>1484</v>
      </c>
      <c r="M626" s="57"/>
      <c r="N626" s="77">
        <v>6000</v>
      </c>
      <c r="O626" s="57">
        <f t="shared" si="26"/>
        <v>0</v>
      </c>
      <c r="P626" s="77">
        <v>45858</v>
      </c>
      <c r="Q626" s="73">
        <f t="shared" si="27"/>
        <v>0</v>
      </c>
      <c r="R626" s="57"/>
      <c r="S626" s="57"/>
      <c r="T626" s="57"/>
      <c r="U626" s="57"/>
      <c r="V626" s="73">
        <f t="shared" si="28"/>
        <v>0</v>
      </c>
      <c r="W626" s="106"/>
      <c r="X626" s="64"/>
    </row>
    <row r="627" spans="1:24" s="66" customFormat="1" ht="12" hidden="1" customHeight="1">
      <c r="A627" s="74" t="s">
        <v>573</v>
      </c>
      <c r="B627" s="74"/>
      <c r="C627" s="74"/>
      <c r="D627" s="74"/>
      <c r="E627" s="74"/>
      <c r="F627" s="74"/>
      <c r="G627" s="74"/>
      <c r="H627" s="74"/>
      <c r="I627" s="75" t="s">
        <v>2044</v>
      </c>
      <c r="J627" s="75" t="s">
        <v>993</v>
      </c>
      <c r="K627" s="74" t="s">
        <v>994</v>
      </c>
      <c r="L627" s="76" t="s">
        <v>1484</v>
      </c>
      <c r="M627" s="57"/>
      <c r="N627" s="77">
        <v>6000</v>
      </c>
      <c r="O627" s="57">
        <f t="shared" si="26"/>
        <v>0</v>
      </c>
      <c r="P627" s="77">
        <v>71767</v>
      </c>
      <c r="Q627" s="73">
        <f t="shared" si="27"/>
        <v>0</v>
      </c>
      <c r="R627" s="57"/>
      <c r="S627" s="57"/>
      <c r="T627" s="57"/>
      <c r="U627" s="57"/>
      <c r="V627" s="73">
        <f t="shared" si="28"/>
        <v>0</v>
      </c>
      <c r="W627" s="106"/>
      <c r="X627" s="64"/>
    </row>
    <row r="628" spans="1:24" s="66" customFormat="1" ht="12" hidden="1" customHeight="1">
      <c r="A628" s="74" t="s">
        <v>1717</v>
      </c>
      <c r="B628" s="74"/>
      <c r="C628" s="74"/>
      <c r="D628" s="74"/>
      <c r="E628" s="74"/>
      <c r="F628" s="74"/>
      <c r="G628" s="74"/>
      <c r="H628" s="74"/>
      <c r="I628" s="75" t="s">
        <v>2050</v>
      </c>
      <c r="J628" s="75" t="s">
        <v>1572</v>
      </c>
      <c r="K628" s="74" t="s">
        <v>1568</v>
      </c>
      <c r="L628" s="76" t="s">
        <v>20</v>
      </c>
      <c r="M628" s="57"/>
      <c r="N628" s="77">
        <v>0</v>
      </c>
      <c r="O628" s="57">
        <f t="shared" si="26"/>
        <v>0</v>
      </c>
      <c r="P628" s="77">
        <v>62699</v>
      </c>
      <c r="Q628" s="73">
        <f t="shared" si="27"/>
        <v>0</v>
      </c>
      <c r="R628" s="57"/>
      <c r="S628" s="57"/>
      <c r="T628" s="57"/>
      <c r="U628" s="57"/>
      <c r="V628" s="73">
        <f t="shared" si="28"/>
        <v>0</v>
      </c>
      <c r="W628" s="106"/>
      <c r="X628" s="64"/>
    </row>
    <row r="629" spans="1:24" s="66" customFormat="1" ht="12" hidden="1" customHeight="1">
      <c r="A629" s="74" t="s">
        <v>1718</v>
      </c>
      <c r="B629" s="74"/>
      <c r="C629" s="74"/>
      <c r="D629" s="74"/>
      <c r="E629" s="74"/>
      <c r="F629" s="74"/>
      <c r="G629" s="74"/>
      <c r="H629" s="74"/>
      <c r="I629" s="75" t="s">
        <v>2051</v>
      </c>
      <c r="J629" s="75" t="s">
        <v>1573</v>
      </c>
      <c r="K629" s="74" t="s">
        <v>1569</v>
      </c>
      <c r="L629" s="76" t="s">
        <v>20</v>
      </c>
      <c r="M629" s="57"/>
      <c r="N629" s="77">
        <v>0</v>
      </c>
      <c r="O629" s="57">
        <f t="shared" si="26"/>
        <v>0</v>
      </c>
      <c r="P629" s="77">
        <v>68140</v>
      </c>
      <c r="Q629" s="73">
        <f t="shared" si="27"/>
        <v>0</v>
      </c>
      <c r="R629" s="57"/>
      <c r="S629" s="57"/>
      <c r="T629" s="57"/>
      <c r="U629" s="57"/>
      <c r="V629" s="73">
        <f t="shared" si="28"/>
        <v>0</v>
      </c>
      <c r="W629" s="106"/>
      <c r="X629" s="64"/>
    </row>
    <row r="630" spans="1:24" s="66" customFormat="1" ht="12" hidden="1" customHeight="1">
      <c r="A630" s="74" t="s">
        <v>574</v>
      </c>
      <c r="B630" s="74"/>
      <c r="C630" s="74"/>
      <c r="D630" s="74"/>
      <c r="E630" s="74"/>
      <c r="F630" s="74"/>
      <c r="G630" s="74"/>
      <c r="H630" s="74"/>
      <c r="I630" s="75" t="s">
        <v>2052</v>
      </c>
      <c r="J630" s="75" t="s">
        <v>1025</v>
      </c>
      <c r="K630" s="74" t="s">
        <v>948</v>
      </c>
      <c r="L630" s="76" t="s">
        <v>20</v>
      </c>
      <c r="M630" s="57"/>
      <c r="N630" s="77">
        <v>125320</v>
      </c>
      <c r="O630" s="57">
        <f t="shared" si="26"/>
        <v>0</v>
      </c>
      <c r="P630" s="77">
        <v>79281</v>
      </c>
      <c r="Q630" s="73">
        <f t="shared" si="27"/>
        <v>0</v>
      </c>
      <c r="R630" s="57"/>
      <c r="S630" s="57"/>
      <c r="T630" s="57"/>
      <c r="U630" s="57"/>
      <c r="V630" s="73">
        <f t="shared" si="28"/>
        <v>0</v>
      </c>
      <c r="W630" s="106"/>
      <c r="X630" s="64"/>
    </row>
    <row r="631" spans="1:24" s="66" customFormat="1" ht="12" hidden="1" customHeight="1">
      <c r="A631" s="74" t="s">
        <v>625</v>
      </c>
      <c r="B631" s="74"/>
      <c r="C631" s="74"/>
      <c r="D631" s="74"/>
      <c r="E631" s="74"/>
      <c r="F631" s="74"/>
      <c r="G631" s="74"/>
      <c r="H631" s="74"/>
      <c r="I631" s="75" t="s">
        <v>2144</v>
      </c>
      <c r="J631" s="75" t="s">
        <v>1268</v>
      </c>
      <c r="K631" s="74" t="s">
        <v>1257</v>
      </c>
      <c r="L631" s="76" t="s">
        <v>974</v>
      </c>
      <c r="M631" s="57"/>
      <c r="N631" s="77">
        <v>42460</v>
      </c>
      <c r="O631" s="57">
        <f t="shared" ref="O631:O694" si="29">M631*N631*$O$3</f>
        <v>0</v>
      </c>
      <c r="P631" s="77">
        <v>27147</v>
      </c>
      <c r="Q631" s="73">
        <f t="shared" si="27"/>
        <v>0</v>
      </c>
      <c r="R631" s="57"/>
      <c r="S631" s="57"/>
      <c r="T631" s="57"/>
      <c r="U631" s="57"/>
      <c r="V631" s="73">
        <f t="shared" si="28"/>
        <v>0</v>
      </c>
      <c r="W631" s="106"/>
      <c r="X631" s="64"/>
    </row>
    <row r="632" spans="1:24" s="66" customFormat="1" ht="12" hidden="1" customHeight="1">
      <c r="A632" s="74" t="s">
        <v>1719</v>
      </c>
      <c r="B632" s="74"/>
      <c r="C632" s="74"/>
      <c r="D632" s="74"/>
      <c r="E632" s="74"/>
      <c r="F632" s="74"/>
      <c r="G632" s="74"/>
      <c r="H632" s="74"/>
      <c r="I632" s="75" t="s">
        <v>2052</v>
      </c>
      <c r="J632" s="75" t="s">
        <v>2053</v>
      </c>
      <c r="K632" s="74" t="s">
        <v>1570</v>
      </c>
      <c r="L632" s="76" t="s">
        <v>20</v>
      </c>
      <c r="M632" s="57"/>
      <c r="N632" s="77">
        <v>0</v>
      </c>
      <c r="O632" s="57">
        <f t="shared" si="29"/>
        <v>0</v>
      </c>
      <c r="P632" s="77">
        <v>79281</v>
      </c>
      <c r="Q632" s="73">
        <f t="shared" si="27"/>
        <v>0</v>
      </c>
      <c r="R632" s="57"/>
      <c r="S632" s="57"/>
      <c r="T632" s="57"/>
      <c r="U632" s="57"/>
      <c r="V632" s="73">
        <f t="shared" si="28"/>
        <v>0</v>
      </c>
      <c r="W632" s="106"/>
      <c r="X632" s="64"/>
    </row>
    <row r="633" spans="1:24" s="66" customFormat="1" ht="12" hidden="1" customHeight="1">
      <c r="A633" s="74" t="s">
        <v>575</v>
      </c>
      <c r="B633" s="74"/>
      <c r="C633" s="74"/>
      <c r="D633" s="74"/>
      <c r="E633" s="74"/>
      <c r="F633" s="74"/>
      <c r="G633" s="74"/>
      <c r="H633" s="74"/>
      <c r="I633" s="75" t="s">
        <v>2052</v>
      </c>
      <c r="J633" s="75" t="s">
        <v>1025</v>
      </c>
      <c r="K633" s="74" t="s">
        <v>947</v>
      </c>
      <c r="L633" s="76" t="s">
        <v>20</v>
      </c>
      <c r="M633" s="57"/>
      <c r="N633" s="77">
        <v>125320</v>
      </c>
      <c r="O633" s="57">
        <f t="shared" si="29"/>
        <v>0</v>
      </c>
      <c r="P633" s="77">
        <v>79281</v>
      </c>
      <c r="Q633" s="73">
        <f t="shared" si="27"/>
        <v>0</v>
      </c>
      <c r="R633" s="57"/>
      <c r="S633" s="57"/>
      <c r="T633" s="57"/>
      <c r="U633" s="57"/>
      <c r="V633" s="73">
        <f t="shared" si="28"/>
        <v>0</v>
      </c>
      <c r="W633" s="106"/>
      <c r="X633" s="64"/>
    </row>
    <row r="634" spans="1:24" s="66" customFormat="1" ht="12" hidden="1" customHeight="1">
      <c r="A634" s="74" t="s">
        <v>576</v>
      </c>
      <c r="B634" s="74"/>
      <c r="C634" s="74"/>
      <c r="D634" s="74"/>
      <c r="E634" s="74"/>
      <c r="F634" s="74"/>
      <c r="G634" s="74"/>
      <c r="H634" s="74"/>
      <c r="I634" s="75" t="s">
        <v>2054</v>
      </c>
      <c r="J634" s="75" t="s">
        <v>1026</v>
      </c>
      <c r="K634" s="74" t="s">
        <v>1030</v>
      </c>
      <c r="L634" s="76" t="s">
        <v>20</v>
      </c>
      <c r="M634" s="57"/>
      <c r="N634" s="77">
        <v>47790</v>
      </c>
      <c r="O634" s="57">
        <f t="shared" si="29"/>
        <v>0</v>
      </c>
      <c r="P634" s="77">
        <v>40158</v>
      </c>
      <c r="Q634" s="73">
        <f t="shared" si="27"/>
        <v>0</v>
      </c>
      <c r="R634" s="57"/>
      <c r="S634" s="57"/>
      <c r="T634" s="57"/>
      <c r="U634" s="57"/>
      <c r="V634" s="73">
        <f t="shared" si="28"/>
        <v>0</v>
      </c>
      <c r="W634" s="106"/>
      <c r="X634" s="64"/>
    </row>
    <row r="635" spans="1:24" s="66" customFormat="1" ht="12" hidden="1" customHeight="1">
      <c r="A635" s="74" t="s">
        <v>577</v>
      </c>
      <c r="B635" s="74"/>
      <c r="C635" s="74"/>
      <c r="D635" s="74"/>
      <c r="E635" s="74"/>
      <c r="F635" s="74"/>
      <c r="G635" s="74"/>
      <c r="H635" s="74"/>
      <c r="I635" s="75" t="s">
        <v>2055</v>
      </c>
      <c r="J635" s="75" t="s">
        <v>1026</v>
      </c>
      <c r="K635" s="74" t="s">
        <v>1029</v>
      </c>
      <c r="L635" s="76" t="s">
        <v>20</v>
      </c>
      <c r="M635" s="57"/>
      <c r="N635" s="77">
        <v>122130</v>
      </c>
      <c r="O635" s="57">
        <f t="shared" si="29"/>
        <v>0</v>
      </c>
      <c r="P635" s="77">
        <v>53890</v>
      </c>
      <c r="Q635" s="73">
        <f t="shared" si="27"/>
        <v>0</v>
      </c>
      <c r="R635" s="57"/>
      <c r="S635" s="57"/>
      <c r="T635" s="57"/>
      <c r="U635" s="57"/>
      <c r="V635" s="73">
        <f t="shared" si="28"/>
        <v>0</v>
      </c>
      <c r="W635" s="106"/>
      <c r="X635" s="64"/>
    </row>
    <row r="636" spans="1:24" s="66" customFormat="1" ht="12" hidden="1" customHeight="1">
      <c r="A636" s="74" t="s">
        <v>578</v>
      </c>
      <c r="B636" s="74"/>
      <c r="C636" s="74"/>
      <c r="D636" s="74"/>
      <c r="E636" s="74"/>
      <c r="F636" s="74"/>
      <c r="G636" s="74"/>
      <c r="H636" s="74"/>
      <c r="I636" s="75" t="s">
        <v>2056</v>
      </c>
      <c r="J636" s="75" t="s">
        <v>1023</v>
      </c>
      <c r="K636" s="74" t="s">
        <v>950</v>
      </c>
      <c r="L636" s="76" t="s">
        <v>20</v>
      </c>
      <c r="M636" s="57"/>
      <c r="N636" s="77">
        <v>53100</v>
      </c>
      <c r="O636" s="57">
        <f t="shared" si="29"/>
        <v>0</v>
      </c>
      <c r="P636" s="77">
        <v>30313</v>
      </c>
      <c r="Q636" s="73">
        <f t="shared" si="27"/>
        <v>0</v>
      </c>
      <c r="R636" s="57"/>
      <c r="S636" s="57"/>
      <c r="T636" s="57"/>
      <c r="U636" s="57"/>
      <c r="V636" s="73">
        <f t="shared" si="28"/>
        <v>0</v>
      </c>
      <c r="W636" s="106"/>
      <c r="X636" s="64"/>
    </row>
    <row r="637" spans="1:24" s="66" customFormat="1" ht="12" hidden="1" customHeight="1">
      <c r="A637" s="74" t="s">
        <v>579</v>
      </c>
      <c r="B637" s="74"/>
      <c r="C637" s="74"/>
      <c r="D637" s="74"/>
      <c r="E637" s="74"/>
      <c r="F637" s="74"/>
      <c r="G637" s="74"/>
      <c r="H637" s="74"/>
      <c r="I637" s="75" t="s">
        <v>2046</v>
      </c>
      <c r="J637" s="75" t="s">
        <v>1024</v>
      </c>
      <c r="K637" s="74" t="s">
        <v>949</v>
      </c>
      <c r="L637" s="76" t="s">
        <v>1484</v>
      </c>
      <c r="M637" s="57"/>
      <c r="N637" s="77">
        <v>90270</v>
      </c>
      <c r="O637" s="57">
        <f t="shared" si="29"/>
        <v>0</v>
      </c>
      <c r="P637" s="77">
        <v>57776</v>
      </c>
      <c r="Q637" s="73">
        <f t="shared" si="27"/>
        <v>0</v>
      </c>
      <c r="R637" s="57"/>
      <c r="S637" s="57"/>
      <c r="T637" s="57"/>
      <c r="U637" s="57"/>
      <c r="V637" s="73">
        <f t="shared" si="28"/>
        <v>0</v>
      </c>
      <c r="W637" s="106"/>
      <c r="X637" s="64"/>
    </row>
    <row r="638" spans="1:24" s="66" customFormat="1" ht="12" hidden="1" customHeight="1">
      <c r="A638" s="74" t="s">
        <v>580</v>
      </c>
      <c r="B638" s="74"/>
      <c r="C638" s="74"/>
      <c r="D638" s="74"/>
      <c r="E638" s="74"/>
      <c r="F638" s="74"/>
      <c r="G638" s="74"/>
      <c r="H638" s="74"/>
      <c r="I638" s="75" t="s">
        <v>2056</v>
      </c>
      <c r="J638" s="75" t="s">
        <v>1018</v>
      </c>
      <c r="K638" s="74" t="s">
        <v>1017</v>
      </c>
      <c r="L638" s="76" t="s">
        <v>20</v>
      </c>
      <c r="M638" s="57"/>
      <c r="N638" s="77">
        <v>32000</v>
      </c>
      <c r="O638" s="57">
        <f t="shared" si="29"/>
        <v>0</v>
      </c>
      <c r="P638" s="77">
        <v>30313</v>
      </c>
      <c r="Q638" s="73">
        <f t="shared" si="27"/>
        <v>0</v>
      </c>
      <c r="R638" s="57"/>
      <c r="S638" s="57"/>
      <c r="T638" s="57"/>
      <c r="U638" s="57"/>
      <c r="V638" s="73">
        <f t="shared" si="28"/>
        <v>0</v>
      </c>
      <c r="W638" s="106"/>
      <c r="X638" s="64"/>
    </row>
    <row r="639" spans="1:24" s="66" customFormat="1" ht="12" hidden="1" customHeight="1">
      <c r="A639" s="74" t="s">
        <v>581</v>
      </c>
      <c r="B639" s="74"/>
      <c r="C639" s="74"/>
      <c r="D639" s="74"/>
      <c r="E639" s="74"/>
      <c r="F639" s="74"/>
      <c r="G639" s="74"/>
      <c r="H639" s="74"/>
      <c r="I639" s="75" t="s">
        <v>2046</v>
      </c>
      <c r="J639" s="75" t="s">
        <v>1026</v>
      </c>
      <c r="K639" s="74" t="s">
        <v>1028</v>
      </c>
      <c r="L639" s="76" t="s">
        <v>1484</v>
      </c>
      <c r="M639" s="57"/>
      <c r="N639" s="77">
        <v>116820</v>
      </c>
      <c r="O639" s="57">
        <f t="shared" si="29"/>
        <v>0</v>
      </c>
      <c r="P639" s="77">
        <v>57776</v>
      </c>
      <c r="Q639" s="73">
        <f t="shared" si="27"/>
        <v>0</v>
      </c>
      <c r="R639" s="57"/>
      <c r="S639" s="57"/>
      <c r="T639" s="57"/>
      <c r="U639" s="57"/>
      <c r="V639" s="73">
        <f t="shared" si="28"/>
        <v>0</v>
      </c>
      <c r="W639" s="106"/>
      <c r="X639" s="64"/>
    </row>
    <row r="640" spans="1:24" s="66" customFormat="1" ht="12" hidden="1" customHeight="1">
      <c r="A640" s="74" t="s">
        <v>582</v>
      </c>
      <c r="B640" s="74"/>
      <c r="C640" s="74"/>
      <c r="D640" s="74"/>
      <c r="E640" s="74"/>
      <c r="F640" s="74"/>
      <c r="G640" s="74"/>
      <c r="H640" s="74"/>
      <c r="I640" s="75" t="s">
        <v>2046</v>
      </c>
      <c r="J640" s="75" t="s">
        <v>1026</v>
      </c>
      <c r="K640" s="74" t="s">
        <v>1027</v>
      </c>
      <c r="L640" s="76" t="s">
        <v>1484</v>
      </c>
      <c r="M640" s="57"/>
      <c r="N640" s="77">
        <v>180540</v>
      </c>
      <c r="O640" s="57">
        <f t="shared" si="29"/>
        <v>0</v>
      </c>
      <c r="P640" s="77">
        <v>57776</v>
      </c>
      <c r="Q640" s="73">
        <f t="shared" si="27"/>
        <v>0</v>
      </c>
      <c r="R640" s="57"/>
      <c r="S640" s="57"/>
      <c r="T640" s="57"/>
      <c r="U640" s="57"/>
      <c r="V640" s="73">
        <f t="shared" si="28"/>
        <v>0</v>
      </c>
      <c r="W640" s="106"/>
      <c r="X640" s="64"/>
    </row>
    <row r="641" spans="1:24" s="66" customFormat="1" ht="12" hidden="1" customHeight="1">
      <c r="A641" s="74" t="s">
        <v>583</v>
      </c>
      <c r="B641" s="74"/>
      <c r="C641" s="74"/>
      <c r="D641" s="74"/>
      <c r="E641" s="74"/>
      <c r="F641" s="74"/>
      <c r="G641" s="74"/>
      <c r="H641" s="74"/>
      <c r="I641" s="75" t="s">
        <v>2056</v>
      </c>
      <c r="J641" s="75" t="s">
        <v>1001</v>
      </c>
      <c r="K641" s="74" t="s">
        <v>1002</v>
      </c>
      <c r="L641" s="76" t="s">
        <v>20</v>
      </c>
      <c r="M641" s="57"/>
      <c r="N641" s="77">
        <v>54960</v>
      </c>
      <c r="O641" s="57">
        <f t="shared" si="29"/>
        <v>0</v>
      </c>
      <c r="P641" s="77">
        <v>30313</v>
      </c>
      <c r="Q641" s="73">
        <f t="shared" si="27"/>
        <v>0</v>
      </c>
      <c r="R641" s="57"/>
      <c r="S641" s="57"/>
      <c r="T641" s="57"/>
      <c r="U641" s="57"/>
      <c r="V641" s="73">
        <f t="shared" si="28"/>
        <v>0</v>
      </c>
      <c r="W641" s="106"/>
      <c r="X641" s="64"/>
    </row>
    <row r="642" spans="1:24" s="66" customFormat="1" ht="12" hidden="1" customHeight="1">
      <c r="A642" s="74" t="s">
        <v>1720</v>
      </c>
      <c r="B642" s="74"/>
      <c r="C642" s="74"/>
      <c r="D642" s="74"/>
      <c r="E642" s="74"/>
      <c r="F642" s="74"/>
      <c r="G642" s="74"/>
      <c r="H642" s="74"/>
      <c r="I642" s="75" t="s">
        <v>2054</v>
      </c>
      <c r="J642" s="75" t="s">
        <v>2057</v>
      </c>
      <c r="K642" s="74" t="s">
        <v>1566</v>
      </c>
      <c r="L642" s="76" t="s">
        <v>20</v>
      </c>
      <c r="M642" s="57"/>
      <c r="N642" s="77">
        <v>0</v>
      </c>
      <c r="O642" s="57">
        <f t="shared" si="29"/>
        <v>0</v>
      </c>
      <c r="P642" s="77">
        <v>40158</v>
      </c>
      <c r="Q642" s="73">
        <f t="shared" si="27"/>
        <v>0</v>
      </c>
      <c r="R642" s="57"/>
      <c r="S642" s="57"/>
      <c r="T642" s="57"/>
      <c r="U642" s="57"/>
      <c r="V642" s="73">
        <f t="shared" si="28"/>
        <v>0</v>
      </c>
      <c r="W642" s="106"/>
      <c r="X642" s="64"/>
    </row>
    <row r="643" spans="1:24" s="66" customFormat="1" ht="12" hidden="1" customHeight="1">
      <c r="A643" s="74" t="s">
        <v>584</v>
      </c>
      <c r="B643" s="74"/>
      <c r="C643" s="74"/>
      <c r="D643" s="74"/>
      <c r="E643" s="74"/>
      <c r="F643" s="74"/>
      <c r="G643" s="74"/>
      <c r="H643" s="74"/>
      <c r="I643" s="75" t="s">
        <v>2050</v>
      </c>
      <c r="J643" s="75" t="s">
        <v>1012</v>
      </c>
      <c r="K643" s="74" t="s">
        <v>1013</v>
      </c>
      <c r="L643" s="76" t="s">
        <v>20</v>
      </c>
      <c r="M643" s="57"/>
      <c r="N643" s="77">
        <v>45670</v>
      </c>
      <c r="O643" s="57">
        <f t="shared" si="29"/>
        <v>0</v>
      </c>
      <c r="P643" s="77">
        <v>62699</v>
      </c>
      <c r="Q643" s="73">
        <f t="shared" si="27"/>
        <v>0</v>
      </c>
      <c r="R643" s="57"/>
      <c r="S643" s="57"/>
      <c r="T643" s="57"/>
      <c r="U643" s="57"/>
      <c r="V643" s="73">
        <f t="shared" si="28"/>
        <v>0</v>
      </c>
      <c r="W643" s="106"/>
      <c r="X643" s="64"/>
    </row>
    <row r="644" spans="1:24" s="66" customFormat="1" ht="12" hidden="1" customHeight="1">
      <c r="A644" s="74" t="s">
        <v>585</v>
      </c>
      <c r="B644" s="74"/>
      <c r="C644" s="74"/>
      <c r="D644" s="74"/>
      <c r="E644" s="74"/>
      <c r="F644" s="74"/>
      <c r="G644" s="74"/>
      <c r="H644" s="74"/>
      <c r="I644" s="75" t="s">
        <v>2054</v>
      </c>
      <c r="J644" s="75" t="s">
        <v>1014</v>
      </c>
      <c r="K644" s="74" t="s">
        <v>2058</v>
      </c>
      <c r="L644" s="76" t="s">
        <v>20</v>
      </c>
      <c r="M644" s="57"/>
      <c r="N644" s="77">
        <v>5100</v>
      </c>
      <c r="O644" s="57">
        <f t="shared" si="29"/>
        <v>0</v>
      </c>
      <c r="P644" s="77">
        <v>40158</v>
      </c>
      <c r="Q644" s="73">
        <f t="shared" si="27"/>
        <v>0</v>
      </c>
      <c r="R644" s="57"/>
      <c r="S644" s="57"/>
      <c r="T644" s="57"/>
      <c r="U644" s="57"/>
      <c r="V644" s="73">
        <f t="shared" si="28"/>
        <v>0</v>
      </c>
      <c r="W644" s="106"/>
      <c r="X644" s="64"/>
    </row>
    <row r="645" spans="1:24" s="66" customFormat="1" ht="12" hidden="1" customHeight="1">
      <c r="A645" s="74" t="s">
        <v>586</v>
      </c>
      <c r="B645" s="74"/>
      <c r="C645" s="74"/>
      <c r="D645" s="74"/>
      <c r="E645" s="74"/>
      <c r="F645" s="74"/>
      <c r="G645" s="74"/>
      <c r="H645" s="74"/>
      <c r="I645" s="75" t="s">
        <v>2054</v>
      </c>
      <c r="J645" s="75" t="s">
        <v>1014</v>
      </c>
      <c r="K645" s="74" t="s">
        <v>2059</v>
      </c>
      <c r="L645" s="76" t="s">
        <v>20</v>
      </c>
      <c r="M645" s="57"/>
      <c r="N645" s="77">
        <v>5100</v>
      </c>
      <c r="O645" s="57">
        <f t="shared" si="29"/>
        <v>0</v>
      </c>
      <c r="P645" s="77">
        <v>40158</v>
      </c>
      <c r="Q645" s="73">
        <f t="shared" si="27"/>
        <v>0</v>
      </c>
      <c r="R645" s="57"/>
      <c r="S645" s="57"/>
      <c r="T645" s="57"/>
      <c r="U645" s="57"/>
      <c r="V645" s="73">
        <f t="shared" si="28"/>
        <v>0</v>
      </c>
      <c r="W645" s="106"/>
      <c r="X645" s="64"/>
    </row>
    <row r="646" spans="1:24" s="66" customFormat="1" ht="12" hidden="1" customHeight="1">
      <c r="A646" s="74" t="s">
        <v>587</v>
      </c>
      <c r="B646" s="74"/>
      <c r="C646" s="74"/>
      <c r="D646" s="74"/>
      <c r="E646" s="74"/>
      <c r="F646" s="74"/>
      <c r="G646" s="74"/>
      <c r="H646" s="74"/>
      <c r="I646" s="75" t="s">
        <v>2054</v>
      </c>
      <c r="J646" s="75" t="s">
        <v>1014</v>
      </c>
      <c r="K646" s="74" t="s">
        <v>2060</v>
      </c>
      <c r="L646" s="76" t="s">
        <v>20</v>
      </c>
      <c r="M646" s="57"/>
      <c r="N646" s="77">
        <v>6160</v>
      </c>
      <c r="O646" s="57">
        <f t="shared" si="29"/>
        <v>0</v>
      </c>
      <c r="P646" s="77">
        <v>40158</v>
      </c>
      <c r="Q646" s="73">
        <f t="shared" si="27"/>
        <v>0</v>
      </c>
      <c r="R646" s="57"/>
      <c r="S646" s="57"/>
      <c r="T646" s="57"/>
      <c r="U646" s="57"/>
      <c r="V646" s="73">
        <f t="shared" si="28"/>
        <v>0</v>
      </c>
      <c r="W646" s="106"/>
      <c r="X646" s="64"/>
    </row>
    <row r="647" spans="1:24" s="66" customFormat="1" ht="12" hidden="1" customHeight="1">
      <c r="A647" s="74" t="s">
        <v>588</v>
      </c>
      <c r="B647" s="74"/>
      <c r="C647" s="74"/>
      <c r="D647" s="74"/>
      <c r="E647" s="74"/>
      <c r="F647" s="74"/>
      <c r="G647" s="74"/>
      <c r="H647" s="74"/>
      <c r="I647" s="75" t="s">
        <v>2054</v>
      </c>
      <c r="J647" s="75" t="s">
        <v>1014</v>
      </c>
      <c r="K647" s="74" t="s">
        <v>2061</v>
      </c>
      <c r="L647" s="76" t="s">
        <v>20</v>
      </c>
      <c r="M647" s="57"/>
      <c r="N647" s="77">
        <v>6160</v>
      </c>
      <c r="O647" s="57">
        <f t="shared" si="29"/>
        <v>0</v>
      </c>
      <c r="P647" s="77">
        <v>40158</v>
      </c>
      <c r="Q647" s="73">
        <f t="shared" si="27"/>
        <v>0</v>
      </c>
      <c r="R647" s="57"/>
      <c r="S647" s="57"/>
      <c r="T647" s="57"/>
      <c r="U647" s="57"/>
      <c r="V647" s="73">
        <f t="shared" si="28"/>
        <v>0</v>
      </c>
      <c r="W647" s="106"/>
      <c r="X647" s="64"/>
    </row>
    <row r="648" spans="1:24" s="66" customFormat="1" ht="12" hidden="1" customHeight="1">
      <c r="A648" s="74" t="s">
        <v>589</v>
      </c>
      <c r="B648" s="74"/>
      <c r="C648" s="74"/>
      <c r="D648" s="74"/>
      <c r="E648" s="74"/>
      <c r="F648" s="74"/>
      <c r="G648" s="74"/>
      <c r="H648" s="74"/>
      <c r="I648" s="75" t="s">
        <v>2054</v>
      </c>
      <c r="J648" s="75" t="s">
        <v>1014</v>
      </c>
      <c r="K648" s="74" t="s">
        <v>2062</v>
      </c>
      <c r="L648" s="76" t="s">
        <v>20</v>
      </c>
      <c r="M648" s="57"/>
      <c r="N648" s="77">
        <v>7330</v>
      </c>
      <c r="O648" s="57">
        <f t="shared" si="29"/>
        <v>0</v>
      </c>
      <c r="P648" s="77">
        <v>40158</v>
      </c>
      <c r="Q648" s="73">
        <f t="shared" si="27"/>
        <v>0</v>
      </c>
      <c r="R648" s="57"/>
      <c r="S648" s="57"/>
      <c r="T648" s="57"/>
      <c r="U648" s="57"/>
      <c r="V648" s="73">
        <f t="shared" si="28"/>
        <v>0</v>
      </c>
      <c r="W648" s="106"/>
      <c r="X648" s="64"/>
    </row>
    <row r="649" spans="1:24" s="66" customFormat="1" ht="12" hidden="1" customHeight="1">
      <c r="A649" s="74" t="s">
        <v>1721</v>
      </c>
      <c r="B649" s="74"/>
      <c r="C649" s="74"/>
      <c r="D649" s="74"/>
      <c r="E649" s="74"/>
      <c r="F649" s="74"/>
      <c r="G649" s="74"/>
      <c r="H649" s="74"/>
      <c r="I649" s="75" t="s">
        <v>2063</v>
      </c>
      <c r="J649" s="75" t="s">
        <v>2064</v>
      </c>
      <c r="K649" s="74" t="s">
        <v>1567</v>
      </c>
      <c r="L649" s="76" t="s">
        <v>20</v>
      </c>
      <c r="M649" s="57"/>
      <c r="N649" s="77">
        <v>0</v>
      </c>
      <c r="O649" s="57">
        <f t="shared" si="29"/>
        <v>0</v>
      </c>
      <c r="P649" s="77">
        <v>47154</v>
      </c>
      <c r="Q649" s="73">
        <f t="shared" si="27"/>
        <v>0</v>
      </c>
      <c r="R649" s="57"/>
      <c r="S649" s="57"/>
      <c r="T649" s="57"/>
      <c r="U649" s="57"/>
      <c r="V649" s="73">
        <f t="shared" si="28"/>
        <v>0</v>
      </c>
      <c r="W649" s="106"/>
      <c r="X649" s="64"/>
    </row>
    <row r="650" spans="1:24" s="66" customFormat="1" ht="12" hidden="1" customHeight="1">
      <c r="A650" s="74" t="s">
        <v>1722</v>
      </c>
      <c r="B650" s="74"/>
      <c r="C650" s="74"/>
      <c r="D650" s="74"/>
      <c r="E650" s="74"/>
      <c r="F650" s="74"/>
      <c r="G650" s="74"/>
      <c r="H650" s="74"/>
      <c r="I650" s="75" t="s">
        <v>2055</v>
      </c>
      <c r="J650" s="75" t="s">
        <v>1571</v>
      </c>
      <c r="K650" s="74" t="s">
        <v>1568</v>
      </c>
      <c r="L650" s="76" t="s">
        <v>20</v>
      </c>
      <c r="M650" s="57"/>
      <c r="N650" s="77">
        <v>0</v>
      </c>
      <c r="O650" s="57">
        <f t="shared" si="29"/>
        <v>0</v>
      </c>
      <c r="P650" s="77">
        <v>53890</v>
      </c>
      <c r="Q650" s="73">
        <f t="shared" si="27"/>
        <v>0</v>
      </c>
      <c r="R650" s="57"/>
      <c r="S650" s="57"/>
      <c r="T650" s="57"/>
      <c r="U650" s="57"/>
      <c r="V650" s="73">
        <f t="shared" si="28"/>
        <v>0</v>
      </c>
      <c r="W650" s="106"/>
      <c r="X650" s="64"/>
    </row>
    <row r="651" spans="1:24" s="66" customFormat="1" ht="12" hidden="1" customHeight="1">
      <c r="A651" s="74" t="s">
        <v>1723</v>
      </c>
      <c r="B651" s="74"/>
      <c r="C651" s="74"/>
      <c r="D651" s="74"/>
      <c r="E651" s="74"/>
      <c r="F651" s="74"/>
      <c r="G651" s="74"/>
      <c r="H651" s="74"/>
      <c r="I651" s="75" t="s">
        <v>2065</v>
      </c>
      <c r="J651" s="75" t="s">
        <v>1582</v>
      </c>
      <c r="K651" s="74" t="s">
        <v>1583</v>
      </c>
      <c r="L651" s="76" t="s">
        <v>20</v>
      </c>
      <c r="M651" s="57"/>
      <c r="N651" s="77">
        <v>0</v>
      </c>
      <c r="O651" s="57">
        <f t="shared" si="29"/>
        <v>0</v>
      </c>
      <c r="P651" s="77">
        <v>588132</v>
      </c>
      <c r="Q651" s="73">
        <f t="shared" ref="Q651:Q714" si="30">IF(W651="",M651*P651*$Q$3*$W$3,M651*P651*$Q$3*W651)</f>
        <v>0</v>
      </c>
      <c r="R651" s="57"/>
      <c r="S651" s="57"/>
      <c r="T651" s="57"/>
      <c r="U651" s="57"/>
      <c r="V651" s="73">
        <f t="shared" ref="V651:V714" si="31">SUM(O651+Q651)+S651+U651</f>
        <v>0</v>
      </c>
      <c r="W651" s="106"/>
      <c r="X651" s="64"/>
    </row>
    <row r="652" spans="1:24" s="66" customFormat="1" ht="12" hidden="1" customHeight="1">
      <c r="A652" s="74" t="s">
        <v>1724</v>
      </c>
      <c r="B652" s="74"/>
      <c r="C652" s="74"/>
      <c r="D652" s="74"/>
      <c r="E652" s="74"/>
      <c r="F652" s="74"/>
      <c r="G652" s="74"/>
      <c r="H652" s="74"/>
      <c r="I652" s="75" t="s">
        <v>2066</v>
      </c>
      <c r="J652" s="75" t="s">
        <v>1580</v>
      </c>
      <c r="K652" s="74" t="s">
        <v>1581</v>
      </c>
      <c r="L652" s="76" t="s">
        <v>20</v>
      </c>
      <c r="M652" s="57"/>
      <c r="N652" s="77">
        <v>0</v>
      </c>
      <c r="O652" s="57">
        <f t="shared" si="29"/>
        <v>0</v>
      </c>
      <c r="P652" s="77">
        <v>435269</v>
      </c>
      <c r="Q652" s="73">
        <f t="shared" si="30"/>
        <v>0</v>
      </c>
      <c r="R652" s="57"/>
      <c r="S652" s="57"/>
      <c r="T652" s="57"/>
      <c r="U652" s="57"/>
      <c r="V652" s="73">
        <f t="shared" si="31"/>
        <v>0</v>
      </c>
      <c r="W652" s="106"/>
      <c r="X652" s="64"/>
    </row>
    <row r="653" spans="1:24" s="66" customFormat="1" ht="12" hidden="1" customHeight="1">
      <c r="A653" s="74" t="s">
        <v>590</v>
      </c>
      <c r="B653" s="74"/>
      <c r="C653" s="74"/>
      <c r="D653" s="74"/>
      <c r="E653" s="74"/>
      <c r="F653" s="74"/>
      <c r="G653" s="74"/>
      <c r="H653" s="74"/>
      <c r="I653" s="75" t="s">
        <v>2067</v>
      </c>
      <c r="J653" s="75" t="s">
        <v>1004</v>
      </c>
      <c r="K653" s="74" t="s">
        <v>1011</v>
      </c>
      <c r="L653" s="76" t="s">
        <v>20</v>
      </c>
      <c r="M653" s="57"/>
      <c r="N653" s="77">
        <v>21500</v>
      </c>
      <c r="O653" s="57">
        <f t="shared" si="29"/>
        <v>0</v>
      </c>
      <c r="P653" s="77">
        <v>318679</v>
      </c>
      <c r="Q653" s="73">
        <f t="shared" si="30"/>
        <v>0</v>
      </c>
      <c r="R653" s="57"/>
      <c r="S653" s="57"/>
      <c r="T653" s="57"/>
      <c r="U653" s="57"/>
      <c r="V653" s="73">
        <f t="shared" si="31"/>
        <v>0</v>
      </c>
      <c r="W653" s="106"/>
      <c r="X653" s="64"/>
    </row>
    <row r="654" spans="1:24" s="66" customFormat="1" ht="12" hidden="1" customHeight="1">
      <c r="A654" s="74" t="s">
        <v>591</v>
      </c>
      <c r="B654" s="74"/>
      <c r="C654" s="74"/>
      <c r="D654" s="74"/>
      <c r="E654" s="74"/>
      <c r="F654" s="74"/>
      <c r="G654" s="74"/>
      <c r="H654" s="74"/>
      <c r="I654" s="75" t="s">
        <v>2067</v>
      </c>
      <c r="J654" s="75" t="s">
        <v>1004</v>
      </c>
      <c r="K654" s="74" t="s">
        <v>1010</v>
      </c>
      <c r="L654" s="76" t="s">
        <v>20</v>
      </c>
      <c r="M654" s="57"/>
      <c r="N654" s="77">
        <v>23000</v>
      </c>
      <c r="O654" s="57">
        <f t="shared" si="29"/>
        <v>0</v>
      </c>
      <c r="P654" s="77">
        <v>318679</v>
      </c>
      <c r="Q654" s="73">
        <f t="shared" si="30"/>
        <v>0</v>
      </c>
      <c r="R654" s="57"/>
      <c r="S654" s="57"/>
      <c r="T654" s="57"/>
      <c r="U654" s="57"/>
      <c r="V654" s="73">
        <f t="shared" si="31"/>
        <v>0</v>
      </c>
      <c r="W654" s="106"/>
      <c r="X654" s="64"/>
    </row>
    <row r="655" spans="1:24" s="66" customFormat="1" ht="12" hidden="1" customHeight="1">
      <c r="A655" s="74" t="s">
        <v>592</v>
      </c>
      <c r="B655" s="74"/>
      <c r="C655" s="74"/>
      <c r="D655" s="74"/>
      <c r="E655" s="74"/>
      <c r="F655" s="74"/>
      <c r="G655" s="74"/>
      <c r="H655" s="74"/>
      <c r="I655" s="75" t="s">
        <v>2068</v>
      </c>
      <c r="J655" s="75" t="s">
        <v>1004</v>
      </c>
      <c r="K655" s="74" t="s">
        <v>1009</v>
      </c>
      <c r="L655" s="76" t="s">
        <v>20</v>
      </c>
      <c r="M655" s="57"/>
      <c r="N655" s="77">
        <v>25100</v>
      </c>
      <c r="O655" s="57">
        <f t="shared" si="29"/>
        <v>0</v>
      </c>
      <c r="P655" s="77">
        <v>380860</v>
      </c>
      <c r="Q655" s="73">
        <f t="shared" si="30"/>
        <v>0</v>
      </c>
      <c r="R655" s="57"/>
      <c r="S655" s="57"/>
      <c r="T655" s="57"/>
      <c r="U655" s="57"/>
      <c r="V655" s="73">
        <f t="shared" si="31"/>
        <v>0</v>
      </c>
      <c r="W655" s="106"/>
      <c r="X655" s="64"/>
    </row>
    <row r="656" spans="1:24" s="66" customFormat="1" ht="12" hidden="1" customHeight="1">
      <c r="A656" s="74" t="s">
        <v>593</v>
      </c>
      <c r="B656" s="74"/>
      <c r="C656" s="74"/>
      <c r="D656" s="74"/>
      <c r="E656" s="74"/>
      <c r="F656" s="74"/>
      <c r="G656" s="74"/>
      <c r="H656" s="74"/>
      <c r="I656" s="75" t="s">
        <v>2068</v>
      </c>
      <c r="J656" s="75" t="s">
        <v>1004</v>
      </c>
      <c r="K656" s="74" t="s">
        <v>1008</v>
      </c>
      <c r="L656" s="76" t="s">
        <v>20</v>
      </c>
      <c r="M656" s="57"/>
      <c r="N656" s="77">
        <v>26600</v>
      </c>
      <c r="O656" s="57">
        <f t="shared" si="29"/>
        <v>0</v>
      </c>
      <c r="P656" s="77">
        <v>380860</v>
      </c>
      <c r="Q656" s="73">
        <f t="shared" si="30"/>
        <v>0</v>
      </c>
      <c r="R656" s="57"/>
      <c r="S656" s="57"/>
      <c r="T656" s="57"/>
      <c r="U656" s="57"/>
      <c r="V656" s="73">
        <f t="shared" si="31"/>
        <v>0</v>
      </c>
      <c r="W656" s="106"/>
      <c r="X656" s="64"/>
    </row>
    <row r="657" spans="1:24" s="66" customFormat="1" ht="12" hidden="1" customHeight="1">
      <c r="A657" s="74" t="s">
        <v>594</v>
      </c>
      <c r="B657" s="74"/>
      <c r="C657" s="74"/>
      <c r="D657" s="74"/>
      <c r="E657" s="74"/>
      <c r="F657" s="74"/>
      <c r="G657" s="74"/>
      <c r="H657" s="74"/>
      <c r="I657" s="75" t="s">
        <v>2069</v>
      </c>
      <c r="J657" s="75" t="s">
        <v>1004</v>
      </c>
      <c r="K657" s="74" t="s">
        <v>1007</v>
      </c>
      <c r="L657" s="76" t="s">
        <v>20</v>
      </c>
      <c r="M657" s="57"/>
      <c r="N657" s="77">
        <v>28700</v>
      </c>
      <c r="O657" s="57">
        <f t="shared" si="29"/>
        <v>0</v>
      </c>
      <c r="P657" s="77">
        <v>388633</v>
      </c>
      <c r="Q657" s="73">
        <f t="shared" si="30"/>
        <v>0</v>
      </c>
      <c r="R657" s="57"/>
      <c r="S657" s="57"/>
      <c r="T657" s="57"/>
      <c r="U657" s="57"/>
      <c r="V657" s="73">
        <f t="shared" si="31"/>
        <v>0</v>
      </c>
      <c r="W657" s="106"/>
      <c r="X657" s="64"/>
    </row>
    <row r="658" spans="1:24" s="66" customFormat="1" ht="12" hidden="1" customHeight="1">
      <c r="A658" s="74" t="s">
        <v>596</v>
      </c>
      <c r="B658" s="74"/>
      <c r="C658" s="74"/>
      <c r="D658" s="74"/>
      <c r="E658" s="74"/>
      <c r="F658" s="74"/>
      <c r="G658" s="74"/>
      <c r="H658" s="74"/>
      <c r="I658" s="75" t="s">
        <v>2065</v>
      </c>
      <c r="J658" s="75" t="s">
        <v>1004</v>
      </c>
      <c r="K658" s="74" t="s">
        <v>1005</v>
      </c>
      <c r="L658" s="76" t="s">
        <v>20</v>
      </c>
      <c r="M658" s="57"/>
      <c r="N658" s="77">
        <v>112100</v>
      </c>
      <c r="O658" s="57">
        <f t="shared" si="29"/>
        <v>0</v>
      </c>
      <c r="P658" s="77">
        <v>588132</v>
      </c>
      <c r="Q658" s="73">
        <f t="shared" si="30"/>
        <v>0</v>
      </c>
      <c r="R658" s="57"/>
      <c r="S658" s="57"/>
      <c r="T658" s="57"/>
      <c r="U658" s="57"/>
      <c r="V658" s="73">
        <f t="shared" si="31"/>
        <v>0</v>
      </c>
      <c r="W658" s="106"/>
      <c r="X658" s="64"/>
    </row>
    <row r="659" spans="1:24" s="66" customFormat="1" ht="12" hidden="1" customHeight="1">
      <c r="A659" s="74" t="s">
        <v>597</v>
      </c>
      <c r="B659" s="74"/>
      <c r="C659" s="74"/>
      <c r="D659" s="74"/>
      <c r="E659" s="74"/>
      <c r="F659" s="74"/>
      <c r="G659" s="74"/>
      <c r="H659" s="74"/>
      <c r="I659" s="75" t="s">
        <v>2068</v>
      </c>
      <c r="J659" s="75" t="s">
        <v>1003</v>
      </c>
      <c r="K659" s="74" t="s">
        <v>958</v>
      </c>
      <c r="L659" s="76" t="s">
        <v>20</v>
      </c>
      <c r="M659" s="57"/>
      <c r="N659" s="77">
        <v>26000</v>
      </c>
      <c r="O659" s="57">
        <f t="shared" si="29"/>
        <v>0</v>
      </c>
      <c r="P659" s="77">
        <v>380860</v>
      </c>
      <c r="Q659" s="73">
        <f t="shared" si="30"/>
        <v>0</v>
      </c>
      <c r="R659" s="57"/>
      <c r="S659" s="57"/>
      <c r="T659" s="57"/>
      <c r="U659" s="57"/>
      <c r="V659" s="73">
        <f t="shared" si="31"/>
        <v>0</v>
      </c>
      <c r="W659" s="106"/>
      <c r="X659" s="64"/>
    </row>
    <row r="660" spans="1:24" s="66" customFormat="1" ht="12" hidden="1" customHeight="1">
      <c r="A660" s="74" t="s">
        <v>598</v>
      </c>
      <c r="B660" s="74"/>
      <c r="C660" s="74"/>
      <c r="D660" s="74"/>
      <c r="E660" s="74"/>
      <c r="F660" s="74"/>
      <c r="G660" s="74"/>
      <c r="H660" s="74"/>
      <c r="I660" s="75" t="s">
        <v>2069</v>
      </c>
      <c r="J660" s="75" t="s">
        <v>1003</v>
      </c>
      <c r="K660" s="74" t="s">
        <v>959</v>
      </c>
      <c r="L660" s="76" t="s">
        <v>20</v>
      </c>
      <c r="M660" s="57"/>
      <c r="N660" s="77">
        <v>29000</v>
      </c>
      <c r="O660" s="57">
        <f t="shared" si="29"/>
        <v>0</v>
      </c>
      <c r="P660" s="77">
        <v>388633</v>
      </c>
      <c r="Q660" s="73">
        <f t="shared" si="30"/>
        <v>0</v>
      </c>
      <c r="R660" s="57"/>
      <c r="S660" s="57"/>
      <c r="T660" s="57"/>
      <c r="U660" s="57"/>
      <c r="V660" s="73">
        <f t="shared" si="31"/>
        <v>0</v>
      </c>
      <c r="W660" s="106"/>
      <c r="X660" s="64"/>
    </row>
    <row r="661" spans="1:24" s="66" customFormat="1" ht="12" hidden="1" customHeight="1">
      <c r="A661" s="74" t="s">
        <v>599</v>
      </c>
      <c r="B661" s="74"/>
      <c r="C661" s="74"/>
      <c r="D661" s="74"/>
      <c r="E661" s="74"/>
      <c r="F661" s="74"/>
      <c r="G661" s="74"/>
      <c r="H661" s="74"/>
      <c r="I661" s="75" t="s">
        <v>2066</v>
      </c>
      <c r="J661" s="75" t="s">
        <v>1003</v>
      </c>
      <c r="K661" s="74" t="s">
        <v>960</v>
      </c>
      <c r="L661" s="76" t="s">
        <v>20</v>
      </c>
      <c r="M661" s="57"/>
      <c r="N661" s="77">
        <v>34000</v>
      </c>
      <c r="O661" s="57">
        <f t="shared" si="29"/>
        <v>0</v>
      </c>
      <c r="P661" s="77">
        <v>435269</v>
      </c>
      <c r="Q661" s="73">
        <f t="shared" si="30"/>
        <v>0</v>
      </c>
      <c r="R661" s="57"/>
      <c r="S661" s="57"/>
      <c r="T661" s="57"/>
      <c r="U661" s="57"/>
      <c r="V661" s="73">
        <f t="shared" si="31"/>
        <v>0</v>
      </c>
      <c r="W661" s="106"/>
      <c r="X661" s="64"/>
    </row>
    <row r="662" spans="1:24" s="66" customFormat="1" ht="12" hidden="1" customHeight="1">
      <c r="A662" s="74" t="s">
        <v>600</v>
      </c>
      <c r="B662" s="74"/>
      <c r="C662" s="74"/>
      <c r="D662" s="74"/>
      <c r="E662" s="74"/>
      <c r="F662" s="74"/>
      <c r="G662" s="74"/>
      <c r="H662" s="74"/>
      <c r="I662" s="75" t="s">
        <v>2065</v>
      </c>
      <c r="J662" s="75" t="s">
        <v>1003</v>
      </c>
      <c r="K662" s="74" t="s">
        <v>961</v>
      </c>
      <c r="L662" s="76" t="s">
        <v>20</v>
      </c>
      <c r="M662" s="57"/>
      <c r="N662" s="77">
        <v>104000</v>
      </c>
      <c r="O662" s="57">
        <f t="shared" si="29"/>
        <v>0</v>
      </c>
      <c r="P662" s="77">
        <v>588132</v>
      </c>
      <c r="Q662" s="73">
        <f t="shared" si="30"/>
        <v>0</v>
      </c>
      <c r="R662" s="57"/>
      <c r="S662" s="57"/>
      <c r="T662" s="57"/>
      <c r="U662" s="57"/>
      <c r="V662" s="73">
        <f t="shared" si="31"/>
        <v>0</v>
      </c>
      <c r="W662" s="106"/>
      <c r="X662" s="64"/>
    </row>
    <row r="663" spans="1:24" s="66" customFormat="1" ht="12" hidden="1" customHeight="1">
      <c r="A663" s="74" t="s">
        <v>601</v>
      </c>
      <c r="B663" s="74"/>
      <c r="C663" s="74"/>
      <c r="D663" s="74"/>
      <c r="E663" s="74"/>
      <c r="F663" s="74"/>
      <c r="G663" s="74"/>
      <c r="H663" s="74"/>
      <c r="I663" s="75" t="s">
        <v>2067</v>
      </c>
      <c r="J663" s="75" t="s">
        <v>986</v>
      </c>
      <c r="K663" s="74" t="s">
        <v>992</v>
      </c>
      <c r="L663" s="76" t="s">
        <v>20</v>
      </c>
      <c r="M663" s="57"/>
      <c r="N663" s="77">
        <v>19600</v>
      </c>
      <c r="O663" s="57">
        <f t="shared" si="29"/>
        <v>0</v>
      </c>
      <c r="P663" s="77">
        <v>318679</v>
      </c>
      <c r="Q663" s="73">
        <f t="shared" si="30"/>
        <v>0</v>
      </c>
      <c r="R663" s="57"/>
      <c r="S663" s="57"/>
      <c r="T663" s="57"/>
      <c r="U663" s="57"/>
      <c r="V663" s="73">
        <f t="shared" si="31"/>
        <v>0</v>
      </c>
      <c r="W663" s="106"/>
      <c r="X663" s="64"/>
    </row>
    <row r="664" spans="1:24" s="66" customFormat="1" ht="12" hidden="1" customHeight="1">
      <c r="A664" s="74" t="s">
        <v>602</v>
      </c>
      <c r="B664" s="74"/>
      <c r="C664" s="74"/>
      <c r="D664" s="74"/>
      <c r="E664" s="74"/>
      <c r="F664" s="74"/>
      <c r="G664" s="74"/>
      <c r="H664" s="74"/>
      <c r="I664" s="75" t="s">
        <v>2067</v>
      </c>
      <c r="J664" s="75" t="s">
        <v>986</v>
      </c>
      <c r="K664" s="74" t="s">
        <v>991</v>
      </c>
      <c r="L664" s="76" t="s">
        <v>20</v>
      </c>
      <c r="M664" s="57"/>
      <c r="N664" s="77">
        <v>21300</v>
      </c>
      <c r="O664" s="57">
        <f t="shared" si="29"/>
        <v>0</v>
      </c>
      <c r="P664" s="77">
        <v>318679</v>
      </c>
      <c r="Q664" s="73">
        <f t="shared" si="30"/>
        <v>0</v>
      </c>
      <c r="R664" s="57"/>
      <c r="S664" s="57"/>
      <c r="T664" s="57"/>
      <c r="U664" s="57"/>
      <c r="V664" s="73">
        <f t="shared" si="31"/>
        <v>0</v>
      </c>
      <c r="W664" s="106"/>
      <c r="X664" s="64"/>
    </row>
    <row r="665" spans="1:24" s="66" customFormat="1" ht="12" hidden="1" customHeight="1">
      <c r="A665" s="74" t="s">
        <v>603</v>
      </c>
      <c r="B665" s="74"/>
      <c r="C665" s="74"/>
      <c r="D665" s="74"/>
      <c r="E665" s="74"/>
      <c r="F665" s="74"/>
      <c r="G665" s="74"/>
      <c r="H665" s="74"/>
      <c r="I665" s="75" t="s">
        <v>2068</v>
      </c>
      <c r="J665" s="75" t="s">
        <v>986</v>
      </c>
      <c r="K665" s="74" t="s">
        <v>990</v>
      </c>
      <c r="L665" s="76" t="s">
        <v>20</v>
      </c>
      <c r="M665" s="57"/>
      <c r="N665" s="77">
        <v>24400</v>
      </c>
      <c r="O665" s="57">
        <f t="shared" si="29"/>
        <v>0</v>
      </c>
      <c r="P665" s="77">
        <v>380860</v>
      </c>
      <c r="Q665" s="73">
        <f t="shared" si="30"/>
        <v>0</v>
      </c>
      <c r="R665" s="57"/>
      <c r="S665" s="57"/>
      <c r="T665" s="57"/>
      <c r="U665" s="57"/>
      <c r="V665" s="73">
        <f t="shared" si="31"/>
        <v>0</v>
      </c>
      <c r="W665" s="106"/>
      <c r="X665" s="64"/>
    </row>
    <row r="666" spans="1:24" s="66" customFormat="1" ht="12" hidden="1" customHeight="1">
      <c r="A666" s="74" t="s">
        <v>604</v>
      </c>
      <c r="B666" s="74"/>
      <c r="C666" s="74"/>
      <c r="D666" s="74"/>
      <c r="E666" s="74"/>
      <c r="F666" s="74"/>
      <c r="G666" s="74"/>
      <c r="H666" s="74"/>
      <c r="I666" s="75" t="s">
        <v>2068</v>
      </c>
      <c r="J666" s="75" t="s">
        <v>986</v>
      </c>
      <c r="K666" s="74" t="s">
        <v>989</v>
      </c>
      <c r="L666" s="76" t="s">
        <v>20</v>
      </c>
      <c r="M666" s="57"/>
      <c r="N666" s="77">
        <v>27500</v>
      </c>
      <c r="O666" s="57">
        <f t="shared" si="29"/>
        <v>0</v>
      </c>
      <c r="P666" s="77">
        <v>380860</v>
      </c>
      <c r="Q666" s="73">
        <f t="shared" si="30"/>
        <v>0</v>
      </c>
      <c r="R666" s="57"/>
      <c r="S666" s="57"/>
      <c r="T666" s="57"/>
      <c r="U666" s="57"/>
      <c r="V666" s="73">
        <f t="shared" si="31"/>
        <v>0</v>
      </c>
      <c r="W666" s="106"/>
      <c r="X666" s="64"/>
    </row>
    <row r="667" spans="1:24" s="66" customFormat="1" ht="12" hidden="1" customHeight="1">
      <c r="A667" s="74" t="s">
        <v>605</v>
      </c>
      <c r="B667" s="74"/>
      <c r="C667" s="74"/>
      <c r="D667" s="74"/>
      <c r="E667" s="74"/>
      <c r="F667" s="74"/>
      <c r="G667" s="74"/>
      <c r="H667" s="74"/>
      <c r="I667" s="75" t="s">
        <v>2069</v>
      </c>
      <c r="J667" s="75" t="s">
        <v>986</v>
      </c>
      <c r="K667" s="74" t="s">
        <v>988</v>
      </c>
      <c r="L667" s="76" t="s">
        <v>20</v>
      </c>
      <c r="M667" s="57"/>
      <c r="N667" s="77">
        <v>29700</v>
      </c>
      <c r="O667" s="57">
        <f t="shared" si="29"/>
        <v>0</v>
      </c>
      <c r="P667" s="77">
        <v>388633</v>
      </c>
      <c r="Q667" s="73">
        <f t="shared" si="30"/>
        <v>0</v>
      </c>
      <c r="R667" s="57"/>
      <c r="S667" s="57"/>
      <c r="T667" s="57"/>
      <c r="U667" s="57"/>
      <c r="V667" s="73">
        <f t="shared" si="31"/>
        <v>0</v>
      </c>
      <c r="W667" s="106"/>
      <c r="X667" s="64"/>
    </row>
    <row r="668" spans="1:24" s="66" customFormat="1" ht="12" hidden="1" customHeight="1">
      <c r="A668" s="74" t="s">
        <v>606</v>
      </c>
      <c r="B668" s="74"/>
      <c r="C668" s="74"/>
      <c r="D668" s="74"/>
      <c r="E668" s="74"/>
      <c r="F668" s="74"/>
      <c r="G668" s="74"/>
      <c r="H668" s="74"/>
      <c r="I668" s="75" t="s">
        <v>2066</v>
      </c>
      <c r="J668" s="75" t="s">
        <v>986</v>
      </c>
      <c r="K668" s="74" t="s">
        <v>987</v>
      </c>
      <c r="L668" s="76" t="s">
        <v>20</v>
      </c>
      <c r="M668" s="57"/>
      <c r="N668" s="77">
        <v>32500</v>
      </c>
      <c r="O668" s="57">
        <f t="shared" si="29"/>
        <v>0</v>
      </c>
      <c r="P668" s="77">
        <v>435269</v>
      </c>
      <c r="Q668" s="73">
        <f t="shared" si="30"/>
        <v>0</v>
      </c>
      <c r="R668" s="57"/>
      <c r="S668" s="57"/>
      <c r="T668" s="57"/>
      <c r="U668" s="57"/>
      <c r="V668" s="73">
        <f t="shared" si="31"/>
        <v>0</v>
      </c>
      <c r="W668" s="106"/>
      <c r="X668" s="64"/>
    </row>
    <row r="669" spans="1:24" s="66" customFormat="1" ht="12" hidden="1" customHeight="1">
      <c r="A669" s="74" t="s">
        <v>607</v>
      </c>
      <c r="B669" s="74"/>
      <c r="C669" s="74"/>
      <c r="D669" s="74"/>
      <c r="E669" s="74"/>
      <c r="F669" s="74"/>
      <c r="G669" s="74"/>
      <c r="H669" s="74"/>
      <c r="I669" s="75" t="s">
        <v>2065</v>
      </c>
      <c r="J669" s="75" t="s">
        <v>986</v>
      </c>
      <c r="K669" s="74" t="s">
        <v>985</v>
      </c>
      <c r="L669" s="76" t="s">
        <v>20</v>
      </c>
      <c r="M669" s="57"/>
      <c r="N669" s="77">
        <v>76500</v>
      </c>
      <c r="O669" s="57">
        <f t="shared" si="29"/>
        <v>0</v>
      </c>
      <c r="P669" s="77">
        <v>588132</v>
      </c>
      <c r="Q669" s="73">
        <f t="shared" si="30"/>
        <v>0</v>
      </c>
      <c r="R669" s="57"/>
      <c r="S669" s="57"/>
      <c r="T669" s="57"/>
      <c r="U669" s="57"/>
      <c r="V669" s="73">
        <f t="shared" si="31"/>
        <v>0</v>
      </c>
      <c r="W669" s="106"/>
      <c r="X669" s="64"/>
    </row>
    <row r="670" spans="1:24" s="66" customFormat="1" ht="12" hidden="1" customHeight="1">
      <c r="A670" s="74" t="s">
        <v>608</v>
      </c>
      <c r="B670" s="74"/>
      <c r="C670" s="74"/>
      <c r="D670" s="74"/>
      <c r="E670" s="74"/>
      <c r="F670" s="74"/>
      <c r="G670" s="74"/>
      <c r="H670" s="74"/>
      <c r="I670" s="75" t="s">
        <v>2068</v>
      </c>
      <c r="J670" s="75" t="s">
        <v>996</v>
      </c>
      <c r="K670" s="74" t="s">
        <v>1000</v>
      </c>
      <c r="L670" s="76" t="s">
        <v>20</v>
      </c>
      <c r="M670" s="57"/>
      <c r="N670" s="77">
        <v>26000</v>
      </c>
      <c r="O670" s="57">
        <f t="shared" si="29"/>
        <v>0</v>
      </c>
      <c r="P670" s="77">
        <v>380860</v>
      </c>
      <c r="Q670" s="73">
        <f t="shared" si="30"/>
        <v>0</v>
      </c>
      <c r="R670" s="57"/>
      <c r="S670" s="57"/>
      <c r="T670" s="57"/>
      <c r="U670" s="57"/>
      <c r="V670" s="73">
        <f t="shared" si="31"/>
        <v>0</v>
      </c>
      <c r="W670" s="106"/>
      <c r="X670" s="64"/>
    </row>
    <row r="671" spans="1:24" s="66" customFormat="1" ht="12" hidden="1" customHeight="1">
      <c r="A671" s="74" t="s">
        <v>609</v>
      </c>
      <c r="B671" s="74"/>
      <c r="C671" s="74"/>
      <c r="D671" s="74"/>
      <c r="E671" s="74"/>
      <c r="F671" s="74"/>
      <c r="G671" s="74"/>
      <c r="H671" s="74"/>
      <c r="I671" s="75" t="s">
        <v>2069</v>
      </c>
      <c r="J671" s="75" t="s">
        <v>996</v>
      </c>
      <c r="K671" s="74" t="s">
        <v>999</v>
      </c>
      <c r="L671" s="76" t="s">
        <v>20</v>
      </c>
      <c r="M671" s="57"/>
      <c r="N671" s="77">
        <v>32000</v>
      </c>
      <c r="O671" s="57">
        <f t="shared" si="29"/>
        <v>0</v>
      </c>
      <c r="P671" s="77">
        <v>388633</v>
      </c>
      <c r="Q671" s="73">
        <f t="shared" si="30"/>
        <v>0</v>
      </c>
      <c r="R671" s="57"/>
      <c r="S671" s="57"/>
      <c r="T671" s="57"/>
      <c r="U671" s="57"/>
      <c r="V671" s="73">
        <f t="shared" si="31"/>
        <v>0</v>
      </c>
      <c r="W671" s="106"/>
      <c r="X671" s="64"/>
    </row>
    <row r="672" spans="1:24" s="66" customFormat="1" ht="12" hidden="1" customHeight="1">
      <c r="A672" s="74" t="s">
        <v>610</v>
      </c>
      <c r="B672" s="74"/>
      <c r="C672" s="74"/>
      <c r="D672" s="74"/>
      <c r="E672" s="74"/>
      <c r="F672" s="74"/>
      <c r="G672" s="74"/>
      <c r="H672" s="74"/>
      <c r="I672" s="75" t="s">
        <v>2066</v>
      </c>
      <c r="J672" s="75" t="s">
        <v>996</v>
      </c>
      <c r="K672" s="74" t="s">
        <v>998</v>
      </c>
      <c r="L672" s="76" t="s">
        <v>20</v>
      </c>
      <c r="M672" s="57"/>
      <c r="N672" s="77">
        <v>34000</v>
      </c>
      <c r="O672" s="57">
        <f t="shared" si="29"/>
        <v>0</v>
      </c>
      <c r="P672" s="77">
        <v>435269</v>
      </c>
      <c r="Q672" s="73">
        <f t="shared" si="30"/>
        <v>0</v>
      </c>
      <c r="R672" s="57"/>
      <c r="S672" s="57"/>
      <c r="T672" s="57"/>
      <c r="U672" s="57"/>
      <c r="V672" s="73">
        <f t="shared" si="31"/>
        <v>0</v>
      </c>
      <c r="W672" s="106"/>
      <c r="X672" s="64"/>
    </row>
    <row r="673" spans="1:24" s="66" customFormat="1" ht="12" hidden="1" customHeight="1">
      <c r="A673" s="74" t="s">
        <v>611</v>
      </c>
      <c r="B673" s="74"/>
      <c r="C673" s="74"/>
      <c r="D673" s="74"/>
      <c r="E673" s="74"/>
      <c r="F673" s="74"/>
      <c r="G673" s="74"/>
      <c r="H673" s="74"/>
      <c r="I673" s="75" t="s">
        <v>2065</v>
      </c>
      <c r="J673" s="75" t="s">
        <v>996</v>
      </c>
      <c r="K673" s="74" t="s">
        <v>997</v>
      </c>
      <c r="L673" s="76" t="s">
        <v>20</v>
      </c>
      <c r="M673" s="57"/>
      <c r="N673" s="77">
        <v>92000</v>
      </c>
      <c r="O673" s="57">
        <f t="shared" si="29"/>
        <v>0</v>
      </c>
      <c r="P673" s="77">
        <v>588132</v>
      </c>
      <c r="Q673" s="73">
        <f t="shared" si="30"/>
        <v>0</v>
      </c>
      <c r="R673" s="57"/>
      <c r="S673" s="57"/>
      <c r="T673" s="57"/>
      <c r="U673" s="57"/>
      <c r="V673" s="73">
        <f t="shared" si="31"/>
        <v>0</v>
      </c>
      <c r="W673" s="106"/>
      <c r="X673" s="64"/>
    </row>
    <row r="674" spans="1:24" s="66" customFormat="1" ht="12" hidden="1" customHeight="1">
      <c r="A674" s="74" t="s">
        <v>1725</v>
      </c>
      <c r="B674" s="74"/>
      <c r="C674" s="74"/>
      <c r="D674" s="74"/>
      <c r="E674" s="74"/>
      <c r="F674" s="74"/>
      <c r="G674" s="74"/>
      <c r="H674" s="74"/>
      <c r="I674" s="75" t="s">
        <v>2070</v>
      </c>
      <c r="J674" s="75" t="s">
        <v>2071</v>
      </c>
      <c r="K674" s="74" t="s">
        <v>1575</v>
      </c>
      <c r="L674" s="76" t="s">
        <v>20</v>
      </c>
      <c r="M674" s="57"/>
      <c r="N674" s="77">
        <v>0</v>
      </c>
      <c r="O674" s="57">
        <f t="shared" si="29"/>
        <v>0</v>
      </c>
      <c r="P674" s="77">
        <v>52854</v>
      </c>
      <c r="Q674" s="73">
        <f t="shared" si="30"/>
        <v>0</v>
      </c>
      <c r="R674" s="57"/>
      <c r="S674" s="57"/>
      <c r="T674" s="57"/>
      <c r="U674" s="57"/>
      <c r="V674" s="73">
        <f t="shared" si="31"/>
        <v>0</v>
      </c>
      <c r="W674" s="106"/>
      <c r="X674" s="64"/>
    </row>
    <row r="675" spans="1:24" s="66" customFormat="1" ht="12" hidden="1" customHeight="1">
      <c r="A675" s="74" t="s">
        <v>1726</v>
      </c>
      <c r="B675" s="74"/>
      <c r="C675" s="74"/>
      <c r="D675" s="74"/>
      <c r="E675" s="74"/>
      <c r="F675" s="74"/>
      <c r="G675" s="74"/>
      <c r="H675" s="74"/>
      <c r="I675" s="75" t="s">
        <v>2072</v>
      </c>
      <c r="J675" s="75" t="s">
        <v>2073</v>
      </c>
      <c r="K675" s="74" t="s">
        <v>2074</v>
      </c>
      <c r="L675" s="76" t="s">
        <v>20</v>
      </c>
      <c r="M675" s="57"/>
      <c r="N675" s="77">
        <v>0</v>
      </c>
      <c r="O675" s="57">
        <f t="shared" si="29"/>
        <v>0</v>
      </c>
      <c r="P675" s="77">
        <v>55185</v>
      </c>
      <c r="Q675" s="73">
        <f t="shared" si="30"/>
        <v>0</v>
      </c>
      <c r="R675" s="57"/>
      <c r="S675" s="57"/>
      <c r="T675" s="57"/>
      <c r="U675" s="57"/>
      <c r="V675" s="73">
        <f t="shared" si="31"/>
        <v>0</v>
      </c>
      <c r="W675" s="106"/>
      <c r="X675" s="64"/>
    </row>
    <row r="676" spans="1:24" s="66" customFormat="1" ht="12" hidden="1" customHeight="1">
      <c r="A676" s="74" t="s">
        <v>1727</v>
      </c>
      <c r="B676" s="74"/>
      <c r="C676" s="74"/>
      <c r="D676" s="74"/>
      <c r="E676" s="74"/>
      <c r="F676" s="74"/>
      <c r="G676" s="74"/>
      <c r="H676" s="74"/>
      <c r="I676" s="75" t="s">
        <v>2075</v>
      </c>
      <c r="J676" s="75" t="s">
        <v>2076</v>
      </c>
      <c r="K676" s="74" t="s">
        <v>1577</v>
      </c>
      <c r="L676" s="76" t="s">
        <v>20</v>
      </c>
      <c r="M676" s="57"/>
      <c r="N676" s="77">
        <v>0</v>
      </c>
      <c r="O676" s="57">
        <f t="shared" si="29"/>
        <v>0</v>
      </c>
      <c r="P676" s="77">
        <v>57258</v>
      </c>
      <c r="Q676" s="73">
        <f t="shared" si="30"/>
        <v>0</v>
      </c>
      <c r="R676" s="57"/>
      <c r="S676" s="57"/>
      <c r="T676" s="57"/>
      <c r="U676" s="57"/>
      <c r="V676" s="73">
        <f t="shared" si="31"/>
        <v>0</v>
      </c>
      <c r="W676" s="106"/>
      <c r="X676" s="64"/>
    </row>
    <row r="677" spans="1:24" s="66" customFormat="1" ht="12" hidden="1" customHeight="1">
      <c r="A677" s="74" t="s">
        <v>612</v>
      </c>
      <c r="B677" s="74"/>
      <c r="C677" s="74"/>
      <c r="D677" s="74"/>
      <c r="E677" s="74"/>
      <c r="F677" s="74"/>
      <c r="G677" s="74"/>
      <c r="H677" s="74"/>
      <c r="I677" s="75" t="s">
        <v>2077</v>
      </c>
      <c r="J677" s="75" t="s">
        <v>1020</v>
      </c>
      <c r="K677" s="74" t="s">
        <v>1022</v>
      </c>
      <c r="L677" s="76" t="s">
        <v>20</v>
      </c>
      <c r="M677" s="57"/>
      <c r="N677" s="77">
        <v>426930</v>
      </c>
      <c r="O677" s="57">
        <f t="shared" si="29"/>
        <v>0</v>
      </c>
      <c r="P677" s="77">
        <v>53890</v>
      </c>
      <c r="Q677" s="73">
        <f t="shared" si="30"/>
        <v>0</v>
      </c>
      <c r="R677" s="57"/>
      <c r="S677" s="57"/>
      <c r="T677" s="57"/>
      <c r="U677" s="57"/>
      <c r="V677" s="73">
        <f t="shared" si="31"/>
        <v>0</v>
      </c>
      <c r="W677" s="106"/>
      <c r="X677" s="64"/>
    </row>
    <row r="678" spans="1:24" s="66" customFormat="1" ht="12" hidden="1" customHeight="1">
      <c r="A678" s="74" t="s">
        <v>613</v>
      </c>
      <c r="B678" s="74"/>
      <c r="C678" s="74"/>
      <c r="D678" s="74"/>
      <c r="E678" s="74"/>
      <c r="F678" s="74"/>
      <c r="G678" s="74"/>
      <c r="H678" s="74"/>
      <c r="I678" s="75" t="s">
        <v>2077</v>
      </c>
      <c r="J678" s="75" t="s">
        <v>1020</v>
      </c>
      <c r="K678" s="74" t="s">
        <v>1021</v>
      </c>
      <c r="L678" s="76" t="s">
        <v>20</v>
      </c>
      <c r="M678" s="57"/>
      <c r="N678" s="77">
        <v>573480</v>
      </c>
      <c r="O678" s="57">
        <f t="shared" si="29"/>
        <v>0</v>
      </c>
      <c r="P678" s="77">
        <v>53890</v>
      </c>
      <c r="Q678" s="73">
        <f t="shared" si="30"/>
        <v>0</v>
      </c>
      <c r="R678" s="57"/>
      <c r="S678" s="57"/>
      <c r="T678" s="57"/>
      <c r="U678" s="57"/>
      <c r="V678" s="73">
        <f t="shared" si="31"/>
        <v>0</v>
      </c>
      <c r="W678" s="106"/>
      <c r="X678" s="64"/>
    </row>
    <row r="679" spans="1:24" s="66" customFormat="1" ht="12" hidden="1" customHeight="1">
      <c r="A679" s="74" t="s">
        <v>1728</v>
      </c>
      <c r="B679" s="74"/>
      <c r="C679" s="74"/>
      <c r="D679" s="74"/>
      <c r="E679" s="74"/>
      <c r="F679" s="74"/>
      <c r="G679" s="74"/>
      <c r="H679" s="74"/>
      <c r="I679" s="75" t="s">
        <v>2078</v>
      </c>
      <c r="J679" s="75" t="s">
        <v>2079</v>
      </c>
      <c r="K679" s="74" t="s">
        <v>2074</v>
      </c>
      <c r="L679" s="76" t="s">
        <v>20</v>
      </c>
      <c r="M679" s="57"/>
      <c r="N679" s="77">
        <v>0</v>
      </c>
      <c r="O679" s="57">
        <f t="shared" si="29"/>
        <v>0</v>
      </c>
      <c r="P679" s="77">
        <v>55963</v>
      </c>
      <c r="Q679" s="73">
        <f t="shared" si="30"/>
        <v>0</v>
      </c>
      <c r="R679" s="57"/>
      <c r="S679" s="57"/>
      <c r="T679" s="57"/>
      <c r="U679" s="57"/>
      <c r="V679" s="73">
        <f t="shared" si="31"/>
        <v>0</v>
      </c>
      <c r="W679" s="106"/>
      <c r="X679" s="64"/>
    </row>
    <row r="680" spans="1:24" s="66" customFormat="1" ht="12" hidden="1" customHeight="1">
      <c r="A680" s="74" t="s">
        <v>614</v>
      </c>
      <c r="B680" s="74"/>
      <c r="C680" s="74"/>
      <c r="D680" s="74"/>
      <c r="E680" s="74"/>
      <c r="F680" s="74"/>
      <c r="G680" s="74"/>
      <c r="H680" s="74"/>
      <c r="I680" s="75" t="s">
        <v>2080</v>
      </c>
      <c r="J680" s="75" t="s">
        <v>1020</v>
      </c>
      <c r="K680" s="74" t="s">
        <v>1019</v>
      </c>
      <c r="L680" s="76" t="s">
        <v>20</v>
      </c>
      <c r="M680" s="57"/>
      <c r="N680" s="77">
        <v>1014210</v>
      </c>
      <c r="O680" s="57">
        <f t="shared" si="29"/>
        <v>0</v>
      </c>
      <c r="P680" s="77">
        <v>58295</v>
      </c>
      <c r="Q680" s="73">
        <f t="shared" si="30"/>
        <v>0</v>
      </c>
      <c r="R680" s="57"/>
      <c r="S680" s="57"/>
      <c r="T680" s="57"/>
      <c r="U680" s="57"/>
      <c r="V680" s="73">
        <f t="shared" si="31"/>
        <v>0</v>
      </c>
      <c r="W680" s="106"/>
      <c r="X680" s="64"/>
    </row>
    <row r="681" spans="1:24" s="66" customFormat="1" ht="12" hidden="1" customHeight="1">
      <c r="A681" s="74" t="s">
        <v>595</v>
      </c>
      <c r="B681" s="74"/>
      <c r="C681" s="74"/>
      <c r="D681" s="74"/>
      <c r="E681" s="74"/>
      <c r="F681" s="74"/>
      <c r="G681" s="74"/>
      <c r="H681" s="74"/>
      <c r="I681" s="75" t="s">
        <v>2066</v>
      </c>
      <c r="J681" s="75" t="s">
        <v>1004</v>
      </c>
      <c r="K681" s="74" t="s">
        <v>1006</v>
      </c>
      <c r="L681" s="76" t="s">
        <v>20</v>
      </c>
      <c r="M681" s="57"/>
      <c r="N681" s="77">
        <v>30100</v>
      </c>
      <c r="O681" s="57">
        <f t="shared" si="29"/>
        <v>0</v>
      </c>
      <c r="P681" s="77">
        <v>435269</v>
      </c>
      <c r="Q681" s="73">
        <f t="shared" si="30"/>
        <v>0</v>
      </c>
      <c r="R681" s="57"/>
      <c r="S681" s="57"/>
      <c r="T681" s="57"/>
      <c r="U681" s="57"/>
      <c r="V681" s="73">
        <f t="shared" si="31"/>
        <v>0</v>
      </c>
      <c r="W681" s="106"/>
      <c r="X681" s="64"/>
    </row>
    <row r="682" spans="1:24" s="66" customFormat="1" ht="12" hidden="1" customHeight="1">
      <c r="A682" s="74" t="s">
        <v>615</v>
      </c>
      <c r="B682" s="74"/>
      <c r="C682" s="74"/>
      <c r="D682" s="74"/>
      <c r="E682" s="74"/>
      <c r="F682" s="74"/>
      <c r="G682" s="74"/>
      <c r="H682" s="74"/>
      <c r="I682" s="75" t="s">
        <v>2081</v>
      </c>
      <c r="J682" s="75" t="s">
        <v>2082</v>
      </c>
      <c r="K682" s="74" t="s">
        <v>2083</v>
      </c>
      <c r="L682" s="76" t="s">
        <v>975</v>
      </c>
      <c r="M682" s="57"/>
      <c r="N682" s="77">
        <v>1977450</v>
      </c>
      <c r="O682" s="57">
        <f t="shared" si="29"/>
        <v>0</v>
      </c>
      <c r="P682" s="77">
        <v>715085</v>
      </c>
      <c r="Q682" s="73">
        <f t="shared" si="30"/>
        <v>0</v>
      </c>
      <c r="R682" s="57"/>
      <c r="S682" s="57"/>
      <c r="T682" s="57"/>
      <c r="U682" s="57"/>
      <c r="V682" s="73">
        <f t="shared" si="31"/>
        <v>0</v>
      </c>
      <c r="W682" s="106"/>
      <c r="X682" s="64"/>
    </row>
    <row r="683" spans="1:24" s="66" customFormat="1" ht="12" hidden="1" customHeight="1">
      <c r="A683" s="74" t="s">
        <v>616</v>
      </c>
      <c r="B683" s="74"/>
      <c r="C683" s="74"/>
      <c r="D683" s="74"/>
      <c r="E683" s="74"/>
      <c r="F683" s="74"/>
      <c r="G683" s="74"/>
      <c r="H683" s="74"/>
      <c r="I683" s="75" t="s">
        <v>2084</v>
      </c>
      <c r="J683" s="75" t="s">
        <v>2082</v>
      </c>
      <c r="K683" s="74" t="s">
        <v>2085</v>
      </c>
      <c r="L683" s="76" t="s">
        <v>975</v>
      </c>
      <c r="M683" s="57"/>
      <c r="N683" s="77">
        <v>2062410</v>
      </c>
      <c r="O683" s="57">
        <f t="shared" si="29"/>
        <v>0</v>
      </c>
      <c r="P683" s="77">
        <v>810948</v>
      </c>
      <c r="Q683" s="73">
        <f t="shared" si="30"/>
        <v>0</v>
      </c>
      <c r="R683" s="57"/>
      <c r="S683" s="57"/>
      <c r="T683" s="57"/>
      <c r="U683" s="57"/>
      <c r="V683" s="73">
        <f t="shared" si="31"/>
        <v>0</v>
      </c>
      <c r="W683" s="106"/>
      <c r="X683" s="64"/>
    </row>
    <row r="684" spans="1:24" s="66" customFormat="1" ht="12" hidden="1" customHeight="1">
      <c r="A684" s="74" t="s">
        <v>617</v>
      </c>
      <c r="B684" s="74"/>
      <c r="C684" s="74"/>
      <c r="D684" s="74"/>
      <c r="E684" s="74"/>
      <c r="F684" s="74"/>
      <c r="G684" s="74"/>
      <c r="H684" s="74"/>
      <c r="I684" s="75" t="s">
        <v>2086</v>
      </c>
      <c r="J684" s="75" t="s">
        <v>2082</v>
      </c>
      <c r="K684" s="74" t="s">
        <v>2087</v>
      </c>
      <c r="L684" s="76" t="s">
        <v>975</v>
      </c>
      <c r="M684" s="57"/>
      <c r="N684" s="77">
        <v>2697480</v>
      </c>
      <c r="O684" s="57">
        <f t="shared" si="29"/>
        <v>0</v>
      </c>
      <c r="P684" s="77">
        <v>904220</v>
      </c>
      <c r="Q684" s="73">
        <f t="shared" si="30"/>
        <v>0</v>
      </c>
      <c r="R684" s="57"/>
      <c r="S684" s="57"/>
      <c r="T684" s="57"/>
      <c r="U684" s="57"/>
      <c r="V684" s="73">
        <f t="shared" si="31"/>
        <v>0</v>
      </c>
      <c r="W684" s="106"/>
      <c r="X684" s="64"/>
    </row>
    <row r="685" spans="1:24" s="66" customFormat="1" ht="12" hidden="1" customHeight="1">
      <c r="A685" s="74" t="s">
        <v>618</v>
      </c>
      <c r="B685" s="74"/>
      <c r="C685" s="74"/>
      <c r="D685" s="74"/>
      <c r="E685" s="74"/>
      <c r="F685" s="74"/>
      <c r="G685" s="74"/>
      <c r="H685" s="74"/>
      <c r="I685" s="75" t="s">
        <v>2088</v>
      </c>
      <c r="J685" s="75" t="s">
        <v>2082</v>
      </c>
      <c r="K685" s="74" t="s">
        <v>2089</v>
      </c>
      <c r="L685" s="76" t="s">
        <v>975</v>
      </c>
      <c r="M685" s="57"/>
      <c r="N685" s="77">
        <v>3054320</v>
      </c>
      <c r="O685" s="57">
        <f t="shared" si="29"/>
        <v>0</v>
      </c>
      <c r="P685" s="77">
        <v>1085582</v>
      </c>
      <c r="Q685" s="73">
        <f t="shared" si="30"/>
        <v>0</v>
      </c>
      <c r="R685" s="57"/>
      <c r="S685" s="57"/>
      <c r="T685" s="57"/>
      <c r="U685" s="57"/>
      <c r="V685" s="73">
        <f t="shared" si="31"/>
        <v>0</v>
      </c>
      <c r="W685" s="106"/>
      <c r="X685" s="64"/>
    </row>
    <row r="686" spans="1:24" s="66" customFormat="1" ht="12" hidden="1" customHeight="1">
      <c r="A686" s="74" t="s">
        <v>1729</v>
      </c>
      <c r="B686" s="74"/>
      <c r="C686" s="74"/>
      <c r="D686" s="74"/>
      <c r="E686" s="74"/>
      <c r="F686" s="74"/>
      <c r="G686" s="74"/>
      <c r="H686" s="74"/>
      <c r="I686" s="75" t="s">
        <v>2081</v>
      </c>
      <c r="J686" s="75" t="s">
        <v>1584</v>
      </c>
      <c r="K686" s="74" t="s">
        <v>1585</v>
      </c>
      <c r="L686" s="76" t="s">
        <v>975</v>
      </c>
      <c r="M686" s="57"/>
      <c r="N686" s="77">
        <v>0</v>
      </c>
      <c r="O686" s="57">
        <f t="shared" si="29"/>
        <v>0</v>
      </c>
      <c r="P686" s="77">
        <v>715085</v>
      </c>
      <c r="Q686" s="73">
        <f t="shared" si="30"/>
        <v>0</v>
      </c>
      <c r="R686" s="57"/>
      <c r="S686" s="57"/>
      <c r="T686" s="57"/>
      <c r="U686" s="57"/>
      <c r="V686" s="73">
        <f t="shared" si="31"/>
        <v>0</v>
      </c>
      <c r="W686" s="106"/>
      <c r="X686" s="64"/>
    </row>
    <row r="687" spans="1:24" s="66" customFormat="1" ht="12" hidden="1" customHeight="1">
      <c r="A687" s="74" t="s">
        <v>1730</v>
      </c>
      <c r="B687" s="74"/>
      <c r="C687" s="74"/>
      <c r="D687" s="74"/>
      <c r="E687" s="74"/>
      <c r="F687" s="74"/>
      <c r="G687" s="74"/>
      <c r="H687" s="74"/>
      <c r="I687" s="75" t="s">
        <v>2084</v>
      </c>
      <c r="J687" s="75" t="s">
        <v>1586</v>
      </c>
      <c r="K687" s="74" t="s">
        <v>1587</v>
      </c>
      <c r="L687" s="76" t="s">
        <v>975</v>
      </c>
      <c r="M687" s="57"/>
      <c r="N687" s="77">
        <v>0</v>
      </c>
      <c r="O687" s="57">
        <f t="shared" si="29"/>
        <v>0</v>
      </c>
      <c r="P687" s="77">
        <v>810948</v>
      </c>
      <c r="Q687" s="73">
        <f t="shared" si="30"/>
        <v>0</v>
      </c>
      <c r="R687" s="57"/>
      <c r="S687" s="57"/>
      <c r="T687" s="57"/>
      <c r="U687" s="57"/>
      <c r="V687" s="73">
        <f t="shared" si="31"/>
        <v>0</v>
      </c>
      <c r="W687" s="106"/>
      <c r="X687" s="64"/>
    </row>
    <row r="688" spans="1:24" s="66" customFormat="1" ht="12" hidden="1" customHeight="1">
      <c r="A688" s="74" t="s">
        <v>1731</v>
      </c>
      <c r="B688" s="74"/>
      <c r="C688" s="74"/>
      <c r="D688" s="74"/>
      <c r="E688" s="74"/>
      <c r="F688" s="74"/>
      <c r="G688" s="74"/>
      <c r="H688" s="74"/>
      <c r="I688" s="75" t="s">
        <v>2086</v>
      </c>
      <c r="J688" s="75" t="s">
        <v>1588</v>
      </c>
      <c r="K688" s="74" t="s">
        <v>1589</v>
      </c>
      <c r="L688" s="76" t="s">
        <v>975</v>
      </c>
      <c r="M688" s="57"/>
      <c r="N688" s="77">
        <v>0</v>
      </c>
      <c r="O688" s="57">
        <f t="shared" si="29"/>
        <v>0</v>
      </c>
      <c r="P688" s="77">
        <v>904220</v>
      </c>
      <c r="Q688" s="73">
        <f t="shared" si="30"/>
        <v>0</v>
      </c>
      <c r="R688" s="57"/>
      <c r="S688" s="57"/>
      <c r="T688" s="57"/>
      <c r="U688" s="57"/>
      <c r="V688" s="73">
        <f t="shared" si="31"/>
        <v>0</v>
      </c>
      <c r="W688" s="106"/>
      <c r="X688" s="64"/>
    </row>
    <row r="689" spans="1:24" s="66" customFormat="1" ht="12" hidden="1" customHeight="1">
      <c r="A689" s="74" t="s">
        <v>619</v>
      </c>
      <c r="B689" s="74"/>
      <c r="C689" s="74"/>
      <c r="D689" s="74"/>
      <c r="E689" s="74"/>
      <c r="F689" s="74"/>
      <c r="G689" s="74"/>
      <c r="H689" s="74"/>
      <c r="I689" s="75" t="s">
        <v>2090</v>
      </c>
      <c r="J689" s="75" t="s">
        <v>978</v>
      </c>
      <c r="K689" s="74" t="s">
        <v>984</v>
      </c>
      <c r="L689" s="76" t="s">
        <v>1135</v>
      </c>
      <c r="M689" s="57"/>
      <c r="N689" s="77">
        <v>143370</v>
      </c>
      <c r="O689" s="57">
        <f t="shared" si="29"/>
        <v>0</v>
      </c>
      <c r="P689" s="77">
        <v>49924</v>
      </c>
      <c r="Q689" s="73">
        <f t="shared" si="30"/>
        <v>0</v>
      </c>
      <c r="R689" s="57"/>
      <c r="S689" s="57"/>
      <c r="T689" s="57"/>
      <c r="U689" s="57"/>
      <c r="V689" s="73">
        <f t="shared" si="31"/>
        <v>0</v>
      </c>
      <c r="W689" s="106"/>
      <c r="X689" s="64"/>
    </row>
    <row r="690" spans="1:24" s="66" customFormat="1" ht="12" hidden="1" customHeight="1">
      <c r="A690" s="74" t="s">
        <v>620</v>
      </c>
      <c r="B690" s="74"/>
      <c r="C690" s="74"/>
      <c r="D690" s="74"/>
      <c r="E690" s="74"/>
      <c r="F690" s="74"/>
      <c r="G690" s="74"/>
      <c r="H690" s="74"/>
      <c r="I690" s="75" t="s">
        <v>2090</v>
      </c>
      <c r="J690" s="75" t="s">
        <v>978</v>
      </c>
      <c r="K690" s="74" t="s">
        <v>983</v>
      </c>
      <c r="L690" s="76" t="s">
        <v>1135</v>
      </c>
      <c r="M690" s="57"/>
      <c r="N690" s="77">
        <v>186390</v>
      </c>
      <c r="O690" s="57">
        <f t="shared" si="29"/>
        <v>0</v>
      </c>
      <c r="P690" s="77">
        <v>49924</v>
      </c>
      <c r="Q690" s="73">
        <f t="shared" si="30"/>
        <v>0</v>
      </c>
      <c r="R690" s="57"/>
      <c r="S690" s="57"/>
      <c r="T690" s="57"/>
      <c r="U690" s="57"/>
      <c r="V690" s="73">
        <f t="shared" si="31"/>
        <v>0</v>
      </c>
      <c r="W690" s="106"/>
      <c r="X690" s="64"/>
    </row>
    <row r="691" spans="1:24" s="66" customFormat="1" ht="12" hidden="1" customHeight="1">
      <c r="A691" s="74" t="s">
        <v>621</v>
      </c>
      <c r="B691" s="74"/>
      <c r="C691" s="74"/>
      <c r="D691" s="74"/>
      <c r="E691" s="74"/>
      <c r="F691" s="74"/>
      <c r="G691" s="74"/>
      <c r="H691" s="74"/>
      <c r="I691" s="75" t="s">
        <v>2090</v>
      </c>
      <c r="J691" s="75" t="s">
        <v>978</v>
      </c>
      <c r="K691" s="74" t="s">
        <v>982</v>
      </c>
      <c r="L691" s="76" t="s">
        <v>1135</v>
      </c>
      <c r="M691" s="57"/>
      <c r="N691" s="77">
        <v>190690</v>
      </c>
      <c r="O691" s="57">
        <f t="shared" si="29"/>
        <v>0</v>
      </c>
      <c r="P691" s="77">
        <v>49924</v>
      </c>
      <c r="Q691" s="73">
        <f t="shared" si="30"/>
        <v>0</v>
      </c>
      <c r="R691" s="57"/>
      <c r="S691" s="57"/>
      <c r="T691" s="57"/>
      <c r="U691" s="57"/>
      <c r="V691" s="73">
        <f t="shared" si="31"/>
        <v>0</v>
      </c>
      <c r="W691" s="106"/>
      <c r="X691" s="64"/>
    </row>
    <row r="692" spans="1:24" s="66" customFormat="1" ht="12" hidden="1" customHeight="1">
      <c r="A692" s="74" t="s">
        <v>622</v>
      </c>
      <c r="B692" s="74"/>
      <c r="C692" s="74"/>
      <c r="D692" s="74"/>
      <c r="E692" s="74"/>
      <c r="F692" s="74"/>
      <c r="G692" s="74"/>
      <c r="H692" s="74"/>
      <c r="I692" s="75" t="s">
        <v>2090</v>
      </c>
      <c r="J692" s="75" t="s">
        <v>978</v>
      </c>
      <c r="K692" s="74" t="s">
        <v>981</v>
      </c>
      <c r="L692" s="76" t="s">
        <v>1135</v>
      </c>
      <c r="M692" s="57"/>
      <c r="N692" s="77">
        <v>141940</v>
      </c>
      <c r="O692" s="57">
        <f t="shared" si="29"/>
        <v>0</v>
      </c>
      <c r="P692" s="77">
        <v>49924</v>
      </c>
      <c r="Q692" s="73">
        <f t="shared" si="30"/>
        <v>0</v>
      </c>
      <c r="R692" s="57"/>
      <c r="S692" s="57"/>
      <c r="T692" s="57"/>
      <c r="U692" s="57"/>
      <c r="V692" s="73">
        <f t="shared" si="31"/>
        <v>0</v>
      </c>
      <c r="W692" s="106"/>
      <c r="X692" s="64"/>
    </row>
    <row r="693" spans="1:24" s="66" customFormat="1" ht="12" hidden="1" customHeight="1">
      <c r="A693" s="74" t="s">
        <v>623</v>
      </c>
      <c r="B693" s="74"/>
      <c r="C693" s="74"/>
      <c r="D693" s="74"/>
      <c r="E693" s="74"/>
      <c r="F693" s="74"/>
      <c r="G693" s="74"/>
      <c r="H693" s="74"/>
      <c r="I693" s="75" t="s">
        <v>2090</v>
      </c>
      <c r="J693" s="75" t="s">
        <v>978</v>
      </c>
      <c r="K693" s="74" t="s">
        <v>980</v>
      </c>
      <c r="L693" s="76" t="s">
        <v>1135</v>
      </c>
      <c r="M693" s="57"/>
      <c r="N693" s="77">
        <v>186390</v>
      </c>
      <c r="O693" s="57">
        <f t="shared" si="29"/>
        <v>0</v>
      </c>
      <c r="P693" s="77">
        <v>49924</v>
      </c>
      <c r="Q693" s="73">
        <f t="shared" si="30"/>
        <v>0</v>
      </c>
      <c r="R693" s="57"/>
      <c r="S693" s="57"/>
      <c r="T693" s="57"/>
      <c r="U693" s="57"/>
      <c r="V693" s="73">
        <f t="shared" si="31"/>
        <v>0</v>
      </c>
      <c r="W693" s="106"/>
      <c r="X693" s="64"/>
    </row>
    <row r="694" spans="1:24" s="66" customFormat="1" ht="12" hidden="1" customHeight="1">
      <c r="A694" s="74" t="s">
        <v>624</v>
      </c>
      <c r="B694" s="74"/>
      <c r="C694" s="74"/>
      <c r="D694" s="74"/>
      <c r="E694" s="74"/>
      <c r="F694" s="74"/>
      <c r="G694" s="74"/>
      <c r="H694" s="74"/>
      <c r="I694" s="75" t="s">
        <v>2090</v>
      </c>
      <c r="J694" s="75" t="s">
        <v>978</v>
      </c>
      <c r="K694" s="74" t="s">
        <v>979</v>
      </c>
      <c r="L694" s="76" t="s">
        <v>1135</v>
      </c>
      <c r="M694" s="57"/>
      <c r="N694" s="77">
        <v>187820</v>
      </c>
      <c r="O694" s="57">
        <f t="shared" si="29"/>
        <v>0</v>
      </c>
      <c r="P694" s="77">
        <v>49924</v>
      </c>
      <c r="Q694" s="73">
        <f t="shared" si="30"/>
        <v>0</v>
      </c>
      <c r="R694" s="57"/>
      <c r="S694" s="57"/>
      <c r="T694" s="57"/>
      <c r="U694" s="57"/>
      <c r="V694" s="73">
        <f t="shared" si="31"/>
        <v>0</v>
      </c>
      <c r="W694" s="106"/>
      <c r="X694" s="64"/>
    </row>
    <row r="695" spans="1:24" s="66" customFormat="1" ht="12" hidden="1" customHeight="1">
      <c r="A695" s="74" t="s">
        <v>626</v>
      </c>
      <c r="B695" s="74"/>
      <c r="C695" s="74"/>
      <c r="D695" s="74"/>
      <c r="E695" s="74"/>
      <c r="F695" s="74"/>
      <c r="G695" s="74"/>
      <c r="H695" s="74"/>
      <c r="I695" s="75" t="s">
        <v>2144</v>
      </c>
      <c r="J695" s="75" t="s">
        <v>1268</v>
      </c>
      <c r="K695" s="74" t="s">
        <v>1256</v>
      </c>
      <c r="L695" s="76" t="s">
        <v>974</v>
      </c>
      <c r="M695" s="57"/>
      <c r="N695" s="77">
        <v>49500</v>
      </c>
      <c r="O695" s="57">
        <f t="shared" ref="O695:O758" si="32">M695*N695*$O$3</f>
        <v>0</v>
      </c>
      <c r="P695" s="77">
        <v>27147</v>
      </c>
      <c r="Q695" s="73">
        <f t="shared" si="30"/>
        <v>0</v>
      </c>
      <c r="R695" s="57"/>
      <c r="S695" s="57"/>
      <c r="T695" s="57"/>
      <c r="U695" s="57"/>
      <c r="V695" s="73">
        <f t="shared" si="31"/>
        <v>0</v>
      </c>
      <c r="W695" s="106"/>
      <c r="X695" s="64"/>
    </row>
    <row r="696" spans="1:24" s="66" customFormat="1" ht="12" hidden="1" customHeight="1">
      <c r="A696" s="74" t="s">
        <v>627</v>
      </c>
      <c r="B696" s="74"/>
      <c r="C696" s="74"/>
      <c r="D696" s="74"/>
      <c r="E696" s="74"/>
      <c r="F696" s="74"/>
      <c r="G696" s="74"/>
      <c r="H696" s="74"/>
      <c r="I696" s="75" t="s">
        <v>2144</v>
      </c>
      <c r="J696" s="75" t="s">
        <v>1268</v>
      </c>
      <c r="K696" s="74" t="s">
        <v>1255</v>
      </c>
      <c r="L696" s="76" t="s">
        <v>974</v>
      </c>
      <c r="M696" s="57"/>
      <c r="N696" s="77">
        <v>61160</v>
      </c>
      <c r="O696" s="57">
        <f t="shared" si="32"/>
        <v>0</v>
      </c>
      <c r="P696" s="77">
        <v>27147</v>
      </c>
      <c r="Q696" s="73">
        <f t="shared" si="30"/>
        <v>0</v>
      </c>
      <c r="R696" s="57"/>
      <c r="S696" s="57"/>
      <c r="T696" s="57"/>
      <c r="U696" s="57"/>
      <c r="V696" s="73">
        <f t="shared" si="31"/>
        <v>0</v>
      </c>
      <c r="W696" s="106"/>
      <c r="X696" s="64"/>
    </row>
    <row r="697" spans="1:24" s="66" customFormat="1" ht="12" hidden="1" customHeight="1">
      <c r="A697" s="74" t="s">
        <v>628</v>
      </c>
      <c r="B697" s="74"/>
      <c r="C697" s="74"/>
      <c r="D697" s="74"/>
      <c r="E697" s="74"/>
      <c r="F697" s="74"/>
      <c r="G697" s="74"/>
      <c r="H697" s="74"/>
      <c r="I697" s="75" t="s">
        <v>2144</v>
      </c>
      <c r="J697" s="75" t="s">
        <v>1268</v>
      </c>
      <c r="K697" s="74" t="s">
        <v>1254</v>
      </c>
      <c r="L697" s="76" t="s">
        <v>974</v>
      </c>
      <c r="M697" s="57"/>
      <c r="N697" s="77">
        <v>73040</v>
      </c>
      <c r="O697" s="57">
        <f t="shared" si="32"/>
        <v>0</v>
      </c>
      <c r="P697" s="77">
        <v>27147</v>
      </c>
      <c r="Q697" s="73">
        <f t="shared" si="30"/>
        <v>0</v>
      </c>
      <c r="R697" s="57"/>
      <c r="S697" s="57"/>
      <c r="T697" s="57"/>
      <c r="U697" s="57"/>
      <c r="V697" s="73">
        <f t="shared" si="31"/>
        <v>0</v>
      </c>
      <c r="W697" s="106"/>
      <c r="X697" s="64"/>
    </row>
    <row r="698" spans="1:24" s="66" customFormat="1" ht="12" hidden="1" customHeight="1">
      <c r="A698" s="74" t="s">
        <v>629</v>
      </c>
      <c r="B698" s="74"/>
      <c r="C698" s="74"/>
      <c r="D698" s="74"/>
      <c r="E698" s="74"/>
      <c r="F698" s="74"/>
      <c r="G698" s="74"/>
      <c r="H698" s="74"/>
      <c r="I698" s="75" t="s">
        <v>2144</v>
      </c>
      <c r="J698" s="75" t="s">
        <v>1268</v>
      </c>
      <c r="K698" s="74" t="s">
        <v>1253</v>
      </c>
      <c r="L698" s="76" t="s">
        <v>974</v>
      </c>
      <c r="M698" s="57"/>
      <c r="N698" s="77">
        <v>98780</v>
      </c>
      <c r="O698" s="57">
        <f t="shared" si="32"/>
        <v>0</v>
      </c>
      <c r="P698" s="77">
        <v>27147</v>
      </c>
      <c r="Q698" s="73">
        <f t="shared" si="30"/>
        <v>0</v>
      </c>
      <c r="R698" s="57"/>
      <c r="S698" s="57"/>
      <c r="T698" s="57"/>
      <c r="U698" s="57"/>
      <c r="V698" s="73">
        <f t="shared" si="31"/>
        <v>0</v>
      </c>
      <c r="W698" s="106"/>
      <c r="X698" s="64"/>
    </row>
    <row r="699" spans="1:24" s="66" customFormat="1" ht="12" hidden="1" customHeight="1">
      <c r="A699" s="74" t="s">
        <v>630</v>
      </c>
      <c r="B699" s="74"/>
      <c r="C699" s="74"/>
      <c r="D699" s="74"/>
      <c r="E699" s="74"/>
      <c r="F699" s="74"/>
      <c r="G699" s="74"/>
      <c r="H699" s="74"/>
      <c r="I699" s="75" t="s">
        <v>2144</v>
      </c>
      <c r="J699" s="75" t="s">
        <v>1268</v>
      </c>
      <c r="K699" s="74" t="s">
        <v>1252</v>
      </c>
      <c r="L699" s="76" t="s">
        <v>974</v>
      </c>
      <c r="M699" s="57"/>
      <c r="N699" s="77">
        <v>122320</v>
      </c>
      <c r="O699" s="57">
        <f t="shared" si="32"/>
        <v>0</v>
      </c>
      <c r="P699" s="77">
        <v>27147</v>
      </c>
      <c r="Q699" s="73">
        <f t="shared" si="30"/>
        <v>0</v>
      </c>
      <c r="R699" s="57"/>
      <c r="S699" s="57"/>
      <c r="T699" s="57"/>
      <c r="U699" s="57"/>
      <c r="V699" s="73">
        <f t="shared" si="31"/>
        <v>0</v>
      </c>
      <c r="W699" s="106"/>
      <c r="X699" s="64"/>
    </row>
    <row r="700" spans="1:24" s="66" customFormat="1" ht="12" hidden="1" customHeight="1">
      <c r="A700" s="74" t="s">
        <v>631</v>
      </c>
      <c r="B700" s="74"/>
      <c r="C700" s="74"/>
      <c r="D700" s="74"/>
      <c r="E700" s="74"/>
      <c r="F700" s="74"/>
      <c r="G700" s="74"/>
      <c r="H700" s="74"/>
      <c r="I700" s="75" t="s">
        <v>2144</v>
      </c>
      <c r="J700" s="75" t="s">
        <v>1268</v>
      </c>
      <c r="K700" s="74" t="s">
        <v>1272</v>
      </c>
      <c r="L700" s="76" t="s">
        <v>974</v>
      </c>
      <c r="M700" s="57"/>
      <c r="N700" s="77">
        <v>148280</v>
      </c>
      <c r="O700" s="57">
        <f t="shared" si="32"/>
        <v>0</v>
      </c>
      <c r="P700" s="77">
        <v>27147</v>
      </c>
      <c r="Q700" s="73">
        <f t="shared" si="30"/>
        <v>0</v>
      </c>
      <c r="R700" s="57"/>
      <c r="S700" s="57"/>
      <c r="T700" s="57"/>
      <c r="U700" s="57"/>
      <c r="V700" s="73">
        <f t="shared" si="31"/>
        <v>0</v>
      </c>
      <c r="W700" s="106"/>
      <c r="X700" s="64"/>
    </row>
    <row r="701" spans="1:24" s="66" customFormat="1" ht="12" hidden="1" customHeight="1">
      <c r="A701" s="74" t="s">
        <v>632</v>
      </c>
      <c r="B701" s="74"/>
      <c r="C701" s="74"/>
      <c r="D701" s="74"/>
      <c r="E701" s="74"/>
      <c r="F701" s="74"/>
      <c r="G701" s="74"/>
      <c r="H701" s="74"/>
      <c r="I701" s="75" t="s">
        <v>2144</v>
      </c>
      <c r="J701" s="75" t="s">
        <v>1268</v>
      </c>
      <c r="K701" s="74" t="s">
        <v>1271</v>
      </c>
      <c r="L701" s="76" t="s">
        <v>974</v>
      </c>
      <c r="M701" s="57"/>
      <c r="N701" s="77">
        <v>183700</v>
      </c>
      <c r="O701" s="57">
        <f t="shared" si="32"/>
        <v>0</v>
      </c>
      <c r="P701" s="77">
        <v>27147</v>
      </c>
      <c r="Q701" s="73">
        <f t="shared" si="30"/>
        <v>0</v>
      </c>
      <c r="R701" s="57"/>
      <c r="S701" s="57"/>
      <c r="T701" s="57"/>
      <c r="U701" s="57"/>
      <c r="V701" s="73">
        <f t="shared" si="31"/>
        <v>0</v>
      </c>
      <c r="W701" s="106"/>
      <c r="X701" s="64"/>
    </row>
    <row r="702" spans="1:24" s="66" customFormat="1" ht="12" hidden="1" customHeight="1">
      <c r="A702" s="74" t="s">
        <v>633</v>
      </c>
      <c r="B702" s="74"/>
      <c r="C702" s="74"/>
      <c r="D702" s="74"/>
      <c r="E702" s="74"/>
      <c r="F702" s="74"/>
      <c r="G702" s="74"/>
      <c r="H702" s="74"/>
      <c r="I702" s="75" t="s">
        <v>2144</v>
      </c>
      <c r="J702" s="75" t="s">
        <v>1268</v>
      </c>
      <c r="K702" s="74" t="s">
        <v>1270</v>
      </c>
      <c r="L702" s="76" t="s">
        <v>974</v>
      </c>
      <c r="M702" s="57"/>
      <c r="N702" s="77">
        <v>202400</v>
      </c>
      <c r="O702" s="57">
        <f t="shared" si="32"/>
        <v>0</v>
      </c>
      <c r="P702" s="77">
        <v>27147</v>
      </c>
      <c r="Q702" s="73">
        <f t="shared" si="30"/>
        <v>0</v>
      </c>
      <c r="R702" s="57"/>
      <c r="S702" s="57"/>
      <c r="T702" s="57"/>
      <c r="U702" s="57"/>
      <c r="V702" s="73">
        <f t="shared" si="31"/>
        <v>0</v>
      </c>
      <c r="W702" s="106"/>
      <c r="X702" s="64"/>
    </row>
    <row r="703" spans="1:24" s="66" customFormat="1" ht="12" hidden="1" customHeight="1">
      <c r="A703" s="74" t="s">
        <v>634</v>
      </c>
      <c r="B703" s="74"/>
      <c r="C703" s="74"/>
      <c r="D703" s="74"/>
      <c r="E703" s="74"/>
      <c r="F703" s="74"/>
      <c r="G703" s="74"/>
      <c r="H703" s="74"/>
      <c r="I703" s="75" t="s">
        <v>2144</v>
      </c>
      <c r="J703" s="75" t="s">
        <v>1268</v>
      </c>
      <c r="K703" s="74" t="s">
        <v>1269</v>
      </c>
      <c r="L703" s="76" t="s">
        <v>974</v>
      </c>
      <c r="M703" s="57"/>
      <c r="N703" s="77">
        <v>254320</v>
      </c>
      <c r="O703" s="57">
        <f t="shared" si="32"/>
        <v>0</v>
      </c>
      <c r="P703" s="77">
        <v>27147</v>
      </c>
      <c r="Q703" s="73">
        <f t="shared" si="30"/>
        <v>0</v>
      </c>
      <c r="R703" s="57"/>
      <c r="S703" s="57"/>
      <c r="T703" s="57"/>
      <c r="U703" s="57"/>
      <c r="V703" s="73">
        <f t="shared" si="31"/>
        <v>0</v>
      </c>
      <c r="W703" s="106"/>
      <c r="X703" s="64"/>
    </row>
    <row r="704" spans="1:24" s="66" customFormat="1" ht="12" hidden="1" customHeight="1">
      <c r="A704" s="74" t="s">
        <v>635</v>
      </c>
      <c r="B704" s="74"/>
      <c r="C704" s="74"/>
      <c r="D704" s="74"/>
      <c r="E704" s="74"/>
      <c r="F704" s="74"/>
      <c r="G704" s="74"/>
      <c r="H704" s="74"/>
      <c r="I704" s="75" t="s">
        <v>2145</v>
      </c>
      <c r="J704" s="75" t="s">
        <v>1268</v>
      </c>
      <c r="K704" s="74" t="s">
        <v>907</v>
      </c>
      <c r="L704" s="76" t="s">
        <v>974</v>
      </c>
      <c r="M704" s="57"/>
      <c r="N704" s="77">
        <v>127600</v>
      </c>
      <c r="O704" s="57">
        <f t="shared" si="32"/>
        <v>0</v>
      </c>
      <c r="P704" s="77">
        <v>34903</v>
      </c>
      <c r="Q704" s="73">
        <f t="shared" si="30"/>
        <v>0</v>
      </c>
      <c r="R704" s="57"/>
      <c r="S704" s="57"/>
      <c r="T704" s="57"/>
      <c r="U704" s="57"/>
      <c r="V704" s="73">
        <f t="shared" si="31"/>
        <v>0</v>
      </c>
      <c r="W704" s="106"/>
      <c r="X704" s="64"/>
    </row>
    <row r="705" spans="1:24" s="66" customFormat="1" ht="12" hidden="1" customHeight="1">
      <c r="A705" s="74" t="s">
        <v>636</v>
      </c>
      <c r="B705" s="74"/>
      <c r="C705" s="74"/>
      <c r="D705" s="74"/>
      <c r="E705" s="74"/>
      <c r="F705" s="74"/>
      <c r="G705" s="74"/>
      <c r="H705" s="74"/>
      <c r="I705" s="75" t="s">
        <v>2146</v>
      </c>
      <c r="J705" s="75" t="s">
        <v>1268</v>
      </c>
      <c r="K705" s="74" t="s">
        <v>908</v>
      </c>
      <c r="L705" s="76" t="s">
        <v>974</v>
      </c>
      <c r="M705" s="57"/>
      <c r="N705" s="77">
        <v>193600</v>
      </c>
      <c r="O705" s="57">
        <f t="shared" si="32"/>
        <v>0</v>
      </c>
      <c r="P705" s="77">
        <v>50416</v>
      </c>
      <c r="Q705" s="73">
        <f t="shared" si="30"/>
        <v>0</v>
      </c>
      <c r="R705" s="57"/>
      <c r="S705" s="57"/>
      <c r="T705" s="57"/>
      <c r="U705" s="57"/>
      <c r="V705" s="73">
        <f t="shared" si="31"/>
        <v>0</v>
      </c>
      <c r="W705" s="106"/>
      <c r="X705" s="64"/>
    </row>
    <row r="706" spans="1:24" s="66" customFormat="1" ht="12" hidden="1" customHeight="1">
      <c r="A706" s="74" t="s">
        <v>637</v>
      </c>
      <c r="B706" s="74"/>
      <c r="C706" s="74"/>
      <c r="D706" s="74"/>
      <c r="E706" s="74"/>
      <c r="F706" s="74"/>
      <c r="G706" s="74"/>
      <c r="H706" s="74"/>
      <c r="I706" s="75" t="s">
        <v>2146</v>
      </c>
      <c r="J706" s="75" t="s">
        <v>1268</v>
      </c>
      <c r="K706" s="74" t="s">
        <v>909</v>
      </c>
      <c r="L706" s="76" t="s">
        <v>974</v>
      </c>
      <c r="M706" s="57"/>
      <c r="N706" s="77">
        <v>259600</v>
      </c>
      <c r="O706" s="57">
        <f t="shared" si="32"/>
        <v>0</v>
      </c>
      <c r="P706" s="77">
        <v>50416</v>
      </c>
      <c r="Q706" s="73">
        <f t="shared" si="30"/>
        <v>0</v>
      </c>
      <c r="R706" s="57"/>
      <c r="S706" s="57"/>
      <c r="T706" s="57"/>
      <c r="U706" s="57"/>
      <c r="V706" s="73">
        <f t="shared" si="31"/>
        <v>0</v>
      </c>
      <c r="W706" s="106"/>
      <c r="X706" s="64"/>
    </row>
    <row r="707" spans="1:24" s="66" customFormat="1" ht="12" hidden="1" customHeight="1">
      <c r="A707" s="74" t="s">
        <v>638</v>
      </c>
      <c r="B707" s="74"/>
      <c r="C707" s="74"/>
      <c r="D707" s="74"/>
      <c r="E707" s="74"/>
      <c r="F707" s="74"/>
      <c r="G707" s="74"/>
      <c r="H707" s="74"/>
      <c r="I707" s="75" t="s">
        <v>2147</v>
      </c>
      <c r="J707" s="75" t="s">
        <v>1268</v>
      </c>
      <c r="K707" s="74" t="s">
        <v>910</v>
      </c>
      <c r="L707" s="76" t="s">
        <v>974</v>
      </c>
      <c r="M707" s="57"/>
      <c r="N707" s="77">
        <v>299200</v>
      </c>
      <c r="O707" s="57">
        <f t="shared" si="32"/>
        <v>0</v>
      </c>
      <c r="P707" s="77">
        <v>104710</v>
      </c>
      <c r="Q707" s="73">
        <f t="shared" si="30"/>
        <v>0</v>
      </c>
      <c r="R707" s="57"/>
      <c r="S707" s="57"/>
      <c r="T707" s="57"/>
      <c r="U707" s="57"/>
      <c r="V707" s="73">
        <f t="shared" si="31"/>
        <v>0</v>
      </c>
      <c r="W707" s="106"/>
      <c r="X707" s="64"/>
    </row>
    <row r="708" spans="1:24" s="66" customFormat="1" ht="12" hidden="1" customHeight="1">
      <c r="A708" s="74" t="s">
        <v>639</v>
      </c>
      <c r="B708" s="74"/>
      <c r="C708" s="74"/>
      <c r="D708" s="74"/>
      <c r="E708" s="74"/>
      <c r="F708" s="74"/>
      <c r="G708" s="74"/>
      <c r="H708" s="74"/>
      <c r="I708" s="75" t="s">
        <v>2144</v>
      </c>
      <c r="J708" s="75" t="s">
        <v>1251</v>
      </c>
      <c r="K708" s="74" t="s">
        <v>1267</v>
      </c>
      <c r="L708" s="76" t="s">
        <v>974</v>
      </c>
      <c r="M708" s="57"/>
      <c r="N708" s="77">
        <v>12540</v>
      </c>
      <c r="O708" s="57">
        <f t="shared" si="32"/>
        <v>0</v>
      </c>
      <c r="P708" s="77">
        <v>27147</v>
      </c>
      <c r="Q708" s="73">
        <f t="shared" si="30"/>
        <v>0</v>
      </c>
      <c r="R708" s="57"/>
      <c r="S708" s="57"/>
      <c r="T708" s="57"/>
      <c r="U708" s="57"/>
      <c r="V708" s="73">
        <f t="shared" si="31"/>
        <v>0</v>
      </c>
      <c r="W708" s="106"/>
      <c r="X708" s="64"/>
    </row>
    <row r="709" spans="1:24" s="66" customFormat="1" ht="12" hidden="1" customHeight="1">
      <c r="A709" s="74" t="s">
        <v>640</v>
      </c>
      <c r="B709" s="74"/>
      <c r="C709" s="74"/>
      <c r="D709" s="74"/>
      <c r="E709" s="74"/>
      <c r="F709" s="74"/>
      <c r="G709" s="74"/>
      <c r="H709" s="74"/>
      <c r="I709" s="75" t="s">
        <v>2144</v>
      </c>
      <c r="J709" s="75" t="s">
        <v>1251</v>
      </c>
      <c r="K709" s="74" t="s">
        <v>1266</v>
      </c>
      <c r="L709" s="76" t="s">
        <v>974</v>
      </c>
      <c r="M709" s="57"/>
      <c r="N709" s="77">
        <v>17600</v>
      </c>
      <c r="O709" s="57">
        <f t="shared" si="32"/>
        <v>0</v>
      </c>
      <c r="P709" s="77">
        <v>27147</v>
      </c>
      <c r="Q709" s="73">
        <f t="shared" si="30"/>
        <v>0</v>
      </c>
      <c r="R709" s="57"/>
      <c r="S709" s="57"/>
      <c r="T709" s="57"/>
      <c r="U709" s="57"/>
      <c r="V709" s="73">
        <f t="shared" si="31"/>
        <v>0</v>
      </c>
      <c r="W709" s="106"/>
      <c r="X709" s="64"/>
    </row>
    <row r="710" spans="1:24" s="66" customFormat="1" ht="12" hidden="1" customHeight="1">
      <c r="A710" s="74" t="s">
        <v>641</v>
      </c>
      <c r="B710" s="74"/>
      <c r="C710" s="74"/>
      <c r="D710" s="74"/>
      <c r="E710" s="74"/>
      <c r="F710" s="74"/>
      <c r="G710" s="74"/>
      <c r="H710" s="74"/>
      <c r="I710" s="75" t="s">
        <v>2144</v>
      </c>
      <c r="J710" s="75" t="s">
        <v>1251</v>
      </c>
      <c r="K710" s="74" t="s">
        <v>1265</v>
      </c>
      <c r="L710" s="76" t="s">
        <v>974</v>
      </c>
      <c r="M710" s="57"/>
      <c r="N710" s="77">
        <v>23320</v>
      </c>
      <c r="O710" s="57">
        <f t="shared" si="32"/>
        <v>0</v>
      </c>
      <c r="P710" s="77">
        <v>27147</v>
      </c>
      <c r="Q710" s="73">
        <f t="shared" si="30"/>
        <v>0</v>
      </c>
      <c r="R710" s="57"/>
      <c r="S710" s="57"/>
      <c r="T710" s="57"/>
      <c r="U710" s="57"/>
      <c r="V710" s="73">
        <f t="shared" si="31"/>
        <v>0</v>
      </c>
      <c r="W710" s="106"/>
      <c r="X710" s="64"/>
    </row>
    <row r="711" spans="1:24" s="66" customFormat="1" ht="12" hidden="1" customHeight="1">
      <c r="A711" s="74" t="s">
        <v>642</v>
      </c>
      <c r="B711" s="74"/>
      <c r="C711" s="74"/>
      <c r="D711" s="74"/>
      <c r="E711" s="74"/>
      <c r="F711" s="74"/>
      <c r="G711" s="74"/>
      <c r="H711" s="74"/>
      <c r="I711" s="75" t="s">
        <v>2144</v>
      </c>
      <c r="J711" s="75" t="s">
        <v>1251</v>
      </c>
      <c r="K711" s="74" t="s">
        <v>1264</v>
      </c>
      <c r="L711" s="76" t="s">
        <v>974</v>
      </c>
      <c r="M711" s="57"/>
      <c r="N711" s="77">
        <v>27500</v>
      </c>
      <c r="O711" s="57">
        <f t="shared" si="32"/>
        <v>0</v>
      </c>
      <c r="P711" s="77">
        <v>27147</v>
      </c>
      <c r="Q711" s="73">
        <f t="shared" si="30"/>
        <v>0</v>
      </c>
      <c r="R711" s="57"/>
      <c r="S711" s="57"/>
      <c r="T711" s="57"/>
      <c r="U711" s="57"/>
      <c r="V711" s="73">
        <f t="shared" si="31"/>
        <v>0</v>
      </c>
      <c r="W711" s="106"/>
      <c r="X711" s="64"/>
    </row>
    <row r="712" spans="1:24" s="66" customFormat="1" ht="12" hidden="1" customHeight="1">
      <c r="A712" s="74" t="s">
        <v>643</v>
      </c>
      <c r="B712" s="74"/>
      <c r="C712" s="74"/>
      <c r="D712" s="74"/>
      <c r="E712" s="74"/>
      <c r="F712" s="74"/>
      <c r="G712" s="74"/>
      <c r="H712" s="74"/>
      <c r="I712" s="75" t="s">
        <v>2144</v>
      </c>
      <c r="J712" s="75" t="s">
        <v>1251</v>
      </c>
      <c r="K712" s="74" t="s">
        <v>1263</v>
      </c>
      <c r="L712" s="76" t="s">
        <v>974</v>
      </c>
      <c r="M712" s="57"/>
      <c r="N712" s="77">
        <v>33440</v>
      </c>
      <c r="O712" s="57">
        <f t="shared" si="32"/>
        <v>0</v>
      </c>
      <c r="P712" s="77">
        <v>27147</v>
      </c>
      <c r="Q712" s="73">
        <f t="shared" si="30"/>
        <v>0</v>
      </c>
      <c r="R712" s="57"/>
      <c r="S712" s="57"/>
      <c r="T712" s="57"/>
      <c r="U712" s="57"/>
      <c r="V712" s="73">
        <f t="shared" si="31"/>
        <v>0</v>
      </c>
      <c r="W712" s="106"/>
      <c r="X712" s="64"/>
    </row>
    <row r="713" spans="1:24" s="66" customFormat="1" ht="12" hidden="1" customHeight="1">
      <c r="A713" s="74" t="s">
        <v>644</v>
      </c>
      <c r="B713" s="74"/>
      <c r="C713" s="74"/>
      <c r="D713" s="74"/>
      <c r="E713" s="74"/>
      <c r="F713" s="74"/>
      <c r="G713" s="74"/>
      <c r="H713" s="74"/>
      <c r="I713" s="75" t="s">
        <v>2144</v>
      </c>
      <c r="J713" s="75" t="s">
        <v>1251</v>
      </c>
      <c r="K713" s="74" t="s">
        <v>1262</v>
      </c>
      <c r="L713" s="76" t="s">
        <v>974</v>
      </c>
      <c r="M713" s="57"/>
      <c r="N713" s="77">
        <v>45760</v>
      </c>
      <c r="O713" s="57">
        <f t="shared" si="32"/>
        <v>0</v>
      </c>
      <c r="P713" s="77">
        <v>27147</v>
      </c>
      <c r="Q713" s="73">
        <f t="shared" si="30"/>
        <v>0</v>
      </c>
      <c r="R713" s="57"/>
      <c r="S713" s="57"/>
      <c r="T713" s="57"/>
      <c r="U713" s="57"/>
      <c r="V713" s="73">
        <f t="shared" si="31"/>
        <v>0</v>
      </c>
      <c r="W713" s="106"/>
      <c r="X713" s="64"/>
    </row>
    <row r="714" spans="1:24" s="66" customFormat="1" ht="12" hidden="1" customHeight="1">
      <c r="A714" s="74" t="s">
        <v>645</v>
      </c>
      <c r="B714" s="74"/>
      <c r="C714" s="74"/>
      <c r="D714" s="74"/>
      <c r="E714" s="74"/>
      <c r="F714" s="74"/>
      <c r="G714" s="74"/>
      <c r="H714" s="74"/>
      <c r="I714" s="75" t="s">
        <v>2144</v>
      </c>
      <c r="J714" s="75" t="s">
        <v>1251</v>
      </c>
      <c r="K714" s="74" t="s">
        <v>1261</v>
      </c>
      <c r="L714" s="76" t="s">
        <v>974</v>
      </c>
      <c r="M714" s="57"/>
      <c r="N714" s="77">
        <v>48840</v>
      </c>
      <c r="O714" s="57">
        <f t="shared" si="32"/>
        <v>0</v>
      </c>
      <c r="P714" s="77">
        <v>27147</v>
      </c>
      <c r="Q714" s="73">
        <f t="shared" si="30"/>
        <v>0</v>
      </c>
      <c r="R714" s="57"/>
      <c r="S714" s="57"/>
      <c r="T714" s="57"/>
      <c r="U714" s="57"/>
      <c r="V714" s="73">
        <f t="shared" si="31"/>
        <v>0</v>
      </c>
      <c r="W714" s="106"/>
      <c r="X714" s="64"/>
    </row>
    <row r="715" spans="1:24" s="66" customFormat="1" ht="12" hidden="1" customHeight="1">
      <c r="A715" s="74" t="s">
        <v>646</v>
      </c>
      <c r="B715" s="74"/>
      <c r="C715" s="74"/>
      <c r="D715" s="74"/>
      <c r="E715" s="74"/>
      <c r="F715" s="74"/>
      <c r="G715" s="74"/>
      <c r="H715" s="74"/>
      <c r="I715" s="75" t="s">
        <v>2144</v>
      </c>
      <c r="J715" s="75" t="s">
        <v>1251</v>
      </c>
      <c r="K715" s="74" t="s">
        <v>1260</v>
      </c>
      <c r="L715" s="76" t="s">
        <v>974</v>
      </c>
      <c r="M715" s="57"/>
      <c r="N715" s="77">
        <v>66440</v>
      </c>
      <c r="O715" s="57">
        <f t="shared" si="32"/>
        <v>0</v>
      </c>
      <c r="P715" s="77">
        <v>27147</v>
      </c>
      <c r="Q715" s="73">
        <f t="shared" ref="Q715:Q778" si="33">IF(W715="",M715*P715*$Q$3*$W$3,M715*P715*$Q$3*W715)</f>
        <v>0</v>
      </c>
      <c r="R715" s="57"/>
      <c r="S715" s="57"/>
      <c r="T715" s="57"/>
      <c r="U715" s="57"/>
      <c r="V715" s="73">
        <f t="shared" ref="V715:V778" si="34">SUM(O715+Q715)+S715+U715</f>
        <v>0</v>
      </c>
      <c r="W715" s="106"/>
      <c r="X715" s="64"/>
    </row>
    <row r="716" spans="1:24" s="66" customFormat="1" ht="12" hidden="1" customHeight="1">
      <c r="A716" s="74" t="s">
        <v>647</v>
      </c>
      <c r="B716" s="74"/>
      <c r="C716" s="74"/>
      <c r="D716" s="74"/>
      <c r="E716" s="74"/>
      <c r="F716" s="74"/>
      <c r="G716" s="74"/>
      <c r="H716" s="74"/>
      <c r="I716" s="75" t="s">
        <v>2144</v>
      </c>
      <c r="J716" s="75" t="s">
        <v>1251</v>
      </c>
      <c r="K716" s="74" t="s">
        <v>1259</v>
      </c>
      <c r="L716" s="76" t="s">
        <v>974</v>
      </c>
      <c r="M716" s="57"/>
      <c r="N716" s="77">
        <v>84260</v>
      </c>
      <c r="O716" s="57">
        <f t="shared" si="32"/>
        <v>0</v>
      </c>
      <c r="P716" s="77">
        <v>27147</v>
      </c>
      <c r="Q716" s="73">
        <f t="shared" si="33"/>
        <v>0</v>
      </c>
      <c r="R716" s="57"/>
      <c r="S716" s="57"/>
      <c r="T716" s="57"/>
      <c r="U716" s="57"/>
      <c r="V716" s="73">
        <f t="shared" si="34"/>
        <v>0</v>
      </c>
      <c r="W716" s="106"/>
      <c r="X716" s="64"/>
    </row>
    <row r="717" spans="1:24" s="66" customFormat="1" ht="12" hidden="1" customHeight="1">
      <c r="A717" s="74" t="s">
        <v>648</v>
      </c>
      <c r="B717" s="74"/>
      <c r="C717" s="74"/>
      <c r="D717" s="74"/>
      <c r="E717" s="74"/>
      <c r="F717" s="74"/>
      <c r="G717" s="74"/>
      <c r="H717" s="74"/>
      <c r="I717" s="75" t="s">
        <v>2144</v>
      </c>
      <c r="J717" s="75" t="s">
        <v>1251</v>
      </c>
      <c r="K717" s="74" t="s">
        <v>1258</v>
      </c>
      <c r="L717" s="76" t="s">
        <v>974</v>
      </c>
      <c r="M717" s="57"/>
      <c r="N717" s="77">
        <v>128260</v>
      </c>
      <c r="O717" s="57">
        <f t="shared" si="32"/>
        <v>0</v>
      </c>
      <c r="P717" s="77">
        <v>27147</v>
      </c>
      <c r="Q717" s="73">
        <f t="shared" si="33"/>
        <v>0</v>
      </c>
      <c r="R717" s="57"/>
      <c r="S717" s="57"/>
      <c r="T717" s="57"/>
      <c r="U717" s="57"/>
      <c r="V717" s="73">
        <f t="shared" si="34"/>
        <v>0</v>
      </c>
      <c r="W717" s="106"/>
      <c r="X717" s="64"/>
    </row>
    <row r="718" spans="1:24" s="66" customFormat="1" ht="12" hidden="1" customHeight="1">
      <c r="A718" s="74" t="s">
        <v>649</v>
      </c>
      <c r="B718" s="74"/>
      <c r="C718" s="74"/>
      <c r="D718" s="74"/>
      <c r="E718" s="74"/>
      <c r="F718" s="74"/>
      <c r="G718" s="74"/>
      <c r="H718" s="74"/>
      <c r="I718" s="75" t="s">
        <v>2144</v>
      </c>
      <c r="J718" s="75" t="s">
        <v>1251</v>
      </c>
      <c r="K718" s="74" t="s">
        <v>1257</v>
      </c>
      <c r="L718" s="76" t="s">
        <v>974</v>
      </c>
      <c r="M718" s="57"/>
      <c r="N718" s="77">
        <v>135960</v>
      </c>
      <c r="O718" s="57">
        <f t="shared" si="32"/>
        <v>0</v>
      </c>
      <c r="P718" s="77">
        <v>27147</v>
      </c>
      <c r="Q718" s="73">
        <f t="shared" si="33"/>
        <v>0</v>
      </c>
      <c r="R718" s="57"/>
      <c r="S718" s="57"/>
      <c r="T718" s="57"/>
      <c r="U718" s="57"/>
      <c r="V718" s="73">
        <f t="shared" si="34"/>
        <v>0</v>
      </c>
      <c r="W718" s="106"/>
      <c r="X718" s="64"/>
    </row>
    <row r="719" spans="1:24" s="66" customFormat="1" ht="12" hidden="1" customHeight="1">
      <c r="A719" s="74" t="s">
        <v>650</v>
      </c>
      <c r="B719" s="74"/>
      <c r="C719" s="74"/>
      <c r="D719" s="74"/>
      <c r="E719" s="74"/>
      <c r="F719" s="74"/>
      <c r="G719" s="74"/>
      <c r="H719" s="74"/>
      <c r="I719" s="75" t="s">
        <v>2144</v>
      </c>
      <c r="J719" s="75" t="s">
        <v>1251</v>
      </c>
      <c r="K719" s="74" t="s">
        <v>1256</v>
      </c>
      <c r="L719" s="76" t="s">
        <v>974</v>
      </c>
      <c r="M719" s="57"/>
      <c r="N719" s="77">
        <v>168740</v>
      </c>
      <c r="O719" s="57">
        <f t="shared" si="32"/>
        <v>0</v>
      </c>
      <c r="P719" s="77">
        <v>27147</v>
      </c>
      <c r="Q719" s="73">
        <f t="shared" si="33"/>
        <v>0</v>
      </c>
      <c r="R719" s="57"/>
      <c r="S719" s="57"/>
      <c r="T719" s="57"/>
      <c r="U719" s="57"/>
      <c r="V719" s="73">
        <f t="shared" si="34"/>
        <v>0</v>
      </c>
      <c r="W719" s="106"/>
      <c r="X719" s="64"/>
    </row>
    <row r="720" spans="1:24" s="66" customFormat="1" ht="12" hidden="1" customHeight="1">
      <c r="A720" s="74" t="s">
        <v>1760</v>
      </c>
      <c r="B720" s="74"/>
      <c r="C720" s="74"/>
      <c r="D720" s="74"/>
      <c r="E720" s="74"/>
      <c r="F720" s="74"/>
      <c r="G720" s="74"/>
      <c r="H720" s="74"/>
      <c r="I720" s="75" t="s">
        <v>2148</v>
      </c>
      <c r="J720" s="75" t="s">
        <v>1506</v>
      </c>
      <c r="K720" s="74" t="s">
        <v>1507</v>
      </c>
      <c r="L720" s="76" t="s">
        <v>1505</v>
      </c>
      <c r="M720" s="57"/>
      <c r="N720" s="77">
        <v>0</v>
      </c>
      <c r="O720" s="57">
        <f t="shared" si="32"/>
        <v>0</v>
      </c>
      <c r="P720" s="77">
        <v>41491</v>
      </c>
      <c r="Q720" s="73">
        <f t="shared" si="33"/>
        <v>0</v>
      </c>
      <c r="R720" s="57"/>
      <c r="S720" s="57"/>
      <c r="T720" s="57"/>
      <c r="U720" s="57"/>
      <c r="V720" s="73">
        <f t="shared" si="34"/>
        <v>0</v>
      </c>
      <c r="W720" s="106"/>
      <c r="X720" s="64"/>
    </row>
    <row r="721" spans="1:24" s="66" customFormat="1" ht="12" hidden="1" customHeight="1">
      <c r="A721" s="74" t="s">
        <v>1761</v>
      </c>
      <c r="B721" s="74"/>
      <c r="C721" s="74"/>
      <c r="D721" s="74"/>
      <c r="E721" s="74"/>
      <c r="F721" s="74"/>
      <c r="G721" s="74"/>
      <c r="H721" s="74"/>
      <c r="I721" s="75" t="s">
        <v>2149</v>
      </c>
      <c r="J721" s="75" t="s">
        <v>1508</v>
      </c>
      <c r="K721" s="74" t="s">
        <v>1507</v>
      </c>
      <c r="L721" s="76" t="s">
        <v>1505</v>
      </c>
      <c r="M721" s="57"/>
      <c r="N721" s="77">
        <v>0</v>
      </c>
      <c r="O721" s="57">
        <f t="shared" si="32"/>
        <v>0</v>
      </c>
      <c r="P721" s="77">
        <v>53784</v>
      </c>
      <c r="Q721" s="73">
        <f t="shared" si="33"/>
        <v>0</v>
      </c>
      <c r="R721" s="57"/>
      <c r="S721" s="57"/>
      <c r="T721" s="57"/>
      <c r="U721" s="57"/>
      <c r="V721" s="73">
        <f t="shared" si="34"/>
        <v>0</v>
      </c>
      <c r="W721" s="106"/>
      <c r="X721" s="64"/>
    </row>
    <row r="722" spans="1:24" s="66" customFormat="1" ht="12" hidden="1" customHeight="1">
      <c r="A722" s="74" t="s">
        <v>1762</v>
      </c>
      <c r="B722" s="74"/>
      <c r="C722" s="74"/>
      <c r="D722" s="74"/>
      <c r="E722" s="74"/>
      <c r="F722" s="74"/>
      <c r="G722" s="74"/>
      <c r="H722" s="74"/>
      <c r="I722" s="75" t="s">
        <v>2150</v>
      </c>
      <c r="J722" s="75" t="s">
        <v>1509</v>
      </c>
      <c r="K722" s="74" t="s">
        <v>1507</v>
      </c>
      <c r="L722" s="76" t="s">
        <v>1505</v>
      </c>
      <c r="M722" s="57"/>
      <c r="N722" s="77">
        <v>0</v>
      </c>
      <c r="O722" s="57">
        <f t="shared" si="32"/>
        <v>0</v>
      </c>
      <c r="P722" s="77">
        <v>66078</v>
      </c>
      <c r="Q722" s="73">
        <f t="shared" si="33"/>
        <v>0</v>
      </c>
      <c r="R722" s="57"/>
      <c r="S722" s="57"/>
      <c r="T722" s="57"/>
      <c r="U722" s="57"/>
      <c r="V722" s="73">
        <f t="shared" si="34"/>
        <v>0</v>
      </c>
      <c r="W722" s="106"/>
      <c r="X722" s="64"/>
    </row>
    <row r="723" spans="1:24" s="66" customFormat="1" ht="12" hidden="1" customHeight="1">
      <c r="A723" s="74" t="s">
        <v>1763</v>
      </c>
      <c r="B723" s="74"/>
      <c r="C723" s="74"/>
      <c r="D723" s="74"/>
      <c r="E723" s="74"/>
      <c r="F723" s="74"/>
      <c r="G723" s="74"/>
      <c r="H723" s="74"/>
      <c r="I723" s="75" t="s">
        <v>2151</v>
      </c>
      <c r="J723" s="75" t="s">
        <v>1510</v>
      </c>
      <c r="K723" s="74" t="s">
        <v>1507</v>
      </c>
      <c r="L723" s="76" t="s">
        <v>1505</v>
      </c>
      <c r="M723" s="57"/>
      <c r="N723" s="77">
        <v>0</v>
      </c>
      <c r="O723" s="57">
        <f t="shared" si="32"/>
        <v>0</v>
      </c>
      <c r="P723" s="77">
        <v>118326</v>
      </c>
      <c r="Q723" s="73">
        <f t="shared" si="33"/>
        <v>0</v>
      </c>
      <c r="R723" s="57"/>
      <c r="S723" s="57"/>
      <c r="T723" s="57"/>
      <c r="U723" s="57"/>
      <c r="V723" s="73">
        <f t="shared" si="34"/>
        <v>0</v>
      </c>
      <c r="W723" s="106"/>
      <c r="X723" s="64"/>
    </row>
    <row r="724" spans="1:24" s="66" customFormat="1" ht="12" hidden="1" customHeight="1">
      <c r="A724" s="74" t="s">
        <v>1764</v>
      </c>
      <c r="B724" s="74"/>
      <c r="C724" s="74"/>
      <c r="D724" s="74"/>
      <c r="E724" s="74"/>
      <c r="F724" s="74"/>
      <c r="G724" s="74"/>
      <c r="H724" s="74"/>
      <c r="I724" s="75" t="s">
        <v>2152</v>
      </c>
      <c r="J724" s="75" t="s">
        <v>1511</v>
      </c>
      <c r="K724" s="74" t="s">
        <v>1507</v>
      </c>
      <c r="L724" s="76" t="s">
        <v>1505</v>
      </c>
      <c r="M724" s="57"/>
      <c r="N724" s="77">
        <v>0</v>
      </c>
      <c r="O724" s="57">
        <f t="shared" si="32"/>
        <v>0</v>
      </c>
      <c r="P724" s="77">
        <v>484578</v>
      </c>
      <c r="Q724" s="73">
        <f t="shared" si="33"/>
        <v>0</v>
      </c>
      <c r="R724" s="57"/>
      <c r="S724" s="57"/>
      <c r="T724" s="57"/>
      <c r="U724" s="57"/>
      <c r="V724" s="73">
        <f t="shared" si="34"/>
        <v>0</v>
      </c>
      <c r="W724" s="106"/>
      <c r="X724" s="64"/>
    </row>
    <row r="725" spans="1:24" s="66" customFormat="1" ht="12" hidden="1" customHeight="1">
      <c r="A725" s="74" t="s">
        <v>1765</v>
      </c>
      <c r="B725" s="74"/>
      <c r="C725" s="74"/>
      <c r="D725" s="74"/>
      <c r="E725" s="74"/>
      <c r="F725" s="74"/>
      <c r="G725" s="74"/>
      <c r="H725" s="74"/>
      <c r="I725" s="75" t="s">
        <v>2153</v>
      </c>
      <c r="J725" s="75" t="s">
        <v>1512</v>
      </c>
      <c r="K725" s="74" t="s">
        <v>1507</v>
      </c>
      <c r="L725" s="76" t="s">
        <v>1505</v>
      </c>
      <c r="M725" s="57"/>
      <c r="N725" s="77">
        <v>0</v>
      </c>
      <c r="O725" s="57">
        <f t="shared" si="32"/>
        <v>0</v>
      </c>
      <c r="P725" s="77">
        <v>699947</v>
      </c>
      <c r="Q725" s="73">
        <f t="shared" si="33"/>
        <v>0</v>
      </c>
      <c r="R725" s="57"/>
      <c r="S725" s="57"/>
      <c r="T725" s="57"/>
      <c r="U725" s="57"/>
      <c r="V725" s="73">
        <f t="shared" si="34"/>
        <v>0</v>
      </c>
      <c r="W725" s="106"/>
      <c r="X725" s="64"/>
    </row>
    <row r="726" spans="1:24" s="66" customFormat="1" ht="12" hidden="1" customHeight="1">
      <c r="A726" s="74" t="s">
        <v>1766</v>
      </c>
      <c r="B726" s="74"/>
      <c r="C726" s="74"/>
      <c r="D726" s="74"/>
      <c r="E726" s="74"/>
      <c r="F726" s="74"/>
      <c r="G726" s="74"/>
      <c r="H726" s="74"/>
      <c r="I726" s="75" t="s">
        <v>2154</v>
      </c>
      <c r="J726" s="75" t="s">
        <v>1513</v>
      </c>
      <c r="K726" s="74" t="s">
        <v>1507</v>
      </c>
      <c r="L726" s="76" t="s">
        <v>1505</v>
      </c>
      <c r="M726" s="57"/>
      <c r="N726" s="77">
        <v>0</v>
      </c>
      <c r="O726" s="57">
        <f t="shared" si="32"/>
        <v>0</v>
      </c>
      <c r="P726" s="77">
        <v>1557665</v>
      </c>
      <c r="Q726" s="73">
        <f t="shared" si="33"/>
        <v>0</v>
      </c>
      <c r="R726" s="57"/>
      <c r="S726" s="57"/>
      <c r="T726" s="57"/>
      <c r="U726" s="57"/>
      <c r="V726" s="73">
        <f t="shared" si="34"/>
        <v>0</v>
      </c>
      <c r="W726" s="106"/>
      <c r="X726" s="64"/>
    </row>
    <row r="727" spans="1:24" s="66" customFormat="1" ht="12" hidden="1" customHeight="1">
      <c r="A727" s="74" t="s">
        <v>1767</v>
      </c>
      <c r="B727" s="74"/>
      <c r="C727" s="74"/>
      <c r="D727" s="74"/>
      <c r="E727" s="74"/>
      <c r="F727" s="74"/>
      <c r="G727" s="74"/>
      <c r="H727" s="74"/>
      <c r="I727" s="75" t="s">
        <v>2156</v>
      </c>
      <c r="J727" s="75" t="s">
        <v>1514</v>
      </c>
      <c r="K727" s="74" t="s">
        <v>1515</v>
      </c>
      <c r="L727" s="76" t="s">
        <v>1505</v>
      </c>
      <c r="M727" s="57"/>
      <c r="N727" s="77">
        <v>4569</v>
      </c>
      <c r="O727" s="57">
        <f t="shared" si="32"/>
        <v>0</v>
      </c>
      <c r="P727" s="77">
        <v>100751</v>
      </c>
      <c r="Q727" s="73">
        <f t="shared" si="33"/>
        <v>0</v>
      </c>
      <c r="R727" s="78">
        <v>1473</v>
      </c>
      <c r="S727" s="57">
        <f>M727*R727*S3</f>
        <v>0</v>
      </c>
      <c r="T727" s="57"/>
      <c r="U727" s="57"/>
      <c r="V727" s="73">
        <f t="shared" si="34"/>
        <v>0</v>
      </c>
      <c r="W727" s="106"/>
      <c r="X727" s="64"/>
    </row>
    <row r="728" spans="1:24" s="66" customFormat="1" ht="12" hidden="1" customHeight="1">
      <c r="A728" s="74" t="s">
        <v>1768</v>
      </c>
      <c r="B728" s="74"/>
      <c r="C728" s="74"/>
      <c r="D728" s="74"/>
      <c r="E728" s="74"/>
      <c r="F728" s="74"/>
      <c r="G728" s="74"/>
      <c r="H728" s="74"/>
      <c r="I728" s="75" t="s">
        <v>2157</v>
      </c>
      <c r="J728" s="75" t="s">
        <v>1516</v>
      </c>
      <c r="K728" s="74" t="s">
        <v>1517</v>
      </c>
      <c r="L728" s="76" t="s">
        <v>1505</v>
      </c>
      <c r="M728" s="57"/>
      <c r="N728" s="77">
        <v>7310</v>
      </c>
      <c r="O728" s="57">
        <f t="shared" si="32"/>
        <v>0</v>
      </c>
      <c r="P728" s="77">
        <v>131432</v>
      </c>
      <c r="Q728" s="73">
        <f t="shared" si="33"/>
        <v>0</v>
      </c>
      <c r="R728" s="78">
        <v>2216</v>
      </c>
      <c r="S728" s="57">
        <f>M728*R728*S3</f>
        <v>0</v>
      </c>
      <c r="T728" s="57"/>
      <c r="U728" s="57"/>
      <c r="V728" s="73">
        <f t="shared" si="34"/>
        <v>0</v>
      </c>
      <c r="W728" s="106"/>
      <c r="X728" s="64"/>
    </row>
    <row r="729" spans="1:24" s="66" customFormat="1" ht="12" hidden="1" customHeight="1">
      <c r="A729" s="74" t="s">
        <v>1770</v>
      </c>
      <c r="B729" s="74"/>
      <c r="C729" s="74"/>
      <c r="D729" s="74"/>
      <c r="E729" s="74"/>
      <c r="F729" s="74"/>
      <c r="G729" s="74"/>
      <c r="H729" s="74"/>
      <c r="I729" s="75" t="s">
        <v>2159</v>
      </c>
      <c r="J729" s="75" t="s">
        <v>1520</v>
      </c>
      <c r="K729" s="74" t="s">
        <v>1521</v>
      </c>
      <c r="L729" s="76" t="s">
        <v>1505</v>
      </c>
      <c r="M729" s="57"/>
      <c r="N729" s="77">
        <v>14620</v>
      </c>
      <c r="O729" s="57">
        <f t="shared" si="32"/>
        <v>0</v>
      </c>
      <c r="P729" s="77">
        <v>295170</v>
      </c>
      <c r="Q729" s="73">
        <f t="shared" si="33"/>
        <v>0</v>
      </c>
      <c r="R729" s="78">
        <v>4658</v>
      </c>
      <c r="S729" s="57">
        <f>M729*R729*S3</f>
        <v>0</v>
      </c>
      <c r="T729" s="57"/>
      <c r="U729" s="57"/>
      <c r="V729" s="73">
        <f t="shared" si="34"/>
        <v>0</v>
      </c>
      <c r="W729" s="106"/>
      <c r="X729" s="64"/>
    </row>
    <row r="730" spans="1:24" s="66" customFormat="1" ht="12" hidden="1" customHeight="1">
      <c r="A730" s="74" t="s">
        <v>1769</v>
      </c>
      <c r="B730" s="74"/>
      <c r="C730" s="74"/>
      <c r="D730" s="74"/>
      <c r="E730" s="74"/>
      <c r="F730" s="74"/>
      <c r="G730" s="74"/>
      <c r="H730" s="74"/>
      <c r="I730" s="75" t="s">
        <v>2158</v>
      </c>
      <c r="J730" s="75" t="s">
        <v>1518</v>
      </c>
      <c r="K730" s="74" t="s">
        <v>1519</v>
      </c>
      <c r="L730" s="76" t="s">
        <v>1505</v>
      </c>
      <c r="M730" s="57"/>
      <c r="N730" s="77">
        <v>9138</v>
      </c>
      <c r="O730" s="57">
        <f t="shared" si="32"/>
        <v>0</v>
      </c>
      <c r="P730" s="77">
        <v>181502</v>
      </c>
      <c r="Q730" s="73">
        <f t="shared" si="33"/>
        <v>0</v>
      </c>
      <c r="R730" s="78">
        <v>2896</v>
      </c>
      <c r="S730" s="57">
        <f>M730*R730*S3</f>
        <v>0</v>
      </c>
      <c r="T730" s="57"/>
      <c r="U730" s="57"/>
      <c r="V730" s="73">
        <f t="shared" si="34"/>
        <v>0</v>
      </c>
      <c r="W730" s="106"/>
      <c r="X730" s="64"/>
    </row>
    <row r="731" spans="1:24" s="66" customFormat="1" ht="12" hidden="1" customHeight="1">
      <c r="A731" s="74" t="s">
        <v>403</v>
      </c>
      <c r="B731" s="74"/>
      <c r="C731" s="74"/>
      <c r="D731" s="74"/>
      <c r="E731" s="74"/>
      <c r="F731" s="74"/>
      <c r="G731" s="74"/>
      <c r="H731" s="74"/>
      <c r="I731" s="75" t="s">
        <v>2114</v>
      </c>
      <c r="J731" s="75" t="s">
        <v>1193</v>
      </c>
      <c r="K731" s="74" t="s">
        <v>1202</v>
      </c>
      <c r="L731" s="76" t="s">
        <v>20</v>
      </c>
      <c r="M731" s="57"/>
      <c r="N731" s="77">
        <v>29950</v>
      </c>
      <c r="O731" s="57">
        <f t="shared" si="32"/>
        <v>0</v>
      </c>
      <c r="P731" s="77">
        <v>49226</v>
      </c>
      <c r="Q731" s="73">
        <f t="shared" si="33"/>
        <v>0</v>
      </c>
      <c r="R731" s="57"/>
      <c r="S731" s="57"/>
      <c r="T731" s="57"/>
      <c r="U731" s="57"/>
      <c r="V731" s="73">
        <f t="shared" si="34"/>
        <v>0</v>
      </c>
      <c r="W731" s="106"/>
      <c r="X731" s="64"/>
    </row>
    <row r="732" spans="1:24" s="66" customFormat="1" ht="12" hidden="1" customHeight="1">
      <c r="A732" s="74" t="s">
        <v>404</v>
      </c>
      <c r="B732" s="74"/>
      <c r="C732" s="74"/>
      <c r="D732" s="74"/>
      <c r="E732" s="74"/>
      <c r="F732" s="74"/>
      <c r="G732" s="74"/>
      <c r="H732" s="74"/>
      <c r="I732" s="75" t="s">
        <v>2114</v>
      </c>
      <c r="J732" s="75" t="s">
        <v>1193</v>
      </c>
      <c r="K732" s="74" t="s">
        <v>1201</v>
      </c>
      <c r="L732" s="76" t="s">
        <v>20</v>
      </c>
      <c r="M732" s="57"/>
      <c r="N732" s="77">
        <v>48960</v>
      </c>
      <c r="O732" s="57">
        <f t="shared" si="32"/>
        <v>0</v>
      </c>
      <c r="P732" s="77">
        <v>49226</v>
      </c>
      <c r="Q732" s="73">
        <f t="shared" si="33"/>
        <v>0</v>
      </c>
      <c r="R732" s="57"/>
      <c r="S732" s="57"/>
      <c r="T732" s="57"/>
      <c r="U732" s="57"/>
      <c r="V732" s="73">
        <f t="shared" si="34"/>
        <v>0</v>
      </c>
      <c r="W732" s="106"/>
      <c r="X732" s="64"/>
    </row>
    <row r="733" spans="1:24" s="66" customFormat="1" ht="12" hidden="1" customHeight="1">
      <c r="A733" s="74" t="s">
        <v>405</v>
      </c>
      <c r="B733" s="74"/>
      <c r="C733" s="74"/>
      <c r="D733" s="74"/>
      <c r="E733" s="74"/>
      <c r="F733" s="74"/>
      <c r="G733" s="74"/>
      <c r="H733" s="74"/>
      <c r="I733" s="75" t="s">
        <v>2114</v>
      </c>
      <c r="J733" s="75" t="s">
        <v>1193</v>
      </c>
      <c r="K733" s="74" t="s">
        <v>1200</v>
      </c>
      <c r="L733" s="76" t="s">
        <v>20</v>
      </c>
      <c r="M733" s="57"/>
      <c r="N733" s="77">
        <v>58200</v>
      </c>
      <c r="O733" s="57">
        <f t="shared" si="32"/>
        <v>0</v>
      </c>
      <c r="P733" s="77">
        <v>49226</v>
      </c>
      <c r="Q733" s="73">
        <f t="shared" si="33"/>
        <v>0</v>
      </c>
      <c r="R733" s="57"/>
      <c r="S733" s="57"/>
      <c r="T733" s="57"/>
      <c r="U733" s="57"/>
      <c r="V733" s="73">
        <f t="shared" si="34"/>
        <v>0</v>
      </c>
      <c r="W733" s="106"/>
      <c r="X733" s="64"/>
    </row>
    <row r="734" spans="1:24" s="66" customFormat="1" ht="12" hidden="1" customHeight="1">
      <c r="A734" s="74" t="s">
        <v>406</v>
      </c>
      <c r="B734" s="74"/>
      <c r="C734" s="74"/>
      <c r="D734" s="74"/>
      <c r="E734" s="74"/>
      <c r="F734" s="74"/>
      <c r="G734" s="74"/>
      <c r="H734" s="74"/>
      <c r="I734" s="75" t="s">
        <v>2115</v>
      </c>
      <c r="J734" s="75" t="s">
        <v>1193</v>
      </c>
      <c r="K734" s="74" t="s">
        <v>1199</v>
      </c>
      <c r="L734" s="76" t="s">
        <v>20</v>
      </c>
      <c r="M734" s="57"/>
      <c r="N734" s="77">
        <v>39720</v>
      </c>
      <c r="O734" s="57">
        <f t="shared" si="32"/>
        <v>0</v>
      </c>
      <c r="P734" s="77">
        <v>67363</v>
      </c>
      <c r="Q734" s="73">
        <f t="shared" si="33"/>
        <v>0</v>
      </c>
      <c r="R734" s="57"/>
      <c r="S734" s="57"/>
      <c r="T734" s="57"/>
      <c r="U734" s="57"/>
      <c r="V734" s="73">
        <f t="shared" si="34"/>
        <v>0</v>
      </c>
      <c r="W734" s="106"/>
      <c r="X734" s="64"/>
    </row>
    <row r="735" spans="1:24" s="66" customFormat="1" ht="12" hidden="1" customHeight="1">
      <c r="A735" s="74" t="s">
        <v>407</v>
      </c>
      <c r="B735" s="74"/>
      <c r="C735" s="74"/>
      <c r="D735" s="74"/>
      <c r="E735" s="74"/>
      <c r="F735" s="74"/>
      <c r="G735" s="74"/>
      <c r="H735" s="74"/>
      <c r="I735" s="75" t="s">
        <v>2115</v>
      </c>
      <c r="J735" s="75" t="s">
        <v>1193</v>
      </c>
      <c r="K735" s="74" t="s">
        <v>1198</v>
      </c>
      <c r="L735" s="76" t="s">
        <v>20</v>
      </c>
      <c r="M735" s="57"/>
      <c r="N735" s="77">
        <v>53210</v>
      </c>
      <c r="O735" s="57">
        <f t="shared" si="32"/>
        <v>0</v>
      </c>
      <c r="P735" s="77">
        <v>67363</v>
      </c>
      <c r="Q735" s="73">
        <f t="shared" si="33"/>
        <v>0</v>
      </c>
      <c r="R735" s="57"/>
      <c r="S735" s="57"/>
      <c r="T735" s="57"/>
      <c r="U735" s="57"/>
      <c r="V735" s="73">
        <f t="shared" si="34"/>
        <v>0</v>
      </c>
      <c r="W735" s="106"/>
      <c r="X735" s="64"/>
    </row>
    <row r="736" spans="1:24" s="66" customFormat="1" ht="12" hidden="1" customHeight="1">
      <c r="A736" s="74" t="s">
        <v>408</v>
      </c>
      <c r="B736" s="74"/>
      <c r="C736" s="74"/>
      <c r="D736" s="74"/>
      <c r="E736" s="74"/>
      <c r="F736" s="74"/>
      <c r="G736" s="74"/>
      <c r="H736" s="74"/>
      <c r="I736" s="75" t="s">
        <v>2115</v>
      </c>
      <c r="J736" s="75" t="s">
        <v>1193</v>
      </c>
      <c r="K736" s="74" t="s">
        <v>1197</v>
      </c>
      <c r="L736" s="76" t="s">
        <v>20</v>
      </c>
      <c r="M736" s="57"/>
      <c r="N736" s="77">
        <v>66380</v>
      </c>
      <c r="O736" s="57">
        <f t="shared" si="32"/>
        <v>0</v>
      </c>
      <c r="P736" s="77">
        <v>67363</v>
      </c>
      <c r="Q736" s="73">
        <f t="shared" si="33"/>
        <v>0</v>
      </c>
      <c r="R736" s="57"/>
      <c r="S736" s="57"/>
      <c r="T736" s="57"/>
      <c r="U736" s="57"/>
      <c r="V736" s="73">
        <f t="shared" si="34"/>
        <v>0</v>
      </c>
      <c r="W736" s="106"/>
      <c r="X736" s="64"/>
    </row>
    <row r="737" spans="1:24" s="66" customFormat="1" ht="12" hidden="1" customHeight="1">
      <c r="A737" s="74" t="s">
        <v>409</v>
      </c>
      <c r="B737" s="74"/>
      <c r="C737" s="74"/>
      <c r="D737" s="74"/>
      <c r="E737" s="74"/>
      <c r="F737" s="74"/>
      <c r="G737" s="74"/>
      <c r="H737" s="74"/>
      <c r="I737" s="75" t="s">
        <v>2116</v>
      </c>
      <c r="J737" s="75" t="s">
        <v>1193</v>
      </c>
      <c r="K737" s="74" t="s">
        <v>1196</v>
      </c>
      <c r="L737" s="76" t="s">
        <v>20</v>
      </c>
      <c r="M737" s="57"/>
      <c r="N737" s="77">
        <v>42270</v>
      </c>
      <c r="O737" s="57">
        <f t="shared" si="32"/>
        <v>0</v>
      </c>
      <c r="P737" s="77">
        <v>93272</v>
      </c>
      <c r="Q737" s="73">
        <f t="shared" si="33"/>
        <v>0</v>
      </c>
      <c r="R737" s="57"/>
      <c r="S737" s="57"/>
      <c r="T737" s="57"/>
      <c r="U737" s="57"/>
      <c r="V737" s="73">
        <f t="shared" si="34"/>
        <v>0</v>
      </c>
      <c r="W737" s="106"/>
      <c r="X737" s="64"/>
    </row>
    <row r="738" spans="1:24" s="66" customFormat="1" ht="12" hidden="1" customHeight="1">
      <c r="A738" s="74" t="s">
        <v>410</v>
      </c>
      <c r="B738" s="74"/>
      <c r="C738" s="74"/>
      <c r="D738" s="74"/>
      <c r="E738" s="74"/>
      <c r="F738" s="74"/>
      <c r="G738" s="74"/>
      <c r="H738" s="74"/>
      <c r="I738" s="75" t="s">
        <v>2116</v>
      </c>
      <c r="J738" s="75" t="s">
        <v>1193</v>
      </c>
      <c r="K738" s="74" t="s">
        <v>1195</v>
      </c>
      <c r="L738" s="76" t="s">
        <v>20</v>
      </c>
      <c r="M738" s="57"/>
      <c r="N738" s="77">
        <v>55440</v>
      </c>
      <c r="O738" s="57">
        <f t="shared" si="32"/>
        <v>0</v>
      </c>
      <c r="P738" s="77">
        <v>93272</v>
      </c>
      <c r="Q738" s="73">
        <f t="shared" si="33"/>
        <v>0</v>
      </c>
      <c r="R738" s="57"/>
      <c r="S738" s="57"/>
      <c r="T738" s="57"/>
      <c r="U738" s="57"/>
      <c r="V738" s="73">
        <f t="shared" si="34"/>
        <v>0</v>
      </c>
      <c r="W738" s="106"/>
      <c r="X738" s="64"/>
    </row>
    <row r="739" spans="1:24" s="66" customFormat="1" ht="12" hidden="1" customHeight="1">
      <c r="A739" s="74" t="s">
        <v>411</v>
      </c>
      <c r="B739" s="74"/>
      <c r="C739" s="74"/>
      <c r="D739" s="74"/>
      <c r="E739" s="74"/>
      <c r="F739" s="74"/>
      <c r="G739" s="74"/>
      <c r="H739" s="74"/>
      <c r="I739" s="75" t="s">
        <v>2116</v>
      </c>
      <c r="J739" s="75" t="s">
        <v>1193</v>
      </c>
      <c r="K739" s="74" t="s">
        <v>1194</v>
      </c>
      <c r="L739" s="76" t="s">
        <v>20</v>
      </c>
      <c r="M739" s="57"/>
      <c r="N739" s="77">
        <v>69990</v>
      </c>
      <c r="O739" s="57">
        <f t="shared" si="32"/>
        <v>0</v>
      </c>
      <c r="P739" s="77">
        <v>93272</v>
      </c>
      <c r="Q739" s="73">
        <f t="shared" si="33"/>
        <v>0</v>
      </c>
      <c r="R739" s="57"/>
      <c r="S739" s="57"/>
      <c r="T739" s="57"/>
      <c r="U739" s="57"/>
      <c r="V739" s="73">
        <f t="shared" si="34"/>
        <v>0</v>
      </c>
      <c r="W739" s="106"/>
      <c r="X739" s="64"/>
    </row>
    <row r="740" spans="1:24" s="66" customFormat="1" ht="12" hidden="1" customHeight="1">
      <c r="A740" s="74" t="s">
        <v>412</v>
      </c>
      <c r="B740" s="74"/>
      <c r="C740" s="74"/>
      <c r="D740" s="74"/>
      <c r="E740" s="74"/>
      <c r="F740" s="74"/>
      <c r="G740" s="74"/>
      <c r="H740" s="74"/>
      <c r="I740" s="75" t="s">
        <v>2117</v>
      </c>
      <c r="J740" s="75" t="s">
        <v>1193</v>
      </c>
      <c r="K740" s="74" t="s">
        <v>1192</v>
      </c>
      <c r="L740" s="76" t="s">
        <v>20</v>
      </c>
      <c r="M740" s="57"/>
      <c r="N740" s="77">
        <v>80720</v>
      </c>
      <c r="O740" s="57">
        <f t="shared" si="32"/>
        <v>0</v>
      </c>
      <c r="P740" s="77">
        <v>121771</v>
      </c>
      <c r="Q740" s="73">
        <f t="shared" si="33"/>
        <v>0</v>
      </c>
      <c r="R740" s="57"/>
      <c r="S740" s="57"/>
      <c r="T740" s="57"/>
      <c r="U740" s="57"/>
      <c r="V740" s="73">
        <f t="shared" si="34"/>
        <v>0</v>
      </c>
      <c r="W740" s="106"/>
      <c r="X740" s="64"/>
    </row>
    <row r="741" spans="1:24" s="66" customFormat="1" ht="12" hidden="1" customHeight="1">
      <c r="A741" s="74" t="s">
        <v>413</v>
      </c>
      <c r="B741" s="74"/>
      <c r="C741" s="74"/>
      <c r="D741" s="74"/>
      <c r="E741" s="74"/>
      <c r="F741" s="74"/>
      <c r="G741" s="74"/>
      <c r="H741" s="74"/>
      <c r="I741" s="75" t="s">
        <v>2117</v>
      </c>
      <c r="J741" s="75" t="s">
        <v>1178</v>
      </c>
      <c r="K741" s="74" t="s">
        <v>1191</v>
      </c>
      <c r="L741" s="76" t="s">
        <v>20</v>
      </c>
      <c r="M741" s="57"/>
      <c r="N741" s="77">
        <v>103550</v>
      </c>
      <c r="O741" s="57">
        <f t="shared" si="32"/>
        <v>0</v>
      </c>
      <c r="P741" s="77">
        <v>121771</v>
      </c>
      <c r="Q741" s="73">
        <f t="shared" si="33"/>
        <v>0</v>
      </c>
      <c r="R741" s="57"/>
      <c r="S741" s="57"/>
      <c r="T741" s="57"/>
      <c r="U741" s="57"/>
      <c r="V741" s="73">
        <f t="shared" si="34"/>
        <v>0</v>
      </c>
      <c r="W741" s="106"/>
      <c r="X741" s="64"/>
    </row>
    <row r="742" spans="1:24" s="66" customFormat="1" ht="12" hidden="1" customHeight="1">
      <c r="A742" s="74" t="s">
        <v>414</v>
      </c>
      <c r="B742" s="74"/>
      <c r="C742" s="74"/>
      <c r="D742" s="74"/>
      <c r="E742" s="74"/>
      <c r="F742" s="74"/>
      <c r="G742" s="74"/>
      <c r="H742" s="74"/>
      <c r="I742" s="75" t="s">
        <v>2117</v>
      </c>
      <c r="J742" s="75" t="s">
        <v>1178</v>
      </c>
      <c r="K742" s="74" t="s">
        <v>1190</v>
      </c>
      <c r="L742" s="76" t="s">
        <v>20</v>
      </c>
      <c r="M742" s="57"/>
      <c r="N742" s="77">
        <v>128400</v>
      </c>
      <c r="O742" s="57">
        <f t="shared" si="32"/>
        <v>0</v>
      </c>
      <c r="P742" s="77">
        <v>121771</v>
      </c>
      <c r="Q742" s="73">
        <f t="shared" si="33"/>
        <v>0</v>
      </c>
      <c r="R742" s="57"/>
      <c r="S742" s="57"/>
      <c r="T742" s="57"/>
      <c r="U742" s="57"/>
      <c r="V742" s="73">
        <f t="shared" si="34"/>
        <v>0</v>
      </c>
      <c r="W742" s="106"/>
      <c r="X742" s="64"/>
    </row>
    <row r="743" spans="1:24" s="66" customFormat="1" ht="12" hidden="1" customHeight="1">
      <c r="A743" s="74" t="s">
        <v>415</v>
      </c>
      <c r="B743" s="74"/>
      <c r="C743" s="74"/>
      <c r="D743" s="74"/>
      <c r="E743" s="74"/>
      <c r="F743" s="74"/>
      <c r="G743" s="74"/>
      <c r="H743" s="74"/>
      <c r="I743" s="75" t="s">
        <v>2118</v>
      </c>
      <c r="J743" s="75" t="s">
        <v>1178</v>
      </c>
      <c r="K743" s="74" t="s">
        <v>1189</v>
      </c>
      <c r="L743" s="76" t="s">
        <v>20</v>
      </c>
      <c r="M743" s="57"/>
      <c r="N743" s="77">
        <v>213570</v>
      </c>
      <c r="O743" s="57">
        <f t="shared" si="32"/>
        <v>0</v>
      </c>
      <c r="P743" s="77">
        <v>176180</v>
      </c>
      <c r="Q743" s="73">
        <f t="shared" si="33"/>
        <v>0</v>
      </c>
      <c r="R743" s="57"/>
      <c r="S743" s="57"/>
      <c r="T743" s="57"/>
      <c r="U743" s="57"/>
      <c r="V743" s="73">
        <f t="shared" si="34"/>
        <v>0</v>
      </c>
      <c r="W743" s="106"/>
      <c r="X743" s="64"/>
    </row>
    <row r="744" spans="1:24" s="66" customFormat="1" ht="12" hidden="1" customHeight="1">
      <c r="A744" s="74" t="s">
        <v>416</v>
      </c>
      <c r="B744" s="74"/>
      <c r="C744" s="74"/>
      <c r="D744" s="74"/>
      <c r="E744" s="74"/>
      <c r="F744" s="74"/>
      <c r="G744" s="74"/>
      <c r="H744" s="74"/>
      <c r="I744" s="75" t="s">
        <v>2118</v>
      </c>
      <c r="J744" s="75" t="s">
        <v>1178</v>
      </c>
      <c r="K744" s="74" t="s">
        <v>1188</v>
      </c>
      <c r="L744" s="76" t="s">
        <v>20</v>
      </c>
      <c r="M744" s="57"/>
      <c r="N744" s="77">
        <v>253820</v>
      </c>
      <c r="O744" s="57">
        <f t="shared" si="32"/>
        <v>0</v>
      </c>
      <c r="P744" s="77">
        <v>176180</v>
      </c>
      <c r="Q744" s="73">
        <f t="shared" si="33"/>
        <v>0</v>
      </c>
      <c r="R744" s="57"/>
      <c r="S744" s="57"/>
      <c r="T744" s="57"/>
      <c r="U744" s="57"/>
      <c r="V744" s="73">
        <f t="shared" si="34"/>
        <v>0</v>
      </c>
      <c r="W744" s="106"/>
      <c r="X744" s="64"/>
    </row>
    <row r="745" spans="1:24" s="66" customFormat="1" ht="12" hidden="1" customHeight="1">
      <c r="A745" s="74" t="s">
        <v>417</v>
      </c>
      <c r="B745" s="74"/>
      <c r="C745" s="74"/>
      <c r="D745" s="74"/>
      <c r="E745" s="74"/>
      <c r="F745" s="74"/>
      <c r="G745" s="74"/>
      <c r="H745" s="74"/>
      <c r="I745" s="75" t="s">
        <v>2118</v>
      </c>
      <c r="J745" s="75" t="s">
        <v>1178</v>
      </c>
      <c r="K745" s="74" t="s">
        <v>1187</v>
      </c>
      <c r="L745" s="76" t="s">
        <v>20</v>
      </c>
      <c r="M745" s="57"/>
      <c r="N745" s="77">
        <v>291100</v>
      </c>
      <c r="O745" s="57">
        <f t="shared" si="32"/>
        <v>0</v>
      </c>
      <c r="P745" s="77">
        <v>176180</v>
      </c>
      <c r="Q745" s="73">
        <f t="shared" si="33"/>
        <v>0</v>
      </c>
      <c r="R745" s="57"/>
      <c r="S745" s="57"/>
      <c r="T745" s="57"/>
      <c r="U745" s="57"/>
      <c r="V745" s="73">
        <f t="shared" si="34"/>
        <v>0</v>
      </c>
      <c r="W745" s="106"/>
      <c r="X745" s="64"/>
    </row>
    <row r="746" spans="1:24" s="66" customFormat="1" ht="12" hidden="1" customHeight="1">
      <c r="A746" s="74" t="s">
        <v>418</v>
      </c>
      <c r="B746" s="74"/>
      <c r="C746" s="74"/>
      <c r="D746" s="74"/>
      <c r="E746" s="74"/>
      <c r="F746" s="74"/>
      <c r="G746" s="74"/>
      <c r="H746" s="74"/>
      <c r="I746" s="75" t="s">
        <v>2118</v>
      </c>
      <c r="J746" s="75" t="s">
        <v>1178</v>
      </c>
      <c r="K746" s="74" t="s">
        <v>1186</v>
      </c>
      <c r="L746" s="76" t="s">
        <v>20</v>
      </c>
      <c r="M746" s="57"/>
      <c r="N746" s="77">
        <v>364480</v>
      </c>
      <c r="O746" s="57">
        <f t="shared" si="32"/>
        <v>0</v>
      </c>
      <c r="P746" s="77">
        <v>176180</v>
      </c>
      <c r="Q746" s="73">
        <f t="shared" si="33"/>
        <v>0</v>
      </c>
      <c r="R746" s="57"/>
      <c r="S746" s="57"/>
      <c r="T746" s="57"/>
      <c r="U746" s="57"/>
      <c r="V746" s="73">
        <f t="shared" si="34"/>
        <v>0</v>
      </c>
      <c r="W746" s="106"/>
      <c r="X746" s="64"/>
    </row>
    <row r="747" spans="1:24" s="66" customFormat="1" ht="12" hidden="1" customHeight="1">
      <c r="A747" s="74" t="s">
        <v>419</v>
      </c>
      <c r="B747" s="74"/>
      <c r="C747" s="74"/>
      <c r="D747" s="74"/>
      <c r="E747" s="74"/>
      <c r="F747" s="74"/>
      <c r="G747" s="74"/>
      <c r="H747" s="74"/>
      <c r="I747" s="75" t="s">
        <v>2118</v>
      </c>
      <c r="J747" s="75" t="s">
        <v>1178</v>
      </c>
      <c r="K747" s="74" t="s">
        <v>1185</v>
      </c>
      <c r="L747" s="76" t="s">
        <v>20</v>
      </c>
      <c r="M747" s="57"/>
      <c r="N747" s="77">
        <v>422040</v>
      </c>
      <c r="O747" s="57">
        <f t="shared" si="32"/>
        <v>0</v>
      </c>
      <c r="P747" s="77">
        <v>176180</v>
      </c>
      <c r="Q747" s="73">
        <f t="shared" si="33"/>
        <v>0</v>
      </c>
      <c r="R747" s="57"/>
      <c r="S747" s="57"/>
      <c r="T747" s="57"/>
      <c r="U747" s="57"/>
      <c r="V747" s="73">
        <f t="shared" si="34"/>
        <v>0</v>
      </c>
      <c r="W747" s="106"/>
      <c r="X747" s="64"/>
    </row>
    <row r="748" spans="1:24" s="66" customFormat="1" ht="12" hidden="1" customHeight="1">
      <c r="A748" s="74" t="s">
        <v>420</v>
      </c>
      <c r="B748" s="74"/>
      <c r="C748" s="74"/>
      <c r="D748" s="74"/>
      <c r="E748" s="74"/>
      <c r="F748" s="74"/>
      <c r="G748" s="74"/>
      <c r="H748" s="74"/>
      <c r="I748" s="75" t="s">
        <v>2118</v>
      </c>
      <c r="J748" s="75" t="s">
        <v>1178</v>
      </c>
      <c r="K748" s="74" t="s">
        <v>1184</v>
      </c>
      <c r="L748" s="76" t="s">
        <v>20</v>
      </c>
      <c r="M748" s="57"/>
      <c r="N748" s="77">
        <v>514330</v>
      </c>
      <c r="O748" s="57">
        <f t="shared" si="32"/>
        <v>0</v>
      </c>
      <c r="P748" s="77">
        <v>176180</v>
      </c>
      <c r="Q748" s="73">
        <f t="shared" si="33"/>
        <v>0</v>
      </c>
      <c r="R748" s="57"/>
      <c r="S748" s="57"/>
      <c r="T748" s="57"/>
      <c r="U748" s="57"/>
      <c r="V748" s="73">
        <f t="shared" si="34"/>
        <v>0</v>
      </c>
      <c r="W748" s="106"/>
      <c r="X748" s="64"/>
    </row>
    <row r="749" spans="1:24" s="66" customFormat="1" ht="12" hidden="1" customHeight="1">
      <c r="A749" s="74" t="s">
        <v>421</v>
      </c>
      <c r="B749" s="74"/>
      <c r="C749" s="74"/>
      <c r="D749" s="74"/>
      <c r="E749" s="74"/>
      <c r="F749" s="74"/>
      <c r="G749" s="74"/>
      <c r="H749" s="74"/>
      <c r="I749" s="75" t="s">
        <v>2119</v>
      </c>
      <c r="J749" s="75" t="s">
        <v>1178</v>
      </c>
      <c r="K749" s="74" t="s">
        <v>1183</v>
      </c>
      <c r="L749" s="76" t="s">
        <v>20</v>
      </c>
      <c r="M749" s="57"/>
      <c r="N749" s="77">
        <v>817530</v>
      </c>
      <c r="O749" s="57">
        <f t="shared" si="32"/>
        <v>0</v>
      </c>
      <c r="P749" s="77">
        <v>230589</v>
      </c>
      <c r="Q749" s="73">
        <f t="shared" si="33"/>
        <v>0</v>
      </c>
      <c r="R749" s="57"/>
      <c r="S749" s="57"/>
      <c r="T749" s="57"/>
      <c r="U749" s="57"/>
      <c r="V749" s="73">
        <f t="shared" si="34"/>
        <v>0</v>
      </c>
      <c r="W749" s="106"/>
      <c r="X749" s="64"/>
    </row>
    <row r="750" spans="1:24" s="66" customFormat="1" ht="12" hidden="1" customHeight="1">
      <c r="A750" s="74" t="s">
        <v>422</v>
      </c>
      <c r="B750" s="74"/>
      <c r="C750" s="74"/>
      <c r="D750" s="74"/>
      <c r="E750" s="74"/>
      <c r="F750" s="74"/>
      <c r="G750" s="74"/>
      <c r="H750" s="74"/>
      <c r="I750" s="75" t="s">
        <v>2119</v>
      </c>
      <c r="J750" s="75" t="s">
        <v>1178</v>
      </c>
      <c r="K750" s="74" t="s">
        <v>1182</v>
      </c>
      <c r="L750" s="76" t="s">
        <v>20</v>
      </c>
      <c r="M750" s="57"/>
      <c r="N750" s="77">
        <v>994990</v>
      </c>
      <c r="O750" s="57">
        <f t="shared" si="32"/>
        <v>0</v>
      </c>
      <c r="P750" s="77">
        <v>230589</v>
      </c>
      <c r="Q750" s="73">
        <f t="shared" si="33"/>
        <v>0</v>
      </c>
      <c r="R750" s="57"/>
      <c r="S750" s="57"/>
      <c r="T750" s="57"/>
      <c r="U750" s="57"/>
      <c r="V750" s="73">
        <f t="shared" si="34"/>
        <v>0</v>
      </c>
      <c r="W750" s="106"/>
      <c r="X750" s="64"/>
    </row>
    <row r="751" spans="1:24" s="66" customFormat="1" ht="12" hidden="1" customHeight="1">
      <c r="A751" s="74" t="s">
        <v>423</v>
      </c>
      <c r="B751" s="74"/>
      <c r="C751" s="74"/>
      <c r="D751" s="74"/>
      <c r="E751" s="74"/>
      <c r="F751" s="74"/>
      <c r="G751" s="74"/>
      <c r="H751" s="74"/>
      <c r="I751" s="75" t="s">
        <v>2119</v>
      </c>
      <c r="J751" s="75" t="s">
        <v>1178</v>
      </c>
      <c r="K751" s="74" t="s">
        <v>1181</v>
      </c>
      <c r="L751" s="76" t="s">
        <v>20</v>
      </c>
      <c r="M751" s="57"/>
      <c r="N751" s="77">
        <v>1120950</v>
      </c>
      <c r="O751" s="57">
        <f t="shared" si="32"/>
        <v>0</v>
      </c>
      <c r="P751" s="77">
        <v>230589</v>
      </c>
      <c r="Q751" s="73">
        <f t="shared" si="33"/>
        <v>0</v>
      </c>
      <c r="R751" s="57"/>
      <c r="S751" s="57"/>
      <c r="T751" s="57"/>
      <c r="U751" s="57"/>
      <c r="V751" s="73">
        <f t="shared" si="34"/>
        <v>0</v>
      </c>
      <c r="W751" s="106"/>
      <c r="X751" s="64"/>
    </row>
    <row r="752" spans="1:24" s="66" customFormat="1" ht="12" hidden="1" customHeight="1">
      <c r="A752" s="74" t="s">
        <v>424</v>
      </c>
      <c r="B752" s="74"/>
      <c r="C752" s="74"/>
      <c r="D752" s="74"/>
      <c r="E752" s="74"/>
      <c r="F752" s="74"/>
      <c r="G752" s="74"/>
      <c r="H752" s="74"/>
      <c r="I752" s="75" t="s">
        <v>2119</v>
      </c>
      <c r="J752" s="75" t="s">
        <v>1178</v>
      </c>
      <c r="K752" s="74" t="s">
        <v>1180</v>
      </c>
      <c r="L752" s="76" t="s">
        <v>20</v>
      </c>
      <c r="M752" s="57"/>
      <c r="N752" s="77">
        <v>985970</v>
      </c>
      <c r="O752" s="57">
        <f t="shared" si="32"/>
        <v>0</v>
      </c>
      <c r="P752" s="77">
        <v>230589</v>
      </c>
      <c r="Q752" s="73">
        <f t="shared" si="33"/>
        <v>0</v>
      </c>
      <c r="R752" s="57"/>
      <c r="S752" s="57"/>
      <c r="T752" s="57"/>
      <c r="U752" s="57"/>
      <c r="V752" s="73">
        <f t="shared" si="34"/>
        <v>0</v>
      </c>
      <c r="W752" s="106"/>
      <c r="X752" s="64"/>
    </row>
    <row r="753" spans="1:24" s="66" customFormat="1" ht="12" hidden="1" customHeight="1">
      <c r="A753" s="74" t="s">
        <v>425</v>
      </c>
      <c r="B753" s="74"/>
      <c r="C753" s="74"/>
      <c r="D753" s="74"/>
      <c r="E753" s="74"/>
      <c r="F753" s="74"/>
      <c r="G753" s="74"/>
      <c r="H753" s="74"/>
      <c r="I753" s="75" t="s">
        <v>2119</v>
      </c>
      <c r="J753" s="75" t="s">
        <v>1178</v>
      </c>
      <c r="K753" s="74" t="s">
        <v>1179</v>
      </c>
      <c r="L753" s="76" t="s">
        <v>20</v>
      </c>
      <c r="M753" s="57"/>
      <c r="N753" s="77">
        <v>1196140</v>
      </c>
      <c r="O753" s="57">
        <f t="shared" si="32"/>
        <v>0</v>
      </c>
      <c r="P753" s="77">
        <v>230589</v>
      </c>
      <c r="Q753" s="73">
        <f t="shared" si="33"/>
        <v>0</v>
      </c>
      <c r="R753" s="57"/>
      <c r="S753" s="57"/>
      <c r="T753" s="57"/>
      <c r="U753" s="57"/>
      <c r="V753" s="73">
        <f t="shared" si="34"/>
        <v>0</v>
      </c>
      <c r="W753" s="106"/>
      <c r="X753" s="64"/>
    </row>
    <row r="754" spans="1:24" s="66" customFormat="1" ht="12" hidden="1" customHeight="1">
      <c r="A754" s="74" t="s">
        <v>426</v>
      </c>
      <c r="B754" s="74"/>
      <c r="C754" s="74"/>
      <c r="D754" s="74"/>
      <c r="E754" s="74"/>
      <c r="F754" s="74"/>
      <c r="G754" s="74"/>
      <c r="H754" s="74"/>
      <c r="I754" s="75" t="s">
        <v>2119</v>
      </c>
      <c r="J754" s="75" t="s">
        <v>1178</v>
      </c>
      <c r="K754" s="74" t="s">
        <v>1177</v>
      </c>
      <c r="L754" s="76" t="s">
        <v>20</v>
      </c>
      <c r="M754" s="57"/>
      <c r="N754" s="77">
        <v>1393460</v>
      </c>
      <c r="O754" s="57">
        <f t="shared" si="32"/>
        <v>0</v>
      </c>
      <c r="P754" s="77">
        <v>230589</v>
      </c>
      <c r="Q754" s="73">
        <f t="shared" si="33"/>
        <v>0</v>
      </c>
      <c r="R754" s="57"/>
      <c r="S754" s="57"/>
      <c r="T754" s="57"/>
      <c r="U754" s="57"/>
      <c r="V754" s="73">
        <f t="shared" si="34"/>
        <v>0</v>
      </c>
      <c r="W754" s="106"/>
      <c r="X754" s="64"/>
    </row>
    <row r="755" spans="1:24" s="66" customFormat="1" ht="12" hidden="1" customHeight="1">
      <c r="A755" s="74" t="s">
        <v>427</v>
      </c>
      <c r="B755" s="74"/>
      <c r="C755" s="74"/>
      <c r="D755" s="74"/>
      <c r="E755" s="74"/>
      <c r="F755" s="74"/>
      <c r="G755" s="74"/>
      <c r="H755" s="74"/>
      <c r="I755" s="75" t="s">
        <v>2114</v>
      </c>
      <c r="J755" s="75" t="s">
        <v>1218</v>
      </c>
      <c r="K755" s="74" t="s">
        <v>1230</v>
      </c>
      <c r="L755" s="76" t="s">
        <v>20</v>
      </c>
      <c r="M755" s="57"/>
      <c r="N755" s="77">
        <v>13700</v>
      </c>
      <c r="O755" s="57">
        <f t="shared" si="32"/>
        <v>0</v>
      </c>
      <c r="P755" s="77">
        <v>49226</v>
      </c>
      <c r="Q755" s="73">
        <f t="shared" si="33"/>
        <v>0</v>
      </c>
      <c r="R755" s="57"/>
      <c r="S755" s="57"/>
      <c r="T755" s="57"/>
      <c r="U755" s="57"/>
      <c r="V755" s="73">
        <f t="shared" si="34"/>
        <v>0</v>
      </c>
      <c r="W755" s="106"/>
      <c r="X755" s="64"/>
    </row>
    <row r="756" spans="1:24" s="66" customFormat="1" ht="12" hidden="1" customHeight="1">
      <c r="A756" s="74" t="s">
        <v>428</v>
      </c>
      <c r="B756" s="74"/>
      <c r="C756" s="74"/>
      <c r="D756" s="74"/>
      <c r="E756" s="74"/>
      <c r="F756" s="74"/>
      <c r="G756" s="74"/>
      <c r="H756" s="74"/>
      <c r="I756" s="75" t="s">
        <v>2114</v>
      </c>
      <c r="J756" s="75" t="s">
        <v>1218</v>
      </c>
      <c r="K756" s="74" t="s">
        <v>1229</v>
      </c>
      <c r="L756" s="76" t="s">
        <v>20</v>
      </c>
      <c r="M756" s="57"/>
      <c r="N756" s="77">
        <v>14450</v>
      </c>
      <c r="O756" s="57">
        <f t="shared" si="32"/>
        <v>0</v>
      </c>
      <c r="P756" s="77">
        <v>49226</v>
      </c>
      <c r="Q756" s="73">
        <f t="shared" si="33"/>
        <v>0</v>
      </c>
      <c r="R756" s="57"/>
      <c r="S756" s="57"/>
      <c r="T756" s="57"/>
      <c r="U756" s="57"/>
      <c r="V756" s="73">
        <f t="shared" si="34"/>
        <v>0</v>
      </c>
      <c r="W756" s="106"/>
      <c r="X756" s="64"/>
    </row>
    <row r="757" spans="1:24" s="66" customFormat="1" ht="12" hidden="1" customHeight="1">
      <c r="A757" s="74" t="s">
        <v>429</v>
      </c>
      <c r="B757" s="74"/>
      <c r="C757" s="74"/>
      <c r="D757" s="74"/>
      <c r="E757" s="74"/>
      <c r="F757" s="74"/>
      <c r="G757" s="74"/>
      <c r="H757" s="74"/>
      <c r="I757" s="75" t="s">
        <v>2114</v>
      </c>
      <c r="J757" s="75" t="s">
        <v>1218</v>
      </c>
      <c r="K757" s="74" t="s">
        <v>1228</v>
      </c>
      <c r="L757" s="76" t="s">
        <v>20</v>
      </c>
      <c r="M757" s="57"/>
      <c r="N757" s="77">
        <v>26340</v>
      </c>
      <c r="O757" s="57">
        <f t="shared" si="32"/>
        <v>0</v>
      </c>
      <c r="P757" s="77">
        <v>49226</v>
      </c>
      <c r="Q757" s="73">
        <f t="shared" si="33"/>
        <v>0</v>
      </c>
      <c r="R757" s="57"/>
      <c r="S757" s="57"/>
      <c r="T757" s="57"/>
      <c r="U757" s="57"/>
      <c r="V757" s="73">
        <f t="shared" si="34"/>
        <v>0</v>
      </c>
      <c r="W757" s="106"/>
      <c r="X757" s="64"/>
    </row>
    <row r="758" spans="1:24" s="66" customFormat="1" ht="12" hidden="1" customHeight="1">
      <c r="A758" s="74" t="s">
        <v>430</v>
      </c>
      <c r="B758" s="74"/>
      <c r="C758" s="74"/>
      <c r="D758" s="74"/>
      <c r="E758" s="74"/>
      <c r="F758" s="74"/>
      <c r="G758" s="74"/>
      <c r="H758" s="74"/>
      <c r="I758" s="75" t="s">
        <v>2114</v>
      </c>
      <c r="J758" s="75" t="s">
        <v>1218</v>
      </c>
      <c r="K758" s="74" t="s">
        <v>1227</v>
      </c>
      <c r="L758" s="76" t="s">
        <v>20</v>
      </c>
      <c r="M758" s="57"/>
      <c r="N758" s="77">
        <v>15720</v>
      </c>
      <c r="O758" s="57">
        <f t="shared" si="32"/>
        <v>0</v>
      </c>
      <c r="P758" s="77">
        <v>49226</v>
      </c>
      <c r="Q758" s="73">
        <f t="shared" si="33"/>
        <v>0</v>
      </c>
      <c r="R758" s="57"/>
      <c r="S758" s="57"/>
      <c r="T758" s="57"/>
      <c r="U758" s="57"/>
      <c r="V758" s="73">
        <f t="shared" si="34"/>
        <v>0</v>
      </c>
      <c r="W758" s="106"/>
      <c r="X758" s="64"/>
    </row>
    <row r="759" spans="1:24" s="66" customFormat="1" ht="12" hidden="1" customHeight="1">
      <c r="A759" s="74" t="s">
        <v>431</v>
      </c>
      <c r="B759" s="74"/>
      <c r="C759" s="74"/>
      <c r="D759" s="74"/>
      <c r="E759" s="74"/>
      <c r="F759" s="74"/>
      <c r="G759" s="74"/>
      <c r="H759" s="74"/>
      <c r="I759" s="75" t="s">
        <v>2114</v>
      </c>
      <c r="J759" s="75" t="s">
        <v>1218</v>
      </c>
      <c r="K759" s="74" t="s">
        <v>1226</v>
      </c>
      <c r="L759" s="76" t="s">
        <v>20</v>
      </c>
      <c r="M759" s="57"/>
      <c r="N759" s="77">
        <v>15830</v>
      </c>
      <c r="O759" s="57">
        <f t="shared" ref="O759:O826" si="35">M759*N759*$O$3</f>
        <v>0</v>
      </c>
      <c r="P759" s="77">
        <v>49226</v>
      </c>
      <c r="Q759" s="73">
        <f t="shared" si="33"/>
        <v>0</v>
      </c>
      <c r="R759" s="57"/>
      <c r="S759" s="57"/>
      <c r="T759" s="57"/>
      <c r="U759" s="57"/>
      <c r="V759" s="73">
        <f t="shared" si="34"/>
        <v>0</v>
      </c>
      <c r="W759" s="106"/>
      <c r="X759" s="64"/>
    </row>
    <row r="760" spans="1:24" s="66" customFormat="1" ht="12" hidden="1" customHeight="1">
      <c r="A760" s="74" t="s">
        <v>432</v>
      </c>
      <c r="B760" s="74"/>
      <c r="C760" s="74"/>
      <c r="D760" s="74"/>
      <c r="E760" s="74"/>
      <c r="F760" s="74"/>
      <c r="G760" s="74"/>
      <c r="H760" s="74"/>
      <c r="I760" s="75" t="s">
        <v>2114</v>
      </c>
      <c r="J760" s="75" t="s">
        <v>1218</v>
      </c>
      <c r="K760" s="74" t="s">
        <v>1225</v>
      </c>
      <c r="L760" s="76" t="s">
        <v>20</v>
      </c>
      <c r="M760" s="57"/>
      <c r="N760" s="77">
        <v>29740</v>
      </c>
      <c r="O760" s="57">
        <f t="shared" si="35"/>
        <v>0</v>
      </c>
      <c r="P760" s="77">
        <v>49226</v>
      </c>
      <c r="Q760" s="73">
        <f t="shared" si="33"/>
        <v>0</v>
      </c>
      <c r="R760" s="57"/>
      <c r="S760" s="57"/>
      <c r="T760" s="57"/>
      <c r="U760" s="57"/>
      <c r="V760" s="73">
        <f t="shared" si="34"/>
        <v>0</v>
      </c>
      <c r="W760" s="106"/>
      <c r="X760" s="64"/>
    </row>
    <row r="761" spans="1:24" s="66" customFormat="1" ht="12" hidden="1" customHeight="1">
      <c r="A761" s="74" t="s">
        <v>433</v>
      </c>
      <c r="B761" s="74"/>
      <c r="C761" s="74"/>
      <c r="D761" s="74"/>
      <c r="E761" s="74"/>
      <c r="F761" s="74"/>
      <c r="G761" s="74"/>
      <c r="H761" s="74"/>
      <c r="I761" s="75" t="s">
        <v>2114</v>
      </c>
      <c r="J761" s="75" t="s">
        <v>1218</v>
      </c>
      <c r="K761" s="74" t="s">
        <v>1224</v>
      </c>
      <c r="L761" s="76" t="s">
        <v>20</v>
      </c>
      <c r="M761" s="57"/>
      <c r="N761" s="77">
        <v>38240</v>
      </c>
      <c r="O761" s="57">
        <f t="shared" si="35"/>
        <v>0</v>
      </c>
      <c r="P761" s="77">
        <v>49226</v>
      </c>
      <c r="Q761" s="73">
        <f t="shared" si="33"/>
        <v>0</v>
      </c>
      <c r="R761" s="57"/>
      <c r="S761" s="57"/>
      <c r="T761" s="57"/>
      <c r="U761" s="57"/>
      <c r="V761" s="73">
        <f t="shared" si="34"/>
        <v>0</v>
      </c>
      <c r="W761" s="106"/>
      <c r="X761" s="64"/>
    </row>
    <row r="762" spans="1:24" s="66" customFormat="1" ht="12" hidden="1" customHeight="1">
      <c r="A762" s="74" t="s">
        <v>434</v>
      </c>
      <c r="B762" s="74"/>
      <c r="C762" s="74"/>
      <c r="D762" s="74"/>
      <c r="E762" s="74"/>
      <c r="F762" s="74"/>
      <c r="G762" s="74"/>
      <c r="H762" s="74"/>
      <c r="I762" s="75" t="s">
        <v>2114</v>
      </c>
      <c r="J762" s="75" t="s">
        <v>1218</v>
      </c>
      <c r="K762" s="74" t="s">
        <v>1223</v>
      </c>
      <c r="L762" s="76" t="s">
        <v>20</v>
      </c>
      <c r="M762" s="57"/>
      <c r="N762" s="77">
        <v>46200</v>
      </c>
      <c r="O762" s="57">
        <f t="shared" si="35"/>
        <v>0</v>
      </c>
      <c r="P762" s="77">
        <v>49226</v>
      </c>
      <c r="Q762" s="73">
        <f t="shared" si="33"/>
        <v>0</v>
      </c>
      <c r="R762" s="57"/>
      <c r="S762" s="57"/>
      <c r="T762" s="57"/>
      <c r="U762" s="57"/>
      <c r="V762" s="73">
        <f t="shared" si="34"/>
        <v>0</v>
      </c>
      <c r="W762" s="106"/>
      <c r="X762" s="64"/>
    </row>
    <row r="763" spans="1:24" s="66" customFormat="1" ht="12" hidden="1" customHeight="1">
      <c r="A763" s="74" t="s">
        <v>435</v>
      </c>
      <c r="B763" s="74"/>
      <c r="C763" s="74"/>
      <c r="D763" s="74"/>
      <c r="E763" s="74"/>
      <c r="F763" s="74"/>
      <c r="G763" s="74"/>
      <c r="H763" s="74"/>
      <c r="I763" s="75" t="s">
        <v>2115</v>
      </c>
      <c r="J763" s="75" t="s">
        <v>1218</v>
      </c>
      <c r="K763" s="74" t="s">
        <v>1222</v>
      </c>
      <c r="L763" s="76" t="s">
        <v>20</v>
      </c>
      <c r="M763" s="57"/>
      <c r="N763" s="77">
        <v>41530</v>
      </c>
      <c r="O763" s="57">
        <f t="shared" si="35"/>
        <v>0</v>
      </c>
      <c r="P763" s="77">
        <v>67363</v>
      </c>
      <c r="Q763" s="73">
        <f t="shared" si="33"/>
        <v>0</v>
      </c>
      <c r="R763" s="57"/>
      <c r="S763" s="57"/>
      <c r="T763" s="57"/>
      <c r="U763" s="57"/>
      <c r="V763" s="73">
        <f t="shared" si="34"/>
        <v>0</v>
      </c>
      <c r="W763" s="106"/>
      <c r="X763" s="64"/>
    </row>
    <row r="764" spans="1:24" s="66" customFormat="1" ht="12" hidden="1" customHeight="1">
      <c r="A764" s="74" t="s">
        <v>436</v>
      </c>
      <c r="B764" s="74"/>
      <c r="C764" s="74"/>
      <c r="D764" s="74"/>
      <c r="E764" s="74"/>
      <c r="F764" s="74"/>
      <c r="G764" s="74"/>
      <c r="H764" s="74"/>
      <c r="I764" s="75" t="s">
        <v>2115</v>
      </c>
      <c r="J764" s="75" t="s">
        <v>1218</v>
      </c>
      <c r="K764" s="74" t="s">
        <v>1221</v>
      </c>
      <c r="L764" s="76" t="s">
        <v>20</v>
      </c>
      <c r="M764" s="57"/>
      <c r="N764" s="77">
        <v>51090</v>
      </c>
      <c r="O764" s="57">
        <f t="shared" si="35"/>
        <v>0</v>
      </c>
      <c r="P764" s="77">
        <v>67363</v>
      </c>
      <c r="Q764" s="73">
        <f t="shared" si="33"/>
        <v>0</v>
      </c>
      <c r="R764" s="57"/>
      <c r="S764" s="57"/>
      <c r="T764" s="57"/>
      <c r="U764" s="57"/>
      <c r="V764" s="73">
        <f t="shared" si="34"/>
        <v>0</v>
      </c>
      <c r="W764" s="106"/>
      <c r="X764" s="64"/>
    </row>
    <row r="765" spans="1:24" s="66" customFormat="1" ht="12" hidden="1" customHeight="1">
      <c r="A765" s="74" t="s">
        <v>437</v>
      </c>
      <c r="B765" s="74"/>
      <c r="C765" s="74"/>
      <c r="D765" s="74"/>
      <c r="E765" s="74"/>
      <c r="F765" s="74"/>
      <c r="G765" s="74"/>
      <c r="H765" s="74"/>
      <c r="I765" s="75" t="s">
        <v>2116</v>
      </c>
      <c r="J765" s="75" t="s">
        <v>1218</v>
      </c>
      <c r="K765" s="74" t="s">
        <v>1220</v>
      </c>
      <c r="L765" s="76" t="s">
        <v>20</v>
      </c>
      <c r="M765" s="57"/>
      <c r="N765" s="77">
        <v>81890</v>
      </c>
      <c r="O765" s="57">
        <f t="shared" si="35"/>
        <v>0</v>
      </c>
      <c r="P765" s="77">
        <v>93272</v>
      </c>
      <c r="Q765" s="73">
        <f t="shared" si="33"/>
        <v>0</v>
      </c>
      <c r="R765" s="57"/>
      <c r="S765" s="57"/>
      <c r="T765" s="57"/>
      <c r="U765" s="57"/>
      <c r="V765" s="73">
        <f t="shared" si="34"/>
        <v>0</v>
      </c>
      <c r="W765" s="106"/>
      <c r="X765" s="64"/>
    </row>
    <row r="766" spans="1:24" s="66" customFormat="1" ht="12" hidden="1" customHeight="1">
      <c r="A766" s="74" t="s">
        <v>438</v>
      </c>
      <c r="B766" s="74"/>
      <c r="C766" s="74"/>
      <c r="D766" s="74"/>
      <c r="E766" s="74"/>
      <c r="F766" s="74"/>
      <c r="G766" s="74"/>
      <c r="H766" s="74"/>
      <c r="I766" s="75" t="s">
        <v>2116</v>
      </c>
      <c r="J766" s="75" t="s">
        <v>1218</v>
      </c>
      <c r="K766" s="74" t="s">
        <v>1219</v>
      </c>
      <c r="L766" s="76" t="s">
        <v>20</v>
      </c>
      <c r="M766" s="57"/>
      <c r="N766" s="77">
        <v>93890</v>
      </c>
      <c r="O766" s="57">
        <f t="shared" si="35"/>
        <v>0</v>
      </c>
      <c r="P766" s="77">
        <v>93272</v>
      </c>
      <c r="Q766" s="73">
        <f t="shared" si="33"/>
        <v>0</v>
      </c>
      <c r="R766" s="57"/>
      <c r="S766" s="57"/>
      <c r="T766" s="57"/>
      <c r="U766" s="57"/>
      <c r="V766" s="73">
        <f t="shared" si="34"/>
        <v>0</v>
      </c>
      <c r="W766" s="106"/>
      <c r="X766" s="64"/>
    </row>
    <row r="767" spans="1:24" s="66" customFormat="1" ht="12" hidden="1" customHeight="1">
      <c r="A767" s="74" t="s">
        <v>439</v>
      </c>
      <c r="B767" s="74"/>
      <c r="C767" s="74"/>
      <c r="D767" s="74"/>
      <c r="E767" s="74"/>
      <c r="F767" s="74"/>
      <c r="G767" s="74"/>
      <c r="H767" s="74"/>
      <c r="I767" s="75" t="s">
        <v>2114</v>
      </c>
      <c r="J767" s="75" t="s">
        <v>1204</v>
      </c>
      <c r="K767" s="74" t="s">
        <v>1217</v>
      </c>
      <c r="L767" s="76" t="s">
        <v>20</v>
      </c>
      <c r="M767" s="57"/>
      <c r="N767" s="77">
        <v>78910</v>
      </c>
      <c r="O767" s="57">
        <f t="shared" si="35"/>
        <v>0</v>
      </c>
      <c r="P767" s="77">
        <v>49226</v>
      </c>
      <c r="Q767" s="73">
        <f t="shared" si="33"/>
        <v>0</v>
      </c>
      <c r="R767" s="57"/>
      <c r="S767" s="57"/>
      <c r="T767" s="57"/>
      <c r="U767" s="57"/>
      <c r="V767" s="73">
        <f t="shared" si="34"/>
        <v>0</v>
      </c>
      <c r="W767" s="106"/>
      <c r="X767" s="64"/>
    </row>
    <row r="768" spans="1:24" s="66" customFormat="1" ht="12" hidden="1" customHeight="1">
      <c r="A768" s="74" t="s">
        <v>440</v>
      </c>
      <c r="B768" s="74"/>
      <c r="C768" s="74"/>
      <c r="D768" s="74"/>
      <c r="E768" s="74"/>
      <c r="F768" s="74"/>
      <c r="G768" s="74"/>
      <c r="H768" s="74"/>
      <c r="I768" s="75" t="s">
        <v>2114</v>
      </c>
      <c r="J768" s="75" t="s">
        <v>1204</v>
      </c>
      <c r="K768" s="74" t="s">
        <v>1216</v>
      </c>
      <c r="L768" s="76" t="s">
        <v>20</v>
      </c>
      <c r="M768" s="57"/>
      <c r="N768" s="77">
        <v>108220</v>
      </c>
      <c r="O768" s="57">
        <f t="shared" si="35"/>
        <v>0</v>
      </c>
      <c r="P768" s="77">
        <v>49226</v>
      </c>
      <c r="Q768" s="73">
        <f t="shared" si="33"/>
        <v>0</v>
      </c>
      <c r="R768" s="57"/>
      <c r="S768" s="57"/>
      <c r="T768" s="57"/>
      <c r="U768" s="57"/>
      <c r="V768" s="73">
        <f t="shared" si="34"/>
        <v>0</v>
      </c>
      <c r="W768" s="106"/>
      <c r="X768" s="64"/>
    </row>
    <row r="769" spans="1:24" s="66" customFormat="1" ht="12" hidden="1" customHeight="1">
      <c r="A769" s="74" t="s">
        <v>441</v>
      </c>
      <c r="B769" s="74"/>
      <c r="C769" s="74"/>
      <c r="D769" s="74"/>
      <c r="E769" s="74"/>
      <c r="F769" s="74"/>
      <c r="G769" s="74"/>
      <c r="H769" s="74"/>
      <c r="I769" s="75" t="s">
        <v>2115</v>
      </c>
      <c r="J769" s="75" t="s">
        <v>1204</v>
      </c>
      <c r="K769" s="74" t="s">
        <v>1215</v>
      </c>
      <c r="L769" s="76" t="s">
        <v>20</v>
      </c>
      <c r="M769" s="57"/>
      <c r="N769" s="77">
        <v>129250</v>
      </c>
      <c r="O769" s="57">
        <f t="shared" si="35"/>
        <v>0</v>
      </c>
      <c r="P769" s="77">
        <v>67363</v>
      </c>
      <c r="Q769" s="73">
        <f t="shared" si="33"/>
        <v>0</v>
      </c>
      <c r="R769" s="57"/>
      <c r="S769" s="57"/>
      <c r="T769" s="57"/>
      <c r="U769" s="57"/>
      <c r="V769" s="73">
        <f t="shared" si="34"/>
        <v>0</v>
      </c>
      <c r="W769" s="106"/>
      <c r="X769" s="64"/>
    </row>
    <row r="770" spans="1:24" s="66" customFormat="1" ht="12" hidden="1" customHeight="1">
      <c r="A770" s="74" t="s">
        <v>442</v>
      </c>
      <c r="B770" s="74"/>
      <c r="C770" s="74"/>
      <c r="D770" s="74"/>
      <c r="E770" s="74"/>
      <c r="F770" s="74"/>
      <c r="G770" s="74"/>
      <c r="H770" s="74"/>
      <c r="I770" s="75" t="s">
        <v>2115</v>
      </c>
      <c r="J770" s="75" t="s">
        <v>1204</v>
      </c>
      <c r="K770" s="74" t="s">
        <v>1214</v>
      </c>
      <c r="L770" s="76" t="s">
        <v>20</v>
      </c>
      <c r="M770" s="57"/>
      <c r="N770" s="77">
        <v>141040</v>
      </c>
      <c r="O770" s="57">
        <f t="shared" si="35"/>
        <v>0</v>
      </c>
      <c r="P770" s="77">
        <v>67363</v>
      </c>
      <c r="Q770" s="73">
        <f t="shared" si="33"/>
        <v>0</v>
      </c>
      <c r="R770" s="57"/>
      <c r="S770" s="57"/>
      <c r="T770" s="57"/>
      <c r="U770" s="57"/>
      <c r="V770" s="73">
        <f t="shared" si="34"/>
        <v>0</v>
      </c>
      <c r="W770" s="106"/>
      <c r="X770" s="64"/>
    </row>
    <row r="771" spans="1:24" s="66" customFormat="1" ht="12" hidden="1" customHeight="1">
      <c r="A771" s="74" t="s">
        <v>443</v>
      </c>
      <c r="B771" s="74"/>
      <c r="C771" s="74"/>
      <c r="D771" s="74"/>
      <c r="E771" s="74"/>
      <c r="F771" s="74"/>
      <c r="G771" s="74"/>
      <c r="H771" s="74"/>
      <c r="I771" s="75" t="s">
        <v>2116</v>
      </c>
      <c r="J771" s="75" t="s">
        <v>1204</v>
      </c>
      <c r="K771" s="74" t="s">
        <v>1213</v>
      </c>
      <c r="L771" s="76" t="s">
        <v>20</v>
      </c>
      <c r="M771" s="57"/>
      <c r="N771" s="77">
        <v>131690</v>
      </c>
      <c r="O771" s="57">
        <f t="shared" si="35"/>
        <v>0</v>
      </c>
      <c r="P771" s="77">
        <v>93272</v>
      </c>
      <c r="Q771" s="73">
        <f t="shared" si="33"/>
        <v>0</v>
      </c>
      <c r="R771" s="57"/>
      <c r="S771" s="57"/>
      <c r="T771" s="57"/>
      <c r="U771" s="57"/>
      <c r="V771" s="73">
        <f t="shared" si="34"/>
        <v>0</v>
      </c>
      <c r="W771" s="106"/>
      <c r="X771" s="64"/>
    </row>
    <row r="772" spans="1:24" s="66" customFormat="1" ht="12" hidden="1" customHeight="1">
      <c r="A772" s="74" t="s">
        <v>444</v>
      </c>
      <c r="B772" s="74"/>
      <c r="C772" s="74"/>
      <c r="D772" s="74"/>
      <c r="E772" s="74"/>
      <c r="F772" s="74"/>
      <c r="G772" s="74"/>
      <c r="H772" s="74"/>
      <c r="I772" s="75" t="s">
        <v>2116</v>
      </c>
      <c r="J772" s="75" t="s">
        <v>1204</v>
      </c>
      <c r="K772" s="74" t="s">
        <v>1212</v>
      </c>
      <c r="L772" s="76" t="s">
        <v>20</v>
      </c>
      <c r="M772" s="57"/>
      <c r="N772" s="77">
        <v>167590</v>
      </c>
      <c r="O772" s="57">
        <f t="shared" si="35"/>
        <v>0</v>
      </c>
      <c r="P772" s="77">
        <v>93272</v>
      </c>
      <c r="Q772" s="73">
        <f t="shared" si="33"/>
        <v>0</v>
      </c>
      <c r="R772" s="57"/>
      <c r="S772" s="57"/>
      <c r="T772" s="57"/>
      <c r="U772" s="57"/>
      <c r="V772" s="73">
        <f t="shared" si="34"/>
        <v>0</v>
      </c>
      <c r="W772" s="106"/>
      <c r="X772" s="64"/>
    </row>
    <row r="773" spans="1:24" s="66" customFormat="1" ht="12" hidden="1" customHeight="1">
      <c r="A773" s="74" t="s">
        <v>445</v>
      </c>
      <c r="B773" s="74"/>
      <c r="C773" s="74"/>
      <c r="D773" s="74"/>
      <c r="E773" s="74"/>
      <c r="F773" s="74"/>
      <c r="G773" s="74"/>
      <c r="H773" s="74"/>
      <c r="I773" s="75" t="s">
        <v>2117</v>
      </c>
      <c r="J773" s="75" t="s">
        <v>1204</v>
      </c>
      <c r="K773" s="74" t="s">
        <v>1211</v>
      </c>
      <c r="L773" s="76" t="s">
        <v>20</v>
      </c>
      <c r="M773" s="57"/>
      <c r="N773" s="77">
        <v>175130</v>
      </c>
      <c r="O773" s="57">
        <f t="shared" si="35"/>
        <v>0</v>
      </c>
      <c r="P773" s="77">
        <v>121771</v>
      </c>
      <c r="Q773" s="73">
        <f t="shared" si="33"/>
        <v>0</v>
      </c>
      <c r="R773" s="57"/>
      <c r="S773" s="57"/>
      <c r="T773" s="57"/>
      <c r="U773" s="57"/>
      <c r="V773" s="73">
        <f t="shared" si="34"/>
        <v>0</v>
      </c>
      <c r="W773" s="106"/>
      <c r="X773" s="64"/>
    </row>
    <row r="774" spans="1:24" s="66" customFormat="1" ht="12" hidden="1" customHeight="1">
      <c r="A774" s="74" t="s">
        <v>446</v>
      </c>
      <c r="B774" s="74"/>
      <c r="C774" s="74"/>
      <c r="D774" s="74"/>
      <c r="E774" s="74"/>
      <c r="F774" s="74"/>
      <c r="G774" s="74"/>
      <c r="H774" s="74"/>
      <c r="I774" s="75" t="s">
        <v>2117</v>
      </c>
      <c r="J774" s="75" t="s">
        <v>1204</v>
      </c>
      <c r="K774" s="74" t="s">
        <v>1210</v>
      </c>
      <c r="L774" s="76" t="s">
        <v>20</v>
      </c>
      <c r="M774" s="57"/>
      <c r="N774" s="77">
        <v>210390</v>
      </c>
      <c r="O774" s="57">
        <f t="shared" si="35"/>
        <v>0</v>
      </c>
      <c r="P774" s="77">
        <v>121771</v>
      </c>
      <c r="Q774" s="73">
        <f t="shared" si="33"/>
        <v>0</v>
      </c>
      <c r="R774" s="57"/>
      <c r="S774" s="57"/>
      <c r="T774" s="57"/>
      <c r="U774" s="57"/>
      <c r="V774" s="73">
        <f t="shared" si="34"/>
        <v>0</v>
      </c>
      <c r="W774" s="106"/>
      <c r="X774" s="64"/>
    </row>
    <row r="775" spans="1:24" s="66" customFormat="1" ht="12" hidden="1" customHeight="1">
      <c r="A775" s="74" t="s">
        <v>447</v>
      </c>
      <c r="B775" s="74"/>
      <c r="C775" s="74"/>
      <c r="D775" s="74"/>
      <c r="E775" s="74"/>
      <c r="F775" s="74"/>
      <c r="G775" s="74"/>
      <c r="H775" s="74"/>
      <c r="I775" s="75" t="s">
        <v>2118</v>
      </c>
      <c r="J775" s="75" t="s">
        <v>1204</v>
      </c>
      <c r="K775" s="74" t="s">
        <v>1209</v>
      </c>
      <c r="L775" s="76" t="s">
        <v>20</v>
      </c>
      <c r="M775" s="57"/>
      <c r="N775" s="77">
        <v>377650</v>
      </c>
      <c r="O775" s="57">
        <f t="shared" si="35"/>
        <v>0</v>
      </c>
      <c r="P775" s="77">
        <v>176180</v>
      </c>
      <c r="Q775" s="73">
        <f t="shared" si="33"/>
        <v>0</v>
      </c>
      <c r="R775" s="57"/>
      <c r="S775" s="57"/>
      <c r="T775" s="57"/>
      <c r="U775" s="57"/>
      <c r="V775" s="73">
        <f t="shared" si="34"/>
        <v>0</v>
      </c>
      <c r="W775" s="106"/>
      <c r="X775" s="64"/>
    </row>
    <row r="776" spans="1:24" s="66" customFormat="1" ht="12" hidden="1" customHeight="1">
      <c r="A776" s="74" t="s">
        <v>448</v>
      </c>
      <c r="B776" s="74"/>
      <c r="C776" s="74"/>
      <c r="D776" s="74"/>
      <c r="E776" s="74"/>
      <c r="F776" s="74"/>
      <c r="G776" s="74"/>
      <c r="H776" s="74"/>
      <c r="I776" s="75" t="s">
        <v>2118</v>
      </c>
      <c r="J776" s="75" t="s">
        <v>1204</v>
      </c>
      <c r="K776" s="74" t="s">
        <v>1208</v>
      </c>
      <c r="L776" s="76" t="s">
        <v>20</v>
      </c>
      <c r="M776" s="57"/>
      <c r="N776" s="77">
        <v>444350</v>
      </c>
      <c r="O776" s="57">
        <f t="shared" si="35"/>
        <v>0</v>
      </c>
      <c r="P776" s="77">
        <v>176180</v>
      </c>
      <c r="Q776" s="73">
        <f t="shared" si="33"/>
        <v>0</v>
      </c>
      <c r="R776" s="57"/>
      <c r="S776" s="57"/>
      <c r="T776" s="57"/>
      <c r="U776" s="57"/>
      <c r="V776" s="73">
        <f t="shared" si="34"/>
        <v>0</v>
      </c>
      <c r="W776" s="106"/>
      <c r="X776" s="64"/>
    </row>
    <row r="777" spans="1:24" s="66" customFormat="1" ht="12" hidden="1" customHeight="1">
      <c r="A777" s="74" t="s">
        <v>449</v>
      </c>
      <c r="B777" s="74"/>
      <c r="C777" s="74"/>
      <c r="D777" s="74"/>
      <c r="E777" s="74"/>
      <c r="F777" s="74"/>
      <c r="G777" s="74"/>
      <c r="H777" s="74"/>
      <c r="I777" s="75" t="s">
        <v>2118</v>
      </c>
      <c r="J777" s="75" t="s">
        <v>1204</v>
      </c>
      <c r="K777" s="74" t="s">
        <v>1207</v>
      </c>
      <c r="L777" s="76" t="s">
        <v>20</v>
      </c>
      <c r="M777" s="57"/>
      <c r="N777" s="77">
        <v>644850</v>
      </c>
      <c r="O777" s="57">
        <f t="shared" si="35"/>
        <v>0</v>
      </c>
      <c r="P777" s="77">
        <v>176180</v>
      </c>
      <c r="Q777" s="73">
        <f t="shared" si="33"/>
        <v>0</v>
      </c>
      <c r="R777" s="57"/>
      <c r="S777" s="57"/>
      <c r="T777" s="57"/>
      <c r="U777" s="57"/>
      <c r="V777" s="73">
        <f t="shared" si="34"/>
        <v>0</v>
      </c>
      <c r="W777" s="106"/>
      <c r="X777" s="64"/>
    </row>
    <row r="778" spans="1:24" s="66" customFormat="1" ht="12" hidden="1" customHeight="1">
      <c r="A778" s="74" t="s">
        <v>450</v>
      </c>
      <c r="B778" s="74"/>
      <c r="C778" s="74"/>
      <c r="D778" s="74"/>
      <c r="E778" s="74"/>
      <c r="F778" s="74"/>
      <c r="G778" s="74"/>
      <c r="H778" s="74"/>
      <c r="I778" s="75" t="s">
        <v>2118</v>
      </c>
      <c r="J778" s="75" t="s">
        <v>1204</v>
      </c>
      <c r="K778" s="74" t="s">
        <v>1206</v>
      </c>
      <c r="L778" s="76" t="s">
        <v>20</v>
      </c>
      <c r="M778" s="57"/>
      <c r="N778" s="77">
        <v>857990</v>
      </c>
      <c r="O778" s="57">
        <f t="shared" si="35"/>
        <v>0</v>
      </c>
      <c r="P778" s="77">
        <v>176180</v>
      </c>
      <c r="Q778" s="73">
        <f t="shared" si="33"/>
        <v>0</v>
      </c>
      <c r="R778" s="57"/>
      <c r="S778" s="57"/>
      <c r="T778" s="57"/>
      <c r="U778" s="57"/>
      <c r="V778" s="73">
        <f t="shared" si="34"/>
        <v>0</v>
      </c>
      <c r="W778" s="106"/>
      <c r="X778" s="64"/>
    </row>
    <row r="779" spans="1:24" s="66" customFormat="1" ht="12" hidden="1" customHeight="1">
      <c r="A779" s="74" t="s">
        <v>451</v>
      </c>
      <c r="B779" s="74"/>
      <c r="C779" s="74"/>
      <c r="D779" s="74"/>
      <c r="E779" s="74"/>
      <c r="F779" s="74"/>
      <c r="G779" s="74"/>
      <c r="H779" s="74"/>
      <c r="I779" s="75" t="s">
        <v>2119</v>
      </c>
      <c r="J779" s="75" t="s">
        <v>1204</v>
      </c>
      <c r="K779" s="74" t="s">
        <v>1205</v>
      </c>
      <c r="L779" s="76" t="s">
        <v>20</v>
      </c>
      <c r="M779" s="57"/>
      <c r="N779" s="77">
        <v>1204100</v>
      </c>
      <c r="O779" s="57">
        <f t="shared" si="35"/>
        <v>0</v>
      </c>
      <c r="P779" s="77">
        <v>230589</v>
      </c>
      <c r="Q779" s="73">
        <f t="shared" ref="Q779:Q806" si="36">IF(W779="",M779*P779*$Q$3*$W$3,M779*P779*$Q$3*W779)</f>
        <v>0</v>
      </c>
      <c r="R779" s="57"/>
      <c r="S779" s="57"/>
      <c r="T779" s="57"/>
      <c r="U779" s="57"/>
      <c r="V779" s="73">
        <f t="shared" ref="V779:V806" si="37">SUM(O779+Q779)+S779+U779</f>
        <v>0</v>
      </c>
      <c r="W779" s="106"/>
      <c r="X779" s="64"/>
    </row>
    <row r="780" spans="1:24" s="66" customFormat="1" ht="12" hidden="1" customHeight="1">
      <c r="A780" s="74" t="s">
        <v>452</v>
      </c>
      <c r="B780" s="74"/>
      <c r="C780" s="74"/>
      <c r="D780" s="74"/>
      <c r="E780" s="74"/>
      <c r="F780" s="74"/>
      <c r="G780" s="74"/>
      <c r="H780" s="74"/>
      <c r="I780" s="75" t="s">
        <v>2119</v>
      </c>
      <c r="J780" s="75" t="s">
        <v>1204</v>
      </c>
      <c r="K780" s="74" t="s">
        <v>1203</v>
      </c>
      <c r="L780" s="76" t="s">
        <v>20</v>
      </c>
      <c r="M780" s="57"/>
      <c r="N780" s="77">
        <v>1466950</v>
      </c>
      <c r="O780" s="57">
        <f t="shared" si="35"/>
        <v>0</v>
      </c>
      <c r="P780" s="77">
        <v>230589</v>
      </c>
      <c r="Q780" s="73">
        <f t="shared" si="36"/>
        <v>0</v>
      </c>
      <c r="R780" s="57"/>
      <c r="S780" s="57"/>
      <c r="T780" s="57"/>
      <c r="U780" s="57"/>
      <c r="V780" s="73">
        <f t="shared" si="37"/>
        <v>0</v>
      </c>
      <c r="W780" s="106"/>
      <c r="X780" s="64"/>
    </row>
    <row r="781" spans="1:24" s="66" customFormat="1" ht="12" hidden="1" customHeight="1">
      <c r="A781" s="74" t="s">
        <v>453</v>
      </c>
      <c r="B781" s="74"/>
      <c r="C781" s="74"/>
      <c r="D781" s="74"/>
      <c r="E781" s="74"/>
      <c r="F781" s="74"/>
      <c r="G781" s="74"/>
      <c r="H781" s="74"/>
      <c r="I781" s="75" t="s">
        <v>2120</v>
      </c>
      <c r="J781" s="75" t="s">
        <v>1158</v>
      </c>
      <c r="K781" s="74" t="s">
        <v>1173</v>
      </c>
      <c r="L781" s="76" t="s">
        <v>20</v>
      </c>
      <c r="M781" s="57"/>
      <c r="N781" s="77">
        <v>12540</v>
      </c>
      <c r="O781" s="57">
        <f t="shared" si="35"/>
        <v>0</v>
      </c>
      <c r="P781" s="77">
        <v>77726</v>
      </c>
      <c r="Q781" s="73">
        <f t="shared" si="36"/>
        <v>0</v>
      </c>
      <c r="R781" s="57"/>
      <c r="S781" s="57"/>
      <c r="T781" s="57"/>
      <c r="U781" s="57"/>
      <c r="V781" s="73">
        <f t="shared" si="37"/>
        <v>0</v>
      </c>
      <c r="W781" s="106"/>
      <c r="X781" s="64"/>
    </row>
    <row r="782" spans="1:24" s="66" customFormat="1" ht="12" hidden="1" customHeight="1">
      <c r="A782" s="74" t="s">
        <v>454</v>
      </c>
      <c r="B782" s="74"/>
      <c r="C782" s="74"/>
      <c r="D782" s="74"/>
      <c r="E782" s="74"/>
      <c r="F782" s="74"/>
      <c r="G782" s="74"/>
      <c r="H782" s="74"/>
      <c r="I782" s="75" t="s">
        <v>2120</v>
      </c>
      <c r="J782" s="75" t="s">
        <v>1158</v>
      </c>
      <c r="K782" s="74" t="s">
        <v>1172</v>
      </c>
      <c r="L782" s="76" t="s">
        <v>20</v>
      </c>
      <c r="M782" s="57"/>
      <c r="N782" s="77">
        <v>13170</v>
      </c>
      <c r="O782" s="57">
        <f t="shared" si="35"/>
        <v>0</v>
      </c>
      <c r="P782" s="77">
        <v>77726</v>
      </c>
      <c r="Q782" s="73">
        <f t="shared" si="36"/>
        <v>0</v>
      </c>
      <c r="R782" s="57"/>
      <c r="S782" s="57"/>
      <c r="T782" s="57"/>
      <c r="U782" s="57"/>
      <c r="V782" s="73">
        <f t="shared" si="37"/>
        <v>0</v>
      </c>
      <c r="W782" s="106"/>
      <c r="X782" s="64"/>
    </row>
    <row r="783" spans="1:24" s="66" customFormat="1" ht="12" hidden="1" customHeight="1">
      <c r="A783" s="74" t="s">
        <v>455</v>
      </c>
      <c r="B783" s="74"/>
      <c r="C783" s="74"/>
      <c r="D783" s="74"/>
      <c r="E783" s="74"/>
      <c r="F783" s="74"/>
      <c r="G783" s="74"/>
      <c r="H783" s="74"/>
      <c r="I783" s="75" t="s">
        <v>2120</v>
      </c>
      <c r="J783" s="75" t="s">
        <v>1158</v>
      </c>
      <c r="K783" s="74" t="s">
        <v>1171</v>
      </c>
      <c r="L783" s="76" t="s">
        <v>20</v>
      </c>
      <c r="M783" s="57"/>
      <c r="N783" s="77">
        <v>13920</v>
      </c>
      <c r="O783" s="57">
        <f t="shared" si="35"/>
        <v>0</v>
      </c>
      <c r="P783" s="77">
        <v>77726</v>
      </c>
      <c r="Q783" s="73">
        <f t="shared" si="36"/>
        <v>0</v>
      </c>
      <c r="R783" s="57"/>
      <c r="S783" s="57"/>
      <c r="T783" s="57"/>
      <c r="U783" s="57"/>
      <c r="V783" s="73">
        <f t="shared" si="37"/>
        <v>0</v>
      </c>
      <c r="W783" s="106"/>
      <c r="X783" s="64"/>
    </row>
    <row r="784" spans="1:24" s="66" customFormat="1" ht="12" hidden="1" customHeight="1">
      <c r="A784" s="74" t="s">
        <v>456</v>
      </c>
      <c r="B784" s="74"/>
      <c r="C784" s="74"/>
      <c r="D784" s="74"/>
      <c r="E784" s="74"/>
      <c r="F784" s="74"/>
      <c r="G784" s="74"/>
      <c r="H784" s="74"/>
      <c r="I784" s="75" t="s">
        <v>2120</v>
      </c>
      <c r="J784" s="75" t="s">
        <v>1158</v>
      </c>
      <c r="K784" s="74" t="s">
        <v>1170</v>
      </c>
      <c r="L784" s="76" t="s">
        <v>20</v>
      </c>
      <c r="M784" s="57"/>
      <c r="N784" s="77">
        <v>19970</v>
      </c>
      <c r="O784" s="57">
        <f t="shared" si="35"/>
        <v>0</v>
      </c>
      <c r="P784" s="77">
        <v>77726</v>
      </c>
      <c r="Q784" s="73">
        <f t="shared" si="36"/>
        <v>0</v>
      </c>
      <c r="R784" s="57"/>
      <c r="S784" s="57"/>
      <c r="T784" s="57"/>
      <c r="U784" s="57"/>
      <c r="V784" s="73">
        <f t="shared" si="37"/>
        <v>0</v>
      </c>
      <c r="W784" s="106"/>
      <c r="X784" s="64"/>
    </row>
    <row r="785" spans="1:24" s="66" customFormat="1" ht="12" hidden="1" customHeight="1">
      <c r="A785" s="74" t="s">
        <v>457</v>
      </c>
      <c r="B785" s="74"/>
      <c r="C785" s="74"/>
      <c r="D785" s="74"/>
      <c r="E785" s="74"/>
      <c r="F785" s="74"/>
      <c r="G785" s="74"/>
      <c r="H785" s="74"/>
      <c r="I785" s="75" t="s">
        <v>2120</v>
      </c>
      <c r="J785" s="75" t="s">
        <v>1158</v>
      </c>
      <c r="K785" s="74" t="s">
        <v>1169</v>
      </c>
      <c r="L785" s="76" t="s">
        <v>20</v>
      </c>
      <c r="M785" s="57"/>
      <c r="N785" s="77">
        <v>14130</v>
      </c>
      <c r="O785" s="57">
        <f t="shared" si="35"/>
        <v>0</v>
      </c>
      <c r="P785" s="77">
        <v>77726</v>
      </c>
      <c r="Q785" s="73">
        <f t="shared" si="36"/>
        <v>0</v>
      </c>
      <c r="R785" s="57"/>
      <c r="S785" s="57"/>
      <c r="T785" s="57"/>
      <c r="U785" s="57"/>
      <c r="V785" s="73">
        <f t="shared" si="37"/>
        <v>0</v>
      </c>
      <c r="W785" s="106"/>
      <c r="X785" s="64"/>
    </row>
    <row r="786" spans="1:24" s="66" customFormat="1" ht="12" hidden="1" customHeight="1">
      <c r="A786" s="74" t="s">
        <v>458</v>
      </c>
      <c r="B786" s="74"/>
      <c r="C786" s="74"/>
      <c r="D786" s="74"/>
      <c r="E786" s="74"/>
      <c r="F786" s="74"/>
      <c r="G786" s="74"/>
      <c r="H786" s="74"/>
      <c r="I786" s="75" t="s">
        <v>2120</v>
      </c>
      <c r="J786" s="75" t="s">
        <v>1158</v>
      </c>
      <c r="K786" s="74" t="s">
        <v>1168</v>
      </c>
      <c r="L786" s="76" t="s">
        <v>20</v>
      </c>
      <c r="M786" s="57"/>
      <c r="N786" s="77">
        <v>14770</v>
      </c>
      <c r="O786" s="57">
        <f t="shared" si="35"/>
        <v>0</v>
      </c>
      <c r="P786" s="77">
        <v>77726</v>
      </c>
      <c r="Q786" s="73">
        <f t="shared" si="36"/>
        <v>0</v>
      </c>
      <c r="R786" s="57"/>
      <c r="S786" s="57"/>
      <c r="T786" s="57"/>
      <c r="U786" s="57"/>
      <c r="V786" s="73">
        <f t="shared" si="37"/>
        <v>0</v>
      </c>
      <c r="W786" s="106"/>
      <c r="X786" s="64"/>
    </row>
    <row r="787" spans="1:24" s="66" customFormat="1" ht="12" hidden="1" customHeight="1">
      <c r="A787" s="74" t="s">
        <v>459</v>
      </c>
      <c r="B787" s="74"/>
      <c r="C787" s="74"/>
      <c r="D787" s="74"/>
      <c r="E787" s="74"/>
      <c r="F787" s="74"/>
      <c r="G787" s="74"/>
      <c r="H787" s="74"/>
      <c r="I787" s="75" t="s">
        <v>2120</v>
      </c>
      <c r="J787" s="75" t="s">
        <v>1158</v>
      </c>
      <c r="K787" s="74" t="s">
        <v>1167</v>
      </c>
      <c r="L787" s="76" t="s">
        <v>20</v>
      </c>
      <c r="M787" s="57"/>
      <c r="N787" s="77">
        <v>21780</v>
      </c>
      <c r="O787" s="57">
        <f t="shared" si="35"/>
        <v>0</v>
      </c>
      <c r="P787" s="77">
        <v>77726</v>
      </c>
      <c r="Q787" s="73">
        <f t="shared" si="36"/>
        <v>0</v>
      </c>
      <c r="R787" s="57"/>
      <c r="S787" s="57"/>
      <c r="T787" s="57"/>
      <c r="U787" s="57"/>
      <c r="V787" s="73">
        <f t="shared" si="37"/>
        <v>0</v>
      </c>
      <c r="W787" s="106"/>
      <c r="X787" s="64"/>
    </row>
    <row r="788" spans="1:24" s="66" customFormat="1" ht="12" hidden="1" customHeight="1">
      <c r="A788" s="74" t="s">
        <v>460</v>
      </c>
      <c r="B788" s="74"/>
      <c r="C788" s="74"/>
      <c r="D788" s="74"/>
      <c r="E788" s="74"/>
      <c r="F788" s="74"/>
      <c r="G788" s="74"/>
      <c r="H788" s="74"/>
      <c r="I788" s="75" t="s">
        <v>2120</v>
      </c>
      <c r="J788" s="75" t="s">
        <v>1158</v>
      </c>
      <c r="K788" s="74" t="s">
        <v>1166</v>
      </c>
      <c r="L788" s="76" t="s">
        <v>20</v>
      </c>
      <c r="M788" s="57"/>
      <c r="N788" s="77">
        <v>23580</v>
      </c>
      <c r="O788" s="57">
        <f t="shared" si="35"/>
        <v>0</v>
      </c>
      <c r="P788" s="77">
        <v>77726</v>
      </c>
      <c r="Q788" s="73">
        <f t="shared" si="36"/>
        <v>0</v>
      </c>
      <c r="R788" s="57"/>
      <c r="S788" s="57"/>
      <c r="T788" s="57"/>
      <c r="U788" s="57"/>
      <c r="V788" s="73">
        <f t="shared" si="37"/>
        <v>0</v>
      </c>
      <c r="W788" s="106"/>
      <c r="X788" s="64"/>
    </row>
    <row r="789" spans="1:24" s="66" customFormat="1" ht="12" hidden="1" customHeight="1">
      <c r="A789" s="74" t="s">
        <v>461</v>
      </c>
      <c r="B789" s="74"/>
      <c r="C789" s="74"/>
      <c r="D789" s="74"/>
      <c r="E789" s="74"/>
      <c r="F789" s="74"/>
      <c r="G789" s="74"/>
      <c r="H789" s="74"/>
      <c r="I789" s="75" t="s">
        <v>2120</v>
      </c>
      <c r="J789" s="75" t="s">
        <v>1158</v>
      </c>
      <c r="K789" s="74" t="s">
        <v>1165</v>
      </c>
      <c r="L789" s="76" t="s">
        <v>20</v>
      </c>
      <c r="M789" s="57"/>
      <c r="N789" s="77">
        <v>42700</v>
      </c>
      <c r="O789" s="57">
        <f t="shared" si="35"/>
        <v>0</v>
      </c>
      <c r="P789" s="77">
        <v>77726</v>
      </c>
      <c r="Q789" s="73">
        <f t="shared" si="36"/>
        <v>0</v>
      </c>
      <c r="R789" s="57"/>
      <c r="S789" s="57"/>
      <c r="T789" s="57"/>
      <c r="U789" s="57"/>
      <c r="V789" s="73">
        <f t="shared" si="37"/>
        <v>0</v>
      </c>
      <c r="W789" s="106"/>
      <c r="X789" s="64"/>
    </row>
    <row r="790" spans="1:24" s="66" customFormat="1" ht="12" hidden="1" customHeight="1">
      <c r="A790" s="74" t="s">
        <v>462</v>
      </c>
      <c r="B790" s="74"/>
      <c r="C790" s="74"/>
      <c r="D790" s="74"/>
      <c r="E790" s="74"/>
      <c r="F790" s="74"/>
      <c r="G790" s="74"/>
      <c r="H790" s="74"/>
      <c r="I790" s="75" t="s">
        <v>2121</v>
      </c>
      <c r="J790" s="75" t="s">
        <v>1158</v>
      </c>
      <c r="K790" s="74" t="s">
        <v>1164</v>
      </c>
      <c r="L790" s="76" t="s">
        <v>20</v>
      </c>
      <c r="M790" s="57"/>
      <c r="N790" s="77">
        <v>50340</v>
      </c>
      <c r="O790" s="57">
        <f t="shared" si="35"/>
        <v>0</v>
      </c>
      <c r="P790" s="77">
        <v>116590</v>
      </c>
      <c r="Q790" s="73">
        <f t="shared" si="36"/>
        <v>0</v>
      </c>
      <c r="R790" s="57"/>
      <c r="S790" s="57"/>
      <c r="T790" s="57"/>
      <c r="U790" s="57"/>
      <c r="V790" s="73">
        <f t="shared" si="37"/>
        <v>0</v>
      </c>
      <c r="W790" s="106"/>
      <c r="X790" s="64"/>
    </row>
    <row r="791" spans="1:24" s="66" customFormat="1" ht="12" hidden="1" customHeight="1">
      <c r="A791" s="74" t="s">
        <v>463</v>
      </c>
      <c r="B791" s="74"/>
      <c r="C791" s="74"/>
      <c r="D791" s="74"/>
      <c r="E791" s="74"/>
      <c r="F791" s="74"/>
      <c r="G791" s="74"/>
      <c r="H791" s="74"/>
      <c r="I791" s="75" t="s">
        <v>2121</v>
      </c>
      <c r="J791" s="75" t="s">
        <v>1158</v>
      </c>
      <c r="K791" s="74" t="s">
        <v>1163</v>
      </c>
      <c r="L791" s="76" t="s">
        <v>20</v>
      </c>
      <c r="M791" s="57"/>
      <c r="N791" s="77">
        <v>58730</v>
      </c>
      <c r="O791" s="57">
        <f t="shared" si="35"/>
        <v>0</v>
      </c>
      <c r="P791" s="77">
        <v>116590</v>
      </c>
      <c r="Q791" s="73">
        <f t="shared" si="36"/>
        <v>0</v>
      </c>
      <c r="R791" s="57"/>
      <c r="S791" s="57"/>
      <c r="T791" s="57"/>
      <c r="U791" s="57"/>
      <c r="V791" s="73">
        <f t="shared" si="37"/>
        <v>0</v>
      </c>
      <c r="W791" s="106"/>
      <c r="X791" s="64"/>
    </row>
    <row r="792" spans="1:24" s="66" customFormat="1" ht="12" hidden="1" customHeight="1">
      <c r="A792" s="74" t="s">
        <v>464</v>
      </c>
      <c r="B792" s="74"/>
      <c r="C792" s="74"/>
      <c r="D792" s="74"/>
      <c r="E792" s="74"/>
      <c r="F792" s="74"/>
      <c r="G792" s="74"/>
      <c r="H792" s="74"/>
      <c r="I792" s="75" t="s">
        <v>2121</v>
      </c>
      <c r="J792" s="75" t="s">
        <v>1158</v>
      </c>
      <c r="K792" s="74" t="s">
        <v>1162</v>
      </c>
      <c r="L792" s="76" t="s">
        <v>20</v>
      </c>
      <c r="M792" s="57"/>
      <c r="N792" s="77">
        <v>62340</v>
      </c>
      <c r="O792" s="57">
        <f t="shared" si="35"/>
        <v>0</v>
      </c>
      <c r="P792" s="77">
        <v>116590</v>
      </c>
      <c r="Q792" s="73">
        <f t="shared" si="36"/>
        <v>0</v>
      </c>
      <c r="R792" s="57"/>
      <c r="S792" s="57"/>
      <c r="T792" s="57"/>
      <c r="U792" s="57"/>
      <c r="V792" s="73">
        <f t="shared" si="37"/>
        <v>0</v>
      </c>
      <c r="W792" s="106"/>
      <c r="X792" s="64"/>
    </row>
    <row r="793" spans="1:24" s="66" customFormat="1" ht="12" hidden="1" customHeight="1">
      <c r="A793" s="74" t="s">
        <v>465</v>
      </c>
      <c r="B793" s="74"/>
      <c r="C793" s="74"/>
      <c r="D793" s="74"/>
      <c r="E793" s="74"/>
      <c r="F793" s="74"/>
      <c r="G793" s="74"/>
      <c r="H793" s="74"/>
      <c r="I793" s="75" t="s">
        <v>2122</v>
      </c>
      <c r="J793" s="75" t="s">
        <v>1158</v>
      </c>
      <c r="K793" s="74" t="s">
        <v>1161</v>
      </c>
      <c r="L793" s="76" t="s">
        <v>20</v>
      </c>
      <c r="M793" s="57"/>
      <c r="N793" s="77">
        <v>84430</v>
      </c>
      <c r="O793" s="57">
        <f t="shared" si="35"/>
        <v>0</v>
      </c>
      <c r="P793" s="77">
        <v>155453</v>
      </c>
      <c r="Q793" s="73">
        <f t="shared" si="36"/>
        <v>0</v>
      </c>
      <c r="R793" s="57"/>
      <c r="S793" s="57"/>
      <c r="T793" s="57"/>
      <c r="U793" s="57"/>
      <c r="V793" s="73">
        <f t="shared" si="37"/>
        <v>0</v>
      </c>
      <c r="W793" s="106"/>
      <c r="X793" s="64"/>
    </row>
    <row r="794" spans="1:24" s="66" customFormat="1" ht="12" hidden="1" customHeight="1">
      <c r="A794" s="74" t="s">
        <v>466</v>
      </c>
      <c r="B794" s="74"/>
      <c r="C794" s="74"/>
      <c r="D794" s="74"/>
      <c r="E794" s="74"/>
      <c r="F794" s="74"/>
      <c r="G794" s="74"/>
      <c r="H794" s="74"/>
      <c r="I794" s="75" t="s">
        <v>2122</v>
      </c>
      <c r="J794" s="75" t="s">
        <v>1158</v>
      </c>
      <c r="K794" s="74" t="s">
        <v>1160</v>
      </c>
      <c r="L794" s="76" t="s">
        <v>20</v>
      </c>
      <c r="M794" s="57"/>
      <c r="N794" s="77">
        <v>100470</v>
      </c>
      <c r="O794" s="57">
        <f t="shared" si="35"/>
        <v>0</v>
      </c>
      <c r="P794" s="77">
        <v>155453</v>
      </c>
      <c r="Q794" s="73">
        <f t="shared" si="36"/>
        <v>0</v>
      </c>
      <c r="R794" s="57"/>
      <c r="S794" s="57"/>
      <c r="T794" s="57"/>
      <c r="U794" s="57"/>
      <c r="V794" s="73">
        <f t="shared" si="37"/>
        <v>0</v>
      </c>
      <c r="W794" s="106"/>
      <c r="X794" s="64"/>
    </row>
    <row r="795" spans="1:24" s="66" customFormat="1" ht="12" hidden="1" customHeight="1">
      <c r="A795" s="74" t="s">
        <v>467</v>
      </c>
      <c r="B795" s="74"/>
      <c r="C795" s="74"/>
      <c r="D795" s="74"/>
      <c r="E795" s="74"/>
      <c r="F795" s="74"/>
      <c r="G795" s="74"/>
      <c r="H795" s="74"/>
      <c r="I795" s="75" t="s">
        <v>2122</v>
      </c>
      <c r="J795" s="75" t="s">
        <v>1158</v>
      </c>
      <c r="K795" s="74" t="s">
        <v>1159</v>
      </c>
      <c r="L795" s="76" t="s">
        <v>20</v>
      </c>
      <c r="M795" s="57"/>
      <c r="N795" s="77">
        <v>110030</v>
      </c>
      <c r="O795" s="57">
        <f t="shared" si="35"/>
        <v>0</v>
      </c>
      <c r="P795" s="77">
        <v>155453</v>
      </c>
      <c r="Q795" s="73">
        <f t="shared" si="36"/>
        <v>0</v>
      </c>
      <c r="R795" s="57"/>
      <c r="S795" s="57"/>
      <c r="T795" s="57"/>
      <c r="U795" s="57"/>
      <c r="V795" s="73">
        <f t="shared" si="37"/>
        <v>0</v>
      </c>
      <c r="W795" s="106"/>
      <c r="X795" s="64"/>
    </row>
    <row r="796" spans="1:24" s="66" customFormat="1" ht="12" hidden="1" customHeight="1">
      <c r="A796" s="74" t="s">
        <v>468</v>
      </c>
      <c r="B796" s="74"/>
      <c r="C796" s="74"/>
      <c r="D796" s="74"/>
      <c r="E796" s="74"/>
      <c r="F796" s="74"/>
      <c r="G796" s="74"/>
      <c r="H796" s="74"/>
      <c r="I796" s="75" t="s">
        <v>2122</v>
      </c>
      <c r="J796" s="75" t="s">
        <v>1158</v>
      </c>
      <c r="K796" s="74" t="s">
        <v>1157</v>
      </c>
      <c r="L796" s="76" t="s">
        <v>20</v>
      </c>
      <c r="M796" s="57"/>
      <c r="N796" s="77">
        <v>125110</v>
      </c>
      <c r="O796" s="57">
        <f t="shared" si="35"/>
        <v>0</v>
      </c>
      <c r="P796" s="77">
        <v>155453</v>
      </c>
      <c r="Q796" s="73">
        <f t="shared" si="36"/>
        <v>0</v>
      </c>
      <c r="R796" s="57"/>
      <c r="S796" s="57"/>
      <c r="T796" s="57"/>
      <c r="U796" s="57"/>
      <c r="V796" s="73">
        <f t="shared" si="37"/>
        <v>0</v>
      </c>
      <c r="W796" s="106"/>
      <c r="X796" s="64"/>
    </row>
    <row r="797" spans="1:24" s="66" customFormat="1" ht="12" hidden="1" customHeight="1">
      <c r="A797" s="74" t="s">
        <v>469</v>
      </c>
      <c r="B797" s="74"/>
      <c r="C797" s="74"/>
      <c r="D797" s="74"/>
      <c r="E797" s="74"/>
      <c r="F797" s="74"/>
      <c r="G797" s="74"/>
      <c r="H797" s="74"/>
      <c r="I797" s="75" t="s">
        <v>2123</v>
      </c>
      <c r="J797" s="75" t="s">
        <v>1146</v>
      </c>
      <c r="K797" s="74" t="s">
        <v>1156</v>
      </c>
      <c r="L797" s="76" t="s">
        <v>20</v>
      </c>
      <c r="M797" s="57"/>
      <c r="N797" s="77">
        <v>170560</v>
      </c>
      <c r="O797" s="57">
        <f t="shared" si="35"/>
        <v>0</v>
      </c>
      <c r="P797" s="77">
        <v>207271</v>
      </c>
      <c r="Q797" s="73">
        <f t="shared" si="36"/>
        <v>0</v>
      </c>
      <c r="R797" s="57"/>
      <c r="S797" s="57"/>
      <c r="T797" s="57"/>
      <c r="U797" s="57"/>
      <c r="V797" s="73">
        <f t="shared" si="37"/>
        <v>0</v>
      </c>
      <c r="W797" s="106"/>
      <c r="X797" s="64"/>
    </row>
    <row r="798" spans="1:24" s="66" customFormat="1" ht="12" hidden="1" customHeight="1">
      <c r="A798" s="74" t="s">
        <v>470</v>
      </c>
      <c r="B798" s="74"/>
      <c r="C798" s="74"/>
      <c r="D798" s="74"/>
      <c r="E798" s="74"/>
      <c r="F798" s="74"/>
      <c r="G798" s="74"/>
      <c r="H798" s="74"/>
      <c r="I798" s="75" t="s">
        <v>2123</v>
      </c>
      <c r="J798" s="75" t="s">
        <v>1146</v>
      </c>
      <c r="K798" s="74" t="s">
        <v>1155</v>
      </c>
      <c r="L798" s="76" t="s">
        <v>20</v>
      </c>
      <c r="M798" s="57"/>
      <c r="N798" s="77">
        <v>209750</v>
      </c>
      <c r="O798" s="57">
        <f t="shared" si="35"/>
        <v>0</v>
      </c>
      <c r="P798" s="77">
        <v>207271</v>
      </c>
      <c r="Q798" s="73">
        <f t="shared" si="36"/>
        <v>0</v>
      </c>
      <c r="R798" s="57"/>
      <c r="S798" s="57"/>
      <c r="T798" s="57"/>
      <c r="U798" s="57"/>
      <c r="V798" s="73">
        <f t="shared" si="37"/>
        <v>0</v>
      </c>
      <c r="W798" s="106"/>
      <c r="X798" s="64"/>
    </row>
    <row r="799" spans="1:24" s="66" customFormat="1" ht="12" hidden="1" customHeight="1">
      <c r="A799" s="74" t="s">
        <v>471</v>
      </c>
      <c r="B799" s="74"/>
      <c r="C799" s="74"/>
      <c r="D799" s="74"/>
      <c r="E799" s="74"/>
      <c r="F799" s="74"/>
      <c r="G799" s="74"/>
      <c r="H799" s="74"/>
      <c r="I799" s="75" t="s">
        <v>2123</v>
      </c>
      <c r="J799" s="75" t="s">
        <v>1146</v>
      </c>
      <c r="K799" s="74" t="s">
        <v>1154</v>
      </c>
      <c r="L799" s="76" t="s">
        <v>20</v>
      </c>
      <c r="M799" s="57"/>
      <c r="N799" s="77">
        <v>271240</v>
      </c>
      <c r="O799" s="57">
        <f t="shared" si="35"/>
        <v>0</v>
      </c>
      <c r="P799" s="77">
        <v>207271</v>
      </c>
      <c r="Q799" s="73">
        <f t="shared" si="36"/>
        <v>0</v>
      </c>
      <c r="R799" s="57"/>
      <c r="S799" s="57"/>
      <c r="T799" s="57"/>
      <c r="U799" s="57"/>
      <c r="V799" s="73">
        <f t="shared" si="37"/>
        <v>0</v>
      </c>
      <c r="W799" s="106"/>
      <c r="X799" s="64"/>
    </row>
    <row r="800" spans="1:24" s="66" customFormat="1" ht="12" hidden="1" customHeight="1">
      <c r="A800" s="74" t="s">
        <v>472</v>
      </c>
      <c r="B800" s="74"/>
      <c r="C800" s="74"/>
      <c r="D800" s="74"/>
      <c r="E800" s="74"/>
      <c r="F800" s="74"/>
      <c r="G800" s="74"/>
      <c r="H800" s="74"/>
      <c r="I800" s="75" t="s">
        <v>2123</v>
      </c>
      <c r="J800" s="75" t="s">
        <v>1146</v>
      </c>
      <c r="K800" s="74" t="s">
        <v>1153</v>
      </c>
      <c r="L800" s="76" t="s">
        <v>20</v>
      </c>
      <c r="M800" s="57"/>
      <c r="N800" s="77">
        <v>307980</v>
      </c>
      <c r="O800" s="57">
        <f t="shared" si="35"/>
        <v>0</v>
      </c>
      <c r="P800" s="77">
        <v>207271</v>
      </c>
      <c r="Q800" s="73">
        <f t="shared" si="36"/>
        <v>0</v>
      </c>
      <c r="R800" s="57"/>
      <c r="S800" s="57"/>
      <c r="T800" s="57"/>
      <c r="U800" s="57"/>
      <c r="V800" s="73">
        <f t="shared" si="37"/>
        <v>0</v>
      </c>
      <c r="W800" s="106"/>
      <c r="X800" s="64"/>
    </row>
    <row r="801" spans="1:24" s="66" customFormat="1" ht="12" hidden="1" customHeight="1">
      <c r="A801" s="74" t="s">
        <v>473</v>
      </c>
      <c r="B801" s="74"/>
      <c r="C801" s="74"/>
      <c r="D801" s="74"/>
      <c r="E801" s="74"/>
      <c r="F801" s="74"/>
      <c r="G801" s="74"/>
      <c r="H801" s="74"/>
      <c r="I801" s="75" t="s">
        <v>2124</v>
      </c>
      <c r="J801" s="75" t="s">
        <v>1146</v>
      </c>
      <c r="K801" s="74" t="s">
        <v>1152</v>
      </c>
      <c r="L801" s="76" t="s">
        <v>20</v>
      </c>
      <c r="M801" s="57"/>
      <c r="N801" s="77">
        <v>818810</v>
      </c>
      <c r="O801" s="57">
        <f t="shared" si="35"/>
        <v>0</v>
      </c>
      <c r="P801" s="77">
        <v>272043</v>
      </c>
      <c r="Q801" s="73">
        <f t="shared" si="36"/>
        <v>0</v>
      </c>
      <c r="R801" s="57"/>
      <c r="S801" s="57"/>
      <c r="T801" s="57"/>
      <c r="U801" s="57"/>
      <c r="V801" s="73">
        <f t="shared" si="37"/>
        <v>0</v>
      </c>
      <c r="W801" s="106"/>
      <c r="X801" s="64"/>
    </row>
    <row r="802" spans="1:24" s="66" customFormat="1" ht="12" hidden="1" customHeight="1">
      <c r="A802" s="74" t="s">
        <v>474</v>
      </c>
      <c r="B802" s="74"/>
      <c r="C802" s="74"/>
      <c r="D802" s="74"/>
      <c r="E802" s="74"/>
      <c r="F802" s="74"/>
      <c r="G802" s="74"/>
      <c r="H802" s="74"/>
      <c r="I802" s="75" t="s">
        <v>2125</v>
      </c>
      <c r="J802" s="75" t="s">
        <v>1146</v>
      </c>
      <c r="K802" s="74" t="s">
        <v>1151</v>
      </c>
      <c r="L802" s="76" t="s">
        <v>20</v>
      </c>
      <c r="M802" s="57"/>
      <c r="N802" s="77">
        <v>861920</v>
      </c>
      <c r="O802" s="57">
        <f t="shared" si="35"/>
        <v>0</v>
      </c>
      <c r="P802" s="77">
        <v>323861</v>
      </c>
      <c r="Q802" s="73">
        <f t="shared" si="36"/>
        <v>0</v>
      </c>
      <c r="R802" s="57"/>
      <c r="S802" s="57"/>
      <c r="T802" s="57"/>
      <c r="U802" s="57"/>
      <c r="V802" s="73">
        <f t="shared" si="37"/>
        <v>0</v>
      </c>
      <c r="W802" s="106"/>
      <c r="X802" s="64"/>
    </row>
    <row r="803" spans="1:24" s="66" customFormat="1" ht="12" hidden="1" customHeight="1">
      <c r="A803" s="74" t="s">
        <v>475</v>
      </c>
      <c r="B803" s="74"/>
      <c r="C803" s="74"/>
      <c r="D803" s="74"/>
      <c r="E803" s="74"/>
      <c r="F803" s="74"/>
      <c r="G803" s="74"/>
      <c r="H803" s="74"/>
      <c r="I803" s="75" t="s">
        <v>2125</v>
      </c>
      <c r="J803" s="75" t="s">
        <v>1146</v>
      </c>
      <c r="K803" s="74" t="s">
        <v>1150</v>
      </c>
      <c r="L803" s="76" t="s">
        <v>20</v>
      </c>
      <c r="M803" s="57"/>
      <c r="N803" s="77">
        <v>892300</v>
      </c>
      <c r="O803" s="57">
        <f t="shared" si="35"/>
        <v>0</v>
      </c>
      <c r="P803" s="77">
        <v>323861</v>
      </c>
      <c r="Q803" s="73">
        <f t="shared" si="36"/>
        <v>0</v>
      </c>
      <c r="R803" s="57"/>
      <c r="S803" s="57"/>
      <c r="T803" s="57"/>
      <c r="U803" s="57"/>
      <c r="V803" s="73">
        <f t="shared" si="37"/>
        <v>0</v>
      </c>
      <c r="W803" s="106"/>
      <c r="X803" s="64"/>
    </row>
    <row r="804" spans="1:24" s="66" customFormat="1" ht="12" hidden="1" customHeight="1">
      <c r="A804" s="74" t="s">
        <v>476</v>
      </c>
      <c r="B804" s="74"/>
      <c r="C804" s="74"/>
      <c r="D804" s="74"/>
      <c r="E804" s="74"/>
      <c r="F804" s="74"/>
      <c r="G804" s="74"/>
      <c r="H804" s="74"/>
      <c r="I804" s="75" t="s">
        <v>2126</v>
      </c>
      <c r="J804" s="75" t="s">
        <v>1146</v>
      </c>
      <c r="K804" s="74" t="s">
        <v>1149</v>
      </c>
      <c r="L804" s="76" t="s">
        <v>20</v>
      </c>
      <c r="M804" s="57"/>
      <c r="N804" s="77">
        <v>1216840</v>
      </c>
      <c r="O804" s="57">
        <f t="shared" si="35"/>
        <v>0</v>
      </c>
      <c r="P804" s="77">
        <v>440451</v>
      </c>
      <c r="Q804" s="73">
        <f t="shared" si="36"/>
        <v>0</v>
      </c>
      <c r="R804" s="57"/>
      <c r="S804" s="57"/>
      <c r="T804" s="57"/>
      <c r="U804" s="57"/>
      <c r="V804" s="73">
        <f t="shared" si="37"/>
        <v>0</v>
      </c>
      <c r="W804" s="106"/>
      <c r="X804" s="64"/>
    </row>
    <row r="805" spans="1:24" s="66" customFormat="1" ht="12" hidden="1" customHeight="1">
      <c r="A805" s="74" t="s">
        <v>477</v>
      </c>
      <c r="B805" s="74"/>
      <c r="C805" s="74"/>
      <c r="D805" s="74"/>
      <c r="E805" s="74"/>
      <c r="F805" s="74"/>
      <c r="G805" s="74"/>
      <c r="H805" s="74"/>
      <c r="I805" s="75" t="s">
        <v>2127</v>
      </c>
      <c r="J805" s="75" t="s">
        <v>1146</v>
      </c>
      <c r="K805" s="74" t="s">
        <v>1148</v>
      </c>
      <c r="L805" s="76" t="s">
        <v>20</v>
      </c>
      <c r="M805" s="57"/>
      <c r="N805" s="77">
        <v>1340990</v>
      </c>
      <c r="O805" s="57">
        <f t="shared" si="35"/>
        <v>0</v>
      </c>
      <c r="P805" s="77">
        <v>569995</v>
      </c>
      <c r="Q805" s="73">
        <f t="shared" si="36"/>
        <v>0</v>
      </c>
      <c r="R805" s="57"/>
      <c r="S805" s="57"/>
      <c r="T805" s="57"/>
      <c r="U805" s="57"/>
      <c r="V805" s="73">
        <f t="shared" si="37"/>
        <v>0</v>
      </c>
      <c r="W805" s="106"/>
      <c r="X805" s="64"/>
    </row>
    <row r="806" spans="1:24" s="66" customFormat="1" ht="12" hidden="1" customHeight="1">
      <c r="A806" s="74" t="s">
        <v>478</v>
      </c>
      <c r="B806" s="74"/>
      <c r="C806" s="74"/>
      <c r="D806" s="74"/>
      <c r="E806" s="74"/>
      <c r="F806" s="74"/>
      <c r="G806" s="74"/>
      <c r="H806" s="74"/>
      <c r="I806" s="75" t="s">
        <v>2127</v>
      </c>
      <c r="J806" s="75" t="s">
        <v>1146</v>
      </c>
      <c r="K806" s="74" t="s">
        <v>1147</v>
      </c>
      <c r="L806" s="76" t="s">
        <v>20</v>
      </c>
      <c r="M806" s="57"/>
      <c r="N806" s="77">
        <v>1453780</v>
      </c>
      <c r="O806" s="57">
        <f t="shared" si="35"/>
        <v>0</v>
      </c>
      <c r="P806" s="77">
        <v>569995</v>
      </c>
      <c r="Q806" s="73">
        <f t="shared" si="36"/>
        <v>0</v>
      </c>
      <c r="R806" s="57"/>
      <c r="S806" s="57"/>
      <c r="T806" s="57"/>
      <c r="U806" s="57"/>
      <c r="V806" s="73">
        <f t="shared" si="37"/>
        <v>0</v>
      </c>
      <c r="W806" s="106"/>
      <c r="X806" s="64"/>
    </row>
    <row r="807" spans="1:24" s="66" customFormat="1" ht="12" hidden="1" customHeight="1">
      <c r="A807" s="74" t="s">
        <v>486</v>
      </c>
      <c r="B807" s="74"/>
      <c r="C807" s="74"/>
      <c r="D807" s="74"/>
      <c r="E807" s="74"/>
      <c r="F807" s="74"/>
      <c r="G807" s="74"/>
      <c r="H807" s="74"/>
      <c r="I807" s="75" t="s">
        <v>3216</v>
      </c>
      <c r="J807" s="75" t="s">
        <v>1174</v>
      </c>
      <c r="K807" s="74" t="s">
        <v>1176</v>
      </c>
      <c r="L807" s="76" t="s">
        <v>20</v>
      </c>
      <c r="M807" s="57"/>
      <c r="N807" s="77">
        <v>18700</v>
      </c>
      <c r="O807" s="57">
        <f t="shared" si="35"/>
        <v>0</v>
      </c>
      <c r="P807" s="77">
        <v>212452</v>
      </c>
      <c r="Q807" s="73">
        <f t="shared" ref="Q807:Q810" si="38">IF(W807="",M807*P807*$Q$3*$W$3,M807*P807*$Q$3*W807)</f>
        <v>0</v>
      </c>
      <c r="R807" s="57"/>
      <c r="S807" s="57"/>
      <c r="T807" s="57"/>
      <c r="U807" s="57"/>
      <c r="V807" s="73">
        <f t="shared" ref="V807:V813" si="39">SUM(O807+Q807)+S807+U807</f>
        <v>0</v>
      </c>
      <c r="W807" s="106"/>
      <c r="X807" s="64"/>
    </row>
    <row r="808" spans="1:24" s="66" customFormat="1" ht="12" hidden="1" customHeight="1">
      <c r="A808" s="74" t="s">
        <v>487</v>
      </c>
      <c r="B808" s="74"/>
      <c r="C808" s="74"/>
      <c r="D808" s="74"/>
      <c r="E808" s="74"/>
      <c r="F808" s="74"/>
      <c r="G808" s="74"/>
      <c r="H808" s="74"/>
      <c r="I808" s="75" t="s">
        <v>2132</v>
      </c>
      <c r="J808" s="75" t="s">
        <v>1174</v>
      </c>
      <c r="K808" s="74" t="s">
        <v>1175</v>
      </c>
      <c r="L808" s="76" t="s">
        <v>20</v>
      </c>
      <c r="M808" s="57"/>
      <c r="N808" s="77">
        <v>33880</v>
      </c>
      <c r="O808" s="57">
        <f t="shared" si="35"/>
        <v>0</v>
      </c>
      <c r="P808" s="77">
        <v>212452</v>
      </c>
      <c r="Q808" s="73">
        <f t="shared" si="38"/>
        <v>0</v>
      </c>
      <c r="R808" s="57"/>
      <c r="S808" s="57"/>
      <c r="T808" s="57"/>
      <c r="U808" s="57"/>
      <c r="V808" s="73">
        <f t="shared" si="39"/>
        <v>0</v>
      </c>
      <c r="W808" s="106"/>
      <c r="X808" s="64"/>
    </row>
    <row r="809" spans="1:24" s="66" customFormat="1" ht="12" hidden="1" customHeight="1">
      <c r="A809" s="74" t="s">
        <v>488</v>
      </c>
      <c r="B809" s="74"/>
      <c r="C809" s="74"/>
      <c r="D809" s="74"/>
      <c r="E809" s="74"/>
      <c r="F809" s="74"/>
      <c r="G809" s="74"/>
      <c r="H809" s="74"/>
      <c r="I809" s="75" t="s">
        <v>2132</v>
      </c>
      <c r="J809" s="75" t="s">
        <v>1158</v>
      </c>
      <c r="K809" s="74" t="s">
        <v>1167</v>
      </c>
      <c r="L809" s="76" t="s">
        <v>20</v>
      </c>
      <c r="M809" s="57"/>
      <c r="N809" s="77">
        <v>21780</v>
      </c>
      <c r="O809" s="57">
        <f t="shared" si="35"/>
        <v>0</v>
      </c>
      <c r="P809" s="77">
        <v>212452</v>
      </c>
      <c r="Q809" s="73">
        <f t="shared" si="38"/>
        <v>0</v>
      </c>
      <c r="R809" s="57"/>
      <c r="S809" s="57"/>
      <c r="T809" s="57"/>
      <c r="U809" s="57"/>
      <c r="V809" s="73">
        <f t="shared" si="39"/>
        <v>0</v>
      </c>
      <c r="W809" s="106"/>
      <c r="X809" s="64"/>
    </row>
    <row r="810" spans="1:24" s="66" customFormat="1" ht="12" hidden="1" customHeight="1">
      <c r="A810" s="74" t="s">
        <v>489</v>
      </c>
      <c r="B810" s="74"/>
      <c r="C810" s="74"/>
      <c r="D810" s="74"/>
      <c r="E810" s="74"/>
      <c r="F810" s="74"/>
      <c r="G810" s="74"/>
      <c r="H810" s="74"/>
      <c r="I810" s="75" t="s">
        <v>2132</v>
      </c>
      <c r="J810" s="75" t="s">
        <v>1158</v>
      </c>
      <c r="K810" s="74" t="s">
        <v>1165</v>
      </c>
      <c r="L810" s="76" t="s">
        <v>20</v>
      </c>
      <c r="M810" s="57"/>
      <c r="N810" s="77">
        <v>42700</v>
      </c>
      <c r="O810" s="57">
        <f t="shared" si="35"/>
        <v>0</v>
      </c>
      <c r="P810" s="77">
        <v>212452</v>
      </c>
      <c r="Q810" s="73">
        <f t="shared" si="38"/>
        <v>0</v>
      </c>
      <c r="R810" s="57"/>
      <c r="S810" s="57"/>
      <c r="T810" s="57"/>
      <c r="U810" s="57"/>
      <c r="V810" s="73">
        <f t="shared" si="39"/>
        <v>0</v>
      </c>
      <c r="W810" s="106"/>
      <c r="X810" s="64"/>
    </row>
    <row r="811" spans="1:24" s="66" customFormat="1" ht="12" hidden="1" customHeight="1">
      <c r="A811" s="74" t="s">
        <v>678</v>
      </c>
      <c r="B811" s="74"/>
      <c r="C811" s="74"/>
      <c r="D811" s="74"/>
      <c r="E811" s="74"/>
      <c r="F811" s="74"/>
      <c r="G811" s="74"/>
      <c r="H811" s="74"/>
      <c r="I811" s="75" t="s">
        <v>2175</v>
      </c>
      <c r="J811" s="75" t="s">
        <v>1231</v>
      </c>
      <c r="K811" s="74" t="s">
        <v>1239</v>
      </c>
      <c r="L811" s="76" t="s">
        <v>974</v>
      </c>
      <c r="M811" s="57"/>
      <c r="N811" s="77">
        <v>1125720</v>
      </c>
      <c r="O811" s="57">
        <f t="shared" si="35"/>
        <v>0</v>
      </c>
      <c r="P811" s="77">
        <v>159234</v>
      </c>
      <c r="Q811" s="73">
        <f t="shared" ref="Q811:Q842" si="40">IF(W811="",M811*P811*$Q$3*$W$3,M811*P811*$Q$3*W811)</f>
        <v>0</v>
      </c>
      <c r="R811" s="57"/>
      <c r="S811" s="57"/>
      <c r="T811" s="57"/>
      <c r="U811" s="57"/>
      <c r="V811" s="73">
        <f t="shared" si="39"/>
        <v>0</v>
      </c>
      <c r="W811" s="106"/>
      <c r="X811" s="64"/>
    </row>
    <row r="812" spans="1:24" s="66" customFormat="1" ht="12" hidden="1" customHeight="1">
      <c r="A812" s="74" t="s">
        <v>679</v>
      </c>
      <c r="B812" s="74"/>
      <c r="C812" s="74"/>
      <c r="D812" s="74"/>
      <c r="E812" s="74"/>
      <c r="F812" s="74"/>
      <c r="G812" s="74"/>
      <c r="H812" s="74"/>
      <c r="I812" s="75" t="s">
        <v>2175</v>
      </c>
      <c r="J812" s="75" t="s">
        <v>1231</v>
      </c>
      <c r="K812" s="74" t="s">
        <v>1238</v>
      </c>
      <c r="L812" s="76" t="s">
        <v>974</v>
      </c>
      <c r="M812" s="57"/>
      <c r="N812" s="77">
        <v>1359360</v>
      </c>
      <c r="O812" s="57">
        <f t="shared" si="35"/>
        <v>0</v>
      </c>
      <c r="P812" s="77">
        <v>159234</v>
      </c>
      <c r="Q812" s="73">
        <f t="shared" si="40"/>
        <v>0</v>
      </c>
      <c r="R812" s="57"/>
      <c r="S812" s="57"/>
      <c r="T812" s="57"/>
      <c r="U812" s="57"/>
      <c r="V812" s="73">
        <f t="shared" si="39"/>
        <v>0</v>
      </c>
      <c r="W812" s="106"/>
      <c r="X812" s="64"/>
    </row>
    <row r="813" spans="1:24" s="66" customFormat="1" ht="12" hidden="1" customHeight="1">
      <c r="A813" s="74" t="s">
        <v>680</v>
      </c>
      <c r="B813" s="74"/>
      <c r="C813" s="74"/>
      <c r="D813" s="74"/>
      <c r="E813" s="74"/>
      <c r="F813" s="74"/>
      <c r="G813" s="74"/>
      <c r="H813" s="74"/>
      <c r="I813" s="75" t="s">
        <v>2176</v>
      </c>
      <c r="J813" s="75" t="s">
        <v>1231</v>
      </c>
      <c r="K813" s="74" t="s">
        <v>1237</v>
      </c>
      <c r="L813" s="76" t="s">
        <v>974</v>
      </c>
      <c r="M813" s="57"/>
      <c r="N813" s="77">
        <v>2113380</v>
      </c>
      <c r="O813" s="57">
        <f t="shared" si="35"/>
        <v>0</v>
      </c>
      <c r="P813" s="77">
        <v>603160</v>
      </c>
      <c r="Q813" s="73">
        <f t="shared" si="40"/>
        <v>0</v>
      </c>
      <c r="R813" s="57"/>
      <c r="S813" s="57"/>
      <c r="T813" s="57"/>
      <c r="U813" s="57"/>
      <c r="V813" s="73">
        <f t="shared" si="39"/>
        <v>0</v>
      </c>
      <c r="W813" s="106"/>
      <c r="X813" s="64"/>
    </row>
    <row r="814" spans="1:24" s="66" customFormat="1" ht="12" hidden="1" customHeight="1">
      <c r="A814" s="74" t="s">
        <v>681</v>
      </c>
      <c r="B814" s="74"/>
      <c r="C814" s="74"/>
      <c r="D814" s="74"/>
      <c r="E814" s="74"/>
      <c r="F814" s="74"/>
      <c r="G814" s="74"/>
      <c r="H814" s="74"/>
      <c r="I814" s="75" t="s">
        <v>2176</v>
      </c>
      <c r="J814" s="75" t="s">
        <v>1231</v>
      </c>
      <c r="K814" s="74" t="s">
        <v>1236</v>
      </c>
      <c r="L814" s="76" t="s">
        <v>974</v>
      </c>
      <c r="M814" s="57"/>
      <c r="N814" s="77">
        <v>2547740</v>
      </c>
      <c r="O814" s="57">
        <f t="shared" si="35"/>
        <v>0</v>
      </c>
      <c r="P814" s="77">
        <v>603160</v>
      </c>
      <c r="Q814" s="73">
        <f t="shared" si="40"/>
        <v>0</v>
      </c>
      <c r="R814" s="57"/>
      <c r="S814" s="57"/>
      <c r="T814" s="57"/>
      <c r="U814" s="57"/>
      <c r="V814" s="73">
        <f t="shared" ref="V814:V845" si="41">SUM(O814+Q814)+S814+U814</f>
        <v>0</v>
      </c>
      <c r="W814" s="106"/>
      <c r="X814" s="64"/>
    </row>
    <row r="815" spans="1:24" s="66" customFormat="1" ht="12" hidden="1" customHeight="1">
      <c r="A815" s="74" t="s">
        <v>682</v>
      </c>
      <c r="B815" s="74"/>
      <c r="C815" s="74"/>
      <c r="D815" s="74"/>
      <c r="E815" s="74"/>
      <c r="F815" s="74"/>
      <c r="G815" s="74"/>
      <c r="H815" s="74"/>
      <c r="I815" s="75" t="s">
        <v>2176</v>
      </c>
      <c r="J815" s="75" t="s">
        <v>1231</v>
      </c>
      <c r="K815" s="74" t="s">
        <v>1235</v>
      </c>
      <c r="L815" s="76" t="s">
        <v>974</v>
      </c>
      <c r="M815" s="57"/>
      <c r="N815" s="77">
        <v>3135030</v>
      </c>
      <c r="O815" s="57">
        <f t="shared" si="35"/>
        <v>0</v>
      </c>
      <c r="P815" s="77">
        <v>603160</v>
      </c>
      <c r="Q815" s="73">
        <f t="shared" si="40"/>
        <v>0</v>
      </c>
      <c r="R815" s="57"/>
      <c r="S815" s="57"/>
      <c r="T815" s="57"/>
      <c r="U815" s="57"/>
      <c r="V815" s="73">
        <f t="shared" si="41"/>
        <v>0</v>
      </c>
      <c r="W815" s="106"/>
      <c r="X815" s="64"/>
    </row>
    <row r="816" spans="1:24" s="66" customFormat="1" ht="12" hidden="1" customHeight="1">
      <c r="A816" s="74" t="s">
        <v>683</v>
      </c>
      <c r="B816" s="74"/>
      <c r="C816" s="74"/>
      <c r="D816" s="74"/>
      <c r="E816" s="74"/>
      <c r="F816" s="74"/>
      <c r="G816" s="74"/>
      <c r="H816" s="74"/>
      <c r="I816" s="75" t="s">
        <v>2176</v>
      </c>
      <c r="J816" s="75" t="s">
        <v>1231</v>
      </c>
      <c r="K816" s="74" t="s">
        <v>1234</v>
      </c>
      <c r="L816" s="76" t="s">
        <v>974</v>
      </c>
      <c r="M816" s="57"/>
      <c r="N816" s="77">
        <v>3502480</v>
      </c>
      <c r="O816" s="57">
        <f t="shared" si="35"/>
        <v>0</v>
      </c>
      <c r="P816" s="77">
        <v>603160</v>
      </c>
      <c r="Q816" s="73">
        <f t="shared" si="40"/>
        <v>0</v>
      </c>
      <c r="R816" s="57"/>
      <c r="S816" s="57"/>
      <c r="T816" s="57"/>
      <c r="U816" s="57"/>
      <c r="V816" s="73">
        <f t="shared" si="41"/>
        <v>0</v>
      </c>
      <c r="W816" s="106"/>
      <c r="X816" s="64"/>
    </row>
    <row r="817" spans="1:24" s="66" customFormat="1" ht="12" hidden="1" customHeight="1">
      <c r="A817" s="74" t="s">
        <v>684</v>
      </c>
      <c r="B817" s="74"/>
      <c r="C817" s="74"/>
      <c r="D817" s="74"/>
      <c r="E817" s="74"/>
      <c r="F817" s="74"/>
      <c r="G817" s="74"/>
      <c r="H817" s="74"/>
      <c r="I817" s="75" t="s">
        <v>2174</v>
      </c>
      <c r="J817" s="75" t="s">
        <v>1231</v>
      </c>
      <c r="K817" s="74" t="s">
        <v>1233</v>
      </c>
      <c r="L817" s="76" t="s">
        <v>974</v>
      </c>
      <c r="M817" s="57"/>
      <c r="N817" s="77">
        <v>758270</v>
      </c>
      <c r="O817" s="57">
        <f t="shared" si="35"/>
        <v>0</v>
      </c>
      <c r="P817" s="77">
        <v>106156</v>
      </c>
      <c r="Q817" s="73">
        <f t="shared" si="40"/>
        <v>0</v>
      </c>
      <c r="R817" s="57"/>
      <c r="S817" s="57"/>
      <c r="T817" s="57"/>
      <c r="U817" s="57"/>
      <c r="V817" s="73">
        <f t="shared" si="41"/>
        <v>0</v>
      </c>
      <c r="W817" s="106"/>
      <c r="X817" s="64"/>
    </row>
    <row r="818" spans="1:24" s="66" customFormat="1" ht="12" hidden="1" customHeight="1">
      <c r="A818" s="74" t="s">
        <v>685</v>
      </c>
      <c r="B818" s="74"/>
      <c r="C818" s="74"/>
      <c r="D818" s="74"/>
      <c r="E818" s="74"/>
      <c r="F818" s="74"/>
      <c r="G818" s="74"/>
      <c r="H818" s="74"/>
      <c r="I818" s="75" t="s">
        <v>2175</v>
      </c>
      <c r="J818" s="75" t="s">
        <v>1231</v>
      </c>
      <c r="K818" s="74" t="s">
        <v>1232</v>
      </c>
      <c r="L818" s="76" t="s">
        <v>974</v>
      </c>
      <c r="M818" s="57"/>
      <c r="N818" s="77">
        <v>921820</v>
      </c>
      <c r="O818" s="57">
        <f t="shared" si="35"/>
        <v>0</v>
      </c>
      <c r="P818" s="77">
        <v>159234</v>
      </c>
      <c r="Q818" s="73">
        <f t="shared" si="40"/>
        <v>0</v>
      </c>
      <c r="R818" s="57"/>
      <c r="S818" s="57"/>
      <c r="T818" s="57"/>
      <c r="U818" s="57"/>
      <c r="V818" s="73">
        <f t="shared" si="41"/>
        <v>0</v>
      </c>
      <c r="W818" s="106"/>
      <c r="X818" s="64"/>
    </row>
    <row r="819" spans="1:24" s="66" customFormat="1" ht="12" hidden="1" customHeight="1">
      <c r="A819" s="74" t="s">
        <v>480</v>
      </c>
      <c r="B819" s="74"/>
      <c r="C819" s="74"/>
      <c r="D819" s="74"/>
      <c r="E819" s="74"/>
      <c r="F819" s="74"/>
      <c r="G819" s="74"/>
      <c r="H819" s="74"/>
      <c r="I819" s="75" t="s">
        <v>2129</v>
      </c>
      <c r="J819" s="75" t="s">
        <v>1273</v>
      </c>
      <c r="K819" s="74" t="s">
        <v>1279</v>
      </c>
      <c r="L819" s="76" t="s">
        <v>974</v>
      </c>
      <c r="M819" s="57"/>
      <c r="N819" s="77">
        <v>2336400</v>
      </c>
      <c r="O819" s="57">
        <f t="shared" si="35"/>
        <v>0</v>
      </c>
      <c r="P819" s="77">
        <v>238801</v>
      </c>
      <c r="Q819" s="73">
        <f t="shared" si="40"/>
        <v>0</v>
      </c>
      <c r="R819" s="57"/>
      <c r="S819" s="57"/>
      <c r="T819" s="57"/>
      <c r="U819" s="57"/>
      <c r="V819" s="73">
        <f t="shared" si="41"/>
        <v>0</v>
      </c>
      <c r="W819" s="106"/>
      <c r="X819" s="64"/>
    </row>
    <row r="820" spans="1:24" s="66" customFormat="1" ht="12" hidden="1" customHeight="1">
      <c r="A820" s="74" t="s">
        <v>481</v>
      </c>
      <c r="B820" s="74"/>
      <c r="C820" s="74"/>
      <c r="D820" s="74"/>
      <c r="E820" s="74"/>
      <c r="F820" s="74"/>
      <c r="G820" s="74"/>
      <c r="H820" s="74"/>
      <c r="I820" s="75" t="s">
        <v>2129</v>
      </c>
      <c r="J820" s="75" t="s">
        <v>1273</v>
      </c>
      <c r="K820" s="74" t="s">
        <v>1278</v>
      </c>
      <c r="L820" s="76" t="s">
        <v>974</v>
      </c>
      <c r="M820" s="57"/>
      <c r="N820" s="77">
        <v>2655000</v>
      </c>
      <c r="O820" s="57">
        <f t="shared" si="35"/>
        <v>0</v>
      </c>
      <c r="P820" s="77">
        <v>238801</v>
      </c>
      <c r="Q820" s="73">
        <f t="shared" si="40"/>
        <v>0</v>
      </c>
      <c r="R820" s="57"/>
      <c r="S820" s="57"/>
      <c r="T820" s="57"/>
      <c r="U820" s="57"/>
      <c r="V820" s="73">
        <f t="shared" si="41"/>
        <v>0</v>
      </c>
      <c r="W820" s="106"/>
      <c r="X820" s="64"/>
    </row>
    <row r="821" spans="1:24" s="66" customFormat="1" ht="12" hidden="1" customHeight="1">
      <c r="A821" s="74" t="s">
        <v>482</v>
      </c>
      <c r="B821" s="74"/>
      <c r="C821" s="74"/>
      <c r="D821" s="74"/>
      <c r="E821" s="74"/>
      <c r="F821" s="74"/>
      <c r="G821" s="74"/>
      <c r="H821" s="74"/>
      <c r="I821" s="75" t="s">
        <v>2129</v>
      </c>
      <c r="J821" s="75" t="s">
        <v>1273</v>
      </c>
      <c r="K821" s="74" t="s">
        <v>1277</v>
      </c>
      <c r="L821" s="76" t="s">
        <v>974</v>
      </c>
      <c r="M821" s="57"/>
      <c r="N821" s="77">
        <v>3292200</v>
      </c>
      <c r="O821" s="57">
        <f t="shared" si="35"/>
        <v>0</v>
      </c>
      <c r="P821" s="77">
        <v>238801</v>
      </c>
      <c r="Q821" s="73">
        <f t="shared" si="40"/>
        <v>0</v>
      </c>
      <c r="R821" s="57"/>
      <c r="S821" s="57"/>
      <c r="T821" s="57"/>
      <c r="U821" s="57"/>
      <c r="V821" s="73">
        <f t="shared" si="41"/>
        <v>0</v>
      </c>
      <c r="W821" s="106"/>
      <c r="X821" s="64"/>
    </row>
    <row r="822" spans="1:24" s="66" customFormat="1" ht="12" hidden="1" customHeight="1">
      <c r="A822" s="74" t="s">
        <v>483</v>
      </c>
      <c r="B822" s="74"/>
      <c r="C822" s="74"/>
      <c r="D822" s="74"/>
      <c r="E822" s="74"/>
      <c r="F822" s="74"/>
      <c r="G822" s="74"/>
      <c r="H822" s="74"/>
      <c r="I822" s="75" t="s">
        <v>2129</v>
      </c>
      <c r="J822" s="75" t="s">
        <v>1273</v>
      </c>
      <c r="K822" s="74" t="s">
        <v>1276</v>
      </c>
      <c r="L822" s="76" t="s">
        <v>974</v>
      </c>
      <c r="M822" s="57"/>
      <c r="N822" s="77">
        <v>4141800</v>
      </c>
      <c r="O822" s="57">
        <f t="shared" si="35"/>
        <v>0</v>
      </c>
      <c r="P822" s="77">
        <v>238801</v>
      </c>
      <c r="Q822" s="73">
        <f t="shared" si="40"/>
        <v>0</v>
      </c>
      <c r="R822" s="57"/>
      <c r="S822" s="57"/>
      <c r="T822" s="57"/>
      <c r="U822" s="57"/>
      <c r="V822" s="73">
        <f t="shared" si="41"/>
        <v>0</v>
      </c>
      <c r="W822" s="106"/>
      <c r="X822" s="64"/>
    </row>
    <row r="823" spans="1:24" s="66" customFormat="1" ht="12" hidden="1" customHeight="1">
      <c r="A823" s="74" t="s">
        <v>484</v>
      </c>
      <c r="B823" s="74"/>
      <c r="C823" s="74"/>
      <c r="D823" s="74"/>
      <c r="E823" s="74"/>
      <c r="F823" s="74"/>
      <c r="G823" s="74"/>
      <c r="H823" s="74"/>
      <c r="I823" s="75" t="s">
        <v>2129</v>
      </c>
      <c r="J823" s="75" t="s">
        <v>1273</v>
      </c>
      <c r="K823" s="74" t="s">
        <v>1275</v>
      </c>
      <c r="L823" s="76" t="s">
        <v>974</v>
      </c>
      <c r="M823" s="57"/>
      <c r="N823" s="77">
        <v>5522400</v>
      </c>
      <c r="O823" s="57">
        <f t="shared" si="35"/>
        <v>0</v>
      </c>
      <c r="P823" s="77">
        <v>238801</v>
      </c>
      <c r="Q823" s="73">
        <f t="shared" si="40"/>
        <v>0</v>
      </c>
      <c r="R823" s="57"/>
      <c r="S823" s="57"/>
      <c r="T823" s="57"/>
      <c r="U823" s="57"/>
      <c r="V823" s="73">
        <f t="shared" si="41"/>
        <v>0</v>
      </c>
      <c r="W823" s="106"/>
      <c r="X823" s="64"/>
    </row>
    <row r="824" spans="1:24" s="66" customFormat="1" ht="12" hidden="1" customHeight="1">
      <c r="A824" s="74" t="s">
        <v>485</v>
      </c>
      <c r="B824" s="74"/>
      <c r="C824" s="74"/>
      <c r="D824" s="74"/>
      <c r="E824" s="74"/>
      <c r="F824" s="74"/>
      <c r="G824" s="74"/>
      <c r="H824" s="74"/>
      <c r="I824" s="75" t="s">
        <v>2129</v>
      </c>
      <c r="J824" s="75" t="s">
        <v>1273</v>
      </c>
      <c r="K824" s="74" t="s">
        <v>1274</v>
      </c>
      <c r="L824" s="76" t="s">
        <v>974</v>
      </c>
      <c r="M824" s="57"/>
      <c r="N824" s="77">
        <v>7646400</v>
      </c>
      <c r="O824" s="57">
        <f t="shared" si="35"/>
        <v>0</v>
      </c>
      <c r="P824" s="77">
        <v>238801</v>
      </c>
      <c r="Q824" s="73">
        <f t="shared" si="40"/>
        <v>0</v>
      </c>
      <c r="R824" s="57"/>
      <c r="S824" s="57"/>
      <c r="T824" s="57"/>
      <c r="U824" s="57"/>
      <c r="V824" s="73">
        <f t="shared" si="41"/>
        <v>0</v>
      </c>
      <c r="W824" s="106"/>
      <c r="X824" s="64"/>
    </row>
    <row r="825" spans="1:24" s="66" customFormat="1" ht="12" hidden="1" customHeight="1">
      <c r="A825" s="74" t="s">
        <v>1748</v>
      </c>
      <c r="B825" s="74"/>
      <c r="C825" s="74"/>
      <c r="D825" s="74"/>
      <c r="E825" s="74"/>
      <c r="F825" s="74"/>
      <c r="G825" s="74"/>
      <c r="H825" s="74"/>
      <c r="I825" s="75" t="s">
        <v>2129</v>
      </c>
      <c r="J825" s="75" t="s">
        <v>1280</v>
      </c>
      <c r="K825" s="74" t="s">
        <v>1286</v>
      </c>
      <c r="L825" s="76" t="s">
        <v>974</v>
      </c>
      <c r="M825" s="57"/>
      <c r="N825" s="77">
        <v>15700000</v>
      </c>
      <c r="O825" s="57">
        <f t="shared" si="35"/>
        <v>0</v>
      </c>
      <c r="P825" s="77">
        <v>238801</v>
      </c>
      <c r="Q825" s="73">
        <f t="shared" si="40"/>
        <v>0</v>
      </c>
      <c r="R825" s="57"/>
      <c r="S825" s="57"/>
      <c r="T825" s="57"/>
      <c r="U825" s="57"/>
      <c r="V825" s="73">
        <f t="shared" si="41"/>
        <v>0</v>
      </c>
      <c r="W825" s="106"/>
      <c r="X825" s="64"/>
    </row>
    <row r="826" spans="1:24" s="66" customFormat="1" ht="12" hidden="1" customHeight="1">
      <c r="A826" s="74" t="s">
        <v>1749</v>
      </c>
      <c r="B826" s="74"/>
      <c r="C826" s="74"/>
      <c r="D826" s="74"/>
      <c r="E826" s="74"/>
      <c r="F826" s="74"/>
      <c r="G826" s="74"/>
      <c r="H826" s="74"/>
      <c r="I826" s="75" t="s">
        <v>2129</v>
      </c>
      <c r="J826" s="75" t="s">
        <v>1280</v>
      </c>
      <c r="K826" s="74" t="s">
        <v>1285</v>
      </c>
      <c r="L826" s="76" t="s">
        <v>974</v>
      </c>
      <c r="M826" s="57"/>
      <c r="N826" s="77">
        <v>24500000</v>
      </c>
      <c r="O826" s="57">
        <f t="shared" si="35"/>
        <v>0</v>
      </c>
      <c r="P826" s="77">
        <v>238801</v>
      </c>
      <c r="Q826" s="73">
        <f t="shared" si="40"/>
        <v>0</v>
      </c>
      <c r="R826" s="57"/>
      <c r="S826" s="57"/>
      <c r="T826" s="57"/>
      <c r="U826" s="57"/>
      <c r="V826" s="73">
        <f t="shared" si="41"/>
        <v>0</v>
      </c>
      <c r="W826" s="106"/>
      <c r="X826" s="64"/>
    </row>
    <row r="827" spans="1:24" s="66" customFormat="1" ht="12" hidden="1" customHeight="1">
      <c r="A827" s="74" t="s">
        <v>1750</v>
      </c>
      <c r="B827" s="74"/>
      <c r="C827" s="74"/>
      <c r="D827" s="74"/>
      <c r="E827" s="74"/>
      <c r="F827" s="74"/>
      <c r="G827" s="74"/>
      <c r="H827" s="74"/>
      <c r="I827" s="75" t="s">
        <v>2129</v>
      </c>
      <c r="J827" s="75" t="s">
        <v>1280</v>
      </c>
      <c r="K827" s="74" t="s">
        <v>1284</v>
      </c>
      <c r="L827" s="76" t="s">
        <v>974</v>
      </c>
      <c r="M827" s="57"/>
      <c r="N827" s="77">
        <v>29000000</v>
      </c>
      <c r="O827" s="57">
        <f t="shared" ref="O827:O890" si="42">M827*N827*$O$3</f>
        <v>0</v>
      </c>
      <c r="P827" s="77">
        <v>238801</v>
      </c>
      <c r="Q827" s="73">
        <f t="shared" si="40"/>
        <v>0</v>
      </c>
      <c r="R827" s="57"/>
      <c r="S827" s="57"/>
      <c r="T827" s="57"/>
      <c r="U827" s="57"/>
      <c r="V827" s="73">
        <f t="shared" si="41"/>
        <v>0</v>
      </c>
      <c r="W827" s="106"/>
      <c r="X827" s="64"/>
    </row>
    <row r="828" spans="1:24" s="66" customFormat="1" ht="12" hidden="1" customHeight="1">
      <c r="A828" s="74" t="s">
        <v>1751</v>
      </c>
      <c r="B828" s="74"/>
      <c r="C828" s="74"/>
      <c r="D828" s="74"/>
      <c r="E828" s="74"/>
      <c r="F828" s="74"/>
      <c r="G828" s="74"/>
      <c r="H828" s="74"/>
      <c r="I828" s="75" t="s">
        <v>2129</v>
      </c>
      <c r="J828" s="75" t="s">
        <v>1280</v>
      </c>
      <c r="K828" s="74" t="s">
        <v>1283</v>
      </c>
      <c r="L828" s="76" t="s">
        <v>974</v>
      </c>
      <c r="M828" s="57"/>
      <c r="N828" s="77">
        <v>43000000</v>
      </c>
      <c r="O828" s="57">
        <f t="shared" si="42"/>
        <v>0</v>
      </c>
      <c r="P828" s="77">
        <v>238801</v>
      </c>
      <c r="Q828" s="73">
        <f t="shared" si="40"/>
        <v>0</v>
      </c>
      <c r="R828" s="57"/>
      <c r="S828" s="57"/>
      <c r="T828" s="57"/>
      <c r="U828" s="57"/>
      <c r="V828" s="73">
        <f t="shared" si="41"/>
        <v>0</v>
      </c>
      <c r="W828" s="106"/>
      <c r="X828" s="64"/>
    </row>
    <row r="829" spans="1:24" s="66" customFormat="1" ht="12" hidden="1" customHeight="1">
      <c r="A829" s="74" t="s">
        <v>1752</v>
      </c>
      <c r="B829" s="74"/>
      <c r="C829" s="74"/>
      <c r="D829" s="74"/>
      <c r="E829" s="74"/>
      <c r="F829" s="74"/>
      <c r="G829" s="74"/>
      <c r="H829" s="74"/>
      <c r="I829" s="75" t="s">
        <v>2129</v>
      </c>
      <c r="J829" s="75" t="s">
        <v>1280</v>
      </c>
      <c r="K829" s="74" t="s">
        <v>1282</v>
      </c>
      <c r="L829" s="76" t="s">
        <v>974</v>
      </c>
      <c r="M829" s="57"/>
      <c r="N829" s="77">
        <v>58000000</v>
      </c>
      <c r="O829" s="57">
        <f t="shared" si="42"/>
        <v>0</v>
      </c>
      <c r="P829" s="77">
        <v>238801</v>
      </c>
      <c r="Q829" s="73">
        <f t="shared" si="40"/>
        <v>0</v>
      </c>
      <c r="R829" s="57"/>
      <c r="S829" s="57"/>
      <c r="T829" s="57"/>
      <c r="U829" s="57"/>
      <c r="V829" s="73">
        <f t="shared" si="41"/>
        <v>0</v>
      </c>
      <c r="W829" s="106"/>
      <c r="X829" s="64"/>
    </row>
    <row r="830" spans="1:24" s="66" customFormat="1" ht="12" hidden="1" customHeight="1">
      <c r="A830" s="74" t="s">
        <v>1753</v>
      </c>
      <c r="B830" s="74"/>
      <c r="C830" s="74"/>
      <c r="D830" s="74"/>
      <c r="E830" s="74"/>
      <c r="F830" s="74"/>
      <c r="G830" s="74"/>
      <c r="H830" s="74"/>
      <c r="I830" s="75" t="s">
        <v>2129</v>
      </c>
      <c r="J830" s="75" t="s">
        <v>1280</v>
      </c>
      <c r="K830" s="74" t="s">
        <v>1281</v>
      </c>
      <c r="L830" s="76" t="s">
        <v>974</v>
      </c>
      <c r="M830" s="57"/>
      <c r="N830" s="77">
        <v>72000000</v>
      </c>
      <c r="O830" s="57">
        <f t="shared" si="42"/>
        <v>0</v>
      </c>
      <c r="P830" s="77">
        <v>238801</v>
      </c>
      <c r="Q830" s="73">
        <f t="shared" si="40"/>
        <v>0</v>
      </c>
      <c r="R830" s="57"/>
      <c r="S830" s="57"/>
      <c r="T830" s="57"/>
      <c r="U830" s="57"/>
      <c r="V830" s="73">
        <f t="shared" si="41"/>
        <v>0</v>
      </c>
      <c r="W830" s="106"/>
      <c r="X830" s="64"/>
    </row>
    <row r="831" spans="1:24" s="66" customFormat="1" ht="12" hidden="1" customHeight="1">
      <c r="A831" s="74" t="s">
        <v>1754</v>
      </c>
      <c r="B831" s="74"/>
      <c r="C831" s="74"/>
      <c r="D831" s="74"/>
      <c r="E831" s="74"/>
      <c r="F831" s="74"/>
      <c r="G831" s="74"/>
      <c r="H831" s="74"/>
      <c r="I831" s="75" t="s">
        <v>2130</v>
      </c>
      <c r="J831" s="75" t="s">
        <v>1645</v>
      </c>
      <c r="K831" s="74" t="s">
        <v>1646</v>
      </c>
      <c r="L831" s="76" t="s">
        <v>974</v>
      </c>
      <c r="M831" s="57"/>
      <c r="N831" s="77">
        <v>0</v>
      </c>
      <c r="O831" s="57">
        <f t="shared" si="42"/>
        <v>0</v>
      </c>
      <c r="P831" s="77">
        <v>263235</v>
      </c>
      <c r="Q831" s="73">
        <f t="shared" si="40"/>
        <v>0</v>
      </c>
      <c r="R831" s="57"/>
      <c r="S831" s="57"/>
      <c r="T831" s="57"/>
      <c r="U831" s="57"/>
      <c r="V831" s="73">
        <f t="shared" si="41"/>
        <v>0</v>
      </c>
      <c r="W831" s="106"/>
      <c r="X831" s="64"/>
    </row>
    <row r="832" spans="1:24" s="66" customFormat="1" ht="12" hidden="1" customHeight="1">
      <c r="A832" s="74" t="s">
        <v>1755</v>
      </c>
      <c r="B832" s="74"/>
      <c r="C832" s="74"/>
      <c r="D832" s="74"/>
      <c r="E832" s="74"/>
      <c r="F832" s="74"/>
      <c r="G832" s="74"/>
      <c r="H832" s="74"/>
      <c r="I832" s="75" t="s">
        <v>2131</v>
      </c>
      <c r="J832" s="75" t="s">
        <v>1647</v>
      </c>
      <c r="K832" s="74" t="s">
        <v>1648</v>
      </c>
      <c r="L832" s="76" t="s">
        <v>1135</v>
      </c>
      <c r="M832" s="57"/>
      <c r="N832" s="77">
        <v>0</v>
      </c>
      <c r="O832" s="57">
        <f t="shared" si="42"/>
        <v>0</v>
      </c>
      <c r="P832" s="77">
        <v>129957</v>
      </c>
      <c r="Q832" s="73">
        <f t="shared" si="40"/>
        <v>0</v>
      </c>
      <c r="R832" s="57"/>
      <c r="S832" s="57"/>
      <c r="T832" s="57"/>
      <c r="U832" s="57"/>
      <c r="V832" s="73">
        <f t="shared" si="41"/>
        <v>0</v>
      </c>
      <c r="W832" s="106"/>
      <c r="X832" s="64"/>
    </row>
    <row r="833" spans="1:24" s="66" customFormat="1" ht="12" hidden="1" customHeight="1">
      <c r="A833" s="74" t="s">
        <v>651</v>
      </c>
      <c r="B833" s="74"/>
      <c r="C833" s="74"/>
      <c r="D833" s="74"/>
      <c r="E833" s="74"/>
      <c r="F833" s="74"/>
      <c r="G833" s="74"/>
      <c r="H833" s="74"/>
      <c r="I833" s="75" t="s">
        <v>2155</v>
      </c>
      <c r="J833" s="75" t="s">
        <v>1122</v>
      </c>
      <c r="K833" s="74" t="s">
        <v>1133</v>
      </c>
      <c r="L833" s="76" t="s">
        <v>974</v>
      </c>
      <c r="M833" s="57"/>
      <c r="N833" s="77">
        <v>90270</v>
      </c>
      <c r="O833" s="57">
        <f t="shared" si="42"/>
        <v>0</v>
      </c>
      <c r="P833" s="77">
        <v>28499</v>
      </c>
      <c r="Q833" s="73">
        <f t="shared" si="40"/>
        <v>0</v>
      </c>
      <c r="R833" s="57"/>
      <c r="S833" s="57"/>
      <c r="T833" s="57"/>
      <c r="U833" s="57"/>
      <c r="V833" s="73">
        <f t="shared" si="41"/>
        <v>0</v>
      </c>
      <c r="W833" s="106"/>
      <c r="X833" s="64"/>
    </row>
    <row r="834" spans="1:24" s="66" customFormat="1" ht="12" hidden="1" customHeight="1">
      <c r="A834" s="74" t="s">
        <v>652</v>
      </c>
      <c r="B834" s="74"/>
      <c r="C834" s="74"/>
      <c r="D834" s="74"/>
      <c r="E834" s="74"/>
      <c r="F834" s="74"/>
      <c r="G834" s="74"/>
      <c r="H834" s="74"/>
      <c r="I834" s="75" t="s">
        <v>2155</v>
      </c>
      <c r="J834" s="75" t="s">
        <v>1122</v>
      </c>
      <c r="K834" s="74" t="s">
        <v>1132</v>
      </c>
      <c r="L834" s="76" t="s">
        <v>974</v>
      </c>
      <c r="M834" s="57"/>
      <c r="N834" s="77">
        <v>159300</v>
      </c>
      <c r="O834" s="57">
        <f t="shared" si="42"/>
        <v>0</v>
      </c>
      <c r="P834" s="77">
        <v>28499</v>
      </c>
      <c r="Q834" s="73">
        <f t="shared" si="40"/>
        <v>0</v>
      </c>
      <c r="R834" s="57"/>
      <c r="S834" s="57"/>
      <c r="T834" s="57"/>
      <c r="U834" s="57"/>
      <c r="V834" s="73">
        <f t="shared" si="41"/>
        <v>0</v>
      </c>
      <c r="W834" s="106"/>
      <c r="X834" s="64"/>
    </row>
    <row r="835" spans="1:24" s="66" customFormat="1" ht="12" hidden="1" customHeight="1">
      <c r="A835" s="74" t="s">
        <v>653</v>
      </c>
      <c r="B835" s="74"/>
      <c r="C835" s="74"/>
      <c r="D835" s="74"/>
      <c r="E835" s="74"/>
      <c r="F835" s="74"/>
      <c r="G835" s="74"/>
      <c r="H835" s="74"/>
      <c r="I835" s="75" t="s">
        <v>2155</v>
      </c>
      <c r="J835" s="75" t="s">
        <v>1122</v>
      </c>
      <c r="K835" s="74" t="s">
        <v>1131</v>
      </c>
      <c r="L835" s="76" t="s">
        <v>974</v>
      </c>
      <c r="M835" s="57"/>
      <c r="N835" s="77">
        <v>233640</v>
      </c>
      <c r="O835" s="57">
        <f t="shared" si="42"/>
        <v>0</v>
      </c>
      <c r="P835" s="77">
        <v>28499</v>
      </c>
      <c r="Q835" s="73">
        <f t="shared" si="40"/>
        <v>0</v>
      </c>
      <c r="R835" s="57"/>
      <c r="S835" s="57"/>
      <c r="T835" s="57"/>
      <c r="U835" s="57"/>
      <c r="V835" s="73">
        <f t="shared" si="41"/>
        <v>0</v>
      </c>
      <c r="W835" s="106"/>
      <c r="X835" s="64"/>
    </row>
    <row r="836" spans="1:24" s="66" customFormat="1" ht="12" hidden="1" customHeight="1">
      <c r="A836" s="74" t="s">
        <v>654</v>
      </c>
      <c r="B836" s="74"/>
      <c r="C836" s="74"/>
      <c r="D836" s="74"/>
      <c r="E836" s="74"/>
      <c r="F836" s="74"/>
      <c r="G836" s="74"/>
      <c r="H836" s="74"/>
      <c r="I836" s="75" t="s">
        <v>2155</v>
      </c>
      <c r="J836" s="75" t="s">
        <v>1122</v>
      </c>
      <c r="K836" s="74" t="s">
        <v>1130</v>
      </c>
      <c r="L836" s="76" t="s">
        <v>974</v>
      </c>
      <c r="M836" s="57"/>
      <c r="N836" s="77">
        <v>318600</v>
      </c>
      <c r="O836" s="57">
        <f t="shared" si="42"/>
        <v>0</v>
      </c>
      <c r="P836" s="77">
        <v>28499</v>
      </c>
      <c r="Q836" s="73">
        <f t="shared" si="40"/>
        <v>0</v>
      </c>
      <c r="R836" s="57"/>
      <c r="S836" s="57"/>
      <c r="T836" s="57"/>
      <c r="U836" s="57"/>
      <c r="V836" s="73">
        <f t="shared" si="41"/>
        <v>0</v>
      </c>
      <c r="W836" s="106"/>
      <c r="X836" s="64"/>
    </row>
    <row r="837" spans="1:24" s="66" customFormat="1" ht="12" hidden="1" customHeight="1">
      <c r="A837" s="74" t="s">
        <v>655</v>
      </c>
      <c r="B837" s="74"/>
      <c r="C837" s="74"/>
      <c r="D837" s="74"/>
      <c r="E837" s="74"/>
      <c r="F837" s="74"/>
      <c r="G837" s="74"/>
      <c r="H837" s="74"/>
      <c r="I837" s="75" t="s">
        <v>2155</v>
      </c>
      <c r="J837" s="75" t="s">
        <v>1122</v>
      </c>
      <c r="K837" s="74" t="s">
        <v>1129</v>
      </c>
      <c r="L837" s="76" t="s">
        <v>974</v>
      </c>
      <c r="M837" s="57"/>
      <c r="N837" s="77">
        <v>382320</v>
      </c>
      <c r="O837" s="57">
        <f t="shared" si="42"/>
        <v>0</v>
      </c>
      <c r="P837" s="77">
        <v>28499</v>
      </c>
      <c r="Q837" s="73">
        <f t="shared" si="40"/>
        <v>0</v>
      </c>
      <c r="R837" s="57"/>
      <c r="S837" s="57"/>
      <c r="T837" s="57"/>
      <c r="U837" s="57"/>
      <c r="V837" s="73">
        <f t="shared" si="41"/>
        <v>0</v>
      </c>
      <c r="W837" s="106"/>
      <c r="X837" s="64"/>
    </row>
    <row r="838" spans="1:24" s="66" customFormat="1" ht="12" hidden="1" customHeight="1">
      <c r="A838" s="74" t="s">
        <v>656</v>
      </c>
      <c r="B838" s="74"/>
      <c r="C838" s="74"/>
      <c r="D838" s="74"/>
      <c r="E838" s="74"/>
      <c r="F838" s="74"/>
      <c r="G838" s="74"/>
      <c r="H838" s="74"/>
      <c r="I838" s="75" t="s">
        <v>2155</v>
      </c>
      <c r="J838" s="75" t="s">
        <v>1122</v>
      </c>
      <c r="K838" s="74" t="s">
        <v>1128</v>
      </c>
      <c r="L838" s="76" t="s">
        <v>974</v>
      </c>
      <c r="M838" s="57"/>
      <c r="N838" s="77">
        <v>435420</v>
      </c>
      <c r="O838" s="57">
        <f t="shared" si="42"/>
        <v>0</v>
      </c>
      <c r="P838" s="77">
        <v>28499</v>
      </c>
      <c r="Q838" s="73">
        <f t="shared" si="40"/>
        <v>0</v>
      </c>
      <c r="R838" s="57"/>
      <c r="S838" s="57"/>
      <c r="T838" s="57"/>
      <c r="U838" s="57"/>
      <c r="V838" s="73">
        <f t="shared" si="41"/>
        <v>0</v>
      </c>
      <c r="W838" s="106"/>
      <c r="X838" s="64"/>
    </row>
    <row r="839" spans="1:24" s="66" customFormat="1" ht="12" hidden="1" customHeight="1">
      <c r="A839" s="74" t="s">
        <v>658</v>
      </c>
      <c r="B839" s="74"/>
      <c r="C839" s="74"/>
      <c r="D839" s="74"/>
      <c r="E839" s="74"/>
      <c r="F839" s="74"/>
      <c r="G839" s="74"/>
      <c r="H839" s="74"/>
      <c r="I839" s="75" t="s">
        <v>2155</v>
      </c>
      <c r="J839" s="75" t="s">
        <v>1122</v>
      </c>
      <c r="K839" s="74" t="s">
        <v>1126</v>
      </c>
      <c r="L839" s="76" t="s">
        <v>974</v>
      </c>
      <c r="M839" s="57"/>
      <c r="N839" s="77">
        <v>318600</v>
      </c>
      <c r="O839" s="57">
        <f t="shared" si="42"/>
        <v>0</v>
      </c>
      <c r="P839" s="77">
        <v>28499</v>
      </c>
      <c r="Q839" s="73">
        <f t="shared" si="40"/>
        <v>0</v>
      </c>
      <c r="R839" s="57"/>
      <c r="S839" s="57"/>
      <c r="T839" s="57"/>
      <c r="U839" s="57"/>
      <c r="V839" s="73">
        <f t="shared" si="41"/>
        <v>0</v>
      </c>
      <c r="W839" s="106"/>
      <c r="X839" s="64"/>
    </row>
    <row r="840" spans="1:24" s="66" customFormat="1" ht="12" hidden="1" customHeight="1">
      <c r="A840" s="74" t="s">
        <v>659</v>
      </c>
      <c r="B840" s="74"/>
      <c r="C840" s="74"/>
      <c r="D840" s="74"/>
      <c r="E840" s="74"/>
      <c r="F840" s="74"/>
      <c r="G840" s="74"/>
      <c r="H840" s="74"/>
      <c r="I840" s="75" t="s">
        <v>2155</v>
      </c>
      <c r="J840" s="75" t="s">
        <v>1122</v>
      </c>
      <c r="K840" s="74" t="s">
        <v>1125</v>
      </c>
      <c r="L840" s="76" t="s">
        <v>974</v>
      </c>
      <c r="M840" s="57"/>
      <c r="N840" s="77">
        <v>392940</v>
      </c>
      <c r="O840" s="57">
        <f t="shared" si="42"/>
        <v>0</v>
      </c>
      <c r="P840" s="77">
        <v>28499</v>
      </c>
      <c r="Q840" s="73">
        <f t="shared" si="40"/>
        <v>0</v>
      </c>
      <c r="R840" s="57"/>
      <c r="S840" s="57"/>
      <c r="T840" s="57"/>
      <c r="U840" s="57"/>
      <c r="V840" s="73">
        <f t="shared" si="41"/>
        <v>0</v>
      </c>
      <c r="W840" s="106"/>
      <c r="X840" s="64"/>
    </row>
    <row r="841" spans="1:24" s="66" customFormat="1" ht="12" hidden="1" customHeight="1">
      <c r="A841" s="74" t="s">
        <v>660</v>
      </c>
      <c r="B841" s="74"/>
      <c r="C841" s="74"/>
      <c r="D841" s="74"/>
      <c r="E841" s="74"/>
      <c r="F841" s="74"/>
      <c r="G841" s="74"/>
      <c r="H841" s="74"/>
      <c r="I841" s="75" t="s">
        <v>2155</v>
      </c>
      <c r="J841" s="75" t="s">
        <v>1122</v>
      </c>
      <c r="K841" s="74" t="s">
        <v>1124</v>
      </c>
      <c r="L841" s="76" t="s">
        <v>974</v>
      </c>
      <c r="M841" s="57"/>
      <c r="N841" s="77">
        <v>531000</v>
      </c>
      <c r="O841" s="57">
        <f t="shared" si="42"/>
        <v>0</v>
      </c>
      <c r="P841" s="77">
        <v>28499</v>
      </c>
      <c r="Q841" s="73">
        <f t="shared" si="40"/>
        <v>0</v>
      </c>
      <c r="R841" s="57"/>
      <c r="S841" s="57"/>
      <c r="T841" s="57"/>
      <c r="U841" s="57"/>
      <c r="V841" s="73">
        <f t="shared" si="41"/>
        <v>0</v>
      </c>
      <c r="W841" s="106"/>
      <c r="X841" s="64"/>
    </row>
    <row r="842" spans="1:24" s="66" customFormat="1" ht="12" hidden="1" customHeight="1">
      <c r="A842" s="74" t="s">
        <v>661</v>
      </c>
      <c r="B842" s="74"/>
      <c r="C842" s="74"/>
      <c r="D842" s="74"/>
      <c r="E842" s="74"/>
      <c r="F842" s="74"/>
      <c r="G842" s="74"/>
      <c r="H842" s="74"/>
      <c r="I842" s="75" t="s">
        <v>2155</v>
      </c>
      <c r="J842" s="75" t="s">
        <v>1122</v>
      </c>
      <c r="K842" s="74" t="s">
        <v>1123</v>
      </c>
      <c r="L842" s="76" t="s">
        <v>974</v>
      </c>
      <c r="M842" s="57"/>
      <c r="N842" s="77">
        <v>584100</v>
      </c>
      <c r="O842" s="57">
        <f t="shared" si="42"/>
        <v>0</v>
      </c>
      <c r="P842" s="77">
        <v>28499</v>
      </c>
      <c r="Q842" s="73">
        <f t="shared" si="40"/>
        <v>0</v>
      </c>
      <c r="R842" s="57"/>
      <c r="S842" s="57"/>
      <c r="T842" s="57"/>
      <c r="U842" s="57"/>
      <c r="V842" s="73">
        <f t="shared" si="41"/>
        <v>0</v>
      </c>
      <c r="W842" s="106"/>
      <c r="X842" s="64"/>
    </row>
    <row r="843" spans="1:24" s="66" customFormat="1" ht="12" hidden="1" customHeight="1">
      <c r="A843" s="74" t="s">
        <v>662</v>
      </c>
      <c r="B843" s="74"/>
      <c r="C843" s="74"/>
      <c r="D843" s="74"/>
      <c r="E843" s="74"/>
      <c r="F843" s="74"/>
      <c r="G843" s="74"/>
      <c r="H843" s="74"/>
      <c r="I843" s="75" t="s">
        <v>2155</v>
      </c>
      <c r="J843" s="75" t="s">
        <v>1122</v>
      </c>
      <c r="K843" s="74" t="s">
        <v>1121</v>
      </c>
      <c r="L843" s="76" t="s">
        <v>974</v>
      </c>
      <c r="M843" s="57"/>
      <c r="N843" s="77">
        <v>615960</v>
      </c>
      <c r="O843" s="57">
        <f t="shared" si="42"/>
        <v>0</v>
      </c>
      <c r="P843" s="77">
        <v>28499</v>
      </c>
      <c r="Q843" s="73">
        <f t="shared" ref="Q843:Q874" si="43">IF(W843="",M843*P843*$Q$3*$W$3,M843*P843*$Q$3*W843)</f>
        <v>0</v>
      </c>
      <c r="R843" s="57"/>
      <c r="S843" s="57"/>
      <c r="T843" s="57"/>
      <c r="U843" s="57"/>
      <c r="V843" s="73">
        <f t="shared" si="41"/>
        <v>0</v>
      </c>
      <c r="W843" s="106"/>
      <c r="X843" s="64"/>
    </row>
    <row r="844" spans="1:24" s="66" customFormat="1" ht="12" hidden="1" customHeight="1">
      <c r="A844" s="74" t="s">
        <v>657</v>
      </c>
      <c r="B844" s="74"/>
      <c r="C844" s="74"/>
      <c r="D844" s="74"/>
      <c r="E844" s="74"/>
      <c r="F844" s="74"/>
      <c r="G844" s="74"/>
      <c r="H844" s="74"/>
      <c r="I844" s="75" t="s">
        <v>2155</v>
      </c>
      <c r="J844" s="75" t="s">
        <v>1122</v>
      </c>
      <c r="K844" s="74" t="s">
        <v>1127</v>
      </c>
      <c r="L844" s="76" t="s">
        <v>974</v>
      </c>
      <c r="M844" s="57"/>
      <c r="N844" s="77">
        <v>233640</v>
      </c>
      <c r="O844" s="57">
        <f t="shared" si="42"/>
        <v>0</v>
      </c>
      <c r="P844" s="77">
        <v>28499</v>
      </c>
      <c r="Q844" s="73">
        <f t="shared" si="43"/>
        <v>0</v>
      </c>
      <c r="R844" s="57"/>
      <c r="S844" s="57"/>
      <c r="T844" s="57"/>
      <c r="U844" s="57"/>
      <c r="V844" s="73">
        <f t="shared" si="41"/>
        <v>0</v>
      </c>
      <c r="W844" s="106"/>
      <c r="X844" s="64"/>
    </row>
    <row r="845" spans="1:24" s="66" customFormat="1" ht="12" hidden="1" customHeight="1">
      <c r="A845" s="74" t="s">
        <v>479</v>
      </c>
      <c r="B845" s="74"/>
      <c r="C845" s="74"/>
      <c r="D845" s="74"/>
      <c r="E845" s="74"/>
      <c r="F845" s="74"/>
      <c r="G845" s="74"/>
      <c r="H845" s="74"/>
      <c r="I845" s="75" t="s">
        <v>2128</v>
      </c>
      <c r="J845" s="75" t="s">
        <v>1134</v>
      </c>
      <c r="K845" s="74" t="s">
        <v>939</v>
      </c>
      <c r="L845" s="76" t="s">
        <v>974</v>
      </c>
      <c r="M845" s="57"/>
      <c r="N845" s="58">
        <v>290000</v>
      </c>
      <c r="O845" s="57">
        <f t="shared" si="42"/>
        <v>0</v>
      </c>
      <c r="P845" s="58">
        <v>197494</v>
      </c>
      <c r="Q845" s="73">
        <f t="shared" si="43"/>
        <v>0</v>
      </c>
      <c r="R845" s="57"/>
      <c r="S845" s="57"/>
      <c r="T845" s="57"/>
      <c r="U845" s="57"/>
      <c r="V845" s="73">
        <f t="shared" si="41"/>
        <v>0</v>
      </c>
      <c r="W845" s="106"/>
      <c r="X845" s="64"/>
    </row>
    <row r="846" spans="1:24" s="66" customFormat="1" ht="12" hidden="1" customHeight="1">
      <c r="A846" s="74" t="s">
        <v>480</v>
      </c>
      <c r="B846" s="74"/>
      <c r="C846" s="74"/>
      <c r="D846" s="74"/>
      <c r="E846" s="74"/>
      <c r="F846" s="74"/>
      <c r="G846" s="74"/>
      <c r="H846" s="74"/>
      <c r="I846" s="75" t="s">
        <v>2129</v>
      </c>
      <c r="J846" s="75" t="s">
        <v>1273</v>
      </c>
      <c r="K846" s="74" t="s">
        <v>1279</v>
      </c>
      <c r="L846" s="76" t="s">
        <v>974</v>
      </c>
      <c r="M846" s="57"/>
      <c r="N846" s="77">
        <v>2336400</v>
      </c>
      <c r="O846" s="57">
        <f t="shared" si="42"/>
        <v>0</v>
      </c>
      <c r="P846" s="77">
        <v>238801</v>
      </c>
      <c r="Q846" s="73">
        <f t="shared" si="43"/>
        <v>0</v>
      </c>
      <c r="R846" s="57"/>
      <c r="S846" s="57"/>
      <c r="T846" s="57"/>
      <c r="U846" s="57"/>
      <c r="V846" s="73">
        <f t="shared" ref="V846:V877" si="44">SUM(O846+Q846)+S846+U846</f>
        <v>0</v>
      </c>
      <c r="W846" s="106"/>
      <c r="X846" s="64"/>
    </row>
    <row r="847" spans="1:24" s="66" customFormat="1" ht="12" hidden="1" customHeight="1">
      <c r="A847" s="74" t="s">
        <v>481</v>
      </c>
      <c r="B847" s="74"/>
      <c r="C847" s="74"/>
      <c r="D847" s="74"/>
      <c r="E847" s="74"/>
      <c r="F847" s="74"/>
      <c r="G847" s="74"/>
      <c r="H847" s="74"/>
      <c r="I847" s="75" t="s">
        <v>2129</v>
      </c>
      <c r="J847" s="75" t="s">
        <v>1273</v>
      </c>
      <c r="K847" s="74" t="s">
        <v>1278</v>
      </c>
      <c r="L847" s="76" t="s">
        <v>974</v>
      </c>
      <c r="M847" s="57"/>
      <c r="N847" s="77">
        <v>2655000</v>
      </c>
      <c r="O847" s="57">
        <f t="shared" si="42"/>
        <v>0</v>
      </c>
      <c r="P847" s="77">
        <v>238801</v>
      </c>
      <c r="Q847" s="73">
        <f t="shared" si="43"/>
        <v>0</v>
      </c>
      <c r="R847" s="57"/>
      <c r="S847" s="57"/>
      <c r="T847" s="57"/>
      <c r="U847" s="57"/>
      <c r="V847" s="73">
        <f t="shared" si="44"/>
        <v>0</v>
      </c>
      <c r="W847" s="106"/>
      <c r="X847" s="64"/>
    </row>
    <row r="848" spans="1:24" s="66" customFormat="1" ht="12" hidden="1" customHeight="1">
      <c r="A848" s="74" t="s">
        <v>482</v>
      </c>
      <c r="B848" s="74"/>
      <c r="C848" s="74"/>
      <c r="D848" s="74"/>
      <c r="E848" s="74"/>
      <c r="F848" s="74"/>
      <c r="G848" s="74"/>
      <c r="H848" s="74"/>
      <c r="I848" s="75" t="s">
        <v>2129</v>
      </c>
      <c r="J848" s="75" t="s">
        <v>1273</v>
      </c>
      <c r="K848" s="74" t="s">
        <v>1277</v>
      </c>
      <c r="L848" s="76" t="s">
        <v>974</v>
      </c>
      <c r="M848" s="57"/>
      <c r="N848" s="77">
        <v>3292200</v>
      </c>
      <c r="O848" s="57">
        <f t="shared" si="42"/>
        <v>0</v>
      </c>
      <c r="P848" s="77">
        <v>238801</v>
      </c>
      <c r="Q848" s="73">
        <f t="shared" si="43"/>
        <v>0</v>
      </c>
      <c r="R848" s="57"/>
      <c r="S848" s="57"/>
      <c r="T848" s="57"/>
      <c r="U848" s="57"/>
      <c r="V848" s="73">
        <f t="shared" si="44"/>
        <v>0</v>
      </c>
      <c r="W848" s="106"/>
      <c r="X848" s="64"/>
    </row>
    <row r="849" spans="1:24" s="66" customFormat="1" ht="12" hidden="1" customHeight="1">
      <c r="A849" s="74" t="s">
        <v>483</v>
      </c>
      <c r="B849" s="74"/>
      <c r="C849" s="74"/>
      <c r="D849" s="74"/>
      <c r="E849" s="74"/>
      <c r="F849" s="74"/>
      <c r="G849" s="74"/>
      <c r="H849" s="74"/>
      <c r="I849" s="75" t="s">
        <v>2129</v>
      </c>
      <c r="J849" s="75" t="s">
        <v>1273</v>
      </c>
      <c r="K849" s="74" t="s">
        <v>1276</v>
      </c>
      <c r="L849" s="76" t="s">
        <v>974</v>
      </c>
      <c r="M849" s="57"/>
      <c r="N849" s="77">
        <v>4141800</v>
      </c>
      <c r="O849" s="57">
        <f t="shared" si="42"/>
        <v>0</v>
      </c>
      <c r="P849" s="77">
        <v>238801</v>
      </c>
      <c r="Q849" s="73">
        <f t="shared" si="43"/>
        <v>0</v>
      </c>
      <c r="R849" s="57"/>
      <c r="S849" s="57"/>
      <c r="T849" s="57"/>
      <c r="U849" s="57"/>
      <c r="V849" s="73">
        <f t="shared" si="44"/>
        <v>0</v>
      </c>
      <c r="W849" s="106"/>
      <c r="X849" s="64"/>
    </row>
    <row r="850" spans="1:24" s="66" customFormat="1" ht="12" hidden="1" customHeight="1">
      <c r="A850" s="74" t="s">
        <v>484</v>
      </c>
      <c r="B850" s="74"/>
      <c r="C850" s="74"/>
      <c r="D850" s="74"/>
      <c r="E850" s="74"/>
      <c r="F850" s="74"/>
      <c r="G850" s="74"/>
      <c r="H850" s="74"/>
      <c r="I850" s="75" t="s">
        <v>2129</v>
      </c>
      <c r="J850" s="75" t="s">
        <v>1273</v>
      </c>
      <c r="K850" s="74" t="s">
        <v>1275</v>
      </c>
      <c r="L850" s="76" t="s">
        <v>974</v>
      </c>
      <c r="M850" s="57"/>
      <c r="N850" s="77">
        <v>5522400</v>
      </c>
      <c r="O850" s="57">
        <f t="shared" si="42"/>
        <v>0</v>
      </c>
      <c r="P850" s="77">
        <v>238801</v>
      </c>
      <c r="Q850" s="73">
        <f t="shared" si="43"/>
        <v>0</v>
      </c>
      <c r="R850" s="57"/>
      <c r="S850" s="57"/>
      <c r="T850" s="57"/>
      <c r="U850" s="57"/>
      <c r="V850" s="73">
        <f t="shared" si="44"/>
        <v>0</v>
      </c>
      <c r="W850" s="106"/>
      <c r="X850" s="64"/>
    </row>
    <row r="851" spans="1:24" s="66" customFormat="1" ht="12" hidden="1" customHeight="1">
      <c r="A851" s="74" t="s">
        <v>485</v>
      </c>
      <c r="B851" s="74"/>
      <c r="C851" s="74"/>
      <c r="D851" s="74"/>
      <c r="E851" s="74"/>
      <c r="F851" s="74"/>
      <c r="G851" s="74"/>
      <c r="H851" s="74"/>
      <c r="I851" s="75" t="s">
        <v>2129</v>
      </c>
      <c r="J851" s="75" t="s">
        <v>1273</v>
      </c>
      <c r="K851" s="74" t="s">
        <v>1274</v>
      </c>
      <c r="L851" s="76" t="s">
        <v>974</v>
      </c>
      <c r="M851" s="57"/>
      <c r="N851" s="77">
        <v>7646400</v>
      </c>
      <c r="O851" s="57">
        <f t="shared" si="42"/>
        <v>0</v>
      </c>
      <c r="P851" s="77">
        <v>238801</v>
      </c>
      <c r="Q851" s="73">
        <f t="shared" si="43"/>
        <v>0</v>
      </c>
      <c r="R851" s="57"/>
      <c r="S851" s="57"/>
      <c r="T851" s="57"/>
      <c r="U851" s="57"/>
      <c r="V851" s="73">
        <f t="shared" si="44"/>
        <v>0</v>
      </c>
      <c r="W851" s="106"/>
      <c r="X851" s="64"/>
    </row>
    <row r="852" spans="1:24" s="66" customFormat="1" ht="12" hidden="1" customHeight="1">
      <c r="A852" s="74" t="s">
        <v>1748</v>
      </c>
      <c r="B852" s="74"/>
      <c r="C852" s="74"/>
      <c r="D852" s="74"/>
      <c r="E852" s="74"/>
      <c r="F852" s="74"/>
      <c r="G852" s="74"/>
      <c r="H852" s="74"/>
      <c r="I852" s="75" t="s">
        <v>2129</v>
      </c>
      <c r="J852" s="75" t="s">
        <v>1280</v>
      </c>
      <c r="K852" s="74" t="s">
        <v>1286</v>
      </c>
      <c r="L852" s="76" t="s">
        <v>974</v>
      </c>
      <c r="M852" s="57"/>
      <c r="N852" s="77">
        <v>15700000</v>
      </c>
      <c r="O852" s="57">
        <f t="shared" si="42"/>
        <v>0</v>
      </c>
      <c r="P852" s="77">
        <v>238801</v>
      </c>
      <c r="Q852" s="73">
        <f t="shared" si="43"/>
        <v>0</v>
      </c>
      <c r="R852" s="57"/>
      <c r="S852" s="57"/>
      <c r="T852" s="57"/>
      <c r="U852" s="57"/>
      <c r="V852" s="73">
        <f t="shared" si="44"/>
        <v>0</v>
      </c>
      <c r="W852" s="106"/>
      <c r="X852" s="64"/>
    </row>
    <row r="853" spans="1:24" s="66" customFormat="1" ht="12" hidden="1" customHeight="1">
      <c r="A853" s="74" t="s">
        <v>1749</v>
      </c>
      <c r="B853" s="74"/>
      <c r="C853" s="74"/>
      <c r="D853" s="74"/>
      <c r="E853" s="74"/>
      <c r="F853" s="74"/>
      <c r="G853" s="74"/>
      <c r="H853" s="74"/>
      <c r="I853" s="75" t="s">
        <v>2129</v>
      </c>
      <c r="J853" s="75" t="s">
        <v>1280</v>
      </c>
      <c r="K853" s="74" t="s">
        <v>1285</v>
      </c>
      <c r="L853" s="76" t="s">
        <v>974</v>
      </c>
      <c r="M853" s="57"/>
      <c r="N853" s="77">
        <v>24500000</v>
      </c>
      <c r="O853" s="57">
        <f t="shared" si="42"/>
        <v>0</v>
      </c>
      <c r="P853" s="77">
        <v>238801</v>
      </c>
      <c r="Q853" s="73">
        <f t="shared" si="43"/>
        <v>0</v>
      </c>
      <c r="R853" s="57"/>
      <c r="S853" s="57"/>
      <c r="T853" s="57"/>
      <c r="U853" s="57"/>
      <c r="V853" s="73">
        <f t="shared" si="44"/>
        <v>0</v>
      </c>
      <c r="W853" s="106"/>
      <c r="X853" s="64"/>
    </row>
    <row r="854" spans="1:24" s="66" customFormat="1" ht="12" hidden="1" customHeight="1">
      <c r="A854" s="74" t="s">
        <v>1750</v>
      </c>
      <c r="B854" s="74"/>
      <c r="C854" s="74"/>
      <c r="D854" s="74"/>
      <c r="E854" s="74"/>
      <c r="F854" s="74"/>
      <c r="G854" s="74"/>
      <c r="H854" s="74"/>
      <c r="I854" s="75" t="s">
        <v>2129</v>
      </c>
      <c r="J854" s="75" t="s">
        <v>1280</v>
      </c>
      <c r="K854" s="74" t="s">
        <v>1284</v>
      </c>
      <c r="L854" s="76" t="s">
        <v>974</v>
      </c>
      <c r="M854" s="57"/>
      <c r="N854" s="77">
        <v>29000000</v>
      </c>
      <c r="O854" s="57">
        <f t="shared" si="42"/>
        <v>0</v>
      </c>
      <c r="P854" s="77">
        <v>238801</v>
      </c>
      <c r="Q854" s="73">
        <f t="shared" si="43"/>
        <v>0</v>
      </c>
      <c r="R854" s="57"/>
      <c r="S854" s="57"/>
      <c r="T854" s="57"/>
      <c r="U854" s="57"/>
      <c r="V854" s="73">
        <f t="shared" si="44"/>
        <v>0</v>
      </c>
      <c r="W854" s="106"/>
      <c r="X854" s="64"/>
    </row>
    <row r="855" spans="1:24" s="66" customFormat="1" ht="12" hidden="1" customHeight="1">
      <c r="A855" s="74" t="s">
        <v>1751</v>
      </c>
      <c r="B855" s="74"/>
      <c r="C855" s="74"/>
      <c r="D855" s="74"/>
      <c r="E855" s="74"/>
      <c r="F855" s="74"/>
      <c r="G855" s="74"/>
      <c r="H855" s="74"/>
      <c r="I855" s="75" t="s">
        <v>2129</v>
      </c>
      <c r="J855" s="75" t="s">
        <v>1280</v>
      </c>
      <c r="K855" s="74" t="s">
        <v>1283</v>
      </c>
      <c r="L855" s="76" t="s">
        <v>974</v>
      </c>
      <c r="M855" s="57"/>
      <c r="N855" s="77">
        <v>43000000</v>
      </c>
      <c r="O855" s="57">
        <f t="shared" si="42"/>
        <v>0</v>
      </c>
      <c r="P855" s="77">
        <v>238801</v>
      </c>
      <c r="Q855" s="73">
        <f t="shared" si="43"/>
        <v>0</v>
      </c>
      <c r="R855" s="57"/>
      <c r="S855" s="57"/>
      <c r="T855" s="57"/>
      <c r="U855" s="57"/>
      <c r="V855" s="73">
        <f t="shared" si="44"/>
        <v>0</v>
      </c>
      <c r="W855" s="106"/>
      <c r="X855" s="64"/>
    </row>
    <row r="856" spans="1:24" s="66" customFormat="1" ht="12" hidden="1" customHeight="1">
      <c r="A856" s="74" t="s">
        <v>1752</v>
      </c>
      <c r="B856" s="74"/>
      <c r="C856" s="74"/>
      <c r="D856" s="74"/>
      <c r="E856" s="74"/>
      <c r="F856" s="74"/>
      <c r="G856" s="74"/>
      <c r="H856" s="74"/>
      <c r="I856" s="75" t="s">
        <v>2129</v>
      </c>
      <c r="J856" s="75" t="s">
        <v>1280</v>
      </c>
      <c r="K856" s="74" t="s">
        <v>1282</v>
      </c>
      <c r="L856" s="76" t="s">
        <v>974</v>
      </c>
      <c r="M856" s="57"/>
      <c r="N856" s="77">
        <v>58000000</v>
      </c>
      <c r="O856" s="57">
        <f t="shared" si="42"/>
        <v>0</v>
      </c>
      <c r="P856" s="77">
        <v>238801</v>
      </c>
      <c r="Q856" s="73">
        <f t="shared" si="43"/>
        <v>0</v>
      </c>
      <c r="R856" s="57"/>
      <c r="S856" s="57"/>
      <c r="T856" s="57"/>
      <c r="U856" s="57"/>
      <c r="V856" s="73">
        <f t="shared" si="44"/>
        <v>0</v>
      </c>
      <c r="W856" s="106"/>
      <c r="X856" s="64"/>
    </row>
    <row r="857" spans="1:24" s="66" customFormat="1" ht="12" hidden="1" customHeight="1">
      <c r="A857" s="74" t="s">
        <v>1753</v>
      </c>
      <c r="B857" s="74"/>
      <c r="C857" s="74"/>
      <c r="D857" s="74"/>
      <c r="E857" s="74"/>
      <c r="F857" s="74"/>
      <c r="G857" s="74"/>
      <c r="H857" s="74"/>
      <c r="I857" s="75" t="s">
        <v>2129</v>
      </c>
      <c r="J857" s="75" t="s">
        <v>1280</v>
      </c>
      <c r="K857" s="74" t="s">
        <v>1281</v>
      </c>
      <c r="L857" s="76" t="s">
        <v>974</v>
      </c>
      <c r="M857" s="57"/>
      <c r="N857" s="77">
        <v>72000000</v>
      </c>
      <c r="O857" s="57">
        <f t="shared" si="42"/>
        <v>0</v>
      </c>
      <c r="P857" s="77">
        <v>238801</v>
      </c>
      <c r="Q857" s="73">
        <f t="shared" si="43"/>
        <v>0</v>
      </c>
      <c r="R857" s="57"/>
      <c r="S857" s="57"/>
      <c r="T857" s="57"/>
      <c r="U857" s="57"/>
      <c r="V857" s="73">
        <f t="shared" si="44"/>
        <v>0</v>
      </c>
      <c r="W857" s="106"/>
      <c r="X857" s="64"/>
    </row>
    <row r="858" spans="1:24" s="66" customFormat="1" ht="12" hidden="1" customHeight="1">
      <c r="A858" s="74" t="s">
        <v>1771</v>
      </c>
      <c r="B858" s="74"/>
      <c r="C858" s="74"/>
      <c r="D858" s="74"/>
      <c r="E858" s="74"/>
      <c r="F858" s="74"/>
      <c r="G858" s="74"/>
      <c r="H858" s="74"/>
      <c r="I858" s="75" t="s">
        <v>2160</v>
      </c>
      <c r="J858" s="75" t="s">
        <v>2161</v>
      </c>
      <c r="K858" s="74" t="s">
        <v>1629</v>
      </c>
      <c r="L858" s="76" t="s">
        <v>706</v>
      </c>
      <c r="M858" s="57"/>
      <c r="N858" s="77"/>
      <c r="O858" s="57">
        <f t="shared" si="42"/>
        <v>0</v>
      </c>
      <c r="P858" s="77">
        <v>620993</v>
      </c>
      <c r="Q858" s="73">
        <f t="shared" si="43"/>
        <v>0</v>
      </c>
      <c r="R858" s="57"/>
      <c r="S858" s="57"/>
      <c r="T858" s="57"/>
      <c r="U858" s="57"/>
      <c r="V858" s="73">
        <f t="shared" si="44"/>
        <v>0</v>
      </c>
      <c r="W858" s="106"/>
      <c r="X858" s="64"/>
    </row>
    <row r="859" spans="1:24" s="66" customFormat="1" ht="12" hidden="1" customHeight="1">
      <c r="A859" s="74" t="s">
        <v>1772</v>
      </c>
      <c r="B859" s="74"/>
      <c r="C859" s="74"/>
      <c r="D859" s="74"/>
      <c r="E859" s="74"/>
      <c r="F859" s="74"/>
      <c r="G859" s="74"/>
      <c r="H859" s="74"/>
      <c r="I859" s="75" t="s">
        <v>2162</v>
      </c>
      <c r="J859" s="75" t="s">
        <v>2163</v>
      </c>
      <c r="K859" s="74" t="s">
        <v>1630</v>
      </c>
      <c r="L859" s="76" t="s">
        <v>706</v>
      </c>
      <c r="M859" s="57"/>
      <c r="N859" s="58"/>
      <c r="O859" s="57">
        <f t="shared" si="42"/>
        <v>0</v>
      </c>
      <c r="P859" s="77">
        <v>708572</v>
      </c>
      <c r="Q859" s="73">
        <f t="shared" si="43"/>
        <v>0</v>
      </c>
      <c r="R859" s="57"/>
      <c r="S859" s="57"/>
      <c r="T859" s="57"/>
      <c r="U859" s="57"/>
      <c r="V859" s="73">
        <f t="shared" si="44"/>
        <v>0</v>
      </c>
      <c r="W859" s="106"/>
      <c r="X859" s="64"/>
    </row>
    <row r="860" spans="1:24" s="66" customFormat="1" ht="12" hidden="1" customHeight="1">
      <c r="A860" s="74" t="s">
        <v>3215</v>
      </c>
      <c r="B860" s="74"/>
      <c r="C860" s="74"/>
      <c r="D860" s="74"/>
      <c r="E860" s="74"/>
      <c r="F860" s="74"/>
      <c r="G860" s="74"/>
      <c r="H860" s="74"/>
      <c r="I860" s="75" t="s">
        <v>2164</v>
      </c>
      <c r="J860" s="75" t="s">
        <v>1633</v>
      </c>
      <c r="K860" s="74" t="s">
        <v>1634</v>
      </c>
      <c r="L860" s="76" t="s">
        <v>974</v>
      </c>
      <c r="M860" s="57"/>
      <c r="N860" s="58"/>
      <c r="O860" s="57">
        <f t="shared" si="42"/>
        <v>0</v>
      </c>
      <c r="P860" s="77">
        <v>2628960</v>
      </c>
      <c r="Q860" s="73">
        <f t="shared" si="43"/>
        <v>0</v>
      </c>
      <c r="R860" s="57"/>
      <c r="S860" s="57"/>
      <c r="T860" s="57"/>
      <c r="U860" s="57"/>
      <c r="V860" s="73">
        <f t="shared" si="44"/>
        <v>0</v>
      </c>
      <c r="W860" s="106"/>
      <c r="X860" s="64"/>
    </row>
    <row r="861" spans="1:24" s="66" customFormat="1" ht="12" hidden="1" customHeight="1">
      <c r="A861" s="74" t="s">
        <v>1773</v>
      </c>
      <c r="B861" s="74"/>
      <c r="C861" s="74"/>
      <c r="D861" s="74"/>
      <c r="E861" s="74"/>
      <c r="F861" s="74"/>
      <c r="G861" s="74"/>
      <c r="H861" s="74"/>
      <c r="I861" s="75" t="s">
        <v>2165</v>
      </c>
      <c r="J861" s="75" t="s">
        <v>1628</v>
      </c>
      <c r="K861" s="74" t="s">
        <v>2166</v>
      </c>
      <c r="L861" s="76" t="s">
        <v>706</v>
      </c>
      <c r="M861" s="57"/>
      <c r="N861" s="58"/>
      <c r="O861" s="57">
        <f t="shared" si="42"/>
        <v>0</v>
      </c>
      <c r="P861" s="77">
        <v>165395</v>
      </c>
      <c r="Q861" s="73">
        <f t="shared" si="43"/>
        <v>0</v>
      </c>
      <c r="R861" s="57"/>
      <c r="S861" s="57"/>
      <c r="T861" s="57"/>
      <c r="U861" s="57"/>
      <c r="V861" s="73">
        <f t="shared" si="44"/>
        <v>0</v>
      </c>
      <c r="W861" s="106"/>
      <c r="X861" s="64"/>
    </row>
    <row r="862" spans="1:24" s="66" customFormat="1" ht="12" hidden="1" customHeight="1">
      <c r="A862" s="74" t="s">
        <v>1756</v>
      </c>
      <c r="B862" s="74"/>
      <c r="C862" s="74"/>
      <c r="D862" s="74"/>
      <c r="E862" s="74"/>
      <c r="F862" s="74"/>
      <c r="G862" s="74"/>
      <c r="H862" s="74"/>
      <c r="I862" s="75" t="s">
        <v>2136</v>
      </c>
      <c r="J862" s="75" t="s">
        <v>1546</v>
      </c>
      <c r="K862" s="74" t="s">
        <v>1547</v>
      </c>
      <c r="L862" s="76" t="s">
        <v>974</v>
      </c>
      <c r="M862" s="57"/>
      <c r="N862" s="77">
        <v>0</v>
      </c>
      <c r="O862" s="57">
        <f t="shared" si="42"/>
        <v>0</v>
      </c>
      <c r="P862" s="77">
        <v>124362</v>
      </c>
      <c r="Q862" s="73">
        <f t="shared" si="43"/>
        <v>0</v>
      </c>
      <c r="R862" s="57"/>
      <c r="S862" s="57"/>
      <c r="T862" s="57"/>
      <c r="U862" s="57"/>
      <c r="V862" s="73">
        <f t="shared" si="44"/>
        <v>0</v>
      </c>
      <c r="W862" s="106"/>
      <c r="X862" s="64"/>
    </row>
    <row r="863" spans="1:24" s="66" customFormat="1" ht="12" hidden="1" customHeight="1">
      <c r="A863" s="74" t="s">
        <v>495</v>
      </c>
      <c r="B863" s="74"/>
      <c r="C863" s="74"/>
      <c r="D863" s="74"/>
      <c r="E863" s="74"/>
      <c r="F863" s="74"/>
      <c r="G863" s="74"/>
      <c r="H863" s="74"/>
      <c r="I863" s="75" t="s">
        <v>2137</v>
      </c>
      <c r="J863" s="75" t="s">
        <v>1108</v>
      </c>
      <c r="K863" s="74" t="s">
        <v>946</v>
      </c>
      <c r="L863" s="76" t="s">
        <v>976</v>
      </c>
      <c r="M863" s="57"/>
      <c r="N863" s="77">
        <v>1380</v>
      </c>
      <c r="O863" s="57">
        <f t="shared" si="42"/>
        <v>0</v>
      </c>
      <c r="P863" s="77">
        <v>51817</v>
      </c>
      <c r="Q863" s="73">
        <f t="shared" si="43"/>
        <v>0</v>
      </c>
      <c r="R863" s="57"/>
      <c r="S863" s="57"/>
      <c r="T863" s="57"/>
      <c r="U863" s="57"/>
      <c r="V863" s="73">
        <f t="shared" si="44"/>
        <v>0</v>
      </c>
      <c r="W863" s="106"/>
      <c r="X863" s="64"/>
    </row>
    <row r="864" spans="1:24" s="66" customFormat="1" ht="12" hidden="1" customHeight="1">
      <c r="A864" s="74" t="s">
        <v>496</v>
      </c>
      <c r="B864" s="74"/>
      <c r="C864" s="74"/>
      <c r="D864" s="74"/>
      <c r="E864" s="74"/>
      <c r="F864" s="74"/>
      <c r="G864" s="74"/>
      <c r="H864" s="74"/>
      <c r="I864" s="75" t="s">
        <v>2137</v>
      </c>
      <c r="J864" s="75" t="s">
        <v>1104</v>
      </c>
      <c r="K864" s="74" t="s">
        <v>1107</v>
      </c>
      <c r="L864" s="76" t="s">
        <v>976</v>
      </c>
      <c r="M864" s="57"/>
      <c r="N864" s="77">
        <v>1360</v>
      </c>
      <c r="O864" s="57">
        <f t="shared" si="42"/>
        <v>0</v>
      </c>
      <c r="P864" s="77">
        <v>51817</v>
      </c>
      <c r="Q864" s="73">
        <f t="shared" si="43"/>
        <v>0</v>
      </c>
      <c r="R864" s="57"/>
      <c r="S864" s="57"/>
      <c r="T864" s="57"/>
      <c r="U864" s="57"/>
      <c r="V864" s="73">
        <f t="shared" si="44"/>
        <v>0</v>
      </c>
      <c r="W864" s="106"/>
      <c r="X864" s="64"/>
    </row>
    <row r="865" spans="1:24" s="66" customFormat="1" ht="12" hidden="1" customHeight="1">
      <c r="A865" s="74" t="s">
        <v>497</v>
      </c>
      <c r="B865" s="74"/>
      <c r="C865" s="74"/>
      <c r="D865" s="74"/>
      <c r="E865" s="74"/>
      <c r="F865" s="74"/>
      <c r="G865" s="74"/>
      <c r="H865" s="74"/>
      <c r="I865" s="75" t="s">
        <v>2137</v>
      </c>
      <c r="J865" s="75" t="s">
        <v>1104</v>
      </c>
      <c r="K865" s="74" t="s">
        <v>1106</v>
      </c>
      <c r="L865" s="76" t="s">
        <v>976</v>
      </c>
      <c r="M865" s="57"/>
      <c r="N865" s="77">
        <v>3254</v>
      </c>
      <c r="O865" s="57">
        <f t="shared" si="42"/>
        <v>0</v>
      </c>
      <c r="P865" s="77">
        <v>51817</v>
      </c>
      <c r="Q865" s="73">
        <f t="shared" si="43"/>
        <v>0</v>
      </c>
      <c r="R865" s="57"/>
      <c r="S865" s="57"/>
      <c r="T865" s="57"/>
      <c r="U865" s="57"/>
      <c r="V865" s="73">
        <f t="shared" si="44"/>
        <v>0</v>
      </c>
      <c r="W865" s="106"/>
      <c r="X865" s="64"/>
    </row>
    <row r="866" spans="1:24" s="66" customFormat="1" ht="12" hidden="1" customHeight="1">
      <c r="A866" s="74" t="s">
        <v>498</v>
      </c>
      <c r="B866" s="74"/>
      <c r="C866" s="74"/>
      <c r="D866" s="74"/>
      <c r="E866" s="74"/>
      <c r="F866" s="74"/>
      <c r="G866" s="74"/>
      <c r="H866" s="74"/>
      <c r="I866" s="75" t="s">
        <v>2137</v>
      </c>
      <c r="J866" s="75" t="s">
        <v>1104</v>
      </c>
      <c r="K866" s="74" t="s">
        <v>1105</v>
      </c>
      <c r="L866" s="76" t="s">
        <v>976</v>
      </c>
      <c r="M866" s="57"/>
      <c r="N866" s="77">
        <v>3788</v>
      </c>
      <c r="O866" s="57">
        <f t="shared" si="42"/>
        <v>0</v>
      </c>
      <c r="P866" s="77">
        <v>51817</v>
      </c>
      <c r="Q866" s="73">
        <f t="shared" si="43"/>
        <v>0</v>
      </c>
      <c r="R866" s="57"/>
      <c r="S866" s="57"/>
      <c r="T866" s="57"/>
      <c r="U866" s="57"/>
      <c r="V866" s="73">
        <f t="shared" si="44"/>
        <v>0</v>
      </c>
      <c r="W866" s="106"/>
      <c r="X866" s="64"/>
    </row>
    <row r="867" spans="1:24" s="66" customFormat="1" ht="12" hidden="1" customHeight="1">
      <c r="A867" s="74" t="s">
        <v>499</v>
      </c>
      <c r="B867" s="74"/>
      <c r="C867" s="74"/>
      <c r="D867" s="74"/>
      <c r="E867" s="74"/>
      <c r="F867" s="74"/>
      <c r="G867" s="74"/>
      <c r="H867" s="74"/>
      <c r="I867" s="75" t="s">
        <v>2137</v>
      </c>
      <c r="J867" s="75" t="s">
        <v>1104</v>
      </c>
      <c r="K867" s="74" t="s">
        <v>1103</v>
      </c>
      <c r="L867" s="76" t="s">
        <v>976</v>
      </c>
      <c r="M867" s="57"/>
      <c r="N867" s="77">
        <v>6243</v>
      </c>
      <c r="O867" s="57">
        <f t="shared" si="42"/>
        <v>0</v>
      </c>
      <c r="P867" s="77">
        <v>51817</v>
      </c>
      <c r="Q867" s="73">
        <f t="shared" si="43"/>
        <v>0</v>
      </c>
      <c r="R867" s="57"/>
      <c r="S867" s="57"/>
      <c r="T867" s="57"/>
      <c r="U867" s="57"/>
      <c r="V867" s="73">
        <f t="shared" si="44"/>
        <v>0</v>
      </c>
      <c r="W867" s="106"/>
      <c r="X867" s="64"/>
    </row>
    <row r="868" spans="1:24" s="66" customFormat="1" ht="12" hidden="1" customHeight="1">
      <c r="A868" s="74" t="s">
        <v>500</v>
      </c>
      <c r="B868" s="74"/>
      <c r="C868" s="74"/>
      <c r="D868" s="74"/>
      <c r="E868" s="74"/>
      <c r="F868" s="74"/>
      <c r="G868" s="74"/>
      <c r="H868" s="74"/>
      <c r="I868" s="75" t="s">
        <v>2137</v>
      </c>
      <c r="J868" s="75" t="s">
        <v>1101</v>
      </c>
      <c r="K868" s="74" t="s">
        <v>1102</v>
      </c>
      <c r="L868" s="76" t="s">
        <v>976</v>
      </c>
      <c r="M868" s="57"/>
      <c r="N868" s="77">
        <v>1375</v>
      </c>
      <c r="O868" s="57">
        <f t="shared" si="42"/>
        <v>0</v>
      </c>
      <c r="P868" s="77">
        <v>51817</v>
      </c>
      <c r="Q868" s="73">
        <f t="shared" si="43"/>
        <v>0</v>
      </c>
      <c r="R868" s="57"/>
      <c r="S868" s="57"/>
      <c r="T868" s="57"/>
      <c r="U868" s="57"/>
      <c r="V868" s="73">
        <f t="shared" si="44"/>
        <v>0</v>
      </c>
      <c r="W868" s="106"/>
      <c r="X868" s="64"/>
    </row>
    <row r="869" spans="1:24" s="66" customFormat="1" ht="12" hidden="1" customHeight="1">
      <c r="A869" s="74" t="s">
        <v>501</v>
      </c>
      <c r="B869" s="74"/>
      <c r="C869" s="74"/>
      <c r="D869" s="74"/>
      <c r="E869" s="74"/>
      <c r="F869" s="74"/>
      <c r="G869" s="74"/>
      <c r="H869" s="74"/>
      <c r="I869" s="75" t="s">
        <v>2137</v>
      </c>
      <c r="J869" s="75" t="s">
        <v>1101</v>
      </c>
      <c r="K869" s="74" t="s">
        <v>1100</v>
      </c>
      <c r="L869" s="76" t="s">
        <v>976</v>
      </c>
      <c r="M869" s="57"/>
      <c r="N869" s="77">
        <v>2434</v>
      </c>
      <c r="O869" s="57">
        <f t="shared" si="42"/>
        <v>0</v>
      </c>
      <c r="P869" s="77">
        <v>51817</v>
      </c>
      <c r="Q869" s="73">
        <f t="shared" si="43"/>
        <v>0</v>
      </c>
      <c r="R869" s="57"/>
      <c r="S869" s="57"/>
      <c r="T869" s="57"/>
      <c r="U869" s="57"/>
      <c r="V869" s="73">
        <f t="shared" si="44"/>
        <v>0</v>
      </c>
      <c r="W869" s="106"/>
      <c r="X869" s="64"/>
    </row>
    <row r="870" spans="1:24" s="66" customFormat="1" ht="12" hidden="1" customHeight="1">
      <c r="A870" s="74" t="s">
        <v>502</v>
      </c>
      <c r="B870" s="74"/>
      <c r="C870" s="74"/>
      <c r="D870" s="74"/>
      <c r="E870" s="74"/>
      <c r="F870" s="74"/>
      <c r="G870" s="74"/>
      <c r="H870" s="74"/>
      <c r="I870" s="75" t="s">
        <v>2138</v>
      </c>
      <c r="J870" s="75" t="s">
        <v>1110</v>
      </c>
      <c r="K870" s="74" t="s">
        <v>1114</v>
      </c>
      <c r="L870" s="76" t="s">
        <v>20</v>
      </c>
      <c r="M870" s="57"/>
      <c r="N870" s="77">
        <v>1790</v>
      </c>
      <c r="O870" s="57">
        <f t="shared" si="42"/>
        <v>0</v>
      </c>
      <c r="P870" s="77">
        <v>1554</v>
      </c>
      <c r="Q870" s="73">
        <f t="shared" si="43"/>
        <v>0</v>
      </c>
      <c r="R870" s="57"/>
      <c r="S870" s="57"/>
      <c r="T870" s="57"/>
      <c r="U870" s="57"/>
      <c r="V870" s="73">
        <f t="shared" si="44"/>
        <v>0</v>
      </c>
      <c r="W870" s="106"/>
      <c r="X870" s="64"/>
    </row>
    <row r="871" spans="1:24" s="66" customFormat="1" ht="12" hidden="1" customHeight="1">
      <c r="A871" s="74" t="s">
        <v>503</v>
      </c>
      <c r="B871" s="74"/>
      <c r="C871" s="74"/>
      <c r="D871" s="74"/>
      <c r="E871" s="74"/>
      <c r="F871" s="74"/>
      <c r="G871" s="74"/>
      <c r="H871" s="74"/>
      <c r="I871" s="75" t="s">
        <v>2138</v>
      </c>
      <c r="J871" s="75" t="s">
        <v>1110</v>
      </c>
      <c r="K871" s="74" t="s">
        <v>940</v>
      </c>
      <c r="L871" s="76" t="s">
        <v>20</v>
      </c>
      <c r="M871" s="57"/>
      <c r="N871" s="77">
        <v>2040</v>
      </c>
      <c r="O871" s="57">
        <f t="shared" si="42"/>
        <v>0</v>
      </c>
      <c r="P871" s="77">
        <v>1554</v>
      </c>
      <c r="Q871" s="73">
        <f t="shared" si="43"/>
        <v>0</v>
      </c>
      <c r="R871" s="57"/>
      <c r="S871" s="57"/>
      <c r="T871" s="57"/>
      <c r="U871" s="57"/>
      <c r="V871" s="73">
        <f t="shared" si="44"/>
        <v>0</v>
      </c>
      <c r="W871" s="106"/>
      <c r="X871" s="64"/>
    </row>
    <row r="872" spans="1:24" s="66" customFormat="1" ht="12" hidden="1" customHeight="1">
      <c r="A872" s="74" t="s">
        <v>504</v>
      </c>
      <c r="B872" s="74"/>
      <c r="C872" s="74"/>
      <c r="D872" s="74"/>
      <c r="E872" s="74"/>
      <c r="F872" s="74"/>
      <c r="G872" s="74"/>
      <c r="H872" s="74"/>
      <c r="I872" s="75" t="s">
        <v>2138</v>
      </c>
      <c r="J872" s="75" t="s">
        <v>1110</v>
      </c>
      <c r="K872" s="74" t="s">
        <v>1113</v>
      </c>
      <c r="L872" s="76" t="s">
        <v>20</v>
      </c>
      <c r="M872" s="57"/>
      <c r="N872" s="77">
        <v>18857</v>
      </c>
      <c r="O872" s="57">
        <f t="shared" si="42"/>
        <v>0</v>
      </c>
      <c r="P872" s="77">
        <v>1554</v>
      </c>
      <c r="Q872" s="73">
        <f t="shared" si="43"/>
        <v>0</v>
      </c>
      <c r="R872" s="57"/>
      <c r="S872" s="57"/>
      <c r="T872" s="57"/>
      <c r="U872" s="57"/>
      <c r="V872" s="73">
        <f t="shared" si="44"/>
        <v>0</v>
      </c>
      <c r="W872" s="106"/>
      <c r="X872" s="64"/>
    </row>
    <row r="873" spans="1:24" s="66" customFormat="1" ht="12" hidden="1" customHeight="1">
      <c r="A873" s="74" t="s">
        <v>505</v>
      </c>
      <c r="B873" s="74"/>
      <c r="C873" s="74"/>
      <c r="D873" s="74"/>
      <c r="E873" s="74"/>
      <c r="F873" s="74"/>
      <c r="G873" s="74"/>
      <c r="H873" s="74"/>
      <c r="I873" s="75" t="s">
        <v>2138</v>
      </c>
      <c r="J873" s="75" t="s">
        <v>1110</v>
      </c>
      <c r="K873" s="74" t="s">
        <v>941</v>
      </c>
      <c r="L873" s="76" t="s">
        <v>20</v>
      </c>
      <c r="M873" s="57"/>
      <c r="N873" s="77">
        <v>3730</v>
      </c>
      <c r="O873" s="57">
        <f t="shared" si="42"/>
        <v>0</v>
      </c>
      <c r="P873" s="77">
        <v>1554</v>
      </c>
      <c r="Q873" s="73">
        <f t="shared" si="43"/>
        <v>0</v>
      </c>
      <c r="R873" s="57"/>
      <c r="S873" s="57"/>
      <c r="T873" s="57"/>
      <c r="U873" s="57"/>
      <c r="V873" s="73">
        <f t="shared" si="44"/>
        <v>0</v>
      </c>
      <c r="W873" s="106"/>
      <c r="X873" s="64"/>
    </row>
    <row r="874" spans="1:24" s="66" customFormat="1" ht="12" hidden="1" customHeight="1">
      <c r="A874" s="74" t="s">
        <v>506</v>
      </c>
      <c r="B874" s="74"/>
      <c r="C874" s="74"/>
      <c r="D874" s="74"/>
      <c r="E874" s="74"/>
      <c r="F874" s="74"/>
      <c r="G874" s="74"/>
      <c r="H874" s="74"/>
      <c r="I874" s="75" t="s">
        <v>2138</v>
      </c>
      <c r="J874" s="75" t="s">
        <v>1110</v>
      </c>
      <c r="K874" s="74" t="s">
        <v>942</v>
      </c>
      <c r="L874" s="76" t="s">
        <v>20</v>
      </c>
      <c r="M874" s="57"/>
      <c r="N874" s="77">
        <v>4130</v>
      </c>
      <c r="O874" s="57">
        <f t="shared" si="42"/>
        <v>0</v>
      </c>
      <c r="P874" s="77">
        <v>1554</v>
      </c>
      <c r="Q874" s="73">
        <f t="shared" si="43"/>
        <v>0</v>
      </c>
      <c r="R874" s="57"/>
      <c r="S874" s="57"/>
      <c r="T874" s="57"/>
      <c r="U874" s="57"/>
      <c r="V874" s="73">
        <f t="shared" si="44"/>
        <v>0</v>
      </c>
      <c r="W874" s="106"/>
      <c r="X874" s="64"/>
    </row>
    <row r="875" spans="1:24" s="66" customFormat="1" ht="12" hidden="1" customHeight="1">
      <c r="A875" s="74" t="s">
        <v>507</v>
      </c>
      <c r="B875" s="74"/>
      <c r="C875" s="74"/>
      <c r="D875" s="74"/>
      <c r="E875" s="74"/>
      <c r="F875" s="74"/>
      <c r="G875" s="74"/>
      <c r="H875" s="74"/>
      <c r="I875" s="75" t="s">
        <v>2138</v>
      </c>
      <c r="J875" s="75" t="s">
        <v>1110</v>
      </c>
      <c r="K875" s="74" t="s">
        <v>944</v>
      </c>
      <c r="L875" s="76" t="s">
        <v>20</v>
      </c>
      <c r="M875" s="57"/>
      <c r="N875" s="77">
        <v>4690</v>
      </c>
      <c r="O875" s="57">
        <f t="shared" si="42"/>
        <v>0</v>
      </c>
      <c r="P875" s="77">
        <v>1554</v>
      </c>
      <c r="Q875" s="73">
        <f t="shared" ref="Q875:Q879" si="45">IF(W875="",M875*P875*$Q$3*$W$3,M875*P875*$Q$3*W875)</f>
        <v>0</v>
      </c>
      <c r="R875" s="57"/>
      <c r="S875" s="57"/>
      <c r="T875" s="57"/>
      <c r="U875" s="57"/>
      <c r="V875" s="73">
        <f t="shared" si="44"/>
        <v>0</v>
      </c>
      <c r="W875" s="106"/>
      <c r="X875" s="64"/>
    </row>
    <row r="876" spans="1:24" s="66" customFormat="1" ht="12" hidden="1" customHeight="1">
      <c r="A876" s="74" t="s">
        <v>508</v>
      </c>
      <c r="B876" s="74"/>
      <c r="C876" s="74"/>
      <c r="D876" s="74"/>
      <c r="E876" s="74"/>
      <c r="F876" s="74"/>
      <c r="G876" s="74"/>
      <c r="H876" s="74"/>
      <c r="I876" s="75" t="s">
        <v>2138</v>
      </c>
      <c r="J876" s="75" t="s">
        <v>1110</v>
      </c>
      <c r="K876" s="74" t="s">
        <v>945</v>
      </c>
      <c r="L876" s="76" t="s">
        <v>20</v>
      </c>
      <c r="M876" s="57"/>
      <c r="N876" s="77">
        <v>7800</v>
      </c>
      <c r="O876" s="57">
        <f t="shared" si="42"/>
        <v>0</v>
      </c>
      <c r="P876" s="77">
        <v>1554</v>
      </c>
      <c r="Q876" s="73">
        <f t="shared" si="45"/>
        <v>0</v>
      </c>
      <c r="R876" s="57"/>
      <c r="S876" s="57"/>
      <c r="T876" s="57"/>
      <c r="U876" s="57"/>
      <c r="V876" s="73">
        <f t="shared" si="44"/>
        <v>0</v>
      </c>
      <c r="W876" s="106"/>
      <c r="X876" s="64"/>
    </row>
    <row r="877" spans="1:24" s="66" customFormat="1" ht="12" hidden="1" customHeight="1">
      <c r="A877" s="74" t="s">
        <v>509</v>
      </c>
      <c r="B877" s="74"/>
      <c r="C877" s="74"/>
      <c r="D877" s="74"/>
      <c r="E877" s="74"/>
      <c r="F877" s="74"/>
      <c r="G877" s="74"/>
      <c r="H877" s="74"/>
      <c r="I877" s="75" t="s">
        <v>2138</v>
      </c>
      <c r="J877" s="75" t="s">
        <v>1110</v>
      </c>
      <c r="K877" s="74" t="s">
        <v>1112</v>
      </c>
      <c r="L877" s="76" t="s">
        <v>20</v>
      </c>
      <c r="M877" s="57"/>
      <c r="N877" s="77">
        <v>10442</v>
      </c>
      <c r="O877" s="57">
        <f t="shared" si="42"/>
        <v>0</v>
      </c>
      <c r="P877" s="77">
        <v>1554</v>
      </c>
      <c r="Q877" s="73">
        <f t="shared" si="45"/>
        <v>0</v>
      </c>
      <c r="R877" s="57"/>
      <c r="S877" s="57"/>
      <c r="T877" s="57"/>
      <c r="U877" s="57"/>
      <c r="V877" s="73">
        <f t="shared" si="44"/>
        <v>0</v>
      </c>
      <c r="W877" s="106"/>
      <c r="X877" s="64"/>
    </row>
    <row r="878" spans="1:24" s="66" customFormat="1" ht="12" hidden="1" customHeight="1">
      <c r="A878" s="74" t="s">
        <v>510</v>
      </c>
      <c r="B878" s="74"/>
      <c r="C878" s="74"/>
      <c r="D878" s="74"/>
      <c r="E878" s="74"/>
      <c r="F878" s="74"/>
      <c r="G878" s="74"/>
      <c r="H878" s="74"/>
      <c r="I878" s="75" t="s">
        <v>2138</v>
      </c>
      <c r="J878" s="75" t="s">
        <v>1110</v>
      </c>
      <c r="K878" s="74" t="s">
        <v>1111</v>
      </c>
      <c r="L878" s="76" t="s">
        <v>20</v>
      </c>
      <c r="M878" s="57"/>
      <c r="N878" s="77">
        <v>1244</v>
      </c>
      <c r="O878" s="57">
        <f t="shared" si="42"/>
        <v>0</v>
      </c>
      <c r="P878" s="77">
        <v>1554</v>
      </c>
      <c r="Q878" s="73">
        <f t="shared" si="45"/>
        <v>0</v>
      </c>
      <c r="R878" s="57"/>
      <c r="S878" s="57"/>
      <c r="T878" s="57"/>
      <c r="U878" s="57"/>
      <c r="V878" s="73">
        <f t="shared" ref="V878:V879" si="46">SUM(O878+Q878)+S878+U878</f>
        <v>0</v>
      </c>
      <c r="W878" s="106"/>
      <c r="X878" s="64"/>
    </row>
    <row r="879" spans="1:24" s="66" customFormat="1" ht="12" hidden="1" customHeight="1">
      <c r="A879" s="74" t="s">
        <v>511</v>
      </c>
      <c r="B879" s="74"/>
      <c r="C879" s="74"/>
      <c r="D879" s="74"/>
      <c r="E879" s="74"/>
      <c r="F879" s="74"/>
      <c r="G879" s="74"/>
      <c r="H879" s="74"/>
      <c r="I879" s="75" t="s">
        <v>2138</v>
      </c>
      <c r="J879" s="75" t="s">
        <v>1110</v>
      </c>
      <c r="K879" s="74" t="s">
        <v>1109</v>
      </c>
      <c r="L879" s="76" t="s">
        <v>20</v>
      </c>
      <c r="M879" s="57"/>
      <c r="N879" s="77">
        <v>1244</v>
      </c>
      <c r="O879" s="57">
        <f t="shared" si="42"/>
        <v>0</v>
      </c>
      <c r="P879" s="77">
        <v>1554</v>
      </c>
      <c r="Q879" s="73">
        <f t="shared" si="45"/>
        <v>0</v>
      </c>
      <c r="R879" s="57"/>
      <c r="S879" s="57"/>
      <c r="T879" s="57"/>
      <c r="U879" s="57"/>
      <c r="V879" s="73">
        <f t="shared" si="46"/>
        <v>0</v>
      </c>
      <c r="W879" s="106"/>
      <c r="X879" s="64"/>
    </row>
    <row r="880" spans="1:24" s="66" customFormat="1" ht="12" hidden="1" customHeight="1">
      <c r="A880" s="74" t="s">
        <v>1732</v>
      </c>
      <c r="B880" s="74"/>
      <c r="C880" s="74"/>
      <c r="D880" s="74"/>
      <c r="E880" s="74"/>
      <c r="F880" s="74"/>
      <c r="G880" s="74"/>
      <c r="H880" s="74"/>
      <c r="I880" s="75" t="s">
        <v>2091</v>
      </c>
      <c r="J880" s="75" t="s">
        <v>1590</v>
      </c>
      <c r="K880" s="74" t="s">
        <v>1591</v>
      </c>
      <c r="L880" s="76" t="s">
        <v>0</v>
      </c>
      <c r="M880" s="57"/>
      <c r="N880" s="58"/>
      <c r="O880" s="57">
        <f t="shared" si="42"/>
        <v>0</v>
      </c>
      <c r="P880" s="77">
        <v>12293</v>
      </c>
      <c r="Q880" s="73">
        <f t="shared" ref="Q880:Q921" si="47">IF(W880="",M880*P880*$Q$3*$W$3,M880*P880*$Q$3*W880)</f>
        <v>0</v>
      </c>
      <c r="R880" s="57"/>
      <c r="S880" s="57"/>
      <c r="T880" s="57"/>
      <c r="U880" s="57"/>
      <c r="V880" s="73">
        <f t="shared" ref="V880:V943" si="48">SUM(O880+Q880)+S880+U880</f>
        <v>0</v>
      </c>
      <c r="W880" s="106"/>
      <c r="X880" s="64"/>
    </row>
    <row r="881" spans="1:24" s="66" customFormat="1" ht="12" hidden="1" customHeight="1">
      <c r="A881" s="74" t="s">
        <v>1733</v>
      </c>
      <c r="B881" s="74"/>
      <c r="C881" s="74"/>
      <c r="D881" s="74"/>
      <c r="E881" s="74"/>
      <c r="F881" s="74"/>
      <c r="G881" s="74"/>
      <c r="H881" s="74"/>
      <c r="I881" s="75" t="s">
        <v>2092</v>
      </c>
      <c r="J881" s="75" t="s">
        <v>1592</v>
      </c>
      <c r="K881" s="74" t="s">
        <v>1593</v>
      </c>
      <c r="L881" s="76" t="s">
        <v>0</v>
      </c>
      <c r="M881" s="57"/>
      <c r="N881" s="58"/>
      <c r="O881" s="57">
        <f t="shared" si="42"/>
        <v>0</v>
      </c>
      <c r="P881" s="77">
        <v>18440</v>
      </c>
      <c r="Q881" s="73">
        <f t="shared" si="47"/>
        <v>0</v>
      </c>
      <c r="R881" s="57"/>
      <c r="S881" s="57"/>
      <c r="T881" s="57"/>
      <c r="U881" s="57"/>
      <c r="V881" s="73">
        <f t="shared" si="48"/>
        <v>0</v>
      </c>
      <c r="W881" s="106"/>
      <c r="X881" s="64"/>
    </row>
    <row r="882" spans="1:24" s="66" customFormat="1" ht="12" hidden="1" customHeight="1">
      <c r="A882" s="74" t="s">
        <v>1734</v>
      </c>
      <c r="B882" s="74"/>
      <c r="C882" s="74"/>
      <c r="D882" s="74"/>
      <c r="E882" s="74"/>
      <c r="F882" s="74"/>
      <c r="G882" s="74"/>
      <c r="H882" s="74"/>
      <c r="I882" s="75" t="s">
        <v>2093</v>
      </c>
      <c r="J882" s="75" t="s">
        <v>1594</v>
      </c>
      <c r="K882" s="74" t="s">
        <v>1595</v>
      </c>
      <c r="L882" s="76" t="s">
        <v>0</v>
      </c>
      <c r="M882" s="57"/>
      <c r="N882" s="58"/>
      <c r="O882" s="57">
        <f t="shared" si="42"/>
        <v>0</v>
      </c>
      <c r="P882" s="77">
        <v>24587</v>
      </c>
      <c r="Q882" s="73">
        <f t="shared" si="47"/>
        <v>0</v>
      </c>
      <c r="R882" s="57"/>
      <c r="S882" s="57"/>
      <c r="T882" s="57"/>
      <c r="U882" s="57"/>
      <c r="V882" s="73">
        <f t="shared" si="48"/>
        <v>0</v>
      </c>
      <c r="W882" s="106"/>
      <c r="X882" s="64"/>
    </row>
    <row r="883" spans="1:24" s="66" customFormat="1" ht="12" hidden="1" customHeight="1">
      <c r="A883" s="74" t="s">
        <v>1735</v>
      </c>
      <c r="B883" s="74"/>
      <c r="C883" s="74"/>
      <c r="D883" s="74"/>
      <c r="E883" s="74"/>
      <c r="F883" s="74"/>
      <c r="G883" s="74"/>
      <c r="H883" s="74"/>
      <c r="I883" s="75" t="s">
        <v>2094</v>
      </c>
      <c r="J883" s="75" t="s">
        <v>1596</v>
      </c>
      <c r="K883" s="74" t="s">
        <v>1597</v>
      </c>
      <c r="L883" s="76" t="s">
        <v>0</v>
      </c>
      <c r="M883" s="57"/>
      <c r="N883" s="58"/>
      <c r="O883" s="57">
        <f t="shared" si="42"/>
        <v>0</v>
      </c>
      <c r="P883" s="77">
        <v>30734</v>
      </c>
      <c r="Q883" s="73">
        <f t="shared" si="47"/>
        <v>0</v>
      </c>
      <c r="R883" s="57"/>
      <c r="S883" s="57"/>
      <c r="T883" s="57"/>
      <c r="U883" s="57"/>
      <c r="V883" s="73">
        <f t="shared" si="48"/>
        <v>0</v>
      </c>
      <c r="W883" s="106"/>
      <c r="X883" s="64"/>
    </row>
    <row r="884" spans="1:24" s="66" customFormat="1" ht="12" hidden="1" customHeight="1">
      <c r="A884" s="74" t="s">
        <v>1736</v>
      </c>
      <c r="B884" s="74"/>
      <c r="C884" s="74"/>
      <c r="D884" s="74"/>
      <c r="E884" s="74"/>
      <c r="F884" s="74"/>
      <c r="G884" s="74"/>
      <c r="H884" s="74"/>
      <c r="I884" s="75" t="s">
        <v>2095</v>
      </c>
      <c r="J884" s="75" t="s">
        <v>1598</v>
      </c>
      <c r="K884" s="74" t="s">
        <v>1599</v>
      </c>
      <c r="L884" s="76" t="s">
        <v>0</v>
      </c>
      <c r="M884" s="57"/>
      <c r="N884" s="58"/>
      <c r="O884" s="57">
        <f t="shared" si="42"/>
        <v>0</v>
      </c>
      <c r="P884" s="77">
        <v>46101</v>
      </c>
      <c r="Q884" s="73">
        <f t="shared" si="47"/>
        <v>0</v>
      </c>
      <c r="R884" s="57"/>
      <c r="S884" s="57"/>
      <c r="T884" s="57"/>
      <c r="U884" s="57"/>
      <c r="V884" s="73">
        <f t="shared" si="48"/>
        <v>0</v>
      </c>
      <c r="W884" s="106"/>
      <c r="X884" s="64"/>
    </row>
    <row r="885" spans="1:24" s="66" customFormat="1" ht="12" hidden="1" customHeight="1">
      <c r="A885" s="74" t="s">
        <v>1737</v>
      </c>
      <c r="B885" s="74"/>
      <c r="C885" s="74"/>
      <c r="D885" s="74"/>
      <c r="E885" s="74"/>
      <c r="F885" s="74"/>
      <c r="G885" s="74"/>
      <c r="H885" s="74"/>
      <c r="I885" s="75" t="s">
        <v>2096</v>
      </c>
      <c r="J885" s="75" t="s">
        <v>1600</v>
      </c>
      <c r="K885" s="74" t="s">
        <v>1601</v>
      </c>
      <c r="L885" s="76" t="s">
        <v>0</v>
      </c>
      <c r="M885" s="57"/>
      <c r="N885" s="58"/>
      <c r="O885" s="57">
        <f t="shared" si="42"/>
        <v>0</v>
      </c>
      <c r="P885" s="77">
        <v>69151</v>
      </c>
      <c r="Q885" s="73">
        <f t="shared" si="47"/>
        <v>0</v>
      </c>
      <c r="R885" s="57"/>
      <c r="S885" s="57"/>
      <c r="T885" s="57"/>
      <c r="U885" s="57"/>
      <c r="V885" s="73">
        <f t="shared" si="48"/>
        <v>0</v>
      </c>
      <c r="W885" s="106"/>
      <c r="X885" s="64"/>
    </row>
    <row r="886" spans="1:24" s="66" customFormat="1" ht="12" hidden="1" customHeight="1">
      <c r="A886" s="74" t="s">
        <v>1738</v>
      </c>
      <c r="B886" s="74"/>
      <c r="C886" s="74"/>
      <c r="D886" s="74"/>
      <c r="E886" s="74"/>
      <c r="F886" s="74"/>
      <c r="G886" s="74"/>
      <c r="H886" s="74"/>
      <c r="I886" s="75" t="s">
        <v>2097</v>
      </c>
      <c r="J886" s="75" t="s">
        <v>1602</v>
      </c>
      <c r="K886" s="74" t="s">
        <v>1603</v>
      </c>
      <c r="L886" s="76" t="s">
        <v>0</v>
      </c>
      <c r="M886" s="57"/>
      <c r="N886" s="58"/>
      <c r="O886" s="57">
        <f t="shared" si="42"/>
        <v>0</v>
      </c>
      <c r="P886" s="77">
        <v>84519</v>
      </c>
      <c r="Q886" s="73">
        <f t="shared" si="47"/>
        <v>0</v>
      </c>
      <c r="R886" s="57"/>
      <c r="S886" s="57"/>
      <c r="T886" s="57"/>
      <c r="U886" s="57"/>
      <c r="V886" s="73">
        <f t="shared" si="48"/>
        <v>0</v>
      </c>
      <c r="W886" s="106"/>
      <c r="X886" s="64"/>
    </row>
    <row r="887" spans="1:24" s="66" customFormat="1" ht="12" hidden="1" customHeight="1">
      <c r="A887" s="74" t="s">
        <v>490</v>
      </c>
      <c r="B887" s="74"/>
      <c r="C887" s="74"/>
      <c r="D887" s="74"/>
      <c r="E887" s="74"/>
      <c r="F887" s="74"/>
      <c r="G887" s="74"/>
      <c r="H887" s="74"/>
      <c r="I887" s="75" t="s">
        <v>2133</v>
      </c>
      <c r="J887" s="75" t="s">
        <v>1136</v>
      </c>
      <c r="K887" s="74" t="s">
        <v>1137</v>
      </c>
      <c r="L887" s="76" t="s">
        <v>974</v>
      </c>
      <c r="M887" s="57"/>
      <c r="N887" s="77">
        <v>39410</v>
      </c>
      <c r="O887" s="57">
        <f t="shared" si="42"/>
        <v>0</v>
      </c>
      <c r="P887" s="77">
        <v>103635</v>
      </c>
      <c r="Q887" s="73">
        <f t="shared" si="47"/>
        <v>0</v>
      </c>
      <c r="R887" s="57"/>
      <c r="S887" s="57"/>
      <c r="T887" s="57"/>
      <c r="U887" s="57"/>
      <c r="V887" s="73">
        <f t="shared" si="48"/>
        <v>0</v>
      </c>
      <c r="W887" s="106"/>
      <c r="X887" s="64"/>
    </row>
    <row r="888" spans="1:24" s="66" customFormat="1" ht="12" hidden="1" customHeight="1">
      <c r="A888" s="74" t="s">
        <v>491</v>
      </c>
      <c r="B888" s="74"/>
      <c r="C888" s="74"/>
      <c r="D888" s="74"/>
      <c r="E888" s="74"/>
      <c r="F888" s="74"/>
      <c r="G888" s="74"/>
      <c r="H888" s="74"/>
      <c r="I888" s="75" t="s">
        <v>2134</v>
      </c>
      <c r="J888" s="75" t="s">
        <v>1136</v>
      </c>
      <c r="K888" s="74" t="s">
        <v>1138</v>
      </c>
      <c r="L888" s="76" t="s">
        <v>974</v>
      </c>
      <c r="M888" s="57"/>
      <c r="N888" s="77">
        <v>29100</v>
      </c>
      <c r="O888" s="57">
        <f t="shared" si="42"/>
        <v>0</v>
      </c>
      <c r="P888" s="77">
        <v>103635</v>
      </c>
      <c r="Q888" s="73">
        <f t="shared" si="47"/>
        <v>0</v>
      </c>
      <c r="R888" s="57"/>
      <c r="S888" s="57"/>
      <c r="T888" s="57"/>
      <c r="U888" s="57"/>
      <c r="V888" s="73">
        <f t="shared" si="48"/>
        <v>0</v>
      </c>
      <c r="W888" s="106"/>
      <c r="X888" s="64"/>
    </row>
    <row r="889" spans="1:24" s="66" customFormat="1" ht="12" hidden="1" customHeight="1">
      <c r="A889" s="74" t="s">
        <v>492</v>
      </c>
      <c r="B889" s="74"/>
      <c r="C889" s="74"/>
      <c r="D889" s="74"/>
      <c r="E889" s="74"/>
      <c r="F889" s="74"/>
      <c r="G889" s="74"/>
      <c r="H889" s="74"/>
      <c r="I889" s="75" t="s">
        <v>2135</v>
      </c>
      <c r="J889" s="75" t="s">
        <v>1140</v>
      </c>
      <c r="K889" s="74" t="s">
        <v>1142</v>
      </c>
      <c r="L889" s="76" t="s">
        <v>974</v>
      </c>
      <c r="M889" s="57"/>
      <c r="N889" s="77">
        <v>21240</v>
      </c>
      <c r="O889" s="57">
        <f t="shared" si="42"/>
        <v>0</v>
      </c>
      <c r="P889" s="77">
        <v>103635</v>
      </c>
      <c r="Q889" s="73">
        <f t="shared" si="47"/>
        <v>0</v>
      </c>
      <c r="R889" s="57"/>
      <c r="S889" s="57"/>
      <c r="T889" s="57"/>
      <c r="U889" s="57"/>
      <c r="V889" s="73">
        <f t="shared" si="48"/>
        <v>0</v>
      </c>
      <c r="W889" s="106"/>
      <c r="X889" s="64"/>
    </row>
    <row r="890" spans="1:24" s="66" customFormat="1" ht="12" hidden="1" customHeight="1">
      <c r="A890" s="74" t="s">
        <v>493</v>
      </c>
      <c r="B890" s="74"/>
      <c r="C890" s="74"/>
      <c r="D890" s="74"/>
      <c r="E890" s="74"/>
      <c r="F890" s="74"/>
      <c r="G890" s="74"/>
      <c r="H890" s="74"/>
      <c r="I890" s="75" t="s">
        <v>2135</v>
      </c>
      <c r="J890" s="75" t="s">
        <v>1140</v>
      </c>
      <c r="K890" s="74" t="s">
        <v>1141</v>
      </c>
      <c r="L890" s="76" t="s">
        <v>974</v>
      </c>
      <c r="M890" s="57"/>
      <c r="N890" s="77">
        <v>24010</v>
      </c>
      <c r="O890" s="57">
        <f t="shared" si="42"/>
        <v>0</v>
      </c>
      <c r="P890" s="77">
        <v>103635</v>
      </c>
      <c r="Q890" s="73">
        <f t="shared" si="47"/>
        <v>0</v>
      </c>
      <c r="R890" s="57"/>
      <c r="S890" s="57"/>
      <c r="T890" s="57"/>
      <c r="U890" s="57"/>
      <c r="V890" s="73">
        <f t="shared" si="48"/>
        <v>0</v>
      </c>
      <c r="W890" s="106"/>
      <c r="X890" s="64"/>
    </row>
    <row r="891" spans="1:24" s="66" customFormat="1" ht="12" hidden="1" customHeight="1">
      <c r="A891" s="74" t="s">
        <v>494</v>
      </c>
      <c r="B891" s="74"/>
      <c r="C891" s="74"/>
      <c r="D891" s="74"/>
      <c r="E891" s="74"/>
      <c r="F891" s="74"/>
      <c r="G891" s="74"/>
      <c r="H891" s="74"/>
      <c r="I891" s="75" t="s">
        <v>2135</v>
      </c>
      <c r="J891" s="75" t="s">
        <v>1140</v>
      </c>
      <c r="K891" s="74" t="s">
        <v>1139</v>
      </c>
      <c r="L891" s="76" t="s">
        <v>974</v>
      </c>
      <c r="M891" s="57"/>
      <c r="N891" s="77">
        <v>27300</v>
      </c>
      <c r="O891" s="57">
        <f t="shared" ref="O891:O954" si="49">M891*N891*$O$3</f>
        <v>0</v>
      </c>
      <c r="P891" s="77">
        <v>103635</v>
      </c>
      <c r="Q891" s="73">
        <f t="shared" si="47"/>
        <v>0</v>
      </c>
      <c r="R891" s="57"/>
      <c r="S891" s="57"/>
      <c r="T891" s="57"/>
      <c r="U891" s="57"/>
      <c r="V891" s="73">
        <f t="shared" si="48"/>
        <v>0</v>
      </c>
      <c r="W891" s="106"/>
      <c r="X891" s="64"/>
    </row>
    <row r="892" spans="1:24" s="66" customFormat="1" ht="12" hidden="1" customHeight="1">
      <c r="A892" s="74" t="s">
        <v>490</v>
      </c>
      <c r="B892" s="74"/>
      <c r="C892" s="74"/>
      <c r="D892" s="74"/>
      <c r="E892" s="74"/>
      <c r="F892" s="74"/>
      <c r="G892" s="74"/>
      <c r="H892" s="74"/>
      <c r="I892" s="75" t="s">
        <v>2133</v>
      </c>
      <c r="J892" s="75" t="s">
        <v>1136</v>
      </c>
      <c r="K892" s="74" t="s">
        <v>1137</v>
      </c>
      <c r="L892" s="76" t="s">
        <v>974</v>
      </c>
      <c r="M892" s="57"/>
      <c r="N892" s="77">
        <v>39410</v>
      </c>
      <c r="O892" s="57">
        <f t="shared" si="49"/>
        <v>0</v>
      </c>
      <c r="P892" s="77">
        <v>103635</v>
      </c>
      <c r="Q892" s="73">
        <f t="shared" si="47"/>
        <v>0</v>
      </c>
      <c r="R892" s="57"/>
      <c r="S892" s="57"/>
      <c r="T892" s="57"/>
      <c r="U892" s="57"/>
      <c r="V892" s="73">
        <f t="shared" si="48"/>
        <v>0</v>
      </c>
      <c r="W892" s="106"/>
      <c r="X892" s="64"/>
    </row>
    <row r="893" spans="1:24" s="66" customFormat="1" ht="12" hidden="1" customHeight="1">
      <c r="A893" s="74" t="s">
        <v>491</v>
      </c>
      <c r="B893" s="74"/>
      <c r="C893" s="74"/>
      <c r="D893" s="74"/>
      <c r="E893" s="74"/>
      <c r="F893" s="74"/>
      <c r="G893" s="74"/>
      <c r="H893" s="74"/>
      <c r="I893" s="75" t="s">
        <v>2134</v>
      </c>
      <c r="J893" s="75" t="s">
        <v>1136</v>
      </c>
      <c r="K893" s="74" t="s">
        <v>1138</v>
      </c>
      <c r="L893" s="76" t="s">
        <v>974</v>
      </c>
      <c r="M893" s="57"/>
      <c r="N893" s="77">
        <v>29100</v>
      </c>
      <c r="O893" s="57">
        <f t="shared" si="49"/>
        <v>0</v>
      </c>
      <c r="P893" s="77">
        <v>103635</v>
      </c>
      <c r="Q893" s="73">
        <f t="shared" si="47"/>
        <v>0</v>
      </c>
      <c r="R893" s="57"/>
      <c r="S893" s="57"/>
      <c r="T893" s="57"/>
      <c r="U893" s="57"/>
      <c r="V893" s="73">
        <f t="shared" si="48"/>
        <v>0</v>
      </c>
      <c r="W893" s="106"/>
      <c r="X893" s="64"/>
    </row>
    <row r="894" spans="1:24" s="66" customFormat="1" ht="12" hidden="1" customHeight="1">
      <c r="A894" s="74" t="s">
        <v>492</v>
      </c>
      <c r="B894" s="74"/>
      <c r="C894" s="74"/>
      <c r="D894" s="74"/>
      <c r="E894" s="74"/>
      <c r="F894" s="74"/>
      <c r="G894" s="74"/>
      <c r="H894" s="74"/>
      <c r="I894" s="75" t="s">
        <v>2135</v>
      </c>
      <c r="J894" s="75" t="s">
        <v>1140</v>
      </c>
      <c r="K894" s="74" t="s">
        <v>1142</v>
      </c>
      <c r="L894" s="76" t="s">
        <v>974</v>
      </c>
      <c r="M894" s="57"/>
      <c r="N894" s="77">
        <v>21240</v>
      </c>
      <c r="O894" s="57">
        <f t="shared" si="49"/>
        <v>0</v>
      </c>
      <c r="P894" s="77">
        <v>103635</v>
      </c>
      <c r="Q894" s="73">
        <f t="shared" si="47"/>
        <v>0</v>
      </c>
      <c r="R894" s="57"/>
      <c r="S894" s="57"/>
      <c r="T894" s="57"/>
      <c r="U894" s="57"/>
      <c r="V894" s="73">
        <f t="shared" si="48"/>
        <v>0</v>
      </c>
      <c r="W894" s="106"/>
      <c r="X894" s="64"/>
    </row>
    <row r="895" spans="1:24" s="66" customFormat="1" ht="12" hidden="1" customHeight="1">
      <c r="A895" s="74" t="s">
        <v>493</v>
      </c>
      <c r="B895" s="74"/>
      <c r="C895" s="74"/>
      <c r="D895" s="74"/>
      <c r="E895" s="74"/>
      <c r="F895" s="74"/>
      <c r="G895" s="74"/>
      <c r="H895" s="74"/>
      <c r="I895" s="75" t="s">
        <v>2135</v>
      </c>
      <c r="J895" s="75" t="s">
        <v>1140</v>
      </c>
      <c r="K895" s="74" t="s">
        <v>1141</v>
      </c>
      <c r="L895" s="76" t="s">
        <v>974</v>
      </c>
      <c r="M895" s="57"/>
      <c r="N895" s="77">
        <v>24010</v>
      </c>
      <c r="O895" s="57">
        <f t="shared" si="49"/>
        <v>0</v>
      </c>
      <c r="P895" s="77">
        <v>103635</v>
      </c>
      <c r="Q895" s="73">
        <f t="shared" si="47"/>
        <v>0</v>
      </c>
      <c r="R895" s="57"/>
      <c r="S895" s="57"/>
      <c r="T895" s="57"/>
      <c r="U895" s="57"/>
      <c r="V895" s="73">
        <f t="shared" si="48"/>
        <v>0</v>
      </c>
      <c r="W895" s="106"/>
      <c r="X895" s="64"/>
    </row>
    <row r="896" spans="1:24" s="66" customFormat="1" ht="12" hidden="1" customHeight="1">
      <c r="A896" s="74" t="s">
        <v>494</v>
      </c>
      <c r="B896" s="74"/>
      <c r="C896" s="74"/>
      <c r="D896" s="74"/>
      <c r="E896" s="74"/>
      <c r="F896" s="74"/>
      <c r="G896" s="74"/>
      <c r="H896" s="74"/>
      <c r="I896" s="75" t="s">
        <v>2135</v>
      </c>
      <c r="J896" s="75" t="s">
        <v>1140</v>
      </c>
      <c r="K896" s="74" t="s">
        <v>1139</v>
      </c>
      <c r="L896" s="76" t="s">
        <v>974</v>
      </c>
      <c r="M896" s="57"/>
      <c r="N896" s="77">
        <v>27300</v>
      </c>
      <c r="O896" s="57">
        <f t="shared" si="49"/>
        <v>0</v>
      </c>
      <c r="P896" s="77">
        <v>103635</v>
      </c>
      <c r="Q896" s="73">
        <f t="shared" si="47"/>
        <v>0</v>
      </c>
      <c r="R896" s="57"/>
      <c r="S896" s="57"/>
      <c r="T896" s="57"/>
      <c r="U896" s="57"/>
      <c r="V896" s="73">
        <f t="shared" si="48"/>
        <v>0</v>
      </c>
      <c r="W896" s="106"/>
      <c r="X896" s="64"/>
    </row>
    <row r="897" spans="1:24" s="66" customFormat="1" ht="12" hidden="1" customHeight="1">
      <c r="A897" s="74" t="s">
        <v>1806</v>
      </c>
      <c r="B897" s="74"/>
      <c r="C897" s="74"/>
      <c r="D897" s="74"/>
      <c r="E897" s="74"/>
      <c r="F897" s="74"/>
      <c r="G897" s="74"/>
      <c r="H897" s="74"/>
      <c r="I897" s="75" t="s">
        <v>2205</v>
      </c>
      <c r="J897" s="75" t="s">
        <v>1637</v>
      </c>
      <c r="K897" s="74" t="s">
        <v>1503</v>
      </c>
      <c r="L897" s="76" t="s">
        <v>1638</v>
      </c>
      <c r="M897" s="57"/>
      <c r="N897" s="58"/>
      <c r="O897" s="57">
        <f t="shared" si="49"/>
        <v>0</v>
      </c>
      <c r="P897" s="77">
        <v>57486</v>
      </c>
      <c r="Q897" s="73">
        <f t="shared" si="47"/>
        <v>0</v>
      </c>
      <c r="R897" s="57"/>
      <c r="S897" s="57"/>
      <c r="T897" s="57"/>
      <c r="U897" s="57"/>
      <c r="V897" s="73">
        <f t="shared" si="48"/>
        <v>0</v>
      </c>
      <c r="W897" s="106"/>
      <c r="X897" s="64"/>
    </row>
    <row r="898" spans="1:24" s="66" customFormat="1" ht="12" hidden="1" customHeight="1">
      <c r="A898" s="74" t="s">
        <v>663</v>
      </c>
      <c r="B898" s="74"/>
      <c r="C898" s="74"/>
      <c r="D898" s="74"/>
      <c r="E898" s="74"/>
      <c r="F898" s="74"/>
      <c r="G898" s="74"/>
      <c r="H898" s="74"/>
      <c r="I898" s="75" t="s">
        <v>2046</v>
      </c>
      <c r="J898" s="75" t="s">
        <v>1031</v>
      </c>
      <c r="K898" s="74" t="s">
        <v>1037</v>
      </c>
      <c r="L898" s="76" t="s">
        <v>1484</v>
      </c>
      <c r="M898" s="57"/>
      <c r="N898" s="77">
        <v>711540</v>
      </c>
      <c r="O898" s="57">
        <f t="shared" si="49"/>
        <v>0</v>
      </c>
      <c r="P898" s="77">
        <v>57776</v>
      </c>
      <c r="Q898" s="73">
        <f t="shared" si="47"/>
        <v>0</v>
      </c>
      <c r="R898" s="57"/>
      <c r="S898" s="57"/>
      <c r="T898" s="57"/>
      <c r="U898" s="57"/>
      <c r="V898" s="73">
        <f t="shared" si="48"/>
        <v>0</v>
      </c>
      <c r="W898" s="106"/>
      <c r="X898" s="64"/>
    </row>
    <row r="899" spans="1:24" s="66" customFormat="1" ht="12" hidden="1" customHeight="1">
      <c r="A899" s="74" t="s">
        <v>664</v>
      </c>
      <c r="B899" s="74"/>
      <c r="C899" s="74"/>
      <c r="D899" s="74"/>
      <c r="E899" s="74"/>
      <c r="F899" s="74"/>
      <c r="G899" s="74"/>
      <c r="H899" s="74"/>
      <c r="I899" s="75" t="s">
        <v>2048</v>
      </c>
      <c r="J899" s="75" t="s">
        <v>1031</v>
      </c>
      <c r="K899" s="74" t="s">
        <v>1036</v>
      </c>
      <c r="L899" s="76" t="s">
        <v>1484</v>
      </c>
      <c r="M899" s="57"/>
      <c r="N899" s="77">
        <v>722160</v>
      </c>
      <c r="O899" s="57">
        <f t="shared" si="49"/>
        <v>0</v>
      </c>
      <c r="P899" s="77">
        <v>107262</v>
      </c>
      <c r="Q899" s="73">
        <f t="shared" si="47"/>
        <v>0</v>
      </c>
      <c r="R899" s="57"/>
      <c r="S899" s="57"/>
      <c r="T899" s="57"/>
      <c r="U899" s="57"/>
      <c r="V899" s="73">
        <f t="shared" si="48"/>
        <v>0</v>
      </c>
      <c r="W899" s="106"/>
      <c r="X899" s="64"/>
    </row>
    <row r="900" spans="1:24" s="66" customFormat="1" ht="12" hidden="1" customHeight="1">
      <c r="A900" s="74" t="s">
        <v>665</v>
      </c>
      <c r="B900" s="74"/>
      <c r="C900" s="74"/>
      <c r="D900" s="74"/>
      <c r="E900" s="74"/>
      <c r="F900" s="74"/>
      <c r="G900" s="74"/>
      <c r="H900" s="74"/>
      <c r="I900" s="75" t="s">
        <v>2048</v>
      </c>
      <c r="J900" s="75" t="s">
        <v>1031</v>
      </c>
      <c r="K900" s="74" t="s">
        <v>1035</v>
      </c>
      <c r="L900" s="76" t="s">
        <v>1484</v>
      </c>
      <c r="M900" s="57"/>
      <c r="N900" s="77">
        <v>732780</v>
      </c>
      <c r="O900" s="57">
        <f t="shared" si="49"/>
        <v>0</v>
      </c>
      <c r="P900" s="77">
        <v>107262</v>
      </c>
      <c r="Q900" s="73">
        <f t="shared" si="47"/>
        <v>0</v>
      </c>
      <c r="R900" s="57"/>
      <c r="S900" s="57"/>
      <c r="T900" s="57"/>
      <c r="U900" s="57"/>
      <c r="V900" s="73">
        <f t="shared" si="48"/>
        <v>0</v>
      </c>
      <c r="W900" s="106"/>
      <c r="X900" s="64"/>
    </row>
    <row r="901" spans="1:24" s="66" customFormat="1" ht="12" hidden="1" customHeight="1">
      <c r="A901" s="74" t="s">
        <v>666</v>
      </c>
      <c r="B901" s="74"/>
      <c r="C901" s="74"/>
      <c r="D901" s="74"/>
      <c r="E901" s="74"/>
      <c r="F901" s="74"/>
      <c r="G901" s="74"/>
      <c r="H901" s="74"/>
      <c r="I901" s="75" t="s">
        <v>2048</v>
      </c>
      <c r="J901" s="75" t="s">
        <v>1031</v>
      </c>
      <c r="K901" s="74" t="s">
        <v>1034</v>
      </c>
      <c r="L901" s="76" t="s">
        <v>1484</v>
      </c>
      <c r="M901" s="57"/>
      <c r="N901" s="77">
        <v>754020</v>
      </c>
      <c r="O901" s="57">
        <f t="shared" si="49"/>
        <v>0</v>
      </c>
      <c r="P901" s="77">
        <v>107262</v>
      </c>
      <c r="Q901" s="73">
        <f t="shared" si="47"/>
        <v>0</v>
      </c>
      <c r="R901" s="57"/>
      <c r="S901" s="57"/>
      <c r="T901" s="57"/>
      <c r="U901" s="57"/>
      <c r="V901" s="73">
        <f t="shared" si="48"/>
        <v>0</v>
      </c>
      <c r="W901" s="106"/>
      <c r="X901" s="64"/>
    </row>
    <row r="902" spans="1:24" s="66" customFormat="1" ht="12" hidden="1" customHeight="1">
      <c r="A902" s="74" t="s">
        <v>667</v>
      </c>
      <c r="B902" s="74"/>
      <c r="C902" s="74"/>
      <c r="D902" s="74"/>
      <c r="E902" s="74"/>
      <c r="F902" s="74"/>
      <c r="G902" s="74"/>
      <c r="H902" s="74"/>
      <c r="I902" s="75" t="s">
        <v>2048</v>
      </c>
      <c r="J902" s="75" t="s">
        <v>1031</v>
      </c>
      <c r="K902" s="74" t="s">
        <v>1033</v>
      </c>
      <c r="L902" s="76" t="s">
        <v>1484</v>
      </c>
      <c r="M902" s="57"/>
      <c r="N902" s="77">
        <v>785880</v>
      </c>
      <c r="O902" s="57">
        <f t="shared" si="49"/>
        <v>0</v>
      </c>
      <c r="P902" s="77">
        <v>107262</v>
      </c>
      <c r="Q902" s="73">
        <f t="shared" si="47"/>
        <v>0</v>
      </c>
      <c r="R902" s="57"/>
      <c r="S902" s="57"/>
      <c r="T902" s="57"/>
      <c r="U902" s="57"/>
      <c r="V902" s="73">
        <f t="shared" si="48"/>
        <v>0</v>
      </c>
      <c r="W902" s="106"/>
      <c r="X902" s="64"/>
    </row>
    <row r="903" spans="1:24" s="66" customFormat="1" ht="12" hidden="1" customHeight="1">
      <c r="A903" s="74" t="s">
        <v>703</v>
      </c>
      <c r="B903" s="74"/>
      <c r="C903" s="74"/>
      <c r="D903" s="74"/>
      <c r="E903" s="74"/>
      <c r="F903" s="74"/>
      <c r="G903" s="74"/>
      <c r="H903" s="74"/>
      <c r="I903" s="75" t="s">
        <v>2180</v>
      </c>
      <c r="J903" s="75" t="s">
        <v>2181</v>
      </c>
      <c r="K903" s="74" t="s">
        <v>2182</v>
      </c>
      <c r="L903" s="76" t="s">
        <v>20</v>
      </c>
      <c r="M903" s="57"/>
      <c r="N903" s="77">
        <v>3600</v>
      </c>
      <c r="O903" s="57">
        <f t="shared" si="49"/>
        <v>0</v>
      </c>
      <c r="P903" s="77">
        <v>152862</v>
      </c>
      <c r="Q903" s="73">
        <f t="shared" si="47"/>
        <v>0</v>
      </c>
      <c r="R903" s="57"/>
      <c r="S903" s="57"/>
      <c r="T903" s="57"/>
      <c r="U903" s="57"/>
      <c r="V903" s="73">
        <f t="shared" si="48"/>
        <v>0</v>
      </c>
      <c r="W903" s="106"/>
      <c r="X903" s="64"/>
    </row>
    <row r="904" spans="1:24" s="66" customFormat="1" ht="12" hidden="1" customHeight="1">
      <c r="A904" s="74" t="s">
        <v>704</v>
      </c>
      <c r="B904" s="74"/>
      <c r="C904" s="74"/>
      <c r="D904" s="74"/>
      <c r="E904" s="74"/>
      <c r="F904" s="74"/>
      <c r="G904" s="74"/>
      <c r="H904" s="74"/>
      <c r="I904" s="75" t="s">
        <v>2183</v>
      </c>
      <c r="J904" s="75" t="s">
        <v>2184</v>
      </c>
      <c r="K904" s="74" t="s">
        <v>2185</v>
      </c>
      <c r="L904" s="76" t="s">
        <v>20</v>
      </c>
      <c r="M904" s="57"/>
      <c r="N904" s="77">
        <v>6800</v>
      </c>
      <c r="O904" s="57">
        <f t="shared" si="49"/>
        <v>0</v>
      </c>
      <c r="P904" s="77">
        <v>33681</v>
      </c>
      <c r="Q904" s="73">
        <f t="shared" si="47"/>
        <v>0</v>
      </c>
      <c r="R904" s="57"/>
      <c r="S904" s="57"/>
      <c r="T904" s="57"/>
      <c r="U904" s="57"/>
      <c r="V904" s="73">
        <f t="shared" si="48"/>
        <v>0</v>
      </c>
      <c r="W904" s="106"/>
      <c r="X904" s="64"/>
    </row>
    <row r="905" spans="1:24" s="66" customFormat="1" ht="12" hidden="1" customHeight="1">
      <c r="A905" s="74" t="s">
        <v>705</v>
      </c>
      <c r="B905" s="74"/>
      <c r="C905" s="74"/>
      <c r="D905" s="74"/>
      <c r="E905" s="74"/>
      <c r="F905" s="74"/>
      <c r="G905" s="74"/>
      <c r="H905" s="74"/>
      <c r="I905" s="75" t="s">
        <v>2186</v>
      </c>
      <c r="J905" s="75" t="s">
        <v>2187</v>
      </c>
      <c r="K905" s="74" t="s">
        <v>2188</v>
      </c>
      <c r="L905" s="76" t="s">
        <v>20</v>
      </c>
      <c r="M905" s="57"/>
      <c r="N905" s="77">
        <v>4100</v>
      </c>
      <c r="O905" s="57">
        <f t="shared" si="49"/>
        <v>0</v>
      </c>
      <c r="P905" s="77">
        <v>41454</v>
      </c>
      <c r="Q905" s="73">
        <f t="shared" si="47"/>
        <v>0</v>
      </c>
      <c r="R905" s="57"/>
      <c r="S905" s="57"/>
      <c r="T905" s="57"/>
      <c r="U905" s="57"/>
      <c r="V905" s="73">
        <f t="shared" si="48"/>
        <v>0</v>
      </c>
      <c r="W905" s="106"/>
      <c r="X905" s="64"/>
    </row>
    <row r="906" spans="1:24" s="66" customFormat="1" ht="12" hidden="1" customHeight="1">
      <c r="A906" s="69" t="s">
        <v>1759</v>
      </c>
      <c r="B906" s="69"/>
      <c r="C906" s="69"/>
      <c r="D906" s="69"/>
      <c r="E906" s="69"/>
      <c r="F906" s="69"/>
      <c r="G906" s="69"/>
      <c r="H906" s="69"/>
      <c r="I906" s="70" t="s">
        <v>2143</v>
      </c>
      <c r="J906" s="70" t="s">
        <v>1631</v>
      </c>
      <c r="K906" s="69" t="s">
        <v>1632</v>
      </c>
      <c r="L906" s="71" t="s">
        <v>1135</v>
      </c>
      <c r="M906" s="57"/>
      <c r="N906" s="77"/>
      <c r="O906" s="57"/>
      <c r="P906" s="72">
        <v>55189</v>
      </c>
      <c r="Q906" s="73">
        <f t="shared" si="47"/>
        <v>0</v>
      </c>
      <c r="R906" s="57"/>
      <c r="S906" s="57"/>
      <c r="T906" s="57"/>
      <c r="U906" s="57"/>
      <c r="V906" s="73">
        <f t="shared" si="48"/>
        <v>0</v>
      </c>
      <c r="W906" s="106"/>
      <c r="X906" s="64"/>
    </row>
    <row r="907" spans="1:24" s="66" customFormat="1" ht="12" hidden="1" customHeight="1">
      <c r="A907" s="69" t="s">
        <v>708</v>
      </c>
      <c r="B907" s="69"/>
      <c r="C907" s="69"/>
      <c r="D907" s="69"/>
      <c r="E907" s="69"/>
      <c r="F907" s="69"/>
      <c r="G907" s="69"/>
      <c r="H907" s="69"/>
      <c r="I907" s="70" t="s">
        <v>2202</v>
      </c>
      <c r="J907" s="70" t="s">
        <v>2203</v>
      </c>
      <c r="K907" s="69" t="s">
        <v>2204</v>
      </c>
      <c r="L907" s="71" t="s">
        <v>20</v>
      </c>
      <c r="M907" s="57"/>
      <c r="N907" s="72">
        <v>1900</v>
      </c>
      <c r="O907" s="57"/>
      <c r="P907" s="72">
        <v>19437</v>
      </c>
      <c r="Q907" s="73"/>
      <c r="R907" s="57"/>
      <c r="S907" s="57"/>
      <c r="T907" s="57"/>
      <c r="U907" s="57"/>
      <c r="V907" s="73">
        <f t="shared" si="48"/>
        <v>0</v>
      </c>
      <c r="W907" s="106"/>
      <c r="X907" s="64"/>
    </row>
    <row r="908" spans="1:24" s="66" customFormat="1" ht="12" hidden="1" customHeight="1">
      <c r="A908" s="74" t="s">
        <v>1802</v>
      </c>
      <c r="B908" s="74"/>
      <c r="C908" s="74"/>
      <c r="D908" s="74"/>
      <c r="E908" s="74"/>
      <c r="F908" s="74"/>
      <c r="G908" s="74"/>
      <c r="H908" s="74"/>
      <c r="I908" s="75" t="s">
        <v>2198</v>
      </c>
      <c r="J908" s="75" t="s">
        <v>1639</v>
      </c>
      <c r="K908" s="74" t="s">
        <v>1640</v>
      </c>
      <c r="L908" s="76" t="s">
        <v>1135</v>
      </c>
      <c r="M908" s="57"/>
      <c r="N908" s="58"/>
      <c r="O908" s="57">
        <f t="shared" si="49"/>
        <v>0</v>
      </c>
      <c r="P908" s="77">
        <v>3427</v>
      </c>
      <c r="Q908" s="73">
        <f t="shared" si="47"/>
        <v>0</v>
      </c>
      <c r="R908" s="57"/>
      <c r="S908" s="57"/>
      <c r="T908" s="57"/>
      <c r="U908" s="57"/>
      <c r="V908" s="73">
        <f t="shared" si="48"/>
        <v>0</v>
      </c>
      <c r="W908" s="106"/>
      <c r="X908" s="64"/>
    </row>
    <row r="909" spans="1:24" s="66" customFormat="1" ht="12" hidden="1" customHeight="1">
      <c r="A909" s="74" t="s">
        <v>1803</v>
      </c>
      <c r="B909" s="74"/>
      <c r="C909" s="74"/>
      <c r="D909" s="74"/>
      <c r="E909" s="74"/>
      <c r="F909" s="74"/>
      <c r="G909" s="74"/>
      <c r="H909" s="74"/>
      <c r="I909" s="75" t="s">
        <v>2199</v>
      </c>
      <c r="J909" s="75" t="s">
        <v>1641</v>
      </c>
      <c r="K909" s="74" t="s">
        <v>1642</v>
      </c>
      <c r="L909" s="76" t="s">
        <v>1135</v>
      </c>
      <c r="M909" s="57"/>
      <c r="N909" s="58"/>
      <c r="O909" s="57">
        <f t="shared" si="49"/>
        <v>0</v>
      </c>
      <c r="P909" s="77">
        <v>41124</v>
      </c>
      <c r="Q909" s="73">
        <f t="shared" si="47"/>
        <v>0</v>
      </c>
      <c r="R909" s="57"/>
      <c r="S909" s="57"/>
      <c r="T909" s="57"/>
      <c r="U909" s="57"/>
      <c r="V909" s="73">
        <f t="shared" si="48"/>
        <v>0</v>
      </c>
      <c r="W909" s="106"/>
      <c r="X909" s="64"/>
    </row>
    <row r="910" spans="1:24" s="66" customFormat="1" ht="12" hidden="1" customHeight="1">
      <c r="A910" s="74" t="s">
        <v>1804</v>
      </c>
      <c r="B910" s="74"/>
      <c r="C910" s="74"/>
      <c r="D910" s="74"/>
      <c r="E910" s="74"/>
      <c r="F910" s="74"/>
      <c r="G910" s="74"/>
      <c r="H910" s="74"/>
      <c r="I910" s="75" t="s">
        <v>2200</v>
      </c>
      <c r="J910" s="75" t="s">
        <v>1639</v>
      </c>
      <c r="K910" s="74" t="s">
        <v>1643</v>
      </c>
      <c r="L910" s="76" t="s">
        <v>1135</v>
      </c>
      <c r="M910" s="57"/>
      <c r="N910" s="58"/>
      <c r="O910" s="57">
        <f t="shared" si="49"/>
        <v>0</v>
      </c>
      <c r="P910" s="77">
        <v>58259</v>
      </c>
      <c r="Q910" s="73">
        <f t="shared" si="47"/>
        <v>0</v>
      </c>
      <c r="R910" s="57"/>
      <c r="S910" s="57"/>
      <c r="T910" s="57"/>
      <c r="U910" s="57"/>
      <c r="V910" s="73">
        <f t="shared" si="48"/>
        <v>0</v>
      </c>
      <c r="W910" s="106"/>
      <c r="X910" s="64"/>
    </row>
    <row r="911" spans="1:24" s="66" customFormat="1" ht="12" hidden="1" customHeight="1">
      <c r="A911" s="74" t="s">
        <v>1805</v>
      </c>
      <c r="B911" s="74"/>
      <c r="C911" s="74"/>
      <c r="D911" s="74"/>
      <c r="E911" s="74"/>
      <c r="F911" s="74"/>
      <c r="G911" s="74"/>
      <c r="H911" s="74"/>
      <c r="I911" s="75" t="s">
        <v>2201</v>
      </c>
      <c r="J911" s="75" t="s">
        <v>1641</v>
      </c>
      <c r="K911" s="74" t="s">
        <v>1644</v>
      </c>
      <c r="L911" s="76" t="s">
        <v>1135</v>
      </c>
      <c r="M911" s="57"/>
      <c r="N911" s="58"/>
      <c r="O911" s="57">
        <f t="shared" si="49"/>
        <v>0</v>
      </c>
      <c r="P911" s="77">
        <v>71967</v>
      </c>
      <c r="Q911" s="73">
        <f t="shared" si="47"/>
        <v>0</v>
      </c>
      <c r="R911" s="57"/>
      <c r="S911" s="57"/>
      <c r="T911" s="57"/>
      <c r="U911" s="57"/>
      <c r="V911" s="73">
        <f t="shared" si="48"/>
        <v>0</v>
      </c>
      <c r="W911" s="106"/>
      <c r="X911" s="64"/>
    </row>
    <row r="912" spans="1:24" s="66" customFormat="1" ht="12" hidden="1" customHeight="1">
      <c r="A912" s="74" t="s">
        <v>1758</v>
      </c>
      <c r="B912" s="74"/>
      <c r="C912" s="74"/>
      <c r="D912" s="74"/>
      <c r="E912" s="74"/>
      <c r="F912" s="74"/>
      <c r="G912" s="74"/>
      <c r="H912" s="74"/>
      <c r="I912" s="75" t="s">
        <v>2142</v>
      </c>
      <c r="J912" s="75" t="s">
        <v>1623</v>
      </c>
      <c r="K912" s="74" t="s">
        <v>1612</v>
      </c>
      <c r="L912" s="76" t="s">
        <v>1135</v>
      </c>
      <c r="M912" s="57"/>
      <c r="N912" s="58"/>
      <c r="O912" s="57">
        <f t="shared" si="49"/>
        <v>0</v>
      </c>
      <c r="P912" s="77">
        <v>145991</v>
      </c>
      <c r="Q912" s="73">
        <f t="shared" si="47"/>
        <v>0</v>
      </c>
      <c r="R912" s="57"/>
      <c r="S912" s="57"/>
      <c r="T912" s="57"/>
      <c r="U912" s="57"/>
      <c r="V912" s="73">
        <f t="shared" si="48"/>
        <v>0</v>
      </c>
      <c r="W912" s="106"/>
      <c r="X912" s="64"/>
    </row>
    <row r="913" spans="1:24" s="66" customFormat="1" ht="12" hidden="1" customHeight="1">
      <c r="A913" s="74" t="s">
        <v>1739</v>
      </c>
      <c r="B913" s="74"/>
      <c r="C913" s="74"/>
      <c r="D913" s="74"/>
      <c r="E913" s="74"/>
      <c r="F913" s="74"/>
      <c r="G913" s="74"/>
      <c r="H913" s="74"/>
      <c r="I913" s="75" t="s">
        <v>2098</v>
      </c>
      <c r="J913" s="75" t="s">
        <v>1613</v>
      </c>
      <c r="K913" s="74" t="s">
        <v>1614</v>
      </c>
      <c r="L913" s="76" t="s">
        <v>1135</v>
      </c>
      <c r="M913" s="57"/>
      <c r="N913" s="58"/>
      <c r="O913" s="57">
        <f t="shared" si="49"/>
        <v>0</v>
      </c>
      <c r="P913" s="77">
        <v>32899</v>
      </c>
      <c r="Q913" s="73">
        <f t="shared" si="47"/>
        <v>0</v>
      </c>
      <c r="R913" s="57"/>
      <c r="S913" s="57"/>
      <c r="T913" s="57"/>
      <c r="U913" s="57"/>
      <c r="V913" s="73">
        <f t="shared" si="48"/>
        <v>0</v>
      </c>
      <c r="W913" s="106"/>
      <c r="X913" s="64"/>
    </row>
    <row r="914" spans="1:24" s="66" customFormat="1" ht="12" hidden="1" customHeight="1">
      <c r="A914" s="74" t="s">
        <v>1740</v>
      </c>
      <c r="B914" s="74"/>
      <c r="C914" s="74"/>
      <c r="D914" s="74"/>
      <c r="E914" s="74"/>
      <c r="F914" s="74"/>
      <c r="G914" s="74"/>
      <c r="H914" s="74"/>
      <c r="I914" s="75" t="s">
        <v>2099</v>
      </c>
      <c r="J914" s="75" t="s">
        <v>1615</v>
      </c>
      <c r="K914" s="74" t="s">
        <v>1604</v>
      </c>
      <c r="L914" s="76" t="s">
        <v>1135</v>
      </c>
      <c r="M914" s="57"/>
      <c r="N914" s="58"/>
      <c r="O914" s="57">
        <f t="shared" si="49"/>
        <v>0</v>
      </c>
      <c r="P914" s="77">
        <v>40781</v>
      </c>
      <c r="Q914" s="73">
        <f t="shared" si="47"/>
        <v>0</v>
      </c>
      <c r="R914" s="57"/>
      <c r="S914" s="57"/>
      <c r="T914" s="57"/>
      <c r="U914" s="57"/>
      <c r="V914" s="73">
        <f t="shared" si="48"/>
        <v>0</v>
      </c>
      <c r="W914" s="106"/>
      <c r="X914" s="64"/>
    </row>
    <row r="915" spans="1:24" s="66" customFormat="1" ht="12" hidden="1" customHeight="1">
      <c r="A915" s="74" t="s">
        <v>1741</v>
      </c>
      <c r="B915" s="74"/>
      <c r="C915" s="74"/>
      <c r="D915" s="74"/>
      <c r="E915" s="74"/>
      <c r="F915" s="74"/>
      <c r="G915" s="74"/>
      <c r="H915" s="74"/>
      <c r="I915" s="75" t="s">
        <v>2100</v>
      </c>
      <c r="J915" s="75" t="s">
        <v>1616</v>
      </c>
      <c r="K915" s="74" t="s">
        <v>1605</v>
      </c>
      <c r="L915" s="76" t="s">
        <v>1135</v>
      </c>
      <c r="M915" s="57"/>
      <c r="N915" s="58"/>
      <c r="O915" s="57">
        <f t="shared" si="49"/>
        <v>0</v>
      </c>
      <c r="P915" s="77">
        <v>48663</v>
      </c>
      <c r="Q915" s="73">
        <f t="shared" si="47"/>
        <v>0</v>
      </c>
      <c r="R915" s="57"/>
      <c r="S915" s="57"/>
      <c r="T915" s="57"/>
      <c r="U915" s="57"/>
      <c r="V915" s="73">
        <f t="shared" si="48"/>
        <v>0</v>
      </c>
      <c r="W915" s="106"/>
      <c r="X915" s="64"/>
    </row>
    <row r="916" spans="1:24" s="66" customFormat="1" ht="12" hidden="1" customHeight="1">
      <c r="A916" s="74" t="s">
        <v>1742</v>
      </c>
      <c r="B916" s="74"/>
      <c r="C916" s="74"/>
      <c r="D916" s="74"/>
      <c r="E916" s="74"/>
      <c r="F916" s="74"/>
      <c r="G916" s="74"/>
      <c r="H916" s="74"/>
      <c r="I916" s="75" t="s">
        <v>2101</v>
      </c>
      <c r="J916" s="75" t="s">
        <v>1617</v>
      </c>
      <c r="K916" s="74" t="s">
        <v>1606</v>
      </c>
      <c r="L916" s="76" t="s">
        <v>1135</v>
      </c>
      <c r="M916" s="57"/>
      <c r="N916" s="58"/>
      <c r="O916" s="57">
        <f t="shared" si="49"/>
        <v>0</v>
      </c>
      <c r="P916" s="77">
        <v>56545</v>
      </c>
      <c r="Q916" s="73">
        <f t="shared" si="47"/>
        <v>0</v>
      </c>
      <c r="R916" s="57"/>
      <c r="S916" s="57"/>
      <c r="T916" s="57"/>
      <c r="U916" s="57"/>
      <c r="V916" s="73">
        <f t="shared" si="48"/>
        <v>0</v>
      </c>
      <c r="W916" s="106"/>
      <c r="X916" s="64"/>
    </row>
    <row r="917" spans="1:24" s="66" customFormat="1" ht="12" hidden="1" customHeight="1">
      <c r="A917" s="74" t="s">
        <v>1743</v>
      </c>
      <c r="B917" s="74"/>
      <c r="C917" s="74"/>
      <c r="D917" s="74"/>
      <c r="E917" s="74"/>
      <c r="F917" s="74"/>
      <c r="G917" s="74"/>
      <c r="H917" s="74"/>
      <c r="I917" s="75" t="s">
        <v>2102</v>
      </c>
      <c r="J917" s="75" t="s">
        <v>1618</v>
      </c>
      <c r="K917" s="74" t="s">
        <v>1607</v>
      </c>
      <c r="L917" s="76" t="s">
        <v>1135</v>
      </c>
      <c r="M917" s="57"/>
      <c r="N917" s="58"/>
      <c r="O917" s="57">
        <f t="shared" si="49"/>
        <v>0</v>
      </c>
      <c r="P917" s="77">
        <v>71967</v>
      </c>
      <c r="Q917" s="73">
        <f t="shared" si="47"/>
        <v>0</v>
      </c>
      <c r="R917" s="57"/>
      <c r="S917" s="57"/>
      <c r="T917" s="57"/>
      <c r="U917" s="57"/>
      <c r="V917" s="73">
        <f t="shared" si="48"/>
        <v>0</v>
      </c>
      <c r="W917" s="106"/>
      <c r="X917" s="64"/>
    </row>
    <row r="918" spans="1:24" s="66" customFormat="1" ht="12" hidden="1" customHeight="1">
      <c r="A918" s="74" t="s">
        <v>1744</v>
      </c>
      <c r="B918" s="74"/>
      <c r="C918" s="74"/>
      <c r="D918" s="74"/>
      <c r="E918" s="74"/>
      <c r="F918" s="74"/>
      <c r="G918" s="74"/>
      <c r="H918" s="74"/>
      <c r="I918" s="75" t="s">
        <v>2103</v>
      </c>
      <c r="J918" s="75" t="s">
        <v>1619</v>
      </c>
      <c r="K918" s="74" t="s">
        <v>1608</v>
      </c>
      <c r="L918" s="76" t="s">
        <v>1135</v>
      </c>
      <c r="M918" s="57"/>
      <c r="N918" s="58"/>
      <c r="O918" s="57">
        <f t="shared" si="49"/>
        <v>0</v>
      </c>
      <c r="P918" s="77">
        <v>86360</v>
      </c>
      <c r="Q918" s="73">
        <f t="shared" si="47"/>
        <v>0</v>
      </c>
      <c r="R918" s="57"/>
      <c r="S918" s="57"/>
      <c r="T918" s="57"/>
      <c r="U918" s="57"/>
      <c r="V918" s="73">
        <f t="shared" si="48"/>
        <v>0</v>
      </c>
      <c r="W918" s="106"/>
      <c r="X918" s="64"/>
    </row>
    <row r="919" spans="1:24" s="66" customFormat="1" ht="12" hidden="1" customHeight="1">
      <c r="A919" s="74" t="s">
        <v>1745</v>
      </c>
      <c r="B919" s="74"/>
      <c r="C919" s="74"/>
      <c r="D919" s="74"/>
      <c r="E919" s="74"/>
      <c r="F919" s="74"/>
      <c r="G919" s="74"/>
      <c r="H919" s="74"/>
      <c r="I919" s="75" t="s">
        <v>2104</v>
      </c>
      <c r="J919" s="75" t="s">
        <v>1620</v>
      </c>
      <c r="K919" s="74" t="s">
        <v>1609</v>
      </c>
      <c r="L919" s="76" t="s">
        <v>1135</v>
      </c>
      <c r="M919" s="57"/>
      <c r="N919" s="58"/>
      <c r="O919" s="57">
        <f t="shared" si="49"/>
        <v>0</v>
      </c>
      <c r="P919" s="77">
        <v>101097</v>
      </c>
      <c r="Q919" s="73">
        <f t="shared" si="47"/>
        <v>0</v>
      </c>
      <c r="R919" s="57"/>
      <c r="S919" s="57"/>
      <c r="T919" s="57"/>
      <c r="U919" s="57"/>
      <c r="V919" s="73">
        <f t="shared" si="48"/>
        <v>0</v>
      </c>
      <c r="W919" s="106"/>
      <c r="X919" s="64"/>
    </row>
    <row r="920" spans="1:24" s="66" customFormat="1" ht="12" hidden="1" customHeight="1">
      <c r="A920" s="74" t="s">
        <v>1746</v>
      </c>
      <c r="B920" s="74"/>
      <c r="C920" s="74"/>
      <c r="D920" s="74"/>
      <c r="E920" s="74"/>
      <c r="F920" s="74"/>
      <c r="G920" s="74"/>
      <c r="H920" s="74"/>
      <c r="I920" s="75" t="s">
        <v>2105</v>
      </c>
      <c r="J920" s="75" t="s">
        <v>1621</v>
      </c>
      <c r="K920" s="74" t="s">
        <v>1610</v>
      </c>
      <c r="L920" s="76" t="s">
        <v>1135</v>
      </c>
      <c r="M920" s="57"/>
      <c r="N920" s="58"/>
      <c r="O920" s="57">
        <f t="shared" si="49"/>
        <v>0</v>
      </c>
      <c r="P920" s="77">
        <v>116175</v>
      </c>
      <c r="Q920" s="73">
        <f t="shared" si="47"/>
        <v>0</v>
      </c>
      <c r="R920" s="57"/>
      <c r="S920" s="57"/>
      <c r="T920" s="57"/>
      <c r="U920" s="57"/>
      <c r="V920" s="73">
        <f t="shared" si="48"/>
        <v>0</v>
      </c>
      <c r="W920" s="106"/>
      <c r="X920" s="64"/>
    </row>
    <row r="921" spans="1:24" s="66" customFormat="1" ht="12" hidden="1" customHeight="1">
      <c r="A921" s="74" t="s">
        <v>1747</v>
      </c>
      <c r="B921" s="74"/>
      <c r="C921" s="74"/>
      <c r="D921" s="74"/>
      <c r="E921" s="74"/>
      <c r="F921" s="74"/>
      <c r="G921" s="74"/>
      <c r="H921" s="74"/>
      <c r="I921" s="75" t="s">
        <v>2106</v>
      </c>
      <c r="J921" s="75" t="s">
        <v>1622</v>
      </c>
      <c r="K921" s="74" t="s">
        <v>1611</v>
      </c>
      <c r="L921" s="76" t="s">
        <v>1135</v>
      </c>
      <c r="M921" s="57"/>
      <c r="N921" s="58"/>
      <c r="O921" s="57">
        <f t="shared" si="49"/>
        <v>0</v>
      </c>
      <c r="P921" s="77">
        <v>131597</v>
      </c>
      <c r="Q921" s="73">
        <f t="shared" si="47"/>
        <v>0</v>
      </c>
      <c r="R921" s="57"/>
      <c r="S921" s="57"/>
      <c r="T921" s="57"/>
      <c r="U921" s="57"/>
      <c r="V921" s="73">
        <f t="shared" si="48"/>
        <v>0</v>
      </c>
      <c r="W921" s="106"/>
      <c r="X921" s="64"/>
    </row>
    <row r="922" spans="1:24" s="66" customFormat="1" ht="12" hidden="1" customHeight="1">
      <c r="A922" s="81" t="s">
        <v>4387</v>
      </c>
      <c r="B922" s="81"/>
      <c r="C922" s="81"/>
      <c r="D922" s="81"/>
      <c r="E922" s="81"/>
      <c r="F922" s="81"/>
      <c r="G922" s="81"/>
      <c r="H922" s="81"/>
      <c r="I922" s="81" t="s">
        <v>4404</v>
      </c>
      <c r="J922" s="81" t="s">
        <v>4405</v>
      </c>
      <c r="K922" s="81" t="s">
        <v>4406</v>
      </c>
      <c r="L922" s="81" t="s">
        <v>0</v>
      </c>
      <c r="M922" s="57"/>
      <c r="N922" s="82">
        <v>3180</v>
      </c>
      <c r="O922" s="57">
        <f t="shared" si="49"/>
        <v>0</v>
      </c>
      <c r="P922" s="77"/>
      <c r="Q922" s="73"/>
      <c r="R922" s="57"/>
      <c r="S922" s="57"/>
      <c r="T922" s="57"/>
      <c r="U922" s="57"/>
      <c r="V922" s="73">
        <f t="shared" si="48"/>
        <v>0</v>
      </c>
      <c r="W922" s="106"/>
      <c r="X922" s="64"/>
    </row>
    <row r="923" spans="1:24" s="66" customFormat="1" ht="12" hidden="1" customHeight="1">
      <c r="A923" s="81" t="s">
        <v>4388</v>
      </c>
      <c r="B923" s="81"/>
      <c r="C923" s="81"/>
      <c r="D923" s="81"/>
      <c r="E923" s="81"/>
      <c r="F923" s="81"/>
      <c r="G923" s="81"/>
      <c r="H923" s="81"/>
      <c r="I923" s="81" t="s">
        <v>4404</v>
      </c>
      <c r="J923" s="81" t="s">
        <v>4405</v>
      </c>
      <c r="K923" s="81" t="s">
        <v>4407</v>
      </c>
      <c r="L923" s="81" t="s">
        <v>0</v>
      </c>
      <c r="M923" s="57"/>
      <c r="N923" s="82">
        <v>3460</v>
      </c>
      <c r="O923" s="57">
        <f t="shared" si="49"/>
        <v>0</v>
      </c>
      <c r="P923" s="77"/>
      <c r="Q923" s="73"/>
      <c r="R923" s="57"/>
      <c r="S923" s="57"/>
      <c r="T923" s="57"/>
      <c r="U923" s="57"/>
      <c r="V923" s="73">
        <f t="shared" si="48"/>
        <v>0</v>
      </c>
      <c r="W923" s="106"/>
      <c r="X923" s="64"/>
    </row>
    <row r="924" spans="1:24" s="66" customFormat="1" ht="12" hidden="1" customHeight="1">
      <c r="A924" s="81" t="s">
        <v>4389</v>
      </c>
      <c r="B924" s="81"/>
      <c r="C924" s="81"/>
      <c r="D924" s="81"/>
      <c r="E924" s="81"/>
      <c r="F924" s="81"/>
      <c r="G924" s="81"/>
      <c r="H924" s="81"/>
      <c r="I924" s="81" t="s">
        <v>4404</v>
      </c>
      <c r="J924" s="81" t="s">
        <v>4408</v>
      </c>
      <c r="K924" s="81" t="s">
        <v>4409</v>
      </c>
      <c r="L924" s="81" t="s">
        <v>20</v>
      </c>
      <c r="M924" s="57"/>
      <c r="N924" s="82">
        <v>74340</v>
      </c>
      <c r="O924" s="57">
        <f t="shared" si="49"/>
        <v>0</v>
      </c>
      <c r="P924" s="77"/>
      <c r="Q924" s="73"/>
      <c r="R924" s="57"/>
      <c r="S924" s="57"/>
      <c r="T924" s="57"/>
      <c r="U924" s="57"/>
      <c r="V924" s="73">
        <f t="shared" si="48"/>
        <v>0</v>
      </c>
      <c r="W924" s="106"/>
      <c r="X924" s="64"/>
    </row>
    <row r="925" spans="1:24" s="66" customFormat="1" ht="12" hidden="1" customHeight="1">
      <c r="A925" s="81" t="s">
        <v>4390</v>
      </c>
      <c r="B925" s="81"/>
      <c r="C925" s="81"/>
      <c r="D925" s="81"/>
      <c r="E925" s="81"/>
      <c r="F925" s="81"/>
      <c r="G925" s="81"/>
      <c r="H925" s="81"/>
      <c r="I925" s="81" t="s">
        <v>4404</v>
      </c>
      <c r="J925" s="81" t="s">
        <v>4408</v>
      </c>
      <c r="K925" s="81" t="s">
        <v>4410</v>
      </c>
      <c r="L925" s="81" t="s">
        <v>20</v>
      </c>
      <c r="M925" s="57"/>
      <c r="N925" s="82">
        <v>37170</v>
      </c>
      <c r="O925" s="57">
        <f t="shared" si="49"/>
        <v>0</v>
      </c>
      <c r="P925" s="77"/>
      <c r="Q925" s="73"/>
      <c r="R925" s="57"/>
      <c r="S925" s="57"/>
      <c r="T925" s="57"/>
      <c r="U925" s="57"/>
      <c r="V925" s="73">
        <f t="shared" si="48"/>
        <v>0</v>
      </c>
      <c r="W925" s="106"/>
      <c r="X925" s="64"/>
    </row>
    <row r="926" spans="1:24" s="66" customFormat="1" ht="12" hidden="1" customHeight="1">
      <c r="A926" s="81" t="s">
        <v>4391</v>
      </c>
      <c r="B926" s="81"/>
      <c r="C926" s="81"/>
      <c r="D926" s="81"/>
      <c r="E926" s="81"/>
      <c r="F926" s="81"/>
      <c r="G926" s="81"/>
      <c r="H926" s="81"/>
      <c r="I926" s="81" t="s">
        <v>4404</v>
      </c>
      <c r="J926" s="81" t="s">
        <v>4408</v>
      </c>
      <c r="K926" s="81" t="s">
        <v>4411</v>
      </c>
      <c r="L926" s="81" t="s">
        <v>20</v>
      </c>
      <c r="M926" s="57"/>
      <c r="N926" s="82">
        <v>37170</v>
      </c>
      <c r="O926" s="57">
        <f t="shared" si="49"/>
        <v>0</v>
      </c>
      <c r="P926" s="77"/>
      <c r="Q926" s="73"/>
      <c r="R926" s="57"/>
      <c r="S926" s="57"/>
      <c r="T926" s="57"/>
      <c r="U926" s="57"/>
      <c r="V926" s="73">
        <f t="shared" si="48"/>
        <v>0</v>
      </c>
      <c r="W926" s="106"/>
      <c r="X926" s="64"/>
    </row>
    <row r="927" spans="1:24" s="66" customFormat="1" ht="12" hidden="1" customHeight="1">
      <c r="A927" s="81" t="s">
        <v>4392</v>
      </c>
      <c r="B927" s="81"/>
      <c r="C927" s="81"/>
      <c r="D927" s="81"/>
      <c r="E927" s="81"/>
      <c r="F927" s="81"/>
      <c r="G927" s="81"/>
      <c r="H927" s="81"/>
      <c r="I927" s="81" t="s">
        <v>4404</v>
      </c>
      <c r="J927" s="81" t="s">
        <v>4408</v>
      </c>
      <c r="K927" s="81" t="s">
        <v>4412</v>
      </c>
      <c r="L927" s="81" t="s">
        <v>20</v>
      </c>
      <c r="M927" s="57"/>
      <c r="N927" s="82">
        <v>37170</v>
      </c>
      <c r="O927" s="57">
        <f t="shared" si="49"/>
        <v>0</v>
      </c>
      <c r="P927" s="77"/>
      <c r="Q927" s="73"/>
      <c r="R927" s="57"/>
      <c r="S927" s="57"/>
      <c r="T927" s="57"/>
      <c r="U927" s="57"/>
      <c r="V927" s="73">
        <f t="shared" si="48"/>
        <v>0</v>
      </c>
      <c r="W927" s="106"/>
      <c r="X927" s="64"/>
    </row>
    <row r="928" spans="1:24" s="66" customFormat="1" ht="12" hidden="1" customHeight="1">
      <c r="A928" s="81" t="s">
        <v>4393</v>
      </c>
      <c r="B928" s="81"/>
      <c r="C928" s="81"/>
      <c r="D928" s="81"/>
      <c r="E928" s="81"/>
      <c r="F928" s="81"/>
      <c r="G928" s="81"/>
      <c r="H928" s="81"/>
      <c r="I928" s="81" t="s">
        <v>4413</v>
      </c>
      <c r="J928" s="81" t="s">
        <v>4413</v>
      </c>
      <c r="K928" s="81" t="s">
        <v>4414</v>
      </c>
      <c r="L928" s="81" t="s">
        <v>0</v>
      </c>
      <c r="M928" s="57"/>
      <c r="N928" s="82">
        <v>1956</v>
      </c>
      <c r="O928" s="57">
        <f t="shared" si="49"/>
        <v>0</v>
      </c>
      <c r="P928" s="77"/>
      <c r="Q928" s="73"/>
      <c r="R928" s="57"/>
      <c r="S928" s="57"/>
      <c r="T928" s="57"/>
      <c r="U928" s="57"/>
      <c r="V928" s="73">
        <f t="shared" si="48"/>
        <v>0</v>
      </c>
      <c r="W928" s="106"/>
      <c r="X928" s="64"/>
    </row>
    <row r="929" spans="1:24" s="66" customFormat="1" ht="12" hidden="1" customHeight="1">
      <c r="A929" s="81" t="s">
        <v>4394</v>
      </c>
      <c r="B929" s="81"/>
      <c r="C929" s="81"/>
      <c r="D929" s="81"/>
      <c r="E929" s="81"/>
      <c r="F929" s="81"/>
      <c r="G929" s="81"/>
      <c r="H929" s="81"/>
      <c r="I929" s="81" t="s">
        <v>4413</v>
      </c>
      <c r="J929" s="81" t="s">
        <v>4413</v>
      </c>
      <c r="K929" s="81" t="s">
        <v>4415</v>
      </c>
      <c r="L929" s="81" t="s">
        <v>0</v>
      </c>
      <c r="M929" s="57"/>
      <c r="N929" s="82">
        <v>2934</v>
      </c>
      <c r="O929" s="57">
        <f t="shared" si="49"/>
        <v>0</v>
      </c>
      <c r="P929" s="77"/>
      <c r="Q929" s="73"/>
      <c r="R929" s="57"/>
      <c r="S929" s="57"/>
      <c r="T929" s="57"/>
      <c r="U929" s="57"/>
      <c r="V929" s="73">
        <f t="shared" si="48"/>
        <v>0</v>
      </c>
      <c r="W929" s="106"/>
      <c r="X929" s="64"/>
    </row>
    <row r="930" spans="1:24" s="66" customFormat="1" ht="12" hidden="1" customHeight="1">
      <c r="A930" s="81" t="s">
        <v>4395</v>
      </c>
      <c r="B930" s="81"/>
      <c r="C930" s="81"/>
      <c r="D930" s="81"/>
      <c r="E930" s="81"/>
      <c r="F930" s="81"/>
      <c r="G930" s="81"/>
      <c r="H930" s="81"/>
      <c r="I930" s="81" t="s">
        <v>4413</v>
      </c>
      <c r="J930" s="81" t="s">
        <v>4413</v>
      </c>
      <c r="K930" s="81" t="s">
        <v>4416</v>
      </c>
      <c r="L930" s="81" t="s">
        <v>0</v>
      </c>
      <c r="M930" s="57"/>
      <c r="N930" s="82">
        <v>3912</v>
      </c>
      <c r="O930" s="57">
        <f t="shared" si="49"/>
        <v>0</v>
      </c>
      <c r="P930" s="77"/>
      <c r="Q930" s="73"/>
      <c r="R930" s="57"/>
      <c r="S930" s="57"/>
      <c r="T930" s="57"/>
      <c r="U930" s="57"/>
      <c r="V930" s="73">
        <f t="shared" si="48"/>
        <v>0</v>
      </c>
      <c r="W930" s="106"/>
      <c r="X930" s="64"/>
    </row>
    <row r="931" spans="1:24" s="66" customFormat="1" ht="12" hidden="1" customHeight="1">
      <c r="A931" s="81" t="s">
        <v>4396</v>
      </c>
      <c r="B931" s="81"/>
      <c r="C931" s="81"/>
      <c r="D931" s="81"/>
      <c r="E931" s="81"/>
      <c r="F931" s="81"/>
      <c r="G931" s="81"/>
      <c r="H931" s="81"/>
      <c r="I931" s="81" t="s">
        <v>4413</v>
      </c>
      <c r="J931" s="81" t="s">
        <v>4413</v>
      </c>
      <c r="K931" s="81" t="s">
        <v>4417</v>
      </c>
      <c r="L931" s="81" t="s">
        <v>0</v>
      </c>
      <c r="M931" s="57"/>
      <c r="N931" s="82">
        <v>6520</v>
      </c>
      <c r="O931" s="57">
        <f t="shared" si="49"/>
        <v>0</v>
      </c>
      <c r="P931" s="77"/>
      <c r="Q931" s="73"/>
      <c r="R931" s="57"/>
      <c r="S931" s="57"/>
      <c r="T931" s="57"/>
      <c r="U931" s="57"/>
      <c r="V931" s="73">
        <f t="shared" si="48"/>
        <v>0</v>
      </c>
      <c r="W931" s="106"/>
      <c r="X931" s="64"/>
    </row>
    <row r="932" spans="1:24" s="66" customFormat="1" ht="12" hidden="1" customHeight="1">
      <c r="A932" s="81" t="s">
        <v>4397</v>
      </c>
      <c r="B932" s="81"/>
      <c r="C932" s="81"/>
      <c r="D932" s="81"/>
      <c r="E932" s="81"/>
      <c r="F932" s="81"/>
      <c r="G932" s="81"/>
      <c r="H932" s="81"/>
      <c r="I932" s="81" t="s">
        <v>4413</v>
      </c>
      <c r="J932" s="81" t="s">
        <v>4413</v>
      </c>
      <c r="K932" s="81" t="s">
        <v>4418</v>
      </c>
      <c r="L932" s="81" t="s">
        <v>0</v>
      </c>
      <c r="M932" s="57"/>
      <c r="N932" s="82">
        <v>1304</v>
      </c>
      <c r="O932" s="57">
        <f t="shared" si="49"/>
        <v>0</v>
      </c>
      <c r="P932" s="77"/>
      <c r="Q932" s="73"/>
      <c r="R932" s="57"/>
      <c r="S932" s="57"/>
      <c r="T932" s="57"/>
      <c r="U932" s="57"/>
      <c r="V932" s="73">
        <f t="shared" si="48"/>
        <v>0</v>
      </c>
      <c r="W932" s="106"/>
      <c r="X932" s="64"/>
    </row>
    <row r="933" spans="1:24" s="66" customFormat="1" ht="12" hidden="1" customHeight="1">
      <c r="A933" s="81" t="s">
        <v>4398</v>
      </c>
      <c r="B933" s="81"/>
      <c r="C933" s="81"/>
      <c r="D933" s="81"/>
      <c r="E933" s="81"/>
      <c r="F933" s="81"/>
      <c r="G933" s="81"/>
      <c r="H933" s="81"/>
      <c r="I933" s="81" t="s">
        <v>4413</v>
      </c>
      <c r="J933" s="81" t="s">
        <v>4413</v>
      </c>
      <c r="K933" s="81" t="s">
        <v>4419</v>
      </c>
      <c r="L933" s="81" t="s">
        <v>0</v>
      </c>
      <c r="M933" s="57"/>
      <c r="N933" s="82">
        <v>1467</v>
      </c>
      <c r="O933" s="57">
        <f t="shared" si="49"/>
        <v>0</v>
      </c>
      <c r="P933" s="77"/>
      <c r="Q933" s="73"/>
      <c r="R933" s="57"/>
      <c r="S933" s="57"/>
      <c r="T933" s="57"/>
      <c r="U933" s="57"/>
      <c r="V933" s="73">
        <f t="shared" si="48"/>
        <v>0</v>
      </c>
      <c r="W933" s="106"/>
      <c r="X933" s="64"/>
    </row>
    <row r="934" spans="1:24" s="66" customFormat="1" ht="12" hidden="1" customHeight="1">
      <c r="A934" s="81" t="s">
        <v>4399</v>
      </c>
      <c r="B934" s="81"/>
      <c r="C934" s="81"/>
      <c r="D934" s="81"/>
      <c r="E934" s="81"/>
      <c r="F934" s="81"/>
      <c r="G934" s="81"/>
      <c r="H934" s="81"/>
      <c r="I934" s="81" t="s">
        <v>4413</v>
      </c>
      <c r="J934" s="81" t="s">
        <v>4413</v>
      </c>
      <c r="K934" s="81" t="s">
        <v>4420</v>
      </c>
      <c r="L934" s="81" t="s">
        <v>0</v>
      </c>
      <c r="M934" s="57"/>
      <c r="N934" s="82">
        <v>1956</v>
      </c>
      <c r="O934" s="57">
        <f t="shared" si="49"/>
        <v>0</v>
      </c>
      <c r="P934" s="77"/>
      <c r="Q934" s="73"/>
      <c r="R934" s="57"/>
      <c r="S934" s="57"/>
      <c r="T934" s="57"/>
      <c r="U934" s="57"/>
      <c r="V934" s="73">
        <f t="shared" si="48"/>
        <v>0</v>
      </c>
      <c r="W934" s="106"/>
      <c r="X934" s="64"/>
    </row>
    <row r="935" spans="1:24" s="66" customFormat="1" ht="12" hidden="1" customHeight="1">
      <c r="A935" s="81" t="s">
        <v>4400</v>
      </c>
      <c r="B935" s="81"/>
      <c r="C935" s="81"/>
      <c r="D935" s="81"/>
      <c r="E935" s="81"/>
      <c r="F935" s="81"/>
      <c r="G935" s="81"/>
      <c r="H935" s="81"/>
      <c r="I935" s="81" t="s">
        <v>4413</v>
      </c>
      <c r="J935" s="81" t="s">
        <v>4413</v>
      </c>
      <c r="K935" s="81" t="s">
        <v>4421</v>
      </c>
      <c r="L935" s="81" t="s">
        <v>0</v>
      </c>
      <c r="M935" s="57"/>
      <c r="N935" s="82">
        <v>2445</v>
      </c>
      <c r="O935" s="57">
        <f t="shared" si="49"/>
        <v>0</v>
      </c>
      <c r="P935" s="77"/>
      <c r="Q935" s="73"/>
      <c r="R935" s="57"/>
      <c r="S935" s="57"/>
      <c r="T935" s="57"/>
      <c r="U935" s="57"/>
      <c r="V935" s="73">
        <f t="shared" si="48"/>
        <v>0</v>
      </c>
      <c r="W935" s="106"/>
      <c r="X935" s="64"/>
    </row>
    <row r="936" spans="1:24" s="66" customFormat="1" ht="12" hidden="1" customHeight="1">
      <c r="A936" s="81" t="s">
        <v>4401</v>
      </c>
      <c r="B936" s="81"/>
      <c r="C936" s="81"/>
      <c r="D936" s="81"/>
      <c r="E936" s="81"/>
      <c r="F936" s="81"/>
      <c r="G936" s="81"/>
      <c r="H936" s="81"/>
      <c r="I936" s="81" t="s">
        <v>4422</v>
      </c>
      <c r="J936" s="81" t="s">
        <v>4423</v>
      </c>
      <c r="K936" s="81" t="s">
        <v>4424</v>
      </c>
      <c r="L936" s="81" t="s">
        <v>0</v>
      </c>
      <c r="M936" s="57"/>
      <c r="N936" s="82">
        <v>854</v>
      </c>
      <c r="O936" s="57">
        <f t="shared" si="49"/>
        <v>0</v>
      </c>
      <c r="P936" s="77"/>
      <c r="Q936" s="73"/>
      <c r="R936" s="57"/>
      <c r="S936" s="57"/>
      <c r="T936" s="57"/>
      <c r="U936" s="57"/>
      <c r="V936" s="73">
        <f t="shared" si="48"/>
        <v>0</v>
      </c>
      <c r="W936" s="106"/>
      <c r="X936" s="64"/>
    </row>
    <row r="937" spans="1:24" s="66" customFormat="1" ht="12" hidden="1" customHeight="1">
      <c r="A937" s="81" t="s">
        <v>4402</v>
      </c>
      <c r="B937" s="81"/>
      <c r="C937" s="81"/>
      <c r="D937" s="81"/>
      <c r="E937" s="81"/>
      <c r="F937" s="81"/>
      <c r="G937" s="81"/>
      <c r="H937" s="81"/>
      <c r="I937" s="81" t="s">
        <v>4422</v>
      </c>
      <c r="J937" s="81" t="s">
        <v>4423</v>
      </c>
      <c r="K937" s="81" t="s">
        <v>4425</v>
      </c>
      <c r="L937" s="81" t="s">
        <v>0</v>
      </c>
      <c r="M937" s="57"/>
      <c r="N937" s="82">
        <v>1512</v>
      </c>
      <c r="O937" s="57">
        <f t="shared" si="49"/>
        <v>0</v>
      </c>
      <c r="P937" s="77"/>
      <c r="Q937" s="73"/>
      <c r="R937" s="57"/>
      <c r="S937" s="57"/>
      <c r="T937" s="57"/>
      <c r="U937" s="57"/>
      <c r="V937" s="73">
        <f t="shared" si="48"/>
        <v>0</v>
      </c>
      <c r="W937" s="106"/>
      <c r="X937" s="64"/>
    </row>
    <row r="938" spans="1:24" s="66" customFormat="1" ht="12" hidden="1" customHeight="1">
      <c r="A938" s="81" t="s">
        <v>4403</v>
      </c>
      <c r="B938" s="81"/>
      <c r="C938" s="81"/>
      <c r="D938" s="81"/>
      <c r="E938" s="81"/>
      <c r="F938" s="81"/>
      <c r="G938" s="81"/>
      <c r="H938" s="81"/>
      <c r="I938" s="81" t="s">
        <v>4422</v>
      </c>
      <c r="J938" s="81" t="s">
        <v>4423</v>
      </c>
      <c r="K938" s="81" t="s">
        <v>4426</v>
      </c>
      <c r="L938" s="81" t="s">
        <v>0</v>
      </c>
      <c r="M938" s="57"/>
      <c r="N938" s="82">
        <v>2312</v>
      </c>
      <c r="O938" s="57">
        <f t="shared" si="49"/>
        <v>0</v>
      </c>
      <c r="P938" s="77"/>
      <c r="Q938" s="73"/>
      <c r="R938" s="57"/>
      <c r="S938" s="57"/>
      <c r="T938" s="57"/>
      <c r="U938" s="57"/>
      <c r="V938" s="73">
        <f t="shared" si="48"/>
        <v>0</v>
      </c>
      <c r="W938" s="106"/>
      <c r="X938" s="64"/>
    </row>
    <row r="939" spans="1:24" s="66" customFormat="1" ht="12" hidden="1" customHeight="1">
      <c r="A939" s="81" t="s">
        <v>4427</v>
      </c>
      <c r="B939" s="81"/>
      <c r="C939" s="81"/>
      <c r="D939" s="81"/>
      <c r="E939" s="81"/>
      <c r="F939" s="81"/>
      <c r="G939" s="81"/>
      <c r="H939" s="81"/>
      <c r="I939" s="81" t="s">
        <v>4430</v>
      </c>
      <c r="J939" s="81" t="s">
        <v>4431</v>
      </c>
      <c r="K939" s="81" t="s">
        <v>4432</v>
      </c>
      <c r="L939" s="81" t="s">
        <v>0</v>
      </c>
      <c r="M939" s="57"/>
      <c r="N939" s="82">
        <v>2660</v>
      </c>
      <c r="O939" s="57">
        <f t="shared" si="49"/>
        <v>0</v>
      </c>
      <c r="P939" s="77"/>
      <c r="Q939" s="73"/>
      <c r="R939" s="57"/>
      <c r="S939" s="57"/>
      <c r="T939" s="57"/>
      <c r="U939" s="57"/>
      <c r="V939" s="73">
        <f t="shared" si="48"/>
        <v>0</v>
      </c>
      <c r="W939" s="106"/>
      <c r="X939" s="64"/>
    </row>
    <row r="940" spans="1:24" s="66" customFormat="1" ht="12" hidden="1" customHeight="1">
      <c r="A940" s="81" t="s">
        <v>4428</v>
      </c>
      <c r="B940" s="81"/>
      <c r="C940" s="81"/>
      <c r="D940" s="81"/>
      <c r="E940" s="81"/>
      <c r="F940" s="81"/>
      <c r="G940" s="81"/>
      <c r="H940" s="81"/>
      <c r="I940" s="81" t="s">
        <v>4430</v>
      </c>
      <c r="J940" s="81" t="s">
        <v>4433</v>
      </c>
      <c r="K940" s="81" t="s">
        <v>4434</v>
      </c>
      <c r="L940" s="81" t="s">
        <v>0</v>
      </c>
      <c r="M940" s="57"/>
      <c r="N940" s="82">
        <v>1280</v>
      </c>
      <c r="O940" s="57">
        <f t="shared" si="49"/>
        <v>0</v>
      </c>
      <c r="P940" s="77"/>
      <c r="Q940" s="73"/>
      <c r="R940" s="57"/>
      <c r="S940" s="57"/>
      <c r="T940" s="57"/>
      <c r="U940" s="57"/>
      <c r="V940" s="73">
        <f t="shared" si="48"/>
        <v>0</v>
      </c>
      <c r="W940" s="106"/>
      <c r="X940" s="64"/>
    </row>
    <row r="941" spans="1:24" s="66" customFormat="1" ht="12" hidden="1" customHeight="1">
      <c r="A941" s="81" t="s">
        <v>4429</v>
      </c>
      <c r="B941" s="81"/>
      <c r="C941" s="81"/>
      <c r="D941" s="81"/>
      <c r="E941" s="81"/>
      <c r="F941" s="81"/>
      <c r="G941" s="81"/>
      <c r="H941" s="81"/>
      <c r="I941" s="81" t="s">
        <v>4430</v>
      </c>
      <c r="J941" s="81" t="s">
        <v>4435</v>
      </c>
      <c r="K941" s="81" t="s">
        <v>4436</v>
      </c>
      <c r="L941" s="81" t="s">
        <v>0</v>
      </c>
      <c r="M941" s="57"/>
      <c r="N941" s="82">
        <v>1010</v>
      </c>
      <c r="O941" s="57">
        <f t="shared" si="49"/>
        <v>0</v>
      </c>
      <c r="P941" s="77"/>
      <c r="Q941" s="73"/>
      <c r="R941" s="57"/>
      <c r="S941" s="57"/>
      <c r="T941" s="57"/>
      <c r="U941" s="57"/>
      <c r="V941" s="73">
        <f t="shared" si="48"/>
        <v>0</v>
      </c>
      <c r="W941" s="106"/>
      <c r="X941" s="64"/>
    </row>
    <row r="942" spans="1:24" s="66" customFormat="1" ht="12" hidden="1" customHeight="1">
      <c r="A942" s="81" t="s">
        <v>4437</v>
      </c>
      <c r="B942" s="81"/>
      <c r="C942" s="81"/>
      <c r="D942" s="81"/>
      <c r="E942" s="81"/>
      <c r="F942" s="81"/>
      <c r="G942" s="81"/>
      <c r="H942" s="81"/>
      <c r="I942" s="81" t="s">
        <v>4430</v>
      </c>
      <c r="J942" s="81" t="s">
        <v>4439</v>
      </c>
      <c r="K942" s="81" t="s">
        <v>4440</v>
      </c>
      <c r="L942" s="81" t="s">
        <v>20</v>
      </c>
      <c r="M942" s="57"/>
      <c r="N942" s="82">
        <v>1120</v>
      </c>
      <c r="O942" s="57">
        <f t="shared" si="49"/>
        <v>0</v>
      </c>
      <c r="P942" s="77"/>
      <c r="Q942" s="73"/>
      <c r="R942" s="57"/>
      <c r="S942" s="57"/>
      <c r="T942" s="57"/>
      <c r="U942" s="57"/>
      <c r="V942" s="73">
        <f t="shared" si="48"/>
        <v>0</v>
      </c>
      <c r="W942" s="106"/>
      <c r="X942" s="64"/>
    </row>
    <row r="943" spans="1:24" s="66" customFormat="1" ht="12" hidden="1" customHeight="1">
      <c r="A943" s="81" t="s">
        <v>4438</v>
      </c>
      <c r="B943" s="81"/>
      <c r="C943" s="81"/>
      <c r="D943" s="81"/>
      <c r="E943" s="81"/>
      <c r="F943" s="81"/>
      <c r="G943" s="81"/>
      <c r="H943" s="81"/>
      <c r="I943" s="81" t="s">
        <v>4430</v>
      </c>
      <c r="J943" s="81" t="s">
        <v>4441</v>
      </c>
      <c r="K943" s="81" t="s">
        <v>4442</v>
      </c>
      <c r="L943" s="81" t="s">
        <v>20</v>
      </c>
      <c r="M943" s="57"/>
      <c r="N943" s="82">
        <v>480</v>
      </c>
      <c r="O943" s="57">
        <f t="shared" si="49"/>
        <v>0</v>
      </c>
      <c r="P943" s="77"/>
      <c r="Q943" s="73"/>
      <c r="R943" s="57"/>
      <c r="S943" s="57"/>
      <c r="T943" s="57"/>
      <c r="U943" s="57"/>
      <c r="V943" s="73">
        <f t="shared" si="48"/>
        <v>0</v>
      </c>
      <c r="W943" s="106"/>
      <c r="X943" s="64"/>
    </row>
    <row r="944" spans="1:24" s="66" customFormat="1" ht="12" hidden="1" customHeight="1">
      <c r="A944" s="81" t="s">
        <v>4443</v>
      </c>
      <c r="B944" s="81"/>
      <c r="C944" s="81"/>
      <c r="D944" s="81"/>
      <c r="E944" s="81"/>
      <c r="F944" s="81"/>
      <c r="G944" s="81"/>
      <c r="H944" s="81"/>
      <c r="I944" s="81" t="s">
        <v>2289</v>
      </c>
      <c r="J944" s="81" t="s">
        <v>4446</v>
      </c>
      <c r="K944" s="81" t="s">
        <v>4447</v>
      </c>
      <c r="L944" s="81" t="s">
        <v>0</v>
      </c>
      <c r="M944" s="57"/>
      <c r="N944" s="82">
        <v>285</v>
      </c>
      <c r="O944" s="57">
        <f t="shared" si="49"/>
        <v>0</v>
      </c>
      <c r="P944" s="77"/>
      <c r="Q944" s="73"/>
      <c r="R944" s="57"/>
      <c r="S944" s="57"/>
      <c r="T944" s="57"/>
      <c r="U944" s="57"/>
      <c r="V944" s="73">
        <f t="shared" ref="V944:V1007" si="50">SUM(O944+Q944)+S944+U944</f>
        <v>0</v>
      </c>
      <c r="W944" s="106"/>
      <c r="X944" s="64"/>
    </row>
    <row r="945" spans="1:24" s="66" customFormat="1" ht="12" hidden="1" customHeight="1">
      <c r="A945" s="81" t="s">
        <v>4444</v>
      </c>
      <c r="B945" s="81"/>
      <c r="C945" s="81"/>
      <c r="D945" s="81"/>
      <c r="E945" s="81"/>
      <c r="F945" s="81"/>
      <c r="G945" s="81"/>
      <c r="H945" s="81"/>
      <c r="I945" s="81" t="s">
        <v>2289</v>
      </c>
      <c r="J945" s="81" t="s">
        <v>4446</v>
      </c>
      <c r="K945" s="81" t="s">
        <v>4448</v>
      </c>
      <c r="L945" s="81" t="s">
        <v>0</v>
      </c>
      <c r="M945" s="57"/>
      <c r="N945" s="82">
        <v>471</v>
      </c>
      <c r="O945" s="57">
        <f t="shared" si="49"/>
        <v>0</v>
      </c>
      <c r="P945" s="77"/>
      <c r="Q945" s="73"/>
      <c r="R945" s="57"/>
      <c r="S945" s="57"/>
      <c r="T945" s="57"/>
      <c r="U945" s="57"/>
      <c r="V945" s="73">
        <f t="shared" si="50"/>
        <v>0</v>
      </c>
      <c r="W945" s="106"/>
      <c r="X945" s="64"/>
    </row>
    <row r="946" spans="1:24" s="66" customFormat="1" ht="12" hidden="1" customHeight="1">
      <c r="A946" s="81" t="s">
        <v>4445</v>
      </c>
      <c r="B946" s="81"/>
      <c r="C946" s="81"/>
      <c r="D946" s="81"/>
      <c r="E946" s="81"/>
      <c r="F946" s="81"/>
      <c r="G946" s="81"/>
      <c r="H946" s="81"/>
      <c r="I946" s="81" t="s">
        <v>2289</v>
      </c>
      <c r="J946" s="81" t="s">
        <v>4446</v>
      </c>
      <c r="K946" s="81" t="s">
        <v>4449</v>
      </c>
      <c r="L946" s="81" t="s">
        <v>0</v>
      </c>
      <c r="M946" s="57"/>
      <c r="N946" s="82">
        <v>812</v>
      </c>
      <c r="O946" s="57">
        <f t="shared" si="49"/>
        <v>0</v>
      </c>
      <c r="P946" s="77"/>
      <c r="Q946" s="73"/>
      <c r="R946" s="57"/>
      <c r="S946" s="57"/>
      <c r="T946" s="57"/>
      <c r="U946" s="57"/>
      <c r="V946" s="73">
        <f t="shared" si="50"/>
        <v>0</v>
      </c>
      <c r="W946" s="106"/>
      <c r="X946" s="64"/>
    </row>
    <row r="947" spans="1:24" s="66" customFormat="1" ht="12" hidden="1" customHeight="1">
      <c r="A947" s="81" t="s">
        <v>3417</v>
      </c>
      <c r="B947" s="81"/>
      <c r="C947" s="81"/>
      <c r="D947" s="81"/>
      <c r="E947" s="81"/>
      <c r="F947" s="81"/>
      <c r="G947" s="81"/>
      <c r="H947" s="81"/>
      <c r="I947" s="81" t="s">
        <v>3418</v>
      </c>
      <c r="J947" s="81" t="s">
        <v>756</v>
      </c>
      <c r="K947" s="81" t="s">
        <v>1367</v>
      </c>
      <c r="L947" s="81" t="s">
        <v>0</v>
      </c>
      <c r="M947" s="57"/>
      <c r="N947" s="82">
        <v>688</v>
      </c>
      <c r="O947" s="57">
        <f t="shared" si="49"/>
        <v>0</v>
      </c>
      <c r="P947" s="77"/>
      <c r="Q947" s="73"/>
      <c r="R947" s="57"/>
      <c r="S947" s="57"/>
      <c r="T947" s="57"/>
      <c r="U947" s="57"/>
      <c r="V947" s="73">
        <f t="shared" si="50"/>
        <v>0</v>
      </c>
      <c r="W947" s="106"/>
      <c r="X947" s="64"/>
    </row>
    <row r="948" spans="1:24" s="66" customFormat="1" ht="12" hidden="1" customHeight="1">
      <c r="A948" s="81" t="s">
        <v>3419</v>
      </c>
      <c r="B948" s="81"/>
      <c r="C948" s="81"/>
      <c r="D948" s="81"/>
      <c r="E948" s="81"/>
      <c r="F948" s="81"/>
      <c r="G948" s="81"/>
      <c r="H948" s="81"/>
      <c r="I948" s="81" t="s">
        <v>3418</v>
      </c>
      <c r="J948" s="81" t="s">
        <v>756</v>
      </c>
      <c r="K948" s="81" t="s">
        <v>1366</v>
      </c>
      <c r="L948" s="81" t="s">
        <v>0</v>
      </c>
      <c r="M948" s="57"/>
      <c r="N948" s="82">
        <v>956</v>
      </c>
      <c r="O948" s="57">
        <f t="shared" si="49"/>
        <v>0</v>
      </c>
      <c r="P948" s="77"/>
      <c r="Q948" s="73"/>
      <c r="R948" s="57"/>
      <c r="S948" s="57"/>
      <c r="T948" s="57"/>
      <c r="U948" s="57"/>
      <c r="V948" s="73">
        <f t="shared" si="50"/>
        <v>0</v>
      </c>
      <c r="W948" s="106"/>
      <c r="X948" s="64"/>
    </row>
    <row r="949" spans="1:24" s="66" customFormat="1" ht="12" hidden="1" customHeight="1">
      <c r="A949" s="81" t="s">
        <v>3420</v>
      </c>
      <c r="B949" s="81"/>
      <c r="C949" s="81"/>
      <c r="D949" s="81"/>
      <c r="E949" s="81"/>
      <c r="F949" s="81"/>
      <c r="G949" s="81"/>
      <c r="H949" s="81"/>
      <c r="I949" s="81" t="s">
        <v>3418</v>
      </c>
      <c r="J949" s="81" t="s">
        <v>756</v>
      </c>
      <c r="K949" s="81" t="s">
        <v>1365</v>
      </c>
      <c r="L949" s="81" t="s">
        <v>0</v>
      </c>
      <c r="M949" s="57"/>
      <c r="N949" s="82">
        <v>1088</v>
      </c>
      <c r="O949" s="57">
        <f t="shared" si="49"/>
        <v>0</v>
      </c>
      <c r="P949" s="77"/>
      <c r="Q949" s="73"/>
      <c r="R949" s="57"/>
      <c r="S949" s="57"/>
      <c r="T949" s="57"/>
      <c r="U949" s="57"/>
      <c r="V949" s="73">
        <f t="shared" si="50"/>
        <v>0</v>
      </c>
      <c r="W949" s="106"/>
      <c r="X949" s="64"/>
    </row>
    <row r="950" spans="1:24" s="66" customFormat="1" ht="12" hidden="1" customHeight="1">
      <c r="A950" s="81" t="s">
        <v>3421</v>
      </c>
      <c r="B950" s="81"/>
      <c r="C950" s="81"/>
      <c r="D950" s="81"/>
      <c r="E950" s="81"/>
      <c r="F950" s="81"/>
      <c r="G950" s="81"/>
      <c r="H950" s="81"/>
      <c r="I950" s="81" t="s">
        <v>3418</v>
      </c>
      <c r="J950" s="81" t="s">
        <v>756</v>
      </c>
      <c r="K950" s="81" t="s">
        <v>1364</v>
      </c>
      <c r="L950" s="81" t="s">
        <v>0</v>
      </c>
      <c r="M950" s="57"/>
      <c r="N950" s="82">
        <v>1834</v>
      </c>
      <c r="O950" s="57">
        <f t="shared" si="49"/>
        <v>0</v>
      </c>
      <c r="P950" s="77"/>
      <c r="Q950" s="73"/>
      <c r="R950" s="57"/>
      <c r="S950" s="57"/>
      <c r="T950" s="57"/>
      <c r="U950" s="57"/>
      <c r="V950" s="73">
        <f t="shared" si="50"/>
        <v>0</v>
      </c>
      <c r="W950" s="106"/>
      <c r="X950" s="64"/>
    </row>
    <row r="951" spans="1:24" s="66" customFormat="1" ht="12" hidden="1" customHeight="1">
      <c r="A951" s="81" t="s">
        <v>3422</v>
      </c>
      <c r="B951" s="81"/>
      <c r="C951" s="81"/>
      <c r="D951" s="81"/>
      <c r="E951" s="81"/>
      <c r="F951" s="81"/>
      <c r="G951" s="81"/>
      <c r="H951" s="81"/>
      <c r="I951" s="81" t="s">
        <v>3418</v>
      </c>
      <c r="J951" s="81" t="s">
        <v>756</v>
      </c>
      <c r="K951" s="81" t="s">
        <v>1120</v>
      </c>
      <c r="L951" s="81" t="s">
        <v>0</v>
      </c>
      <c r="M951" s="57"/>
      <c r="N951" s="82">
        <v>2504</v>
      </c>
      <c r="O951" s="57">
        <f t="shared" si="49"/>
        <v>0</v>
      </c>
      <c r="P951" s="77"/>
      <c r="Q951" s="73"/>
      <c r="R951" s="57"/>
      <c r="S951" s="57"/>
      <c r="T951" s="57"/>
      <c r="U951" s="57"/>
      <c r="V951" s="73">
        <f t="shared" si="50"/>
        <v>0</v>
      </c>
      <c r="W951" s="106"/>
      <c r="X951" s="64"/>
    </row>
    <row r="952" spans="1:24" s="66" customFormat="1" ht="12" hidden="1" customHeight="1">
      <c r="A952" s="81" t="s">
        <v>3423</v>
      </c>
      <c r="B952" s="81"/>
      <c r="C952" s="81"/>
      <c r="D952" s="81"/>
      <c r="E952" s="81"/>
      <c r="F952" s="81"/>
      <c r="G952" s="81"/>
      <c r="H952" s="81"/>
      <c r="I952" s="81" t="s">
        <v>3418</v>
      </c>
      <c r="J952" s="81" t="s">
        <v>756</v>
      </c>
      <c r="K952" s="81" t="s">
        <v>1363</v>
      </c>
      <c r="L952" s="81" t="s">
        <v>0</v>
      </c>
      <c r="M952" s="57"/>
      <c r="N952" s="82">
        <v>3846</v>
      </c>
      <c r="O952" s="57">
        <f t="shared" si="49"/>
        <v>0</v>
      </c>
      <c r="P952" s="77"/>
      <c r="Q952" s="73"/>
      <c r="R952" s="57"/>
      <c r="S952" s="57"/>
      <c r="T952" s="57"/>
      <c r="U952" s="57"/>
      <c r="V952" s="73">
        <f t="shared" si="50"/>
        <v>0</v>
      </c>
      <c r="W952" s="106"/>
      <c r="X952" s="64"/>
    </row>
    <row r="953" spans="1:24" s="66" customFormat="1" ht="12" hidden="1" customHeight="1">
      <c r="A953" s="81" t="s">
        <v>3424</v>
      </c>
      <c r="B953" s="81"/>
      <c r="C953" s="81"/>
      <c r="D953" s="81"/>
      <c r="E953" s="81"/>
      <c r="F953" s="81"/>
      <c r="G953" s="81"/>
      <c r="H953" s="81"/>
      <c r="I953" s="81" t="s">
        <v>3418</v>
      </c>
      <c r="J953" s="81" t="s">
        <v>756</v>
      </c>
      <c r="K953" s="81" t="s">
        <v>1362</v>
      </c>
      <c r="L953" s="81" t="s">
        <v>0</v>
      </c>
      <c r="M953" s="57"/>
      <c r="N953" s="82">
        <v>5432</v>
      </c>
      <c r="O953" s="57">
        <f t="shared" si="49"/>
        <v>0</v>
      </c>
      <c r="P953" s="77"/>
      <c r="Q953" s="73"/>
      <c r="R953" s="57"/>
      <c r="S953" s="57"/>
      <c r="T953" s="57"/>
      <c r="U953" s="57"/>
      <c r="V953" s="73">
        <f t="shared" si="50"/>
        <v>0</v>
      </c>
      <c r="W953" s="106"/>
      <c r="X953" s="64"/>
    </row>
    <row r="954" spans="1:24" s="66" customFormat="1" ht="12" hidden="1" customHeight="1">
      <c r="A954" s="81" t="s">
        <v>3425</v>
      </c>
      <c r="B954" s="81"/>
      <c r="C954" s="81"/>
      <c r="D954" s="81"/>
      <c r="E954" s="81"/>
      <c r="F954" s="81"/>
      <c r="G954" s="81"/>
      <c r="H954" s="81"/>
      <c r="I954" s="81" t="s">
        <v>3418</v>
      </c>
      <c r="J954" s="81" t="s">
        <v>756</v>
      </c>
      <c r="K954" s="81" t="s">
        <v>1119</v>
      </c>
      <c r="L954" s="81" t="s">
        <v>0</v>
      </c>
      <c r="M954" s="57"/>
      <c r="N954" s="82">
        <v>7384</v>
      </c>
      <c r="O954" s="57">
        <f t="shared" si="49"/>
        <v>0</v>
      </c>
      <c r="P954" s="77"/>
      <c r="Q954" s="73"/>
      <c r="R954" s="57"/>
      <c r="S954" s="57"/>
      <c r="T954" s="57"/>
      <c r="U954" s="57"/>
      <c r="V954" s="73">
        <f t="shared" si="50"/>
        <v>0</v>
      </c>
      <c r="W954" s="106"/>
      <c r="X954" s="64"/>
    </row>
    <row r="955" spans="1:24" s="66" customFormat="1" ht="12" hidden="1" customHeight="1">
      <c r="A955" s="81" t="s">
        <v>3426</v>
      </c>
      <c r="B955" s="81"/>
      <c r="C955" s="81"/>
      <c r="D955" s="81"/>
      <c r="E955" s="81"/>
      <c r="F955" s="81"/>
      <c r="G955" s="81"/>
      <c r="H955" s="81"/>
      <c r="I955" s="81" t="s">
        <v>3418</v>
      </c>
      <c r="J955" s="81" t="s">
        <v>756</v>
      </c>
      <c r="K955" s="81" t="s">
        <v>1118</v>
      </c>
      <c r="L955" s="81" t="s">
        <v>0</v>
      </c>
      <c r="M955" s="57"/>
      <c r="N955" s="82">
        <v>10399</v>
      </c>
      <c r="O955" s="57">
        <f t="shared" ref="O955:O1018" si="51">M955*N955*$O$3</f>
        <v>0</v>
      </c>
      <c r="P955" s="77"/>
      <c r="Q955" s="73"/>
      <c r="R955" s="57"/>
      <c r="S955" s="57"/>
      <c r="T955" s="57"/>
      <c r="U955" s="57"/>
      <c r="V955" s="73">
        <f t="shared" si="50"/>
        <v>0</v>
      </c>
      <c r="W955" s="106"/>
      <c r="X955" s="64"/>
    </row>
    <row r="956" spans="1:24" s="66" customFormat="1" ht="12" hidden="1" customHeight="1">
      <c r="A956" s="81" t="s">
        <v>3427</v>
      </c>
      <c r="B956" s="81"/>
      <c r="C956" s="81"/>
      <c r="D956" s="81"/>
      <c r="E956" s="81"/>
      <c r="F956" s="81"/>
      <c r="G956" s="81"/>
      <c r="H956" s="81"/>
      <c r="I956" s="81" t="s">
        <v>3418</v>
      </c>
      <c r="J956" s="81" t="s">
        <v>756</v>
      </c>
      <c r="K956" s="81" t="s">
        <v>1117</v>
      </c>
      <c r="L956" s="81" t="s">
        <v>0</v>
      </c>
      <c r="M956" s="57"/>
      <c r="N956" s="82">
        <v>13998</v>
      </c>
      <c r="O956" s="57">
        <f t="shared" si="51"/>
        <v>0</v>
      </c>
      <c r="P956" s="77"/>
      <c r="Q956" s="73"/>
      <c r="R956" s="57"/>
      <c r="S956" s="57"/>
      <c r="T956" s="57"/>
      <c r="U956" s="57"/>
      <c r="V956" s="73">
        <f t="shared" si="50"/>
        <v>0</v>
      </c>
      <c r="W956" s="106"/>
      <c r="X956" s="64"/>
    </row>
    <row r="957" spans="1:24" s="66" customFormat="1" ht="12" hidden="1" customHeight="1">
      <c r="A957" s="81" t="s">
        <v>3428</v>
      </c>
      <c r="B957" s="81"/>
      <c r="C957" s="81"/>
      <c r="D957" s="81"/>
      <c r="E957" s="81"/>
      <c r="F957" s="81"/>
      <c r="G957" s="81"/>
      <c r="H957" s="81"/>
      <c r="I957" s="81" t="s">
        <v>3418</v>
      </c>
      <c r="J957" s="81" t="s">
        <v>756</v>
      </c>
      <c r="K957" s="81" t="s">
        <v>1116</v>
      </c>
      <c r="L957" s="81" t="s">
        <v>0</v>
      </c>
      <c r="M957" s="57"/>
      <c r="N957" s="82">
        <v>17117</v>
      </c>
      <c r="O957" s="57">
        <f t="shared" si="51"/>
        <v>0</v>
      </c>
      <c r="P957" s="77"/>
      <c r="Q957" s="73"/>
      <c r="R957" s="57"/>
      <c r="S957" s="57"/>
      <c r="T957" s="57"/>
      <c r="U957" s="57"/>
      <c r="V957" s="73">
        <f t="shared" si="50"/>
        <v>0</v>
      </c>
      <c r="W957" s="106"/>
      <c r="X957" s="64"/>
    </row>
    <row r="958" spans="1:24" s="66" customFormat="1" ht="12" hidden="1" customHeight="1">
      <c r="A958" s="81" t="s">
        <v>3429</v>
      </c>
      <c r="B958" s="81"/>
      <c r="C958" s="81"/>
      <c r="D958" s="81"/>
      <c r="E958" s="81"/>
      <c r="F958" s="81"/>
      <c r="G958" s="81"/>
      <c r="H958" s="81"/>
      <c r="I958" s="81" t="s">
        <v>3418</v>
      </c>
      <c r="J958" s="81" t="s">
        <v>756</v>
      </c>
      <c r="K958" s="81" t="s">
        <v>1115</v>
      </c>
      <c r="L958" s="81" t="s">
        <v>0</v>
      </c>
      <c r="M958" s="57"/>
      <c r="N958" s="82">
        <v>20812</v>
      </c>
      <c r="O958" s="57">
        <f t="shared" si="51"/>
        <v>0</v>
      </c>
      <c r="P958" s="77"/>
      <c r="Q958" s="73"/>
      <c r="R958" s="57"/>
      <c r="S958" s="57"/>
      <c r="T958" s="57"/>
      <c r="U958" s="57"/>
      <c r="V958" s="73">
        <f t="shared" si="50"/>
        <v>0</v>
      </c>
      <c r="W958" s="106"/>
      <c r="X958" s="64"/>
    </row>
    <row r="959" spans="1:24" s="66" customFormat="1" ht="12" hidden="1" customHeight="1">
      <c r="A959" s="81" t="s">
        <v>3430</v>
      </c>
      <c r="B959" s="81"/>
      <c r="C959" s="81"/>
      <c r="D959" s="81"/>
      <c r="E959" s="81"/>
      <c r="F959" s="81"/>
      <c r="G959" s="81"/>
      <c r="H959" s="81"/>
      <c r="I959" s="81" t="s">
        <v>3418</v>
      </c>
      <c r="J959" s="81" t="s">
        <v>756</v>
      </c>
      <c r="K959" s="81" t="s">
        <v>1361</v>
      </c>
      <c r="L959" s="81" t="s">
        <v>0</v>
      </c>
      <c r="M959" s="57"/>
      <c r="N959" s="82">
        <v>25636</v>
      </c>
      <c r="O959" s="57">
        <f t="shared" si="51"/>
        <v>0</v>
      </c>
      <c r="P959" s="77"/>
      <c r="Q959" s="73"/>
      <c r="R959" s="57"/>
      <c r="S959" s="57"/>
      <c r="T959" s="57"/>
      <c r="U959" s="57"/>
      <c r="V959" s="73">
        <f t="shared" si="50"/>
        <v>0</v>
      </c>
      <c r="W959" s="106"/>
      <c r="X959" s="64"/>
    </row>
    <row r="960" spans="1:24" s="66" customFormat="1" ht="12" hidden="1" customHeight="1">
      <c r="A960" s="81" t="s">
        <v>3431</v>
      </c>
      <c r="B960" s="81"/>
      <c r="C960" s="81"/>
      <c r="D960" s="81"/>
      <c r="E960" s="81"/>
      <c r="F960" s="81"/>
      <c r="G960" s="81"/>
      <c r="H960" s="81"/>
      <c r="I960" s="81" t="s">
        <v>3418</v>
      </c>
      <c r="J960" s="81" t="s">
        <v>756</v>
      </c>
      <c r="K960" s="81" t="s">
        <v>1360</v>
      </c>
      <c r="L960" s="81" t="s">
        <v>0</v>
      </c>
      <c r="M960" s="57"/>
      <c r="N960" s="82">
        <v>33626</v>
      </c>
      <c r="O960" s="57">
        <f t="shared" si="51"/>
        <v>0</v>
      </c>
      <c r="P960" s="77"/>
      <c r="Q960" s="73"/>
      <c r="R960" s="57"/>
      <c r="S960" s="57"/>
      <c r="T960" s="57"/>
      <c r="U960" s="57"/>
      <c r="V960" s="73">
        <f t="shared" si="50"/>
        <v>0</v>
      </c>
      <c r="W960" s="106"/>
      <c r="X960" s="64"/>
    </row>
    <row r="961" spans="1:24" s="66" customFormat="1" ht="12" hidden="1" customHeight="1">
      <c r="A961" s="81" t="s">
        <v>3432</v>
      </c>
      <c r="B961" s="81"/>
      <c r="C961" s="81"/>
      <c r="D961" s="81"/>
      <c r="E961" s="81"/>
      <c r="F961" s="81"/>
      <c r="G961" s="81"/>
      <c r="H961" s="81"/>
      <c r="I961" s="81" t="s">
        <v>3418</v>
      </c>
      <c r="J961" s="81" t="s">
        <v>756</v>
      </c>
      <c r="K961" s="81" t="s">
        <v>1359</v>
      </c>
      <c r="L961" s="81" t="s">
        <v>0</v>
      </c>
      <c r="M961" s="57"/>
      <c r="N961" s="82">
        <v>41635</v>
      </c>
      <c r="O961" s="57">
        <f t="shared" si="51"/>
        <v>0</v>
      </c>
      <c r="P961" s="77"/>
      <c r="Q961" s="73"/>
      <c r="R961" s="57"/>
      <c r="S961" s="57"/>
      <c r="T961" s="57"/>
      <c r="U961" s="57"/>
      <c r="V961" s="73">
        <f t="shared" si="50"/>
        <v>0</v>
      </c>
      <c r="W961" s="106"/>
      <c r="X961" s="64"/>
    </row>
    <row r="962" spans="1:24" s="66" customFormat="1" ht="12" hidden="1" customHeight="1">
      <c r="A962" s="81" t="s">
        <v>4450</v>
      </c>
      <c r="B962" s="81"/>
      <c r="C962" s="81"/>
      <c r="D962" s="81"/>
      <c r="E962" s="81"/>
      <c r="F962" s="81"/>
      <c r="G962" s="81"/>
      <c r="H962" s="81"/>
      <c r="I962" s="81" t="s">
        <v>2289</v>
      </c>
      <c r="J962" s="81" t="s">
        <v>4465</v>
      </c>
      <c r="K962" s="81" t="s">
        <v>1368</v>
      </c>
      <c r="L962" s="81" t="s">
        <v>0</v>
      </c>
      <c r="M962" s="57"/>
      <c r="N962" s="82">
        <v>297</v>
      </c>
      <c r="O962" s="57">
        <f t="shared" si="51"/>
        <v>0</v>
      </c>
      <c r="P962" s="77"/>
      <c r="Q962" s="73"/>
      <c r="R962" s="57"/>
      <c r="S962" s="57"/>
      <c r="T962" s="57"/>
      <c r="U962" s="57"/>
      <c r="V962" s="73">
        <f t="shared" si="50"/>
        <v>0</v>
      </c>
      <c r="W962" s="106"/>
      <c r="X962" s="64"/>
    </row>
    <row r="963" spans="1:24" s="66" customFormat="1" ht="12" hidden="1" customHeight="1">
      <c r="A963" s="81" t="s">
        <v>4451</v>
      </c>
      <c r="B963" s="81"/>
      <c r="C963" s="81"/>
      <c r="D963" s="81"/>
      <c r="E963" s="81"/>
      <c r="F963" s="81"/>
      <c r="G963" s="81"/>
      <c r="H963" s="81"/>
      <c r="I963" s="81" t="s">
        <v>2289</v>
      </c>
      <c r="J963" s="81" t="s">
        <v>4465</v>
      </c>
      <c r="K963" s="81" t="s">
        <v>1367</v>
      </c>
      <c r="L963" s="81" t="s">
        <v>0</v>
      </c>
      <c r="M963" s="57"/>
      <c r="N963" s="82">
        <v>456</v>
      </c>
      <c r="O963" s="57">
        <f t="shared" si="51"/>
        <v>0</v>
      </c>
      <c r="P963" s="77"/>
      <c r="Q963" s="73"/>
      <c r="R963" s="57"/>
      <c r="S963" s="57"/>
      <c r="T963" s="57"/>
      <c r="U963" s="57"/>
      <c r="V963" s="73">
        <f t="shared" si="50"/>
        <v>0</v>
      </c>
      <c r="W963" s="106"/>
      <c r="X963" s="64"/>
    </row>
    <row r="964" spans="1:24" s="66" customFormat="1" ht="12" hidden="1" customHeight="1">
      <c r="A964" s="81" t="s">
        <v>4452</v>
      </c>
      <c r="B964" s="81"/>
      <c r="C964" s="81"/>
      <c r="D964" s="81"/>
      <c r="E964" s="81"/>
      <c r="F964" s="81"/>
      <c r="G964" s="81"/>
      <c r="H964" s="81"/>
      <c r="I964" s="81" t="s">
        <v>2289</v>
      </c>
      <c r="J964" s="81" t="s">
        <v>4465</v>
      </c>
      <c r="K964" s="81" t="s">
        <v>1366</v>
      </c>
      <c r="L964" s="81" t="s">
        <v>0</v>
      </c>
      <c r="M964" s="57"/>
      <c r="N964" s="82">
        <v>728</v>
      </c>
      <c r="O964" s="57">
        <f t="shared" si="51"/>
        <v>0</v>
      </c>
      <c r="P964" s="77"/>
      <c r="Q964" s="73"/>
      <c r="R964" s="57"/>
      <c r="S964" s="57"/>
      <c r="T964" s="57"/>
      <c r="U964" s="57"/>
      <c r="V964" s="73">
        <f t="shared" si="50"/>
        <v>0</v>
      </c>
      <c r="W964" s="106"/>
      <c r="X964" s="64"/>
    </row>
    <row r="965" spans="1:24" s="66" customFormat="1" ht="12" hidden="1" customHeight="1">
      <c r="A965" s="81" t="s">
        <v>4453</v>
      </c>
      <c r="B965" s="81"/>
      <c r="C965" s="81"/>
      <c r="D965" s="81"/>
      <c r="E965" s="81"/>
      <c r="F965" s="81"/>
      <c r="G965" s="81"/>
      <c r="H965" s="81"/>
      <c r="I965" s="81" t="s">
        <v>2289</v>
      </c>
      <c r="J965" s="81" t="s">
        <v>4465</v>
      </c>
      <c r="K965" s="81" t="s">
        <v>1365</v>
      </c>
      <c r="L965" s="81" t="s">
        <v>0</v>
      </c>
      <c r="M965" s="57"/>
      <c r="N965" s="82">
        <v>1100</v>
      </c>
      <c r="O965" s="57">
        <f t="shared" si="51"/>
        <v>0</v>
      </c>
      <c r="P965" s="77"/>
      <c r="Q965" s="73"/>
      <c r="R965" s="57"/>
      <c r="S965" s="57"/>
      <c r="T965" s="57"/>
      <c r="U965" s="57"/>
      <c r="V965" s="73">
        <f t="shared" si="50"/>
        <v>0</v>
      </c>
      <c r="W965" s="106"/>
      <c r="X965" s="64"/>
    </row>
    <row r="966" spans="1:24" s="66" customFormat="1" ht="12" hidden="1" customHeight="1">
      <c r="A966" s="81" t="s">
        <v>4454</v>
      </c>
      <c r="B966" s="81"/>
      <c r="C966" s="81"/>
      <c r="D966" s="81"/>
      <c r="E966" s="81"/>
      <c r="F966" s="81"/>
      <c r="G966" s="81"/>
      <c r="H966" s="81"/>
      <c r="I966" s="81" t="s">
        <v>2289</v>
      </c>
      <c r="J966" s="81" t="s">
        <v>4465</v>
      </c>
      <c r="K966" s="81" t="s">
        <v>1364</v>
      </c>
      <c r="L966" s="81" t="s">
        <v>0</v>
      </c>
      <c r="M966" s="57"/>
      <c r="N966" s="82">
        <v>1877</v>
      </c>
      <c r="O966" s="57">
        <f t="shared" si="51"/>
        <v>0</v>
      </c>
      <c r="P966" s="77"/>
      <c r="Q966" s="73"/>
      <c r="R966" s="57"/>
      <c r="S966" s="57"/>
      <c r="T966" s="57"/>
      <c r="U966" s="57"/>
      <c r="V966" s="73">
        <f t="shared" si="50"/>
        <v>0</v>
      </c>
      <c r="W966" s="106"/>
      <c r="X966" s="64"/>
    </row>
    <row r="967" spans="1:24" s="66" customFormat="1" ht="12" hidden="1" customHeight="1">
      <c r="A967" s="81" t="s">
        <v>4455</v>
      </c>
      <c r="B967" s="81"/>
      <c r="C967" s="81"/>
      <c r="D967" s="81"/>
      <c r="E967" s="81"/>
      <c r="F967" s="81"/>
      <c r="G967" s="81"/>
      <c r="H967" s="81"/>
      <c r="I967" s="81" t="s">
        <v>2289</v>
      </c>
      <c r="J967" s="81" t="s">
        <v>4465</v>
      </c>
      <c r="K967" s="81" t="s">
        <v>1120</v>
      </c>
      <c r="L967" s="81" t="s">
        <v>0</v>
      </c>
      <c r="M967" s="57"/>
      <c r="N967" s="82">
        <v>3531</v>
      </c>
      <c r="O967" s="57">
        <f t="shared" si="51"/>
        <v>0</v>
      </c>
      <c r="P967" s="77"/>
      <c r="Q967" s="73"/>
      <c r="R967" s="57"/>
      <c r="S967" s="57"/>
      <c r="T967" s="57"/>
      <c r="U967" s="57"/>
      <c r="V967" s="73">
        <f t="shared" si="50"/>
        <v>0</v>
      </c>
      <c r="W967" s="106"/>
      <c r="X967" s="64"/>
    </row>
    <row r="968" spans="1:24" s="66" customFormat="1" ht="12" hidden="1" customHeight="1">
      <c r="A968" s="81" t="s">
        <v>4456</v>
      </c>
      <c r="B968" s="81"/>
      <c r="C968" s="81"/>
      <c r="D968" s="81"/>
      <c r="E968" s="81"/>
      <c r="F968" s="81"/>
      <c r="G968" s="81"/>
      <c r="H968" s="81"/>
      <c r="I968" s="81" t="s">
        <v>2289</v>
      </c>
      <c r="J968" s="81" t="s">
        <v>4465</v>
      </c>
      <c r="K968" s="81" t="s">
        <v>1363</v>
      </c>
      <c r="L968" s="81" t="s">
        <v>0</v>
      </c>
      <c r="M968" s="57"/>
      <c r="N968" s="82">
        <v>5510</v>
      </c>
      <c r="O968" s="57">
        <f t="shared" si="51"/>
        <v>0</v>
      </c>
      <c r="P968" s="77"/>
      <c r="Q968" s="73"/>
      <c r="R968" s="57"/>
      <c r="S968" s="57"/>
      <c r="T968" s="57"/>
      <c r="U968" s="57"/>
      <c r="V968" s="73">
        <f t="shared" si="50"/>
        <v>0</v>
      </c>
      <c r="W968" s="106"/>
      <c r="X968" s="64"/>
    </row>
    <row r="969" spans="1:24" s="66" customFormat="1" ht="12" hidden="1" customHeight="1">
      <c r="A969" s="81" t="s">
        <v>4457</v>
      </c>
      <c r="B969" s="81"/>
      <c r="C969" s="81"/>
      <c r="D969" s="81"/>
      <c r="E969" s="81"/>
      <c r="F969" s="81"/>
      <c r="G969" s="81"/>
      <c r="H969" s="81"/>
      <c r="I969" s="81" t="s">
        <v>2289</v>
      </c>
      <c r="J969" s="81" t="s">
        <v>4465</v>
      </c>
      <c r="K969" s="81" t="s">
        <v>1362</v>
      </c>
      <c r="L969" s="81" t="s">
        <v>0</v>
      </c>
      <c r="M969" s="57"/>
      <c r="N969" s="82">
        <v>7679</v>
      </c>
      <c r="O969" s="57">
        <f t="shared" si="51"/>
        <v>0</v>
      </c>
      <c r="P969" s="77"/>
      <c r="Q969" s="73"/>
      <c r="R969" s="57"/>
      <c r="S969" s="57"/>
      <c r="T969" s="57"/>
      <c r="U969" s="57"/>
      <c r="V969" s="73">
        <f t="shared" si="50"/>
        <v>0</v>
      </c>
      <c r="W969" s="106"/>
      <c r="X969" s="64"/>
    </row>
    <row r="970" spans="1:24" s="66" customFormat="1" ht="12" hidden="1" customHeight="1">
      <c r="A970" s="81" t="s">
        <v>4458</v>
      </c>
      <c r="B970" s="81"/>
      <c r="C970" s="81"/>
      <c r="D970" s="81"/>
      <c r="E970" s="81"/>
      <c r="F970" s="81"/>
      <c r="G970" s="81"/>
      <c r="H970" s="81"/>
      <c r="I970" s="81" t="s">
        <v>2289</v>
      </c>
      <c r="J970" s="81" t="s">
        <v>4465</v>
      </c>
      <c r="K970" s="81" t="s">
        <v>1119</v>
      </c>
      <c r="L970" s="81" t="s">
        <v>0</v>
      </c>
      <c r="M970" s="57"/>
      <c r="N970" s="82">
        <v>10677</v>
      </c>
      <c r="O970" s="57">
        <f t="shared" si="51"/>
        <v>0</v>
      </c>
      <c r="P970" s="77"/>
      <c r="Q970" s="73"/>
      <c r="R970" s="57"/>
      <c r="S970" s="57"/>
      <c r="T970" s="57"/>
      <c r="U970" s="57"/>
      <c r="V970" s="73">
        <f t="shared" si="50"/>
        <v>0</v>
      </c>
      <c r="W970" s="106"/>
      <c r="X970" s="64"/>
    </row>
    <row r="971" spans="1:24" s="66" customFormat="1" ht="12" hidden="1" customHeight="1">
      <c r="A971" s="81" t="s">
        <v>4459</v>
      </c>
      <c r="B971" s="81"/>
      <c r="C971" s="81"/>
      <c r="D971" s="81"/>
      <c r="E971" s="81"/>
      <c r="F971" s="81"/>
      <c r="G971" s="81"/>
      <c r="H971" s="81"/>
      <c r="I971" s="81" t="s">
        <v>2289</v>
      </c>
      <c r="J971" s="81" t="s">
        <v>4465</v>
      </c>
      <c r="K971" s="81" t="s">
        <v>1118</v>
      </c>
      <c r="L971" s="81" t="s">
        <v>0</v>
      </c>
      <c r="M971" s="57"/>
      <c r="N971" s="82">
        <v>15529</v>
      </c>
      <c r="O971" s="57">
        <f t="shared" si="51"/>
        <v>0</v>
      </c>
      <c r="P971" s="77"/>
      <c r="Q971" s="73"/>
      <c r="R971" s="57"/>
      <c r="S971" s="57"/>
      <c r="T971" s="57"/>
      <c r="U971" s="57"/>
      <c r="V971" s="73">
        <f t="shared" si="50"/>
        <v>0</v>
      </c>
      <c r="W971" s="106"/>
      <c r="X971" s="64"/>
    </row>
    <row r="972" spans="1:24" s="66" customFormat="1" ht="12" hidden="1" customHeight="1">
      <c r="A972" s="81" t="s">
        <v>4460</v>
      </c>
      <c r="B972" s="81"/>
      <c r="C972" s="81"/>
      <c r="D972" s="81"/>
      <c r="E972" s="81"/>
      <c r="F972" s="81"/>
      <c r="G972" s="81"/>
      <c r="H972" s="81"/>
      <c r="I972" s="81" t="s">
        <v>2289</v>
      </c>
      <c r="J972" s="81" t="s">
        <v>4465</v>
      </c>
      <c r="K972" s="81" t="s">
        <v>1117</v>
      </c>
      <c r="L972" s="81" t="s">
        <v>0</v>
      </c>
      <c r="M972" s="57"/>
      <c r="N972" s="82">
        <v>21153</v>
      </c>
      <c r="O972" s="57">
        <f t="shared" si="51"/>
        <v>0</v>
      </c>
      <c r="P972" s="77"/>
      <c r="Q972" s="73"/>
      <c r="R972" s="57"/>
      <c r="S972" s="57"/>
      <c r="T972" s="57"/>
      <c r="U972" s="57"/>
      <c r="V972" s="73">
        <f t="shared" si="50"/>
        <v>0</v>
      </c>
      <c r="W972" s="106"/>
      <c r="X972" s="64"/>
    </row>
    <row r="973" spans="1:24" s="66" customFormat="1" ht="12" hidden="1" customHeight="1">
      <c r="A973" s="81" t="s">
        <v>4461</v>
      </c>
      <c r="B973" s="81"/>
      <c r="C973" s="81"/>
      <c r="D973" s="81"/>
      <c r="E973" s="81"/>
      <c r="F973" s="81"/>
      <c r="G973" s="81"/>
      <c r="H973" s="81"/>
      <c r="I973" s="81" t="s">
        <v>2289</v>
      </c>
      <c r="J973" s="81" t="s">
        <v>4465</v>
      </c>
      <c r="K973" s="81" t="s">
        <v>1116</v>
      </c>
      <c r="L973" s="81" t="s">
        <v>0</v>
      </c>
      <c r="M973" s="57"/>
      <c r="N973" s="82">
        <v>27882</v>
      </c>
      <c r="O973" s="57">
        <f t="shared" si="51"/>
        <v>0</v>
      </c>
      <c r="P973" s="77"/>
      <c r="Q973" s="73"/>
      <c r="R973" s="57"/>
      <c r="S973" s="57"/>
      <c r="T973" s="57"/>
      <c r="U973" s="57"/>
      <c r="V973" s="73">
        <f t="shared" si="50"/>
        <v>0</v>
      </c>
      <c r="W973" s="106"/>
      <c r="X973" s="64"/>
    </row>
    <row r="974" spans="1:24" s="66" customFormat="1" ht="12" hidden="1" customHeight="1">
      <c r="A974" s="81" t="s">
        <v>4462</v>
      </c>
      <c r="B974" s="81"/>
      <c r="C974" s="81"/>
      <c r="D974" s="81"/>
      <c r="E974" s="81"/>
      <c r="F974" s="81"/>
      <c r="G974" s="81"/>
      <c r="H974" s="81"/>
      <c r="I974" s="81" t="s">
        <v>2289</v>
      </c>
      <c r="J974" s="81" t="s">
        <v>4465</v>
      </c>
      <c r="K974" s="81" t="s">
        <v>1115</v>
      </c>
      <c r="L974" s="81" t="s">
        <v>0</v>
      </c>
      <c r="M974" s="57"/>
      <c r="N974" s="82">
        <v>34388</v>
      </c>
      <c r="O974" s="57">
        <f t="shared" si="51"/>
        <v>0</v>
      </c>
      <c r="P974" s="77"/>
      <c r="Q974" s="73"/>
      <c r="R974" s="57"/>
      <c r="S974" s="57"/>
      <c r="T974" s="57"/>
      <c r="U974" s="57"/>
      <c r="V974" s="73">
        <f t="shared" si="50"/>
        <v>0</v>
      </c>
      <c r="W974" s="106"/>
      <c r="X974" s="64"/>
    </row>
    <row r="975" spans="1:24" s="66" customFormat="1" ht="12" hidden="1" customHeight="1">
      <c r="A975" s="81" t="s">
        <v>4463</v>
      </c>
      <c r="B975" s="81"/>
      <c r="C975" s="81"/>
      <c r="D975" s="81"/>
      <c r="E975" s="81"/>
      <c r="F975" s="81"/>
      <c r="G975" s="81"/>
      <c r="H975" s="81"/>
      <c r="I975" s="81" t="s">
        <v>2289</v>
      </c>
      <c r="J975" s="81" t="s">
        <v>4465</v>
      </c>
      <c r="K975" s="81" t="s">
        <v>1361</v>
      </c>
      <c r="L975" s="81" t="s">
        <v>0</v>
      </c>
      <c r="M975" s="57"/>
      <c r="N975" s="82">
        <v>42300</v>
      </c>
      <c r="O975" s="57">
        <f t="shared" si="51"/>
        <v>0</v>
      </c>
      <c r="P975" s="77"/>
      <c r="Q975" s="73"/>
      <c r="R975" s="57"/>
      <c r="S975" s="57"/>
      <c r="T975" s="57"/>
      <c r="U975" s="57"/>
      <c r="V975" s="73">
        <f t="shared" si="50"/>
        <v>0</v>
      </c>
      <c r="W975" s="106"/>
      <c r="X975" s="64"/>
    </row>
    <row r="976" spans="1:24" s="66" customFormat="1" ht="12" hidden="1" customHeight="1">
      <c r="A976" s="81" t="s">
        <v>4464</v>
      </c>
      <c r="B976" s="81"/>
      <c r="C976" s="81"/>
      <c r="D976" s="81"/>
      <c r="E976" s="81"/>
      <c r="F976" s="81"/>
      <c r="G976" s="81"/>
      <c r="H976" s="81"/>
      <c r="I976" s="81" t="s">
        <v>2289</v>
      </c>
      <c r="J976" s="81" t="s">
        <v>4465</v>
      </c>
      <c r="K976" s="81" t="s">
        <v>1360</v>
      </c>
      <c r="L976" s="81" t="s">
        <v>0</v>
      </c>
      <c r="M976" s="57"/>
      <c r="N976" s="82">
        <v>60184</v>
      </c>
      <c r="O976" s="57">
        <f t="shared" si="51"/>
        <v>0</v>
      </c>
      <c r="P976" s="77"/>
      <c r="Q976" s="73"/>
      <c r="R976" s="57"/>
      <c r="S976" s="57"/>
      <c r="T976" s="57"/>
      <c r="U976" s="57"/>
      <c r="V976" s="73">
        <f t="shared" si="50"/>
        <v>0</v>
      </c>
      <c r="W976" s="106"/>
      <c r="X976" s="64"/>
    </row>
    <row r="977" spans="1:24" s="66" customFormat="1" ht="12" hidden="1" customHeight="1">
      <c r="A977" s="81" t="s">
        <v>4466</v>
      </c>
      <c r="B977" s="81"/>
      <c r="C977" s="81"/>
      <c r="D977" s="81"/>
      <c r="E977" s="81"/>
      <c r="F977" s="81"/>
      <c r="G977" s="81"/>
      <c r="H977" s="81"/>
      <c r="I977" s="81" t="s">
        <v>4482</v>
      </c>
      <c r="J977" s="81" t="s">
        <v>4483</v>
      </c>
      <c r="K977" s="81" t="s">
        <v>4484</v>
      </c>
      <c r="L977" s="81" t="s">
        <v>4485</v>
      </c>
      <c r="M977" s="57"/>
      <c r="N977" s="82">
        <v>25000000</v>
      </c>
      <c r="O977" s="57">
        <f t="shared" si="51"/>
        <v>0</v>
      </c>
      <c r="P977" s="77"/>
      <c r="Q977" s="73"/>
      <c r="R977" s="57"/>
      <c r="S977" s="57"/>
      <c r="T977" s="57"/>
      <c r="U977" s="57"/>
      <c r="V977" s="73">
        <f t="shared" si="50"/>
        <v>0</v>
      </c>
      <c r="W977" s="106"/>
      <c r="X977" s="64"/>
    </row>
    <row r="978" spans="1:24" s="66" customFormat="1" ht="12" hidden="1" customHeight="1">
      <c r="A978" s="81" t="s">
        <v>4467</v>
      </c>
      <c r="B978" s="81"/>
      <c r="C978" s="81"/>
      <c r="D978" s="81"/>
      <c r="E978" s="81"/>
      <c r="F978" s="81"/>
      <c r="G978" s="81"/>
      <c r="H978" s="81"/>
      <c r="I978" s="81" t="s">
        <v>4482</v>
      </c>
      <c r="J978" s="81" t="s">
        <v>4486</v>
      </c>
      <c r="K978" s="81" t="s">
        <v>4487</v>
      </c>
      <c r="L978" s="81" t="s">
        <v>0</v>
      </c>
      <c r="M978" s="57"/>
      <c r="N978" s="82">
        <v>80000</v>
      </c>
      <c r="O978" s="57">
        <f t="shared" si="51"/>
        <v>0</v>
      </c>
      <c r="P978" s="77"/>
      <c r="Q978" s="73"/>
      <c r="R978" s="57"/>
      <c r="S978" s="57"/>
      <c r="T978" s="57"/>
      <c r="U978" s="57"/>
      <c r="V978" s="73">
        <f t="shared" si="50"/>
        <v>0</v>
      </c>
      <c r="W978" s="106"/>
      <c r="X978" s="64"/>
    </row>
    <row r="979" spans="1:24" s="66" customFormat="1" ht="12" hidden="1" customHeight="1">
      <c r="A979" s="81" t="s">
        <v>4468</v>
      </c>
      <c r="B979" s="81"/>
      <c r="C979" s="81"/>
      <c r="D979" s="81"/>
      <c r="E979" s="81"/>
      <c r="F979" s="81"/>
      <c r="G979" s="81"/>
      <c r="H979" s="81"/>
      <c r="I979" s="81" t="s">
        <v>4482</v>
      </c>
      <c r="J979" s="81" t="s">
        <v>4488</v>
      </c>
      <c r="K979" s="81" t="s">
        <v>4489</v>
      </c>
      <c r="L979" s="81" t="s">
        <v>0</v>
      </c>
      <c r="M979" s="57"/>
      <c r="N979" s="82">
        <v>80000</v>
      </c>
      <c r="O979" s="57">
        <f t="shared" si="51"/>
        <v>0</v>
      </c>
      <c r="P979" s="77"/>
      <c r="Q979" s="73"/>
      <c r="R979" s="57"/>
      <c r="S979" s="57"/>
      <c r="T979" s="57"/>
      <c r="U979" s="57"/>
      <c r="V979" s="73">
        <f t="shared" si="50"/>
        <v>0</v>
      </c>
      <c r="W979" s="106"/>
      <c r="X979" s="64"/>
    </row>
    <row r="980" spans="1:24" s="66" customFormat="1" ht="12" hidden="1" customHeight="1">
      <c r="A980" s="81" t="s">
        <v>4469</v>
      </c>
      <c r="B980" s="81"/>
      <c r="C980" s="81"/>
      <c r="D980" s="81"/>
      <c r="E980" s="81"/>
      <c r="F980" s="81"/>
      <c r="G980" s="81"/>
      <c r="H980" s="81"/>
      <c r="I980" s="81" t="s">
        <v>4482</v>
      </c>
      <c r="J980" s="81" t="s">
        <v>4490</v>
      </c>
      <c r="K980" s="81" t="s">
        <v>4491</v>
      </c>
      <c r="L980" s="81" t="s">
        <v>0</v>
      </c>
      <c r="M980" s="57"/>
      <c r="N980" s="82">
        <v>250000</v>
      </c>
      <c r="O980" s="57">
        <f t="shared" si="51"/>
        <v>0</v>
      </c>
      <c r="P980" s="77"/>
      <c r="Q980" s="73"/>
      <c r="R980" s="57"/>
      <c r="S980" s="57"/>
      <c r="T980" s="57"/>
      <c r="U980" s="57"/>
      <c r="V980" s="73">
        <f t="shared" si="50"/>
        <v>0</v>
      </c>
      <c r="W980" s="106"/>
      <c r="X980" s="64"/>
    </row>
    <row r="981" spans="1:24" s="66" customFormat="1" ht="12" hidden="1" customHeight="1">
      <c r="A981" s="81" t="s">
        <v>4470</v>
      </c>
      <c r="B981" s="81"/>
      <c r="C981" s="81"/>
      <c r="D981" s="81"/>
      <c r="E981" s="81"/>
      <c r="F981" s="81"/>
      <c r="G981" s="81"/>
      <c r="H981" s="81"/>
      <c r="I981" s="81" t="s">
        <v>4482</v>
      </c>
      <c r="J981" s="81" t="s">
        <v>4492</v>
      </c>
      <c r="K981" s="81" t="s">
        <v>4493</v>
      </c>
      <c r="L981" s="81" t="s">
        <v>0</v>
      </c>
      <c r="M981" s="57"/>
      <c r="N981" s="82">
        <v>60000</v>
      </c>
      <c r="O981" s="57">
        <f t="shared" si="51"/>
        <v>0</v>
      </c>
      <c r="P981" s="77"/>
      <c r="Q981" s="73"/>
      <c r="R981" s="57"/>
      <c r="S981" s="57"/>
      <c r="T981" s="57"/>
      <c r="U981" s="57"/>
      <c r="V981" s="73">
        <f t="shared" si="50"/>
        <v>0</v>
      </c>
      <c r="W981" s="106"/>
      <c r="X981" s="64"/>
    </row>
    <row r="982" spans="1:24" s="66" customFormat="1" ht="12" hidden="1" customHeight="1">
      <c r="A982" s="81" t="s">
        <v>4471</v>
      </c>
      <c r="B982" s="81"/>
      <c r="C982" s="81"/>
      <c r="D982" s="81"/>
      <c r="E982" s="81"/>
      <c r="F982" s="81"/>
      <c r="G982" s="81"/>
      <c r="H982" s="81"/>
      <c r="I982" s="81" t="s">
        <v>4482</v>
      </c>
      <c r="J982" s="81" t="s">
        <v>4494</v>
      </c>
      <c r="K982" s="81" t="s">
        <v>4495</v>
      </c>
      <c r="L982" s="81" t="s">
        <v>0</v>
      </c>
      <c r="M982" s="57"/>
      <c r="N982" s="82">
        <v>60000</v>
      </c>
      <c r="O982" s="57">
        <f t="shared" si="51"/>
        <v>0</v>
      </c>
      <c r="P982" s="77"/>
      <c r="Q982" s="73"/>
      <c r="R982" s="57"/>
      <c r="S982" s="57"/>
      <c r="T982" s="57"/>
      <c r="U982" s="57"/>
      <c r="V982" s="73">
        <f t="shared" si="50"/>
        <v>0</v>
      </c>
      <c r="W982" s="106"/>
      <c r="X982" s="64"/>
    </row>
    <row r="983" spans="1:24" s="66" customFormat="1" ht="12" hidden="1" customHeight="1">
      <c r="A983" s="81" t="s">
        <v>4472</v>
      </c>
      <c r="B983" s="81"/>
      <c r="C983" s="81"/>
      <c r="D983" s="81"/>
      <c r="E983" s="81"/>
      <c r="F983" s="81"/>
      <c r="G983" s="81"/>
      <c r="H983" s="81"/>
      <c r="I983" s="81" t="s">
        <v>4482</v>
      </c>
      <c r="J983" s="81" t="s">
        <v>4496</v>
      </c>
      <c r="K983" s="81" t="s">
        <v>4497</v>
      </c>
      <c r="L983" s="81" t="s">
        <v>4485</v>
      </c>
      <c r="M983" s="57"/>
      <c r="N983" s="82">
        <v>90000</v>
      </c>
      <c r="O983" s="57">
        <f t="shared" si="51"/>
        <v>0</v>
      </c>
      <c r="P983" s="77"/>
      <c r="Q983" s="73"/>
      <c r="R983" s="57"/>
      <c r="S983" s="57"/>
      <c r="T983" s="57"/>
      <c r="U983" s="57"/>
      <c r="V983" s="73">
        <f t="shared" si="50"/>
        <v>0</v>
      </c>
      <c r="W983" s="106"/>
      <c r="X983" s="64"/>
    </row>
    <row r="984" spans="1:24" s="66" customFormat="1" ht="12" hidden="1" customHeight="1">
      <c r="A984" s="81" t="s">
        <v>4473</v>
      </c>
      <c r="B984" s="81"/>
      <c r="C984" s="81"/>
      <c r="D984" s="81"/>
      <c r="E984" s="81"/>
      <c r="F984" s="81"/>
      <c r="G984" s="81"/>
      <c r="H984" s="81"/>
      <c r="I984" s="81" t="s">
        <v>4482</v>
      </c>
      <c r="J984" s="81" t="s">
        <v>4498</v>
      </c>
      <c r="K984" s="81" t="s">
        <v>4499</v>
      </c>
      <c r="L984" s="81" t="s">
        <v>4485</v>
      </c>
      <c r="M984" s="57"/>
      <c r="N984" s="82">
        <v>6000000</v>
      </c>
      <c r="O984" s="57">
        <f t="shared" si="51"/>
        <v>0</v>
      </c>
      <c r="P984" s="77"/>
      <c r="Q984" s="73"/>
      <c r="R984" s="57"/>
      <c r="S984" s="57"/>
      <c r="T984" s="57"/>
      <c r="U984" s="57"/>
      <c r="V984" s="73">
        <f t="shared" si="50"/>
        <v>0</v>
      </c>
      <c r="W984" s="106"/>
      <c r="X984" s="64"/>
    </row>
    <row r="985" spans="1:24" s="66" customFormat="1" ht="12" hidden="1" customHeight="1">
      <c r="A985" s="81" t="s">
        <v>4474</v>
      </c>
      <c r="B985" s="81"/>
      <c r="C985" s="81"/>
      <c r="D985" s="81"/>
      <c r="E985" s="81"/>
      <c r="F985" s="81"/>
      <c r="G985" s="81"/>
      <c r="H985" s="81"/>
      <c r="I985" s="81" t="s">
        <v>4482</v>
      </c>
      <c r="J985" s="81" t="s">
        <v>4500</v>
      </c>
      <c r="K985" s="81" t="s">
        <v>4501</v>
      </c>
      <c r="L985" s="81" t="s">
        <v>4485</v>
      </c>
      <c r="M985" s="57"/>
      <c r="N985" s="82">
        <v>9558000</v>
      </c>
      <c r="O985" s="57">
        <f t="shared" si="51"/>
        <v>0</v>
      </c>
      <c r="P985" s="77"/>
      <c r="Q985" s="73"/>
      <c r="R985" s="57"/>
      <c r="S985" s="57"/>
      <c r="T985" s="57"/>
      <c r="U985" s="57"/>
      <c r="V985" s="73">
        <f t="shared" si="50"/>
        <v>0</v>
      </c>
      <c r="W985" s="106"/>
      <c r="X985" s="64"/>
    </row>
    <row r="986" spans="1:24" s="66" customFormat="1" ht="12" hidden="1" customHeight="1">
      <c r="A986" s="81" t="s">
        <v>4475</v>
      </c>
      <c r="B986" s="81"/>
      <c r="C986" s="81"/>
      <c r="D986" s="81"/>
      <c r="E986" s="81"/>
      <c r="F986" s="81"/>
      <c r="G986" s="81"/>
      <c r="H986" s="81"/>
      <c r="I986" s="81" t="s">
        <v>4482</v>
      </c>
      <c r="J986" s="81" t="s">
        <v>4502</v>
      </c>
      <c r="K986" s="81" t="s">
        <v>4503</v>
      </c>
      <c r="L986" s="81" t="s">
        <v>4485</v>
      </c>
      <c r="M986" s="57"/>
      <c r="N986" s="82">
        <v>3717000</v>
      </c>
      <c r="O986" s="57">
        <f t="shared" si="51"/>
        <v>0</v>
      </c>
      <c r="P986" s="77"/>
      <c r="Q986" s="73"/>
      <c r="R986" s="57"/>
      <c r="S986" s="57"/>
      <c r="T986" s="57"/>
      <c r="U986" s="57"/>
      <c r="V986" s="73">
        <f t="shared" si="50"/>
        <v>0</v>
      </c>
      <c r="W986" s="106"/>
      <c r="X986" s="64"/>
    </row>
    <row r="987" spans="1:24" s="66" customFormat="1" ht="12" hidden="1" customHeight="1">
      <c r="A987" s="81" t="s">
        <v>4476</v>
      </c>
      <c r="B987" s="81"/>
      <c r="C987" s="81"/>
      <c r="D987" s="81"/>
      <c r="E987" s="81"/>
      <c r="F987" s="81"/>
      <c r="G987" s="81"/>
      <c r="H987" s="81"/>
      <c r="I987" s="81" t="s">
        <v>4482</v>
      </c>
      <c r="J987" s="81" t="s">
        <v>4504</v>
      </c>
      <c r="K987" s="81" t="s">
        <v>4505</v>
      </c>
      <c r="L987" s="81" t="s">
        <v>4485</v>
      </c>
      <c r="M987" s="57"/>
      <c r="N987" s="82">
        <v>849600</v>
      </c>
      <c r="O987" s="57">
        <f t="shared" si="51"/>
        <v>0</v>
      </c>
      <c r="P987" s="77"/>
      <c r="Q987" s="73"/>
      <c r="R987" s="57"/>
      <c r="S987" s="57"/>
      <c r="T987" s="57"/>
      <c r="U987" s="57"/>
      <c r="V987" s="73">
        <f t="shared" si="50"/>
        <v>0</v>
      </c>
      <c r="W987" s="106"/>
      <c r="X987" s="64"/>
    </row>
    <row r="988" spans="1:24" s="66" customFormat="1" ht="12" hidden="1" customHeight="1">
      <c r="A988" s="81" t="s">
        <v>4477</v>
      </c>
      <c r="B988" s="81"/>
      <c r="C988" s="81"/>
      <c r="D988" s="81"/>
      <c r="E988" s="81"/>
      <c r="F988" s="81"/>
      <c r="G988" s="81"/>
      <c r="H988" s="81"/>
      <c r="I988" s="81" t="s">
        <v>4482</v>
      </c>
      <c r="J988" s="81" t="s">
        <v>4506</v>
      </c>
      <c r="K988" s="81" t="s">
        <v>4507</v>
      </c>
      <c r="L988" s="81" t="s">
        <v>4485</v>
      </c>
      <c r="M988" s="57"/>
      <c r="N988" s="82">
        <v>750000</v>
      </c>
      <c r="O988" s="57">
        <f t="shared" si="51"/>
        <v>0</v>
      </c>
      <c r="P988" s="77"/>
      <c r="Q988" s="73"/>
      <c r="R988" s="57"/>
      <c r="S988" s="57"/>
      <c r="T988" s="57"/>
      <c r="U988" s="57"/>
      <c r="V988" s="73">
        <f t="shared" si="50"/>
        <v>0</v>
      </c>
      <c r="W988" s="106"/>
      <c r="X988" s="64"/>
    </row>
    <row r="989" spans="1:24" s="66" customFormat="1" ht="12" hidden="1" customHeight="1">
      <c r="A989" s="81" t="s">
        <v>4478</v>
      </c>
      <c r="B989" s="81"/>
      <c r="C989" s="81"/>
      <c r="D989" s="81"/>
      <c r="E989" s="81"/>
      <c r="F989" s="81"/>
      <c r="G989" s="81"/>
      <c r="H989" s="81"/>
      <c r="I989" s="81" t="s">
        <v>4482</v>
      </c>
      <c r="J989" s="81" t="s">
        <v>4508</v>
      </c>
      <c r="K989" s="81" t="s">
        <v>4509</v>
      </c>
      <c r="L989" s="81" t="s">
        <v>4485</v>
      </c>
      <c r="M989" s="57"/>
      <c r="N989" s="82">
        <v>150000</v>
      </c>
      <c r="O989" s="57">
        <f t="shared" si="51"/>
        <v>0</v>
      </c>
      <c r="P989" s="77"/>
      <c r="Q989" s="73"/>
      <c r="R989" s="57"/>
      <c r="S989" s="57"/>
      <c r="T989" s="57"/>
      <c r="U989" s="57"/>
      <c r="V989" s="73">
        <f t="shared" si="50"/>
        <v>0</v>
      </c>
      <c r="W989" s="106"/>
      <c r="X989" s="64"/>
    </row>
    <row r="990" spans="1:24" s="66" customFormat="1" ht="12" hidden="1" customHeight="1">
      <c r="A990" s="81" t="s">
        <v>4479</v>
      </c>
      <c r="B990" s="81"/>
      <c r="C990" s="81"/>
      <c r="D990" s="81"/>
      <c r="E990" s="81"/>
      <c r="F990" s="81"/>
      <c r="G990" s="81"/>
      <c r="H990" s="81"/>
      <c r="I990" s="81" t="s">
        <v>4482</v>
      </c>
      <c r="J990" s="81" t="s">
        <v>4510</v>
      </c>
      <c r="K990" s="81" t="s">
        <v>4511</v>
      </c>
      <c r="L990" s="81" t="s">
        <v>4485</v>
      </c>
      <c r="M990" s="57"/>
      <c r="N990" s="82">
        <v>200000</v>
      </c>
      <c r="O990" s="57">
        <f t="shared" si="51"/>
        <v>0</v>
      </c>
      <c r="P990" s="77"/>
      <c r="Q990" s="73"/>
      <c r="R990" s="57"/>
      <c r="S990" s="57"/>
      <c r="T990" s="57"/>
      <c r="U990" s="57"/>
      <c r="V990" s="73">
        <f t="shared" si="50"/>
        <v>0</v>
      </c>
      <c r="W990" s="106"/>
      <c r="X990" s="64"/>
    </row>
    <row r="991" spans="1:24" s="66" customFormat="1" ht="12" hidden="1" customHeight="1">
      <c r="A991" s="81" t="s">
        <v>4480</v>
      </c>
      <c r="B991" s="81"/>
      <c r="C991" s="81"/>
      <c r="D991" s="81"/>
      <c r="E991" s="81"/>
      <c r="F991" s="81"/>
      <c r="G991" s="81"/>
      <c r="H991" s="81"/>
      <c r="I991" s="81" t="s">
        <v>4482</v>
      </c>
      <c r="J991" s="81" t="s">
        <v>4512</v>
      </c>
      <c r="K991" s="81" t="s">
        <v>4513</v>
      </c>
      <c r="L991" s="81" t="s">
        <v>4485</v>
      </c>
      <c r="M991" s="57"/>
      <c r="N991" s="82">
        <v>50000</v>
      </c>
      <c r="O991" s="57">
        <f t="shared" si="51"/>
        <v>0</v>
      </c>
      <c r="P991" s="77"/>
      <c r="Q991" s="73"/>
      <c r="R991" s="57"/>
      <c r="S991" s="57"/>
      <c r="T991" s="57"/>
      <c r="U991" s="57"/>
      <c r="V991" s="73">
        <f t="shared" si="50"/>
        <v>0</v>
      </c>
      <c r="W991" s="106"/>
      <c r="X991" s="64"/>
    </row>
    <row r="992" spans="1:24" s="66" customFormat="1" ht="12" hidden="1" customHeight="1">
      <c r="A992" s="81" t="s">
        <v>4481</v>
      </c>
      <c r="B992" s="81"/>
      <c r="C992" s="81"/>
      <c r="D992" s="81"/>
      <c r="E992" s="81"/>
      <c r="F992" s="81"/>
      <c r="G992" s="81"/>
      <c r="H992" s="81"/>
      <c r="I992" s="81" t="s">
        <v>4482</v>
      </c>
      <c r="J992" s="81" t="s">
        <v>4514</v>
      </c>
      <c r="K992" s="81" t="s">
        <v>4515</v>
      </c>
      <c r="L992" s="81" t="s">
        <v>4516</v>
      </c>
      <c r="M992" s="57"/>
      <c r="N992" s="82">
        <v>50000</v>
      </c>
      <c r="O992" s="57">
        <f t="shared" si="51"/>
        <v>0</v>
      </c>
      <c r="P992" s="77"/>
      <c r="Q992" s="73"/>
      <c r="R992" s="57"/>
      <c r="S992" s="57"/>
      <c r="T992" s="57"/>
      <c r="U992" s="57"/>
      <c r="V992" s="73">
        <f t="shared" si="50"/>
        <v>0</v>
      </c>
      <c r="W992" s="106"/>
      <c r="X992" s="64"/>
    </row>
    <row r="993" spans="1:24" s="66" customFormat="1" ht="12" hidden="1" customHeight="1">
      <c r="A993" s="81" t="s">
        <v>4517</v>
      </c>
      <c r="B993" s="81"/>
      <c r="C993" s="81"/>
      <c r="D993" s="81"/>
      <c r="E993" s="81"/>
      <c r="F993" s="81"/>
      <c r="G993" s="81"/>
      <c r="H993" s="81"/>
      <c r="I993" s="81" t="s">
        <v>4547</v>
      </c>
      <c r="J993" s="81" t="s">
        <v>1380</v>
      </c>
      <c r="K993" s="81" t="s">
        <v>4548</v>
      </c>
      <c r="L993" s="81" t="s">
        <v>0</v>
      </c>
      <c r="M993" s="57"/>
      <c r="N993" s="82">
        <v>12750</v>
      </c>
      <c r="O993" s="57">
        <f t="shared" si="51"/>
        <v>0</v>
      </c>
      <c r="P993" s="77"/>
      <c r="Q993" s="73"/>
      <c r="R993" s="57"/>
      <c r="S993" s="57"/>
      <c r="T993" s="57"/>
      <c r="U993" s="57"/>
      <c r="V993" s="73">
        <f t="shared" si="50"/>
        <v>0</v>
      </c>
      <c r="W993" s="106"/>
      <c r="X993" s="64"/>
    </row>
    <row r="994" spans="1:24" s="66" customFormat="1" ht="12" hidden="1" customHeight="1">
      <c r="A994" s="81" t="s">
        <v>4518</v>
      </c>
      <c r="B994" s="81"/>
      <c r="C994" s="81"/>
      <c r="D994" s="81"/>
      <c r="E994" s="81"/>
      <c r="F994" s="81"/>
      <c r="G994" s="81"/>
      <c r="H994" s="81"/>
      <c r="I994" s="81" t="s">
        <v>4547</v>
      </c>
      <c r="J994" s="81" t="s">
        <v>1380</v>
      </c>
      <c r="K994" s="81" t="s">
        <v>4549</v>
      </c>
      <c r="L994" s="81" t="s">
        <v>0</v>
      </c>
      <c r="M994" s="57"/>
      <c r="N994" s="82">
        <v>17530</v>
      </c>
      <c r="O994" s="57">
        <f t="shared" si="51"/>
        <v>0</v>
      </c>
      <c r="P994" s="77"/>
      <c r="Q994" s="73"/>
      <c r="R994" s="57"/>
      <c r="S994" s="57"/>
      <c r="T994" s="57"/>
      <c r="U994" s="57"/>
      <c r="V994" s="73">
        <f t="shared" si="50"/>
        <v>0</v>
      </c>
      <c r="W994" s="106"/>
      <c r="X994" s="64"/>
    </row>
    <row r="995" spans="1:24" s="66" customFormat="1" ht="12" hidden="1" customHeight="1">
      <c r="A995" s="81" t="s">
        <v>4519</v>
      </c>
      <c r="B995" s="81"/>
      <c r="C995" s="81"/>
      <c r="D995" s="81"/>
      <c r="E995" s="81"/>
      <c r="F995" s="81"/>
      <c r="G995" s="81"/>
      <c r="H995" s="81"/>
      <c r="I995" s="81" t="s">
        <v>4547</v>
      </c>
      <c r="J995" s="81" t="s">
        <v>1380</v>
      </c>
      <c r="K995" s="81" t="s">
        <v>4550</v>
      </c>
      <c r="L995" s="81" t="s">
        <v>0</v>
      </c>
      <c r="M995" s="57"/>
      <c r="N995" s="82">
        <v>12750</v>
      </c>
      <c r="O995" s="57">
        <f t="shared" si="51"/>
        <v>0</v>
      </c>
      <c r="P995" s="77"/>
      <c r="Q995" s="73"/>
      <c r="R995" s="57"/>
      <c r="S995" s="57"/>
      <c r="T995" s="57"/>
      <c r="U995" s="57"/>
      <c r="V995" s="73">
        <f t="shared" si="50"/>
        <v>0</v>
      </c>
      <c r="W995" s="106"/>
      <c r="X995" s="64"/>
    </row>
    <row r="996" spans="1:24" s="66" customFormat="1" ht="12" hidden="1" customHeight="1">
      <c r="A996" s="81" t="s">
        <v>4520</v>
      </c>
      <c r="B996" s="81"/>
      <c r="C996" s="81"/>
      <c r="D996" s="81"/>
      <c r="E996" s="81"/>
      <c r="F996" s="81"/>
      <c r="G996" s="81"/>
      <c r="H996" s="81"/>
      <c r="I996" s="81" t="s">
        <v>4547</v>
      </c>
      <c r="J996" s="81" t="s">
        <v>1380</v>
      </c>
      <c r="K996" s="81" t="s">
        <v>1381</v>
      </c>
      <c r="L996" s="81" t="s">
        <v>0</v>
      </c>
      <c r="M996" s="57"/>
      <c r="N996" s="82">
        <v>17530</v>
      </c>
      <c r="O996" s="57">
        <f t="shared" si="51"/>
        <v>0</v>
      </c>
      <c r="P996" s="77"/>
      <c r="Q996" s="73"/>
      <c r="R996" s="57"/>
      <c r="S996" s="57"/>
      <c r="T996" s="57"/>
      <c r="U996" s="57"/>
      <c r="V996" s="73">
        <f t="shared" si="50"/>
        <v>0</v>
      </c>
      <c r="W996" s="106"/>
      <c r="X996" s="64"/>
    </row>
    <row r="997" spans="1:24" s="66" customFormat="1" ht="12" hidden="1" customHeight="1">
      <c r="A997" s="81" t="s">
        <v>4521</v>
      </c>
      <c r="B997" s="81"/>
      <c r="C997" s="81"/>
      <c r="D997" s="81"/>
      <c r="E997" s="81"/>
      <c r="F997" s="81"/>
      <c r="G997" s="81"/>
      <c r="H997" s="81"/>
      <c r="I997" s="81" t="s">
        <v>4547</v>
      </c>
      <c r="J997" s="81" t="s">
        <v>1380</v>
      </c>
      <c r="K997" s="81" t="s">
        <v>4551</v>
      </c>
      <c r="L997" s="81" t="s">
        <v>0</v>
      </c>
      <c r="M997" s="57"/>
      <c r="N997" s="82">
        <v>26550</v>
      </c>
      <c r="O997" s="57">
        <f t="shared" si="51"/>
        <v>0</v>
      </c>
      <c r="P997" s="77"/>
      <c r="Q997" s="73"/>
      <c r="R997" s="57"/>
      <c r="S997" s="57"/>
      <c r="T997" s="57"/>
      <c r="U997" s="57"/>
      <c r="V997" s="73">
        <f t="shared" si="50"/>
        <v>0</v>
      </c>
      <c r="W997" s="106"/>
      <c r="X997" s="64"/>
    </row>
    <row r="998" spans="1:24" s="66" customFormat="1" ht="12" hidden="1" customHeight="1">
      <c r="A998" s="81" t="s">
        <v>4522</v>
      </c>
      <c r="B998" s="81"/>
      <c r="C998" s="81"/>
      <c r="D998" s="81"/>
      <c r="E998" s="81"/>
      <c r="F998" s="81"/>
      <c r="G998" s="81"/>
      <c r="H998" s="81"/>
      <c r="I998" s="81" t="s">
        <v>4547</v>
      </c>
      <c r="J998" s="81" t="s">
        <v>1380</v>
      </c>
      <c r="K998" s="81" t="s">
        <v>4552</v>
      </c>
      <c r="L998" s="81" t="s">
        <v>0</v>
      </c>
      <c r="M998" s="57"/>
      <c r="N998" s="82">
        <v>31860</v>
      </c>
      <c r="O998" s="57">
        <f t="shared" si="51"/>
        <v>0</v>
      </c>
      <c r="P998" s="77"/>
      <c r="Q998" s="73"/>
      <c r="R998" s="57"/>
      <c r="S998" s="57"/>
      <c r="T998" s="57"/>
      <c r="U998" s="57"/>
      <c r="V998" s="73">
        <f t="shared" si="50"/>
        <v>0</v>
      </c>
      <c r="W998" s="106"/>
      <c r="X998" s="64"/>
    </row>
    <row r="999" spans="1:24" s="66" customFormat="1" ht="12" hidden="1" customHeight="1">
      <c r="A999" s="81" t="s">
        <v>4523</v>
      </c>
      <c r="B999" s="81"/>
      <c r="C999" s="81"/>
      <c r="D999" s="81"/>
      <c r="E999" s="81"/>
      <c r="F999" s="81"/>
      <c r="G999" s="81"/>
      <c r="H999" s="81"/>
      <c r="I999" s="81" t="s">
        <v>4547</v>
      </c>
      <c r="J999" s="81" t="s">
        <v>1380</v>
      </c>
      <c r="K999" s="81" t="s">
        <v>4553</v>
      </c>
      <c r="L999" s="81" t="s">
        <v>0</v>
      </c>
      <c r="M999" s="57"/>
      <c r="N999" s="82">
        <v>37170</v>
      </c>
      <c r="O999" s="57">
        <f t="shared" si="51"/>
        <v>0</v>
      </c>
      <c r="P999" s="77"/>
      <c r="Q999" s="73"/>
      <c r="R999" s="57"/>
      <c r="S999" s="57"/>
      <c r="T999" s="57"/>
      <c r="U999" s="57"/>
      <c r="V999" s="73">
        <f t="shared" si="50"/>
        <v>0</v>
      </c>
      <c r="W999" s="106"/>
      <c r="X999" s="64"/>
    </row>
    <row r="1000" spans="1:24" s="66" customFormat="1" ht="12" hidden="1" customHeight="1">
      <c r="A1000" s="81" t="s">
        <v>4524</v>
      </c>
      <c r="B1000" s="81"/>
      <c r="C1000" s="81"/>
      <c r="D1000" s="81"/>
      <c r="E1000" s="81"/>
      <c r="F1000" s="81"/>
      <c r="G1000" s="81"/>
      <c r="H1000" s="81"/>
      <c r="I1000" s="81" t="s">
        <v>4547</v>
      </c>
      <c r="J1000" s="81" t="s">
        <v>1380</v>
      </c>
      <c r="K1000" s="81" t="s">
        <v>4554</v>
      </c>
      <c r="L1000" s="81" t="s">
        <v>0</v>
      </c>
      <c r="M1000" s="57"/>
      <c r="N1000" s="82">
        <v>31860</v>
      </c>
      <c r="O1000" s="57">
        <f t="shared" si="51"/>
        <v>0</v>
      </c>
      <c r="P1000" s="77"/>
      <c r="Q1000" s="73"/>
      <c r="R1000" s="57"/>
      <c r="S1000" s="57"/>
      <c r="T1000" s="57"/>
      <c r="U1000" s="57"/>
      <c r="V1000" s="73">
        <f t="shared" si="50"/>
        <v>0</v>
      </c>
      <c r="W1000" s="106"/>
      <c r="X1000" s="64"/>
    </row>
    <row r="1001" spans="1:24" s="66" customFormat="1" ht="12" hidden="1" customHeight="1">
      <c r="A1001" s="81" t="s">
        <v>4525</v>
      </c>
      <c r="B1001" s="81"/>
      <c r="C1001" s="81"/>
      <c r="D1001" s="81"/>
      <c r="E1001" s="81"/>
      <c r="F1001" s="81"/>
      <c r="G1001" s="81"/>
      <c r="H1001" s="81"/>
      <c r="I1001" s="81" t="s">
        <v>4547</v>
      </c>
      <c r="J1001" s="81" t="s">
        <v>1380</v>
      </c>
      <c r="K1001" s="81" t="s">
        <v>4555</v>
      </c>
      <c r="L1001" s="81" t="s">
        <v>0</v>
      </c>
      <c r="M1001" s="57"/>
      <c r="N1001" s="82">
        <v>37170</v>
      </c>
      <c r="O1001" s="57">
        <f t="shared" si="51"/>
        <v>0</v>
      </c>
      <c r="P1001" s="77"/>
      <c r="Q1001" s="73"/>
      <c r="R1001" s="57"/>
      <c r="S1001" s="57"/>
      <c r="T1001" s="57"/>
      <c r="U1001" s="57"/>
      <c r="V1001" s="73">
        <f t="shared" si="50"/>
        <v>0</v>
      </c>
      <c r="W1001" s="106"/>
      <c r="X1001" s="64"/>
    </row>
    <row r="1002" spans="1:24" s="66" customFormat="1" ht="12" hidden="1" customHeight="1">
      <c r="A1002" s="81" t="s">
        <v>4526</v>
      </c>
      <c r="B1002" s="81"/>
      <c r="C1002" s="81"/>
      <c r="D1002" s="81"/>
      <c r="E1002" s="81"/>
      <c r="F1002" s="81"/>
      <c r="G1002" s="81"/>
      <c r="H1002" s="81"/>
      <c r="I1002" s="81" t="s">
        <v>4547</v>
      </c>
      <c r="J1002" s="81" t="s">
        <v>1380</v>
      </c>
      <c r="K1002" s="81" t="s">
        <v>4556</v>
      </c>
      <c r="L1002" s="81" t="s">
        <v>0</v>
      </c>
      <c r="M1002" s="57"/>
      <c r="N1002" s="82">
        <v>42480</v>
      </c>
      <c r="O1002" s="57">
        <f t="shared" si="51"/>
        <v>0</v>
      </c>
      <c r="P1002" s="77"/>
      <c r="Q1002" s="73"/>
      <c r="R1002" s="57"/>
      <c r="S1002" s="57"/>
      <c r="T1002" s="57"/>
      <c r="U1002" s="57"/>
      <c r="V1002" s="73">
        <f t="shared" si="50"/>
        <v>0</v>
      </c>
      <c r="W1002" s="106"/>
      <c r="X1002" s="64"/>
    </row>
    <row r="1003" spans="1:24" s="66" customFormat="1" ht="12" hidden="1" customHeight="1">
      <c r="A1003" s="81" t="s">
        <v>4527</v>
      </c>
      <c r="B1003" s="81"/>
      <c r="C1003" s="81"/>
      <c r="D1003" s="81"/>
      <c r="E1003" s="81"/>
      <c r="F1003" s="81"/>
      <c r="G1003" s="81"/>
      <c r="H1003" s="81"/>
      <c r="I1003" s="81" t="s">
        <v>4547</v>
      </c>
      <c r="J1003" s="81" t="s">
        <v>1380</v>
      </c>
      <c r="K1003" s="81" t="s">
        <v>4557</v>
      </c>
      <c r="L1003" s="81" t="s">
        <v>0</v>
      </c>
      <c r="M1003" s="57"/>
      <c r="N1003" s="82">
        <v>26550</v>
      </c>
      <c r="O1003" s="57">
        <f t="shared" si="51"/>
        <v>0</v>
      </c>
      <c r="P1003" s="77"/>
      <c r="Q1003" s="73"/>
      <c r="R1003" s="57"/>
      <c r="S1003" s="57"/>
      <c r="T1003" s="57"/>
      <c r="U1003" s="57"/>
      <c r="V1003" s="73">
        <f t="shared" si="50"/>
        <v>0</v>
      </c>
      <c r="W1003" s="106"/>
      <c r="X1003" s="64"/>
    </row>
    <row r="1004" spans="1:24" s="66" customFormat="1" ht="12" hidden="1" customHeight="1">
      <c r="A1004" s="81" t="s">
        <v>4528</v>
      </c>
      <c r="B1004" s="81"/>
      <c r="C1004" s="81"/>
      <c r="D1004" s="81"/>
      <c r="E1004" s="81"/>
      <c r="F1004" s="81"/>
      <c r="G1004" s="81"/>
      <c r="H1004" s="81"/>
      <c r="I1004" s="81" t="s">
        <v>4547</v>
      </c>
      <c r="J1004" s="81" t="s">
        <v>1380</v>
      </c>
      <c r="K1004" s="81" t="s">
        <v>4558</v>
      </c>
      <c r="L1004" s="81" t="s">
        <v>0</v>
      </c>
      <c r="M1004" s="57"/>
      <c r="N1004" s="82">
        <v>26550</v>
      </c>
      <c r="O1004" s="57">
        <f t="shared" si="51"/>
        <v>0</v>
      </c>
      <c r="P1004" s="77"/>
      <c r="Q1004" s="73"/>
      <c r="R1004" s="57"/>
      <c r="S1004" s="57"/>
      <c r="T1004" s="57"/>
      <c r="U1004" s="57"/>
      <c r="V1004" s="73">
        <f t="shared" si="50"/>
        <v>0</v>
      </c>
      <c r="W1004" s="106"/>
      <c r="X1004" s="64"/>
    </row>
    <row r="1005" spans="1:24" s="66" customFormat="1" ht="12" hidden="1" customHeight="1">
      <c r="A1005" s="81" t="s">
        <v>4529</v>
      </c>
      <c r="B1005" s="81"/>
      <c r="C1005" s="81"/>
      <c r="D1005" s="81"/>
      <c r="E1005" s="81"/>
      <c r="F1005" s="81"/>
      <c r="G1005" s="81"/>
      <c r="H1005" s="81"/>
      <c r="I1005" s="81" t="s">
        <v>4547</v>
      </c>
      <c r="J1005" s="81" t="s">
        <v>1380</v>
      </c>
      <c r="K1005" s="81" t="s">
        <v>4559</v>
      </c>
      <c r="L1005" s="81" t="s">
        <v>0</v>
      </c>
      <c r="M1005" s="57"/>
      <c r="N1005" s="82">
        <v>31860</v>
      </c>
      <c r="O1005" s="57">
        <f t="shared" si="51"/>
        <v>0</v>
      </c>
      <c r="P1005" s="77"/>
      <c r="Q1005" s="73"/>
      <c r="R1005" s="57"/>
      <c r="S1005" s="57"/>
      <c r="T1005" s="57"/>
      <c r="U1005" s="57"/>
      <c r="V1005" s="73">
        <f t="shared" si="50"/>
        <v>0</v>
      </c>
      <c r="W1005" s="106"/>
      <c r="X1005" s="64"/>
    </row>
    <row r="1006" spans="1:24" s="66" customFormat="1" ht="12" hidden="1" customHeight="1">
      <c r="A1006" s="81" t="s">
        <v>4530</v>
      </c>
      <c r="B1006" s="81"/>
      <c r="C1006" s="81"/>
      <c r="D1006" s="81"/>
      <c r="E1006" s="81"/>
      <c r="F1006" s="81"/>
      <c r="G1006" s="81"/>
      <c r="H1006" s="81"/>
      <c r="I1006" s="81" t="s">
        <v>4547</v>
      </c>
      <c r="J1006" s="81" t="s">
        <v>1380</v>
      </c>
      <c r="K1006" s="81" t="s">
        <v>4560</v>
      </c>
      <c r="L1006" s="81" t="s">
        <v>0</v>
      </c>
      <c r="M1006" s="57"/>
      <c r="N1006" s="82">
        <v>37170</v>
      </c>
      <c r="O1006" s="57">
        <f t="shared" si="51"/>
        <v>0</v>
      </c>
      <c r="P1006" s="77"/>
      <c r="Q1006" s="73"/>
      <c r="R1006" s="57"/>
      <c r="S1006" s="57"/>
      <c r="T1006" s="57"/>
      <c r="U1006" s="57"/>
      <c r="V1006" s="73">
        <f t="shared" si="50"/>
        <v>0</v>
      </c>
      <c r="W1006" s="106"/>
      <c r="X1006" s="64"/>
    </row>
    <row r="1007" spans="1:24" s="66" customFormat="1" ht="12" hidden="1" customHeight="1">
      <c r="A1007" s="81" t="s">
        <v>4531</v>
      </c>
      <c r="B1007" s="81"/>
      <c r="C1007" s="81"/>
      <c r="D1007" s="81"/>
      <c r="E1007" s="81"/>
      <c r="F1007" s="81"/>
      <c r="G1007" s="81"/>
      <c r="H1007" s="81"/>
      <c r="I1007" s="81" t="s">
        <v>4547</v>
      </c>
      <c r="J1007" s="81" t="s">
        <v>1380</v>
      </c>
      <c r="K1007" s="81" t="s">
        <v>4561</v>
      </c>
      <c r="L1007" s="81" t="s">
        <v>0</v>
      </c>
      <c r="M1007" s="57"/>
      <c r="N1007" s="82">
        <v>44610</v>
      </c>
      <c r="O1007" s="57">
        <f t="shared" si="51"/>
        <v>0</v>
      </c>
      <c r="P1007" s="77"/>
      <c r="Q1007" s="73"/>
      <c r="R1007" s="57"/>
      <c r="S1007" s="57"/>
      <c r="T1007" s="57"/>
      <c r="U1007" s="57"/>
      <c r="V1007" s="73">
        <f t="shared" si="50"/>
        <v>0</v>
      </c>
      <c r="W1007" s="106"/>
      <c r="X1007" s="64"/>
    </row>
    <row r="1008" spans="1:24" s="66" customFormat="1" ht="12" hidden="1" customHeight="1">
      <c r="A1008" s="81" t="s">
        <v>4532</v>
      </c>
      <c r="B1008" s="81"/>
      <c r="C1008" s="81"/>
      <c r="D1008" s="81"/>
      <c r="E1008" s="81"/>
      <c r="F1008" s="81"/>
      <c r="G1008" s="81"/>
      <c r="H1008" s="81"/>
      <c r="I1008" s="81" t="s">
        <v>4547</v>
      </c>
      <c r="J1008" s="81" t="s">
        <v>1380</v>
      </c>
      <c r="K1008" s="81" t="s">
        <v>4562</v>
      </c>
      <c r="L1008" s="81" t="s">
        <v>0</v>
      </c>
      <c r="M1008" s="57"/>
      <c r="N1008" s="82">
        <v>47790</v>
      </c>
      <c r="O1008" s="57">
        <f t="shared" si="51"/>
        <v>0</v>
      </c>
      <c r="P1008" s="77"/>
      <c r="Q1008" s="73"/>
      <c r="R1008" s="57"/>
      <c r="S1008" s="57"/>
      <c r="T1008" s="57"/>
      <c r="U1008" s="57"/>
      <c r="V1008" s="73">
        <f t="shared" ref="V1008:V1071" si="52">SUM(O1008+Q1008)+S1008+U1008</f>
        <v>0</v>
      </c>
      <c r="W1008" s="106"/>
      <c r="X1008" s="64"/>
    </row>
    <row r="1009" spans="1:24" s="66" customFormat="1" ht="12" hidden="1" customHeight="1">
      <c r="A1009" s="81" t="s">
        <v>4533</v>
      </c>
      <c r="B1009" s="81"/>
      <c r="C1009" s="81"/>
      <c r="D1009" s="81"/>
      <c r="E1009" s="81"/>
      <c r="F1009" s="81"/>
      <c r="G1009" s="81"/>
      <c r="H1009" s="81"/>
      <c r="I1009" s="81" t="s">
        <v>4547</v>
      </c>
      <c r="J1009" s="81" t="s">
        <v>1380</v>
      </c>
      <c r="K1009" s="81" t="s">
        <v>4563</v>
      </c>
      <c r="L1009" s="81" t="s">
        <v>4485</v>
      </c>
      <c r="M1009" s="57"/>
      <c r="N1009" s="82">
        <v>159300</v>
      </c>
      <c r="O1009" s="57">
        <f t="shared" si="51"/>
        <v>0</v>
      </c>
      <c r="P1009" s="77"/>
      <c r="Q1009" s="73"/>
      <c r="R1009" s="57"/>
      <c r="S1009" s="57"/>
      <c r="T1009" s="57"/>
      <c r="U1009" s="57"/>
      <c r="V1009" s="73">
        <f t="shared" si="52"/>
        <v>0</v>
      </c>
      <c r="W1009" s="106"/>
      <c r="X1009" s="64"/>
    </row>
    <row r="1010" spans="1:24" s="66" customFormat="1" ht="12" hidden="1" customHeight="1">
      <c r="A1010" s="81" t="s">
        <v>4534</v>
      </c>
      <c r="B1010" s="81"/>
      <c r="C1010" s="81"/>
      <c r="D1010" s="81"/>
      <c r="E1010" s="81"/>
      <c r="F1010" s="81"/>
      <c r="G1010" s="81"/>
      <c r="H1010" s="81"/>
      <c r="I1010" s="81" t="s">
        <v>4547</v>
      </c>
      <c r="J1010" s="81" t="s">
        <v>1380</v>
      </c>
      <c r="K1010" s="81" t="s">
        <v>4564</v>
      </c>
      <c r="L1010" s="81" t="s">
        <v>4485</v>
      </c>
      <c r="M1010" s="57"/>
      <c r="N1010" s="82">
        <v>159300</v>
      </c>
      <c r="O1010" s="57">
        <f t="shared" si="51"/>
        <v>0</v>
      </c>
      <c r="P1010" s="77"/>
      <c r="Q1010" s="73"/>
      <c r="R1010" s="57"/>
      <c r="S1010" s="57"/>
      <c r="T1010" s="57"/>
      <c r="U1010" s="57"/>
      <c r="V1010" s="73">
        <f t="shared" si="52"/>
        <v>0</v>
      </c>
      <c r="W1010" s="106"/>
      <c r="X1010" s="64"/>
    </row>
    <row r="1011" spans="1:24" s="66" customFormat="1" ht="12" hidden="1" customHeight="1">
      <c r="A1011" s="81" t="s">
        <v>4535</v>
      </c>
      <c r="B1011" s="81"/>
      <c r="C1011" s="81"/>
      <c r="D1011" s="81"/>
      <c r="E1011" s="81"/>
      <c r="F1011" s="81"/>
      <c r="G1011" s="81"/>
      <c r="H1011" s="81"/>
      <c r="I1011" s="81" t="s">
        <v>4547</v>
      </c>
      <c r="J1011" s="81" t="s">
        <v>1380</v>
      </c>
      <c r="K1011" s="81" t="s">
        <v>4565</v>
      </c>
      <c r="L1011" s="81" t="s">
        <v>4485</v>
      </c>
      <c r="M1011" s="57"/>
      <c r="N1011" s="82">
        <v>159300</v>
      </c>
      <c r="O1011" s="57">
        <f t="shared" si="51"/>
        <v>0</v>
      </c>
      <c r="P1011" s="77"/>
      <c r="Q1011" s="73"/>
      <c r="R1011" s="57"/>
      <c r="S1011" s="57"/>
      <c r="T1011" s="57"/>
      <c r="U1011" s="57"/>
      <c r="V1011" s="73">
        <f t="shared" si="52"/>
        <v>0</v>
      </c>
      <c r="W1011" s="106"/>
      <c r="X1011" s="64"/>
    </row>
    <row r="1012" spans="1:24" s="66" customFormat="1" ht="12" hidden="1" customHeight="1">
      <c r="A1012" s="81" t="s">
        <v>4536</v>
      </c>
      <c r="B1012" s="81"/>
      <c r="C1012" s="81"/>
      <c r="D1012" s="81"/>
      <c r="E1012" s="81"/>
      <c r="F1012" s="81"/>
      <c r="G1012" s="81"/>
      <c r="H1012" s="81"/>
      <c r="I1012" s="81" t="s">
        <v>4547</v>
      </c>
      <c r="J1012" s="81" t="s">
        <v>1380</v>
      </c>
      <c r="K1012" s="81" t="s">
        <v>4566</v>
      </c>
      <c r="L1012" s="81" t="s">
        <v>4485</v>
      </c>
      <c r="M1012" s="57"/>
      <c r="N1012" s="82">
        <v>84960</v>
      </c>
      <c r="O1012" s="57">
        <f t="shared" si="51"/>
        <v>0</v>
      </c>
      <c r="P1012" s="77"/>
      <c r="Q1012" s="73"/>
      <c r="R1012" s="57"/>
      <c r="S1012" s="57"/>
      <c r="T1012" s="57"/>
      <c r="U1012" s="57"/>
      <c r="V1012" s="73">
        <f t="shared" si="52"/>
        <v>0</v>
      </c>
      <c r="W1012" s="106"/>
      <c r="X1012" s="64"/>
    </row>
    <row r="1013" spans="1:24" s="66" customFormat="1" ht="12" hidden="1" customHeight="1">
      <c r="A1013" s="81" t="s">
        <v>4537</v>
      </c>
      <c r="B1013" s="81"/>
      <c r="C1013" s="81"/>
      <c r="D1013" s="81"/>
      <c r="E1013" s="81"/>
      <c r="F1013" s="81"/>
      <c r="G1013" s="81"/>
      <c r="H1013" s="81"/>
      <c r="I1013" s="81" t="s">
        <v>4547</v>
      </c>
      <c r="J1013" s="81" t="s">
        <v>1380</v>
      </c>
      <c r="K1013" s="81" t="s">
        <v>4567</v>
      </c>
      <c r="L1013" s="81" t="s">
        <v>4485</v>
      </c>
      <c r="M1013" s="57"/>
      <c r="N1013" s="82">
        <v>159300</v>
      </c>
      <c r="O1013" s="57">
        <f t="shared" si="51"/>
        <v>0</v>
      </c>
      <c r="P1013" s="77"/>
      <c r="Q1013" s="73"/>
      <c r="R1013" s="57"/>
      <c r="S1013" s="57"/>
      <c r="T1013" s="57"/>
      <c r="U1013" s="57"/>
      <c r="V1013" s="73">
        <f t="shared" si="52"/>
        <v>0</v>
      </c>
      <c r="W1013" s="106"/>
      <c r="X1013" s="64"/>
    </row>
    <row r="1014" spans="1:24" s="66" customFormat="1" ht="12" hidden="1" customHeight="1">
      <c r="A1014" s="81" t="s">
        <v>4538</v>
      </c>
      <c r="B1014" s="81"/>
      <c r="C1014" s="81"/>
      <c r="D1014" s="81"/>
      <c r="E1014" s="81"/>
      <c r="F1014" s="81"/>
      <c r="G1014" s="81"/>
      <c r="H1014" s="81"/>
      <c r="I1014" s="81" t="s">
        <v>4547</v>
      </c>
      <c r="J1014" s="81" t="s">
        <v>1380</v>
      </c>
      <c r="K1014" s="81" t="s">
        <v>4568</v>
      </c>
      <c r="L1014" s="81" t="s">
        <v>4485</v>
      </c>
      <c r="M1014" s="57"/>
      <c r="N1014" s="82">
        <v>10620</v>
      </c>
      <c r="O1014" s="57">
        <f t="shared" si="51"/>
        <v>0</v>
      </c>
      <c r="P1014" s="77"/>
      <c r="Q1014" s="73"/>
      <c r="R1014" s="57"/>
      <c r="S1014" s="57"/>
      <c r="T1014" s="57"/>
      <c r="U1014" s="57"/>
      <c r="V1014" s="73">
        <f t="shared" si="52"/>
        <v>0</v>
      </c>
      <c r="W1014" s="106"/>
      <c r="X1014" s="64"/>
    </row>
    <row r="1015" spans="1:24" s="66" customFormat="1" ht="12" hidden="1" customHeight="1">
      <c r="A1015" s="81" t="s">
        <v>4539</v>
      </c>
      <c r="B1015" s="81"/>
      <c r="C1015" s="81"/>
      <c r="D1015" s="81"/>
      <c r="E1015" s="81"/>
      <c r="F1015" s="81"/>
      <c r="G1015" s="81"/>
      <c r="H1015" s="81"/>
      <c r="I1015" s="81" t="s">
        <v>4547</v>
      </c>
      <c r="J1015" s="81" t="s">
        <v>1380</v>
      </c>
      <c r="K1015" s="81" t="s">
        <v>4569</v>
      </c>
      <c r="L1015" s="81" t="s">
        <v>4485</v>
      </c>
      <c r="M1015" s="57"/>
      <c r="N1015" s="82">
        <v>10620</v>
      </c>
      <c r="O1015" s="57">
        <f t="shared" si="51"/>
        <v>0</v>
      </c>
      <c r="P1015" s="77"/>
      <c r="Q1015" s="73"/>
      <c r="R1015" s="57"/>
      <c r="S1015" s="57"/>
      <c r="T1015" s="57"/>
      <c r="U1015" s="57"/>
      <c r="V1015" s="73">
        <f t="shared" si="52"/>
        <v>0</v>
      </c>
      <c r="W1015" s="106"/>
      <c r="X1015" s="64"/>
    </row>
    <row r="1016" spans="1:24" s="66" customFormat="1" ht="12" hidden="1" customHeight="1">
      <c r="A1016" s="81" t="s">
        <v>4540</v>
      </c>
      <c r="B1016" s="81"/>
      <c r="C1016" s="81"/>
      <c r="D1016" s="81"/>
      <c r="E1016" s="81"/>
      <c r="F1016" s="81"/>
      <c r="G1016" s="81"/>
      <c r="H1016" s="81"/>
      <c r="I1016" s="81" t="s">
        <v>4547</v>
      </c>
      <c r="J1016" s="81" t="s">
        <v>1380</v>
      </c>
      <c r="K1016" s="81" t="s">
        <v>4570</v>
      </c>
      <c r="L1016" s="81" t="s">
        <v>4485</v>
      </c>
      <c r="M1016" s="57"/>
      <c r="N1016" s="82">
        <v>127440</v>
      </c>
      <c r="O1016" s="57">
        <f t="shared" si="51"/>
        <v>0</v>
      </c>
      <c r="P1016" s="77"/>
      <c r="Q1016" s="73"/>
      <c r="R1016" s="57"/>
      <c r="S1016" s="57"/>
      <c r="T1016" s="57"/>
      <c r="U1016" s="57"/>
      <c r="V1016" s="73">
        <f t="shared" si="52"/>
        <v>0</v>
      </c>
      <c r="W1016" s="106"/>
      <c r="X1016" s="64"/>
    </row>
    <row r="1017" spans="1:24" s="66" customFormat="1" ht="12" hidden="1" customHeight="1">
      <c r="A1017" s="81" t="s">
        <v>4541</v>
      </c>
      <c r="B1017" s="81"/>
      <c r="C1017" s="81"/>
      <c r="D1017" s="81"/>
      <c r="E1017" s="81"/>
      <c r="F1017" s="81"/>
      <c r="G1017" s="81"/>
      <c r="H1017" s="81"/>
      <c r="I1017" s="81" t="s">
        <v>4547</v>
      </c>
      <c r="J1017" s="81" t="s">
        <v>1380</v>
      </c>
      <c r="K1017" s="81" t="s">
        <v>4571</v>
      </c>
      <c r="L1017" s="81" t="s">
        <v>4485</v>
      </c>
      <c r="M1017" s="57"/>
      <c r="N1017" s="82">
        <v>26550</v>
      </c>
      <c r="O1017" s="57">
        <f t="shared" si="51"/>
        <v>0</v>
      </c>
      <c r="P1017" s="77"/>
      <c r="Q1017" s="73"/>
      <c r="R1017" s="57"/>
      <c r="S1017" s="57"/>
      <c r="T1017" s="57"/>
      <c r="U1017" s="57"/>
      <c r="V1017" s="73">
        <f t="shared" si="52"/>
        <v>0</v>
      </c>
      <c r="W1017" s="106"/>
      <c r="X1017" s="64"/>
    </row>
    <row r="1018" spans="1:24" s="66" customFormat="1" ht="12" hidden="1" customHeight="1">
      <c r="A1018" s="81" t="s">
        <v>4542</v>
      </c>
      <c r="B1018" s="81"/>
      <c r="C1018" s="81"/>
      <c r="D1018" s="81"/>
      <c r="E1018" s="81"/>
      <c r="F1018" s="81"/>
      <c r="G1018" s="81"/>
      <c r="H1018" s="81"/>
      <c r="I1018" s="81" t="s">
        <v>4547</v>
      </c>
      <c r="J1018" s="81" t="s">
        <v>1380</v>
      </c>
      <c r="K1018" s="81" t="s">
        <v>4572</v>
      </c>
      <c r="L1018" s="81" t="s">
        <v>4573</v>
      </c>
      <c r="M1018" s="57"/>
      <c r="N1018" s="82">
        <v>10620</v>
      </c>
      <c r="O1018" s="57">
        <f t="shared" si="51"/>
        <v>0</v>
      </c>
      <c r="P1018" s="77"/>
      <c r="Q1018" s="73"/>
      <c r="R1018" s="57"/>
      <c r="S1018" s="57"/>
      <c r="T1018" s="57"/>
      <c r="U1018" s="57"/>
      <c r="V1018" s="73">
        <f t="shared" si="52"/>
        <v>0</v>
      </c>
      <c r="W1018" s="106"/>
      <c r="X1018" s="64"/>
    </row>
    <row r="1019" spans="1:24" s="66" customFormat="1" ht="12" hidden="1" customHeight="1">
      <c r="A1019" s="81" t="s">
        <v>4543</v>
      </c>
      <c r="B1019" s="81"/>
      <c r="C1019" s="81"/>
      <c r="D1019" s="81"/>
      <c r="E1019" s="81"/>
      <c r="F1019" s="81"/>
      <c r="G1019" s="81"/>
      <c r="H1019" s="81"/>
      <c r="I1019" s="81" t="s">
        <v>4547</v>
      </c>
      <c r="J1019" s="81" t="s">
        <v>1380</v>
      </c>
      <c r="K1019" s="81" t="s">
        <v>4574</v>
      </c>
      <c r="L1019" s="81" t="s">
        <v>4573</v>
      </c>
      <c r="M1019" s="57"/>
      <c r="N1019" s="82">
        <v>53100</v>
      </c>
      <c r="O1019" s="57">
        <f t="shared" ref="O1019:O1082" si="53">M1019*N1019*$O$3</f>
        <v>0</v>
      </c>
      <c r="P1019" s="77"/>
      <c r="Q1019" s="73"/>
      <c r="R1019" s="57"/>
      <c r="S1019" s="57"/>
      <c r="T1019" s="57"/>
      <c r="U1019" s="57"/>
      <c r="V1019" s="73">
        <f t="shared" si="52"/>
        <v>0</v>
      </c>
      <c r="W1019" s="106"/>
      <c r="X1019" s="64"/>
    </row>
    <row r="1020" spans="1:24" s="66" customFormat="1" ht="12" hidden="1" customHeight="1">
      <c r="A1020" s="81" t="s">
        <v>4544</v>
      </c>
      <c r="B1020" s="81"/>
      <c r="C1020" s="81"/>
      <c r="D1020" s="81"/>
      <c r="E1020" s="81"/>
      <c r="F1020" s="81"/>
      <c r="G1020" s="81"/>
      <c r="H1020" s="81"/>
      <c r="I1020" s="81" t="s">
        <v>4547</v>
      </c>
      <c r="J1020" s="81" t="s">
        <v>1380</v>
      </c>
      <c r="K1020" s="81" t="s">
        <v>4575</v>
      </c>
      <c r="L1020" s="81" t="s">
        <v>4485</v>
      </c>
      <c r="M1020" s="57"/>
      <c r="N1020" s="82">
        <v>10620</v>
      </c>
      <c r="O1020" s="57">
        <f t="shared" si="53"/>
        <v>0</v>
      </c>
      <c r="P1020" s="77"/>
      <c r="Q1020" s="73"/>
      <c r="R1020" s="57"/>
      <c r="S1020" s="57"/>
      <c r="T1020" s="57"/>
      <c r="U1020" s="57"/>
      <c r="V1020" s="73">
        <f t="shared" si="52"/>
        <v>0</v>
      </c>
      <c r="W1020" s="106"/>
      <c r="X1020" s="64"/>
    </row>
    <row r="1021" spans="1:24" s="66" customFormat="1" ht="12" hidden="1" customHeight="1">
      <c r="A1021" s="81" t="s">
        <v>4545</v>
      </c>
      <c r="B1021" s="81"/>
      <c r="C1021" s="81"/>
      <c r="D1021" s="81"/>
      <c r="E1021" s="81"/>
      <c r="F1021" s="81"/>
      <c r="G1021" s="81"/>
      <c r="H1021" s="81"/>
      <c r="I1021" s="81" t="s">
        <v>4547</v>
      </c>
      <c r="J1021" s="81" t="s">
        <v>1380</v>
      </c>
      <c r="K1021" s="81" t="s">
        <v>4576</v>
      </c>
      <c r="L1021" s="81" t="s">
        <v>4485</v>
      </c>
      <c r="M1021" s="57"/>
      <c r="N1021" s="82">
        <v>31860</v>
      </c>
      <c r="O1021" s="57">
        <f t="shared" si="53"/>
        <v>0</v>
      </c>
      <c r="P1021" s="77"/>
      <c r="Q1021" s="73"/>
      <c r="R1021" s="57"/>
      <c r="S1021" s="57"/>
      <c r="T1021" s="57"/>
      <c r="U1021" s="57"/>
      <c r="V1021" s="73">
        <f t="shared" si="52"/>
        <v>0</v>
      </c>
      <c r="W1021" s="106"/>
      <c r="X1021" s="64"/>
    </row>
    <row r="1022" spans="1:24" s="66" customFormat="1" ht="12" hidden="1" customHeight="1">
      <c r="A1022" s="81" t="s">
        <v>4546</v>
      </c>
      <c r="B1022" s="81"/>
      <c r="C1022" s="81"/>
      <c r="D1022" s="81"/>
      <c r="E1022" s="81"/>
      <c r="F1022" s="81"/>
      <c r="G1022" s="81"/>
      <c r="H1022" s="81"/>
      <c r="I1022" s="81" t="s">
        <v>4547</v>
      </c>
      <c r="J1022" s="81" t="s">
        <v>1380</v>
      </c>
      <c r="K1022" s="81" t="s">
        <v>4577</v>
      </c>
      <c r="L1022" s="81" t="s">
        <v>4485</v>
      </c>
      <c r="M1022" s="57"/>
      <c r="N1022" s="82">
        <v>31860</v>
      </c>
      <c r="O1022" s="57">
        <f t="shared" si="53"/>
        <v>0</v>
      </c>
      <c r="P1022" s="77"/>
      <c r="Q1022" s="73"/>
      <c r="R1022" s="57"/>
      <c r="S1022" s="57"/>
      <c r="T1022" s="57"/>
      <c r="U1022" s="57"/>
      <c r="V1022" s="73">
        <f t="shared" si="52"/>
        <v>0</v>
      </c>
      <c r="W1022" s="106"/>
      <c r="X1022" s="64"/>
    </row>
    <row r="1023" spans="1:24" s="66" customFormat="1" ht="12" hidden="1" customHeight="1">
      <c r="A1023" s="81" t="s">
        <v>4578</v>
      </c>
      <c r="B1023" s="81"/>
      <c r="C1023" s="81"/>
      <c r="D1023" s="81"/>
      <c r="E1023" s="81"/>
      <c r="F1023" s="81"/>
      <c r="G1023" s="81"/>
      <c r="H1023" s="81"/>
      <c r="I1023" s="81" t="s">
        <v>4594</v>
      </c>
      <c r="J1023" s="81" t="s">
        <v>4595</v>
      </c>
      <c r="K1023" s="81" t="s">
        <v>4596</v>
      </c>
      <c r="L1023" s="81" t="s">
        <v>20</v>
      </c>
      <c r="M1023" s="57"/>
      <c r="N1023" s="82">
        <v>192</v>
      </c>
      <c r="O1023" s="57">
        <f t="shared" si="53"/>
        <v>0</v>
      </c>
      <c r="P1023" s="77"/>
      <c r="Q1023" s="73"/>
      <c r="R1023" s="57"/>
      <c r="S1023" s="57"/>
      <c r="T1023" s="57"/>
      <c r="U1023" s="57"/>
      <c r="V1023" s="73">
        <f t="shared" si="52"/>
        <v>0</v>
      </c>
      <c r="W1023" s="106"/>
      <c r="X1023" s="64"/>
    </row>
    <row r="1024" spans="1:24" s="66" customFormat="1" ht="12" hidden="1" customHeight="1">
      <c r="A1024" s="81" t="s">
        <v>4579</v>
      </c>
      <c r="B1024" s="81"/>
      <c r="C1024" s="81"/>
      <c r="D1024" s="81"/>
      <c r="E1024" s="81"/>
      <c r="F1024" s="81"/>
      <c r="G1024" s="81"/>
      <c r="H1024" s="81"/>
      <c r="I1024" s="81" t="s">
        <v>4594</v>
      </c>
      <c r="J1024" s="81" t="s">
        <v>4595</v>
      </c>
      <c r="K1024" s="81" t="s">
        <v>758</v>
      </c>
      <c r="L1024" s="81" t="s">
        <v>20</v>
      </c>
      <c r="M1024" s="57"/>
      <c r="N1024" s="82">
        <v>215</v>
      </c>
      <c r="O1024" s="57">
        <f t="shared" si="53"/>
        <v>0</v>
      </c>
      <c r="P1024" s="77"/>
      <c r="Q1024" s="73"/>
      <c r="R1024" s="57"/>
      <c r="S1024" s="57"/>
      <c r="T1024" s="57"/>
      <c r="U1024" s="57"/>
      <c r="V1024" s="73">
        <f t="shared" si="52"/>
        <v>0</v>
      </c>
      <c r="W1024" s="106"/>
      <c r="X1024" s="64"/>
    </row>
    <row r="1025" spans="1:24" s="66" customFormat="1" ht="12" hidden="1" customHeight="1">
      <c r="A1025" s="81" t="s">
        <v>4580</v>
      </c>
      <c r="B1025" s="81"/>
      <c r="C1025" s="81"/>
      <c r="D1025" s="81"/>
      <c r="E1025" s="81"/>
      <c r="F1025" s="81"/>
      <c r="G1025" s="81"/>
      <c r="H1025" s="81"/>
      <c r="I1025" s="81" t="s">
        <v>4594</v>
      </c>
      <c r="J1025" s="81" t="s">
        <v>4595</v>
      </c>
      <c r="K1025" s="81" t="s">
        <v>759</v>
      </c>
      <c r="L1025" s="81" t="s">
        <v>20</v>
      </c>
      <c r="M1025" s="57"/>
      <c r="N1025" s="82">
        <v>269</v>
      </c>
      <c r="O1025" s="57">
        <f t="shared" si="53"/>
        <v>0</v>
      </c>
      <c r="P1025" s="77"/>
      <c r="Q1025" s="73"/>
      <c r="R1025" s="57"/>
      <c r="S1025" s="57"/>
      <c r="T1025" s="57"/>
      <c r="U1025" s="57"/>
      <c r="V1025" s="73">
        <f t="shared" si="52"/>
        <v>0</v>
      </c>
      <c r="W1025" s="106"/>
      <c r="X1025" s="64"/>
    </row>
    <row r="1026" spans="1:24" s="66" customFormat="1" ht="12" hidden="1" customHeight="1">
      <c r="A1026" s="81" t="s">
        <v>4581</v>
      </c>
      <c r="B1026" s="81"/>
      <c r="C1026" s="81"/>
      <c r="D1026" s="81"/>
      <c r="E1026" s="81"/>
      <c r="F1026" s="81"/>
      <c r="G1026" s="81"/>
      <c r="H1026" s="81"/>
      <c r="I1026" s="81" t="s">
        <v>4594</v>
      </c>
      <c r="J1026" s="81" t="s">
        <v>4595</v>
      </c>
      <c r="K1026" s="81" t="s">
        <v>760</v>
      </c>
      <c r="L1026" s="81" t="s">
        <v>20</v>
      </c>
      <c r="M1026" s="57"/>
      <c r="N1026" s="82">
        <v>286</v>
      </c>
      <c r="O1026" s="57">
        <f t="shared" si="53"/>
        <v>0</v>
      </c>
      <c r="P1026" s="77"/>
      <c r="Q1026" s="73"/>
      <c r="R1026" s="57"/>
      <c r="S1026" s="57"/>
      <c r="T1026" s="57"/>
      <c r="U1026" s="57"/>
      <c r="V1026" s="73">
        <f t="shared" si="52"/>
        <v>0</v>
      </c>
      <c r="W1026" s="106"/>
      <c r="X1026" s="64"/>
    </row>
    <row r="1027" spans="1:24" s="66" customFormat="1" ht="12" hidden="1" customHeight="1">
      <c r="A1027" s="81" t="s">
        <v>4582</v>
      </c>
      <c r="B1027" s="81"/>
      <c r="C1027" s="81"/>
      <c r="D1027" s="81"/>
      <c r="E1027" s="81"/>
      <c r="F1027" s="81"/>
      <c r="G1027" s="81"/>
      <c r="H1027" s="81"/>
      <c r="I1027" s="81" t="s">
        <v>4594</v>
      </c>
      <c r="J1027" s="81" t="s">
        <v>4595</v>
      </c>
      <c r="K1027" s="81" t="s">
        <v>3187</v>
      </c>
      <c r="L1027" s="81" t="s">
        <v>20</v>
      </c>
      <c r="M1027" s="57"/>
      <c r="N1027" s="82">
        <v>430</v>
      </c>
      <c r="O1027" s="57">
        <f t="shared" si="53"/>
        <v>0</v>
      </c>
      <c r="P1027" s="77"/>
      <c r="Q1027" s="73"/>
      <c r="R1027" s="57"/>
      <c r="S1027" s="57"/>
      <c r="T1027" s="57"/>
      <c r="U1027" s="57"/>
      <c r="V1027" s="73">
        <f t="shared" si="52"/>
        <v>0</v>
      </c>
      <c r="W1027" s="106"/>
      <c r="X1027" s="64"/>
    </row>
    <row r="1028" spans="1:24" s="66" customFormat="1" ht="12" hidden="1" customHeight="1">
      <c r="A1028" s="81" t="s">
        <v>4583</v>
      </c>
      <c r="B1028" s="81"/>
      <c r="C1028" s="81"/>
      <c r="D1028" s="81"/>
      <c r="E1028" s="81"/>
      <c r="F1028" s="81"/>
      <c r="G1028" s="81"/>
      <c r="H1028" s="81"/>
      <c r="I1028" s="81" t="s">
        <v>4594</v>
      </c>
      <c r="J1028" s="81" t="s">
        <v>4595</v>
      </c>
      <c r="K1028" s="81" t="s">
        <v>3189</v>
      </c>
      <c r="L1028" s="81" t="s">
        <v>20</v>
      </c>
      <c r="M1028" s="57"/>
      <c r="N1028" s="82">
        <v>500</v>
      </c>
      <c r="O1028" s="57">
        <f t="shared" si="53"/>
        <v>0</v>
      </c>
      <c r="P1028" s="77"/>
      <c r="Q1028" s="73"/>
      <c r="R1028" s="57"/>
      <c r="S1028" s="57"/>
      <c r="T1028" s="57"/>
      <c r="U1028" s="57"/>
      <c r="V1028" s="73">
        <f t="shared" si="52"/>
        <v>0</v>
      </c>
      <c r="W1028" s="106"/>
      <c r="X1028" s="64"/>
    </row>
    <row r="1029" spans="1:24" s="66" customFormat="1" ht="12" hidden="1" customHeight="1">
      <c r="A1029" s="81" t="s">
        <v>4584</v>
      </c>
      <c r="B1029" s="81"/>
      <c r="C1029" s="81"/>
      <c r="D1029" s="81"/>
      <c r="E1029" s="81"/>
      <c r="F1029" s="81"/>
      <c r="G1029" s="81"/>
      <c r="H1029" s="81"/>
      <c r="I1029" s="81" t="s">
        <v>4594</v>
      </c>
      <c r="J1029" s="81" t="s">
        <v>4595</v>
      </c>
      <c r="K1029" s="81" t="s">
        <v>3191</v>
      </c>
      <c r="L1029" s="81" t="s">
        <v>20</v>
      </c>
      <c r="M1029" s="57"/>
      <c r="N1029" s="82">
        <v>730</v>
      </c>
      <c r="O1029" s="57">
        <f t="shared" si="53"/>
        <v>0</v>
      </c>
      <c r="P1029" s="77"/>
      <c r="Q1029" s="73"/>
      <c r="R1029" s="57"/>
      <c r="S1029" s="57"/>
      <c r="T1029" s="57"/>
      <c r="U1029" s="57"/>
      <c r="V1029" s="73">
        <f t="shared" si="52"/>
        <v>0</v>
      </c>
      <c r="W1029" s="106"/>
      <c r="X1029" s="64"/>
    </row>
    <row r="1030" spans="1:24" s="66" customFormat="1" ht="12" hidden="1" customHeight="1">
      <c r="A1030" s="81" t="s">
        <v>4585</v>
      </c>
      <c r="B1030" s="81"/>
      <c r="C1030" s="81"/>
      <c r="D1030" s="81"/>
      <c r="E1030" s="81"/>
      <c r="F1030" s="81"/>
      <c r="G1030" s="81"/>
      <c r="H1030" s="81"/>
      <c r="I1030" s="81" t="s">
        <v>4594</v>
      </c>
      <c r="J1030" s="81" t="s">
        <v>4595</v>
      </c>
      <c r="K1030" s="81" t="s">
        <v>3193</v>
      </c>
      <c r="L1030" s="81" t="s">
        <v>20</v>
      </c>
      <c r="M1030" s="57"/>
      <c r="N1030" s="82">
        <v>1142</v>
      </c>
      <c r="O1030" s="57">
        <f t="shared" si="53"/>
        <v>0</v>
      </c>
      <c r="P1030" s="77"/>
      <c r="Q1030" s="73"/>
      <c r="R1030" s="57"/>
      <c r="S1030" s="57"/>
      <c r="T1030" s="57"/>
      <c r="U1030" s="57"/>
      <c r="V1030" s="73">
        <f t="shared" si="52"/>
        <v>0</v>
      </c>
      <c r="W1030" s="106"/>
      <c r="X1030" s="64"/>
    </row>
    <row r="1031" spans="1:24" s="66" customFormat="1" ht="12" hidden="1" customHeight="1">
      <c r="A1031" s="81" t="s">
        <v>4586</v>
      </c>
      <c r="B1031" s="81"/>
      <c r="C1031" s="81"/>
      <c r="D1031" s="81"/>
      <c r="E1031" s="81"/>
      <c r="F1031" s="81"/>
      <c r="G1031" s="81"/>
      <c r="H1031" s="81"/>
      <c r="I1031" s="81" t="s">
        <v>4594</v>
      </c>
      <c r="J1031" s="81" t="s">
        <v>4595</v>
      </c>
      <c r="K1031" s="81" t="s">
        <v>3195</v>
      </c>
      <c r="L1031" s="81" t="s">
        <v>20</v>
      </c>
      <c r="M1031" s="57"/>
      <c r="N1031" s="82">
        <v>1553</v>
      </c>
      <c r="O1031" s="57">
        <f t="shared" si="53"/>
        <v>0</v>
      </c>
      <c r="P1031" s="77"/>
      <c r="Q1031" s="73"/>
      <c r="R1031" s="57"/>
      <c r="S1031" s="57"/>
      <c r="T1031" s="57"/>
      <c r="U1031" s="57"/>
      <c r="V1031" s="73">
        <f t="shared" si="52"/>
        <v>0</v>
      </c>
      <c r="W1031" s="106"/>
      <c r="X1031" s="64"/>
    </row>
    <row r="1032" spans="1:24" s="66" customFormat="1" ht="12" hidden="1" customHeight="1">
      <c r="A1032" s="81" t="s">
        <v>4587</v>
      </c>
      <c r="B1032" s="81"/>
      <c r="C1032" s="81"/>
      <c r="D1032" s="81"/>
      <c r="E1032" s="81"/>
      <c r="F1032" s="81"/>
      <c r="G1032" s="81"/>
      <c r="H1032" s="81"/>
      <c r="I1032" s="81" t="s">
        <v>4594</v>
      </c>
      <c r="J1032" s="81" t="s">
        <v>4595</v>
      </c>
      <c r="K1032" s="81" t="s">
        <v>3197</v>
      </c>
      <c r="L1032" s="81" t="s">
        <v>20</v>
      </c>
      <c r="M1032" s="57"/>
      <c r="N1032" s="82">
        <v>1882</v>
      </c>
      <c r="O1032" s="57">
        <f t="shared" si="53"/>
        <v>0</v>
      </c>
      <c r="P1032" s="77"/>
      <c r="Q1032" s="73"/>
      <c r="R1032" s="57"/>
      <c r="S1032" s="57"/>
      <c r="T1032" s="57"/>
      <c r="U1032" s="57"/>
      <c r="V1032" s="73">
        <f t="shared" si="52"/>
        <v>0</v>
      </c>
      <c r="W1032" s="106"/>
      <c r="X1032" s="64"/>
    </row>
    <row r="1033" spans="1:24" s="66" customFormat="1" ht="12" hidden="1" customHeight="1">
      <c r="A1033" s="81" t="s">
        <v>4588</v>
      </c>
      <c r="B1033" s="81"/>
      <c r="C1033" s="81"/>
      <c r="D1033" s="81"/>
      <c r="E1033" s="81"/>
      <c r="F1033" s="81"/>
      <c r="G1033" s="81"/>
      <c r="H1033" s="81"/>
      <c r="I1033" s="81" t="s">
        <v>4594</v>
      </c>
      <c r="J1033" s="81" t="s">
        <v>4595</v>
      </c>
      <c r="K1033" s="81" t="s">
        <v>3199</v>
      </c>
      <c r="L1033" s="81" t="s">
        <v>20</v>
      </c>
      <c r="M1033" s="57"/>
      <c r="N1033" s="82">
        <v>2400</v>
      </c>
      <c r="O1033" s="57">
        <f t="shared" si="53"/>
        <v>0</v>
      </c>
      <c r="P1033" s="77"/>
      <c r="Q1033" s="73"/>
      <c r="R1033" s="57"/>
      <c r="S1033" s="57"/>
      <c r="T1033" s="57"/>
      <c r="U1033" s="57"/>
      <c r="V1033" s="73">
        <f t="shared" si="52"/>
        <v>0</v>
      </c>
      <c r="W1033" s="106"/>
      <c r="X1033" s="64"/>
    </row>
    <row r="1034" spans="1:24" s="66" customFormat="1" ht="12" hidden="1" customHeight="1">
      <c r="A1034" s="81" t="s">
        <v>4589</v>
      </c>
      <c r="B1034" s="81"/>
      <c r="C1034" s="81"/>
      <c r="D1034" s="81"/>
      <c r="E1034" s="81"/>
      <c r="F1034" s="81"/>
      <c r="G1034" s="81"/>
      <c r="H1034" s="81"/>
      <c r="I1034" s="81" t="s">
        <v>4594</v>
      </c>
      <c r="J1034" s="81" t="s">
        <v>4595</v>
      </c>
      <c r="K1034" s="81" t="s">
        <v>3201</v>
      </c>
      <c r="L1034" s="81" t="s">
        <v>20</v>
      </c>
      <c r="M1034" s="57"/>
      <c r="N1034" s="82">
        <v>2976</v>
      </c>
      <c r="O1034" s="57">
        <f t="shared" si="53"/>
        <v>0</v>
      </c>
      <c r="P1034" s="77"/>
      <c r="Q1034" s="73"/>
      <c r="R1034" s="57"/>
      <c r="S1034" s="57"/>
      <c r="T1034" s="57"/>
      <c r="U1034" s="57"/>
      <c r="V1034" s="73">
        <f t="shared" si="52"/>
        <v>0</v>
      </c>
      <c r="W1034" s="106"/>
      <c r="X1034" s="64"/>
    </row>
    <row r="1035" spans="1:24" s="66" customFormat="1" ht="12" hidden="1" customHeight="1">
      <c r="A1035" s="81" t="s">
        <v>4590</v>
      </c>
      <c r="B1035" s="81"/>
      <c r="C1035" s="81"/>
      <c r="D1035" s="81"/>
      <c r="E1035" s="81"/>
      <c r="F1035" s="81"/>
      <c r="G1035" s="81"/>
      <c r="H1035" s="81"/>
      <c r="I1035" s="81" t="s">
        <v>4594</v>
      </c>
      <c r="J1035" s="81" t="s">
        <v>4595</v>
      </c>
      <c r="K1035" s="81" t="s">
        <v>3203</v>
      </c>
      <c r="L1035" s="81" t="s">
        <v>20</v>
      </c>
      <c r="M1035" s="57"/>
      <c r="N1035" s="82">
        <v>3667</v>
      </c>
      <c r="O1035" s="57">
        <f t="shared" si="53"/>
        <v>0</v>
      </c>
      <c r="P1035" s="77"/>
      <c r="Q1035" s="73"/>
      <c r="R1035" s="57"/>
      <c r="S1035" s="57"/>
      <c r="T1035" s="57"/>
      <c r="U1035" s="57"/>
      <c r="V1035" s="73">
        <f t="shared" si="52"/>
        <v>0</v>
      </c>
      <c r="W1035" s="106"/>
      <c r="X1035" s="64"/>
    </row>
    <row r="1036" spans="1:24" s="66" customFormat="1" ht="12" hidden="1" customHeight="1">
      <c r="A1036" s="81" t="s">
        <v>4591</v>
      </c>
      <c r="B1036" s="81"/>
      <c r="C1036" s="81"/>
      <c r="D1036" s="81"/>
      <c r="E1036" s="81"/>
      <c r="F1036" s="81"/>
      <c r="G1036" s="81"/>
      <c r="H1036" s="81"/>
      <c r="I1036" s="81" t="s">
        <v>4594</v>
      </c>
      <c r="J1036" s="81" t="s">
        <v>4595</v>
      </c>
      <c r="K1036" s="81" t="s">
        <v>3205</v>
      </c>
      <c r="L1036" s="81" t="s">
        <v>20</v>
      </c>
      <c r="M1036" s="57"/>
      <c r="N1036" s="82">
        <v>4810</v>
      </c>
      <c r="O1036" s="57">
        <f t="shared" si="53"/>
        <v>0</v>
      </c>
      <c r="P1036" s="77"/>
      <c r="Q1036" s="73"/>
      <c r="R1036" s="57"/>
      <c r="S1036" s="57"/>
      <c r="T1036" s="57"/>
      <c r="U1036" s="57"/>
      <c r="V1036" s="73">
        <f t="shared" si="52"/>
        <v>0</v>
      </c>
      <c r="W1036" s="106"/>
      <c r="X1036" s="64"/>
    </row>
    <row r="1037" spans="1:24" s="66" customFormat="1" ht="12" hidden="1" customHeight="1">
      <c r="A1037" s="81" t="s">
        <v>4592</v>
      </c>
      <c r="B1037" s="81"/>
      <c r="C1037" s="81"/>
      <c r="D1037" s="81"/>
      <c r="E1037" s="81"/>
      <c r="F1037" s="81"/>
      <c r="G1037" s="81"/>
      <c r="H1037" s="81"/>
      <c r="I1037" s="81" t="s">
        <v>4594</v>
      </c>
      <c r="J1037" s="81" t="s">
        <v>4595</v>
      </c>
      <c r="K1037" s="81" t="s">
        <v>3207</v>
      </c>
      <c r="L1037" s="81" t="s">
        <v>20</v>
      </c>
      <c r="M1037" s="57"/>
      <c r="N1037" s="82">
        <v>6720</v>
      </c>
      <c r="O1037" s="57">
        <f t="shared" si="53"/>
        <v>0</v>
      </c>
      <c r="P1037" s="77"/>
      <c r="Q1037" s="73"/>
      <c r="R1037" s="57"/>
      <c r="S1037" s="57"/>
      <c r="T1037" s="57"/>
      <c r="U1037" s="57"/>
      <c r="V1037" s="73">
        <f t="shared" si="52"/>
        <v>0</v>
      </c>
      <c r="W1037" s="106"/>
      <c r="X1037" s="64"/>
    </row>
    <row r="1038" spans="1:24" s="66" customFormat="1" ht="12" hidden="1" customHeight="1">
      <c r="A1038" s="81" t="s">
        <v>4593</v>
      </c>
      <c r="B1038" s="81"/>
      <c r="C1038" s="81"/>
      <c r="D1038" s="81"/>
      <c r="E1038" s="81"/>
      <c r="F1038" s="81"/>
      <c r="G1038" s="81"/>
      <c r="H1038" s="81"/>
      <c r="I1038" s="81" t="s">
        <v>4594</v>
      </c>
      <c r="J1038" s="81" t="s">
        <v>4595</v>
      </c>
      <c r="K1038" s="81" t="s">
        <v>3210</v>
      </c>
      <c r="L1038" s="81" t="s">
        <v>20</v>
      </c>
      <c r="M1038" s="57"/>
      <c r="N1038" s="82">
        <v>6787</v>
      </c>
      <c r="O1038" s="57">
        <f t="shared" si="53"/>
        <v>0</v>
      </c>
      <c r="P1038" s="77"/>
      <c r="Q1038" s="73"/>
      <c r="R1038" s="57"/>
      <c r="S1038" s="57"/>
      <c r="T1038" s="57"/>
      <c r="U1038" s="57"/>
      <c r="V1038" s="73">
        <f t="shared" si="52"/>
        <v>0</v>
      </c>
      <c r="W1038" s="106"/>
      <c r="X1038" s="64"/>
    </row>
    <row r="1039" spans="1:24" s="66" customFormat="1" ht="12" hidden="1" customHeight="1">
      <c r="A1039" s="81" t="s">
        <v>4597</v>
      </c>
      <c r="B1039" s="81"/>
      <c r="C1039" s="81"/>
      <c r="D1039" s="81"/>
      <c r="E1039" s="81"/>
      <c r="F1039" s="81"/>
      <c r="G1039" s="81"/>
      <c r="H1039" s="81"/>
      <c r="I1039" s="81" t="s">
        <v>4627</v>
      </c>
      <c r="J1039" s="81" t="s">
        <v>4628</v>
      </c>
      <c r="K1039" s="81" t="s">
        <v>4629</v>
      </c>
      <c r="L1039" s="81" t="s">
        <v>20</v>
      </c>
      <c r="M1039" s="57"/>
      <c r="N1039" s="82">
        <v>600</v>
      </c>
      <c r="O1039" s="57">
        <f t="shared" si="53"/>
        <v>0</v>
      </c>
      <c r="P1039" s="77"/>
      <c r="Q1039" s="73"/>
      <c r="R1039" s="57"/>
      <c r="S1039" s="57"/>
      <c r="T1039" s="57"/>
      <c r="U1039" s="57"/>
      <c r="V1039" s="73">
        <f t="shared" si="52"/>
        <v>0</v>
      </c>
      <c r="W1039" s="106"/>
      <c r="X1039" s="64"/>
    </row>
    <row r="1040" spans="1:24" s="66" customFormat="1" ht="12" hidden="1" customHeight="1">
      <c r="A1040" s="81" t="s">
        <v>4598</v>
      </c>
      <c r="B1040" s="81"/>
      <c r="C1040" s="81"/>
      <c r="D1040" s="81"/>
      <c r="E1040" s="81"/>
      <c r="F1040" s="81"/>
      <c r="G1040" s="81"/>
      <c r="H1040" s="81"/>
      <c r="I1040" s="81" t="s">
        <v>4627</v>
      </c>
      <c r="J1040" s="81" t="s">
        <v>4628</v>
      </c>
      <c r="K1040" s="81" t="s">
        <v>4630</v>
      </c>
      <c r="L1040" s="81" t="s">
        <v>20</v>
      </c>
      <c r="M1040" s="57"/>
      <c r="N1040" s="82">
        <v>1160</v>
      </c>
      <c r="O1040" s="57">
        <f t="shared" si="53"/>
        <v>0</v>
      </c>
      <c r="P1040" s="77"/>
      <c r="Q1040" s="73"/>
      <c r="R1040" s="57"/>
      <c r="S1040" s="57"/>
      <c r="T1040" s="57"/>
      <c r="U1040" s="57"/>
      <c r="V1040" s="73">
        <f t="shared" si="52"/>
        <v>0</v>
      </c>
      <c r="W1040" s="106"/>
      <c r="X1040" s="64"/>
    </row>
    <row r="1041" spans="1:24" s="66" customFormat="1" ht="12" hidden="1" customHeight="1">
      <c r="A1041" s="81" t="s">
        <v>4599</v>
      </c>
      <c r="B1041" s="81"/>
      <c r="C1041" s="81"/>
      <c r="D1041" s="81"/>
      <c r="E1041" s="81"/>
      <c r="F1041" s="81"/>
      <c r="G1041" s="81"/>
      <c r="H1041" s="81"/>
      <c r="I1041" s="81" t="s">
        <v>4627</v>
      </c>
      <c r="J1041" s="81" t="s">
        <v>4628</v>
      </c>
      <c r="K1041" s="81" t="s">
        <v>4631</v>
      </c>
      <c r="L1041" s="81" t="s">
        <v>20</v>
      </c>
      <c r="M1041" s="57"/>
      <c r="N1041" s="82">
        <v>1670</v>
      </c>
      <c r="O1041" s="57">
        <f t="shared" si="53"/>
        <v>0</v>
      </c>
      <c r="P1041" s="77"/>
      <c r="Q1041" s="73"/>
      <c r="R1041" s="57"/>
      <c r="S1041" s="57"/>
      <c r="T1041" s="57"/>
      <c r="U1041" s="57"/>
      <c r="V1041" s="73">
        <f t="shared" si="52"/>
        <v>0</v>
      </c>
      <c r="W1041" s="106"/>
      <c r="X1041" s="64"/>
    </row>
    <row r="1042" spans="1:24" s="66" customFormat="1" ht="12" hidden="1" customHeight="1">
      <c r="A1042" s="81" t="s">
        <v>4600</v>
      </c>
      <c r="B1042" s="81"/>
      <c r="C1042" s="81"/>
      <c r="D1042" s="81"/>
      <c r="E1042" s="81"/>
      <c r="F1042" s="81"/>
      <c r="G1042" s="81"/>
      <c r="H1042" s="81"/>
      <c r="I1042" s="81" t="s">
        <v>4627</v>
      </c>
      <c r="J1042" s="81" t="s">
        <v>4628</v>
      </c>
      <c r="K1042" s="81" t="s">
        <v>4632</v>
      </c>
      <c r="L1042" s="81" t="s">
        <v>20</v>
      </c>
      <c r="M1042" s="57"/>
      <c r="N1042" s="82">
        <v>940</v>
      </c>
      <c r="O1042" s="57">
        <f t="shared" si="53"/>
        <v>0</v>
      </c>
      <c r="P1042" s="77"/>
      <c r="Q1042" s="73"/>
      <c r="R1042" s="57"/>
      <c r="S1042" s="57"/>
      <c r="T1042" s="57"/>
      <c r="U1042" s="57"/>
      <c r="V1042" s="73">
        <f t="shared" si="52"/>
        <v>0</v>
      </c>
      <c r="W1042" s="106"/>
      <c r="X1042" s="64"/>
    </row>
    <row r="1043" spans="1:24" s="66" customFormat="1" ht="12" hidden="1" customHeight="1">
      <c r="A1043" s="81" t="s">
        <v>4601</v>
      </c>
      <c r="B1043" s="81"/>
      <c r="C1043" s="81"/>
      <c r="D1043" s="81"/>
      <c r="E1043" s="81"/>
      <c r="F1043" s="81"/>
      <c r="G1043" s="81"/>
      <c r="H1043" s="81"/>
      <c r="I1043" s="81" t="s">
        <v>4627</v>
      </c>
      <c r="J1043" s="81" t="s">
        <v>4628</v>
      </c>
      <c r="K1043" s="81" t="s">
        <v>4633</v>
      </c>
      <c r="L1043" s="81" t="s">
        <v>20</v>
      </c>
      <c r="M1043" s="57"/>
      <c r="N1043" s="82">
        <v>1090</v>
      </c>
      <c r="O1043" s="57">
        <f t="shared" si="53"/>
        <v>0</v>
      </c>
      <c r="P1043" s="77"/>
      <c r="Q1043" s="73"/>
      <c r="R1043" s="57"/>
      <c r="S1043" s="57"/>
      <c r="T1043" s="57"/>
      <c r="U1043" s="57"/>
      <c r="V1043" s="73">
        <f t="shared" si="52"/>
        <v>0</v>
      </c>
      <c r="W1043" s="106"/>
      <c r="X1043" s="64"/>
    </row>
    <row r="1044" spans="1:24" s="66" customFormat="1" ht="12" hidden="1" customHeight="1">
      <c r="A1044" s="81" t="s">
        <v>4602</v>
      </c>
      <c r="B1044" s="81"/>
      <c r="C1044" s="81"/>
      <c r="D1044" s="81"/>
      <c r="E1044" s="81"/>
      <c r="F1044" s="81"/>
      <c r="G1044" s="81"/>
      <c r="H1044" s="81"/>
      <c r="I1044" s="81" t="s">
        <v>4627</v>
      </c>
      <c r="J1044" s="81" t="s">
        <v>4628</v>
      </c>
      <c r="K1044" s="81" t="s">
        <v>4634</v>
      </c>
      <c r="L1044" s="81" t="s">
        <v>20</v>
      </c>
      <c r="M1044" s="57"/>
      <c r="N1044" s="82">
        <v>1380</v>
      </c>
      <c r="O1044" s="57">
        <f t="shared" si="53"/>
        <v>0</v>
      </c>
      <c r="P1044" s="77"/>
      <c r="Q1044" s="73"/>
      <c r="R1044" s="57"/>
      <c r="S1044" s="57"/>
      <c r="T1044" s="57"/>
      <c r="U1044" s="57"/>
      <c r="V1044" s="73">
        <f t="shared" si="52"/>
        <v>0</v>
      </c>
      <c r="W1044" s="106"/>
      <c r="X1044" s="64"/>
    </row>
    <row r="1045" spans="1:24" s="66" customFormat="1" ht="12" hidden="1" customHeight="1">
      <c r="A1045" s="81" t="s">
        <v>4603</v>
      </c>
      <c r="B1045" s="81"/>
      <c r="C1045" s="81"/>
      <c r="D1045" s="81"/>
      <c r="E1045" s="81"/>
      <c r="F1045" s="81"/>
      <c r="G1045" s="81"/>
      <c r="H1045" s="81"/>
      <c r="I1045" s="81" t="s">
        <v>4627</v>
      </c>
      <c r="J1045" s="81" t="s">
        <v>4628</v>
      </c>
      <c r="K1045" s="81" t="s">
        <v>4635</v>
      </c>
      <c r="L1045" s="81" t="s">
        <v>20</v>
      </c>
      <c r="M1045" s="57"/>
      <c r="N1045" s="82">
        <v>1900</v>
      </c>
      <c r="O1045" s="57">
        <f t="shared" si="53"/>
        <v>0</v>
      </c>
      <c r="P1045" s="77"/>
      <c r="Q1045" s="73"/>
      <c r="R1045" s="57"/>
      <c r="S1045" s="57"/>
      <c r="T1045" s="57"/>
      <c r="U1045" s="57"/>
      <c r="V1045" s="73">
        <f t="shared" si="52"/>
        <v>0</v>
      </c>
      <c r="W1045" s="106"/>
      <c r="X1045" s="64"/>
    </row>
    <row r="1046" spans="1:24" s="66" customFormat="1" ht="12" hidden="1" customHeight="1">
      <c r="A1046" s="81" t="s">
        <v>4604</v>
      </c>
      <c r="B1046" s="81"/>
      <c r="C1046" s="81"/>
      <c r="D1046" s="81"/>
      <c r="E1046" s="81"/>
      <c r="F1046" s="81"/>
      <c r="G1046" s="81"/>
      <c r="H1046" s="81"/>
      <c r="I1046" s="81" t="s">
        <v>4627</v>
      </c>
      <c r="J1046" s="81" t="s">
        <v>4628</v>
      </c>
      <c r="K1046" s="81" t="s">
        <v>4636</v>
      </c>
      <c r="L1046" s="81" t="s">
        <v>20</v>
      </c>
      <c r="M1046" s="57"/>
      <c r="N1046" s="82">
        <v>2320</v>
      </c>
      <c r="O1046" s="57">
        <f t="shared" si="53"/>
        <v>0</v>
      </c>
      <c r="P1046" s="77"/>
      <c r="Q1046" s="73"/>
      <c r="R1046" s="57"/>
      <c r="S1046" s="57"/>
      <c r="T1046" s="57"/>
      <c r="U1046" s="57"/>
      <c r="V1046" s="73">
        <f t="shared" si="52"/>
        <v>0</v>
      </c>
      <c r="W1046" s="106"/>
      <c r="X1046" s="64"/>
    </row>
    <row r="1047" spans="1:24" s="66" customFormat="1" ht="12" hidden="1" customHeight="1">
      <c r="A1047" s="81" t="s">
        <v>4605</v>
      </c>
      <c r="B1047" s="81"/>
      <c r="C1047" s="81"/>
      <c r="D1047" s="81"/>
      <c r="E1047" s="81"/>
      <c r="F1047" s="81"/>
      <c r="G1047" s="81"/>
      <c r="H1047" s="81"/>
      <c r="I1047" s="81" t="s">
        <v>4627</v>
      </c>
      <c r="J1047" s="81" t="s">
        <v>4628</v>
      </c>
      <c r="K1047" s="81" t="s">
        <v>4637</v>
      </c>
      <c r="L1047" s="81" t="s">
        <v>20</v>
      </c>
      <c r="M1047" s="57"/>
      <c r="N1047" s="82">
        <v>2900</v>
      </c>
      <c r="O1047" s="57">
        <f t="shared" si="53"/>
        <v>0</v>
      </c>
      <c r="P1047" s="77"/>
      <c r="Q1047" s="73"/>
      <c r="R1047" s="57"/>
      <c r="S1047" s="57"/>
      <c r="T1047" s="57"/>
      <c r="U1047" s="57"/>
      <c r="V1047" s="73">
        <f t="shared" si="52"/>
        <v>0</v>
      </c>
      <c r="W1047" s="106"/>
      <c r="X1047" s="64"/>
    </row>
    <row r="1048" spans="1:24" s="66" customFormat="1" ht="12" hidden="1" customHeight="1">
      <c r="A1048" s="81" t="s">
        <v>4606</v>
      </c>
      <c r="B1048" s="81"/>
      <c r="C1048" s="81"/>
      <c r="D1048" s="81"/>
      <c r="E1048" s="81"/>
      <c r="F1048" s="81"/>
      <c r="G1048" s="81"/>
      <c r="H1048" s="81"/>
      <c r="I1048" s="81" t="s">
        <v>4627</v>
      </c>
      <c r="J1048" s="81" t="s">
        <v>4628</v>
      </c>
      <c r="K1048" s="81" t="s">
        <v>4638</v>
      </c>
      <c r="L1048" s="81" t="s">
        <v>20</v>
      </c>
      <c r="M1048" s="57"/>
      <c r="N1048" s="82">
        <v>3770</v>
      </c>
      <c r="O1048" s="57">
        <f t="shared" si="53"/>
        <v>0</v>
      </c>
      <c r="P1048" s="77"/>
      <c r="Q1048" s="73"/>
      <c r="R1048" s="57"/>
      <c r="S1048" s="57"/>
      <c r="T1048" s="57"/>
      <c r="U1048" s="57"/>
      <c r="V1048" s="73">
        <f t="shared" si="52"/>
        <v>0</v>
      </c>
      <c r="W1048" s="106"/>
      <c r="X1048" s="64"/>
    </row>
    <row r="1049" spans="1:24" s="66" customFormat="1" ht="12" hidden="1" customHeight="1">
      <c r="A1049" s="81" t="s">
        <v>4607</v>
      </c>
      <c r="B1049" s="81"/>
      <c r="C1049" s="81"/>
      <c r="D1049" s="81"/>
      <c r="E1049" s="81"/>
      <c r="F1049" s="81"/>
      <c r="G1049" s="81"/>
      <c r="H1049" s="81"/>
      <c r="I1049" s="81" t="s">
        <v>4627</v>
      </c>
      <c r="J1049" s="81" t="s">
        <v>4628</v>
      </c>
      <c r="K1049" s="81" t="s">
        <v>4639</v>
      </c>
      <c r="L1049" s="81" t="s">
        <v>20</v>
      </c>
      <c r="M1049" s="57"/>
      <c r="N1049" s="82">
        <v>1380</v>
      </c>
      <c r="O1049" s="57">
        <f t="shared" si="53"/>
        <v>0</v>
      </c>
      <c r="P1049" s="77"/>
      <c r="Q1049" s="73"/>
      <c r="R1049" s="57"/>
      <c r="S1049" s="57"/>
      <c r="T1049" s="57"/>
      <c r="U1049" s="57"/>
      <c r="V1049" s="73">
        <f t="shared" si="52"/>
        <v>0</v>
      </c>
      <c r="W1049" s="106"/>
      <c r="X1049" s="64"/>
    </row>
    <row r="1050" spans="1:24" s="66" customFormat="1" ht="12" hidden="1" customHeight="1">
      <c r="A1050" s="81" t="s">
        <v>4608</v>
      </c>
      <c r="B1050" s="81"/>
      <c r="C1050" s="81"/>
      <c r="D1050" s="81"/>
      <c r="E1050" s="81"/>
      <c r="F1050" s="81"/>
      <c r="G1050" s="81"/>
      <c r="H1050" s="81"/>
      <c r="I1050" s="81" t="s">
        <v>4627</v>
      </c>
      <c r="J1050" s="81" t="s">
        <v>4628</v>
      </c>
      <c r="K1050" s="81" t="s">
        <v>4640</v>
      </c>
      <c r="L1050" s="81" t="s">
        <v>20</v>
      </c>
      <c r="M1050" s="57"/>
      <c r="N1050" s="82">
        <v>1890</v>
      </c>
      <c r="O1050" s="57">
        <f t="shared" si="53"/>
        <v>0</v>
      </c>
      <c r="P1050" s="77"/>
      <c r="Q1050" s="73"/>
      <c r="R1050" s="57"/>
      <c r="S1050" s="57"/>
      <c r="T1050" s="57"/>
      <c r="U1050" s="57"/>
      <c r="V1050" s="73">
        <f t="shared" si="52"/>
        <v>0</v>
      </c>
      <c r="W1050" s="106"/>
      <c r="X1050" s="64"/>
    </row>
    <row r="1051" spans="1:24" s="66" customFormat="1" ht="12" hidden="1" customHeight="1">
      <c r="A1051" s="81" t="s">
        <v>4609</v>
      </c>
      <c r="B1051" s="81"/>
      <c r="C1051" s="81"/>
      <c r="D1051" s="81"/>
      <c r="E1051" s="81"/>
      <c r="F1051" s="81"/>
      <c r="G1051" s="81"/>
      <c r="H1051" s="81"/>
      <c r="I1051" s="81" t="s">
        <v>4627</v>
      </c>
      <c r="J1051" s="81" t="s">
        <v>4628</v>
      </c>
      <c r="K1051" s="81" t="s">
        <v>4641</v>
      </c>
      <c r="L1051" s="81" t="s">
        <v>20</v>
      </c>
      <c r="M1051" s="57"/>
      <c r="N1051" s="82">
        <v>2320</v>
      </c>
      <c r="O1051" s="57">
        <f t="shared" si="53"/>
        <v>0</v>
      </c>
      <c r="P1051" s="77"/>
      <c r="Q1051" s="73"/>
      <c r="R1051" s="57"/>
      <c r="S1051" s="57"/>
      <c r="T1051" s="57"/>
      <c r="U1051" s="57"/>
      <c r="V1051" s="73">
        <f t="shared" si="52"/>
        <v>0</v>
      </c>
      <c r="W1051" s="106"/>
      <c r="X1051" s="64"/>
    </row>
    <row r="1052" spans="1:24" s="66" customFormat="1" ht="12" hidden="1" customHeight="1">
      <c r="A1052" s="81" t="s">
        <v>4610</v>
      </c>
      <c r="B1052" s="81"/>
      <c r="C1052" s="81"/>
      <c r="D1052" s="81"/>
      <c r="E1052" s="81"/>
      <c r="F1052" s="81"/>
      <c r="G1052" s="81"/>
      <c r="H1052" s="81"/>
      <c r="I1052" s="81" t="s">
        <v>4627</v>
      </c>
      <c r="J1052" s="81" t="s">
        <v>4628</v>
      </c>
      <c r="K1052" s="81" t="s">
        <v>4642</v>
      </c>
      <c r="L1052" s="81" t="s">
        <v>20</v>
      </c>
      <c r="M1052" s="57"/>
      <c r="N1052" s="82">
        <v>3630</v>
      </c>
      <c r="O1052" s="57">
        <f t="shared" si="53"/>
        <v>0</v>
      </c>
      <c r="P1052" s="77"/>
      <c r="Q1052" s="73"/>
      <c r="R1052" s="57"/>
      <c r="S1052" s="57"/>
      <c r="T1052" s="57"/>
      <c r="U1052" s="57"/>
      <c r="V1052" s="73">
        <f t="shared" si="52"/>
        <v>0</v>
      </c>
      <c r="W1052" s="106"/>
      <c r="X1052" s="64"/>
    </row>
    <row r="1053" spans="1:24" s="66" customFormat="1" ht="12" hidden="1" customHeight="1">
      <c r="A1053" s="81" t="s">
        <v>4611</v>
      </c>
      <c r="B1053" s="81"/>
      <c r="C1053" s="81"/>
      <c r="D1053" s="81"/>
      <c r="E1053" s="81"/>
      <c r="F1053" s="81"/>
      <c r="G1053" s="81"/>
      <c r="H1053" s="81"/>
      <c r="I1053" s="81" t="s">
        <v>4627</v>
      </c>
      <c r="J1053" s="81" t="s">
        <v>4628</v>
      </c>
      <c r="K1053" s="81" t="s">
        <v>4643</v>
      </c>
      <c r="L1053" s="81" t="s">
        <v>20</v>
      </c>
      <c r="M1053" s="57"/>
      <c r="N1053" s="82">
        <v>2760</v>
      </c>
      <c r="O1053" s="57">
        <f t="shared" si="53"/>
        <v>0</v>
      </c>
      <c r="P1053" s="77"/>
      <c r="Q1053" s="73"/>
      <c r="R1053" s="57"/>
      <c r="S1053" s="57"/>
      <c r="T1053" s="57"/>
      <c r="U1053" s="57"/>
      <c r="V1053" s="73">
        <f t="shared" si="52"/>
        <v>0</v>
      </c>
      <c r="W1053" s="106"/>
      <c r="X1053" s="64"/>
    </row>
    <row r="1054" spans="1:24" s="66" customFormat="1" ht="12" hidden="1" customHeight="1">
      <c r="A1054" s="81" t="s">
        <v>4612</v>
      </c>
      <c r="B1054" s="81"/>
      <c r="C1054" s="81"/>
      <c r="D1054" s="81"/>
      <c r="E1054" s="81"/>
      <c r="F1054" s="81"/>
      <c r="G1054" s="81"/>
      <c r="H1054" s="81"/>
      <c r="I1054" s="81" t="s">
        <v>4627</v>
      </c>
      <c r="J1054" s="81" t="s">
        <v>4628</v>
      </c>
      <c r="K1054" s="81" t="s">
        <v>4644</v>
      </c>
      <c r="L1054" s="81" t="s">
        <v>20</v>
      </c>
      <c r="M1054" s="57"/>
      <c r="N1054" s="82">
        <v>3480</v>
      </c>
      <c r="O1054" s="57">
        <f t="shared" si="53"/>
        <v>0</v>
      </c>
      <c r="P1054" s="77"/>
      <c r="Q1054" s="73"/>
      <c r="R1054" s="57"/>
      <c r="S1054" s="57"/>
      <c r="T1054" s="57"/>
      <c r="U1054" s="57"/>
      <c r="V1054" s="73">
        <f t="shared" si="52"/>
        <v>0</v>
      </c>
      <c r="W1054" s="106"/>
      <c r="X1054" s="64"/>
    </row>
    <row r="1055" spans="1:24" s="66" customFormat="1" ht="12" hidden="1" customHeight="1">
      <c r="A1055" s="81" t="s">
        <v>4613</v>
      </c>
      <c r="B1055" s="81"/>
      <c r="C1055" s="81"/>
      <c r="D1055" s="81"/>
      <c r="E1055" s="81"/>
      <c r="F1055" s="81"/>
      <c r="G1055" s="81"/>
      <c r="H1055" s="81"/>
      <c r="I1055" s="81" t="s">
        <v>4627</v>
      </c>
      <c r="J1055" s="81" t="s">
        <v>4628</v>
      </c>
      <c r="K1055" s="81" t="s">
        <v>4645</v>
      </c>
      <c r="L1055" s="81" t="s">
        <v>20</v>
      </c>
      <c r="M1055" s="57"/>
      <c r="N1055" s="82">
        <v>5080</v>
      </c>
      <c r="O1055" s="57">
        <f t="shared" si="53"/>
        <v>0</v>
      </c>
      <c r="P1055" s="77"/>
      <c r="Q1055" s="73"/>
      <c r="R1055" s="57"/>
      <c r="S1055" s="57"/>
      <c r="T1055" s="57"/>
      <c r="U1055" s="57"/>
      <c r="V1055" s="73">
        <f t="shared" si="52"/>
        <v>0</v>
      </c>
      <c r="W1055" s="106"/>
      <c r="X1055" s="64"/>
    </row>
    <row r="1056" spans="1:24" s="66" customFormat="1" ht="12" hidden="1" customHeight="1">
      <c r="A1056" s="81" t="s">
        <v>4614</v>
      </c>
      <c r="B1056" s="81"/>
      <c r="C1056" s="81"/>
      <c r="D1056" s="81"/>
      <c r="E1056" s="81"/>
      <c r="F1056" s="81"/>
      <c r="G1056" s="81"/>
      <c r="H1056" s="81"/>
      <c r="I1056" s="81" t="s">
        <v>4627</v>
      </c>
      <c r="J1056" s="81" t="s">
        <v>4628</v>
      </c>
      <c r="K1056" s="81" t="s">
        <v>4646</v>
      </c>
      <c r="L1056" s="81" t="s">
        <v>20</v>
      </c>
      <c r="M1056" s="57"/>
      <c r="N1056" s="82">
        <v>6380</v>
      </c>
      <c r="O1056" s="57">
        <f t="shared" si="53"/>
        <v>0</v>
      </c>
      <c r="P1056" s="77"/>
      <c r="Q1056" s="73"/>
      <c r="R1056" s="57"/>
      <c r="S1056" s="57"/>
      <c r="T1056" s="57"/>
      <c r="U1056" s="57"/>
      <c r="V1056" s="73">
        <f t="shared" si="52"/>
        <v>0</v>
      </c>
      <c r="W1056" s="106"/>
      <c r="X1056" s="64"/>
    </row>
    <row r="1057" spans="1:24" s="66" customFormat="1" ht="12" hidden="1" customHeight="1">
      <c r="A1057" s="81" t="s">
        <v>4615</v>
      </c>
      <c r="B1057" s="81"/>
      <c r="C1057" s="81"/>
      <c r="D1057" s="81"/>
      <c r="E1057" s="81"/>
      <c r="F1057" s="81"/>
      <c r="G1057" s="81"/>
      <c r="H1057" s="81"/>
      <c r="I1057" s="81" t="s">
        <v>4627</v>
      </c>
      <c r="J1057" s="81" t="s">
        <v>4628</v>
      </c>
      <c r="K1057" s="81" t="s">
        <v>4647</v>
      </c>
      <c r="L1057" s="81" t="s">
        <v>20</v>
      </c>
      <c r="M1057" s="57"/>
      <c r="N1057" s="82">
        <v>7980</v>
      </c>
      <c r="O1057" s="57">
        <f t="shared" si="53"/>
        <v>0</v>
      </c>
      <c r="P1057" s="77"/>
      <c r="Q1057" s="73"/>
      <c r="R1057" s="57"/>
      <c r="S1057" s="57"/>
      <c r="T1057" s="57"/>
      <c r="U1057" s="57"/>
      <c r="V1057" s="73">
        <f t="shared" si="52"/>
        <v>0</v>
      </c>
      <c r="W1057" s="106"/>
      <c r="X1057" s="64"/>
    </row>
    <row r="1058" spans="1:24" s="66" customFormat="1" ht="12" hidden="1" customHeight="1">
      <c r="A1058" s="81" t="s">
        <v>4616</v>
      </c>
      <c r="B1058" s="81"/>
      <c r="C1058" s="81"/>
      <c r="D1058" s="81"/>
      <c r="E1058" s="81"/>
      <c r="F1058" s="81"/>
      <c r="G1058" s="81"/>
      <c r="H1058" s="81"/>
      <c r="I1058" s="81" t="s">
        <v>4627</v>
      </c>
      <c r="J1058" s="81" t="s">
        <v>4628</v>
      </c>
      <c r="K1058" s="81" t="s">
        <v>4648</v>
      </c>
      <c r="L1058" s="81" t="s">
        <v>20</v>
      </c>
      <c r="M1058" s="57"/>
      <c r="N1058" s="82">
        <v>10150</v>
      </c>
      <c r="O1058" s="57">
        <f t="shared" si="53"/>
        <v>0</v>
      </c>
      <c r="P1058" s="77"/>
      <c r="Q1058" s="73"/>
      <c r="R1058" s="57"/>
      <c r="S1058" s="57"/>
      <c r="T1058" s="57"/>
      <c r="U1058" s="57"/>
      <c r="V1058" s="73">
        <f t="shared" si="52"/>
        <v>0</v>
      </c>
      <c r="W1058" s="106"/>
      <c r="X1058" s="64"/>
    </row>
    <row r="1059" spans="1:24" s="66" customFormat="1" ht="12" hidden="1" customHeight="1">
      <c r="A1059" s="81" t="s">
        <v>4617</v>
      </c>
      <c r="B1059" s="81"/>
      <c r="C1059" s="81"/>
      <c r="D1059" s="81"/>
      <c r="E1059" s="81"/>
      <c r="F1059" s="81"/>
      <c r="G1059" s="81"/>
      <c r="H1059" s="81"/>
      <c r="I1059" s="81" t="s">
        <v>4627</v>
      </c>
      <c r="J1059" s="81" t="s">
        <v>4628</v>
      </c>
      <c r="K1059" s="81" t="s">
        <v>4649</v>
      </c>
      <c r="L1059" s="81" t="s">
        <v>20</v>
      </c>
      <c r="M1059" s="57"/>
      <c r="N1059" s="82">
        <v>10730</v>
      </c>
      <c r="O1059" s="57">
        <f t="shared" si="53"/>
        <v>0</v>
      </c>
      <c r="P1059" s="77"/>
      <c r="Q1059" s="73"/>
      <c r="R1059" s="57"/>
      <c r="S1059" s="57"/>
      <c r="T1059" s="57"/>
      <c r="U1059" s="57"/>
      <c r="V1059" s="73">
        <f t="shared" si="52"/>
        <v>0</v>
      </c>
      <c r="W1059" s="106"/>
      <c r="X1059" s="64"/>
    </row>
    <row r="1060" spans="1:24" s="66" customFormat="1" ht="12" hidden="1" customHeight="1">
      <c r="A1060" s="81" t="s">
        <v>4618</v>
      </c>
      <c r="B1060" s="81"/>
      <c r="C1060" s="81"/>
      <c r="D1060" s="81"/>
      <c r="E1060" s="81"/>
      <c r="F1060" s="81"/>
      <c r="G1060" s="81"/>
      <c r="H1060" s="81"/>
      <c r="I1060" s="81" t="s">
        <v>4627</v>
      </c>
      <c r="J1060" s="81" t="s">
        <v>4628</v>
      </c>
      <c r="K1060" s="81" t="s">
        <v>4650</v>
      </c>
      <c r="L1060" s="81" t="s">
        <v>20</v>
      </c>
      <c r="M1060" s="57"/>
      <c r="N1060" s="82">
        <v>13780</v>
      </c>
      <c r="O1060" s="57">
        <f t="shared" si="53"/>
        <v>0</v>
      </c>
      <c r="P1060" s="77"/>
      <c r="Q1060" s="73"/>
      <c r="R1060" s="57"/>
      <c r="S1060" s="57"/>
      <c r="T1060" s="57"/>
      <c r="U1060" s="57"/>
      <c r="V1060" s="73">
        <f t="shared" si="52"/>
        <v>0</v>
      </c>
      <c r="W1060" s="106"/>
      <c r="X1060" s="64"/>
    </row>
    <row r="1061" spans="1:24" s="66" customFormat="1" ht="12" hidden="1" customHeight="1">
      <c r="A1061" s="81" t="s">
        <v>4619</v>
      </c>
      <c r="B1061" s="81"/>
      <c r="C1061" s="81"/>
      <c r="D1061" s="81"/>
      <c r="E1061" s="81"/>
      <c r="F1061" s="81"/>
      <c r="G1061" s="81"/>
      <c r="H1061" s="81"/>
      <c r="I1061" s="81" t="s">
        <v>4627</v>
      </c>
      <c r="J1061" s="81" t="s">
        <v>4628</v>
      </c>
      <c r="K1061" s="81" t="s">
        <v>4651</v>
      </c>
      <c r="L1061" s="81" t="s">
        <v>20</v>
      </c>
      <c r="M1061" s="57"/>
      <c r="N1061" s="82">
        <v>17400</v>
      </c>
      <c r="O1061" s="57">
        <f t="shared" si="53"/>
        <v>0</v>
      </c>
      <c r="P1061" s="77"/>
      <c r="Q1061" s="73"/>
      <c r="R1061" s="57"/>
      <c r="S1061" s="57"/>
      <c r="T1061" s="57"/>
      <c r="U1061" s="57"/>
      <c r="V1061" s="73">
        <f t="shared" si="52"/>
        <v>0</v>
      </c>
      <c r="W1061" s="106"/>
      <c r="X1061" s="64"/>
    </row>
    <row r="1062" spans="1:24" s="66" customFormat="1" ht="12" hidden="1" customHeight="1">
      <c r="A1062" s="81" t="s">
        <v>4620</v>
      </c>
      <c r="B1062" s="81"/>
      <c r="C1062" s="81"/>
      <c r="D1062" s="81"/>
      <c r="E1062" s="81"/>
      <c r="F1062" s="81"/>
      <c r="G1062" s="81"/>
      <c r="H1062" s="81"/>
      <c r="I1062" s="81" t="s">
        <v>4627</v>
      </c>
      <c r="J1062" s="81" t="s">
        <v>4628</v>
      </c>
      <c r="K1062" s="81" t="s">
        <v>4652</v>
      </c>
      <c r="L1062" s="81" t="s">
        <v>20</v>
      </c>
      <c r="M1062" s="57"/>
      <c r="N1062" s="82">
        <v>21750</v>
      </c>
      <c r="O1062" s="57">
        <f t="shared" si="53"/>
        <v>0</v>
      </c>
      <c r="P1062" s="77"/>
      <c r="Q1062" s="73"/>
      <c r="R1062" s="57"/>
      <c r="S1062" s="57"/>
      <c r="T1062" s="57"/>
      <c r="U1062" s="57"/>
      <c r="V1062" s="73">
        <f t="shared" si="52"/>
        <v>0</v>
      </c>
      <c r="W1062" s="106"/>
      <c r="X1062" s="64"/>
    </row>
    <row r="1063" spans="1:24" s="66" customFormat="1" ht="12" hidden="1" customHeight="1">
      <c r="A1063" s="81" t="s">
        <v>4621</v>
      </c>
      <c r="B1063" s="81"/>
      <c r="C1063" s="81"/>
      <c r="D1063" s="81"/>
      <c r="E1063" s="81"/>
      <c r="F1063" s="81"/>
      <c r="G1063" s="81"/>
      <c r="H1063" s="81"/>
      <c r="I1063" s="81" t="s">
        <v>4627</v>
      </c>
      <c r="J1063" s="81" t="s">
        <v>4628</v>
      </c>
      <c r="K1063" s="81" t="s">
        <v>4653</v>
      </c>
      <c r="L1063" s="81" t="s">
        <v>20</v>
      </c>
      <c r="M1063" s="57"/>
      <c r="N1063" s="82">
        <v>23930</v>
      </c>
      <c r="O1063" s="57">
        <f t="shared" si="53"/>
        <v>0</v>
      </c>
      <c r="P1063" s="77"/>
      <c r="Q1063" s="73"/>
      <c r="R1063" s="57"/>
      <c r="S1063" s="57"/>
      <c r="T1063" s="57"/>
      <c r="U1063" s="57"/>
      <c r="V1063" s="73">
        <f t="shared" si="52"/>
        <v>0</v>
      </c>
      <c r="W1063" s="106"/>
      <c r="X1063" s="64"/>
    </row>
    <row r="1064" spans="1:24" s="66" customFormat="1" ht="12" hidden="1" customHeight="1">
      <c r="A1064" s="81" t="s">
        <v>4622</v>
      </c>
      <c r="B1064" s="81"/>
      <c r="C1064" s="81"/>
      <c r="D1064" s="81"/>
      <c r="E1064" s="81"/>
      <c r="F1064" s="81"/>
      <c r="G1064" s="81"/>
      <c r="H1064" s="81"/>
      <c r="I1064" s="81" t="s">
        <v>4627</v>
      </c>
      <c r="J1064" s="81" t="s">
        <v>4628</v>
      </c>
      <c r="K1064" s="81" t="s">
        <v>4654</v>
      </c>
      <c r="L1064" s="81" t="s">
        <v>20</v>
      </c>
      <c r="M1064" s="57"/>
      <c r="N1064" s="82">
        <v>31900</v>
      </c>
      <c r="O1064" s="57">
        <f t="shared" si="53"/>
        <v>0</v>
      </c>
      <c r="P1064" s="77"/>
      <c r="Q1064" s="73"/>
      <c r="R1064" s="57"/>
      <c r="S1064" s="57"/>
      <c r="T1064" s="57"/>
      <c r="U1064" s="57"/>
      <c r="V1064" s="73">
        <f t="shared" si="52"/>
        <v>0</v>
      </c>
      <c r="W1064" s="106"/>
      <c r="X1064" s="64"/>
    </row>
    <row r="1065" spans="1:24" s="66" customFormat="1" ht="12" hidden="1" customHeight="1">
      <c r="A1065" s="81" t="s">
        <v>4623</v>
      </c>
      <c r="B1065" s="81"/>
      <c r="C1065" s="81"/>
      <c r="D1065" s="81"/>
      <c r="E1065" s="81"/>
      <c r="F1065" s="81"/>
      <c r="G1065" s="81"/>
      <c r="H1065" s="81"/>
      <c r="I1065" s="81" t="s">
        <v>4627</v>
      </c>
      <c r="J1065" s="81" t="s">
        <v>4628</v>
      </c>
      <c r="K1065" s="81" t="s">
        <v>4655</v>
      </c>
      <c r="L1065" s="81" t="s">
        <v>20</v>
      </c>
      <c r="M1065" s="57"/>
      <c r="N1065" s="82">
        <v>39150</v>
      </c>
      <c r="O1065" s="57">
        <f t="shared" si="53"/>
        <v>0</v>
      </c>
      <c r="P1065" s="77"/>
      <c r="Q1065" s="73"/>
      <c r="R1065" s="57"/>
      <c r="S1065" s="57"/>
      <c r="T1065" s="57"/>
      <c r="U1065" s="57"/>
      <c r="V1065" s="73">
        <f t="shared" si="52"/>
        <v>0</v>
      </c>
      <c r="W1065" s="106"/>
      <c r="X1065" s="64"/>
    </row>
    <row r="1066" spans="1:24" s="66" customFormat="1" ht="12" hidden="1" customHeight="1">
      <c r="A1066" s="81" t="s">
        <v>4624</v>
      </c>
      <c r="B1066" s="81"/>
      <c r="C1066" s="81"/>
      <c r="D1066" s="81"/>
      <c r="E1066" s="81"/>
      <c r="F1066" s="81"/>
      <c r="G1066" s="81"/>
      <c r="H1066" s="81"/>
      <c r="I1066" s="81" t="s">
        <v>4627</v>
      </c>
      <c r="J1066" s="81" t="s">
        <v>4628</v>
      </c>
      <c r="K1066" s="81" t="s">
        <v>4656</v>
      </c>
      <c r="L1066" s="81" t="s">
        <v>20</v>
      </c>
      <c r="M1066" s="57"/>
      <c r="N1066" s="82">
        <v>50750</v>
      </c>
      <c r="O1066" s="57">
        <f t="shared" si="53"/>
        <v>0</v>
      </c>
      <c r="P1066" s="77"/>
      <c r="Q1066" s="73"/>
      <c r="R1066" s="57"/>
      <c r="S1066" s="57"/>
      <c r="T1066" s="57"/>
      <c r="U1066" s="57"/>
      <c r="V1066" s="73">
        <f t="shared" si="52"/>
        <v>0</v>
      </c>
      <c r="W1066" s="106"/>
      <c r="X1066" s="64"/>
    </row>
    <row r="1067" spans="1:24" s="66" customFormat="1" ht="12" hidden="1" customHeight="1">
      <c r="A1067" s="81" t="s">
        <v>4625</v>
      </c>
      <c r="B1067" s="81"/>
      <c r="C1067" s="81"/>
      <c r="D1067" s="81"/>
      <c r="E1067" s="81"/>
      <c r="F1067" s="81"/>
      <c r="G1067" s="81"/>
      <c r="H1067" s="81"/>
      <c r="I1067" s="81" t="s">
        <v>4627</v>
      </c>
      <c r="J1067" s="81" t="s">
        <v>4628</v>
      </c>
      <c r="K1067" s="81" t="s">
        <v>4657</v>
      </c>
      <c r="L1067" s="81" t="s">
        <v>20</v>
      </c>
      <c r="M1067" s="57"/>
      <c r="N1067" s="82">
        <v>43500</v>
      </c>
      <c r="O1067" s="57">
        <f t="shared" si="53"/>
        <v>0</v>
      </c>
      <c r="P1067" s="77"/>
      <c r="Q1067" s="73"/>
      <c r="R1067" s="57"/>
      <c r="S1067" s="57"/>
      <c r="T1067" s="57"/>
      <c r="U1067" s="57"/>
      <c r="V1067" s="73">
        <f t="shared" si="52"/>
        <v>0</v>
      </c>
      <c r="W1067" s="106"/>
      <c r="X1067" s="64"/>
    </row>
    <row r="1068" spans="1:24" s="66" customFormat="1" ht="12" hidden="1" customHeight="1">
      <c r="A1068" s="81" t="s">
        <v>4626</v>
      </c>
      <c r="B1068" s="81"/>
      <c r="C1068" s="81"/>
      <c r="D1068" s="81"/>
      <c r="E1068" s="81"/>
      <c r="F1068" s="81"/>
      <c r="G1068" s="81"/>
      <c r="H1068" s="81"/>
      <c r="I1068" s="81" t="s">
        <v>4627</v>
      </c>
      <c r="J1068" s="81" t="s">
        <v>4628</v>
      </c>
      <c r="K1068" s="81" t="s">
        <v>4658</v>
      </c>
      <c r="L1068" s="81" t="s">
        <v>20</v>
      </c>
      <c r="M1068" s="57"/>
      <c r="N1068" s="82">
        <v>58000</v>
      </c>
      <c r="O1068" s="57">
        <f t="shared" si="53"/>
        <v>0</v>
      </c>
      <c r="P1068" s="77"/>
      <c r="Q1068" s="73"/>
      <c r="R1068" s="57"/>
      <c r="S1068" s="57"/>
      <c r="T1068" s="57"/>
      <c r="U1068" s="57"/>
      <c r="V1068" s="73">
        <f t="shared" si="52"/>
        <v>0</v>
      </c>
      <c r="W1068" s="106"/>
      <c r="X1068" s="64"/>
    </row>
    <row r="1069" spans="1:24" s="66" customFormat="1" ht="12" hidden="1" customHeight="1">
      <c r="A1069" s="81" t="s">
        <v>4659</v>
      </c>
      <c r="B1069" s="81"/>
      <c r="C1069" s="81"/>
      <c r="D1069" s="81"/>
      <c r="E1069" s="81"/>
      <c r="F1069" s="81"/>
      <c r="G1069" s="81"/>
      <c r="H1069" s="81"/>
      <c r="I1069" s="81" t="s">
        <v>4669</v>
      </c>
      <c r="J1069" s="81" t="s">
        <v>4670</v>
      </c>
      <c r="K1069" s="81" t="s">
        <v>4671</v>
      </c>
      <c r="L1069" s="81" t="s">
        <v>20</v>
      </c>
      <c r="M1069" s="57"/>
      <c r="N1069" s="82">
        <v>95580</v>
      </c>
      <c r="O1069" s="57">
        <f t="shared" si="53"/>
        <v>0</v>
      </c>
      <c r="P1069" s="77"/>
      <c r="Q1069" s="73"/>
      <c r="R1069" s="57"/>
      <c r="S1069" s="57"/>
      <c r="T1069" s="57"/>
      <c r="U1069" s="57"/>
      <c r="V1069" s="73">
        <f t="shared" si="52"/>
        <v>0</v>
      </c>
      <c r="W1069" s="106"/>
      <c r="X1069" s="64"/>
    </row>
    <row r="1070" spans="1:24" s="66" customFormat="1" ht="12" hidden="1" customHeight="1">
      <c r="A1070" s="81" t="s">
        <v>4660</v>
      </c>
      <c r="B1070" s="81"/>
      <c r="C1070" s="81"/>
      <c r="D1070" s="81"/>
      <c r="E1070" s="81"/>
      <c r="F1070" s="81"/>
      <c r="G1070" s="81"/>
      <c r="H1070" s="81"/>
      <c r="I1070" s="81" t="s">
        <v>4669</v>
      </c>
      <c r="J1070" s="81" t="s">
        <v>4670</v>
      </c>
      <c r="K1070" s="81" t="s">
        <v>4672</v>
      </c>
      <c r="L1070" s="81" t="s">
        <v>20</v>
      </c>
      <c r="M1070" s="57"/>
      <c r="N1070" s="82">
        <v>101960</v>
      </c>
      <c r="O1070" s="57">
        <f t="shared" si="53"/>
        <v>0</v>
      </c>
      <c r="P1070" s="77"/>
      <c r="Q1070" s="73"/>
      <c r="R1070" s="57"/>
      <c r="S1070" s="57"/>
      <c r="T1070" s="57"/>
      <c r="U1070" s="57"/>
      <c r="V1070" s="73">
        <f t="shared" si="52"/>
        <v>0</v>
      </c>
      <c r="W1070" s="106"/>
      <c r="X1070" s="64"/>
    </row>
    <row r="1071" spans="1:24" s="66" customFormat="1" ht="12" hidden="1" customHeight="1">
      <c r="A1071" s="81" t="s">
        <v>4661</v>
      </c>
      <c r="B1071" s="81"/>
      <c r="C1071" s="81"/>
      <c r="D1071" s="81"/>
      <c r="E1071" s="81"/>
      <c r="F1071" s="81"/>
      <c r="G1071" s="81"/>
      <c r="H1071" s="81"/>
      <c r="I1071" s="81" t="s">
        <v>4669</v>
      </c>
      <c r="J1071" s="81" t="s">
        <v>4670</v>
      </c>
      <c r="K1071" s="81" t="s">
        <v>4673</v>
      </c>
      <c r="L1071" s="81" t="s">
        <v>20</v>
      </c>
      <c r="M1071" s="57"/>
      <c r="N1071" s="82">
        <v>125320</v>
      </c>
      <c r="O1071" s="57">
        <f t="shared" si="53"/>
        <v>0</v>
      </c>
      <c r="P1071" s="77"/>
      <c r="Q1071" s="73"/>
      <c r="R1071" s="57"/>
      <c r="S1071" s="57"/>
      <c r="T1071" s="57"/>
      <c r="U1071" s="57"/>
      <c r="V1071" s="73">
        <f t="shared" si="52"/>
        <v>0</v>
      </c>
      <c r="W1071" s="106"/>
      <c r="X1071" s="64"/>
    </row>
    <row r="1072" spans="1:24" s="66" customFormat="1" ht="12" hidden="1" customHeight="1">
      <c r="A1072" s="81" t="s">
        <v>4662</v>
      </c>
      <c r="B1072" s="81"/>
      <c r="C1072" s="81"/>
      <c r="D1072" s="81"/>
      <c r="E1072" s="81"/>
      <c r="F1072" s="81"/>
      <c r="G1072" s="81"/>
      <c r="H1072" s="81"/>
      <c r="I1072" s="81" t="s">
        <v>4669</v>
      </c>
      <c r="J1072" s="81" t="s">
        <v>4670</v>
      </c>
      <c r="K1072" s="81" t="s">
        <v>4674</v>
      </c>
      <c r="L1072" s="81" t="s">
        <v>20</v>
      </c>
      <c r="M1072" s="57"/>
      <c r="N1072" s="82">
        <v>139130</v>
      </c>
      <c r="O1072" s="57">
        <f t="shared" si="53"/>
        <v>0</v>
      </c>
      <c r="P1072" s="77"/>
      <c r="Q1072" s="73"/>
      <c r="R1072" s="57"/>
      <c r="S1072" s="57"/>
      <c r="T1072" s="57"/>
      <c r="U1072" s="57"/>
      <c r="V1072" s="73">
        <f t="shared" ref="V1072:V1100" si="54">SUM(O1072+Q1072)+S1072+U1072</f>
        <v>0</v>
      </c>
      <c r="W1072" s="106"/>
      <c r="X1072" s="64"/>
    </row>
    <row r="1073" spans="1:24" s="66" customFormat="1" ht="12" hidden="1" customHeight="1">
      <c r="A1073" s="81" t="s">
        <v>4663</v>
      </c>
      <c r="B1073" s="81"/>
      <c r="C1073" s="81"/>
      <c r="D1073" s="81"/>
      <c r="E1073" s="81"/>
      <c r="F1073" s="81"/>
      <c r="G1073" s="81"/>
      <c r="H1073" s="81"/>
      <c r="I1073" s="81" t="s">
        <v>4669</v>
      </c>
      <c r="J1073" s="81" t="s">
        <v>4670</v>
      </c>
      <c r="K1073" s="81" t="s">
        <v>4675</v>
      </c>
      <c r="L1073" s="81" t="s">
        <v>20</v>
      </c>
      <c r="M1073" s="57"/>
      <c r="N1073" s="82">
        <v>149750</v>
      </c>
      <c r="O1073" s="57">
        <f t="shared" si="53"/>
        <v>0</v>
      </c>
      <c r="P1073" s="77"/>
      <c r="Q1073" s="73"/>
      <c r="R1073" s="57"/>
      <c r="S1073" s="57"/>
      <c r="T1073" s="57"/>
      <c r="U1073" s="57"/>
      <c r="V1073" s="73">
        <f t="shared" si="54"/>
        <v>0</v>
      </c>
      <c r="W1073" s="106"/>
      <c r="X1073" s="64"/>
    </row>
    <row r="1074" spans="1:24" s="66" customFormat="1" ht="12" hidden="1" customHeight="1">
      <c r="A1074" s="81" t="s">
        <v>4664</v>
      </c>
      <c r="B1074" s="81"/>
      <c r="C1074" s="81"/>
      <c r="D1074" s="81"/>
      <c r="E1074" s="81"/>
      <c r="F1074" s="81"/>
      <c r="G1074" s="81"/>
      <c r="H1074" s="81"/>
      <c r="I1074" s="81" t="s">
        <v>4669</v>
      </c>
      <c r="J1074" s="81" t="s">
        <v>4670</v>
      </c>
      <c r="K1074" s="81" t="s">
        <v>4676</v>
      </c>
      <c r="L1074" s="81" t="s">
        <v>20</v>
      </c>
      <c r="M1074" s="57"/>
      <c r="N1074" s="82">
        <v>231520</v>
      </c>
      <c r="O1074" s="57">
        <f t="shared" si="53"/>
        <v>0</v>
      </c>
      <c r="P1074" s="77"/>
      <c r="Q1074" s="73"/>
      <c r="R1074" s="57"/>
      <c r="S1074" s="57"/>
      <c r="T1074" s="57"/>
      <c r="U1074" s="57"/>
      <c r="V1074" s="73">
        <f t="shared" si="54"/>
        <v>0</v>
      </c>
      <c r="W1074" s="106"/>
      <c r="X1074" s="64"/>
    </row>
    <row r="1075" spans="1:24" s="66" customFormat="1" ht="12" hidden="1" customHeight="1">
      <c r="A1075" s="81" t="s">
        <v>4665</v>
      </c>
      <c r="B1075" s="81"/>
      <c r="C1075" s="81"/>
      <c r="D1075" s="81"/>
      <c r="E1075" s="81"/>
      <c r="F1075" s="81"/>
      <c r="G1075" s="81"/>
      <c r="H1075" s="81"/>
      <c r="I1075" s="81" t="s">
        <v>4669</v>
      </c>
      <c r="J1075" s="81" t="s">
        <v>4670</v>
      </c>
      <c r="K1075" s="81" t="s">
        <v>4677</v>
      </c>
      <c r="L1075" s="81" t="s">
        <v>20</v>
      </c>
      <c r="M1075" s="57"/>
      <c r="N1075" s="82">
        <v>312230</v>
      </c>
      <c r="O1075" s="57">
        <f t="shared" si="53"/>
        <v>0</v>
      </c>
      <c r="P1075" s="77"/>
      <c r="Q1075" s="73"/>
      <c r="R1075" s="57"/>
      <c r="S1075" s="57"/>
      <c r="T1075" s="57"/>
      <c r="U1075" s="57"/>
      <c r="V1075" s="73">
        <f t="shared" si="54"/>
        <v>0</v>
      </c>
      <c r="W1075" s="106"/>
      <c r="X1075" s="64"/>
    </row>
    <row r="1076" spans="1:24" s="66" customFormat="1" ht="12" hidden="1" customHeight="1">
      <c r="A1076" s="81" t="s">
        <v>4666</v>
      </c>
      <c r="B1076" s="81"/>
      <c r="C1076" s="81"/>
      <c r="D1076" s="81"/>
      <c r="E1076" s="81"/>
      <c r="F1076" s="81"/>
      <c r="G1076" s="81"/>
      <c r="H1076" s="81"/>
      <c r="I1076" s="81" t="s">
        <v>4669</v>
      </c>
      <c r="J1076" s="81" t="s">
        <v>4670</v>
      </c>
      <c r="K1076" s="81" t="s">
        <v>4678</v>
      </c>
      <c r="L1076" s="81" t="s">
        <v>20</v>
      </c>
      <c r="M1076" s="57"/>
      <c r="N1076" s="82">
        <v>353650</v>
      </c>
      <c r="O1076" s="57">
        <f t="shared" si="53"/>
        <v>0</v>
      </c>
      <c r="P1076" s="77"/>
      <c r="Q1076" s="73"/>
      <c r="R1076" s="57"/>
      <c r="S1076" s="57"/>
      <c r="T1076" s="57"/>
      <c r="U1076" s="57"/>
      <c r="V1076" s="73">
        <f t="shared" si="54"/>
        <v>0</v>
      </c>
      <c r="W1076" s="106"/>
      <c r="X1076" s="64"/>
    </row>
    <row r="1077" spans="1:24" s="66" customFormat="1" ht="12" hidden="1" customHeight="1">
      <c r="A1077" s="81" t="s">
        <v>4667</v>
      </c>
      <c r="B1077" s="81"/>
      <c r="C1077" s="81"/>
      <c r="D1077" s="81"/>
      <c r="E1077" s="81"/>
      <c r="F1077" s="81"/>
      <c r="G1077" s="81"/>
      <c r="H1077" s="81"/>
      <c r="I1077" s="81" t="s">
        <v>4669</v>
      </c>
      <c r="J1077" s="81" t="s">
        <v>4670</v>
      </c>
      <c r="K1077" s="81" t="s">
        <v>4679</v>
      </c>
      <c r="L1077" s="81" t="s">
        <v>20</v>
      </c>
      <c r="M1077" s="57"/>
      <c r="N1077" s="82">
        <v>455600</v>
      </c>
      <c r="O1077" s="57">
        <f t="shared" si="53"/>
        <v>0</v>
      </c>
      <c r="P1077" s="77"/>
      <c r="Q1077" s="73"/>
      <c r="R1077" s="57"/>
      <c r="S1077" s="57"/>
      <c r="T1077" s="57"/>
      <c r="U1077" s="57"/>
      <c r="V1077" s="73">
        <f t="shared" si="54"/>
        <v>0</v>
      </c>
      <c r="W1077" s="106"/>
      <c r="X1077" s="64"/>
    </row>
    <row r="1078" spans="1:24" s="66" customFormat="1" ht="12" hidden="1" customHeight="1">
      <c r="A1078" s="81" t="s">
        <v>4668</v>
      </c>
      <c r="B1078" s="81"/>
      <c r="C1078" s="81"/>
      <c r="D1078" s="81"/>
      <c r="E1078" s="81"/>
      <c r="F1078" s="81"/>
      <c r="G1078" s="81"/>
      <c r="H1078" s="81"/>
      <c r="I1078" s="81" t="s">
        <v>4669</v>
      </c>
      <c r="J1078" s="81" t="s">
        <v>4670</v>
      </c>
      <c r="K1078" s="81" t="s">
        <v>4680</v>
      </c>
      <c r="L1078" s="81" t="s">
        <v>20</v>
      </c>
      <c r="M1078" s="57"/>
      <c r="N1078" s="82">
        <v>458790</v>
      </c>
      <c r="O1078" s="57">
        <f t="shared" si="53"/>
        <v>0</v>
      </c>
      <c r="P1078" s="77"/>
      <c r="Q1078" s="73"/>
      <c r="R1078" s="57"/>
      <c r="S1078" s="57"/>
      <c r="T1078" s="57"/>
      <c r="U1078" s="57"/>
      <c r="V1078" s="73">
        <f t="shared" si="54"/>
        <v>0</v>
      </c>
      <c r="W1078" s="106"/>
      <c r="X1078" s="64"/>
    </row>
    <row r="1079" spans="1:24" s="66" customFormat="1" ht="12" hidden="1" customHeight="1">
      <c r="A1079" s="81" t="s">
        <v>4681</v>
      </c>
      <c r="B1079" s="81"/>
      <c r="C1079" s="81"/>
      <c r="D1079" s="81"/>
      <c r="E1079" s="81"/>
      <c r="F1079" s="81"/>
      <c r="G1079" s="81"/>
      <c r="H1079" s="81"/>
      <c r="I1079" s="81" t="s">
        <v>4697</v>
      </c>
      <c r="J1079" s="81" t="s">
        <v>973</v>
      </c>
      <c r="K1079" s="81" t="s">
        <v>962</v>
      </c>
      <c r="L1079" s="81" t="s">
        <v>20</v>
      </c>
      <c r="M1079" s="57"/>
      <c r="N1079" s="82">
        <v>169920</v>
      </c>
      <c r="O1079" s="57">
        <f t="shared" si="53"/>
        <v>0</v>
      </c>
      <c r="P1079" s="77"/>
      <c r="Q1079" s="73"/>
      <c r="R1079" s="57"/>
      <c r="S1079" s="57"/>
      <c r="T1079" s="57"/>
      <c r="U1079" s="57"/>
      <c r="V1079" s="73">
        <f t="shared" si="54"/>
        <v>0</v>
      </c>
      <c r="W1079" s="106"/>
      <c r="X1079" s="64"/>
    </row>
    <row r="1080" spans="1:24" s="66" customFormat="1" ht="12" hidden="1" customHeight="1">
      <c r="A1080" s="81" t="s">
        <v>4682</v>
      </c>
      <c r="B1080" s="81"/>
      <c r="C1080" s="81"/>
      <c r="D1080" s="81"/>
      <c r="E1080" s="81"/>
      <c r="F1080" s="81"/>
      <c r="G1080" s="81"/>
      <c r="H1080" s="81"/>
      <c r="I1080" s="81" t="s">
        <v>4697</v>
      </c>
      <c r="J1080" s="81" t="s">
        <v>973</v>
      </c>
      <c r="K1080" s="81" t="s">
        <v>963</v>
      </c>
      <c r="L1080" s="81" t="s">
        <v>20</v>
      </c>
      <c r="M1080" s="57"/>
      <c r="N1080" s="82">
        <v>195410</v>
      </c>
      <c r="O1080" s="57">
        <f t="shared" si="53"/>
        <v>0</v>
      </c>
      <c r="P1080" s="77"/>
      <c r="Q1080" s="73"/>
      <c r="R1080" s="57"/>
      <c r="S1080" s="57"/>
      <c r="T1080" s="57"/>
      <c r="U1080" s="57"/>
      <c r="V1080" s="73">
        <f t="shared" si="54"/>
        <v>0</v>
      </c>
      <c r="W1080" s="106"/>
      <c r="X1080" s="64"/>
    </row>
    <row r="1081" spans="1:24" s="66" customFormat="1" ht="12" hidden="1" customHeight="1">
      <c r="A1081" s="81" t="s">
        <v>4683</v>
      </c>
      <c r="B1081" s="81"/>
      <c r="C1081" s="81"/>
      <c r="D1081" s="81"/>
      <c r="E1081" s="81"/>
      <c r="F1081" s="81"/>
      <c r="G1081" s="81"/>
      <c r="H1081" s="81"/>
      <c r="I1081" s="81" t="s">
        <v>4697</v>
      </c>
      <c r="J1081" s="81" t="s">
        <v>973</v>
      </c>
      <c r="K1081" s="81" t="s">
        <v>964</v>
      </c>
      <c r="L1081" s="81" t="s">
        <v>20</v>
      </c>
      <c r="M1081" s="57"/>
      <c r="N1081" s="82">
        <v>304800</v>
      </c>
      <c r="O1081" s="57">
        <f t="shared" si="53"/>
        <v>0</v>
      </c>
      <c r="P1081" s="77"/>
      <c r="Q1081" s="73"/>
      <c r="R1081" s="57"/>
      <c r="S1081" s="57"/>
      <c r="T1081" s="57"/>
      <c r="U1081" s="57"/>
      <c r="V1081" s="73">
        <f t="shared" si="54"/>
        <v>0</v>
      </c>
      <c r="W1081" s="106"/>
      <c r="X1081" s="64"/>
    </row>
    <row r="1082" spans="1:24" s="66" customFormat="1" ht="12" hidden="1" customHeight="1">
      <c r="A1082" s="81" t="s">
        <v>4684</v>
      </c>
      <c r="B1082" s="81"/>
      <c r="C1082" s="81"/>
      <c r="D1082" s="81"/>
      <c r="E1082" s="81"/>
      <c r="F1082" s="81"/>
      <c r="G1082" s="81"/>
      <c r="H1082" s="81"/>
      <c r="I1082" s="81" t="s">
        <v>4697</v>
      </c>
      <c r="J1082" s="81" t="s">
        <v>973</v>
      </c>
      <c r="K1082" s="81" t="s">
        <v>965</v>
      </c>
      <c r="L1082" s="81" t="s">
        <v>20</v>
      </c>
      <c r="M1082" s="57"/>
      <c r="N1082" s="82">
        <v>492770</v>
      </c>
      <c r="O1082" s="57">
        <f t="shared" si="53"/>
        <v>0</v>
      </c>
      <c r="P1082" s="77"/>
      <c r="Q1082" s="73"/>
      <c r="R1082" s="57"/>
      <c r="S1082" s="57"/>
      <c r="T1082" s="57"/>
      <c r="U1082" s="57"/>
      <c r="V1082" s="73">
        <f t="shared" si="54"/>
        <v>0</v>
      </c>
      <c r="W1082" s="106"/>
      <c r="X1082" s="64"/>
    </row>
    <row r="1083" spans="1:24" s="66" customFormat="1" ht="12" hidden="1" customHeight="1">
      <c r="A1083" s="81" t="s">
        <v>4685</v>
      </c>
      <c r="B1083" s="81"/>
      <c r="C1083" s="81"/>
      <c r="D1083" s="81"/>
      <c r="E1083" s="81"/>
      <c r="F1083" s="81"/>
      <c r="G1083" s="81"/>
      <c r="H1083" s="81"/>
      <c r="I1083" s="81" t="s">
        <v>4697</v>
      </c>
      <c r="J1083" s="81" t="s">
        <v>973</v>
      </c>
      <c r="K1083" s="81" t="s">
        <v>966</v>
      </c>
      <c r="L1083" s="81" t="s">
        <v>20</v>
      </c>
      <c r="M1083" s="57"/>
      <c r="N1083" s="82">
        <v>617030</v>
      </c>
      <c r="O1083" s="57">
        <f t="shared" ref="O1083:O1098" si="55">M1083*N1083*$O$3</f>
        <v>0</v>
      </c>
      <c r="P1083" s="77"/>
      <c r="Q1083" s="73"/>
      <c r="R1083" s="57"/>
      <c r="S1083" s="57"/>
      <c r="T1083" s="57"/>
      <c r="U1083" s="57"/>
      <c r="V1083" s="73">
        <f t="shared" si="54"/>
        <v>0</v>
      </c>
      <c r="W1083" s="106"/>
      <c r="X1083" s="64"/>
    </row>
    <row r="1084" spans="1:24" s="66" customFormat="1" ht="12" hidden="1" customHeight="1">
      <c r="A1084" s="81" t="s">
        <v>4686</v>
      </c>
      <c r="B1084" s="81"/>
      <c r="C1084" s="81"/>
      <c r="D1084" s="81"/>
      <c r="E1084" s="81"/>
      <c r="F1084" s="81"/>
      <c r="G1084" s="81"/>
      <c r="H1084" s="81"/>
      <c r="I1084" s="81" t="s">
        <v>4697</v>
      </c>
      <c r="J1084" s="81" t="s">
        <v>973</v>
      </c>
      <c r="K1084" s="81" t="s">
        <v>967</v>
      </c>
      <c r="L1084" s="81" t="s">
        <v>20</v>
      </c>
      <c r="M1084" s="57"/>
      <c r="N1084" s="82">
        <v>675440</v>
      </c>
      <c r="O1084" s="57">
        <f t="shared" si="55"/>
        <v>0</v>
      </c>
      <c r="P1084" s="77"/>
      <c r="Q1084" s="73"/>
      <c r="R1084" s="57"/>
      <c r="S1084" s="57"/>
      <c r="T1084" s="57"/>
      <c r="U1084" s="57"/>
      <c r="V1084" s="73">
        <f t="shared" si="54"/>
        <v>0</v>
      </c>
      <c r="W1084" s="106"/>
      <c r="X1084" s="64"/>
    </row>
    <row r="1085" spans="1:24" s="66" customFormat="1" ht="12" hidden="1" customHeight="1">
      <c r="A1085" s="81" t="s">
        <v>4687</v>
      </c>
      <c r="B1085" s="81"/>
      <c r="C1085" s="81"/>
      <c r="D1085" s="81"/>
      <c r="E1085" s="81"/>
      <c r="F1085" s="81"/>
      <c r="G1085" s="81"/>
      <c r="H1085" s="81"/>
      <c r="I1085" s="81" t="s">
        <v>4697</v>
      </c>
      <c r="J1085" s="81" t="s">
        <v>973</v>
      </c>
      <c r="K1085" s="81" t="s">
        <v>968</v>
      </c>
      <c r="L1085" s="81" t="s">
        <v>20</v>
      </c>
      <c r="M1085" s="57"/>
      <c r="N1085" s="82">
        <v>735970</v>
      </c>
      <c r="O1085" s="57">
        <f t="shared" si="55"/>
        <v>0</v>
      </c>
      <c r="P1085" s="77"/>
      <c r="Q1085" s="73"/>
      <c r="R1085" s="57"/>
      <c r="S1085" s="57"/>
      <c r="T1085" s="57"/>
      <c r="U1085" s="57"/>
      <c r="V1085" s="73">
        <f t="shared" si="54"/>
        <v>0</v>
      </c>
      <c r="W1085" s="106"/>
      <c r="X1085" s="64"/>
    </row>
    <row r="1086" spans="1:24" s="66" customFormat="1" ht="12" hidden="1" customHeight="1">
      <c r="A1086" s="81" t="s">
        <v>4688</v>
      </c>
      <c r="B1086" s="81"/>
      <c r="C1086" s="81"/>
      <c r="D1086" s="81"/>
      <c r="E1086" s="81"/>
      <c r="F1086" s="81"/>
      <c r="G1086" s="81"/>
      <c r="H1086" s="81"/>
      <c r="I1086" s="81" t="s">
        <v>4697</v>
      </c>
      <c r="J1086" s="81" t="s">
        <v>973</v>
      </c>
      <c r="K1086" s="81" t="s">
        <v>969</v>
      </c>
      <c r="L1086" s="81" t="s">
        <v>20</v>
      </c>
      <c r="M1086" s="57"/>
      <c r="N1086" s="82">
        <v>884650</v>
      </c>
      <c r="O1086" s="57">
        <f t="shared" si="55"/>
        <v>0</v>
      </c>
      <c r="P1086" s="77"/>
      <c r="Q1086" s="73"/>
      <c r="R1086" s="57"/>
      <c r="S1086" s="57"/>
      <c r="T1086" s="57"/>
      <c r="U1086" s="57"/>
      <c r="V1086" s="73">
        <f t="shared" si="54"/>
        <v>0</v>
      </c>
      <c r="W1086" s="106"/>
      <c r="X1086" s="64"/>
    </row>
    <row r="1087" spans="1:24" s="66" customFormat="1" ht="12" hidden="1" customHeight="1">
      <c r="A1087" s="81" t="s">
        <v>4689</v>
      </c>
      <c r="B1087" s="81"/>
      <c r="C1087" s="81"/>
      <c r="D1087" s="81"/>
      <c r="E1087" s="81"/>
      <c r="F1087" s="81"/>
      <c r="G1087" s="81"/>
      <c r="H1087" s="81"/>
      <c r="I1087" s="81" t="s">
        <v>4697</v>
      </c>
      <c r="J1087" s="81" t="s">
        <v>4698</v>
      </c>
      <c r="K1087" s="81" t="s">
        <v>4699</v>
      </c>
      <c r="L1087" s="81" t="s">
        <v>20</v>
      </c>
      <c r="M1087" s="57"/>
      <c r="N1087" s="82">
        <v>204970</v>
      </c>
      <c r="O1087" s="57">
        <f t="shared" si="55"/>
        <v>0</v>
      </c>
      <c r="P1087" s="77"/>
      <c r="Q1087" s="73"/>
      <c r="R1087" s="57"/>
      <c r="S1087" s="57"/>
      <c r="T1087" s="57"/>
      <c r="U1087" s="57"/>
      <c r="V1087" s="73">
        <f t="shared" si="54"/>
        <v>0</v>
      </c>
      <c r="W1087" s="106"/>
      <c r="X1087" s="64"/>
    </row>
    <row r="1088" spans="1:24" s="66" customFormat="1" ht="12" hidden="1" customHeight="1">
      <c r="A1088" s="81" t="s">
        <v>4690</v>
      </c>
      <c r="B1088" s="81"/>
      <c r="C1088" s="81"/>
      <c r="D1088" s="81"/>
      <c r="E1088" s="81"/>
      <c r="F1088" s="81"/>
      <c r="G1088" s="81"/>
      <c r="H1088" s="81"/>
      <c r="I1088" s="81" t="s">
        <v>4697</v>
      </c>
      <c r="J1088" s="81" t="s">
        <v>4698</v>
      </c>
      <c r="K1088" s="81" t="s">
        <v>4700</v>
      </c>
      <c r="L1088" s="81" t="s">
        <v>20</v>
      </c>
      <c r="M1088" s="57"/>
      <c r="N1088" s="82">
        <v>232580</v>
      </c>
      <c r="O1088" s="57">
        <f t="shared" si="55"/>
        <v>0</v>
      </c>
      <c r="P1088" s="77"/>
      <c r="Q1088" s="73"/>
      <c r="R1088" s="57"/>
      <c r="S1088" s="57"/>
      <c r="T1088" s="57"/>
      <c r="U1088" s="57"/>
      <c r="V1088" s="73">
        <f t="shared" si="54"/>
        <v>0</v>
      </c>
      <c r="W1088" s="106"/>
      <c r="X1088" s="64"/>
    </row>
    <row r="1089" spans="1:24" s="66" customFormat="1" ht="12" hidden="1" customHeight="1">
      <c r="A1089" s="81" t="s">
        <v>4691</v>
      </c>
      <c r="B1089" s="81"/>
      <c r="C1089" s="81"/>
      <c r="D1089" s="81"/>
      <c r="E1089" s="81"/>
      <c r="F1089" s="81"/>
      <c r="G1089" s="81"/>
      <c r="H1089" s="81"/>
      <c r="I1089" s="81" t="s">
        <v>4697</v>
      </c>
      <c r="J1089" s="81" t="s">
        <v>4698</v>
      </c>
      <c r="K1089" s="81" t="s">
        <v>4701</v>
      </c>
      <c r="L1089" s="81" t="s">
        <v>20</v>
      </c>
      <c r="M1089" s="57"/>
      <c r="N1089" s="82">
        <v>363210</v>
      </c>
      <c r="O1089" s="57">
        <f t="shared" si="55"/>
        <v>0</v>
      </c>
      <c r="P1089" s="77"/>
      <c r="Q1089" s="73"/>
      <c r="R1089" s="57"/>
      <c r="S1089" s="57"/>
      <c r="T1089" s="57"/>
      <c r="U1089" s="57"/>
      <c r="V1089" s="73">
        <f t="shared" si="54"/>
        <v>0</v>
      </c>
      <c r="W1089" s="106"/>
      <c r="X1089" s="64"/>
    </row>
    <row r="1090" spans="1:24" s="66" customFormat="1" ht="12" hidden="1" customHeight="1">
      <c r="A1090" s="81" t="s">
        <v>4692</v>
      </c>
      <c r="B1090" s="81"/>
      <c r="C1090" s="81"/>
      <c r="D1090" s="81"/>
      <c r="E1090" s="81"/>
      <c r="F1090" s="81"/>
      <c r="G1090" s="81"/>
      <c r="H1090" s="81"/>
      <c r="I1090" s="81" t="s">
        <v>4697</v>
      </c>
      <c r="J1090" s="81" t="s">
        <v>4698</v>
      </c>
      <c r="K1090" s="81" t="s">
        <v>4702</v>
      </c>
      <c r="L1090" s="81" t="s">
        <v>20</v>
      </c>
      <c r="M1090" s="57"/>
      <c r="N1090" s="82">
        <v>586230</v>
      </c>
      <c r="O1090" s="57">
        <f t="shared" si="55"/>
        <v>0</v>
      </c>
      <c r="P1090" s="77"/>
      <c r="Q1090" s="73"/>
      <c r="R1090" s="57"/>
      <c r="S1090" s="57"/>
      <c r="T1090" s="57"/>
      <c r="U1090" s="57"/>
      <c r="V1090" s="73">
        <f t="shared" si="54"/>
        <v>0</v>
      </c>
      <c r="W1090" s="106"/>
      <c r="X1090" s="64"/>
    </row>
    <row r="1091" spans="1:24" s="66" customFormat="1" ht="12" hidden="1" customHeight="1">
      <c r="A1091" s="81" t="s">
        <v>4693</v>
      </c>
      <c r="B1091" s="81"/>
      <c r="C1091" s="81"/>
      <c r="D1091" s="81"/>
      <c r="E1091" s="81"/>
      <c r="F1091" s="81"/>
      <c r="G1091" s="81"/>
      <c r="H1091" s="81"/>
      <c r="I1091" s="81" t="s">
        <v>4697</v>
      </c>
      <c r="J1091" s="81" t="s">
        <v>4698</v>
      </c>
      <c r="K1091" s="81" t="s">
        <v>4703</v>
      </c>
      <c r="L1091" s="81" t="s">
        <v>20</v>
      </c>
      <c r="M1091" s="57"/>
      <c r="N1091" s="82">
        <v>758270</v>
      </c>
      <c r="O1091" s="57">
        <f t="shared" si="55"/>
        <v>0</v>
      </c>
      <c r="P1091" s="77"/>
      <c r="Q1091" s="73"/>
      <c r="R1091" s="57"/>
      <c r="S1091" s="57"/>
      <c r="T1091" s="57"/>
      <c r="U1091" s="57"/>
      <c r="V1091" s="73">
        <f t="shared" si="54"/>
        <v>0</v>
      </c>
      <c r="W1091" s="106"/>
      <c r="X1091" s="64"/>
    </row>
    <row r="1092" spans="1:24" s="66" customFormat="1" ht="12" hidden="1" customHeight="1">
      <c r="A1092" s="81" t="s">
        <v>4694</v>
      </c>
      <c r="B1092" s="81"/>
      <c r="C1092" s="81"/>
      <c r="D1092" s="81"/>
      <c r="E1092" s="81"/>
      <c r="F1092" s="81"/>
      <c r="G1092" s="81"/>
      <c r="H1092" s="81"/>
      <c r="I1092" s="81" t="s">
        <v>4697</v>
      </c>
      <c r="J1092" s="81" t="s">
        <v>4698</v>
      </c>
      <c r="K1092" s="81" t="s">
        <v>4704</v>
      </c>
      <c r="L1092" s="81" t="s">
        <v>20</v>
      </c>
      <c r="M1092" s="57"/>
      <c r="N1092" s="82">
        <v>810310</v>
      </c>
      <c r="O1092" s="57">
        <f t="shared" si="55"/>
        <v>0</v>
      </c>
      <c r="P1092" s="77"/>
      <c r="Q1092" s="73"/>
      <c r="R1092" s="57"/>
      <c r="S1092" s="57"/>
      <c r="T1092" s="57"/>
      <c r="U1092" s="57"/>
      <c r="V1092" s="73">
        <f t="shared" si="54"/>
        <v>0</v>
      </c>
      <c r="W1092" s="106"/>
      <c r="X1092" s="64"/>
    </row>
    <row r="1093" spans="1:24" s="66" customFormat="1" ht="12" hidden="1" customHeight="1">
      <c r="A1093" s="81" t="s">
        <v>4695</v>
      </c>
      <c r="B1093" s="81"/>
      <c r="C1093" s="81"/>
      <c r="D1093" s="81"/>
      <c r="E1093" s="81"/>
      <c r="F1093" s="81"/>
      <c r="G1093" s="81"/>
      <c r="H1093" s="81"/>
      <c r="I1093" s="81" t="s">
        <v>4697</v>
      </c>
      <c r="J1093" s="81" t="s">
        <v>4698</v>
      </c>
      <c r="K1093" s="81" t="s">
        <v>4705</v>
      </c>
      <c r="L1093" s="81" t="s">
        <v>20</v>
      </c>
      <c r="M1093" s="57"/>
      <c r="N1093" s="82">
        <v>875090</v>
      </c>
      <c r="O1093" s="57">
        <f t="shared" si="55"/>
        <v>0</v>
      </c>
      <c r="P1093" s="77"/>
      <c r="Q1093" s="73"/>
      <c r="R1093" s="57"/>
      <c r="S1093" s="57"/>
      <c r="T1093" s="57"/>
      <c r="U1093" s="57"/>
      <c r="V1093" s="73">
        <f t="shared" si="54"/>
        <v>0</v>
      </c>
      <c r="W1093" s="106"/>
      <c r="X1093" s="64"/>
    </row>
    <row r="1094" spans="1:24" s="66" customFormat="1" ht="12" hidden="1" customHeight="1">
      <c r="A1094" s="81" t="s">
        <v>4696</v>
      </c>
      <c r="B1094" s="81"/>
      <c r="C1094" s="81"/>
      <c r="D1094" s="81"/>
      <c r="E1094" s="81"/>
      <c r="F1094" s="81"/>
      <c r="G1094" s="81"/>
      <c r="H1094" s="81"/>
      <c r="I1094" s="81" t="s">
        <v>4697</v>
      </c>
      <c r="J1094" s="81" t="s">
        <v>4698</v>
      </c>
      <c r="K1094" s="81" t="s">
        <v>4706</v>
      </c>
      <c r="L1094" s="81" t="s">
        <v>20</v>
      </c>
      <c r="M1094" s="57"/>
      <c r="N1094" s="82">
        <v>1057760</v>
      </c>
      <c r="O1094" s="57">
        <f t="shared" si="55"/>
        <v>0</v>
      </c>
      <c r="P1094" s="77"/>
      <c r="Q1094" s="73"/>
      <c r="R1094" s="57"/>
      <c r="S1094" s="57"/>
      <c r="T1094" s="57"/>
      <c r="U1094" s="57"/>
      <c r="V1094" s="73">
        <f t="shared" si="54"/>
        <v>0</v>
      </c>
      <c r="W1094" s="106"/>
      <c r="X1094" s="64"/>
    </row>
    <row r="1095" spans="1:24" s="66" customFormat="1" ht="12" hidden="1" customHeight="1">
      <c r="A1095" s="81" t="s">
        <v>4707</v>
      </c>
      <c r="B1095" s="81"/>
      <c r="C1095" s="81"/>
      <c r="D1095" s="81"/>
      <c r="E1095" s="81"/>
      <c r="F1095" s="81"/>
      <c r="G1095" s="81"/>
      <c r="H1095" s="81"/>
      <c r="I1095" s="81" t="s">
        <v>4711</v>
      </c>
      <c r="J1095" s="81" t="s">
        <v>4712</v>
      </c>
      <c r="K1095" s="81" t="s">
        <v>4713</v>
      </c>
      <c r="L1095" s="81" t="s">
        <v>20</v>
      </c>
      <c r="M1095" s="57"/>
      <c r="N1095" s="82">
        <v>390000</v>
      </c>
      <c r="O1095" s="57">
        <f t="shared" si="55"/>
        <v>0</v>
      </c>
      <c r="P1095" s="77"/>
      <c r="Q1095" s="73"/>
      <c r="R1095" s="57"/>
      <c r="S1095" s="57"/>
      <c r="T1095" s="57"/>
      <c r="U1095" s="57"/>
      <c r="V1095" s="73">
        <f t="shared" si="54"/>
        <v>0</v>
      </c>
      <c r="W1095" s="106"/>
      <c r="X1095" s="64"/>
    </row>
    <row r="1096" spans="1:24" s="66" customFormat="1" ht="12" hidden="1" customHeight="1">
      <c r="A1096" s="81" t="s">
        <v>4708</v>
      </c>
      <c r="B1096" s="81"/>
      <c r="C1096" s="81"/>
      <c r="D1096" s="81"/>
      <c r="E1096" s="81"/>
      <c r="F1096" s="81"/>
      <c r="G1096" s="81"/>
      <c r="H1096" s="81"/>
      <c r="I1096" s="81" t="s">
        <v>4711</v>
      </c>
      <c r="J1096" s="81" t="s">
        <v>4714</v>
      </c>
      <c r="K1096" s="81" t="s">
        <v>4715</v>
      </c>
      <c r="L1096" s="81" t="s">
        <v>20</v>
      </c>
      <c r="M1096" s="57"/>
      <c r="N1096" s="82">
        <v>350000</v>
      </c>
      <c r="O1096" s="57">
        <f t="shared" si="55"/>
        <v>0</v>
      </c>
      <c r="P1096" s="77"/>
      <c r="Q1096" s="73"/>
      <c r="R1096" s="57"/>
      <c r="S1096" s="57"/>
      <c r="T1096" s="57"/>
      <c r="U1096" s="57"/>
      <c r="V1096" s="73">
        <f t="shared" si="54"/>
        <v>0</v>
      </c>
      <c r="W1096" s="106"/>
      <c r="X1096" s="64"/>
    </row>
    <row r="1097" spans="1:24" s="66" customFormat="1" ht="12" hidden="1" customHeight="1">
      <c r="A1097" s="81" t="s">
        <v>4709</v>
      </c>
      <c r="B1097" s="81"/>
      <c r="C1097" s="81"/>
      <c r="D1097" s="81"/>
      <c r="E1097" s="81"/>
      <c r="F1097" s="81"/>
      <c r="G1097" s="81"/>
      <c r="H1097" s="81"/>
      <c r="I1097" s="81" t="s">
        <v>4711</v>
      </c>
      <c r="J1097" s="81" t="s">
        <v>4712</v>
      </c>
      <c r="K1097" s="81" t="s">
        <v>4716</v>
      </c>
      <c r="L1097" s="81" t="s">
        <v>20</v>
      </c>
      <c r="M1097" s="57"/>
      <c r="N1097" s="82">
        <v>440000</v>
      </c>
      <c r="O1097" s="57">
        <f t="shared" si="55"/>
        <v>0</v>
      </c>
      <c r="P1097" s="77"/>
      <c r="Q1097" s="73"/>
      <c r="R1097" s="57"/>
      <c r="S1097" s="57"/>
      <c r="T1097" s="57"/>
      <c r="U1097" s="57"/>
      <c r="V1097" s="73">
        <f t="shared" si="54"/>
        <v>0</v>
      </c>
      <c r="W1097" s="106"/>
      <c r="X1097" s="64"/>
    </row>
    <row r="1098" spans="1:24" s="66" customFormat="1" ht="12" hidden="1" customHeight="1">
      <c r="A1098" s="81" t="s">
        <v>4710</v>
      </c>
      <c r="B1098" s="81"/>
      <c r="C1098" s="81"/>
      <c r="D1098" s="81"/>
      <c r="E1098" s="81"/>
      <c r="F1098" s="81"/>
      <c r="G1098" s="81"/>
      <c r="H1098" s="81"/>
      <c r="I1098" s="81" t="s">
        <v>4711</v>
      </c>
      <c r="J1098" s="81" t="s">
        <v>4714</v>
      </c>
      <c r="K1098" s="81" t="s">
        <v>4717</v>
      </c>
      <c r="L1098" s="81" t="s">
        <v>20</v>
      </c>
      <c r="M1098" s="57"/>
      <c r="N1098" s="82">
        <v>400000</v>
      </c>
      <c r="O1098" s="57">
        <f t="shared" si="55"/>
        <v>0</v>
      </c>
      <c r="P1098" s="77"/>
      <c r="Q1098" s="73"/>
      <c r="R1098" s="57"/>
      <c r="S1098" s="57"/>
      <c r="T1098" s="57"/>
      <c r="U1098" s="57"/>
      <c r="V1098" s="73">
        <f t="shared" si="54"/>
        <v>0</v>
      </c>
      <c r="W1098" s="106"/>
      <c r="X1098" s="64"/>
    </row>
    <row r="1099" spans="1:24" s="66" customFormat="1" ht="12" hidden="1" customHeight="1">
      <c r="A1099" s="81" t="s">
        <v>2836</v>
      </c>
      <c r="B1099" s="81"/>
      <c r="C1099" s="81"/>
      <c r="D1099" s="81"/>
      <c r="E1099" s="81"/>
      <c r="F1099" s="81"/>
      <c r="G1099" s="81"/>
      <c r="H1099" s="81"/>
      <c r="I1099" s="81"/>
      <c r="J1099" s="81" t="s">
        <v>1382</v>
      </c>
      <c r="K1099" s="81" t="s">
        <v>1426</v>
      </c>
      <c r="L1099" s="81" t="s">
        <v>0</v>
      </c>
      <c r="M1099" s="57"/>
      <c r="N1099" s="82">
        <v>720</v>
      </c>
      <c r="O1099" s="57">
        <f t="shared" ref="O1099:O1111" si="56">M1099*N1099*$O$3</f>
        <v>0</v>
      </c>
      <c r="P1099" s="58"/>
      <c r="Q1099" s="73"/>
      <c r="R1099" s="57"/>
      <c r="S1099" s="57"/>
      <c r="T1099" s="57"/>
      <c r="U1099" s="57"/>
      <c r="V1099" s="73">
        <f t="shared" si="54"/>
        <v>0</v>
      </c>
      <c r="W1099" s="106"/>
      <c r="X1099" s="64"/>
    </row>
    <row r="1100" spans="1:24" s="66" customFormat="1" ht="12" hidden="1" customHeight="1">
      <c r="A1100" s="81" t="s">
        <v>2842</v>
      </c>
      <c r="B1100" s="81"/>
      <c r="C1100" s="81"/>
      <c r="D1100" s="81"/>
      <c r="E1100" s="81"/>
      <c r="F1100" s="81"/>
      <c r="G1100" s="81"/>
      <c r="H1100" s="81"/>
      <c r="I1100" s="81"/>
      <c r="J1100" s="81" t="s">
        <v>1382</v>
      </c>
      <c r="K1100" s="81" t="s">
        <v>1425</v>
      </c>
      <c r="L1100" s="81" t="s">
        <v>0</v>
      </c>
      <c r="M1100" s="68"/>
      <c r="N1100" s="82">
        <v>566</v>
      </c>
      <c r="O1100" s="57">
        <f t="shared" si="56"/>
        <v>0</v>
      </c>
      <c r="P1100" s="58"/>
      <c r="Q1100" s="73"/>
      <c r="R1100" s="57"/>
      <c r="S1100" s="57"/>
      <c r="T1100" s="57"/>
      <c r="U1100" s="57"/>
      <c r="V1100" s="73">
        <f t="shared" si="54"/>
        <v>0</v>
      </c>
      <c r="W1100" s="106"/>
      <c r="X1100" s="64"/>
    </row>
    <row r="1101" spans="1:24" s="66" customFormat="1" ht="12" hidden="1" customHeight="1">
      <c r="A1101" s="81" t="s">
        <v>2847</v>
      </c>
      <c r="B1101" s="81"/>
      <c r="C1101" s="81"/>
      <c r="D1101" s="81"/>
      <c r="E1101" s="81"/>
      <c r="F1101" s="81"/>
      <c r="G1101" s="81"/>
      <c r="H1101" s="81"/>
      <c r="I1101" s="81"/>
      <c r="J1101" s="81" t="s">
        <v>1382</v>
      </c>
      <c r="K1101" s="81" t="s">
        <v>1424</v>
      </c>
      <c r="L1101" s="81" t="s">
        <v>0</v>
      </c>
      <c r="M1101" s="68"/>
      <c r="N1101" s="82">
        <v>800</v>
      </c>
      <c r="O1101" s="57">
        <f t="shared" si="56"/>
        <v>0</v>
      </c>
      <c r="P1101" s="58"/>
      <c r="Q1101" s="73"/>
      <c r="R1101" s="57"/>
      <c r="S1101" s="57"/>
      <c r="T1101" s="57"/>
      <c r="U1101" s="57"/>
      <c r="V1101" s="73">
        <f t="shared" ref="V1101:V1162" si="57">SUM(O1101+Q1101)+S1101+U1101</f>
        <v>0</v>
      </c>
      <c r="W1101" s="106"/>
      <c r="X1101" s="64"/>
    </row>
    <row r="1102" spans="1:24" s="66" customFormat="1" ht="12" hidden="1" customHeight="1">
      <c r="A1102" s="81" t="s">
        <v>2849</v>
      </c>
      <c r="B1102" s="81"/>
      <c r="C1102" s="81"/>
      <c r="D1102" s="81"/>
      <c r="E1102" s="81"/>
      <c r="F1102" s="81"/>
      <c r="G1102" s="81"/>
      <c r="H1102" s="81"/>
      <c r="I1102" s="81"/>
      <c r="J1102" s="81" t="s">
        <v>1382</v>
      </c>
      <c r="K1102" s="81" t="s">
        <v>1423</v>
      </c>
      <c r="L1102" s="81" t="s">
        <v>0</v>
      </c>
      <c r="M1102" s="68"/>
      <c r="N1102" s="82">
        <v>1172</v>
      </c>
      <c r="O1102" s="57">
        <f t="shared" si="56"/>
        <v>0</v>
      </c>
      <c r="P1102" s="58"/>
      <c r="Q1102" s="73"/>
      <c r="R1102" s="57"/>
      <c r="S1102" s="57"/>
      <c r="T1102" s="57"/>
      <c r="U1102" s="57"/>
      <c r="V1102" s="73">
        <f t="shared" si="57"/>
        <v>0</v>
      </c>
      <c r="W1102" s="106"/>
      <c r="X1102" s="64"/>
    </row>
    <row r="1103" spans="1:24" s="66" customFormat="1" ht="12" hidden="1" customHeight="1">
      <c r="A1103" s="81" t="s">
        <v>2837</v>
      </c>
      <c r="B1103" s="81"/>
      <c r="C1103" s="81"/>
      <c r="D1103" s="81"/>
      <c r="E1103" s="81"/>
      <c r="F1103" s="81"/>
      <c r="G1103" s="81"/>
      <c r="H1103" s="81"/>
      <c r="I1103" s="81"/>
      <c r="J1103" s="81" t="s">
        <v>1382</v>
      </c>
      <c r="K1103" s="81" t="s">
        <v>1422</v>
      </c>
      <c r="L1103" s="81" t="s">
        <v>0</v>
      </c>
      <c r="M1103" s="68"/>
      <c r="N1103" s="82">
        <v>1820</v>
      </c>
      <c r="O1103" s="57">
        <f t="shared" si="56"/>
        <v>0</v>
      </c>
      <c r="P1103" s="58"/>
      <c r="Q1103" s="73"/>
      <c r="R1103" s="57"/>
      <c r="S1103" s="57"/>
      <c r="T1103" s="57"/>
      <c r="U1103" s="57"/>
      <c r="V1103" s="73">
        <f t="shared" si="57"/>
        <v>0</v>
      </c>
      <c r="W1103" s="106"/>
      <c r="X1103" s="64"/>
    </row>
    <row r="1104" spans="1:24" s="66" customFormat="1" ht="12" hidden="1" customHeight="1">
      <c r="A1104" s="81" t="s">
        <v>2840</v>
      </c>
      <c r="B1104" s="81"/>
      <c r="C1104" s="81"/>
      <c r="D1104" s="81"/>
      <c r="E1104" s="81"/>
      <c r="F1104" s="81"/>
      <c r="G1104" s="81"/>
      <c r="H1104" s="81"/>
      <c r="I1104" s="81"/>
      <c r="J1104" s="81" t="s">
        <v>1382</v>
      </c>
      <c r="K1104" s="81" t="s">
        <v>1421</v>
      </c>
      <c r="L1104" s="81" t="s">
        <v>0</v>
      </c>
      <c r="M1104" s="68"/>
      <c r="N1104" s="82">
        <v>2897</v>
      </c>
      <c r="O1104" s="57">
        <f t="shared" si="56"/>
        <v>0</v>
      </c>
      <c r="P1104" s="58"/>
      <c r="Q1104" s="73"/>
      <c r="R1104" s="57"/>
      <c r="S1104" s="57"/>
      <c r="T1104" s="57"/>
      <c r="U1104" s="57"/>
      <c r="V1104" s="73">
        <f t="shared" si="57"/>
        <v>0</v>
      </c>
      <c r="W1104" s="106"/>
      <c r="X1104" s="64"/>
    </row>
    <row r="1105" spans="1:24" s="66" customFormat="1" ht="12" hidden="1" customHeight="1">
      <c r="A1105" s="81" t="s">
        <v>2844</v>
      </c>
      <c r="B1105" s="81"/>
      <c r="C1105" s="81"/>
      <c r="D1105" s="81"/>
      <c r="E1105" s="81"/>
      <c r="F1105" s="81"/>
      <c r="G1105" s="81"/>
      <c r="H1105" s="81"/>
      <c r="I1105" s="81"/>
      <c r="J1105" s="81" t="s">
        <v>1382</v>
      </c>
      <c r="K1105" s="81" t="s">
        <v>1656</v>
      </c>
      <c r="L1105" s="81" t="s">
        <v>0</v>
      </c>
      <c r="M1105" s="68"/>
      <c r="N1105" s="82">
        <v>4375</v>
      </c>
      <c r="O1105" s="57">
        <f t="shared" si="56"/>
        <v>0</v>
      </c>
      <c r="P1105" s="58"/>
      <c r="Q1105" s="73"/>
      <c r="R1105" s="57"/>
      <c r="S1105" s="57"/>
      <c r="T1105" s="57"/>
      <c r="U1105" s="57"/>
      <c r="V1105" s="73">
        <f t="shared" si="57"/>
        <v>0</v>
      </c>
      <c r="W1105" s="106"/>
      <c r="X1105" s="64"/>
    </row>
    <row r="1106" spans="1:24" s="66" customFormat="1" ht="12" hidden="1" customHeight="1">
      <c r="A1106" s="81" t="s">
        <v>2846</v>
      </c>
      <c r="B1106" s="81"/>
      <c r="C1106" s="81"/>
      <c r="D1106" s="81"/>
      <c r="E1106" s="81"/>
      <c r="F1106" s="81"/>
      <c r="G1106" s="81"/>
      <c r="H1106" s="81"/>
      <c r="I1106" s="81"/>
      <c r="J1106" s="81" t="s">
        <v>1382</v>
      </c>
      <c r="K1106" s="81" t="s">
        <v>1657</v>
      </c>
      <c r="L1106" s="81" t="s">
        <v>0</v>
      </c>
      <c r="M1106" s="68"/>
      <c r="N1106" s="82">
        <v>5971</v>
      </c>
      <c r="O1106" s="57">
        <f t="shared" si="56"/>
        <v>0</v>
      </c>
      <c r="P1106" s="58"/>
      <c r="Q1106" s="73"/>
      <c r="R1106" s="57"/>
      <c r="S1106" s="57"/>
      <c r="T1106" s="57"/>
      <c r="U1106" s="57"/>
      <c r="V1106" s="73">
        <f t="shared" si="57"/>
        <v>0</v>
      </c>
      <c r="W1106" s="106"/>
      <c r="X1106" s="64"/>
    </row>
    <row r="1107" spans="1:24" s="66" customFormat="1" ht="12" hidden="1" customHeight="1">
      <c r="A1107" s="81" t="s">
        <v>2848</v>
      </c>
      <c r="B1107" s="81"/>
      <c r="C1107" s="81"/>
      <c r="D1107" s="81"/>
      <c r="E1107" s="81"/>
      <c r="F1107" s="81"/>
      <c r="G1107" s="81"/>
      <c r="H1107" s="81"/>
      <c r="I1107" s="81"/>
      <c r="J1107" s="81" t="s">
        <v>1382</v>
      </c>
      <c r="K1107" s="81" t="s">
        <v>1658</v>
      </c>
      <c r="L1107" s="81" t="s">
        <v>0</v>
      </c>
      <c r="M1107" s="68"/>
      <c r="N1107" s="82">
        <v>7981</v>
      </c>
      <c r="O1107" s="57">
        <f t="shared" si="56"/>
        <v>0</v>
      </c>
      <c r="P1107" s="58"/>
      <c r="Q1107" s="73"/>
      <c r="R1107" s="57"/>
      <c r="S1107" s="57"/>
      <c r="T1107" s="57"/>
      <c r="U1107" s="57"/>
      <c r="V1107" s="73">
        <f t="shared" si="57"/>
        <v>0</v>
      </c>
      <c r="W1107" s="106"/>
      <c r="X1107" s="64"/>
    </row>
    <row r="1108" spans="1:24" s="66" customFormat="1" ht="12" hidden="1" customHeight="1">
      <c r="A1108" s="81" t="s">
        <v>2850</v>
      </c>
      <c r="B1108" s="81"/>
      <c r="C1108" s="81"/>
      <c r="D1108" s="81"/>
      <c r="E1108" s="81"/>
      <c r="F1108" s="81"/>
      <c r="G1108" s="81"/>
      <c r="H1108" s="81"/>
      <c r="I1108" s="81"/>
      <c r="J1108" s="81" t="s">
        <v>1382</v>
      </c>
      <c r="K1108" s="81" t="s">
        <v>1659</v>
      </c>
      <c r="L1108" s="81" t="s">
        <v>0</v>
      </c>
      <c r="M1108" s="68"/>
      <c r="N1108" s="82">
        <v>11130</v>
      </c>
      <c r="O1108" s="57">
        <f t="shared" si="56"/>
        <v>0</v>
      </c>
      <c r="P1108" s="58"/>
      <c r="Q1108" s="73"/>
      <c r="R1108" s="57"/>
      <c r="S1108" s="57"/>
      <c r="T1108" s="57"/>
      <c r="U1108" s="57"/>
      <c r="V1108" s="73">
        <f t="shared" si="57"/>
        <v>0</v>
      </c>
      <c r="W1108" s="106"/>
      <c r="X1108" s="64"/>
    </row>
    <row r="1109" spans="1:24" s="66" customFormat="1" ht="12" hidden="1" customHeight="1">
      <c r="A1109" s="81" t="s">
        <v>2851</v>
      </c>
      <c r="B1109" s="81"/>
      <c r="C1109" s="81"/>
      <c r="D1109" s="81"/>
      <c r="E1109" s="81"/>
      <c r="F1109" s="81"/>
      <c r="G1109" s="81"/>
      <c r="H1109" s="81"/>
      <c r="I1109" s="81"/>
      <c r="J1109" s="81" t="s">
        <v>1382</v>
      </c>
      <c r="K1109" s="81" t="s">
        <v>1660</v>
      </c>
      <c r="L1109" s="81" t="s">
        <v>0</v>
      </c>
      <c r="M1109" s="68"/>
      <c r="N1109" s="82">
        <v>15396</v>
      </c>
      <c r="O1109" s="57">
        <f t="shared" si="56"/>
        <v>0</v>
      </c>
      <c r="P1109" s="58"/>
      <c r="Q1109" s="73"/>
      <c r="R1109" s="57"/>
      <c r="S1109" s="57"/>
      <c r="T1109" s="57"/>
      <c r="U1109" s="57"/>
      <c r="V1109" s="73">
        <f t="shared" si="57"/>
        <v>0</v>
      </c>
      <c r="W1109" s="106"/>
      <c r="X1109" s="64"/>
    </row>
    <row r="1110" spans="1:24" s="66" customFormat="1" ht="12" hidden="1" customHeight="1">
      <c r="A1110" s="81" t="s">
        <v>2838</v>
      </c>
      <c r="B1110" s="81"/>
      <c r="C1110" s="81"/>
      <c r="D1110" s="81"/>
      <c r="E1110" s="81"/>
      <c r="F1110" s="81"/>
      <c r="G1110" s="81"/>
      <c r="H1110" s="81"/>
      <c r="I1110" s="81"/>
      <c r="J1110" s="81" t="s">
        <v>1382</v>
      </c>
      <c r="K1110" s="81" t="s">
        <v>1661</v>
      </c>
      <c r="L1110" s="81" t="s">
        <v>0</v>
      </c>
      <c r="M1110" s="68"/>
      <c r="N1110" s="82">
        <v>19057</v>
      </c>
      <c r="O1110" s="57">
        <f t="shared" si="56"/>
        <v>0</v>
      </c>
      <c r="P1110" s="58"/>
      <c r="Q1110" s="73"/>
      <c r="R1110" s="57"/>
      <c r="S1110" s="57"/>
      <c r="T1110" s="57"/>
      <c r="U1110" s="57"/>
      <c r="V1110" s="73">
        <f t="shared" si="57"/>
        <v>0</v>
      </c>
      <c r="W1110" s="106"/>
      <c r="X1110" s="64"/>
    </row>
    <row r="1111" spans="1:24" s="66" customFormat="1" ht="12" hidden="1" customHeight="1">
      <c r="A1111" s="81" t="s">
        <v>2839</v>
      </c>
      <c r="B1111" s="81"/>
      <c r="C1111" s="81"/>
      <c r="D1111" s="81"/>
      <c r="E1111" s="81"/>
      <c r="F1111" s="81"/>
      <c r="G1111" s="81"/>
      <c r="H1111" s="81"/>
      <c r="I1111" s="81"/>
      <c r="J1111" s="81" t="s">
        <v>1382</v>
      </c>
      <c r="K1111" s="81" t="s">
        <v>1662</v>
      </c>
      <c r="L1111" s="81" t="s">
        <v>0</v>
      </c>
      <c r="M1111" s="68"/>
      <c r="N1111" s="82">
        <v>23486</v>
      </c>
      <c r="O1111" s="57">
        <f t="shared" si="56"/>
        <v>0</v>
      </c>
      <c r="P1111" s="58"/>
      <c r="Q1111" s="73"/>
      <c r="R1111" s="57"/>
      <c r="S1111" s="57"/>
      <c r="T1111" s="57"/>
      <c r="U1111" s="57"/>
      <c r="V1111" s="73">
        <f t="shared" si="57"/>
        <v>0</v>
      </c>
      <c r="W1111" s="106"/>
      <c r="X1111" s="64"/>
    </row>
    <row r="1112" spans="1:24" s="66" customFormat="1" ht="12" hidden="1" customHeight="1">
      <c r="A1112" s="81" t="s">
        <v>2841</v>
      </c>
      <c r="B1112" s="81"/>
      <c r="C1112" s="81"/>
      <c r="D1112" s="81"/>
      <c r="E1112" s="81"/>
      <c r="F1112" s="81"/>
      <c r="G1112" s="81"/>
      <c r="H1112" s="81"/>
      <c r="I1112" s="81"/>
      <c r="J1112" s="81" t="s">
        <v>1382</v>
      </c>
      <c r="K1112" s="81" t="s">
        <v>1663</v>
      </c>
      <c r="L1112" s="81" t="s">
        <v>0</v>
      </c>
      <c r="M1112" s="68"/>
      <c r="N1112" s="82">
        <v>29060</v>
      </c>
      <c r="O1112" s="57">
        <f t="shared" ref="O1112:O1175" si="58">M1112*N1112*$O$3</f>
        <v>0</v>
      </c>
      <c r="P1112" s="58"/>
      <c r="Q1112" s="73"/>
      <c r="R1112" s="57"/>
      <c r="S1112" s="57"/>
      <c r="T1112" s="57"/>
      <c r="U1112" s="57"/>
      <c r="V1112" s="73">
        <f t="shared" si="57"/>
        <v>0</v>
      </c>
      <c r="W1112" s="106"/>
      <c r="X1112" s="64"/>
    </row>
    <row r="1113" spans="1:24" s="66" customFormat="1" ht="12" hidden="1" customHeight="1">
      <c r="A1113" s="81" t="s">
        <v>2843</v>
      </c>
      <c r="B1113" s="81"/>
      <c r="C1113" s="81"/>
      <c r="D1113" s="81"/>
      <c r="E1113" s="81"/>
      <c r="F1113" s="81"/>
      <c r="G1113" s="81"/>
      <c r="H1113" s="81"/>
      <c r="I1113" s="81"/>
      <c r="J1113" s="81" t="s">
        <v>1382</v>
      </c>
      <c r="K1113" s="81" t="s">
        <v>1664</v>
      </c>
      <c r="L1113" s="81" t="s">
        <v>0</v>
      </c>
      <c r="M1113" s="68"/>
      <c r="N1113" s="82">
        <v>37450</v>
      </c>
      <c r="O1113" s="57">
        <f t="shared" si="58"/>
        <v>0</v>
      </c>
      <c r="P1113" s="58"/>
      <c r="Q1113" s="73"/>
      <c r="R1113" s="57"/>
      <c r="S1113" s="57"/>
      <c r="T1113" s="57"/>
      <c r="U1113" s="57"/>
      <c r="V1113" s="73">
        <f t="shared" si="57"/>
        <v>0</v>
      </c>
      <c r="W1113" s="106"/>
      <c r="X1113" s="64"/>
    </row>
    <row r="1114" spans="1:24" s="66" customFormat="1" ht="12" hidden="1" customHeight="1">
      <c r="A1114" s="81" t="s">
        <v>2845</v>
      </c>
      <c r="B1114" s="81"/>
      <c r="C1114" s="81"/>
      <c r="D1114" s="81"/>
      <c r="E1114" s="81"/>
      <c r="F1114" s="81"/>
      <c r="G1114" s="81"/>
      <c r="H1114" s="81"/>
      <c r="I1114" s="81"/>
      <c r="J1114" s="81" t="s">
        <v>1382</v>
      </c>
      <c r="K1114" s="81" t="s">
        <v>1665</v>
      </c>
      <c r="L1114" s="81" t="s">
        <v>0</v>
      </c>
      <c r="M1114" s="68"/>
      <c r="N1114" s="82">
        <v>47680</v>
      </c>
      <c r="O1114" s="57">
        <f t="shared" si="58"/>
        <v>0</v>
      </c>
      <c r="P1114" s="58"/>
      <c r="Q1114" s="73"/>
      <c r="R1114" s="57"/>
      <c r="S1114" s="57"/>
      <c r="T1114" s="57"/>
      <c r="U1114" s="57"/>
      <c r="V1114" s="73">
        <f t="shared" si="57"/>
        <v>0</v>
      </c>
      <c r="W1114" s="106"/>
      <c r="X1114" s="64"/>
    </row>
    <row r="1115" spans="1:24" s="66" customFormat="1" ht="12" hidden="1" customHeight="1">
      <c r="A1115" s="81" t="s">
        <v>2852</v>
      </c>
      <c r="B1115" s="81"/>
      <c r="C1115" s="81"/>
      <c r="D1115" s="81"/>
      <c r="E1115" s="81"/>
      <c r="F1115" s="81"/>
      <c r="G1115" s="81"/>
      <c r="H1115" s="81"/>
      <c r="I1115" s="81"/>
      <c r="J1115" s="81" t="s">
        <v>1382</v>
      </c>
      <c r="K1115" s="81" t="s">
        <v>1420</v>
      </c>
      <c r="L1115" s="81" t="s">
        <v>0</v>
      </c>
      <c r="M1115" s="68"/>
      <c r="N1115" s="82">
        <v>1048</v>
      </c>
      <c r="O1115" s="57">
        <f t="shared" si="58"/>
        <v>0</v>
      </c>
      <c r="P1115" s="58"/>
      <c r="Q1115" s="73"/>
      <c r="R1115" s="57"/>
      <c r="S1115" s="57"/>
      <c r="T1115" s="57"/>
      <c r="U1115" s="57"/>
      <c r="V1115" s="73">
        <f t="shared" si="57"/>
        <v>0</v>
      </c>
      <c r="W1115" s="106"/>
      <c r="X1115" s="64"/>
    </row>
    <row r="1116" spans="1:24" s="66" customFormat="1" ht="12" hidden="1" customHeight="1">
      <c r="A1116" s="81" t="s">
        <v>2855</v>
      </c>
      <c r="B1116" s="81"/>
      <c r="C1116" s="81"/>
      <c r="D1116" s="81"/>
      <c r="E1116" s="81"/>
      <c r="F1116" s="81"/>
      <c r="G1116" s="81"/>
      <c r="H1116" s="81"/>
      <c r="I1116" s="81"/>
      <c r="J1116" s="81" t="s">
        <v>1382</v>
      </c>
      <c r="K1116" s="81" t="s">
        <v>1419</v>
      </c>
      <c r="L1116" s="81" t="s">
        <v>0</v>
      </c>
      <c r="M1116" s="68"/>
      <c r="N1116" s="82">
        <v>1379</v>
      </c>
      <c r="O1116" s="57">
        <f t="shared" si="58"/>
        <v>0</v>
      </c>
      <c r="P1116" s="58"/>
      <c r="Q1116" s="73"/>
      <c r="R1116" s="57"/>
      <c r="S1116" s="57"/>
      <c r="T1116" s="57"/>
      <c r="U1116" s="57"/>
      <c r="V1116" s="73">
        <f t="shared" si="57"/>
        <v>0</v>
      </c>
      <c r="W1116" s="106"/>
      <c r="X1116" s="64"/>
    </row>
    <row r="1117" spans="1:24" s="66" customFormat="1" ht="12" hidden="1" customHeight="1">
      <c r="A1117" s="81" t="s">
        <v>2858</v>
      </c>
      <c r="B1117" s="81"/>
      <c r="C1117" s="81"/>
      <c r="D1117" s="81"/>
      <c r="E1117" s="81"/>
      <c r="F1117" s="81"/>
      <c r="G1117" s="81"/>
      <c r="H1117" s="81"/>
      <c r="I1117" s="81"/>
      <c r="J1117" s="81" t="s">
        <v>1382</v>
      </c>
      <c r="K1117" s="81" t="s">
        <v>1418</v>
      </c>
      <c r="L1117" s="81" t="s">
        <v>0</v>
      </c>
      <c r="M1117" s="68"/>
      <c r="N1117" s="82">
        <v>1916</v>
      </c>
      <c r="O1117" s="57">
        <f t="shared" si="58"/>
        <v>0</v>
      </c>
      <c r="P1117" s="58"/>
      <c r="Q1117" s="73"/>
      <c r="R1117" s="57"/>
      <c r="S1117" s="57"/>
      <c r="T1117" s="57"/>
      <c r="U1117" s="57"/>
      <c r="V1117" s="73">
        <f t="shared" si="57"/>
        <v>0</v>
      </c>
      <c r="W1117" s="106"/>
      <c r="X1117" s="64"/>
    </row>
    <row r="1118" spans="1:24" s="66" customFormat="1" ht="12" hidden="1" customHeight="1">
      <c r="A1118" s="81" t="s">
        <v>2860</v>
      </c>
      <c r="B1118" s="81"/>
      <c r="C1118" s="81"/>
      <c r="D1118" s="81"/>
      <c r="E1118" s="81"/>
      <c r="F1118" s="81"/>
      <c r="G1118" s="81"/>
      <c r="H1118" s="81"/>
      <c r="I1118" s="81"/>
      <c r="J1118" s="81" t="s">
        <v>1382</v>
      </c>
      <c r="K1118" s="81" t="s">
        <v>1417</v>
      </c>
      <c r="L1118" s="81" t="s">
        <v>0</v>
      </c>
      <c r="M1118" s="68"/>
      <c r="N1118" s="82">
        <v>2591</v>
      </c>
      <c r="O1118" s="57">
        <f t="shared" si="58"/>
        <v>0</v>
      </c>
      <c r="P1118" s="58"/>
      <c r="Q1118" s="73"/>
      <c r="R1118" s="57"/>
      <c r="S1118" s="57"/>
      <c r="T1118" s="57"/>
      <c r="U1118" s="57"/>
      <c r="V1118" s="73">
        <f t="shared" si="57"/>
        <v>0</v>
      </c>
      <c r="W1118" s="106"/>
      <c r="X1118" s="64"/>
    </row>
    <row r="1119" spans="1:24" s="66" customFormat="1" ht="12" hidden="1" customHeight="1">
      <c r="A1119" s="81" t="s">
        <v>2853</v>
      </c>
      <c r="B1119" s="81"/>
      <c r="C1119" s="81"/>
      <c r="D1119" s="81"/>
      <c r="E1119" s="81"/>
      <c r="F1119" s="81"/>
      <c r="G1119" s="81"/>
      <c r="H1119" s="81"/>
      <c r="I1119" s="81"/>
      <c r="J1119" s="81" t="s">
        <v>1382</v>
      </c>
      <c r="K1119" s="81" t="s">
        <v>1416</v>
      </c>
      <c r="L1119" s="81" t="s">
        <v>0</v>
      </c>
      <c r="M1119" s="68"/>
      <c r="N1119" s="82">
        <v>3942</v>
      </c>
      <c r="O1119" s="57">
        <f t="shared" si="58"/>
        <v>0</v>
      </c>
      <c r="P1119" s="58"/>
      <c r="Q1119" s="73"/>
      <c r="R1119" s="57"/>
      <c r="S1119" s="57"/>
      <c r="T1119" s="57"/>
      <c r="U1119" s="57"/>
      <c r="V1119" s="73">
        <f t="shared" si="57"/>
        <v>0</v>
      </c>
      <c r="W1119" s="106"/>
      <c r="X1119" s="64"/>
    </row>
    <row r="1120" spans="1:24" s="66" customFormat="1" ht="12" hidden="1" customHeight="1">
      <c r="A1120" s="81" t="s">
        <v>2854</v>
      </c>
      <c r="B1120" s="81"/>
      <c r="C1120" s="81"/>
      <c r="D1120" s="81"/>
      <c r="E1120" s="81"/>
      <c r="F1120" s="81"/>
      <c r="G1120" s="81"/>
      <c r="H1120" s="81"/>
      <c r="I1120" s="81"/>
      <c r="J1120" s="81" t="s">
        <v>1382</v>
      </c>
      <c r="K1120" s="81" t="s">
        <v>1415</v>
      </c>
      <c r="L1120" s="81" t="s">
        <v>0</v>
      </c>
      <c r="M1120" s="68"/>
      <c r="N1120" s="82">
        <v>6163</v>
      </c>
      <c r="O1120" s="57">
        <f t="shared" si="58"/>
        <v>0</v>
      </c>
      <c r="P1120" s="58"/>
      <c r="Q1120" s="73"/>
      <c r="R1120" s="57"/>
      <c r="S1120" s="57"/>
      <c r="T1120" s="57"/>
      <c r="U1120" s="57"/>
      <c r="V1120" s="73">
        <f t="shared" si="57"/>
        <v>0</v>
      </c>
      <c r="W1120" s="106"/>
      <c r="X1120" s="64"/>
    </row>
    <row r="1121" spans="1:24" s="66" customFormat="1" ht="12" hidden="1" customHeight="1">
      <c r="A1121" s="81" t="s">
        <v>2856</v>
      </c>
      <c r="B1121" s="81"/>
      <c r="C1121" s="81"/>
      <c r="D1121" s="81"/>
      <c r="E1121" s="81"/>
      <c r="F1121" s="81"/>
      <c r="G1121" s="81"/>
      <c r="H1121" s="81"/>
      <c r="I1121" s="81"/>
      <c r="J1121" s="81" t="s">
        <v>1382</v>
      </c>
      <c r="K1121" s="81" t="s">
        <v>1414</v>
      </c>
      <c r="L1121" s="81" t="s">
        <v>0</v>
      </c>
      <c r="M1121" s="68"/>
      <c r="N1121" s="82">
        <v>9430</v>
      </c>
      <c r="O1121" s="57">
        <f t="shared" si="58"/>
        <v>0</v>
      </c>
      <c r="P1121" s="58"/>
      <c r="Q1121" s="73"/>
      <c r="R1121" s="57"/>
      <c r="S1121" s="57"/>
      <c r="T1121" s="57"/>
      <c r="U1121" s="57"/>
      <c r="V1121" s="73">
        <f t="shared" si="57"/>
        <v>0</v>
      </c>
      <c r="W1121" s="106"/>
      <c r="X1121" s="64"/>
    </row>
    <row r="1122" spans="1:24" s="66" customFormat="1" ht="12" hidden="1" customHeight="1">
      <c r="A1122" s="81" t="s">
        <v>2857</v>
      </c>
      <c r="B1122" s="81"/>
      <c r="C1122" s="81"/>
      <c r="D1122" s="81"/>
      <c r="E1122" s="81"/>
      <c r="F1122" s="81"/>
      <c r="G1122" s="81"/>
      <c r="H1122" s="81"/>
      <c r="I1122" s="81"/>
      <c r="J1122" s="81" t="s">
        <v>1382</v>
      </c>
      <c r="K1122" s="81" t="s">
        <v>1413</v>
      </c>
      <c r="L1122" s="81" t="s">
        <v>0</v>
      </c>
      <c r="M1122" s="68"/>
      <c r="N1122" s="82">
        <v>12519</v>
      </c>
      <c r="O1122" s="57">
        <f t="shared" si="58"/>
        <v>0</v>
      </c>
      <c r="P1122" s="58"/>
      <c r="Q1122" s="73"/>
      <c r="R1122" s="57"/>
      <c r="S1122" s="57"/>
      <c r="T1122" s="57"/>
      <c r="U1122" s="57"/>
      <c r="V1122" s="73">
        <f t="shared" si="57"/>
        <v>0</v>
      </c>
      <c r="W1122" s="106"/>
      <c r="X1122" s="64"/>
    </row>
    <row r="1123" spans="1:24" s="66" customFormat="1" ht="12" hidden="1" customHeight="1">
      <c r="A1123" s="81" t="s">
        <v>2859</v>
      </c>
      <c r="B1123" s="81"/>
      <c r="C1123" s="81"/>
      <c r="D1123" s="81"/>
      <c r="E1123" s="81"/>
      <c r="F1123" s="81"/>
      <c r="G1123" s="81"/>
      <c r="H1123" s="81"/>
      <c r="I1123" s="81"/>
      <c r="J1123" s="81" t="s">
        <v>1382</v>
      </c>
      <c r="K1123" s="81" t="s">
        <v>1412</v>
      </c>
      <c r="L1123" s="81" t="s">
        <v>0</v>
      </c>
      <c r="M1123" s="68"/>
      <c r="N1123" s="82">
        <v>17278</v>
      </c>
      <c r="O1123" s="57">
        <f t="shared" si="58"/>
        <v>0</v>
      </c>
      <c r="P1123" s="58"/>
      <c r="Q1123" s="73"/>
      <c r="R1123" s="57"/>
      <c r="S1123" s="57"/>
      <c r="T1123" s="57"/>
      <c r="U1123" s="57"/>
      <c r="V1123" s="73">
        <f t="shared" si="57"/>
        <v>0</v>
      </c>
      <c r="W1123" s="106"/>
      <c r="X1123" s="64"/>
    </row>
    <row r="1124" spans="1:24" s="66" customFormat="1" ht="12" hidden="1" customHeight="1">
      <c r="A1124" s="81" t="s">
        <v>2861</v>
      </c>
      <c r="B1124" s="81"/>
      <c r="C1124" s="81"/>
      <c r="D1124" s="81"/>
      <c r="E1124" s="81"/>
      <c r="F1124" s="81"/>
      <c r="G1124" s="81"/>
      <c r="H1124" s="81"/>
      <c r="I1124" s="81"/>
      <c r="J1124" s="81" t="s">
        <v>1382</v>
      </c>
      <c r="K1124" s="81" t="s">
        <v>1404</v>
      </c>
      <c r="L1124" s="81" t="s">
        <v>0</v>
      </c>
      <c r="M1124" s="68"/>
      <c r="N1124" s="82">
        <v>2300</v>
      </c>
      <c r="O1124" s="57">
        <f t="shared" si="58"/>
        <v>0</v>
      </c>
      <c r="P1124" s="58"/>
      <c r="Q1124" s="73"/>
      <c r="R1124" s="57"/>
      <c r="S1124" s="57"/>
      <c r="T1124" s="57"/>
      <c r="U1124" s="57"/>
      <c r="V1124" s="73">
        <f t="shared" si="57"/>
        <v>0</v>
      </c>
      <c r="W1124" s="106"/>
      <c r="X1124" s="64"/>
    </row>
    <row r="1125" spans="1:24" s="66" customFormat="1" ht="12" hidden="1" customHeight="1">
      <c r="A1125" s="81" t="s">
        <v>2864</v>
      </c>
      <c r="B1125" s="81"/>
      <c r="C1125" s="81"/>
      <c r="D1125" s="81"/>
      <c r="E1125" s="81"/>
      <c r="F1125" s="81"/>
      <c r="G1125" s="81"/>
      <c r="H1125" s="81"/>
      <c r="I1125" s="81"/>
      <c r="J1125" s="81" t="s">
        <v>1382</v>
      </c>
      <c r="K1125" s="81" t="s">
        <v>1403</v>
      </c>
      <c r="L1125" s="81" t="s">
        <v>0</v>
      </c>
      <c r="M1125" s="68"/>
      <c r="N1125" s="82">
        <v>1793</v>
      </c>
      <c r="O1125" s="57">
        <f t="shared" si="58"/>
        <v>0</v>
      </c>
      <c r="P1125" s="58"/>
      <c r="Q1125" s="73"/>
      <c r="R1125" s="57"/>
      <c r="S1125" s="57"/>
      <c r="T1125" s="57"/>
      <c r="U1125" s="57"/>
      <c r="V1125" s="73">
        <f t="shared" si="57"/>
        <v>0</v>
      </c>
      <c r="W1125" s="106"/>
      <c r="X1125" s="64"/>
    </row>
    <row r="1126" spans="1:24" s="66" customFormat="1" ht="12" hidden="1" customHeight="1">
      <c r="A1126" s="81" t="s">
        <v>2867</v>
      </c>
      <c r="B1126" s="81"/>
      <c r="C1126" s="81"/>
      <c r="D1126" s="81"/>
      <c r="E1126" s="81"/>
      <c r="F1126" s="81"/>
      <c r="G1126" s="81"/>
      <c r="H1126" s="81"/>
      <c r="I1126" s="81"/>
      <c r="J1126" s="81" t="s">
        <v>1382</v>
      </c>
      <c r="K1126" s="81" t="s">
        <v>1402</v>
      </c>
      <c r="L1126" s="81" t="s">
        <v>0</v>
      </c>
      <c r="M1126" s="68"/>
      <c r="N1126" s="82">
        <v>2536</v>
      </c>
      <c r="O1126" s="57">
        <f t="shared" si="58"/>
        <v>0</v>
      </c>
      <c r="P1126" s="58"/>
      <c r="Q1126" s="73"/>
      <c r="R1126" s="57"/>
      <c r="S1126" s="57"/>
      <c r="T1126" s="57"/>
      <c r="U1126" s="57"/>
      <c r="V1126" s="73">
        <f t="shared" si="57"/>
        <v>0</v>
      </c>
      <c r="W1126" s="106"/>
      <c r="X1126" s="64"/>
    </row>
    <row r="1127" spans="1:24" s="66" customFormat="1" ht="12" hidden="1" customHeight="1">
      <c r="A1127" s="81" t="s">
        <v>2869</v>
      </c>
      <c r="B1127" s="81"/>
      <c r="C1127" s="81"/>
      <c r="D1127" s="81"/>
      <c r="E1127" s="81"/>
      <c r="F1127" s="81"/>
      <c r="G1127" s="81"/>
      <c r="H1127" s="81"/>
      <c r="I1127" s="81"/>
      <c r="J1127" s="81" t="s">
        <v>1382</v>
      </c>
      <c r="K1127" s="81" t="s">
        <v>1401</v>
      </c>
      <c r="L1127" s="81" t="s">
        <v>0</v>
      </c>
      <c r="M1127" s="68"/>
      <c r="N1127" s="82">
        <v>3502</v>
      </c>
      <c r="O1127" s="57">
        <f t="shared" si="58"/>
        <v>0</v>
      </c>
      <c r="P1127" s="58"/>
      <c r="Q1127" s="73"/>
      <c r="R1127" s="57"/>
      <c r="S1127" s="57"/>
      <c r="T1127" s="57"/>
      <c r="U1127" s="57"/>
      <c r="V1127" s="73">
        <f t="shared" si="57"/>
        <v>0</v>
      </c>
      <c r="W1127" s="106"/>
      <c r="X1127" s="64"/>
    </row>
    <row r="1128" spans="1:24" s="66" customFormat="1" ht="12" hidden="1" customHeight="1">
      <c r="A1128" s="81" t="s">
        <v>2862</v>
      </c>
      <c r="B1128" s="81"/>
      <c r="C1128" s="81"/>
      <c r="D1128" s="81"/>
      <c r="E1128" s="81"/>
      <c r="F1128" s="81"/>
      <c r="G1128" s="81"/>
      <c r="H1128" s="81"/>
      <c r="I1128" s="81"/>
      <c r="J1128" s="81" t="s">
        <v>1382</v>
      </c>
      <c r="K1128" s="81" t="s">
        <v>1400</v>
      </c>
      <c r="L1128" s="81" t="s">
        <v>0</v>
      </c>
      <c r="M1128" s="68"/>
      <c r="N1128" s="82">
        <v>5569</v>
      </c>
      <c r="O1128" s="57">
        <f t="shared" si="58"/>
        <v>0</v>
      </c>
      <c r="P1128" s="58"/>
      <c r="Q1128" s="73"/>
      <c r="R1128" s="57"/>
      <c r="S1128" s="57"/>
      <c r="T1128" s="57"/>
      <c r="U1128" s="57"/>
      <c r="V1128" s="73">
        <f t="shared" si="57"/>
        <v>0</v>
      </c>
      <c r="W1128" s="106"/>
      <c r="X1128" s="64"/>
    </row>
    <row r="1129" spans="1:24" s="66" customFormat="1" ht="12" hidden="1" customHeight="1">
      <c r="A1129" s="81" t="s">
        <v>2863</v>
      </c>
      <c r="B1129" s="81"/>
      <c r="C1129" s="81"/>
      <c r="D1129" s="81"/>
      <c r="E1129" s="81"/>
      <c r="F1129" s="81"/>
      <c r="G1129" s="81"/>
      <c r="H1129" s="81"/>
      <c r="I1129" s="81"/>
      <c r="J1129" s="81" t="s">
        <v>1382</v>
      </c>
      <c r="K1129" s="81" t="s">
        <v>1399</v>
      </c>
      <c r="L1129" s="81" t="s">
        <v>0</v>
      </c>
      <c r="M1129" s="68"/>
      <c r="N1129" s="82">
        <v>8691</v>
      </c>
      <c r="O1129" s="57">
        <f t="shared" si="58"/>
        <v>0</v>
      </c>
      <c r="P1129" s="58"/>
      <c r="Q1129" s="73"/>
      <c r="R1129" s="57"/>
      <c r="S1129" s="57"/>
      <c r="T1129" s="57"/>
      <c r="U1129" s="57"/>
      <c r="V1129" s="73">
        <f t="shared" si="57"/>
        <v>0</v>
      </c>
      <c r="W1129" s="106"/>
      <c r="X1129" s="64"/>
    </row>
    <row r="1130" spans="1:24" s="66" customFormat="1" ht="12" hidden="1" customHeight="1">
      <c r="A1130" s="81" t="s">
        <v>2865</v>
      </c>
      <c r="B1130" s="81"/>
      <c r="C1130" s="81"/>
      <c r="D1130" s="81"/>
      <c r="E1130" s="81"/>
      <c r="F1130" s="81"/>
      <c r="G1130" s="81"/>
      <c r="H1130" s="81"/>
      <c r="I1130" s="81"/>
      <c r="J1130" s="81" t="s">
        <v>1382</v>
      </c>
      <c r="K1130" s="81" t="s">
        <v>1669</v>
      </c>
      <c r="L1130" s="81" t="s">
        <v>0</v>
      </c>
      <c r="M1130" s="68"/>
      <c r="N1130" s="82">
        <v>13509</v>
      </c>
      <c r="O1130" s="57">
        <f t="shared" si="58"/>
        <v>0</v>
      </c>
      <c r="P1130" s="58"/>
      <c r="Q1130" s="73"/>
      <c r="R1130" s="57"/>
      <c r="S1130" s="57"/>
      <c r="T1130" s="57"/>
      <c r="U1130" s="57"/>
      <c r="V1130" s="73">
        <f t="shared" si="57"/>
        <v>0</v>
      </c>
      <c r="W1130" s="106"/>
      <c r="X1130" s="64"/>
    </row>
    <row r="1131" spans="1:24" s="66" customFormat="1" ht="12" hidden="1" customHeight="1">
      <c r="A1131" s="81" t="s">
        <v>2866</v>
      </c>
      <c r="B1131" s="81"/>
      <c r="C1131" s="81"/>
      <c r="D1131" s="81"/>
      <c r="E1131" s="81"/>
      <c r="F1131" s="81"/>
      <c r="G1131" s="81"/>
      <c r="H1131" s="81"/>
      <c r="I1131" s="81"/>
      <c r="J1131" s="81" t="s">
        <v>1382</v>
      </c>
      <c r="K1131" s="81" t="s">
        <v>1670</v>
      </c>
      <c r="L1131" s="81" t="s">
        <v>0</v>
      </c>
      <c r="M1131" s="68"/>
      <c r="N1131" s="82">
        <v>17966</v>
      </c>
      <c r="O1131" s="57">
        <f t="shared" si="58"/>
        <v>0</v>
      </c>
      <c r="P1131" s="58"/>
      <c r="Q1131" s="73"/>
      <c r="R1131" s="57"/>
      <c r="S1131" s="57"/>
      <c r="T1131" s="57"/>
      <c r="U1131" s="57"/>
      <c r="V1131" s="73">
        <f t="shared" si="57"/>
        <v>0</v>
      </c>
      <c r="W1131" s="106"/>
      <c r="X1131" s="64"/>
    </row>
    <row r="1132" spans="1:24" s="66" customFormat="1" ht="12" hidden="1" customHeight="1">
      <c r="A1132" s="81" t="s">
        <v>2868</v>
      </c>
      <c r="B1132" s="81"/>
      <c r="C1132" s="81"/>
      <c r="D1132" s="81"/>
      <c r="E1132" s="81"/>
      <c r="F1132" s="81"/>
      <c r="G1132" s="81"/>
      <c r="H1132" s="81"/>
      <c r="I1132" s="81"/>
      <c r="J1132" s="81" t="s">
        <v>1382</v>
      </c>
      <c r="K1132" s="81" t="s">
        <v>1671</v>
      </c>
      <c r="L1132" s="81" t="s">
        <v>0</v>
      </c>
      <c r="M1132" s="68"/>
      <c r="N1132" s="82">
        <v>24447</v>
      </c>
      <c r="O1132" s="57">
        <f t="shared" si="58"/>
        <v>0</v>
      </c>
      <c r="P1132" s="58"/>
      <c r="Q1132" s="73"/>
      <c r="R1132" s="57"/>
      <c r="S1132" s="57"/>
      <c r="T1132" s="57"/>
      <c r="U1132" s="57"/>
      <c r="V1132" s="73">
        <f t="shared" si="57"/>
        <v>0</v>
      </c>
      <c r="W1132" s="106"/>
      <c r="X1132" s="64"/>
    </row>
    <row r="1133" spans="1:24" s="66" customFormat="1" ht="12" hidden="1" customHeight="1">
      <c r="A1133" s="81" t="s">
        <v>2870</v>
      </c>
      <c r="B1133" s="81"/>
      <c r="C1133" s="81"/>
      <c r="D1133" s="81"/>
      <c r="E1133" s="81"/>
      <c r="F1133" s="81"/>
      <c r="G1133" s="81"/>
      <c r="H1133" s="81"/>
      <c r="I1133" s="81"/>
      <c r="J1133" s="81" t="s">
        <v>1382</v>
      </c>
      <c r="K1133" s="81" t="s">
        <v>1672</v>
      </c>
      <c r="L1133" s="81" t="s">
        <v>0</v>
      </c>
      <c r="M1133" s="68"/>
      <c r="N1133" s="82">
        <v>34660</v>
      </c>
      <c r="O1133" s="57">
        <f t="shared" si="58"/>
        <v>0</v>
      </c>
      <c r="P1133" s="58"/>
      <c r="Q1133" s="73"/>
      <c r="R1133" s="57"/>
      <c r="S1133" s="57"/>
      <c r="T1133" s="57"/>
      <c r="U1133" s="57"/>
      <c r="V1133" s="73">
        <f t="shared" si="57"/>
        <v>0</v>
      </c>
      <c r="W1133" s="106"/>
      <c r="X1133" s="64"/>
    </row>
    <row r="1134" spans="1:24" s="66" customFormat="1" ht="12" hidden="1" customHeight="1">
      <c r="A1134" s="81" t="s">
        <v>2871</v>
      </c>
      <c r="B1134" s="81"/>
      <c r="C1134" s="81"/>
      <c r="D1134" s="81"/>
      <c r="E1134" s="81"/>
      <c r="F1134" s="81"/>
      <c r="G1134" s="81"/>
      <c r="H1134" s="81"/>
      <c r="I1134" s="81"/>
      <c r="J1134" s="81" t="s">
        <v>1382</v>
      </c>
      <c r="K1134" s="81" t="s">
        <v>1398</v>
      </c>
      <c r="L1134" s="81" t="s">
        <v>0</v>
      </c>
      <c r="M1134" s="68"/>
      <c r="N1134" s="82">
        <v>3050</v>
      </c>
      <c r="O1134" s="57">
        <f t="shared" si="58"/>
        <v>0</v>
      </c>
      <c r="P1134" s="58"/>
      <c r="Q1134" s="73"/>
      <c r="R1134" s="57"/>
      <c r="S1134" s="57"/>
      <c r="T1134" s="57"/>
      <c r="U1134" s="57"/>
      <c r="V1134" s="73">
        <f t="shared" si="57"/>
        <v>0</v>
      </c>
      <c r="W1134" s="106"/>
      <c r="X1134" s="64"/>
    </row>
    <row r="1135" spans="1:24" s="66" customFormat="1" ht="12" hidden="1" customHeight="1">
      <c r="A1135" s="81" t="s">
        <v>2874</v>
      </c>
      <c r="B1135" s="81"/>
      <c r="C1135" s="81"/>
      <c r="D1135" s="81"/>
      <c r="E1135" s="81"/>
      <c r="F1135" s="81"/>
      <c r="G1135" s="81"/>
      <c r="H1135" s="81"/>
      <c r="I1135" s="81"/>
      <c r="J1135" s="81" t="s">
        <v>1382</v>
      </c>
      <c r="K1135" s="81" t="s">
        <v>1397</v>
      </c>
      <c r="L1135" s="81" t="s">
        <v>0</v>
      </c>
      <c r="M1135" s="68"/>
      <c r="N1135" s="82">
        <v>3590</v>
      </c>
      <c r="O1135" s="57">
        <f t="shared" si="58"/>
        <v>0</v>
      </c>
      <c r="P1135" s="58"/>
      <c r="Q1135" s="73"/>
      <c r="R1135" s="57"/>
      <c r="S1135" s="57"/>
      <c r="T1135" s="57"/>
      <c r="U1135" s="57"/>
      <c r="V1135" s="73">
        <f t="shared" si="57"/>
        <v>0</v>
      </c>
      <c r="W1135" s="106"/>
      <c r="X1135" s="64"/>
    </row>
    <row r="1136" spans="1:24" s="66" customFormat="1" ht="12" hidden="1" customHeight="1">
      <c r="A1136" s="81" t="s">
        <v>2877</v>
      </c>
      <c r="B1136" s="81"/>
      <c r="C1136" s="81"/>
      <c r="D1136" s="81"/>
      <c r="E1136" s="81"/>
      <c r="F1136" s="81"/>
      <c r="G1136" s="81"/>
      <c r="H1136" s="81"/>
      <c r="I1136" s="81"/>
      <c r="J1136" s="81" t="s">
        <v>1382</v>
      </c>
      <c r="K1136" s="81" t="s">
        <v>1396</v>
      </c>
      <c r="L1136" s="81" t="s">
        <v>0</v>
      </c>
      <c r="M1136" s="68"/>
      <c r="N1136" s="82">
        <v>3212</v>
      </c>
      <c r="O1136" s="57">
        <f t="shared" si="58"/>
        <v>0</v>
      </c>
      <c r="P1136" s="58"/>
      <c r="Q1136" s="73"/>
      <c r="R1136" s="57"/>
      <c r="S1136" s="57"/>
      <c r="T1136" s="57"/>
      <c r="U1136" s="57"/>
      <c r="V1136" s="73">
        <f t="shared" si="57"/>
        <v>0</v>
      </c>
      <c r="W1136" s="106"/>
      <c r="X1136" s="64"/>
    </row>
    <row r="1137" spans="1:24" s="66" customFormat="1" ht="12" hidden="1" customHeight="1">
      <c r="A1137" s="81" t="s">
        <v>2879</v>
      </c>
      <c r="B1137" s="81"/>
      <c r="C1137" s="81"/>
      <c r="D1137" s="81"/>
      <c r="E1137" s="81"/>
      <c r="F1137" s="81"/>
      <c r="G1137" s="81"/>
      <c r="H1137" s="81"/>
      <c r="I1137" s="81"/>
      <c r="J1137" s="81" t="s">
        <v>1382</v>
      </c>
      <c r="K1137" s="81" t="s">
        <v>1395</v>
      </c>
      <c r="L1137" s="81" t="s">
        <v>0</v>
      </c>
      <c r="M1137" s="68"/>
      <c r="N1137" s="82">
        <v>4508</v>
      </c>
      <c r="O1137" s="57">
        <f t="shared" si="58"/>
        <v>0</v>
      </c>
      <c r="P1137" s="58"/>
      <c r="Q1137" s="73"/>
      <c r="R1137" s="57"/>
      <c r="S1137" s="57"/>
      <c r="T1137" s="57"/>
      <c r="U1137" s="57"/>
      <c r="V1137" s="73">
        <f t="shared" si="57"/>
        <v>0</v>
      </c>
      <c r="W1137" s="106"/>
      <c r="X1137" s="64"/>
    </row>
    <row r="1138" spans="1:24" s="66" customFormat="1" ht="12" hidden="1" customHeight="1">
      <c r="A1138" s="81" t="s">
        <v>2872</v>
      </c>
      <c r="B1138" s="81"/>
      <c r="C1138" s="81"/>
      <c r="D1138" s="81"/>
      <c r="E1138" s="81"/>
      <c r="F1138" s="81"/>
      <c r="G1138" s="81"/>
      <c r="H1138" s="81"/>
      <c r="I1138" s="81"/>
      <c r="J1138" s="81" t="s">
        <v>1382</v>
      </c>
      <c r="K1138" s="81" t="s">
        <v>1394</v>
      </c>
      <c r="L1138" s="81" t="s">
        <v>0</v>
      </c>
      <c r="M1138" s="68"/>
      <c r="N1138" s="82">
        <v>7154</v>
      </c>
      <c r="O1138" s="57">
        <f t="shared" si="58"/>
        <v>0</v>
      </c>
      <c r="P1138" s="58"/>
      <c r="Q1138" s="73"/>
      <c r="R1138" s="57"/>
      <c r="S1138" s="57"/>
      <c r="T1138" s="57"/>
      <c r="U1138" s="57"/>
      <c r="V1138" s="73">
        <f t="shared" si="57"/>
        <v>0</v>
      </c>
      <c r="W1138" s="106"/>
      <c r="X1138" s="64"/>
    </row>
    <row r="1139" spans="1:24" s="66" customFormat="1" ht="12" hidden="1" customHeight="1">
      <c r="A1139" s="81" t="s">
        <v>2873</v>
      </c>
      <c r="B1139" s="81"/>
      <c r="C1139" s="81"/>
      <c r="D1139" s="81"/>
      <c r="E1139" s="81"/>
      <c r="F1139" s="81"/>
      <c r="G1139" s="81"/>
      <c r="H1139" s="81"/>
      <c r="I1139" s="81"/>
      <c r="J1139" s="81" t="s">
        <v>1382</v>
      </c>
      <c r="K1139" s="81" t="s">
        <v>1393</v>
      </c>
      <c r="L1139" s="81" t="s">
        <v>0</v>
      </c>
      <c r="M1139" s="68"/>
      <c r="N1139" s="82">
        <v>11508</v>
      </c>
      <c r="O1139" s="57">
        <f t="shared" si="58"/>
        <v>0</v>
      </c>
      <c r="P1139" s="58"/>
      <c r="Q1139" s="73"/>
      <c r="R1139" s="57"/>
      <c r="S1139" s="57"/>
      <c r="T1139" s="57"/>
      <c r="U1139" s="57"/>
      <c r="V1139" s="73">
        <f t="shared" si="57"/>
        <v>0</v>
      </c>
      <c r="W1139" s="106"/>
      <c r="X1139" s="64"/>
    </row>
    <row r="1140" spans="1:24" s="66" customFormat="1" ht="12" hidden="1" customHeight="1">
      <c r="A1140" s="81" t="s">
        <v>2875</v>
      </c>
      <c r="B1140" s="81"/>
      <c r="C1140" s="81"/>
      <c r="D1140" s="81"/>
      <c r="E1140" s="81"/>
      <c r="F1140" s="81"/>
      <c r="G1140" s="81"/>
      <c r="H1140" s="81"/>
      <c r="I1140" s="81"/>
      <c r="J1140" s="81" t="s">
        <v>1382</v>
      </c>
      <c r="K1140" s="81" t="s">
        <v>1392</v>
      </c>
      <c r="L1140" s="81" t="s">
        <v>0</v>
      </c>
      <c r="M1140" s="68"/>
      <c r="N1140" s="82">
        <v>17766</v>
      </c>
      <c r="O1140" s="57">
        <f t="shared" si="58"/>
        <v>0</v>
      </c>
      <c r="P1140" s="58"/>
      <c r="Q1140" s="73"/>
      <c r="R1140" s="57"/>
      <c r="S1140" s="57"/>
      <c r="T1140" s="57"/>
      <c r="U1140" s="57"/>
      <c r="V1140" s="73">
        <f t="shared" si="57"/>
        <v>0</v>
      </c>
      <c r="W1140" s="106"/>
      <c r="X1140" s="64"/>
    </row>
    <row r="1141" spans="1:24" s="66" customFormat="1" ht="12" hidden="1" customHeight="1">
      <c r="A1141" s="81" t="s">
        <v>2876</v>
      </c>
      <c r="B1141" s="81"/>
      <c r="C1141" s="81"/>
      <c r="D1141" s="81"/>
      <c r="E1141" s="81"/>
      <c r="F1141" s="81"/>
      <c r="G1141" s="81"/>
      <c r="H1141" s="81"/>
      <c r="I1141" s="81"/>
      <c r="J1141" s="81" t="s">
        <v>1382</v>
      </c>
      <c r="K1141" s="81" t="s">
        <v>1391</v>
      </c>
      <c r="L1141" s="81" t="s">
        <v>0</v>
      </c>
      <c r="M1141" s="68"/>
      <c r="N1141" s="82">
        <v>23723</v>
      </c>
      <c r="O1141" s="57">
        <f t="shared" si="58"/>
        <v>0</v>
      </c>
      <c r="P1141" s="58"/>
      <c r="Q1141" s="73"/>
      <c r="R1141" s="57"/>
      <c r="S1141" s="57"/>
      <c r="T1141" s="57"/>
      <c r="U1141" s="57"/>
      <c r="V1141" s="73">
        <f t="shared" si="57"/>
        <v>0</v>
      </c>
      <c r="W1141" s="106"/>
      <c r="X1141" s="64"/>
    </row>
    <row r="1142" spans="1:24" s="66" customFormat="1" ht="12" hidden="1" customHeight="1">
      <c r="A1142" s="81" t="s">
        <v>2878</v>
      </c>
      <c r="B1142" s="81"/>
      <c r="C1142" s="81"/>
      <c r="D1142" s="81"/>
      <c r="E1142" s="81"/>
      <c r="F1142" s="81"/>
      <c r="G1142" s="81"/>
      <c r="H1142" s="81"/>
      <c r="I1142" s="81"/>
      <c r="J1142" s="81" t="s">
        <v>1382</v>
      </c>
      <c r="K1142" s="81" t="s">
        <v>1390</v>
      </c>
      <c r="L1142" s="81" t="s">
        <v>0</v>
      </c>
      <c r="M1142" s="68"/>
      <c r="N1142" s="82">
        <v>32665</v>
      </c>
      <c r="O1142" s="57">
        <f t="shared" si="58"/>
        <v>0</v>
      </c>
      <c r="P1142" s="58"/>
      <c r="Q1142" s="73"/>
      <c r="R1142" s="57"/>
      <c r="S1142" s="57"/>
      <c r="T1142" s="57"/>
      <c r="U1142" s="57"/>
      <c r="V1142" s="73">
        <f t="shared" si="57"/>
        <v>0</v>
      </c>
      <c r="W1142" s="106"/>
      <c r="X1142" s="64"/>
    </row>
    <row r="1143" spans="1:24" s="66" customFormat="1" ht="12" hidden="1" customHeight="1">
      <c r="A1143" s="81" t="s">
        <v>2880</v>
      </c>
      <c r="B1143" s="81"/>
      <c r="C1143" s="81"/>
      <c r="D1143" s="81"/>
      <c r="E1143" s="81"/>
      <c r="F1143" s="81"/>
      <c r="G1143" s="81"/>
      <c r="H1143" s="81"/>
      <c r="I1143" s="81"/>
      <c r="J1143" s="81" t="s">
        <v>1382</v>
      </c>
      <c r="K1143" s="81" t="s">
        <v>1389</v>
      </c>
      <c r="L1143" s="81" t="s">
        <v>0</v>
      </c>
      <c r="M1143" s="68"/>
      <c r="N1143" s="82">
        <v>45893</v>
      </c>
      <c r="O1143" s="57">
        <f t="shared" si="58"/>
        <v>0</v>
      </c>
      <c r="P1143" s="58"/>
      <c r="Q1143" s="73"/>
      <c r="R1143" s="57"/>
      <c r="S1143" s="57"/>
      <c r="T1143" s="57"/>
      <c r="U1143" s="57"/>
      <c r="V1143" s="73">
        <f t="shared" si="57"/>
        <v>0</v>
      </c>
      <c r="W1143" s="106"/>
      <c r="X1143" s="64"/>
    </row>
    <row r="1144" spans="1:24" s="66" customFormat="1" ht="12" hidden="1" customHeight="1">
      <c r="A1144" s="81" t="s">
        <v>2881</v>
      </c>
      <c r="B1144" s="81"/>
      <c r="C1144" s="81"/>
      <c r="D1144" s="81"/>
      <c r="E1144" s="81"/>
      <c r="F1144" s="81"/>
      <c r="G1144" s="81"/>
      <c r="H1144" s="81"/>
      <c r="I1144" s="81"/>
      <c r="J1144" s="81" t="s">
        <v>1382</v>
      </c>
      <c r="K1144" s="81" t="s">
        <v>1388</v>
      </c>
      <c r="L1144" s="81" t="s">
        <v>0</v>
      </c>
      <c r="M1144" s="68"/>
      <c r="N1144" s="82">
        <v>63784</v>
      </c>
      <c r="O1144" s="57">
        <f t="shared" si="58"/>
        <v>0</v>
      </c>
      <c r="P1144" s="58"/>
      <c r="Q1144" s="73"/>
      <c r="R1144" s="57"/>
      <c r="S1144" s="57"/>
      <c r="T1144" s="57"/>
      <c r="U1144" s="57"/>
      <c r="V1144" s="73">
        <f t="shared" si="57"/>
        <v>0</v>
      </c>
      <c r="W1144" s="106"/>
      <c r="X1144" s="64"/>
    </row>
    <row r="1145" spans="1:24" s="66" customFormat="1" ht="12" hidden="1" customHeight="1">
      <c r="A1145" s="81" t="s">
        <v>2903</v>
      </c>
      <c r="B1145" s="81"/>
      <c r="C1145" s="81"/>
      <c r="D1145" s="81"/>
      <c r="E1145" s="81"/>
      <c r="F1145" s="81"/>
      <c r="G1145" s="81"/>
      <c r="H1145" s="81"/>
      <c r="I1145" s="81" t="s">
        <v>2900</v>
      </c>
      <c r="J1145" s="81" t="s">
        <v>761</v>
      </c>
      <c r="K1145" s="81" t="s">
        <v>1483</v>
      </c>
      <c r="L1145" s="81" t="s">
        <v>0</v>
      </c>
      <c r="M1145" s="68"/>
      <c r="N1145" s="82">
        <v>880</v>
      </c>
      <c r="O1145" s="57">
        <f t="shared" si="58"/>
        <v>0</v>
      </c>
      <c r="P1145" s="58"/>
      <c r="Q1145" s="73"/>
      <c r="R1145" s="57"/>
      <c r="S1145" s="57"/>
      <c r="T1145" s="57"/>
      <c r="U1145" s="57"/>
      <c r="V1145" s="73">
        <f t="shared" si="57"/>
        <v>0</v>
      </c>
      <c r="W1145" s="106"/>
      <c r="X1145" s="64"/>
    </row>
    <row r="1146" spans="1:24" s="66" customFormat="1" ht="12" hidden="1" customHeight="1">
      <c r="A1146" s="81" t="s">
        <v>2899</v>
      </c>
      <c r="B1146" s="81"/>
      <c r="C1146" s="81"/>
      <c r="D1146" s="81"/>
      <c r="E1146" s="81"/>
      <c r="F1146" s="81"/>
      <c r="G1146" s="81"/>
      <c r="H1146" s="81"/>
      <c r="I1146" s="81" t="s">
        <v>2900</v>
      </c>
      <c r="J1146" s="81" t="s">
        <v>761</v>
      </c>
      <c r="K1146" s="81" t="s">
        <v>1482</v>
      </c>
      <c r="L1146" s="81" t="s">
        <v>0</v>
      </c>
      <c r="M1146" s="68"/>
      <c r="N1146" s="82">
        <v>1110</v>
      </c>
      <c r="O1146" s="57">
        <f t="shared" si="58"/>
        <v>0</v>
      </c>
      <c r="P1146" s="58"/>
      <c r="Q1146" s="73"/>
      <c r="R1146" s="57"/>
      <c r="S1146" s="57"/>
      <c r="T1146" s="57"/>
      <c r="U1146" s="57"/>
      <c r="V1146" s="73">
        <f t="shared" si="57"/>
        <v>0</v>
      </c>
      <c r="W1146" s="106"/>
      <c r="X1146" s="64"/>
    </row>
    <row r="1147" spans="1:24" s="66" customFormat="1" ht="12" hidden="1" customHeight="1">
      <c r="A1147" s="81" t="s">
        <v>2904</v>
      </c>
      <c r="B1147" s="81"/>
      <c r="C1147" s="81"/>
      <c r="D1147" s="81"/>
      <c r="E1147" s="81"/>
      <c r="F1147" s="81"/>
      <c r="G1147" s="81"/>
      <c r="H1147" s="81"/>
      <c r="I1147" s="81" t="s">
        <v>2900</v>
      </c>
      <c r="J1147" s="81" t="s">
        <v>761</v>
      </c>
      <c r="K1147" s="81" t="s">
        <v>1481</v>
      </c>
      <c r="L1147" s="81" t="s">
        <v>0</v>
      </c>
      <c r="M1147" s="68"/>
      <c r="N1147" s="82">
        <v>1620</v>
      </c>
      <c r="O1147" s="57">
        <f t="shared" si="58"/>
        <v>0</v>
      </c>
      <c r="P1147" s="58"/>
      <c r="Q1147" s="73"/>
      <c r="R1147" s="57"/>
      <c r="S1147" s="57"/>
      <c r="T1147" s="57"/>
      <c r="U1147" s="57"/>
      <c r="V1147" s="73">
        <f t="shared" si="57"/>
        <v>0</v>
      </c>
      <c r="W1147" s="106"/>
      <c r="X1147" s="64"/>
    </row>
    <row r="1148" spans="1:24" s="66" customFormat="1" ht="12" hidden="1" customHeight="1">
      <c r="A1148" s="81" t="s">
        <v>2907</v>
      </c>
      <c r="B1148" s="81"/>
      <c r="C1148" s="81"/>
      <c r="D1148" s="81"/>
      <c r="E1148" s="81"/>
      <c r="F1148" s="81"/>
      <c r="G1148" s="81"/>
      <c r="H1148" s="81"/>
      <c r="I1148" s="81" t="s">
        <v>2900</v>
      </c>
      <c r="J1148" s="81" t="s">
        <v>761</v>
      </c>
      <c r="K1148" s="81" t="s">
        <v>1480</v>
      </c>
      <c r="L1148" s="81" t="s">
        <v>0</v>
      </c>
      <c r="M1148" s="68"/>
      <c r="N1148" s="82">
        <v>2370</v>
      </c>
      <c r="O1148" s="57">
        <f t="shared" si="58"/>
        <v>0</v>
      </c>
      <c r="P1148" s="58"/>
      <c r="Q1148" s="73"/>
      <c r="R1148" s="57"/>
      <c r="S1148" s="57"/>
      <c r="T1148" s="57"/>
      <c r="U1148" s="57"/>
      <c r="V1148" s="73">
        <f t="shared" si="57"/>
        <v>0</v>
      </c>
      <c r="W1148" s="106"/>
      <c r="X1148" s="64"/>
    </row>
    <row r="1149" spans="1:24" s="66" customFormat="1" ht="12" hidden="1" customHeight="1">
      <c r="A1149" s="81" t="s">
        <v>2908</v>
      </c>
      <c r="B1149" s="81"/>
      <c r="C1149" s="81"/>
      <c r="D1149" s="81"/>
      <c r="E1149" s="81"/>
      <c r="F1149" s="81"/>
      <c r="G1149" s="81"/>
      <c r="H1149" s="81"/>
      <c r="I1149" s="81" t="s">
        <v>2900</v>
      </c>
      <c r="J1149" s="81" t="s">
        <v>761</v>
      </c>
      <c r="K1149" s="81" t="s">
        <v>1479</v>
      </c>
      <c r="L1149" s="81" t="s">
        <v>0</v>
      </c>
      <c r="M1149" s="68"/>
      <c r="N1149" s="82">
        <v>3350</v>
      </c>
      <c r="O1149" s="57">
        <f t="shared" si="58"/>
        <v>0</v>
      </c>
      <c r="P1149" s="58"/>
      <c r="Q1149" s="73"/>
      <c r="R1149" s="57"/>
      <c r="S1149" s="57"/>
      <c r="T1149" s="57"/>
      <c r="U1149" s="57"/>
      <c r="V1149" s="73">
        <f t="shared" si="57"/>
        <v>0</v>
      </c>
      <c r="W1149" s="106"/>
      <c r="X1149" s="64"/>
    </row>
    <row r="1150" spans="1:24" s="66" customFormat="1" ht="12" hidden="1" customHeight="1">
      <c r="A1150" s="81" t="s">
        <v>2901</v>
      </c>
      <c r="B1150" s="81"/>
      <c r="C1150" s="81"/>
      <c r="D1150" s="81"/>
      <c r="E1150" s="81"/>
      <c r="F1150" s="81"/>
      <c r="G1150" s="81"/>
      <c r="H1150" s="81"/>
      <c r="I1150" s="81" t="s">
        <v>2900</v>
      </c>
      <c r="J1150" s="81" t="s">
        <v>761</v>
      </c>
      <c r="K1150" s="81" t="s">
        <v>1478</v>
      </c>
      <c r="L1150" s="81" t="s">
        <v>0</v>
      </c>
      <c r="M1150" s="68"/>
      <c r="N1150" s="82">
        <v>5320</v>
      </c>
      <c r="O1150" s="57">
        <f t="shared" si="58"/>
        <v>0</v>
      </c>
      <c r="P1150" s="58"/>
      <c r="Q1150" s="73"/>
      <c r="R1150" s="57"/>
      <c r="S1150" s="57"/>
      <c r="T1150" s="57"/>
      <c r="U1150" s="57"/>
      <c r="V1150" s="73">
        <f t="shared" si="57"/>
        <v>0</v>
      </c>
      <c r="W1150" s="106"/>
      <c r="X1150" s="64"/>
    </row>
    <row r="1151" spans="1:24" s="66" customFormat="1" ht="12" hidden="1" customHeight="1">
      <c r="A1151" s="81" t="s">
        <v>2902</v>
      </c>
      <c r="B1151" s="81"/>
      <c r="C1151" s="81"/>
      <c r="D1151" s="81"/>
      <c r="E1151" s="81"/>
      <c r="F1151" s="81"/>
      <c r="G1151" s="81"/>
      <c r="H1151" s="81"/>
      <c r="I1151" s="81" t="s">
        <v>2900</v>
      </c>
      <c r="J1151" s="81" t="s">
        <v>761</v>
      </c>
      <c r="K1151" s="81" t="s">
        <v>1477</v>
      </c>
      <c r="L1151" s="81" t="s">
        <v>0</v>
      </c>
      <c r="M1151" s="68"/>
      <c r="N1151" s="82">
        <v>8220</v>
      </c>
      <c r="O1151" s="57">
        <f t="shared" si="58"/>
        <v>0</v>
      </c>
      <c r="P1151" s="58"/>
      <c r="Q1151" s="73"/>
      <c r="R1151" s="57"/>
      <c r="S1151" s="57"/>
      <c r="T1151" s="57"/>
      <c r="U1151" s="57"/>
      <c r="V1151" s="73">
        <f t="shared" si="57"/>
        <v>0</v>
      </c>
      <c r="W1151" s="106"/>
      <c r="X1151" s="64"/>
    </row>
    <row r="1152" spans="1:24" s="66" customFormat="1" ht="12" hidden="1" customHeight="1">
      <c r="A1152" s="81" t="s">
        <v>2905</v>
      </c>
      <c r="B1152" s="81"/>
      <c r="C1152" s="81"/>
      <c r="D1152" s="81"/>
      <c r="E1152" s="81"/>
      <c r="F1152" s="81"/>
      <c r="G1152" s="81"/>
      <c r="H1152" s="81"/>
      <c r="I1152" s="81" t="s">
        <v>2900</v>
      </c>
      <c r="J1152" s="81" t="s">
        <v>761</v>
      </c>
      <c r="K1152" s="81" t="s">
        <v>1476</v>
      </c>
      <c r="L1152" s="81" t="s">
        <v>0</v>
      </c>
      <c r="M1152" s="68"/>
      <c r="N1152" s="82">
        <v>12680</v>
      </c>
      <c r="O1152" s="57">
        <f t="shared" si="58"/>
        <v>0</v>
      </c>
      <c r="P1152" s="58"/>
      <c r="Q1152" s="73"/>
      <c r="R1152" s="57"/>
      <c r="S1152" s="57"/>
      <c r="T1152" s="57"/>
      <c r="U1152" s="57"/>
      <c r="V1152" s="73">
        <f t="shared" si="57"/>
        <v>0</v>
      </c>
      <c r="W1152" s="106"/>
      <c r="X1152" s="64"/>
    </row>
    <row r="1153" spans="1:24" s="66" customFormat="1" ht="12" hidden="1" customHeight="1">
      <c r="A1153" s="81" t="s">
        <v>2906</v>
      </c>
      <c r="B1153" s="81"/>
      <c r="C1153" s="81"/>
      <c r="D1153" s="81"/>
      <c r="E1153" s="81"/>
      <c r="F1153" s="81"/>
      <c r="G1153" s="81"/>
      <c r="H1153" s="81"/>
      <c r="I1153" s="81" t="s">
        <v>2900</v>
      </c>
      <c r="J1153" s="81" t="s">
        <v>761</v>
      </c>
      <c r="K1153" s="81" t="s">
        <v>1475</v>
      </c>
      <c r="L1153" s="81" t="s">
        <v>0</v>
      </c>
      <c r="M1153" s="68"/>
      <c r="N1153" s="82">
        <v>17390</v>
      </c>
      <c r="O1153" s="57">
        <f t="shared" si="58"/>
        <v>0</v>
      </c>
      <c r="P1153" s="58"/>
      <c r="Q1153" s="73"/>
      <c r="R1153" s="57"/>
      <c r="S1153" s="57"/>
      <c r="T1153" s="57"/>
      <c r="U1153" s="57"/>
      <c r="V1153" s="73">
        <f t="shared" si="57"/>
        <v>0</v>
      </c>
      <c r="W1153" s="106"/>
      <c r="X1153" s="64"/>
    </row>
    <row r="1154" spans="1:24" s="66" customFormat="1" ht="12" hidden="1" customHeight="1">
      <c r="A1154" s="81" t="s">
        <v>2912</v>
      </c>
      <c r="B1154" s="81"/>
      <c r="C1154" s="81"/>
      <c r="D1154" s="81"/>
      <c r="E1154" s="81"/>
      <c r="F1154" s="81"/>
      <c r="G1154" s="81"/>
      <c r="H1154" s="81"/>
      <c r="I1154" s="81" t="s">
        <v>2900</v>
      </c>
      <c r="J1154" s="81" t="s">
        <v>761</v>
      </c>
      <c r="K1154" s="81" t="s">
        <v>1474</v>
      </c>
      <c r="L1154" s="81" t="s">
        <v>0</v>
      </c>
      <c r="M1154" s="68"/>
      <c r="N1154" s="82">
        <v>1120</v>
      </c>
      <c r="O1154" s="57">
        <f t="shared" si="58"/>
        <v>0</v>
      </c>
      <c r="P1154" s="58"/>
      <c r="Q1154" s="73"/>
      <c r="R1154" s="57"/>
      <c r="S1154" s="57"/>
      <c r="T1154" s="57"/>
      <c r="U1154" s="57"/>
      <c r="V1154" s="73">
        <f t="shared" si="57"/>
        <v>0</v>
      </c>
      <c r="W1154" s="106"/>
      <c r="X1154" s="64"/>
    </row>
    <row r="1155" spans="1:24" s="66" customFormat="1" ht="12" hidden="1" customHeight="1">
      <c r="A1155" s="81" t="s">
        <v>2909</v>
      </c>
      <c r="B1155" s="81"/>
      <c r="C1155" s="81"/>
      <c r="D1155" s="81"/>
      <c r="E1155" s="81"/>
      <c r="F1155" s="81"/>
      <c r="G1155" s="81"/>
      <c r="H1155" s="81"/>
      <c r="I1155" s="81" t="s">
        <v>2900</v>
      </c>
      <c r="J1155" s="81" t="s">
        <v>761</v>
      </c>
      <c r="K1155" s="81" t="s">
        <v>1473</v>
      </c>
      <c r="L1155" s="81" t="s">
        <v>0</v>
      </c>
      <c r="M1155" s="68"/>
      <c r="N1155" s="82">
        <v>1430</v>
      </c>
      <c r="O1155" s="57">
        <f t="shared" si="58"/>
        <v>0</v>
      </c>
      <c r="P1155" s="58"/>
      <c r="Q1155" s="73"/>
      <c r="R1155" s="57"/>
      <c r="S1155" s="57"/>
      <c r="T1155" s="57"/>
      <c r="U1155" s="57"/>
      <c r="V1155" s="73">
        <f t="shared" si="57"/>
        <v>0</v>
      </c>
      <c r="W1155" s="106"/>
      <c r="X1155" s="64"/>
    </row>
    <row r="1156" spans="1:24" s="66" customFormat="1" ht="12" hidden="1" customHeight="1">
      <c r="A1156" s="81" t="s">
        <v>2913</v>
      </c>
      <c r="B1156" s="81"/>
      <c r="C1156" s="81"/>
      <c r="D1156" s="81"/>
      <c r="E1156" s="81"/>
      <c r="F1156" s="81"/>
      <c r="G1156" s="81"/>
      <c r="H1156" s="81"/>
      <c r="I1156" s="81" t="s">
        <v>2900</v>
      </c>
      <c r="J1156" s="81" t="s">
        <v>761</v>
      </c>
      <c r="K1156" s="81" t="s">
        <v>1472</v>
      </c>
      <c r="L1156" s="81" t="s">
        <v>0</v>
      </c>
      <c r="M1156" s="68"/>
      <c r="N1156" s="82">
        <v>2200</v>
      </c>
      <c r="O1156" s="57">
        <f t="shared" si="58"/>
        <v>0</v>
      </c>
      <c r="P1156" s="58"/>
      <c r="Q1156" s="73"/>
      <c r="R1156" s="57"/>
      <c r="S1156" s="57"/>
      <c r="T1156" s="57"/>
      <c r="U1156" s="57"/>
      <c r="V1156" s="73">
        <f t="shared" si="57"/>
        <v>0</v>
      </c>
      <c r="W1156" s="106"/>
      <c r="X1156" s="64"/>
    </row>
    <row r="1157" spans="1:24" s="66" customFormat="1" ht="12" hidden="1" customHeight="1">
      <c r="A1157" s="81" t="s">
        <v>2916</v>
      </c>
      <c r="B1157" s="81"/>
      <c r="C1157" s="81"/>
      <c r="D1157" s="81"/>
      <c r="E1157" s="81"/>
      <c r="F1157" s="81"/>
      <c r="G1157" s="81"/>
      <c r="H1157" s="81"/>
      <c r="I1157" s="81" t="s">
        <v>2900</v>
      </c>
      <c r="J1157" s="81" t="s">
        <v>761</v>
      </c>
      <c r="K1157" s="81" t="s">
        <v>1471</v>
      </c>
      <c r="L1157" s="81" t="s">
        <v>0</v>
      </c>
      <c r="M1157" s="68"/>
      <c r="N1157" s="82">
        <v>3250</v>
      </c>
      <c r="O1157" s="57">
        <f t="shared" si="58"/>
        <v>0</v>
      </c>
      <c r="P1157" s="58"/>
      <c r="Q1157" s="73"/>
      <c r="R1157" s="57"/>
      <c r="S1157" s="57"/>
      <c r="T1157" s="57"/>
      <c r="U1157" s="57"/>
      <c r="V1157" s="73">
        <f t="shared" si="57"/>
        <v>0</v>
      </c>
      <c r="W1157" s="106"/>
      <c r="X1157" s="64"/>
    </row>
    <row r="1158" spans="1:24" s="66" customFormat="1" ht="12" hidden="1" customHeight="1">
      <c r="A1158" s="81" t="s">
        <v>2917</v>
      </c>
      <c r="B1158" s="81"/>
      <c r="C1158" s="81"/>
      <c r="D1158" s="81"/>
      <c r="E1158" s="81"/>
      <c r="F1158" s="81"/>
      <c r="G1158" s="81"/>
      <c r="H1158" s="81"/>
      <c r="I1158" s="81" t="s">
        <v>2900</v>
      </c>
      <c r="J1158" s="81" t="s">
        <v>761</v>
      </c>
      <c r="K1158" s="81" t="s">
        <v>1470</v>
      </c>
      <c r="L1158" s="81" t="s">
        <v>0</v>
      </c>
      <c r="M1158" s="68"/>
      <c r="N1158" s="82">
        <v>4630</v>
      </c>
      <c r="O1158" s="57">
        <f t="shared" si="58"/>
        <v>0</v>
      </c>
      <c r="P1158" s="58"/>
      <c r="Q1158" s="73"/>
      <c r="R1158" s="57"/>
      <c r="S1158" s="57"/>
      <c r="T1158" s="57"/>
      <c r="U1158" s="57"/>
      <c r="V1158" s="73">
        <f t="shared" si="57"/>
        <v>0</v>
      </c>
      <c r="W1158" s="106"/>
      <c r="X1158" s="64"/>
    </row>
    <row r="1159" spans="1:24" s="66" customFormat="1" ht="12" hidden="1" customHeight="1">
      <c r="A1159" s="81" t="s">
        <v>2910</v>
      </c>
      <c r="B1159" s="81"/>
      <c r="C1159" s="81"/>
      <c r="D1159" s="81"/>
      <c r="E1159" s="81"/>
      <c r="F1159" s="81"/>
      <c r="G1159" s="81"/>
      <c r="H1159" s="81"/>
      <c r="I1159" s="81" t="s">
        <v>2900</v>
      </c>
      <c r="J1159" s="81" t="s">
        <v>761</v>
      </c>
      <c r="K1159" s="81" t="s">
        <v>1469</v>
      </c>
      <c r="L1159" s="81" t="s">
        <v>0</v>
      </c>
      <c r="M1159" s="68"/>
      <c r="N1159" s="82">
        <v>6660</v>
      </c>
      <c r="O1159" s="57">
        <f t="shared" si="58"/>
        <v>0</v>
      </c>
      <c r="P1159" s="58"/>
      <c r="Q1159" s="73"/>
      <c r="R1159" s="57"/>
      <c r="S1159" s="57"/>
      <c r="T1159" s="57"/>
      <c r="U1159" s="57"/>
      <c r="V1159" s="73">
        <f t="shared" si="57"/>
        <v>0</v>
      </c>
      <c r="W1159" s="106"/>
      <c r="X1159" s="64"/>
    </row>
    <row r="1160" spans="1:24" s="66" customFormat="1" ht="12" hidden="1" customHeight="1">
      <c r="A1160" s="81" t="s">
        <v>2911</v>
      </c>
      <c r="B1160" s="81"/>
      <c r="C1160" s="81"/>
      <c r="D1160" s="81"/>
      <c r="E1160" s="81"/>
      <c r="F1160" s="81"/>
      <c r="G1160" s="81"/>
      <c r="H1160" s="81"/>
      <c r="I1160" s="81" t="s">
        <v>2900</v>
      </c>
      <c r="J1160" s="81" t="s">
        <v>761</v>
      </c>
      <c r="K1160" s="81" t="s">
        <v>1468</v>
      </c>
      <c r="L1160" s="81" t="s">
        <v>0</v>
      </c>
      <c r="M1160" s="68"/>
      <c r="N1160" s="82">
        <v>11650</v>
      </c>
      <c r="O1160" s="57">
        <f t="shared" si="58"/>
        <v>0</v>
      </c>
      <c r="P1160" s="58"/>
      <c r="Q1160" s="73"/>
      <c r="R1160" s="57"/>
      <c r="S1160" s="57"/>
      <c r="T1160" s="57"/>
      <c r="U1160" s="57"/>
      <c r="V1160" s="73">
        <f t="shared" si="57"/>
        <v>0</v>
      </c>
      <c r="W1160" s="106"/>
      <c r="X1160" s="64"/>
    </row>
    <row r="1161" spans="1:24" s="66" customFormat="1" ht="12" hidden="1" customHeight="1">
      <c r="A1161" s="81" t="s">
        <v>2914</v>
      </c>
      <c r="B1161" s="81"/>
      <c r="C1161" s="81"/>
      <c r="D1161" s="81"/>
      <c r="E1161" s="81"/>
      <c r="F1161" s="81"/>
      <c r="G1161" s="81"/>
      <c r="H1161" s="81"/>
      <c r="I1161" s="81" t="s">
        <v>2900</v>
      </c>
      <c r="J1161" s="81" t="s">
        <v>761</v>
      </c>
      <c r="K1161" s="81" t="s">
        <v>1467</v>
      </c>
      <c r="L1161" s="81" t="s">
        <v>0</v>
      </c>
      <c r="M1161" s="68"/>
      <c r="N1161" s="82">
        <v>18090</v>
      </c>
      <c r="O1161" s="57">
        <f t="shared" si="58"/>
        <v>0</v>
      </c>
      <c r="P1161" s="58"/>
      <c r="Q1161" s="73"/>
      <c r="R1161" s="57"/>
      <c r="S1161" s="57"/>
      <c r="T1161" s="57"/>
      <c r="U1161" s="57"/>
      <c r="V1161" s="73">
        <f t="shared" si="57"/>
        <v>0</v>
      </c>
      <c r="W1161" s="106"/>
      <c r="X1161" s="64"/>
    </row>
    <row r="1162" spans="1:24" s="66" customFormat="1" ht="12" hidden="1" customHeight="1">
      <c r="A1162" s="81" t="s">
        <v>2915</v>
      </c>
      <c r="B1162" s="81"/>
      <c r="C1162" s="81"/>
      <c r="D1162" s="81"/>
      <c r="E1162" s="81"/>
      <c r="F1162" s="81"/>
      <c r="G1162" s="81"/>
      <c r="H1162" s="81"/>
      <c r="I1162" s="81" t="s">
        <v>2900</v>
      </c>
      <c r="J1162" s="81" t="s">
        <v>761</v>
      </c>
      <c r="K1162" s="81" t="s">
        <v>1466</v>
      </c>
      <c r="L1162" s="81" t="s">
        <v>0</v>
      </c>
      <c r="M1162" s="68"/>
      <c r="N1162" s="82">
        <v>24890</v>
      </c>
      <c r="O1162" s="57">
        <f t="shared" si="58"/>
        <v>0</v>
      </c>
      <c r="P1162" s="58"/>
      <c r="Q1162" s="73"/>
      <c r="R1162" s="57"/>
      <c r="S1162" s="57"/>
      <c r="T1162" s="57"/>
      <c r="U1162" s="57"/>
      <c r="V1162" s="73">
        <f t="shared" si="57"/>
        <v>0</v>
      </c>
      <c r="W1162" s="106"/>
      <c r="X1162" s="64"/>
    </row>
    <row r="1163" spans="1:24" s="66" customFormat="1" ht="12" hidden="1" customHeight="1">
      <c r="A1163" s="81" t="s">
        <v>2921</v>
      </c>
      <c r="B1163" s="81"/>
      <c r="C1163" s="81"/>
      <c r="D1163" s="81"/>
      <c r="E1163" s="81"/>
      <c r="F1163" s="81"/>
      <c r="G1163" s="81"/>
      <c r="H1163" s="81"/>
      <c r="I1163" s="81" t="s">
        <v>2900</v>
      </c>
      <c r="J1163" s="81" t="s">
        <v>761</v>
      </c>
      <c r="K1163" s="81" t="s">
        <v>1465</v>
      </c>
      <c r="L1163" s="81" t="s">
        <v>0</v>
      </c>
      <c r="M1163" s="68"/>
      <c r="N1163" s="82">
        <v>1420</v>
      </c>
      <c r="O1163" s="57">
        <f t="shared" si="58"/>
        <v>0</v>
      </c>
      <c r="P1163" s="58"/>
      <c r="Q1163" s="73"/>
      <c r="R1163" s="57"/>
      <c r="S1163" s="57"/>
      <c r="T1163" s="57"/>
      <c r="U1163" s="57"/>
      <c r="V1163" s="73">
        <f t="shared" ref="V1163:V1226" si="59">SUM(O1163+Q1163)+S1163+U1163</f>
        <v>0</v>
      </c>
      <c r="W1163" s="106"/>
      <c r="X1163" s="64"/>
    </row>
    <row r="1164" spans="1:24" s="66" customFormat="1" ht="12" hidden="1" customHeight="1">
      <c r="A1164" s="81" t="s">
        <v>2918</v>
      </c>
      <c r="B1164" s="81"/>
      <c r="C1164" s="81"/>
      <c r="D1164" s="81"/>
      <c r="E1164" s="81"/>
      <c r="F1164" s="81"/>
      <c r="G1164" s="81"/>
      <c r="H1164" s="81"/>
      <c r="I1164" s="81" t="s">
        <v>2900</v>
      </c>
      <c r="J1164" s="81" t="s">
        <v>761</v>
      </c>
      <c r="K1164" s="81" t="s">
        <v>1464</v>
      </c>
      <c r="L1164" s="81" t="s">
        <v>0</v>
      </c>
      <c r="M1164" s="68"/>
      <c r="N1164" s="82">
        <v>1820</v>
      </c>
      <c r="O1164" s="57">
        <f t="shared" si="58"/>
        <v>0</v>
      </c>
      <c r="P1164" s="58"/>
      <c r="Q1164" s="73"/>
      <c r="R1164" s="57"/>
      <c r="S1164" s="57"/>
      <c r="T1164" s="57"/>
      <c r="U1164" s="57"/>
      <c r="V1164" s="73">
        <f t="shared" si="59"/>
        <v>0</v>
      </c>
      <c r="W1164" s="106"/>
      <c r="X1164" s="64"/>
    </row>
    <row r="1165" spans="1:24" s="66" customFormat="1" ht="12" hidden="1" customHeight="1">
      <c r="A1165" s="81" t="s">
        <v>2922</v>
      </c>
      <c r="B1165" s="81"/>
      <c r="C1165" s="81"/>
      <c r="D1165" s="81"/>
      <c r="E1165" s="81"/>
      <c r="F1165" s="81"/>
      <c r="G1165" s="81"/>
      <c r="H1165" s="81"/>
      <c r="I1165" s="81" t="s">
        <v>2900</v>
      </c>
      <c r="J1165" s="81" t="s">
        <v>761</v>
      </c>
      <c r="K1165" s="81" t="s">
        <v>1463</v>
      </c>
      <c r="L1165" s="81" t="s">
        <v>0</v>
      </c>
      <c r="M1165" s="68"/>
      <c r="N1165" s="82">
        <v>2800</v>
      </c>
      <c r="O1165" s="57">
        <f t="shared" si="58"/>
        <v>0</v>
      </c>
      <c r="P1165" s="58"/>
      <c r="Q1165" s="73"/>
      <c r="R1165" s="57"/>
      <c r="S1165" s="57"/>
      <c r="T1165" s="57"/>
      <c r="U1165" s="57"/>
      <c r="V1165" s="73">
        <f t="shared" si="59"/>
        <v>0</v>
      </c>
      <c r="W1165" s="106"/>
      <c r="X1165" s="64"/>
    </row>
    <row r="1166" spans="1:24" s="66" customFormat="1" ht="12" hidden="1" customHeight="1">
      <c r="A1166" s="81" t="s">
        <v>2925</v>
      </c>
      <c r="B1166" s="81"/>
      <c r="C1166" s="81"/>
      <c r="D1166" s="81"/>
      <c r="E1166" s="81"/>
      <c r="F1166" s="81"/>
      <c r="G1166" s="81"/>
      <c r="H1166" s="81"/>
      <c r="I1166" s="81" t="s">
        <v>2900</v>
      </c>
      <c r="J1166" s="81" t="s">
        <v>761</v>
      </c>
      <c r="K1166" s="81" t="s">
        <v>1462</v>
      </c>
      <c r="L1166" s="81" t="s">
        <v>0</v>
      </c>
      <c r="M1166" s="68"/>
      <c r="N1166" s="82">
        <v>4230</v>
      </c>
      <c r="O1166" s="57">
        <f t="shared" si="58"/>
        <v>0</v>
      </c>
      <c r="P1166" s="58"/>
      <c r="Q1166" s="73"/>
      <c r="R1166" s="57"/>
      <c r="S1166" s="57"/>
      <c r="T1166" s="57"/>
      <c r="U1166" s="57"/>
      <c r="V1166" s="73">
        <f t="shared" si="59"/>
        <v>0</v>
      </c>
      <c r="W1166" s="106"/>
      <c r="X1166" s="64"/>
    </row>
    <row r="1167" spans="1:24" s="66" customFormat="1" ht="12" hidden="1" customHeight="1">
      <c r="A1167" s="81" t="s">
        <v>2926</v>
      </c>
      <c r="B1167" s="81"/>
      <c r="C1167" s="81"/>
      <c r="D1167" s="81"/>
      <c r="E1167" s="81"/>
      <c r="F1167" s="81"/>
      <c r="G1167" s="81"/>
      <c r="H1167" s="81"/>
      <c r="I1167" s="81" t="s">
        <v>2900</v>
      </c>
      <c r="J1167" s="81" t="s">
        <v>761</v>
      </c>
      <c r="K1167" s="81" t="s">
        <v>1461</v>
      </c>
      <c r="L1167" s="81" t="s">
        <v>0</v>
      </c>
      <c r="M1167" s="68"/>
      <c r="N1167" s="82">
        <v>5990</v>
      </c>
      <c r="O1167" s="57">
        <f t="shared" si="58"/>
        <v>0</v>
      </c>
      <c r="P1167" s="58"/>
      <c r="Q1167" s="73"/>
      <c r="R1167" s="57"/>
      <c r="S1167" s="57"/>
      <c r="T1167" s="57"/>
      <c r="U1167" s="57"/>
      <c r="V1167" s="73">
        <f t="shared" si="59"/>
        <v>0</v>
      </c>
      <c r="W1167" s="106"/>
      <c r="X1167" s="64"/>
    </row>
    <row r="1168" spans="1:24" s="66" customFormat="1" ht="12" hidden="1" customHeight="1">
      <c r="A1168" s="81" t="s">
        <v>2919</v>
      </c>
      <c r="B1168" s="81"/>
      <c r="C1168" s="81"/>
      <c r="D1168" s="81"/>
      <c r="E1168" s="81"/>
      <c r="F1168" s="81"/>
      <c r="G1168" s="81"/>
      <c r="H1168" s="81"/>
      <c r="I1168" s="81" t="s">
        <v>2900</v>
      </c>
      <c r="J1168" s="81" t="s">
        <v>761</v>
      </c>
      <c r="K1168" s="81" t="s">
        <v>1460</v>
      </c>
      <c r="L1168" s="81" t="s">
        <v>0</v>
      </c>
      <c r="M1168" s="68"/>
      <c r="N1168" s="82">
        <v>9760</v>
      </c>
      <c r="O1168" s="57">
        <f t="shared" si="58"/>
        <v>0</v>
      </c>
      <c r="P1168" s="58"/>
      <c r="Q1168" s="73"/>
      <c r="R1168" s="57"/>
      <c r="S1168" s="57"/>
      <c r="T1168" s="57"/>
      <c r="U1168" s="57"/>
      <c r="V1168" s="73">
        <f t="shared" si="59"/>
        <v>0</v>
      </c>
      <c r="W1168" s="106"/>
      <c r="X1168" s="64"/>
    </row>
    <row r="1169" spans="1:24" s="66" customFormat="1" ht="12" hidden="1" customHeight="1">
      <c r="A1169" s="81" t="s">
        <v>2920</v>
      </c>
      <c r="B1169" s="81"/>
      <c r="C1169" s="81"/>
      <c r="D1169" s="81"/>
      <c r="E1169" s="81"/>
      <c r="F1169" s="81"/>
      <c r="G1169" s="81"/>
      <c r="H1169" s="81"/>
      <c r="I1169" s="81" t="s">
        <v>2900</v>
      </c>
      <c r="J1169" s="81" t="s">
        <v>761</v>
      </c>
      <c r="K1169" s="81" t="s">
        <v>1459</v>
      </c>
      <c r="L1169" s="81" t="s">
        <v>0</v>
      </c>
      <c r="M1169" s="68"/>
      <c r="N1169" s="82">
        <v>15280</v>
      </c>
      <c r="O1169" s="57">
        <f t="shared" si="58"/>
        <v>0</v>
      </c>
      <c r="P1169" s="58"/>
      <c r="Q1169" s="73"/>
      <c r="R1169" s="57"/>
      <c r="S1169" s="57"/>
      <c r="T1169" s="57"/>
      <c r="U1169" s="57"/>
      <c r="V1169" s="73">
        <f t="shared" si="59"/>
        <v>0</v>
      </c>
      <c r="W1169" s="106"/>
      <c r="X1169" s="64"/>
    </row>
    <row r="1170" spans="1:24" s="66" customFormat="1" ht="12" hidden="1" customHeight="1">
      <c r="A1170" s="81" t="s">
        <v>2923</v>
      </c>
      <c r="B1170" s="81"/>
      <c r="C1170" s="81"/>
      <c r="D1170" s="81"/>
      <c r="E1170" s="81"/>
      <c r="F1170" s="81"/>
      <c r="G1170" s="81"/>
      <c r="H1170" s="81"/>
      <c r="I1170" s="81" t="s">
        <v>2900</v>
      </c>
      <c r="J1170" s="81" t="s">
        <v>761</v>
      </c>
      <c r="K1170" s="81" t="s">
        <v>1458</v>
      </c>
      <c r="L1170" s="81" t="s">
        <v>0</v>
      </c>
      <c r="M1170" s="68"/>
      <c r="N1170" s="82">
        <v>23800</v>
      </c>
      <c r="O1170" s="57">
        <f t="shared" si="58"/>
        <v>0</v>
      </c>
      <c r="P1170" s="58"/>
      <c r="Q1170" s="73"/>
      <c r="R1170" s="57"/>
      <c r="S1170" s="57"/>
      <c r="T1170" s="57"/>
      <c r="U1170" s="57"/>
      <c r="V1170" s="73">
        <f t="shared" si="59"/>
        <v>0</v>
      </c>
      <c r="W1170" s="106"/>
      <c r="X1170" s="64"/>
    </row>
    <row r="1171" spans="1:24" s="66" customFormat="1" ht="12" hidden="1" customHeight="1">
      <c r="A1171" s="81" t="s">
        <v>2924</v>
      </c>
      <c r="B1171" s="81"/>
      <c r="C1171" s="81"/>
      <c r="D1171" s="81"/>
      <c r="E1171" s="81"/>
      <c r="F1171" s="81"/>
      <c r="G1171" s="81"/>
      <c r="H1171" s="81"/>
      <c r="I1171" s="81" t="s">
        <v>2900</v>
      </c>
      <c r="J1171" s="81" t="s">
        <v>761</v>
      </c>
      <c r="K1171" s="81" t="s">
        <v>1457</v>
      </c>
      <c r="L1171" s="81" t="s">
        <v>0</v>
      </c>
      <c r="M1171" s="68"/>
      <c r="N1171" s="82">
        <v>32860</v>
      </c>
      <c r="O1171" s="57">
        <f t="shared" si="58"/>
        <v>0</v>
      </c>
      <c r="P1171" s="58"/>
      <c r="Q1171" s="73"/>
      <c r="R1171" s="57"/>
      <c r="S1171" s="57"/>
      <c r="T1171" s="57"/>
      <c r="U1171" s="57"/>
      <c r="V1171" s="73">
        <f t="shared" si="59"/>
        <v>0</v>
      </c>
      <c r="W1171" s="106"/>
      <c r="X1171" s="64"/>
    </row>
    <row r="1172" spans="1:24" s="66" customFormat="1" ht="12" hidden="1" customHeight="1">
      <c r="A1172" s="81" t="s">
        <v>2929</v>
      </c>
      <c r="B1172" s="81"/>
      <c r="C1172" s="81"/>
      <c r="D1172" s="81"/>
      <c r="E1172" s="81"/>
      <c r="F1172" s="81"/>
      <c r="G1172" s="81"/>
      <c r="H1172" s="81"/>
      <c r="I1172" s="81" t="s">
        <v>2900</v>
      </c>
      <c r="J1172" s="81" t="s">
        <v>761</v>
      </c>
      <c r="K1172" s="81" t="s">
        <v>1456</v>
      </c>
      <c r="L1172" s="81" t="s">
        <v>0</v>
      </c>
      <c r="M1172" s="68"/>
      <c r="N1172" s="82">
        <v>1630</v>
      </c>
      <c r="O1172" s="57">
        <f t="shared" si="58"/>
        <v>0</v>
      </c>
      <c r="P1172" s="58"/>
      <c r="Q1172" s="73"/>
      <c r="R1172" s="57"/>
      <c r="S1172" s="57"/>
      <c r="T1172" s="57"/>
      <c r="U1172" s="57"/>
      <c r="V1172" s="73">
        <f t="shared" si="59"/>
        <v>0</v>
      </c>
      <c r="W1172" s="106"/>
      <c r="X1172" s="64"/>
    </row>
    <row r="1173" spans="1:24" s="66" customFormat="1" ht="12" hidden="1" customHeight="1">
      <c r="A1173" s="81" t="s">
        <v>2927</v>
      </c>
      <c r="B1173" s="81"/>
      <c r="C1173" s="81"/>
      <c r="D1173" s="81"/>
      <c r="E1173" s="81"/>
      <c r="F1173" s="81"/>
      <c r="G1173" s="81"/>
      <c r="H1173" s="81"/>
      <c r="I1173" s="81" t="s">
        <v>2900</v>
      </c>
      <c r="J1173" s="81" t="s">
        <v>761</v>
      </c>
      <c r="K1173" s="81" t="s">
        <v>1455</v>
      </c>
      <c r="L1173" s="81" t="s">
        <v>0</v>
      </c>
      <c r="M1173" s="68"/>
      <c r="N1173" s="82">
        <v>2130</v>
      </c>
      <c r="O1173" s="57">
        <f t="shared" si="58"/>
        <v>0</v>
      </c>
      <c r="P1173" s="58"/>
      <c r="Q1173" s="73"/>
      <c r="R1173" s="57"/>
      <c r="S1173" s="57"/>
      <c r="T1173" s="57"/>
      <c r="U1173" s="57"/>
      <c r="V1173" s="73">
        <f t="shared" si="59"/>
        <v>0</v>
      </c>
      <c r="W1173" s="106"/>
      <c r="X1173" s="64"/>
    </row>
    <row r="1174" spans="1:24" s="66" customFormat="1" ht="12" hidden="1" customHeight="1">
      <c r="A1174" s="81" t="s">
        <v>2930</v>
      </c>
      <c r="B1174" s="81"/>
      <c r="C1174" s="81"/>
      <c r="D1174" s="81"/>
      <c r="E1174" s="81"/>
      <c r="F1174" s="81"/>
      <c r="G1174" s="81"/>
      <c r="H1174" s="81"/>
      <c r="I1174" s="81" t="s">
        <v>2900</v>
      </c>
      <c r="J1174" s="81" t="s">
        <v>761</v>
      </c>
      <c r="K1174" s="81" t="s">
        <v>1454</v>
      </c>
      <c r="L1174" s="81" t="s">
        <v>0</v>
      </c>
      <c r="M1174" s="68"/>
      <c r="N1174" s="82">
        <v>3230</v>
      </c>
      <c r="O1174" s="57">
        <f t="shared" si="58"/>
        <v>0</v>
      </c>
      <c r="P1174" s="58"/>
      <c r="Q1174" s="73"/>
      <c r="R1174" s="57"/>
      <c r="S1174" s="57"/>
      <c r="T1174" s="57"/>
      <c r="U1174" s="57"/>
      <c r="V1174" s="73">
        <f t="shared" si="59"/>
        <v>0</v>
      </c>
      <c r="W1174" s="106"/>
      <c r="X1174" s="64"/>
    </row>
    <row r="1175" spans="1:24" s="66" customFormat="1" ht="12" hidden="1" customHeight="1">
      <c r="A1175" s="81" t="s">
        <v>2931</v>
      </c>
      <c r="B1175" s="81"/>
      <c r="C1175" s="81"/>
      <c r="D1175" s="81"/>
      <c r="E1175" s="81"/>
      <c r="F1175" s="81"/>
      <c r="G1175" s="81"/>
      <c r="H1175" s="81"/>
      <c r="I1175" s="81" t="s">
        <v>2900</v>
      </c>
      <c r="J1175" s="81" t="s">
        <v>761</v>
      </c>
      <c r="K1175" s="81" t="s">
        <v>1453</v>
      </c>
      <c r="L1175" s="81" t="s">
        <v>0</v>
      </c>
      <c r="M1175" s="68"/>
      <c r="N1175" s="82">
        <v>5050</v>
      </c>
      <c r="O1175" s="57">
        <f t="shared" si="58"/>
        <v>0</v>
      </c>
      <c r="P1175" s="58"/>
      <c r="Q1175" s="73"/>
      <c r="R1175" s="57"/>
      <c r="S1175" s="57"/>
      <c r="T1175" s="57"/>
      <c r="U1175" s="57"/>
      <c r="V1175" s="73">
        <f t="shared" si="59"/>
        <v>0</v>
      </c>
      <c r="W1175" s="106"/>
      <c r="X1175" s="64"/>
    </row>
    <row r="1176" spans="1:24" s="66" customFormat="1" ht="12" hidden="1" customHeight="1">
      <c r="A1176" s="81" t="s">
        <v>2932</v>
      </c>
      <c r="B1176" s="81"/>
      <c r="C1176" s="81"/>
      <c r="D1176" s="81"/>
      <c r="E1176" s="81"/>
      <c r="F1176" s="81"/>
      <c r="G1176" s="81"/>
      <c r="H1176" s="81"/>
      <c r="I1176" s="81" t="s">
        <v>2900</v>
      </c>
      <c r="J1176" s="81" t="s">
        <v>761</v>
      </c>
      <c r="K1176" s="81" t="s">
        <v>1452</v>
      </c>
      <c r="L1176" s="81" t="s">
        <v>0</v>
      </c>
      <c r="M1176" s="68"/>
      <c r="N1176" s="82">
        <v>7150</v>
      </c>
      <c r="O1176" s="57">
        <f t="shared" ref="O1176:O1239" si="60">M1176*N1176*$O$3</f>
        <v>0</v>
      </c>
      <c r="P1176" s="58"/>
      <c r="Q1176" s="73"/>
      <c r="R1176" s="57"/>
      <c r="S1176" s="57"/>
      <c r="T1176" s="57"/>
      <c r="U1176" s="57"/>
      <c r="V1176" s="73">
        <f t="shared" si="59"/>
        <v>0</v>
      </c>
      <c r="W1176" s="106"/>
      <c r="X1176" s="64"/>
    </row>
    <row r="1177" spans="1:24" s="66" customFormat="1" ht="12" hidden="1" customHeight="1">
      <c r="A1177" s="81" t="s">
        <v>2928</v>
      </c>
      <c r="B1177" s="81"/>
      <c r="C1177" s="81"/>
      <c r="D1177" s="81"/>
      <c r="E1177" s="81"/>
      <c r="F1177" s="81"/>
      <c r="G1177" s="81"/>
      <c r="H1177" s="81"/>
      <c r="I1177" s="81" t="s">
        <v>2900</v>
      </c>
      <c r="J1177" s="81" t="s">
        <v>761</v>
      </c>
      <c r="K1177" s="81" t="s">
        <v>1451</v>
      </c>
      <c r="L1177" s="81" t="s">
        <v>0</v>
      </c>
      <c r="M1177" s="68"/>
      <c r="N1177" s="82">
        <v>11710</v>
      </c>
      <c r="O1177" s="57">
        <f t="shared" si="60"/>
        <v>0</v>
      </c>
      <c r="P1177" s="58"/>
      <c r="Q1177" s="73"/>
      <c r="R1177" s="57"/>
      <c r="S1177" s="57"/>
      <c r="T1177" s="57"/>
      <c r="U1177" s="57"/>
      <c r="V1177" s="73">
        <f t="shared" si="59"/>
        <v>0</v>
      </c>
      <c r="W1177" s="106"/>
      <c r="X1177" s="64"/>
    </row>
    <row r="1178" spans="1:24" s="66" customFormat="1" ht="12" hidden="1" customHeight="1">
      <c r="A1178" s="81" t="s">
        <v>2934</v>
      </c>
      <c r="B1178" s="81"/>
      <c r="C1178" s="81"/>
      <c r="D1178" s="81"/>
      <c r="E1178" s="81"/>
      <c r="F1178" s="81"/>
      <c r="G1178" s="81"/>
      <c r="H1178" s="81"/>
      <c r="I1178" s="81" t="s">
        <v>2900</v>
      </c>
      <c r="J1178" s="81" t="s">
        <v>761</v>
      </c>
      <c r="K1178" s="81" t="s">
        <v>1450</v>
      </c>
      <c r="L1178" s="81" t="s">
        <v>0</v>
      </c>
      <c r="M1178" s="68"/>
      <c r="N1178" s="82">
        <v>2390</v>
      </c>
      <c r="O1178" s="57">
        <f t="shared" si="60"/>
        <v>0</v>
      </c>
      <c r="P1178" s="58"/>
      <c r="Q1178" s="73"/>
      <c r="R1178" s="57"/>
      <c r="S1178" s="57"/>
      <c r="T1178" s="57"/>
      <c r="U1178" s="57"/>
      <c r="V1178" s="73">
        <f t="shared" si="59"/>
        <v>0</v>
      </c>
      <c r="W1178" s="106"/>
      <c r="X1178" s="64"/>
    </row>
    <row r="1179" spans="1:24" s="66" customFormat="1" ht="12" hidden="1" customHeight="1">
      <c r="A1179" s="81" t="s">
        <v>2933</v>
      </c>
      <c r="B1179" s="81"/>
      <c r="C1179" s="81"/>
      <c r="D1179" s="81"/>
      <c r="E1179" s="81"/>
      <c r="F1179" s="81"/>
      <c r="G1179" s="81"/>
      <c r="H1179" s="81"/>
      <c r="I1179" s="81" t="s">
        <v>2900</v>
      </c>
      <c r="J1179" s="81" t="s">
        <v>761</v>
      </c>
      <c r="K1179" s="81" t="s">
        <v>1449</v>
      </c>
      <c r="L1179" s="81" t="s">
        <v>0</v>
      </c>
      <c r="M1179" s="68"/>
      <c r="N1179" s="82">
        <v>3190</v>
      </c>
      <c r="O1179" s="57">
        <f t="shared" si="60"/>
        <v>0</v>
      </c>
      <c r="P1179" s="58"/>
      <c r="Q1179" s="73"/>
      <c r="R1179" s="57"/>
      <c r="S1179" s="57"/>
      <c r="T1179" s="57"/>
      <c r="U1179" s="57"/>
      <c r="V1179" s="73">
        <f t="shared" si="59"/>
        <v>0</v>
      </c>
      <c r="W1179" s="106"/>
      <c r="X1179" s="64"/>
    </row>
    <row r="1180" spans="1:24" s="66" customFormat="1" ht="12" hidden="1" customHeight="1">
      <c r="A1180" s="81" t="s">
        <v>2935</v>
      </c>
      <c r="B1180" s="81"/>
      <c r="C1180" s="81"/>
      <c r="D1180" s="81"/>
      <c r="E1180" s="81"/>
      <c r="F1180" s="81"/>
      <c r="G1180" s="81"/>
      <c r="H1180" s="81"/>
      <c r="I1180" s="81" t="s">
        <v>2900</v>
      </c>
      <c r="J1180" s="81" t="s">
        <v>761</v>
      </c>
      <c r="K1180" s="81" t="s">
        <v>1448</v>
      </c>
      <c r="L1180" s="81" t="s">
        <v>0</v>
      </c>
      <c r="M1180" s="68"/>
      <c r="N1180" s="82">
        <v>4920</v>
      </c>
      <c r="O1180" s="57">
        <f t="shared" si="60"/>
        <v>0</v>
      </c>
      <c r="P1180" s="58"/>
      <c r="Q1180" s="73"/>
      <c r="R1180" s="57"/>
      <c r="S1180" s="57"/>
      <c r="T1180" s="57"/>
      <c r="U1180" s="57"/>
      <c r="V1180" s="73">
        <f t="shared" si="59"/>
        <v>0</v>
      </c>
      <c r="W1180" s="106"/>
      <c r="X1180" s="64"/>
    </row>
    <row r="1181" spans="1:24" s="66" customFormat="1" ht="12" hidden="1" customHeight="1">
      <c r="A1181" s="81" t="s">
        <v>2936</v>
      </c>
      <c r="B1181" s="81"/>
      <c r="C1181" s="81"/>
      <c r="D1181" s="81"/>
      <c r="E1181" s="81"/>
      <c r="F1181" s="81"/>
      <c r="G1181" s="81"/>
      <c r="H1181" s="81"/>
      <c r="I1181" s="81" t="s">
        <v>2900</v>
      </c>
      <c r="J1181" s="81" t="s">
        <v>761</v>
      </c>
      <c r="K1181" s="81" t="s">
        <v>1447</v>
      </c>
      <c r="L1181" s="81" t="s">
        <v>0</v>
      </c>
      <c r="M1181" s="68"/>
      <c r="N1181" s="82">
        <v>7740</v>
      </c>
      <c r="O1181" s="57">
        <f t="shared" si="60"/>
        <v>0</v>
      </c>
      <c r="P1181" s="58"/>
      <c r="Q1181" s="73"/>
      <c r="R1181" s="57"/>
      <c r="S1181" s="57"/>
      <c r="T1181" s="57"/>
      <c r="U1181" s="57"/>
      <c r="V1181" s="73">
        <f t="shared" si="59"/>
        <v>0</v>
      </c>
      <c r="W1181" s="106"/>
      <c r="X1181" s="64"/>
    </row>
    <row r="1182" spans="1:24" s="66" customFormat="1" ht="12" hidden="1" customHeight="1">
      <c r="A1182" s="81" t="s">
        <v>2937</v>
      </c>
      <c r="B1182" s="81"/>
      <c r="C1182" s="81"/>
      <c r="D1182" s="81"/>
      <c r="E1182" s="81"/>
      <c r="F1182" s="81"/>
      <c r="G1182" s="81"/>
      <c r="H1182" s="81"/>
      <c r="I1182" s="81" t="s">
        <v>2900</v>
      </c>
      <c r="J1182" s="81" t="s">
        <v>761</v>
      </c>
      <c r="K1182" s="81" t="s">
        <v>1446</v>
      </c>
      <c r="L1182" s="81" t="s">
        <v>0</v>
      </c>
      <c r="M1182" s="68"/>
      <c r="N1182" s="82">
        <v>11090</v>
      </c>
      <c r="O1182" s="57">
        <f t="shared" si="60"/>
        <v>0</v>
      </c>
      <c r="P1182" s="58"/>
      <c r="Q1182" s="73"/>
      <c r="R1182" s="57"/>
      <c r="S1182" s="57"/>
      <c r="T1182" s="57"/>
      <c r="U1182" s="57"/>
      <c r="V1182" s="73">
        <f t="shared" si="59"/>
        <v>0</v>
      </c>
      <c r="W1182" s="106"/>
      <c r="X1182" s="64"/>
    </row>
    <row r="1183" spans="1:24" s="66" customFormat="1" ht="12" hidden="1" customHeight="1">
      <c r="A1183" s="81" t="s">
        <v>2884</v>
      </c>
      <c r="B1183" s="81"/>
      <c r="C1183" s="81"/>
      <c r="D1183" s="81"/>
      <c r="E1183" s="81"/>
      <c r="F1183" s="81"/>
      <c r="G1183" s="81"/>
      <c r="H1183" s="81"/>
      <c r="I1183" s="81" t="s">
        <v>2883</v>
      </c>
      <c r="J1183" s="81" t="s">
        <v>761</v>
      </c>
      <c r="K1183" s="81" t="s">
        <v>1445</v>
      </c>
      <c r="L1183" s="81" t="s">
        <v>0</v>
      </c>
      <c r="M1183" s="68"/>
      <c r="N1183" s="82">
        <v>2930</v>
      </c>
      <c r="O1183" s="57">
        <f t="shared" si="60"/>
        <v>0</v>
      </c>
      <c r="P1183" s="58"/>
      <c r="Q1183" s="73"/>
      <c r="R1183" s="57"/>
      <c r="S1183" s="57"/>
      <c r="T1183" s="57"/>
      <c r="U1183" s="57"/>
      <c r="V1183" s="73">
        <f t="shared" si="59"/>
        <v>0</v>
      </c>
      <c r="W1183" s="106"/>
      <c r="X1183" s="64"/>
    </row>
    <row r="1184" spans="1:24" s="66" customFormat="1" ht="12" hidden="1" customHeight="1">
      <c r="A1184" s="81" t="s">
        <v>2882</v>
      </c>
      <c r="B1184" s="81"/>
      <c r="C1184" s="81"/>
      <c r="D1184" s="81"/>
      <c r="E1184" s="81"/>
      <c r="F1184" s="81"/>
      <c r="G1184" s="81"/>
      <c r="H1184" s="81"/>
      <c r="I1184" s="81" t="s">
        <v>2883</v>
      </c>
      <c r="J1184" s="81" t="s">
        <v>761</v>
      </c>
      <c r="K1184" s="81" t="s">
        <v>1444</v>
      </c>
      <c r="L1184" s="81" t="s">
        <v>0</v>
      </c>
      <c r="M1184" s="68"/>
      <c r="N1184" s="82">
        <v>3950</v>
      </c>
      <c r="O1184" s="57">
        <f t="shared" si="60"/>
        <v>0</v>
      </c>
      <c r="P1184" s="58"/>
      <c r="Q1184" s="73"/>
      <c r="R1184" s="57"/>
      <c r="S1184" s="57"/>
      <c r="T1184" s="57"/>
      <c r="U1184" s="57"/>
      <c r="V1184" s="73">
        <f t="shared" si="59"/>
        <v>0</v>
      </c>
      <c r="W1184" s="106"/>
      <c r="X1184" s="64"/>
    </row>
    <row r="1185" spans="1:24" s="66" customFormat="1" ht="12" hidden="1" customHeight="1">
      <c r="A1185" s="81" t="s">
        <v>2885</v>
      </c>
      <c r="B1185" s="81"/>
      <c r="C1185" s="81"/>
      <c r="D1185" s="81"/>
      <c r="E1185" s="81"/>
      <c r="F1185" s="81"/>
      <c r="G1185" s="81"/>
      <c r="H1185" s="81"/>
      <c r="I1185" s="81" t="s">
        <v>2883</v>
      </c>
      <c r="J1185" s="81" t="s">
        <v>761</v>
      </c>
      <c r="K1185" s="81" t="s">
        <v>1443</v>
      </c>
      <c r="L1185" s="81" t="s">
        <v>0</v>
      </c>
      <c r="M1185" s="68"/>
      <c r="N1185" s="82">
        <v>6110</v>
      </c>
      <c r="O1185" s="57">
        <f t="shared" si="60"/>
        <v>0</v>
      </c>
      <c r="P1185" s="58"/>
      <c r="Q1185" s="73"/>
      <c r="R1185" s="57"/>
      <c r="S1185" s="57"/>
      <c r="T1185" s="57"/>
      <c r="U1185" s="57"/>
      <c r="V1185" s="73">
        <f t="shared" si="59"/>
        <v>0</v>
      </c>
      <c r="W1185" s="106"/>
      <c r="X1185" s="64"/>
    </row>
    <row r="1186" spans="1:24" s="66" customFormat="1" ht="12" hidden="1" customHeight="1">
      <c r="A1186" s="81" t="s">
        <v>2886</v>
      </c>
      <c r="B1186" s="81"/>
      <c r="C1186" s="81"/>
      <c r="D1186" s="81"/>
      <c r="E1186" s="81"/>
      <c r="F1186" s="81"/>
      <c r="G1186" s="81"/>
      <c r="H1186" s="81"/>
      <c r="I1186" s="81" t="s">
        <v>2883</v>
      </c>
      <c r="J1186" s="81" t="s">
        <v>761</v>
      </c>
      <c r="K1186" s="81" t="s">
        <v>1442</v>
      </c>
      <c r="L1186" s="81" t="s">
        <v>0</v>
      </c>
      <c r="M1186" s="68"/>
      <c r="N1186" s="82">
        <v>9440</v>
      </c>
      <c r="O1186" s="57">
        <f t="shared" si="60"/>
        <v>0</v>
      </c>
      <c r="P1186" s="58"/>
      <c r="Q1186" s="73"/>
      <c r="R1186" s="57"/>
      <c r="S1186" s="57"/>
      <c r="T1186" s="57"/>
      <c r="U1186" s="57"/>
      <c r="V1186" s="73">
        <f t="shared" si="59"/>
        <v>0</v>
      </c>
      <c r="W1186" s="106"/>
      <c r="X1186" s="64"/>
    </row>
    <row r="1187" spans="1:24" s="66" customFormat="1" ht="12" hidden="1" customHeight="1">
      <c r="A1187" s="81" t="s">
        <v>2887</v>
      </c>
      <c r="B1187" s="81"/>
      <c r="C1187" s="81"/>
      <c r="D1187" s="81"/>
      <c r="E1187" s="81"/>
      <c r="F1187" s="81"/>
      <c r="G1187" s="81"/>
      <c r="H1187" s="81"/>
      <c r="I1187" s="81" t="s">
        <v>2883</v>
      </c>
      <c r="J1187" s="81" t="s">
        <v>761</v>
      </c>
      <c r="K1187" s="81" t="s">
        <v>1441</v>
      </c>
      <c r="L1187" s="81" t="s">
        <v>0</v>
      </c>
      <c r="M1187" s="68"/>
      <c r="N1187" s="82">
        <v>13790</v>
      </c>
      <c r="O1187" s="57">
        <f t="shared" si="60"/>
        <v>0</v>
      </c>
      <c r="P1187" s="58"/>
      <c r="Q1187" s="73"/>
      <c r="R1187" s="57"/>
      <c r="S1187" s="57"/>
      <c r="T1187" s="57"/>
      <c r="U1187" s="57"/>
      <c r="V1187" s="73">
        <f t="shared" si="59"/>
        <v>0</v>
      </c>
      <c r="W1187" s="106"/>
      <c r="X1187" s="64"/>
    </row>
    <row r="1188" spans="1:24" s="66" customFormat="1" ht="12" hidden="1" customHeight="1">
      <c r="A1188" s="81" t="s">
        <v>2889</v>
      </c>
      <c r="B1188" s="81"/>
      <c r="C1188" s="81"/>
      <c r="D1188" s="81"/>
      <c r="E1188" s="81"/>
      <c r="F1188" s="81"/>
      <c r="G1188" s="81"/>
      <c r="H1188" s="81"/>
      <c r="I1188" s="81" t="s">
        <v>2883</v>
      </c>
      <c r="J1188" s="81" t="s">
        <v>761</v>
      </c>
      <c r="K1188" s="81" t="s">
        <v>1440</v>
      </c>
      <c r="L1188" s="81" t="s">
        <v>0</v>
      </c>
      <c r="M1188" s="68"/>
      <c r="N1188" s="82">
        <v>3440</v>
      </c>
      <c r="O1188" s="57">
        <f t="shared" si="60"/>
        <v>0</v>
      </c>
      <c r="P1188" s="58"/>
      <c r="Q1188" s="73"/>
      <c r="R1188" s="57"/>
      <c r="S1188" s="57"/>
      <c r="T1188" s="57"/>
      <c r="U1188" s="57"/>
      <c r="V1188" s="73">
        <f t="shared" si="59"/>
        <v>0</v>
      </c>
      <c r="W1188" s="106"/>
      <c r="X1188" s="64"/>
    </row>
    <row r="1189" spans="1:24" s="66" customFormat="1" ht="12" hidden="1" customHeight="1">
      <c r="A1189" s="81" t="s">
        <v>2888</v>
      </c>
      <c r="B1189" s="81"/>
      <c r="C1189" s="81"/>
      <c r="D1189" s="81"/>
      <c r="E1189" s="81"/>
      <c r="F1189" s="81"/>
      <c r="G1189" s="81"/>
      <c r="H1189" s="81"/>
      <c r="I1189" s="81" t="s">
        <v>2883</v>
      </c>
      <c r="J1189" s="81" t="s">
        <v>761</v>
      </c>
      <c r="K1189" s="81" t="s">
        <v>1439</v>
      </c>
      <c r="L1189" s="81" t="s">
        <v>0</v>
      </c>
      <c r="M1189" s="68"/>
      <c r="N1189" s="82">
        <v>4630</v>
      </c>
      <c r="O1189" s="57">
        <f t="shared" si="60"/>
        <v>0</v>
      </c>
      <c r="P1189" s="58"/>
      <c r="Q1189" s="73"/>
      <c r="R1189" s="57"/>
      <c r="S1189" s="57"/>
      <c r="T1189" s="57"/>
      <c r="U1189" s="57"/>
      <c r="V1189" s="73">
        <f t="shared" si="59"/>
        <v>0</v>
      </c>
      <c r="W1189" s="106"/>
      <c r="X1189" s="64"/>
    </row>
    <row r="1190" spans="1:24" s="66" customFormat="1" ht="12" hidden="1" customHeight="1">
      <c r="A1190" s="81" t="s">
        <v>2890</v>
      </c>
      <c r="B1190" s="81"/>
      <c r="C1190" s="81"/>
      <c r="D1190" s="81"/>
      <c r="E1190" s="81"/>
      <c r="F1190" s="81"/>
      <c r="G1190" s="81"/>
      <c r="H1190" s="81"/>
      <c r="I1190" s="81" t="s">
        <v>2883</v>
      </c>
      <c r="J1190" s="81" t="s">
        <v>761</v>
      </c>
      <c r="K1190" s="81" t="s">
        <v>1438</v>
      </c>
      <c r="L1190" s="81" t="s">
        <v>0</v>
      </c>
      <c r="M1190" s="68"/>
      <c r="N1190" s="82">
        <v>7240</v>
      </c>
      <c r="O1190" s="57">
        <f t="shared" si="60"/>
        <v>0</v>
      </c>
      <c r="P1190" s="58"/>
      <c r="Q1190" s="73"/>
      <c r="R1190" s="57"/>
      <c r="S1190" s="57"/>
      <c r="T1190" s="57"/>
      <c r="U1190" s="57"/>
      <c r="V1190" s="73">
        <f t="shared" si="59"/>
        <v>0</v>
      </c>
      <c r="W1190" s="106"/>
      <c r="X1190" s="64"/>
    </row>
    <row r="1191" spans="1:24" s="66" customFormat="1" ht="12" hidden="1" customHeight="1">
      <c r="A1191" s="81" t="s">
        <v>2891</v>
      </c>
      <c r="B1191" s="81"/>
      <c r="C1191" s="81"/>
      <c r="D1191" s="81"/>
      <c r="E1191" s="81"/>
      <c r="F1191" s="81"/>
      <c r="G1191" s="81"/>
      <c r="H1191" s="81"/>
      <c r="I1191" s="81" t="s">
        <v>2883</v>
      </c>
      <c r="J1191" s="81" t="s">
        <v>761</v>
      </c>
      <c r="K1191" s="81" t="s">
        <v>1437</v>
      </c>
      <c r="L1191" s="81" t="s">
        <v>0</v>
      </c>
      <c r="M1191" s="68"/>
      <c r="N1191" s="82">
        <v>11240</v>
      </c>
      <c r="O1191" s="57">
        <f t="shared" si="60"/>
        <v>0</v>
      </c>
      <c r="P1191" s="58"/>
      <c r="Q1191" s="73"/>
      <c r="R1191" s="57"/>
      <c r="S1191" s="57"/>
      <c r="T1191" s="57"/>
      <c r="U1191" s="57"/>
      <c r="V1191" s="73">
        <f t="shared" si="59"/>
        <v>0</v>
      </c>
      <c r="W1191" s="106"/>
      <c r="X1191" s="64"/>
    </row>
    <row r="1192" spans="1:24" s="66" customFormat="1" ht="12" hidden="1" customHeight="1">
      <c r="A1192" s="81" t="s">
        <v>2893</v>
      </c>
      <c r="B1192" s="81"/>
      <c r="C1192" s="81"/>
      <c r="D1192" s="81"/>
      <c r="E1192" s="81"/>
      <c r="F1192" s="81"/>
      <c r="G1192" s="81"/>
      <c r="H1192" s="81"/>
      <c r="I1192" s="81" t="s">
        <v>2883</v>
      </c>
      <c r="J1192" s="81" t="s">
        <v>761</v>
      </c>
      <c r="K1192" s="81" t="s">
        <v>1436</v>
      </c>
      <c r="L1192" s="81" t="s">
        <v>0</v>
      </c>
      <c r="M1192" s="68"/>
      <c r="N1192" s="82">
        <v>4190</v>
      </c>
      <c r="O1192" s="57">
        <f t="shared" si="60"/>
        <v>0</v>
      </c>
      <c r="P1192" s="58"/>
      <c r="Q1192" s="73"/>
      <c r="R1192" s="57"/>
      <c r="S1192" s="57"/>
      <c r="T1192" s="57"/>
      <c r="U1192" s="57"/>
      <c r="V1192" s="73">
        <f t="shared" si="59"/>
        <v>0</v>
      </c>
      <c r="W1192" s="106"/>
      <c r="X1192" s="64"/>
    </row>
    <row r="1193" spans="1:24" s="66" customFormat="1" ht="12" hidden="1" customHeight="1">
      <c r="A1193" s="81" t="s">
        <v>2892</v>
      </c>
      <c r="B1193" s="81"/>
      <c r="C1193" s="81"/>
      <c r="D1193" s="81"/>
      <c r="E1193" s="81"/>
      <c r="F1193" s="81"/>
      <c r="G1193" s="81"/>
      <c r="H1193" s="81"/>
      <c r="I1193" s="81" t="s">
        <v>2883</v>
      </c>
      <c r="J1193" s="81" t="s">
        <v>761</v>
      </c>
      <c r="K1193" s="81" t="s">
        <v>1435</v>
      </c>
      <c r="L1193" s="81" t="s">
        <v>0</v>
      </c>
      <c r="M1193" s="68"/>
      <c r="N1193" s="82">
        <v>5670</v>
      </c>
      <c r="O1193" s="57">
        <f t="shared" si="60"/>
        <v>0</v>
      </c>
      <c r="P1193" s="58"/>
      <c r="Q1193" s="73"/>
      <c r="R1193" s="57"/>
      <c r="S1193" s="57"/>
      <c r="T1193" s="57"/>
      <c r="U1193" s="57"/>
      <c r="V1193" s="73">
        <f t="shared" si="59"/>
        <v>0</v>
      </c>
      <c r="W1193" s="106"/>
      <c r="X1193" s="64"/>
    </row>
    <row r="1194" spans="1:24" s="66" customFormat="1" ht="12" hidden="1" customHeight="1">
      <c r="A1194" s="81" t="s">
        <v>2894</v>
      </c>
      <c r="B1194" s="81"/>
      <c r="C1194" s="81"/>
      <c r="D1194" s="81"/>
      <c r="E1194" s="81"/>
      <c r="F1194" s="81"/>
      <c r="G1194" s="81"/>
      <c r="H1194" s="81"/>
      <c r="I1194" s="81" t="s">
        <v>2883</v>
      </c>
      <c r="J1194" s="81" t="s">
        <v>761</v>
      </c>
      <c r="K1194" s="81" t="s">
        <v>1434</v>
      </c>
      <c r="L1194" s="81" t="s">
        <v>0</v>
      </c>
      <c r="M1194" s="68"/>
      <c r="N1194" s="82">
        <v>8890</v>
      </c>
      <c r="O1194" s="57">
        <f t="shared" si="60"/>
        <v>0</v>
      </c>
      <c r="P1194" s="58"/>
      <c r="Q1194" s="73"/>
      <c r="R1194" s="57"/>
      <c r="S1194" s="57"/>
      <c r="T1194" s="57"/>
      <c r="U1194" s="57"/>
      <c r="V1194" s="73">
        <f t="shared" si="59"/>
        <v>0</v>
      </c>
      <c r="W1194" s="106"/>
      <c r="X1194" s="64"/>
    </row>
    <row r="1195" spans="1:24" s="66" customFormat="1" ht="12" hidden="1" customHeight="1">
      <c r="A1195" s="81" t="s">
        <v>2895</v>
      </c>
      <c r="B1195" s="81"/>
      <c r="C1195" s="81"/>
      <c r="D1195" s="81"/>
      <c r="E1195" s="81"/>
      <c r="F1195" s="81"/>
      <c r="G1195" s="81"/>
      <c r="H1195" s="81"/>
      <c r="I1195" s="81" t="s">
        <v>2883</v>
      </c>
      <c r="J1195" s="81" t="s">
        <v>761</v>
      </c>
      <c r="K1195" s="81" t="s">
        <v>1433</v>
      </c>
      <c r="L1195" s="81" t="s">
        <v>0</v>
      </c>
      <c r="M1195" s="68"/>
      <c r="N1195" s="82">
        <v>13890</v>
      </c>
      <c r="O1195" s="57">
        <f t="shared" si="60"/>
        <v>0</v>
      </c>
      <c r="P1195" s="58"/>
      <c r="Q1195" s="73"/>
      <c r="R1195" s="57"/>
      <c r="S1195" s="57"/>
      <c r="T1195" s="57"/>
      <c r="U1195" s="57"/>
      <c r="V1195" s="73">
        <f t="shared" si="59"/>
        <v>0</v>
      </c>
      <c r="W1195" s="106"/>
      <c r="X1195" s="64"/>
    </row>
    <row r="1196" spans="1:24" s="66" customFormat="1" ht="12" hidden="1" customHeight="1">
      <c r="A1196" s="81" t="s">
        <v>2897</v>
      </c>
      <c r="B1196" s="81"/>
      <c r="C1196" s="81"/>
      <c r="D1196" s="81"/>
      <c r="E1196" s="81"/>
      <c r="F1196" s="81"/>
      <c r="G1196" s="81"/>
      <c r="H1196" s="81"/>
      <c r="I1196" s="81" t="s">
        <v>2883</v>
      </c>
      <c r="J1196" s="81" t="s">
        <v>761</v>
      </c>
      <c r="K1196" s="81" t="s">
        <v>1432</v>
      </c>
      <c r="L1196" s="81" t="s">
        <v>0</v>
      </c>
      <c r="M1196" s="68"/>
      <c r="N1196" s="82">
        <v>6690</v>
      </c>
      <c r="O1196" s="57">
        <f t="shared" si="60"/>
        <v>0</v>
      </c>
      <c r="P1196" s="58"/>
      <c r="Q1196" s="73"/>
      <c r="R1196" s="57"/>
      <c r="S1196" s="57"/>
      <c r="T1196" s="57"/>
      <c r="U1196" s="57"/>
      <c r="V1196" s="73">
        <f t="shared" si="59"/>
        <v>0</v>
      </c>
      <c r="W1196" s="106"/>
      <c r="X1196" s="64"/>
    </row>
    <row r="1197" spans="1:24" s="66" customFormat="1" ht="12" hidden="1" customHeight="1">
      <c r="A1197" s="81" t="s">
        <v>2896</v>
      </c>
      <c r="B1197" s="81"/>
      <c r="C1197" s="81"/>
      <c r="D1197" s="81"/>
      <c r="E1197" s="81"/>
      <c r="F1197" s="81"/>
      <c r="G1197" s="81"/>
      <c r="H1197" s="81"/>
      <c r="I1197" s="81" t="s">
        <v>2883</v>
      </c>
      <c r="J1197" s="81" t="s">
        <v>761</v>
      </c>
      <c r="K1197" s="81" t="s">
        <v>1431</v>
      </c>
      <c r="L1197" s="81" t="s">
        <v>0</v>
      </c>
      <c r="M1197" s="68"/>
      <c r="N1197" s="82">
        <v>9160</v>
      </c>
      <c r="O1197" s="57">
        <f t="shared" si="60"/>
        <v>0</v>
      </c>
      <c r="P1197" s="58"/>
      <c r="Q1197" s="73"/>
      <c r="R1197" s="57"/>
      <c r="S1197" s="57"/>
      <c r="T1197" s="57"/>
      <c r="U1197" s="57"/>
      <c r="V1197" s="73">
        <f t="shared" si="59"/>
        <v>0</v>
      </c>
      <c r="W1197" s="106"/>
      <c r="X1197" s="64"/>
    </row>
    <row r="1198" spans="1:24" s="66" customFormat="1" ht="12" hidden="1" customHeight="1">
      <c r="A1198" s="81" t="s">
        <v>2898</v>
      </c>
      <c r="B1198" s="81"/>
      <c r="C1198" s="81"/>
      <c r="D1198" s="81"/>
      <c r="E1198" s="81"/>
      <c r="F1198" s="81"/>
      <c r="G1198" s="81"/>
      <c r="H1198" s="81"/>
      <c r="I1198" s="81" t="s">
        <v>2883</v>
      </c>
      <c r="J1198" s="81" t="s">
        <v>761</v>
      </c>
      <c r="K1198" s="81" t="s">
        <v>1430</v>
      </c>
      <c r="L1198" s="81" t="s">
        <v>0</v>
      </c>
      <c r="M1198" s="68"/>
      <c r="N1198" s="82">
        <v>14480</v>
      </c>
      <c r="O1198" s="57">
        <f t="shared" si="60"/>
        <v>0</v>
      </c>
      <c r="P1198" s="58"/>
      <c r="Q1198" s="73"/>
      <c r="R1198" s="57"/>
      <c r="S1198" s="57"/>
      <c r="T1198" s="57"/>
      <c r="U1198" s="57"/>
      <c r="V1198" s="73">
        <f t="shared" si="59"/>
        <v>0</v>
      </c>
      <c r="W1198" s="106"/>
      <c r="X1198" s="64"/>
    </row>
    <row r="1199" spans="1:24" s="66" customFormat="1" ht="12" hidden="1" customHeight="1">
      <c r="A1199" s="81" t="s">
        <v>3243</v>
      </c>
      <c r="B1199" s="81"/>
      <c r="C1199" s="81"/>
      <c r="D1199" s="81"/>
      <c r="E1199" s="81"/>
      <c r="F1199" s="81"/>
      <c r="G1199" s="81"/>
      <c r="H1199" s="81"/>
      <c r="I1199" s="81" t="s">
        <v>2301</v>
      </c>
      <c r="J1199" s="81" t="s">
        <v>3244</v>
      </c>
      <c r="K1199" s="81" t="s">
        <v>2305</v>
      </c>
      <c r="L1199" s="81" t="s">
        <v>20</v>
      </c>
      <c r="M1199" s="68"/>
      <c r="N1199" s="82">
        <v>740</v>
      </c>
      <c r="O1199" s="57">
        <f t="shared" si="60"/>
        <v>0</v>
      </c>
      <c r="P1199" s="58"/>
      <c r="Q1199" s="73"/>
      <c r="R1199" s="57"/>
      <c r="S1199" s="57"/>
      <c r="T1199" s="57"/>
      <c r="U1199" s="57"/>
      <c r="V1199" s="73">
        <f t="shared" si="59"/>
        <v>0</v>
      </c>
      <c r="W1199" s="106"/>
      <c r="X1199" s="64"/>
    </row>
    <row r="1200" spans="1:24" s="66" customFormat="1" ht="12" hidden="1" customHeight="1">
      <c r="A1200" s="81" t="s">
        <v>3245</v>
      </c>
      <c r="B1200" s="81"/>
      <c r="C1200" s="81"/>
      <c r="D1200" s="81"/>
      <c r="E1200" s="81"/>
      <c r="F1200" s="81"/>
      <c r="G1200" s="81"/>
      <c r="H1200" s="81"/>
      <c r="I1200" s="81" t="s">
        <v>2301</v>
      </c>
      <c r="J1200" s="81" t="s">
        <v>3244</v>
      </c>
      <c r="K1200" s="81" t="s">
        <v>2307</v>
      </c>
      <c r="L1200" s="81" t="s">
        <v>20</v>
      </c>
      <c r="M1200" s="68"/>
      <c r="N1200" s="82">
        <v>980</v>
      </c>
      <c r="O1200" s="57">
        <f t="shared" si="60"/>
        <v>0</v>
      </c>
      <c r="P1200" s="58"/>
      <c r="Q1200" s="73"/>
      <c r="R1200" s="57"/>
      <c r="S1200" s="57"/>
      <c r="T1200" s="57"/>
      <c r="U1200" s="57"/>
      <c r="V1200" s="73">
        <f t="shared" si="59"/>
        <v>0</v>
      </c>
      <c r="W1200" s="106"/>
      <c r="X1200" s="64"/>
    </row>
    <row r="1201" spans="1:24" s="66" customFormat="1" ht="12" hidden="1" customHeight="1">
      <c r="A1201" s="81" t="s">
        <v>3246</v>
      </c>
      <c r="B1201" s="81"/>
      <c r="C1201" s="81"/>
      <c r="D1201" s="81"/>
      <c r="E1201" s="81"/>
      <c r="F1201" s="81"/>
      <c r="G1201" s="81"/>
      <c r="H1201" s="81"/>
      <c r="I1201" s="81" t="s">
        <v>2301</v>
      </c>
      <c r="J1201" s="81" t="s">
        <v>3244</v>
      </c>
      <c r="K1201" s="81" t="s">
        <v>2309</v>
      </c>
      <c r="L1201" s="81" t="s">
        <v>20</v>
      </c>
      <c r="M1201" s="68"/>
      <c r="N1201" s="82">
        <v>1670</v>
      </c>
      <c r="O1201" s="57">
        <f t="shared" si="60"/>
        <v>0</v>
      </c>
      <c r="P1201" s="58"/>
      <c r="Q1201" s="73"/>
      <c r="R1201" s="57"/>
      <c r="S1201" s="57"/>
      <c r="T1201" s="57"/>
      <c r="U1201" s="57"/>
      <c r="V1201" s="73">
        <f t="shared" si="59"/>
        <v>0</v>
      </c>
      <c r="W1201" s="106"/>
      <c r="X1201" s="64"/>
    </row>
    <row r="1202" spans="1:24" s="66" customFormat="1" ht="12" hidden="1" customHeight="1">
      <c r="A1202" s="81" t="s">
        <v>3247</v>
      </c>
      <c r="B1202" s="81"/>
      <c r="C1202" s="81"/>
      <c r="D1202" s="81"/>
      <c r="E1202" s="81"/>
      <c r="F1202" s="81"/>
      <c r="G1202" s="81"/>
      <c r="H1202" s="81"/>
      <c r="I1202" s="81" t="s">
        <v>2301</v>
      </c>
      <c r="J1202" s="81" t="s">
        <v>3244</v>
      </c>
      <c r="K1202" s="81" t="s">
        <v>2311</v>
      </c>
      <c r="L1202" s="81" t="s">
        <v>20</v>
      </c>
      <c r="M1202" s="68"/>
      <c r="N1202" s="82">
        <v>2290</v>
      </c>
      <c r="O1202" s="57">
        <f t="shared" si="60"/>
        <v>0</v>
      </c>
      <c r="P1202" s="58"/>
      <c r="Q1202" s="73"/>
      <c r="R1202" s="57"/>
      <c r="S1202" s="57"/>
      <c r="T1202" s="57"/>
      <c r="U1202" s="57"/>
      <c r="V1202" s="73">
        <f t="shared" si="59"/>
        <v>0</v>
      </c>
      <c r="W1202" s="106"/>
      <c r="X1202" s="64"/>
    </row>
    <row r="1203" spans="1:24" s="66" customFormat="1" ht="12" hidden="1" customHeight="1">
      <c r="A1203" s="81" t="s">
        <v>3248</v>
      </c>
      <c r="B1203" s="81"/>
      <c r="C1203" s="81"/>
      <c r="D1203" s="81"/>
      <c r="E1203" s="81"/>
      <c r="F1203" s="81"/>
      <c r="G1203" s="81"/>
      <c r="H1203" s="81"/>
      <c r="I1203" s="81" t="s">
        <v>2301</v>
      </c>
      <c r="J1203" s="81" t="s">
        <v>3244</v>
      </c>
      <c r="K1203" s="81" t="s">
        <v>2313</v>
      </c>
      <c r="L1203" s="81" t="s">
        <v>20</v>
      </c>
      <c r="M1203" s="68"/>
      <c r="N1203" s="82">
        <v>3030</v>
      </c>
      <c r="O1203" s="57">
        <f t="shared" si="60"/>
        <v>0</v>
      </c>
      <c r="P1203" s="58"/>
      <c r="Q1203" s="73"/>
      <c r="R1203" s="57"/>
      <c r="S1203" s="57"/>
      <c r="T1203" s="57"/>
      <c r="U1203" s="57"/>
      <c r="V1203" s="73">
        <f t="shared" si="59"/>
        <v>0</v>
      </c>
      <c r="W1203" s="106"/>
      <c r="X1203" s="64"/>
    </row>
    <row r="1204" spans="1:24" s="66" customFormat="1" ht="12" hidden="1" customHeight="1">
      <c r="A1204" s="81" t="s">
        <v>3249</v>
      </c>
      <c r="B1204" s="81"/>
      <c r="C1204" s="81"/>
      <c r="D1204" s="81"/>
      <c r="E1204" s="81"/>
      <c r="F1204" s="81"/>
      <c r="G1204" s="81"/>
      <c r="H1204" s="81"/>
      <c r="I1204" s="81" t="s">
        <v>2301</v>
      </c>
      <c r="J1204" s="81" t="s">
        <v>3244</v>
      </c>
      <c r="K1204" s="81" t="s">
        <v>2315</v>
      </c>
      <c r="L1204" s="81" t="s">
        <v>20</v>
      </c>
      <c r="M1204" s="68"/>
      <c r="N1204" s="82">
        <v>3790</v>
      </c>
      <c r="O1204" s="57">
        <f t="shared" si="60"/>
        <v>0</v>
      </c>
      <c r="P1204" s="58"/>
      <c r="Q1204" s="73"/>
      <c r="R1204" s="57"/>
      <c r="S1204" s="57"/>
      <c r="T1204" s="57"/>
      <c r="U1204" s="57"/>
      <c r="V1204" s="73">
        <f t="shared" si="59"/>
        <v>0</v>
      </c>
      <c r="W1204" s="106"/>
      <c r="X1204" s="64"/>
    </row>
    <row r="1205" spans="1:24" s="66" customFormat="1" ht="12" hidden="1" customHeight="1">
      <c r="A1205" s="81" t="s">
        <v>3250</v>
      </c>
      <c r="B1205" s="81"/>
      <c r="C1205" s="81"/>
      <c r="D1205" s="81"/>
      <c r="E1205" s="81"/>
      <c r="F1205" s="81"/>
      <c r="G1205" s="81"/>
      <c r="H1205" s="81"/>
      <c r="I1205" s="81" t="s">
        <v>2301</v>
      </c>
      <c r="J1205" s="81" t="s">
        <v>3244</v>
      </c>
      <c r="K1205" s="81" t="s">
        <v>2317</v>
      </c>
      <c r="L1205" s="81" t="s">
        <v>20</v>
      </c>
      <c r="M1205" s="68"/>
      <c r="N1205" s="82">
        <v>8470</v>
      </c>
      <c r="O1205" s="57">
        <f t="shared" si="60"/>
        <v>0</v>
      </c>
      <c r="P1205" s="58"/>
      <c r="Q1205" s="73"/>
      <c r="R1205" s="57"/>
      <c r="S1205" s="57"/>
      <c r="T1205" s="57"/>
      <c r="U1205" s="57"/>
      <c r="V1205" s="73">
        <f t="shared" si="59"/>
        <v>0</v>
      </c>
      <c r="W1205" s="106"/>
      <c r="X1205" s="64"/>
    </row>
    <row r="1206" spans="1:24" s="66" customFormat="1" ht="12" hidden="1" customHeight="1">
      <c r="A1206" s="81" t="s">
        <v>3251</v>
      </c>
      <c r="B1206" s="81"/>
      <c r="C1206" s="81"/>
      <c r="D1206" s="81"/>
      <c r="E1206" s="81"/>
      <c r="F1206" s="81"/>
      <c r="G1206" s="81"/>
      <c r="H1206" s="81"/>
      <c r="I1206" s="81" t="s">
        <v>2301</v>
      </c>
      <c r="J1206" s="81" t="s">
        <v>3244</v>
      </c>
      <c r="K1206" s="81" t="s">
        <v>2319</v>
      </c>
      <c r="L1206" s="81" t="s">
        <v>20</v>
      </c>
      <c r="M1206" s="68"/>
      <c r="N1206" s="82">
        <v>13070</v>
      </c>
      <c r="O1206" s="57">
        <f t="shared" si="60"/>
        <v>0</v>
      </c>
      <c r="P1206" s="58"/>
      <c r="Q1206" s="73"/>
      <c r="R1206" s="57"/>
      <c r="S1206" s="57"/>
      <c r="T1206" s="57"/>
      <c r="U1206" s="57"/>
      <c r="V1206" s="73">
        <f t="shared" si="59"/>
        <v>0</v>
      </c>
      <c r="W1206" s="106"/>
      <c r="X1206" s="64"/>
    </row>
    <row r="1207" spans="1:24" s="66" customFormat="1" ht="12" hidden="1" customHeight="1">
      <c r="A1207" s="81" t="s">
        <v>3252</v>
      </c>
      <c r="B1207" s="81"/>
      <c r="C1207" s="81"/>
      <c r="D1207" s="81"/>
      <c r="E1207" s="81"/>
      <c r="F1207" s="81"/>
      <c r="G1207" s="81"/>
      <c r="H1207" s="81"/>
      <c r="I1207" s="81" t="s">
        <v>2301</v>
      </c>
      <c r="J1207" s="81" t="s">
        <v>3244</v>
      </c>
      <c r="K1207" s="81" t="s">
        <v>2303</v>
      </c>
      <c r="L1207" s="81" t="s">
        <v>20</v>
      </c>
      <c r="M1207" s="68"/>
      <c r="N1207" s="82">
        <v>20080</v>
      </c>
      <c r="O1207" s="57">
        <f t="shared" si="60"/>
        <v>0</v>
      </c>
      <c r="P1207" s="58"/>
      <c r="Q1207" s="73"/>
      <c r="R1207" s="57"/>
      <c r="S1207" s="57"/>
      <c r="T1207" s="57"/>
      <c r="U1207" s="57"/>
      <c r="V1207" s="73">
        <f t="shared" si="59"/>
        <v>0</v>
      </c>
      <c r="W1207" s="106"/>
      <c r="X1207" s="64"/>
    </row>
    <row r="1208" spans="1:24" s="66" customFormat="1" ht="12" hidden="1" customHeight="1">
      <c r="A1208" s="81" t="s">
        <v>3253</v>
      </c>
      <c r="B1208" s="81"/>
      <c r="C1208" s="81"/>
      <c r="D1208" s="81"/>
      <c r="E1208" s="81"/>
      <c r="F1208" s="81"/>
      <c r="G1208" s="81"/>
      <c r="H1208" s="81"/>
      <c r="I1208" s="81" t="s">
        <v>3254</v>
      </c>
      <c r="J1208" s="81" t="s">
        <v>1352</v>
      </c>
      <c r="K1208" s="81" t="s">
        <v>3255</v>
      </c>
      <c r="L1208" s="81" t="s">
        <v>20</v>
      </c>
      <c r="M1208" s="68"/>
      <c r="N1208" s="82">
        <v>4280</v>
      </c>
      <c r="O1208" s="57">
        <f t="shared" si="60"/>
        <v>0</v>
      </c>
      <c r="P1208" s="58"/>
      <c r="Q1208" s="73"/>
      <c r="R1208" s="57"/>
      <c r="S1208" s="57"/>
      <c r="T1208" s="57"/>
      <c r="U1208" s="57"/>
      <c r="V1208" s="73">
        <f t="shared" si="59"/>
        <v>0</v>
      </c>
      <c r="W1208" s="106"/>
      <c r="X1208" s="64"/>
    </row>
    <row r="1209" spans="1:24" s="66" customFormat="1" ht="12" hidden="1" customHeight="1">
      <c r="A1209" s="81" t="s">
        <v>3256</v>
      </c>
      <c r="B1209" s="81"/>
      <c r="C1209" s="81"/>
      <c r="D1209" s="81"/>
      <c r="E1209" s="81"/>
      <c r="F1209" s="81"/>
      <c r="G1209" s="81"/>
      <c r="H1209" s="81"/>
      <c r="I1209" s="81" t="s">
        <v>3254</v>
      </c>
      <c r="J1209" s="81" t="s">
        <v>1352</v>
      </c>
      <c r="K1209" s="81" t="s">
        <v>3257</v>
      </c>
      <c r="L1209" s="81" t="s">
        <v>20</v>
      </c>
      <c r="M1209" s="68"/>
      <c r="N1209" s="82">
        <v>4960</v>
      </c>
      <c r="O1209" s="57">
        <f t="shared" si="60"/>
        <v>0</v>
      </c>
      <c r="P1209" s="58"/>
      <c r="Q1209" s="73"/>
      <c r="R1209" s="57"/>
      <c r="S1209" s="57"/>
      <c r="T1209" s="57"/>
      <c r="U1209" s="57"/>
      <c r="V1209" s="73">
        <f t="shared" si="59"/>
        <v>0</v>
      </c>
      <c r="W1209" s="106"/>
      <c r="X1209" s="64"/>
    </row>
    <row r="1210" spans="1:24" s="66" customFormat="1" ht="12" hidden="1" customHeight="1">
      <c r="A1210" s="81" t="s">
        <v>3258</v>
      </c>
      <c r="B1210" s="81"/>
      <c r="C1210" s="81"/>
      <c r="D1210" s="81"/>
      <c r="E1210" s="81"/>
      <c r="F1210" s="81"/>
      <c r="G1210" s="81"/>
      <c r="H1210" s="81"/>
      <c r="I1210" s="81" t="s">
        <v>3254</v>
      </c>
      <c r="J1210" s="81" t="s">
        <v>1351</v>
      </c>
      <c r="K1210" s="81" t="s">
        <v>3255</v>
      </c>
      <c r="L1210" s="81" t="s">
        <v>20</v>
      </c>
      <c r="M1210" s="68"/>
      <c r="N1210" s="82">
        <v>4960</v>
      </c>
      <c r="O1210" s="57">
        <f t="shared" si="60"/>
        <v>0</v>
      </c>
      <c r="P1210" s="58"/>
      <c r="Q1210" s="73"/>
      <c r="R1210" s="57"/>
      <c r="S1210" s="57"/>
      <c r="T1210" s="57"/>
      <c r="U1210" s="57"/>
      <c r="V1210" s="73">
        <f t="shared" si="59"/>
        <v>0</v>
      </c>
      <c r="W1210" s="106"/>
      <c r="X1210" s="64"/>
    </row>
    <row r="1211" spans="1:24" s="66" customFormat="1" ht="12" hidden="1" customHeight="1">
      <c r="A1211" s="81" t="s">
        <v>3259</v>
      </c>
      <c r="B1211" s="81"/>
      <c r="C1211" s="81"/>
      <c r="D1211" s="81"/>
      <c r="E1211" s="81"/>
      <c r="F1211" s="81"/>
      <c r="G1211" s="81"/>
      <c r="H1211" s="81"/>
      <c r="I1211" s="81" t="s">
        <v>3254</v>
      </c>
      <c r="J1211" s="81" t="s">
        <v>1351</v>
      </c>
      <c r="K1211" s="81" t="s">
        <v>3257</v>
      </c>
      <c r="L1211" s="81" t="s">
        <v>20</v>
      </c>
      <c r="M1211" s="68"/>
      <c r="N1211" s="82">
        <v>5650</v>
      </c>
      <c r="O1211" s="57">
        <f t="shared" si="60"/>
        <v>0</v>
      </c>
      <c r="P1211" s="58"/>
      <c r="Q1211" s="73"/>
      <c r="R1211" s="57"/>
      <c r="S1211" s="57"/>
      <c r="T1211" s="57"/>
      <c r="U1211" s="57"/>
      <c r="V1211" s="73">
        <f t="shared" si="59"/>
        <v>0</v>
      </c>
      <c r="W1211" s="106"/>
      <c r="X1211" s="64"/>
    </row>
    <row r="1212" spans="1:24" s="66" customFormat="1" ht="12" hidden="1" customHeight="1">
      <c r="A1212" s="81" t="s">
        <v>3260</v>
      </c>
      <c r="B1212" s="81"/>
      <c r="C1212" s="81"/>
      <c r="D1212" s="81"/>
      <c r="E1212" s="81"/>
      <c r="F1212" s="81"/>
      <c r="G1212" s="81"/>
      <c r="H1212" s="81"/>
      <c r="I1212" s="81" t="s">
        <v>3254</v>
      </c>
      <c r="J1212" s="81" t="s">
        <v>1352</v>
      </c>
      <c r="K1212" s="81" t="s">
        <v>3261</v>
      </c>
      <c r="L1212" s="81" t="s">
        <v>20</v>
      </c>
      <c r="M1212" s="68"/>
      <c r="N1212" s="82">
        <v>4960</v>
      </c>
      <c r="O1212" s="57">
        <f t="shared" si="60"/>
        <v>0</v>
      </c>
      <c r="P1212" s="58"/>
      <c r="Q1212" s="73"/>
      <c r="R1212" s="57"/>
      <c r="S1212" s="57"/>
      <c r="T1212" s="57"/>
      <c r="U1212" s="57"/>
      <c r="V1212" s="73">
        <f t="shared" si="59"/>
        <v>0</v>
      </c>
      <c r="W1212" s="106"/>
      <c r="X1212" s="64"/>
    </row>
    <row r="1213" spans="1:24" s="66" customFormat="1" ht="12" hidden="1" customHeight="1">
      <c r="A1213" s="81" t="s">
        <v>3262</v>
      </c>
      <c r="B1213" s="81"/>
      <c r="C1213" s="81"/>
      <c r="D1213" s="81"/>
      <c r="E1213" s="81"/>
      <c r="F1213" s="81"/>
      <c r="G1213" s="81"/>
      <c r="H1213" s="81"/>
      <c r="I1213" s="81" t="s">
        <v>3254</v>
      </c>
      <c r="J1213" s="81" t="s">
        <v>1352</v>
      </c>
      <c r="K1213" s="81" t="s">
        <v>3263</v>
      </c>
      <c r="L1213" s="81" t="s">
        <v>20</v>
      </c>
      <c r="M1213" s="68"/>
      <c r="N1213" s="82">
        <v>5650</v>
      </c>
      <c r="O1213" s="57">
        <f t="shared" si="60"/>
        <v>0</v>
      </c>
      <c r="P1213" s="58"/>
      <c r="Q1213" s="73"/>
      <c r="R1213" s="57"/>
      <c r="S1213" s="57"/>
      <c r="T1213" s="57"/>
      <c r="U1213" s="57"/>
      <c r="V1213" s="73">
        <f t="shared" si="59"/>
        <v>0</v>
      </c>
      <c r="W1213" s="106"/>
      <c r="X1213" s="64"/>
    </row>
    <row r="1214" spans="1:24" s="66" customFormat="1" ht="12" hidden="1" customHeight="1">
      <c r="A1214" s="81" t="s">
        <v>3264</v>
      </c>
      <c r="B1214" s="81"/>
      <c r="C1214" s="81"/>
      <c r="D1214" s="81"/>
      <c r="E1214" s="81"/>
      <c r="F1214" s="81"/>
      <c r="G1214" s="81"/>
      <c r="H1214" s="81"/>
      <c r="I1214" s="81" t="s">
        <v>3254</v>
      </c>
      <c r="J1214" s="81" t="s">
        <v>1351</v>
      </c>
      <c r="K1214" s="81" t="s">
        <v>3261</v>
      </c>
      <c r="L1214" s="81" t="s">
        <v>20</v>
      </c>
      <c r="M1214" s="68"/>
      <c r="N1214" s="82">
        <v>5650</v>
      </c>
      <c r="O1214" s="57">
        <f t="shared" si="60"/>
        <v>0</v>
      </c>
      <c r="P1214" s="58"/>
      <c r="Q1214" s="73"/>
      <c r="R1214" s="57"/>
      <c r="S1214" s="57"/>
      <c r="T1214" s="57"/>
      <c r="U1214" s="57"/>
      <c r="V1214" s="73">
        <f t="shared" si="59"/>
        <v>0</v>
      </c>
      <c r="W1214" s="106"/>
      <c r="X1214" s="64"/>
    </row>
    <row r="1215" spans="1:24" s="66" customFormat="1" ht="12" hidden="1" customHeight="1">
      <c r="A1215" s="81" t="s">
        <v>3265</v>
      </c>
      <c r="B1215" s="81"/>
      <c r="C1215" s="81"/>
      <c r="D1215" s="81"/>
      <c r="E1215" s="81"/>
      <c r="F1215" s="81"/>
      <c r="G1215" s="81"/>
      <c r="H1215" s="81"/>
      <c r="I1215" s="81" t="s">
        <v>3254</v>
      </c>
      <c r="J1215" s="81" t="s">
        <v>1351</v>
      </c>
      <c r="K1215" s="81" t="s">
        <v>3263</v>
      </c>
      <c r="L1215" s="81" t="s">
        <v>20</v>
      </c>
      <c r="M1215" s="68"/>
      <c r="N1215" s="82">
        <v>6420</v>
      </c>
      <c r="O1215" s="57">
        <f t="shared" si="60"/>
        <v>0</v>
      </c>
      <c r="P1215" s="58"/>
      <c r="Q1215" s="73"/>
      <c r="R1215" s="57"/>
      <c r="S1215" s="57"/>
      <c r="T1215" s="57"/>
      <c r="U1215" s="57"/>
      <c r="V1215" s="73">
        <f t="shared" si="59"/>
        <v>0</v>
      </c>
      <c r="W1215" s="106"/>
      <c r="X1215" s="64"/>
    </row>
    <row r="1216" spans="1:24" s="66" customFormat="1" ht="12" hidden="1" customHeight="1">
      <c r="A1216" s="81" t="s">
        <v>3222</v>
      </c>
      <c r="B1216" s="81"/>
      <c r="C1216" s="81"/>
      <c r="D1216" s="81"/>
      <c r="E1216" s="81"/>
      <c r="F1216" s="81"/>
      <c r="G1216" s="81"/>
      <c r="H1216" s="81"/>
      <c r="I1216" s="81" t="s">
        <v>2289</v>
      </c>
      <c r="J1216" s="81" t="s">
        <v>761</v>
      </c>
      <c r="K1216" s="81" t="s">
        <v>3233</v>
      </c>
      <c r="L1216" s="81" t="s">
        <v>0</v>
      </c>
      <c r="M1216" s="68"/>
      <c r="N1216" s="68">
        <v>3148</v>
      </c>
      <c r="O1216" s="57">
        <f t="shared" si="60"/>
        <v>0</v>
      </c>
      <c r="P1216" s="58"/>
      <c r="Q1216" s="73"/>
      <c r="R1216" s="57"/>
      <c r="S1216" s="57"/>
      <c r="T1216" s="57"/>
      <c r="U1216" s="57"/>
      <c r="V1216" s="73">
        <f t="shared" si="59"/>
        <v>0</v>
      </c>
      <c r="W1216" s="106"/>
      <c r="X1216" s="64"/>
    </row>
    <row r="1217" spans="1:24" s="66" customFormat="1" ht="12" hidden="1" customHeight="1">
      <c r="A1217" s="81" t="s">
        <v>3223</v>
      </c>
      <c r="B1217" s="81"/>
      <c r="C1217" s="81"/>
      <c r="D1217" s="81"/>
      <c r="E1217" s="81"/>
      <c r="F1217" s="81"/>
      <c r="G1217" s="81"/>
      <c r="H1217" s="81"/>
      <c r="I1217" s="81" t="s">
        <v>2289</v>
      </c>
      <c r="J1217" s="81" t="s">
        <v>761</v>
      </c>
      <c r="K1217" s="81" t="s">
        <v>3234</v>
      </c>
      <c r="L1217" s="81" t="s">
        <v>0</v>
      </c>
      <c r="M1217" s="68"/>
      <c r="N1217" s="68">
        <v>10215</v>
      </c>
      <c r="O1217" s="57">
        <f t="shared" si="60"/>
        <v>0</v>
      </c>
      <c r="P1217" s="58"/>
      <c r="Q1217" s="73"/>
      <c r="R1217" s="57"/>
      <c r="S1217" s="57"/>
      <c r="T1217" s="57"/>
      <c r="U1217" s="57"/>
      <c r="V1217" s="73">
        <f t="shared" si="59"/>
        <v>0</v>
      </c>
      <c r="W1217" s="106"/>
      <c r="X1217" s="64"/>
    </row>
    <row r="1218" spans="1:24" s="66" customFormat="1" ht="12" hidden="1" customHeight="1">
      <c r="A1218" s="81" t="s">
        <v>3224</v>
      </c>
      <c r="B1218" s="81"/>
      <c r="C1218" s="81"/>
      <c r="D1218" s="81"/>
      <c r="E1218" s="81"/>
      <c r="F1218" s="81"/>
      <c r="G1218" s="81"/>
      <c r="H1218" s="81"/>
      <c r="I1218" s="81" t="s">
        <v>2289</v>
      </c>
      <c r="J1218" s="81" t="s">
        <v>761</v>
      </c>
      <c r="K1218" s="81" t="s">
        <v>3235</v>
      </c>
      <c r="L1218" s="81" t="s">
        <v>0</v>
      </c>
      <c r="M1218" s="68"/>
      <c r="N1218" s="68">
        <v>7436</v>
      </c>
      <c r="O1218" s="57">
        <f t="shared" si="60"/>
        <v>0</v>
      </c>
      <c r="P1218" s="58"/>
      <c r="Q1218" s="73"/>
      <c r="R1218" s="57"/>
      <c r="S1218" s="57"/>
      <c r="T1218" s="57"/>
      <c r="U1218" s="57"/>
      <c r="V1218" s="73">
        <f t="shared" si="59"/>
        <v>0</v>
      </c>
      <c r="W1218" s="106"/>
      <c r="X1218" s="64"/>
    </row>
    <row r="1219" spans="1:24" s="66" customFormat="1" ht="12" hidden="1" customHeight="1">
      <c r="A1219" s="81" t="s">
        <v>3225</v>
      </c>
      <c r="B1219" s="81"/>
      <c r="C1219" s="81"/>
      <c r="D1219" s="81"/>
      <c r="E1219" s="81"/>
      <c r="F1219" s="81"/>
      <c r="G1219" s="81"/>
      <c r="H1219" s="81"/>
      <c r="I1219" s="81" t="s">
        <v>2289</v>
      </c>
      <c r="J1219" s="81" t="s">
        <v>761</v>
      </c>
      <c r="K1219" s="81" t="s">
        <v>763</v>
      </c>
      <c r="L1219" s="81" t="s">
        <v>0</v>
      </c>
      <c r="M1219" s="68"/>
      <c r="N1219" s="68">
        <v>16218</v>
      </c>
      <c r="O1219" s="57">
        <f t="shared" si="60"/>
        <v>0</v>
      </c>
      <c r="P1219" s="58"/>
      <c r="Q1219" s="73"/>
      <c r="R1219" s="57"/>
      <c r="S1219" s="57"/>
      <c r="T1219" s="57"/>
      <c r="U1219" s="57"/>
      <c r="V1219" s="73">
        <f t="shared" si="59"/>
        <v>0</v>
      </c>
      <c r="W1219" s="106"/>
      <c r="X1219" s="64"/>
    </row>
    <row r="1220" spans="1:24" s="66" customFormat="1" ht="12" hidden="1" customHeight="1">
      <c r="A1220" s="81" t="s">
        <v>3226</v>
      </c>
      <c r="B1220" s="81"/>
      <c r="C1220" s="81"/>
      <c r="D1220" s="81"/>
      <c r="E1220" s="81"/>
      <c r="F1220" s="81"/>
      <c r="G1220" s="81"/>
      <c r="H1220" s="81"/>
      <c r="I1220" s="81" t="s">
        <v>2289</v>
      </c>
      <c r="J1220" s="81" t="s">
        <v>761</v>
      </c>
      <c r="K1220" s="81" t="s">
        <v>3236</v>
      </c>
      <c r="L1220" s="81" t="s">
        <v>0</v>
      </c>
      <c r="M1220" s="68"/>
      <c r="N1220" s="68">
        <v>1346</v>
      </c>
      <c r="O1220" s="57">
        <f t="shared" si="60"/>
        <v>0</v>
      </c>
      <c r="P1220" s="58"/>
      <c r="Q1220" s="73"/>
      <c r="R1220" s="57"/>
      <c r="S1220" s="57"/>
      <c r="T1220" s="57"/>
      <c r="U1220" s="57"/>
      <c r="V1220" s="73">
        <f t="shared" si="59"/>
        <v>0</v>
      </c>
      <c r="W1220" s="106"/>
      <c r="X1220" s="64"/>
    </row>
    <row r="1221" spans="1:24" s="66" customFormat="1" ht="12" hidden="1" customHeight="1">
      <c r="A1221" s="81" t="s">
        <v>3227</v>
      </c>
      <c r="B1221" s="81"/>
      <c r="C1221" s="81"/>
      <c r="D1221" s="81"/>
      <c r="E1221" s="81"/>
      <c r="F1221" s="81"/>
      <c r="G1221" s="81"/>
      <c r="H1221" s="81"/>
      <c r="I1221" s="81" t="s">
        <v>2289</v>
      </c>
      <c r="J1221" s="81" t="s">
        <v>761</v>
      </c>
      <c r="K1221" s="81" t="s">
        <v>3237</v>
      </c>
      <c r="L1221" s="81" t="s">
        <v>0</v>
      </c>
      <c r="M1221" s="68"/>
      <c r="N1221" s="68">
        <v>6268</v>
      </c>
      <c r="O1221" s="57">
        <f t="shared" si="60"/>
        <v>0</v>
      </c>
      <c r="P1221" s="58"/>
      <c r="Q1221" s="73"/>
      <c r="R1221" s="57"/>
      <c r="S1221" s="57"/>
      <c r="T1221" s="57"/>
      <c r="U1221" s="57"/>
      <c r="V1221" s="73">
        <f t="shared" si="59"/>
        <v>0</v>
      </c>
      <c r="W1221" s="106"/>
      <c r="X1221" s="64"/>
    </row>
    <row r="1222" spans="1:24" s="66" customFormat="1" ht="12" hidden="1" customHeight="1">
      <c r="A1222" s="81" t="s">
        <v>3228</v>
      </c>
      <c r="B1222" s="81"/>
      <c r="C1222" s="81"/>
      <c r="D1222" s="81"/>
      <c r="E1222" s="81"/>
      <c r="F1222" s="81"/>
      <c r="G1222" s="81"/>
      <c r="H1222" s="81"/>
      <c r="I1222" s="81" t="s">
        <v>2289</v>
      </c>
      <c r="J1222" s="81" t="s">
        <v>761</v>
      </c>
      <c r="K1222" s="81" t="s">
        <v>3238</v>
      </c>
      <c r="L1222" s="81" t="s">
        <v>0</v>
      </c>
      <c r="M1222" s="68"/>
      <c r="N1222" s="68">
        <v>10967</v>
      </c>
      <c r="O1222" s="57">
        <f t="shared" si="60"/>
        <v>0</v>
      </c>
      <c r="P1222" s="58"/>
      <c r="Q1222" s="73"/>
      <c r="R1222" s="57"/>
      <c r="S1222" s="57"/>
      <c r="T1222" s="57"/>
      <c r="U1222" s="57"/>
      <c r="V1222" s="73">
        <f t="shared" si="59"/>
        <v>0</v>
      </c>
      <c r="W1222" s="106"/>
      <c r="X1222" s="64"/>
    </row>
    <row r="1223" spans="1:24" s="66" customFormat="1" ht="12" hidden="1" customHeight="1">
      <c r="A1223" s="81" t="s">
        <v>3229</v>
      </c>
      <c r="B1223" s="81"/>
      <c r="C1223" s="81"/>
      <c r="D1223" s="81"/>
      <c r="E1223" s="81"/>
      <c r="F1223" s="81"/>
      <c r="G1223" s="81"/>
      <c r="H1223" s="81"/>
      <c r="I1223" s="81" t="s">
        <v>2289</v>
      </c>
      <c r="J1223" s="81" t="s">
        <v>761</v>
      </c>
      <c r="K1223" s="81" t="s">
        <v>3239</v>
      </c>
      <c r="L1223" s="81" t="s">
        <v>0</v>
      </c>
      <c r="M1223" s="68"/>
      <c r="N1223" s="68">
        <v>1054</v>
      </c>
      <c r="O1223" s="57">
        <f t="shared" si="60"/>
        <v>0</v>
      </c>
      <c r="P1223" s="58"/>
      <c r="Q1223" s="73"/>
      <c r="R1223" s="57"/>
      <c r="S1223" s="57"/>
      <c r="T1223" s="57"/>
      <c r="U1223" s="57"/>
      <c r="V1223" s="73">
        <f t="shared" si="59"/>
        <v>0</v>
      </c>
      <c r="W1223" s="106"/>
      <c r="X1223" s="64"/>
    </row>
    <row r="1224" spans="1:24" s="66" customFormat="1" ht="12" hidden="1" customHeight="1">
      <c r="A1224" s="81" t="s">
        <v>3230</v>
      </c>
      <c r="B1224" s="81"/>
      <c r="C1224" s="81"/>
      <c r="D1224" s="81"/>
      <c r="E1224" s="81"/>
      <c r="F1224" s="81"/>
      <c r="G1224" s="81"/>
      <c r="H1224" s="81"/>
      <c r="I1224" s="81" t="s">
        <v>2289</v>
      </c>
      <c r="J1224" s="81" t="s">
        <v>761</v>
      </c>
      <c r="K1224" s="81" t="s">
        <v>3240</v>
      </c>
      <c r="L1224" s="81" t="s">
        <v>0</v>
      </c>
      <c r="M1224" s="68"/>
      <c r="N1224" s="68">
        <v>2066</v>
      </c>
      <c r="O1224" s="57">
        <f t="shared" si="60"/>
        <v>0</v>
      </c>
      <c r="P1224" s="58"/>
      <c r="Q1224" s="73"/>
      <c r="R1224" s="57"/>
      <c r="S1224" s="57"/>
      <c r="T1224" s="57"/>
      <c r="U1224" s="57"/>
      <c r="V1224" s="73">
        <f t="shared" si="59"/>
        <v>0</v>
      </c>
      <c r="W1224" s="106"/>
      <c r="X1224" s="64"/>
    </row>
    <row r="1225" spans="1:24" s="66" customFormat="1" ht="12" hidden="1" customHeight="1">
      <c r="A1225" s="81" t="s">
        <v>3231</v>
      </c>
      <c r="B1225" s="81"/>
      <c r="C1225" s="81"/>
      <c r="D1225" s="81"/>
      <c r="E1225" s="81"/>
      <c r="F1225" s="81"/>
      <c r="G1225" s="81"/>
      <c r="H1225" s="81"/>
      <c r="I1225" s="81" t="s">
        <v>2289</v>
      </c>
      <c r="J1225" s="81" t="s">
        <v>761</v>
      </c>
      <c r="K1225" s="81" t="s">
        <v>3241</v>
      </c>
      <c r="L1225" s="81" t="s">
        <v>0</v>
      </c>
      <c r="M1225" s="68"/>
      <c r="N1225" s="68">
        <v>17029</v>
      </c>
      <c r="O1225" s="57">
        <f t="shared" si="60"/>
        <v>0</v>
      </c>
      <c r="P1225" s="58"/>
      <c r="Q1225" s="73"/>
      <c r="R1225" s="57"/>
      <c r="S1225" s="57"/>
      <c r="T1225" s="57"/>
      <c r="U1225" s="57"/>
      <c r="V1225" s="73">
        <f t="shared" si="59"/>
        <v>0</v>
      </c>
      <c r="W1225" s="106"/>
      <c r="X1225" s="64"/>
    </row>
    <row r="1226" spans="1:24" s="66" customFormat="1" ht="12" hidden="1" customHeight="1">
      <c r="A1226" s="81" t="s">
        <v>3232</v>
      </c>
      <c r="B1226" s="81"/>
      <c r="C1226" s="81"/>
      <c r="D1226" s="81"/>
      <c r="E1226" s="81"/>
      <c r="F1226" s="81"/>
      <c r="G1226" s="81"/>
      <c r="H1226" s="81"/>
      <c r="I1226" s="81" t="s">
        <v>2289</v>
      </c>
      <c r="J1226" s="81" t="s">
        <v>761</v>
      </c>
      <c r="K1226" s="81" t="s">
        <v>3242</v>
      </c>
      <c r="L1226" s="81" t="s">
        <v>0</v>
      </c>
      <c r="M1226" s="68"/>
      <c r="N1226" s="68">
        <v>23429</v>
      </c>
      <c r="O1226" s="57">
        <f t="shared" si="60"/>
        <v>0</v>
      </c>
      <c r="P1226" s="58"/>
      <c r="Q1226" s="73"/>
      <c r="R1226" s="57"/>
      <c r="S1226" s="57"/>
      <c r="T1226" s="57"/>
      <c r="U1226" s="57"/>
      <c r="V1226" s="73">
        <f t="shared" si="59"/>
        <v>0</v>
      </c>
      <c r="W1226" s="106"/>
      <c r="X1226" s="64"/>
    </row>
    <row r="1227" spans="1:24" s="66" customFormat="1" ht="12" hidden="1" customHeight="1">
      <c r="A1227" s="81" t="s">
        <v>3266</v>
      </c>
      <c r="B1227" s="81"/>
      <c r="C1227" s="81"/>
      <c r="D1227" s="81"/>
      <c r="E1227" s="81"/>
      <c r="F1227" s="81"/>
      <c r="G1227" s="81"/>
      <c r="H1227" s="81"/>
      <c r="I1227" s="81" t="s">
        <v>2288</v>
      </c>
      <c r="J1227" s="81" t="s">
        <v>1292</v>
      </c>
      <c r="K1227" s="81" t="s">
        <v>1291</v>
      </c>
      <c r="L1227" s="81" t="s">
        <v>20</v>
      </c>
      <c r="M1227" s="68"/>
      <c r="N1227" s="82">
        <v>627</v>
      </c>
      <c r="O1227" s="57">
        <f t="shared" si="60"/>
        <v>0</v>
      </c>
      <c r="P1227" s="58"/>
      <c r="Q1227" s="73"/>
      <c r="R1227" s="57"/>
      <c r="S1227" s="57"/>
      <c r="T1227" s="57"/>
      <c r="U1227" s="57"/>
      <c r="V1227" s="73">
        <f t="shared" ref="V1227:V1290" si="61">SUM(O1227+Q1227)+S1227+U1227</f>
        <v>0</v>
      </c>
      <c r="W1227" s="106"/>
      <c r="X1227" s="64"/>
    </row>
    <row r="1228" spans="1:24" s="66" customFormat="1" ht="12" hidden="1" customHeight="1">
      <c r="A1228" s="81" t="s">
        <v>3267</v>
      </c>
      <c r="B1228" s="81"/>
      <c r="C1228" s="81"/>
      <c r="D1228" s="81"/>
      <c r="E1228" s="81"/>
      <c r="F1228" s="81"/>
      <c r="G1228" s="81"/>
      <c r="H1228" s="81"/>
      <c r="I1228" s="81" t="s">
        <v>2288</v>
      </c>
      <c r="J1228" s="81" t="s">
        <v>1292</v>
      </c>
      <c r="K1228" s="81" t="s">
        <v>1290</v>
      </c>
      <c r="L1228" s="81" t="s">
        <v>20</v>
      </c>
      <c r="M1228" s="68"/>
      <c r="N1228" s="82">
        <v>704</v>
      </c>
      <c r="O1228" s="57">
        <f t="shared" si="60"/>
        <v>0</v>
      </c>
      <c r="P1228" s="58"/>
      <c r="Q1228" s="73"/>
      <c r="R1228" s="57"/>
      <c r="S1228" s="57"/>
      <c r="T1228" s="57"/>
      <c r="U1228" s="57"/>
      <c r="V1228" s="73">
        <f t="shared" si="61"/>
        <v>0</v>
      </c>
      <c r="W1228" s="106"/>
      <c r="X1228" s="64"/>
    </row>
    <row r="1229" spans="1:24" s="66" customFormat="1" ht="12" hidden="1" customHeight="1">
      <c r="A1229" s="81" t="s">
        <v>3268</v>
      </c>
      <c r="B1229" s="81"/>
      <c r="C1229" s="81"/>
      <c r="D1229" s="81"/>
      <c r="E1229" s="81"/>
      <c r="F1229" s="81"/>
      <c r="G1229" s="81"/>
      <c r="H1229" s="81"/>
      <c r="I1229" s="81" t="s">
        <v>2288</v>
      </c>
      <c r="J1229" s="81" t="s">
        <v>1292</v>
      </c>
      <c r="K1229" s="81" t="s">
        <v>1289</v>
      </c>
      <c r="L1229" s="81" t="s">
        <v>20</v>
      </c>
      <c r="M1229" s="68"/>
      <c r="N1229" s="82">
        <v>1375</v>
      </c>
      <c r="O1229" s="57">
        <f t="shared" si="60"/>
        <v>0</v>
      </c>
      <c r="P1229" s="58"/>
      <c r="Q1229" s="73"/>
      <c r="R1229" s="57"/>
      <c r="S1229" s="57"/>
      <c r="T1229" s="57"/>
      <c r="U1229" s="57"/>
      <c r="V1229" s="73">
        <f t="shared" si="61"/>
        <v>0</v>
      </c>
      <c r="W1229" s="106"/>
      <c r="X1229" s="64"/>
    </row>
    <row r="1230" spans="1:24" s="66" customFormat="1" ht="12" hidden="1" customHeight="1">
      <c r="A1230" s="81" t="s">
        <v>3269</v>
      </c>
      <c r="B1230" s="81"/>
      <c r="C1230" s="81"/>
      <c r="D1230" s="81"/>
      <c r="E1230" s="81"/>
      <c r="F1230" s="81"/>
      <c r="G1230" s="81"/>
      <c r="H1230" s="81"/>
      <c r="I1230" s="81" t="s">
        <v>2288</v>
      </c>
      <c r="J1230" s="81" t="s">
        <v>3270</v>
      </c>
      <c r="K1230" s="81" t="s">
        <v>1291</v>
      </c>
      <c r="L1230" s="81" t="s">
        <v>20</v>
      </c>
      <c r="M1230" s="68"/>
      <c r="N1230" s="82">
        <v>649</v>
      </c>
      <c r="O1230" s="57">
        <f t="shared" si="60"/>
        <v>0</v>
      </c>
      <c r="P1230" s="58"/>
      <c r="Q1230" s="73"/>
      <c r="R1230" s="57"/>
      <c r="S1230" s="57"/>
      <c r="T1230" s="57"/>
      <c r="U1230" s="57"/>
      <c r="V1230" s="73">
        <f t="shared" si="61"/>
        <v>0</v>
      </c>
      <c r="W1230" s="106"/>
      <c r="X1230" s="64"/>
    </row>
    <row r="1231" spans="1:24" s="66" customFormat="1" ht="12" hidden="1" customHeight="1">
      <c r="A1231" s="81" t="s">
        <v>3271</v>
      </c>
      <c r="B1231" s="81"/>
      <c r="C1231" s="81"/>
      <c r="D1231" s="81"/>
      <c r="E1231" s="81"/>
      <c r="F1231" s="81"/>
      <c r="G1231" s="81"/>
      <c r="H1231" s="81"/>
      <c r="I1231" s="81" t="s">
        <v>1288</v>
      </c>
      <c r="J1231" s="81" t="s">
        <v>1288</v>
      </c>
      <c r="K1231" s="81" t="s">
        <v>808</v>
      </c>
      <c r="L1231" s="81" t="s">
        <v>20</v>
      </c>
      <c r="M1231" s="68"/>
      <c r="N1231" s="82">
        <v>2475</v>
      </c>
      <c r="O1231" s="57">
        <f t="shared" si="60"/>
        <v>0</v>
      </c>
      <c r="P1231" s="58"/>
      <c r="Q1231" s="73"/>
      <c r="R1231" s="57"/>
      <c r="S1231" s="57"/>
      <c r="T1231" s="57"/>
      <c r="U1231" s="57"/>
      <c r="V1231" s="73">
        <f t="shared" si="61"/>
        <v>0</v>
      </c>
      <c r="W1231" s="106"/>
      <c r="X1231" s="64"/>
    </row>
    <row r="1232" spans="1:24" s="66" customFormat="1" ht="12" hidden="1" customHeight="1">
      <c r="A1232" s="81" t="s">
        <v>3272</v>
      </c>
      <c r="B1232" s="81"/>
      <c r="C1232" s="81"/>
      <c r="D1232" s="81"/>
      <c r="E1232" s="81"/>
      <c r="F1232" s="81"/>
      <c r="G1232" s="81"/>
      <c r="H1232" s="81"/>
      <c r="I1232" s="81" t="s">
        <v>1288</v>
      </c>
      <c r="J1232" s="81" t="s">
        <v>1288</v>
      </c>
      <c r="K1232" s="81" t="s">
        <v>809</v>
      </c>
      <c r="L1232" s="81" t="s">
        <v>20</v>
      </c>
      <c r="M1232" s="68"/>
      <c r="N1232" s="82">
        <v>2728</v>
      </c>
      <c r="O1232" s="57">
        <f t="shared" si="60"/>
        <v>0</v>
      </c>
      <c r="P1232" s="58"/>
      <c r="Q1232" s="73"/>
      <c r="R1232" s="57"/>
      <c r="S1232" s="57"/>
      <c r="T1232" s="57"/>
      <c r="U1232" s="57"/>
      <c r="V1232" s="73">
        <f t="shared" si="61"/>
        <v>0</v>
      </c>
      <c r="W1232" s="106"/>
      <c r="X1232" s="64"/>
    </row>
    <row r="1233" spans="1:24" s="66" customFormat="1" ht="12" hidden="1" customHeight="1">
      <c r="A1233" s="81" t="s">
        <v>3273</v>
      </c>
      <c r="B1233" s="81"/>
      <c r="C1233" s="81"/>
      <c r="D1233" s="81"/>
      <c r="E1233" s="81"/>
      <c r="F1233" s="81"/>
      <c r="G1233" s="81"/>
      <c r="H1233" s="81"/>
      <c r="I1233" s="81" t="s">
        <v>1288</v>
      </c>
      <c r="J1233" s="81" t="s">
        <v>1288</v>
      </c>
      <c r="K1233" s="81" t="s">
        <v>810</v>
      </c>
      <c r="L1233" s="81" t="s">
        <v>20</v>
      </c>
      <c r="M1233" s="68"/>
      <c r="N1233" s="82">
        <v>2937</v>
      </c>
      <c r="O1233" s="57">
        <f t="shared" si="60"/>
        <v>0</v>
      </c>
      <c r="P1233" s="58"/>
      <c r="Q1233" s="73"/>
      <c r="R1233" s="57"/>
      <c r="S1233" s="57"/>
      <c r="T1233" s="57"/>
      <c r="U1233" s="57"/>
      <c r="V1233" s="73">
        <f t="shared" si="61"/>
        <v>0</v>
      </c>
      <c r="W1233" s="106"/>
      <c r="X1233" s="64"/>
    </row>
    <row r="1234" spans="1:24" s="66" customFormat="1" ht="12" hidden="1" customHeight="1">
      <c r="A1234" s="81" t="s">
        <v>3274</v>
      </c>
      <c r="B1234" s="81"/>
      <c r="C1234" s="81"/>
      <c r="D1234" s="81"/>
      <c r="E1234" s="81"/>
      <c r="F1234" s="81"/>
      <c r="G1234" s="81"/>
      <c r="H1234" s="81"/>
      <c r="I1234" s="81" t="s">
        <v>1288</v>
      </c>
      <c r="J1234" s="81" t="s">
        <v>1288</v>
      </c>
      <c r="K1234" s="81" t="s">
        <v>811</v>
      </c>
      <c r="L1234" s="81" t="s">
        <v>20</v>
      </c>
      <c r="M1234" s="68"/>
      <c r="N1234" s="82">
        <v>3245</v>
      </c>
      <c r="O1234" s="57">
        <f t="shared" si="60"/>
        <v>0</v>
      </c>
      <c r="P1234" s="58"/>
      <c r="Q1234" s="73"/>
      <c r="R1234" s="57"/>
      <c r="S1234" s="57"/>
      <c r="T1234" s="57"/>
      <c r="U1234" s="57"/>
      <c r="V1234" s="73">
        <f t="shared" si="61"/>
        <v>0</v>
      </c>
      <c r="W1234" s="106"/>
      <c r="X1234" s="64"/>
    </row>
    <row r="1235" spans="1:24" s="66" customFormat="1" ht="12" hidden="1" customHeight="1">
      <c r="A1235" s="81" t="s">
        <v>3275</v>
      </c>
      <c r="B1235" s="81"/>
      <c r="C1235" s="81"/>
      <c r="D1235" s="81"/>
      <c r="E1235" s="81"/>
      <c r="F1235" s="81"/>
      <c r="G1235" s="81"/>
      <c r="H1235" s="81"/>
      <c r="I1235" s="81" t="s">
        <v>1288</v>
      </c>
      <c r="J1235" s="81" t="s">
        <v>1288</v>
      </c>
      <c r="K1235" s="81" t="s">
        <v>812</v>
      </c>
      <c r="L1235" s="81" t="s">
        <v>20</v>
      </c>
      <c r="M1235" s="68"/>
      <c r="N1235" s="82">
        <v>3608</v>
      </c>
      <c r="O1235" s="57">
        <f t="shared" si="60"/>
        <v>0</v>
      </c>
      <c r="P1235" s="58"/>
      <c r="Q1235" s="73"/>
      <c r="R1235" s="57"/>
      <c r="S1235" s="57"/>
      <c r="T1235" s="57"/>
      <c r="U1235" s="57"/>
      <c r="V1235" s="73">
        <f t="shared" si="61"/>
        <v>0</v>
      </c>
      <c r="W1235" s="106"/>
      <c r="X1235" s="64"/>
    </row>
    <row r="1236" spans="1:24" s="66" customFormat="1" ht="12" hidden="1" customHeight="1">
      <c r="A1236" s="81" t="s">
        <v>3276</v>
      </c>
      <c r="B1236" s="81"/>
      <c r="C1236" s="81"/>
      <c r="D1236" s="81"/>
      <c r="E1236" s="81"/>
      <c r="F1236" s="81"/>
      <c r="G1236" s="81"/>
      <c r="H1236" s="81"/>
      <c r="I1236" s="81" t="s">
        <v>1288</v>
      </c>
      <c r="J1236" s="81" t="s">
        <v>1288</v>
      </c>
      <c r="K1236" s="81" t="s">
        <v>813</v>
      </c>
      <c r="L1236" s="81" t="s">
        <v>20</v>
      </c>
      <c r="M1236" s="68"/>
      <c r="N1236" s="82">
        <v>4378</v>
      </c>
      <c r="O1236" s="57">
        <f t="shared" si="60"/>
        <v>0</v>
      </c>
      <c r="P1236" s="58"/>
      <c r="Q1236" s="73"/>
      <c r="R1236" s="57"/>
      <c r="S1236" s="57"/>
      <c r="T1236" s="57"/>
      <c r="U1236" s="57"/>
      <c r="V1236" s="73">
        <f t="shared" si="61"/>
        <v>0</v>
      </c>
      <c r="W1236" s="106"/>
      <c r="X1236" s="64"/>
    </row>
    <row r="1237" spans="1:24" s="66" customFormat="1" ht="12" hidden="1" customHeight="1">
      <c r="A1237" s="81" t="s">
        <v>3277</v>
      </c>
      <c r="B1237" s="81"/>
      <c r="C1237" s="81"/>
      <c r="D1237" s="81"/>
      <c r="E1237" s="81"/>
      <c r="F1237" s="81"/>
      <c r="G1237" s="81"/>
      <c r="H1237" s="81"/>
      <c r="I1237" s="81" t="s">
        <v>1288</v>
      </c>
      <c r="J1237" s="81" t="s">
        <v>1288</v>
      </c>
      <c r="K1237" s="81" t="s">
        <v>814</v>
      </c>
      <c r="L1237" s="81" t="s">
        <v>20</v>
      </c>
      <c r="M1237" s="68"/>
      <c r="N1237" s="82">
        <v>5379</v>
      </c>
      <c r="O1237" s="57">
        <f t="shared" si="60"/>
        <v>0</v>
      </c>
      <c r="P1237" s="58"/>
      <c r="Q1237" s="73"/>
      <c r="R1237" s="57"/>
      <c r="S1237" s="57"/>
      <c r="T1237" s="57"/>
      <c r="U1237" s="57"/>
      <c r="V1237" s="73">
        <f t="shared" si="61"/>
        <v>0</v>
      </c>
      <c r="W1237" s="106"/>
      <c r="X1237" s="64"/>
    </row>
    <row r="1238" spans="1:24" s="66" customFormat="1" ht="12" hidden="1" customHeight="1">
      <c r="A1238" s="81" t="s">
        <v>3278</v>
      </c>
      <c r="B1238" s="81"/>
      <c r="C1238" s="81"/>
      <c r="D1238" s="81"/>
      <c r="E1238" s="81"/>
      <c r="F1238" s="81"/>
      <c r="G1238" s="81"/>
      <c r="H1238" s="81"/>
      <c r="I1238" s="81" t="s">
        <v>1288</v>
      </c>
      <c r="J1238" s="81" t="s">
        <v>1288</v>
      </c>
      <c r="K1238" s="81" t="s">
        <v>815</v>
      </c>
      <c r="L1238" s="81" t="s">
        <v>20</v>
      </c>
      <c r="M1238" s="68"/>
      <c r="N1238" s="82">
        <v>6479</v>
      </c>
      <c r="O1238" s="57">
        <f t="shared" si="60"/>
        <v>0</v>
      </c>
      <c r="P1238" s="58"/>
      <c r="Q1238" s="73"/>
      <c r="R1238" s="57"/>
      <c r="S1238" s="57"/>
      <c r="T1238" s="57"/>
      <c r="U1238" s="57"/>
      <c r="V1238" s="73">
        <f t="shared" si="61"/>
        <v>0</v>
      </c>
      <c r="W1238" s="106"/>
      <c r="X1238" s="64"/>
    </row>
    <row r="1239" spans="1:24" s="66" customFormat="1" ht="12" hidden="1" customHeight="1">
      <c r="A1239" s="81" t="s">
        <v>3279</v>
      </c>
      <c r="B1239" s="81"/>
      <c r="C1239" s="81"/>
      <c r="D1239" s="81"/>
      <c r="E1239" s="81"/>
      <c r="F1239" s="81"/>
      <c r="G1239" s="81"/>
      <c r="H1239" s="81"/>
      <c r="I1239" s="81" t="s">
        <v>1288</v>
      </c>
      <c r="J1239" s="81" t="s">
        <v>1288</v>
      </c>
      <c r="K1239" s="81" t="s">
        <v>816</v>
      </c>
      <c r="L1239" s="81" t="s">
        <v>20</v>
      </c>
      <c r="M1239" s="68"/>
      <c r="N1239" s="82">
        <v>7975</v>
      </c>
      <c r="O1239" s="57">
        <f t="shared" si="60"/>
        <v>0</v>
      </c>
      <c r="P1239" s="58"/>
      <c r="Q1239" s="73"/>
      <c r="R1239" s="57"/>
      <c r="S1239" s="57"/>
      <c r="T1239" s="57"/>
      <c r="U1239" s="57"/>
      <c r="V1239" s="73">
        <f t="shared" si="61"/>
        <v>0</v>
      </c>
      <c r="W1239" s="106"/>
      <c r="X1239" s="64"/>
    </row>
    <row r="1240" spans="1:24" s="66" customFormat="1" ht="12" hidden="1" customHeight="1">
      <c r="A1240" s="81" t="s">
        <v>3280</v>
      </c>
      <c r="B1240" s="81"/>
      <c r="C1240" s="81"/>
      <c r="D1240" s="81"/>
      <c r="E1240" s="81"/>
      <c r="F1240" s="81"/>
      <c r="G1240" s="81"/>
      <c r="H1240" s="81"/>
      <c r="I1240" s="81" t="s">
        <v>1288</v>
      </c>
      <c r="J1240" s="81" t="s">
        <v>1288</v>
      </c>
      <c r="K1240" s="81" t="s">
        <v>817</v>
      </c>
      <c r="L1240" s="81" t="s">
        <v>20</v>
      </c>
      <c r="M1240" s="68"/>
      <c r="N1240" s="82">
        <v>9834</v>
      </c>
      <c r="O1240" s="57">
        <f t="shared" ref="O1240:O1248" si="62">M1240*N1240*$O$3</f>
        <v>0</v>
      </c>
      <c r="P1240" s="58"/>
      <c r="Q1240" s="73"/>
      <c r="R1240" s="57"/>
      <c r="S1240" s="57"/>
      <c r="T1240" s="57"/>
      <c r="U1240" s="57"/>
      <c r="V1240" s="73">
        <f t="shared" si="61"/>
        <v>0</v>
      </c>
      <c r="W1240" s="106"/>
      <c r="X1240" s="64"/>
    </row>
    <row r="1241" spans="1:24" s="66" customFormat="1" ht="12" hidden="1" customHeight="1">
      <c r="A1241" s="81" t="s">
        <v>3281</v>
      </c>
      <c r="B1241" s="81"/>
      <c r="C1241" s="81"/>
      <c r="D1241" s="81"/>
      <c r="E1241" s="81"/>
      <c r="F1241" s="81"/>
      <c r="G1241" s="81"/>
      <c r="H1241" s="81"/>
      <c r="I1241" s="81" t="s">
        <v>1288</v>
      </c>
      <c r="J1241" s="81" t="s">
        <v>1288</v>
      </c>
      <c r="K1241" s="81" t="s">
        <v>818</v>
      </c>
      <c r="L1241" s="81" t="s">
        <v>20</v>
      </c>
      <c r="M1241" s="68"/>
      <c r="N1241" s="82">
        <v>10285</v>
      </c>
      <c r="O1241" s="57">
        <f t="shared" si="62"/>
        <v>0</v>
      </c>
      <c r="P1241" s="58"/>
      <c r="Q1241" s="73"/>
      <c r="R1241" s="57"/>
      <c r="S1241" s="57"/>
      <c r="T1241" s="57"/>
      <c r="U1241" s="57"/>
      <c r="V1241" s="73">
        <f t="shared" si="61"/>
        <v>0</v>
      </c>
      <c r="W1241" s="106"/>
      <c r="X1241" s="64"/>
    </row>
    <row r="1242" spans="1:24" s="66" customFormat="1" ht="12" hidden="1" customHeight="1">
      <c r="A1242" s="81" t="s">
        <v>3282</v>
      </c>
      <c r="B1242" s="81"/>
      <c r="C1242" s="81"/>
      <c r="D1242" s="81"/>
      <c r="E1242" s="81"/>
      <c r="F1242" s="81"/>
      <c r="G1242" s="81"/>
      <c r="H1242" s="81"/>
      <c r="I1242" s="81" t="s">
        <v>1288</v>
      </c>
      <c r="J1242" s="81" t="s">
        <v>1288</v>
      </c>
      <c r="K1242" s="81" t="s">
        <v>819</v>
      </c>
      <c r="L1242" s="81" t="s">
        <v>20</v>
      </c>
      <c r="M1242" s="68"/>
      <c r="N1242" s="82">
        <v>9515</v>
      </c>
      <c r="O1242" s="57">
        <f t="shared" si="62"/>
        <v>0</v>
      </c>
      <c r="P1242" s="58"/>
      <c r="Q1242" s="73"/>
      <c r="R1242" s="57"/>
      <c r="S1242" s="57"/>
      <c r="T1242" s="57"/>
      <c r="U1242" s="57"/>
      <c r="V1242" s="73">
        <f t="shared" si="61"/>
        <v>0</v>
      </c>
      <c r="W1242" s="106"/>
      <c r="X1242" s="64"/>
    </row>
    <row r="1243" spans="1:24" s="66" customFormat="1" ht="12" hidden="1" customHeight="1">
      <c r="A1243" s="81" t="s">
        <v>3283</v>
      </c>
      <c r="B1243" s="81"/>
      <c r="C1243" s="81"/>
      <c r="D1243" s="81"/>
      <c r="E1243" s="81"/>
      <c r="F1243" s="81"/>
      <c r="G1243" s="81"/>
      <c r="H1243" s="81"/>
      <c r="I1243" s="81" t="s">
        <v>1288</v>
      </c>
      <c r="J1243" s="81" t="s">
        <v>1288</v>
      </c>
      <c r="K1243" s="81" t="s">
        <v>820</v>
      </c>
      <c r="L1243" s="81" t="s">
        <v>20</v>
      </c>
      <c r="M1243" s="68"/>
      <c r="N1243" s="82">
        <v>10725</v>
      </c>
      <c r="O1243" s="57">
        <f t="shared" si="62"/>
        <v>0</v>
      </c>
      <c r="P1243" s="58"/>
      <c r="Q1243" s="73"/>
      <c r="R1243" s="57"/>
      <c r="S1243" s="57"/>
      <c r="T1243" s="57"/>
      <c r="U1243" s="57"/>
      <c r="V1243" s="73">
        <f t="shared" si="61"/>
        <v>0</v>
      </c>
      <c r="W1243" s="106"/>
      <c r="X1243" s="64"/>
    </row>
    <row r="1244" spans="1:24" s="66" customFormat="1" ht="12" hidden="1" customHeight="1">
      <c r="A1244" s="81" t="s">
        <v>3284</v>
      </c>
      <c r="B1244" s="81"/>
      <c r="C1244" s="81"/>
      <c r="D1244" s="81"/>
      <c r="E1244" s="81"/>
      <c r="F1244" s="81"/>
      <c r="G1244" s="81"/>
      <c r="H1244" s="81"/>
      <c r="I1244" s="81" t="s">
        <v>1288</v>
      </c>
      <c r="J1244" s="81" t="s">
        <v>1288</v>
      </c>
      <c r="K1244" s="81" t="s">
        <v>821</v>
      </c>
      <c r="L1244" s="81" t="s">
        <v>20</v>
      </c>
      <c r="M1244" s="68"/>
      <c r="N1244" s="82">
        <v>11935</v>
      </c>
      <c r="O1244" s="57">
        <f t="shared" si="62"/>
        <v>0</v>
      </c>
      <c r="P1244" s="58"/>
      <c r="Q1244" s="73"/>
      <c r="R1244" s="57"/>
      <c r="S1244" s="57"/>
      <c r="T1244" s="57"/>
      <c r="U1244" s="57"/>
      <c r="V1244" s="73">
        <f t="shared" si="61"/>
        <v>0</v>
      </c>
      <c r="W1244" s="106"/>
      <c r="X1244" s="64"/>
    </row>
    <row r="1245" spans="1:24" s="66" customFormat="1" ht="12" hidden="1" customHeight="1">
      <c r="A1245" s="81" t="s">
        <v>3285</v>
      </c>
      <c r="B1245" s="81"/>
      <c r="C1245" s="81"/>
      <c r="D1245" s="81"/>
      <c r="E1245" s="81"/>
      <c r="F1245" s="81"/>
      <c r="G1245" s="81"/>
      <c r="H1245" s="81"/>
      <c r="I1245" s="81" t="s">
        <v>1288</v>
      </c>
      <c r="J1245" s="81" t="s">
        <v>1288</v>
      </c>
      <c r="K1245" s="81" t="s">
        <v>822</v>
      </c>
      <c r="L1245" s="81" t="s">
        <v>20</v>
      </c>
      <c r="M1245" s="68"/>
      <c r="N1245" s="82">
        <v>14949</v>
      </c>
      <c r="O1245" s="57">
        <f t="shared" si="62"/>
        <v>0</v>
      </c>
      <c r="P1245" s="58"/>
      <c r="Q1245" s="73"/>
      <c r="R1245" s="57"/>
      <c r="S1245" s="57"/>
      <c r="T1245" s="57"/>
      <c r="U1245" s="57"/>
      <c r="V1245" s="73">
        <f t="shared" si="61"/>
        <v>0</v>
      </c>
      <c r="W1245" s="106"/>
      <c r="X1245" s="64"/>
    </row>
    <row r="1246" spans="1:24" s="66" customFormat="1" ht="12" hidden="1" customHeight="1">
      <c r="A1246" s="81" t="s">
        <v>3286</v>
      </c>
      <c r="B1246" s="81"/>
      <c r="C1246" s="81"/>
      <c r="D1246" s="81"/>
      <c r="E1246" s="81"/>
      <c r="F1246" s="81"/>
      <c r="G1246" s="81"/>
      <c r="H1246" s="81"/>
      <c r="I1246" s="81" t="s">
        <v>1288</v>
      </c>
      <c r="J1246" s="81" t="s">
        <v>1288</v>
      </c>
      <c r="K1246" s="81" t="s">
        <v>823</v>
      </c>
      <c r="L1246" s="81" t="s">
        <v>20</v>
      </c>
      <c r="M1246" s="68"/>
      <c r="N1246" s="82">
        <v>19228</v>
      </c>
      <c r="O1246" s="57">
        <f t="shared" si="62"/>
        <v>0</v>
      </c>
      <c r="P1246" s="58"/>
      <c r="Q1246" s="73"/>
      <c r="R1246" s="57"/>
      <c r="S1246" s="57"/>
      <c r="T1246" s="57"/>
      <c r="U1246" s="57"/>
      <c r="V1246" s="73">
        <f t="shared" si="61"/>
        <v>0</v>
      </c>
      <c r="W1246" s="106"/>
      <c r="X1246" s="64"/>
    </row>
    <row r="1247" spans="1:24" s="66" customFormat="1" ht="12" hidden="1" customHeight="1">
      <c r="A1247" s="81" t="s">
        <v>3287</v>
      </c>
      <c r="B1247" s="81"/>
      <c r="C1247" s="81"/>
      <c r="D1247" s="81"/>
      <c r="E1247" s="81"/>
      <c r="F1247" s="81"/>
      <c r="G1247" s="81"/>
      <c r="H1247" s="81"/>
      <c r="I1247" s="81" t="s">
        <v>1288</v>
      </c>
      <c r="J1247" s="81" t="s">
        <v>1288</v>
      </c>
      <c r="K1247" s="81" t="s">
        <v>824</v>
      </c>
      <c r="L1247" s="81" t="s">
        <v>20</v>
      </c>
      <c r="M1247" s="68"/>
      <c r="N1247" s="82">
        <v>21175</v>
      </c>
      <c r="O1247" s="57">
        <f t="shared" si="62"/>
        <v>0</v>
      </c>
      <c r="P1247" s="58"/>
      <c r="Q1247" s="73"/>
      <c r="R1247" s="57"/>
      <c r="S1247" s="57"/>
      <c r="T1247" s="57"/>
      <c r="U1247" s="57"/>
      <c r="V1247" s="73">
        <f t="shared" si="61"/>
        <v>0</v>
      </c>
      <c r="W1247" s="106"/>
      <c r="X1247" s="64"/>
    </row>
    <row r="1248" spans="1:24" s="66" customFormat="1" ht="12" hidden="1" customHeight="1">
      <c r="A1248" s="81" t="s">
        <v>3288</v>
      </c>
      <c r="B1248" s="81"/>
      <c r="C1248" s="81"/>
      <c r="D1248" s="81"/>
      <c r="E1248" s="81"/>
      <c r="F1248" s="81"/>
      <c r="G1248" s="81"/>
      <c r="H1248" s="81"/>
      <c r="I1248" s="81" t="s">
        <v>1288</v>
      </c>
      <c r="J1248" s="81" t="s">
        <v>1288</v>
      </c>
      <c r="K1248" s="81" t="s">
        <v>825</v>
      </c>
      <c r="L1248" s="81" t="s">
        <v>20</v>
      </c>
      <c r="M1248" s="68"/>
      <c r="N1248" s="82">
        <v>27225</v>
      </c>
      <c r="O1248" s="57">
        <f t="shared" si="62"/>
        <v>0</v>
      </c>
      <c r="P1248" s="58"/>
      <c r="Q1248" s="73"/>
      <c r="R1248" s="57"/>
      <c r="S1248" s="57"/>
      <c r="T1248" s="57"/>
      <c r="U1248" s="57"/>
      <c r="V1248" s="73">
        <f t="shared" si="61"/>
        <v>0</v>
      </c>
      <c r="W1248" s="106"/>
      <c r="X1248" s="64"/>
    </row>
    <row r="1249" spans="1:24" s="66" customFormat="1" ht="12" hidden="1" customHeight="1">
      <c r="A1249" s="81" t="s">
        <v>3289</v>
      </c>
      <c r="B1249" s="81"/>
      <c r="C1249" s="81"/>
      <c r="D1249" s="81"/>
      <c r="E1249" s="81"/>
      <c r="F1249" s="81"/>
      <c r="G1249" s="81"/>
      <c r="H1249" s="81"/>
      <c r="I1249" s="81" t="s">
        <v>1288</v>
      </c>
      <c r="J1249" s="81" t="s">
        <v>1288</v>
      </c>
      <c r="K1249" s="81" t="s">
        <v>826</v>
      </c>
      <c r="L1249" s="81" t="s">
        <v>20</v>
      </c>
      <c r="M1249" s="68"/>
      <c r="N1249" s="82">
        <v>35805</v>
      </c>
      <c r="O1249" s="57">
        <f t="shared" ref="O1249:O1312" si="63">M1249*N1249*$O$3</f>
        <v>0</v>
      </c>
      <c r="P1249" s="58"/>
      <c r="Q1249" s="73"/>
      <c r="R1249" s="57"/>
      <c r="S1249" s="57"/>
      <c r="T1249" s="57"/>
      <c r="U1249" s="57"/>
      <c r="V1249" s="73">
        <f t="shared" si="61"/>
        <v>0</v>
      </c>
      <c r="W1249" s="106"/>
      <c r="X1249" s="64"/>
    </row>
    <row r="1250" spans="1:24" s="66" customFormat="1" ht="12" hidden="1" customHeight="1">
      <c r="A1250" s="81" t="s">
        <v>3290</v>
      </c>
      <c r="B1250" s="81"/>
      <c r="C1250" s="81"/>
      <c r="D1250" s="81"/>
      <c r="E1250" s="81"/>
      <c r="F1250" s="81"/>
      <c r="G1250" s="81"/>
      <c r="H1250" s="81"/>
      <c r="I1250" s="81" t="s">
        <v>1288</v>
      </c>
      <c r="J1250" s="81" t="s">
        <v>1288</v>
      </c>
      <c r="K1250" s="81" t="s">
        <v>827</v>
      </c>
      <c r="L1250" s="81" t="s">
        <v>20</v>
      </c>
      <c r="M1250" s="68"/>
      <c r="N1250" s="82">
        <v>39380</v>
      </c>
      <c r="O1250" s="57">
        <f t="shared" si="63"/>
        <v>0</v>
      </c>
      <c r="P1250" s="58"/>
      <c r="Q1250" s="73"/>
      <c r="R1250" s="57"/>
      <c r="S1250" s="57"/>
      <c r="T1250" s="57"/>
      <c r="U1250" s="57"/>
      <c r="V1250" s="73">
        <f t="shared" si="61"/>
        <v>0</v>
      </c>
      <c r="W1250" s="106"/>
      <c r="X1250" s="64"/>
    </row>
    <row r="1251" spans="1:24" s="66" customFormat="1" ht="12" hidden="1" customHeight="1">
      <c r="A1251" s="81" t="s">
        <v>3291</v>
      </c>
      <c r="B1251" s="81"/>
      <c r="C1251" s="81"/>
      <c r="D1251" s="81"/>
      <c r="E1251" s="81"/>
      <c r="F1251" s="81"/>
      <c r="G1251" s="81"/>
      <c r="H1251" s="81"/>
      <c r="I1251" s="81" t="s">
        <v>1288</v>
      </c>
      <c r="J1251" s="81" t="s">
        <v>1288</v>
      </c>
      <c r="K1251" s="81" t="s">
        <v>828</v>
      </c>
      <c r="L1251" s="81" t="s">
        <v>20</v>
      </c>
      <c r="M1251" s="68"/>
      <c r="N1251" s="82">
        <v>49500</v>
      </c>
      <c r="O1251" s="57">
        <f t="shared" si="63"/>
        <v>0</v>
      </c>
      <c r="P1251" s="58"/>
      <c r="Q1251" s="73"/>
      <c r="R1251" s="57"/>
      <c r="S1251" s="57"/>
      <c r="T1251" s="57"/>
      <c r="U1251" s="57"/>
      <c r="V1251" s="73">
        <f t="shared" si="61"/>
        <v>0</v>
      </c>
      <c r="W1251" s="106"/>
      <c r="X1251" s="64"/>
    </row>
    <row r="1252" spans="1:24" s="66" customFormat="1" ht="12" hidden="1" customHeight="1">
      <c r="A1252" s="81" t="s">
        <v>3292</v>
      </c>
      <c r="B1252" s="81"/>
      <c r="C1252" s="81"/>
      <c r="D1252" s="81"/>
      <c r="E1252" s="81"/>
      <c r="F1252" s="81"/>
      <c r="G1252" s="81"/>
      <c r="H1252" s="81"/>
      <c r="I1252" s="81" t="s">
        <v>1288</v>
      </c>
      <c r="J1252" s="81" t="s">
        <v>1288</v>
      </c>
      <c r="K1252" s="81" t="s">
        <v>829</v>
      </c>
      <c r="L1252" s="81" t="s">
        <v>20</v>
      </c>
      <c r="M1252" s="68"/>
      <c r="N1252" s="82">
        <v>63720</v>
      </c>
      <c r="O1252" s="57">
        <f t="shared" si="63"/>
        <v>0</v>
      </c>
      <c r="P1252" s="58"/>
      <c r="Q1252" s="73"/>
      <c r="R1252" s="57"/>
      <c r="S1252" s="57"/>
      <c r="T1252" s="57"/>
      <c r="U1252" s="57"/>
      <c r="V1252" s="73">
        <f t="shared" si="61"/>
        <v>0</v>
      </c>
      <c r="W1252" s="106"/>
      <c r="X1252" s="64"/>
    </row>
    <row r="1253" spans="1:24" s="66" customFormat="1" ht="12" hidden="1" customHeight="1">
      <c r="A1253" s="81" t="s">
        <v>3119</v>
      </c>
      <c r="B1253" s="81"/>
      <c r="C1253" s="81"/>
      <c r="D1253" s="81"/>
      <c r="E1253" s="81"/>
      <c r="F1253" s="81"/>
      <c r="G1253" s="81"/>
      <c r="H1253" s="81"/>
      <c r="I1253" s="81" t="s">
        <v>3056</v>
      </c>
      <c r="J1253" s="81" t="s">
        <v>3057</v>
      </c>
      <c r="K1253" s="81" t="s">
        <v>3121</v>
      </c>
      <c r="L1253" s="81" t="s">
        <v>20</v>
      </c>
      <c r="M1253" s="68"/>
      <c r="N1253" s="82">
        <v>74880</v>
      </c>
      <c r="O1253" s="57">
        <f t="shared" si="63"/>
        <v>0</v>
      </c>
      <c r="P1253" s="58"/>
      <c r="Q1253" s="73"/>
      <c r="R1253" s="57"/>
      <c r="S1253" s="57"/>
      <c r="T1253" s="57"/>
      <c r="U1253" s="57"/>
      <c r="V1253" s="73">
        <f t="shared" si="61"/>
        <v>0</v>
      </c>
      <c r="W1253" s="106"/>
      <c r="X1253" s="64"/>
    </row>
    <row r="1254" spans="1:24" s="66" customFormat="1" ht="12" hidden="1" customHeight="1">
      <c r="A1254" s="81" t="s">
        <v>3055</v>
      </c>
      <c r="B1254" s="81"/>
      <c r="C1254" s="81"/>
      <c r="D1254" s="81"/>
      <c r="E1254" s="81"/>
      <c r="F1254" s="81"/>
      <c r="G1254" s="81"/>
      <c r="H1254" s="81"/>
      <c r="I1254" s="81" t="s">
        <v>3056</v>
      </c>
      <c r="J1254" s="81" t="s">
        <v>3057</v>
      </c>
      <c r="K1254" s="81" t="s">
        <v>3058</v>
      </c>
      <c r="L1254" s="81" t="s">
        <v>20</v>
      </c>
      <c r="M1254" s="68"/>
      <c r="N1254" s="82">
        <v>106840</v>
      </c>
      <c r="O1254" s="57">
        <f t="shared" si="63"/>
        <v>0</v>
      </c>
      <c r="P1254" s="58"/>
      <c r="Q1254" s="73"/>
      <c r="R1254" s="57"/>
      <c r="S1254" s="57"/>
      <c r="T1254" s="57"/>
      <c r="U1254" s="57"/>
      <c r="V1254" s="73">
        <f t="shared" si="61"/>
        <v>0</v>
      </c>
      <c r="W1254" s="106"/>
      <c r="X1254" s="64"/>
    </row>
    <row r="1255" spans="1:24" s="66" customFormat="1" ht="12" hidden="1" customHeight="1">
      <c r="A1255" s="81" t="s">
        <v>3059</v>
      </c>
      <c r="B1255" s="81"/>
      <c r="C1255" s="81"/>
      <c r="D1255" s="81"/>
      <c r="E1255" s="81"/>
      <c r="F1255" s="81"/>
      <c r="G1255" s="81"/>
      <c r="H1255" s="81"/>
      <c r="I1255" s="81" t="s">
        <v>3056</v>
      </c>
      <c r="J1255" s="81" t="s">
        <v>3057</v>
      </c>
      <c r="K1255" s="81" t="s">
        <v>3060</v>
      </c>
      <c r="L1255" s="81" t="s">
        <v>20</v>
      </c>
      <c r="M1255" s="68"/>
      <c r="N1255" s="82">
        <v>143590</v>
      </c>
      <c r="O1255" s="57">
        <f t="shared" si="63"/>
        <v>0</v>
      </c>
      <c r="P1255" s="58"/>
      <c r="Q1255" s="73"/>
      <c r="R1255" s="57"/>
      <c r="S1255" s="57"/>
      <c r="T1255" s="57"/>
      <c r="U1255" s="57"/>
      <c r="V1255" s="73">
        <f t="shared" si="61"/>
        <v>0</v>
      </c>
      <c r="W1255" s="106"/>
      <c r="X1255" s="64"/>
    </row>
    <row r="1256" spans="1:24" s="66" customFormat="1" ht="12" hidden="1" customHeight="1">
      <c r="A1256" s="81" t="s">
        <v>3061</v>
      </c>
      <c r="B1256" s="81"/>
      <c r="C1256" s="81"/>
      <c r="D1256" s="81"/>
      <c r="E1256" s="81"/>
      <c r="F1256" s="81"/>
      <c r="G1256" s="81"/>
      <c r="H1256" s="81"/>
      <c r="I1256" s="81" t="s">
        <v>3056</v>
      </c>
      <c r="J1256" s="81" t="s">
        <v>3057</v>
      </c>
      <c r="K1256" s="81" t="s">
        <v>3062</v>
      </c>
      <c r="L1256" s="81" t="s">
        <v>20</v>
      </c>
      <c r="M1256" s="68"/>
      <c r="N1256" s="82">
        <v>158240</v>
      </c>
      <c r="O1256" s="57">
        <f t="shared" si="63"/>
        <v>0</v>
      </c>
      <c r="P1256" s="58"/>
      <c r="Q1256" s="73"/>
      <c r="R1256" s="57"/>
      <c r="S1256" s="57"/>
      <c r="T1256" s="57"/>
      <c r="U1256" s="57"/>
      <c r="V1256" s="73">
        <f t="shared" si="61"/>
        <v>0</v>
      </c>
      <c r="W1256" s="106"/>
      <c r="X1256" s="64"/>
    </row>
    <row r="1257" spans="1:24" s="66" customFormat="1" ht="12" hidden="1" customHeight="1">
      <c r="A1257" s="81" t="s">
        <v>3065</v>
      </c>
      <c r="B1257" s="81"/>
      <c r="C1257" s="81"/>
      <c r="D1257" s="81"/>
      <c r="E1257" s="81"/>
      <c r="F1257" s="81"/>
      <c r="G1257" s="81"/>
      <c r="H1257" s="81"/>
      <c r="I1257" s="81" t="s">
        <v>3056</v>
      </c>
      <c r="J1257" s="81" t="s">
        <v>3057</v>
      </c>
      <c r="K1257" s="81" t="s">
        <v>3066</v>
      </c>
      <c r="L1257" s="81" t="s">
        <v>20</v>
      </c>
      <c r="M1257" s="68"/>
      <c r="N1257" s="82">
        <v>117250</v>
      </c>
      <c r="O1257" s="57">
        <f t="shared" si="63"/>
        <v>0</v>
      </c>
      <c r="P1257" s="58"/>
      <c r="Q1257" s="73"/>
      <c r="R1257" s="57"/>
      <c r="S1257" s="57"/>
      <c r="T1257" s="57"/>
      <c r="U1257" s="57"/>
      <c r="V1257" s="73">
        <f t="shared" si="61"/>
        <v>0</v>
      </c>
      <c r="W1257" s="106"/>
      <c r="X1257" s="64"/>
    </row>
    <row r="1258" spans="1:24" s="66" customFormat="1" ht="12" hidden="1" customHeight="1">
      <c r="A1258" s="81" t="s">
        <v>3067</v>
      </c>
      <c r="B1258" s="81"/>
      <c r="C1258" s="81"/>
      <c r="D1258" s="81"/>
      <c r="E1258" s="81"/>
      <c r="F1258" s="81"/>
      <c r="G1258" s="81"/>
      <c r="H1258" s="81"/>
      <c r="I1258" s="81" t="s">
        <v>3056</v>
      </c>
      <c r="J1258" s="81" t="s">
        <v>3057</v>
      </c>
      <c r="K1258" s="81" t="s">
        <v>3068</v>
      </c>
      <c r="L1258" s="81" t="s">
        <v>20</v>
      </c>
      <c r="M1258" s="68"/>
      <c r="N1258" s="82">
        <v>134770</v>
      </c>
      <c r="O1258" s="57">
        <f t="shared" si="63"/>
        <v>0</v>
      </c>
      <c r="P1258" s="58"/>
      <c r="Q1258" s="73"/>
      <c r="R1258" s="57"/>
      <c r="S1258" s="57"/>
      <c r="T1258" s="57"/>
      <c r="U1258" s="57"/>
      <c r="V1258" s="73">
        <f t="shared" si="61"/>
        <v>0</v>
      </c>
      <c r="W1258" s="106"/>
      <c r="X1258" s="64"/>
    </row>
    <row r="1259" spans="1:24" s="66" customFormat="1" ht="12" hidden="1" customHeight="1">
      <c r="A1259" s="81" t="s">
        <v>3069</v>
      </c>
      <c r="B1259" s="81"/>
      <c r="C1259" s="81"/>
      <c r="D1259" s="81"/>
      <c r="E1259" s="81"/>
      <c r="F1259" s="81"/>
      <c r="G1259" s="81"/>
      <c r="H1259" s="81"/>
      <c r="I1259" s="81" t="s">
        <v>3056</v>
      </c>
      <c r="J1259" s="81" t="s">
        <v>3057</v>
      </c>
      <c r="K1259" s="81" t="s">
        <v>3070</v>
      </c>
      <c r="L1259" s="81" t="s">
        <v>20</v>
      </c>
      <c r="M1259" s="68"/>
      <c r="N1259" s="82">
        <v>155270</v>
      </c>
      <c r="O1259" s="57">
        <f t="shared" si="63"/>
        <v>0</v>
      </c>
      <c r="P1259" s="58"/>
      <c r="Q1259" s="73"/>
      <c r="R1259" s="57"/>
      <c r="S1259" s="57"/>
      <c r="T1259" s="57"/>
      <c r="U1259" s="57"/>
      <c r="V1259" s="73">
        <f t="shared" si="61"/>
        <v>0</v>
      </c>
      <c r="W1259" s="106"/>
      <c r="X1259" s="64"/>
    </row>
    <row r="1260" spans="1:24" s="66" customFormat="1" ht="12" hidden="1" customHeight="1">
      <c r="A1260" s="81" t="s">
        <v>3063</v>
      </c>
      <c r="B1260" s="81"/>
      <c r="C1260" s="81"/>
      <c r="D1260" s="81"/>
      <c r="E1260" s="81"/>
      <c r="F1260" s="81"/>
      <c r="G1260" s="81"/>
      <c r="H1260" s="81"/>
      <c r="I1260" s="81" t="s">
        <v>3056</v>
      </c>
      <c r="J1260" s="81" t="s">
        <v>3057</v>
      </c>
      <c r="K1260" s="81" t="s">
        <v>3064</v>
      </c>
      <c r="L1260" s="81" t="s">
        <v>20</v>
      </c>
      <c r="M1260" s="68"/>
      <c r="N1260" s="82">
        <v>190530</v>
      </c>
      <c r="O1260" s="57">
        <f t="shared" si="63"/>
        <v>0</v>
      </c>
      <c r="P1260" s="58"/>
      <c r="Q1260" s="73"/>
      <c r="R1260" s="57"/>
      <c r="S1260" s="57"/>
      <c r="T1260" s="57"/>
      <c r="U1260" s="57"/>
      <c r="V1260" s="73">
        <f t="shared" si="61"/>
        <v>0</v>
      </c>
      <c r="W1260" s="106"/>
      <c r="X1260" s="64"/>
    </row>
    <row r="1261" spans="1:24" s="66" customFormat="1" ht="12" hidden="1" customHeight="1">
      <c r="A1261" s="81" t="s">
        <v>3075</v>
      </c>
      <c r="B1261" s="81"/>
      <c r="C1261" s="81"/>
      <c r="D1261" s="81"/>
      <c r="E1261" s="81"/>
      <c r="F1261" s="81"/>
      <c r="G1261" s="81"/>
      <c r="H1261" s="81"/>
      <c r="I1261" s="81" t="s">
        <v>3056</v>
      </c>
      <c r="J1261" s="81" t="s">
        <v>3057</v>
      </c>
      <c r="K1261" s="81" t="s">
        <v>3076</v>
      </c>
      <c r="L1261" s="81" t="s">
        <v>20</v>
      </c>
      <c r="M1261" s="68"/>
      <c r="N1261" s="82">
        <v>147940</v>
      </c>
      <c r="O1261" s="57">
        <f t="shared" si="63"/>
        <v>0</v>
      </c>
      <c r="P1261" s="58"/>
      <c r="Q1261" s="73"/>
      <c r="R1261" s="57"/>
      <c r="S1261" s="57"/>
      <c r="T1261" s="57"/>
      <c r="U1261" s="57"/>
      <c r="V1261" s="73">
        <f t="shared" si="61"/>
        <v>0</v>
      </c>
      <c r="W1261" s="106"/>
      <c r="X1261" s="64"/>
    </row>
    <row r="1262" spans="1:24" s="66" customFormat="1" ht="12" hidden="1" customHeight="1">
      <c r="A1262" s="81" t="s">
        <v>3077</v>
      </c>
      <c r="B1262" s="81"/>
      <c r="C1262" s="81"/>
      <c r="D1262" s="81"/>
      <c r="E1262" s="81"/>
      <c r="F1262" s="81"/>
      <c r="G1262" s="81"/>
      <c r="H1262" s="81"/>
      <c r="I1262" s="81" t="s">
        <v>3056</v>
      </c>
      <c r="J1262" s="81" t="s">
        <v>3057</v>
      </c>
      <c r="K1262" s="81" t="s">
        <v>3078</v>
      </c>
      <c r="L1262" s="81" t="s">
        <v>20</v>
      </c>
      <c r="M1262" s="68"/>
      <c r="N1262" s="82">
        <v>168440</v>
      </c>
      <c r="O1262" s="57">
        <f t="shared" si="63"/>
        <v>0</v>
      </c>
      <c r="P1262" s="58"/>
      <c r="Q1262" s="73"/>
      <c r="R1262" s="57"/>
      <c r="S1262" s="57"/>
      <c r="T1262" s="57"/>
      <c r="U1262" s="57"/>
      <c r="V1262" s="73">
        <f t="shared" si="61"/>
        <v>0</v>
      </c>
      <c r="W1262" s="106"/>
      <c r="X1262" s="64"/>
    </row>
    <row r="1263" spans="1:24" s="66" customFormat="1" ht="12" hidden="1" customHeight="1">
      <c r="A1263" s="81" t="s">
        <v>3079</v>
      </c>
      <c r="B1263" s="81"/>
      <c r="C1263" s="81"/>
      <c r="D1263" s="81"/>
      <c r="E1263" s="81"/>
      <c r="F1263" s="81"/>
      <c r="G1263" s="81"/>
      <c r="H1263" s="81"/>
      <c r="I1263" s="81" t="s">
        <v>3056</v>
      </c>
      <c r="J1263" s="81" t="s">
        <v>3057</v>
      </c>
      <c r="K1263" s="81" t="s">
        <v>3080</v>
      </c>
      <c r="L1263" s="81" t="s">
        <v>20</v>
      </c>
      <c r="M1263" s="68"/>
      <c r="N1263" s="82">
        <v>187550</v>
      </c>
      <c r="O1263" s="57">
        <f t="shared" si="63"/>
        <v>0</v>
      </c>
      <c r="P1263" s="58"/>
      <c r="Q1263" s="73"/>
      <c r="R1263" s="57"/>
      <c r="S1263" s="57"/>
      <c r="T1263" s="57"/>
      <c r="U1263" s="57"/>
      <c r="V1263" s="73">
        <f t="shared" si="61"/>
        <v>0</v>
      </c>
      <c r="W1263" s="106"/>
      <c r="X1263" s="64"/>
    </row>
    <row r="1264" spans="1:24" s="66" customFormat="1" ht="12" hidden="1" customHeight="1">
      <c r="A1264" s="81" t="s">
        <v>3071</v>
      </c>
      <c r="B1264" s="81"/>
      <c r="C1264" s="81"/>
      <c r="D1264" s="81"/>
      <c r="E1264" s="81"/>
      <c r="F1264" s="81"/>
      <c r="G1264" s="81"/>
      <c r="H1264" s="81"/>
      <c r="I1264" s="81" t="s">
        <v>3056</v>
      </c>
      <c r="J1264" s="81" t="s">
        <v>3057</v>
      </c>
      <c r="K1264" s="81" t="s">
        <v>3072</v>
      </c>
      <c r="L1264" s="81" t="s">
        <v>20</v>
      </c>
      <c r="M1264" s="68"/>
      <c r="N1264" s="82">
        <v>219840</v>
      </c>
      <c r="O1264" s="57">
        <f t="shared" si="63"/>
        <v>0</v>
      </c>
      <c r="P1264" s="58"/>
      <c r="Q1264" s="73"/>
      <c r="R1264" s="57"/>
      <c r="S1264" s="57"/>
      <c r="T1264" s="57"/>
      <c r="U1264" s="57"/>
      <c r="V1264" s="73">
        <f t="shared" si="61"/>
        <v>0</v>
      </c>
      <c r="W1264" s="106"/>
      <c r="X1264" s="64"/>
    </row>
    <row r="1265" spans="1:24" s="66" customFormat="1" ht="12" hidden="1" customHeight="1">
      <c r="A1265" s="81" t="s">
        <v>3073</v>
      </c>
      <c r="B1265" s="81"/>
      <c r="C1265" s="81"/>
      <c r="D1265" s="81"/>
      <c r="E1265" s="81"/>
      <c r="F1265" s="81"/>
      <c r="G1265" s="81"/>
      <c r="H1265" s="81"/>
      <c r="I1265" s="81" t="s">
        <v>3056</v>
      </c>
      <c r="J1265" s="81" t="s">
        <v>3057</v>
      </c>
      <c r="K1265" s="81" t="s">
        <v>3074</v>
      </c>
      <c r="L1265" s="81" t="s">
        <v>20</v>
      </c>
      <c r="M1265" s="68"/>
      <c r="N1265" s="82">
        <v>249150</v>
      </c>
      <c r="O1265" s="57">
        <f t="shared" si="63"/>
        <v>0</v>
      </c>
      <c r="P1265" s="58"/>
      <c r="Q1265" s="73"/>
      <c r="R1265" s="57"/>
      <c r="S1265" s="57"/>
      <c r="T1265" s="57"/>
      <c r="U1265" s="57"/>
      <c r="V1265" s="73">
        <f t="shared" si="61"/>
        <v>0</v>
      </c>
      <c r="W1265" s="106"/>
      <c r="X1265" s="64"/>
    </row>
    <row r="1266" spans="1:24" s="66" customFormat="1" ht="12" hidden="1" customHeight="1">
      <c r="A1266" s="81" t="s">
        <v>3087</v>
      </c>
      <c r="B1266" s="81"/>
      <c r="C1266" s="81"/>
      <c r="D1266" s="81"/>
      <c r="E1266" s="81"/>
      <c r="F1266" s="81"/>
      <c r="G1266" s="81"/>
      <c r="H1266" s="81"/>
      <c r="I1266" s="81" t="s">
        <v>3056</v>
      </c>
      <c r="J1266" s="81" t="s">
        <v>3057</v>
      </c>
      <c r="K1266" s="81" t="s">
        <v>3088</v>
      </c>
      <c r="L1266" s="81" t="s">
        <v>20</v>
      </c>
      <c r="M1266" s="68"/>
      <c r="N1266" s="82">
        <v>183090</v>
      </c>
      <c r="O1266" s="57">
        <f t="shared" si="63"/>
        <v>0</v>
      </c>
      <c r="P1266" s="58"/>
      <c r="Q1266" s="73"/>
      <c r="R1266" s="57"/>
      <c r="S1266" s="57"/>
      <c r="T1266" s="57"/>
      <c r="U1266" s="57"/>
      <c r="V1266" s="73">
        <f t="shared" si="61"/>
        <v>0</v>
      </c>
      <c r="W1266" s="106"/>
      <c r="X1266" s="64"/>
    </row>
    <row r="1267" spans="1:24" s="66" customFormat="1" ht="12" hidden="1" customHeight="1">
      <c r="A1267" s="81" t="s">
        <v>3081</v>
      </c>
      <c r="B1267" s="81"/>
      <c r="C1267" s="81"/>
      <c r="D1267" s="81"/>
      <c r="E1267" s="81"/>
      <c r="F1267" s="81"/>
      <c r="G1267" s="81"/>
      <c r="H1267" s="81"/>
      <c r="I1267" s="81" t="s">
        <v>3056</v>
      </c>
      <c r="J1267" s="81" t="s">
        <v>3057</v>
      </c>
      <c r="K1267" s="81" t="s">
        <v>3082</v>
      </c>
      <c r="L1267" s="81" t="s">
        <v>20</v>
      </c>
      <c r="M1267" s="68"/>
      <c r="N1267" s="82">
        <v>225680</v>
      </c>
      <c r="O1267" s="57">
        <f t="shared" si="63"/>
        <v>0</v>
      </c>
      <c r="P1267" s="58"/>
      <c r="Q1267" s="73"/>
      <c r="R1267" s="57"/>
      <c r="S1267" s="57"/>
      <c r="T1267" s="57"/>
      <c r="U1267" s="57"/>
      <c r="V1267" s="73">
        <f t="shared" si="61"/>
        <v>0</v>
      </c>
      <c r="W1267" s="106"/>
      <c r="X1267" s="64"/>
    </row>
    <row r="1268" spans="1:24" s="66" customFormat="1" ht="12" hidden="1" customHeight="1">
      <c r="A1268" s="81" t="s">
        <v>3083</v>
      </c>
      <c r="B1268" s="81"/>
      <c r="C1268" s="81"/>
      <c r="D1268" s="81"/>
      <c r="E1268" s="81"/>
      <c r="F1268" s="81"/>
      <c r="G1268" s="81"/>
      <c r="H1268" s="81"/>
      <c r="I1268" s="81" t="s">
        <v>3056</v>
      </c>
      <c r="J1268" s="81" t="s">
        <v>3057</v>
      </c>
      <c r="K1268" s="81" t="s">
        <v>3084</v>
      </c>
      <c r="L1268" s="81" t="s">
        <v>20</v>
      </c>
      <c r="M1268" s="68"/>
      <c r="N1268" s="82">
        <v>249150</v>
      </c>
      <c r="O1268" s="57">
        <f t="shared" si="63"/>
        <v>0</v>
      </c>
      <c r="P1268" s="58"/>
      <c r="Q1268" s="73"/>
      <c r="R1268" s="57"/>
      <c r="S1268" s="57"/>
      <c r="T1268" s="57"/>
      <c r="U1268" s="57"/>
      <c r="V1268" s="73">
        <f t="shared" si="61"/>
        <v>0</v>
      </c>
      <c r="W1268" s="106"/>
      <c r="X1268" s="64"/>
    </row>
    <row r="1269" spans="1:24" s="66" customFormat="1" ht="12" hidden="1" customHeight="1">
      <c r="A1269" s="81" t="s">
        <v>3085</v>
      </c>
      <c r="B1269" s="81"/>
      <c r="C1269" s="81"/>
      <c r="D1269" s="81"/>
      <c r="E1269" s="81"/>
      <c r="F1269" s="81"/>
      <c r="G1269" s="81"/>
      <c r="H1269" s="81"/>
      <c r="I1269" s="81" t="s">
        <v>3056</v>
      </c>
      <c r="J1269" s="81" t="s">
        <v>3057</v>
      </c>
      <c r="K1269" s="81" t="s">
        <v>3086</v>
      </c>
      <c r="L1269" s="81" t="s">
        <v>20</v>
      </c>
      <c r="M1269" s="68"/>
      <c r="N1269" s="82">
        <v>271030</v>
      </c>
      <c r="O1269" s="57">
        <f t="shared" si="63"/>
        <v>0</v>
      </c>
      <c r="P1269" s="58"/>
      <c r="Q1269" s="73"/>
      <c r="R1269" s="57"/>
      <c r="S1269" s="57"/>
      <c r="T1269" s="57"/>
      <c r="U1269" s="57"/>
      <c r="V1269" s="73">
        <f t="shared" si="61"/>
        <v>0</v>
      </c>
      <c r="W1269" s="106"/>
      <c r="X1269" s="64"/>
    </row>
    <row r="1270" spans="1:24" s="66" customFormat="1" ht="12" hidden="1" customHeight="1">
      <c r="A1270" s="81" t="s">
        <v>3095</v>
      </c>
      <c r="B1270" s="81"/>
      <c r="C1270" s="81"/>
      <c r="D1270" s="81"/>
      <c r="E1270" s="81"/>
      <c r="F1270" s="81"/>
      <c r="G1270" s="81"/>
      <c r="H1270" s="81"/>
      <c r="I1270" s="81" t="s">
        <v>3056</v>
      </c>
      <c r="J1270" s="81" t="s">
        <v>3057</v>
      </c>
      <c r="K1270" s="81" t="s">
        <v>3096</v>
      </c>
      <c r="L1270" s="81" t="s">
        <v>20</v>
      </c>
      <c r="M1270" s="68"/>
      <c r="N1270" s="82">
        <v>197750</v>
      </c>
      <c r="O1270" s="57">
        <f t="shared" si="63"/>
        <v>0</v>
      </c>
      <c r="P1270" s="58"/>
      <c r="Q1270" s="73"/>
      <c r="R1270" s="57"/>
      <c r="S1270" s="57"/>
      <c r="T1270" s="57"/>
      <c r="U1270" s="57"/>
      <c r="V1270" s="73">
        <f t="shared" si="61"/>
        <v>0</v>
      </c>
      <c r="W1270" s="106"/>
      <c r="X1270" s="64"/>
    </row>
    <row r="1271" spans="1:24" s="66" customFormat="1" ht="12" hidden="1" customHeight="1">
      <c r="A1271" s="81" t="s">
        <v>3097</v>
      </c>
      <c r="B1271" s="81"/>
      <c r="C1271" s="81"/>
      <c r="D1271" s="81"/>
      <c r="E1271" s="81"/>
      <c r="F1271" s="81"/>
      <c r="G1271" s="81"/>
      <c r="H1271" s="81"/>
      <c r="I1271" s="81" t="s">
        <v>3056</v>
      </c>
      <c r="J1271" s="81" t="s">
        <v>3057</v>
      </c>
      <c r="K1271" s="81" t="s">
        <v>3098</v>
      </c>
      <c r="L1271" s="81" t="s">
        <v>20</v>
      </c>
      <c r="M1271" s="68"/>
      <c r="N1271" s="82">
        <v>219840</v>
      </c>
      <c r="O1271" s="57">
        <f t="shared" si="63"/>
        <v>0</v>
      </c>
      <c r="P1271" s="58"/>
      <c r="Q1271" s="73"/>
      <c r="R1271" s="57"/>
      <c r="S1271" s="57"/>
      <c r="T1271" s="57"/>
      <c r="U1271" s="57"/>
      <c r="V1271" s="73">
        <f t="shared" si="61"/>
        <v>0</v>
      </c>
      <c r="W1271" s="106"/>
      <c r="X1271" s="64"/>
    </row>
    <row r="1272" spans="1:24" s="66" customFormat="1" ht="12" hidden="1" customHeight="1">
      <c r="A1272" s="81" t="s">
        <v>3089</v>
      </c>
      <c r="B1272" s="81"/>
      <c r="C1272" s="81"/>
      <c r="D1272" s="81"/>
      <c r="E1272" s="81"/>
      <c r="F1272" s="81"/>
      <c r="G1272" s="81"/>
      <c r="H1272" s="81"/>
      <c r="I1272" s="81" t="s">
        <v>3056</v>
      </c>
      <c r="J1272" s="81" t="s">
        <v>3057</v>
      </c>
      <c r="K1272" s="81" t="s">
        <v>3090</v>
      </c>
      <c r="L1272" s="81" t="s">
        <v>20</v>
      </c>
      <c r="M1272" s="68"/>
      <c r="N1272" s="82">
        <v>246180</v>
      </c>
      <c r="O1272" s="57">
        <f t="shared" si="63"/>
        <v>0</v>
      </c>
      <c r="P1272" s="58"/>
      <c r="Q1272" s="73"/>
      <c r="R1272" s="57"/>
      <c r="S1272" s="57"/>
      <c r="T1272" s="57"/>
      <c r="U1272" s="57"/>
      <c r="V1272" s="73">
        <f t="shared" si="61"/>
        <v>0</v>
      </c>
      <c r="W1272" s="106"/>
      <c r="X1272" s="64"/>
    </row>
    <row r="1273" spans="1:24" s="66" customFormat="1" ht="12" hidden="1" customHeight="1">
      <c r="A1273" s="81" t="s">
        <v>3091</v>
      </c>
      <c r="B1273" s="81"/>
      <c r="C1273" s="81"/>
      <c r="D1273" s="81"/>
      <c r="E1273" s="81"/>
      <c r="F1273" s="81"/>
      <c r="G1273" s="81"/>
      <c r="H1273" s="81"/>
      <c r="I1273" s="81" t="s">
        <v>3056</v>
      </c>
      <c r="J1273" s="81" t="s">
        <v>3057</v>
      </c>
      <c r="K1273" s="81" t="s">
        <v>3092</v>
      </c>
      <c r="L1273" s="81" t="s">
        <v>20</v>
      </c>
      <c r="M1273" s="68"/>
      <c r="N1273" s="82">
        <v>269650</v>
      </c>
      <c r="O1273" s="57">
        <f t="shared" si="63"/>
        <v>0</v>
      </c>
      <c r="P1273" s="58"/>
      <c r="Q1273" s="73"/>
      <c r="R1273" s="57"/>
      <c r="S1273" s="57"/>
      <c r="T1273" s="57"/>
      <c r="U1273" s="57"/>
      <c r="V1273" s="73">
        <f t="shared" si="61"/>
        <v>0</v>
      </c>
      <c r="W1273" s="106"/>
      <c r="X1273" s="64"/>
    </row>
    <row r="1274" spans="1:24" s="66" customFormat="1" ht="12" hidden="1" customHeight="1">
      <c r="A1274" s="81" t="s">
        <v>3093</v>
      </c>
      <c r="B1274" s="81"/>
      <c r="C1274" s="81"/>
      <c r="D1274" s="81"/>
      <c r="E1274" s="81"/>
      <c r="F1274" s="81"/>
      <c r="G1274" s="81"/>
      <c r="H1274" s="81"/>
      <c r="I1274" s="81" t="s">
        <v>3056</v>
      </c>
      <c r="J1274" s="81" t="s">
        <v>3057</v>
      </c>
      <c r="K1274" s="81" t="s">
        <v>3094</v>
      </c>
      <c r="L1274" s="81" t="s">
        <v>20</v>
      </c>
      <c r="M1274" s="68"/>
      <c r="N1274" s="82">
        <v>291520</v>
      </c>
      <c r="O1274" s="57">
        <f t="shared" si="63"/>
        <v>0</v>
      </c>
      <c r="P1274" s="58"/>
      <c r="Q1274" s="73"/>
      <c r="R1274" s="57"/>
      <c r="S1274" s="57"/>
      <c r="T1274" s="57"/>
      <c r="U1274" s="57"/>
      <c r="V1274" s="73">
        <f t="shared" si="61"/>
        <v>0</v>
      </c>
      <c r="W1274" s="106"/>
      <c r="X1274" s="64"/>
    </row>
    <row r="1275" spans="1:24" s="66" customFormat="1" ht="12" hidden="1" customHeight="1">
      <c r="A1275" s="81" t="s">
        <v>3109</v>
      </c>
      <c r="B1275" s="81"/>
      <c r="C1275" s="81"/>
      <c r="D1275" s="81"/>
      <c r="E1275" s="81"/>
      <c r="F1275" s="81"/>
      <c r="G1275" s="81"/>
      <c r="H1275" s="81"/>
      <c r="I1275" s="81" t="s">
        <v>3056</v>
      </c>
      <c r="J1275" s="81" t="s">
        <v>3057</v>
      </c>
      <c r="K1275" s="81" t="s">
        <v>3110</v>
      </c>
      <c r="L1275" s="81" t="s">
        <v>20</v>
      </c>
      <c r="M1275" s="68"/>
      <c r="N1275" s="82">
        <v>249150</v>
      </c>
      <c r="O1275" s="57">
        <f t="shared" si="63"/>
        <v>0</v>
      </c>
      <c r="P1275" s="58"/>
      <c r="Q1275" s="73"/>
      <c r="R1275" s="57"/>
      <c r="S1275" s="57"/>
      <c r="T1275" s="57"/>
      <c r="U1275" s="57"/>
      <c r="V1275" s="73">
        <f t="shared" si="61"/>
        <v>0</v>
      </c>
      <c r="W1275" s="106"/>
      <c r="X1275" s="64"/>
    </row>
    <row r="1276" spans="1:24" s="66" customFormat="1" ht="12" hidden="1" customHeight="1">
      <c r="A1276" s="81" t="s">
        <v>3099</v>
      </c>
      <c r="B1276" s="81"/>
      <c r="C1276" s="81"/>
      <c r="D1276" s="81"/>
      <c r="E1276" s="81"/>
      <c r="F1276" s="81"/>
      <c r="G1276" s="81"/>
      <c r="H1276" s="81"/>
      <c r="I1276" s="81" t="s">
        <v>3056</v>
      </c>
      <c r="J1276" s="81" t="s">
        <v>3057</v>
      </c>
      <c r="K1276" s="81" t="s">
        <v>3100</v>
      </c>
      <c r="L1276" s="81" t="s">
        <v>20</v>
      </c>
      <c r="M1276" s="68"/>
      <c r="N1276" s="82">
        <v>279840</v>
      </c>
      <c r="O1276" s="57">
        <f t="shared" si="63"/>
        <v>0</v>
      </c>
      <c r="P1276" s="58"/>
      <c r="Q1276" s="73"/>
      <c r="R1276" s="57"/>
      <c r="S1276" s="57"/>
      <c r="T1276" s="57"/>
      <c r="U1276" s="57"/>
      <c r="V1276" s="73">
        <f t="shared" si="61"/>
        <v>0</v>
      </c>
      <c r="W1276" s="106"/>
      <c r="X1276" s="64"/>
    </row>
    <row r="1277" spans="1:24" s="66" customFormat="1" ht="12" hidden="1" customHeight="1">
      <c r="A1277" s="81" t="s">
        <v>3101</v>
      </c>
      <c r="B1277" s="81"/>
      <c r="C1277" s="81"/>
      <c r="D1277" s="81"/>
      <c r="E1277" s="81"/>
      <c r="F1277" s="81"/>
      <c r="G1277" s="81"/>
      <c r="H1277" s="81"/>
      <c r="I1277" s="81" t="s">
        <v>3056</v>
      </c>
      <c r="J1277" s="81" t="s">
        <v>3057</v>
      </c>
      <c r="K1277" s="81" t="s">
        <v>3102</v>
      </c>
      <c r="L1277" s="81" t="s">
        <v>20</v>
      </c>
      <c r="M1277" s="68"/>
      <c r="N1277" s="82">
        <v>334110</v>
      </c>
      <c r="O1277" s="57">
        <f t="shared" si="63"/>
        <v>0</v>
      </c>
      <c r="P1277" s="58"/>
      <c r="Q1277" s="73"/>
      <c r="R1277" s="57"/>
      <c r="S1277" s="57"/>
      <c r="T1277" s="57"/>
      <c r="U1277" s="57"/>
      <c r="V1277" s="73">
        <f t="shared" si="61"/>
        <v>0</v>
      </c>
      <c r="W1277" s="106"/>
      <c r="X1277" s="64"/>
    </row>
    <row r="1278" spans="1:24" s="66" customFormat="1" ht="12" hidden="1" customHeight="1">
      <c r="A1278" s="81" t="s">
        <v>3103</v>
      </c>
      <c r="B1278" s="81"/>
      <c r="C1278" s="81"/>
      <c r="D1278" s="81"/>
      <c r="E1278" s="81"/>
      <c r="F1278" s="81"/>
      <c r="G1278" s="81"/>
      <c r="H1278" s="81"/>
      <c r="I1278" s="81" t="s">
        <v>3056</v>
      </c>
      <c r="J1278" s="81" t="s">
        <v>3057</v>
      </c>
      <c r="K1278" s="81" t="s">
        <v>3104</v>
      </c>
      <c r="L1278" s="81" t="s">
        <v>20</v>
      </c>
      <c r="M1278" s="68"/>
      <c r="N1278" s="82">
        <v>389760</v>
      </c>
      <c r="O1278" s="57">
        <f t="shared" si="63"/>
        <v>0</v>
      </c>
      <c r="P1278" s="58"/>
      <c r="Q1278" s="73"/>
      <c r="R1278" s="57"/>
      <c r="S1278" s="57"/>
      <c r="T1278" s="57"/>
      <c r="U1278" s="57"/>
      <c r="V1278" s="73">
        <f t="shared" si="61"/>
        <v>0</v>
      </c>
      <c r="W1278" s="106"/>
      <c r="X1278" s="64"/>
    </row>
    <row r="1279" spans="1:24" s="66" customFormat="1" ht="12" hidden="1" customHeight="1">
      <c r="A1279" s="81" t="s">
        <v>3105</v>
      </c>
      <c r="B1279" s="81"/>
      <c r="C1279" s="81"/>
      <c r="D1279" s="81"/>
      <c r="E1279" s="81"/>
      <c r="F1279" s="81"/>
      <c r="G1279" s="81"/>
      <c r="H1279" s="81"/>
      <c r="I1279" s="81" t="s">
        <v>3056</v>
      </c>
      <c r="J1279" s="81" t="s">
        <v>3057</v>
      </c>
      <c r="K1279" s="81" t="s">
        <v>3106</v>
      </c>
      <c r="L1279" s="81" t="s">
        <v>20</v>
      </c>
      <c r="M1279" s="68"/>
      <c r="N1279" s="82">
        <v>487890</v>
      </c>
      <c r="O1279" s="57">
        <f t="shared" si="63"/>
        <v>0</v>
      </c>
      <c r="P1279" s="58"/>
      <c r="Q1279" s="73"/>
      <c r="R1279" s="57"/>
      <c r="S1279" s="57"/>
      <c r="T1279" s="57"/>
      <c r="U1279" s="57"/>
      <c r="V1279" s="73">
        <f t="shared" si="61"/>
        <v>0</v>
      </c>
      <c r="W1279" s="106"/>
      <c r="X1279" s="64"/>
    </row>
    <row r="1280" spans="1:24" s="66" customFormat="1" ht="12" hidden="1" customHeight="1">
      <c r="A1280" s="81" t="s">
        <v>3107</v>
      </c>
      <c r="B1280" s="81"/>
      <c r="C1280" s="81"/>
      <c r="D1280" s="81"/>
      <c r="E1280" s="81"/>
      <c r="F1280" s="81"/>
      <c r="G1280" s="81"/>
      <c r="H1280" s="81"/>
      <c r="I1280" s="81" t="s">
        <v>3056</v>
      </c>
      <c r="J1280" s="81" t="s">
        <v>3057</v>
      </c>
      <c r="K1280" s="81" t="s">
        <v>3108</v>
      </c>
      <c r="L1280" s="81" t="s">
        <v>20</v>
      </c>
      <c r="M1280" s="68"/>
      <c r="N1280" s="82">
        <v>550970</v>
      </c>
      <c r="O1280" s="57">
        <f t="shared" si="63"/>
        <v>0</v>
      </c>
      <c r="P1280" s="58"/>
      <c r="Q1280" s="73"/>
      <c r="R1280" s="57"/>
      <c r="S1280" s="57"/>
      <c r="T1280" s="57"/>
      <c r="U1280" s="57"/>
      <c r="V1280" s="73">
        <f t="shared" si="61"/>
        <v>0</v>
      </c>
      <c r="W1280" s="106"/>
      <c r="X1280" s="64"/>
    </row>
    <row r="1281" spans="1:24" s="66" customFormat="1" ht="12" hidden="1" customHeight="1">
      <c r="A1281" s="81" t="s">
        <v>3111</v>
      </c>
      <c r="B1281" s="81"/>
      <c r="C1281" s="81"/>
      <c r="D1281" s="81"/>
      <c r="E1281" s="81"/>
      <c r="F1281" s="81"/>
      <c r="G1281" s="81"/>
      <c r="H1281" s="81"/>
      <c r="I1281" s="81" t="s">
        <v>3056</v>
      </c>
      <c r="J1281" s="81" t="s">
        <v>3057</v>
      </c>
      <c r="K1281" s="81" t="s">
        <v>3112</v>
      </c>
      <c r="L1281" s="81" t="s">
        <v>20</v>
      </c>
      <c r="M1281" s="68"/>
      <c r="N1281" s="82">
        <v>638900</v>
      </c>
      <c r="O1281" s="57">
        <f t="shared" si="63"/>
        <v>0</v>
      </c>
      <c r="P1281" s="58"/>
      <c r="Q1281" s="73"/>
      <c r="R1281" s="57"/>
      <c r="S1281" s="57"/>
      <c r="T1281" s="57"/>
      <c r="U1281" s="57"/>
      <c r="V1281" s="73">
        <f t="shared" si="61"/>
        <v>0</v>
      </c>
      <c r="W1281" s="106"/>
      <c r="X1281" s="64"/>
    </row>
    <row r="1282" spans="1:24" s="66" customFormat="1" ht="12" hidden="1" customHeight="1">
      <c r="A1282" s="81" t="s">
        <v>3113</v>
      </c>
      <c r="B1282" s="81"/>
      <c r="C1282" s="81"/>
      <c r="D1282" s="81"/>
      <c r="E1282" s="81"/>
      <c r="F1282" s="81"/>
      <c r="G1282" s="81"/>
      <c r="H1282" s="81"/>
      <c r="I1282" s="81" t="s">
        <v>3056</v>
      </c>
      <c r="J1282" s="81" t="s">
        <v>3114</v>
      </c>
      <c r="K1282" s="81" t="s">
        <v>3115</v>
      </c>
      <c r="L1282" s="81" t="s">
        <v>20</v>
      </c>
      <c r="M1282" s="68"/>
      <c r="N1282" s="82">
        <v>50450</v>
      </c>
      <c r="O1282" s="57">
        <f t="shared" si="63"/>
        <v>0</v>
      </c>
      <c r="P1282" s="58"/>
      <c r="Q1282" s="73"/>
      <c r="R1282" s="57"/>
      <c r="S1282" s="57"/>
      <c r="T1282" s="57"/>
      <c r="U1282" s="57"/>
      <c r="V1282" s="73">
        <f t="shared" si="61"/>
        <v>0</v>
      </c>
      <c r="W1282" s="106"/>
      <c r="X1282" s="64"/>
    </row>
    <row r="1283" spans="1:24" s="66" customFormat="1" ht="12" hidden="1" customHeight="1">
      <c r="A1283" s="81" t="s">
        <v>3116</v>
      </c>
      <c r="B1283" s="81"/>
      <c r="C1283" s="81"/>
      <c r="D1283" s="81"/>
      <c r="E1283" s="81"/>
      <c r="F1283" s="81"/>
      <c r="G1283" s="81"/>
      <c r="H1283" s="81"/>
      <c r="I1283" s="81" t="s">
        <v>3056</v>
      </c>
      <c r="J1283" s="81" t="s">
        <v>3114</v>
      </c>
      <c r="K1283" s="81" t="s">
        <v>3117</v>
      </c>
      <c r="L1283" s="81" t="s">
        <v>20</v>
      </c>
      <c r="M1283" s="68"/>
      <c r="N1283" s="82">
        <v>55020</v>
      </c>
      <c r="O1283" s="57">
        <f t="shared" si="63"/>
        <v>0</v>
      </c>
      <c r="P1283" s="58"/>
      <c r="Q1283" s="73"/>
      <c r="R1283" s="57"/>
      <c r="S1283" s="57"/>
      <c r="T1283" s="57"/>
      <c r="U1283" s="57"/>
      <c r="V1283" s="73">
        <f t="shared" si="61"/>
        <v>0</v>
      </c>
      <c r="W1283" s="106"/>
      <c r="X1283" s="64"/>
    </row>
    <row r="1284" spans="1:24" s="66" customFormat="1" ht="12" hidden="1" customHeight="1">
      <c r="A1284" s="81" t="s">
        <v>3118</v>
      </c>
      <c r="B1284" s="81"/>
      <c r="C1284" s="81"/>
      <c r="D1284" s="81"/>
      <c r="E1284" s="81"/>
      <c r="F1284" s="81"/>
      <c r="G1284" s="81"/>
      <c r="H1284" s="81"/>
      <c r="I1284" s="81" t="s">
        <v>3056</v>
      </c>
      <c r="J1284" s="81" t="s">
        <v>3114</v>
      </c>
      <c r="K1284" s="81" t="s">
        <v>3120</v>
      </c>
      <c r="L1284" s="81" t="s">
        <v>20</v>
      </c>
      <c r="M1284" s="68"/>
      <c r="N1284" s="82">
        <v>61180</v>
      </c>
      <c r="O1284" s="57">
        <f t="shared" si="63"/>
        <v>0</v>
      </c>
      <c r="P1284" s="58"/>
      <c r="Q1284" s="73"/>
      <c r="R1284" s="57"/>
      <c r="S1284" s="57"/>
      <c r="T1284" s="57"/>
      <c r="U1284" s="57"/>
      <c r="V1284" s="73">
        <f t="shared" si="61"/>
        <v>0</v>
      </c>
      <c r="W1284" s="106"/>
      <c r="X1284" s="64"/>
    </row>
    <row r="1285" spans="1:24" s="66" customFormat="1" ht="12" hidden="1" customHeight="1">
      <c r="A1285" s="81" t="s">
        <v>3122</v>
      </c>
      <c r="B1285" s="81"/>
      <c r="C1285" s="81"/>
      <c r="D1285" s="81"/>
      <c r="E1285" s="81"/>
      <c r="F1285" s="81"/>
      <c r="G1285" s="81"/>
      <c r="H1285" s="81"/>
      <c r="I1285" s="81" t="s">
        <v>3056</v>
      </c>
      <c r="J1285" s="81" t="s">
        <v>3114</v>
      </c>
      <c r="K1285" s="81" t="s">
        <v>3123</v>
      </c>
      <c r="L1285" s="81" t="s">
        <v>20</v>
      </c>
      <c r="M1285" s="68"/>
      <c r="N1285" s="82">
        <v>70310</v>
      </c>
      <c r="O1285" s="57">
        <f t="shared" si="63"/>
        <v>0</v>
      </c>
      <c r="P1285" s="58"/>
      <c r="Q1285" s="73"/>
      <c r="R1285" s="57"/>
      <c r="S1285" s="57"/>
      <c r="T1285" s="57"/>
      <c r="U1285" s="57"/>
      <c r="V1285" s="73">
        <f t="shared" si="61"/>
        <v>0</v>
      </c>
      <c r="W1285" s="106"/>
      <c r="X1285" s="64"/>
    </row>
    <row r="1286" spans="1:24" s="66" customFormat="1" ht="12" hidden="1" customHeight="1">
      <c r="A1286" s="81" t="s">
        <v>3124</v>
      </c>
      <c r="B1286" s="81"/>
      <c r="C1286" s="81"/>
      <c r="D1286" s="81"/>
      <c r="E1286" s="81"/>
      <c r="F1286" s="81"/>
      <c r="G1286" s="81"/>
      <c r="H1286" s="81"/>
      <c r="I1286" s="81" t="s">
        <v>3056</v>
      </c>
      <c r="J1286" s="81" t="s">
        <v>3114</v>
      </c>
      <c r="K1286" s="81" t="s">
        <v>3125</v>
      </c>
      <c r="L1286" s="81" t="s">
        <v>20</v>
      </c>
      <c r="M1286" s="68"/>
      <c r="N1286" s="82">
        <v>85600</v>
      </c>
      <c r="O1286" s="57">
        <f t="shared" si="63"/>
        <v>0</v>
      </c>
      <c r="P1286" s="58"/>
      <c r="Q1286" s="73"/>
      <c r="R1286" s="57"/>
      <c r="S1286" s="57"/>
      <c r="T1286" s="57"/>
      <c r="U1286" s="57"/>
      <c r="V1286" s="73">
        <f t="shared" si="61"/>
        <v>0</v>
      </c>
      <c r="W1286" s="106"/>
      <c r="X1286" s="64"/>
    </row>
    <row r="1287" spans="1:24" s="66" customFormat="1" ht="12" hidden="1" customHeight="1">
      <c r="A1287" s="81" t="s">
        <v>3126</v>
      </c>
      <c r="B1287" s="81"/>
      <c r="C1287" s="81"/>
      <c r="D1287" s="81"/>
      <c r="E1287" s="81"/>
      <c r="F1287" s="81"/>
      <c r="G1287" s="81"/>
      <c r="H1287" s="81"/>
      <c r="I1287" s="81" t="s">
        <v>3056</v>
      </c>
      <c r="J1287" s="81" t="s">
        <v>3114</v>
      </c>
      <c r="K1287" s="81" t="s">
        <v>3127</v>
      </c>
      <c r="L1287" s="81" t="s">
        <v>20</v>
      </c>
      <c r="M1287" s="68"/>
      <c r="N1287" s="82">
        <v>97820</v>
      </c>
      <c r="O1287" s="57">
        <f t="shared" si="63"/>
        <v>0</v>
      </c>
      <c r="P1287" s="58"/>
      <c r="Q1287" s="73"/>
      <c r="R1287" s="57"/>
      <c r="S1287" s="57"/>
      <c r="T1287" s="57"/>
      <c r="U1287" s="57"/>
      <c r="V1287" s="73">
        <f t="shared" si="61"/>
        <v>0</v>
      </c>
      <c r="W1287" s="106"/>
      <c r="X1287" s="64"/>
    </row>
    <row r="1288" spans="1:24" s="66" customFormat="1" ht="12" hidden="1" customHeight="1">
      <c r="A1288" s="81" t="s">
        <v>3128</v>
      </c>
      <c r="B1288" s="81"/>
      <c r="C1288" s="81"/>
      <c r="D1288" s="81"/>
      <c r="E1288" s="81"/>
      <c r="F1288" s="81"/>
      <c r="G1288" s="81"/>
      <c r="H1288" s="81"/>
      <c r="I1288" s="81" t="s">
        <v>3056</v>
      </c>
      <c r="J1288" s="81" t="s">
        <v>3114</v>
      </c>
      <c r="K1288" s="81" t="s">
        <v>3129</v>
      </c>
      <c r="L1288" s="81" t="s">
        <v>20</v>
      </c>
      <c r="M1288" s="68"/>
      <c r="N1288" s="82">
        <v>100890</v>
      </c>
      <c r="O1288" s="57">
        <f t="shared" si="63"/>
        <v>0</v>
      </c>
      <c r="P1288" s="58"/>
      <c r="Q1288" s="73"/>
      <c r="R1288" s="57"/>
      <c r="S1288" s="57"/>
      <c r="T1288" s="57"/>
      <c r="U1288" s="57"/>
      <c r="V1288" s="73">
        <f t="shared" si="61"/>
        <v>0</v>
      </c>
      <c r="W1288" s="106"/>
      <c r="X1288" s="64"/>
    </row>
    <row r="1289" spans="1:24" s="66" customFormat="1" ht="12" hidden="1" customHeight="1">
      <c r="A1289" s="81" t="s">
        <v>3130</v>
      </c>
      <c r="B1289" s="81"/>
      <c r="C1289" s="81"/>
      <c r="D1289" s="81"/>
      <c r="E1289" s="81"/>
      <c r="F1289" s="81"/>
      <c r="G1289" s="81"/>
      <c r="H1289" s="81"/>
      <c r="I1289" s="81" t="s">
        <v>3056</v>
      </c>
      <c r="J1289" s="81" t="s">
        <v>3114</v>
      </c>
      <c r="K1289" s="81" t="s">
        <v>3131</v>
      </c>
      <c r="L1289" s="81" t="s">
        <v>20</v>
      </c>
      <c r="M1289" s="68"/>
      <c r="N1289" s="82">
        <v>105460</v>
      </c>
      <c r="O1289" s="57">
        <f t="shared" si="63"/>
        <v>0</v>
      </c>
      <c r="P1289" s="58"/>
      <c r="Q1289" s="73"/>
      <c r="R1289" s="57"/>
      <c r="S1289" s="57"/>
      <c r="T1289" s="57"/>
      <c r="U1289" s="57"/>
      <c r="V1289" s="73">
        <f t="shared" si="61"/>
        <v>0</v>
      </c>
      <c r="W1289" s="106"/>
      <c r="X1289" s="64"/>
    </row>
    <row r="1290" spans="1:24" s="66" customFormat="1" ht="12" hidden="1" customHeight="1">
      <c r="A1290" s="81" t="s">
        <v>3134</v>
      </c>
      <c r="B1290" s="81"/>
      <c r="C1290" s="81"/>
      <c r="D1290" s="81"/>
      <c r="E1290" s="81"/>
      <c r="F1290" s="81"/>
      <c r="G1290" s="81"/>
      <c r="H1290" s="81"/>
      <c r="I1290" s="81" t="s">
        <v>3056</v>
      </c>
      <c r="J1290" s="81" t="s">
        <v>3114</v>
      </c>
      <c r="K1290" s="81" t="s">
        <v>3135</v>
      </c>
      <c r="L1290" s="81" t="s">
        <v>20</v>
      </c>
      <c r="M1290" s="68"/>
      <c r="N1290" s="82">
        <v>94740</v>
      </c>
      <c r="O1290" s="57">
        <f t="shared" si="63"/>
        <v>0</v>
      </c>
      <c r="P1290" s="58"/>
      <c r="Q1290" s="73"/>
      <c r="R1290" s="57"/>
      <c r="S1290" s="57"/>
      <c r="T1290" s="57"/>
      <c r="U1290" s="57"/>
      <c r="V1290" s="73">
        <f t="shared" si="61"/>
        <v>0</v>
      </c>
      <c r="W1290" s="106"/>
      <c r="X1290" s="64"/>
    </row>
    <row r="1291" spans="1:24" s="66" customFormat="1" ht="12" hidden="1" customHeight="1">
      <c r="A1291" s="81" t="s">
        <v>3136</v>
      </c>
      <c r="B1291" s="81"/>
      <c r="C1291" s="81"/>
      <c r="D1291" s="81"/>
      <c r="E1291" s="81"/>
      <c r="F1291" s="81"/>
      <c r="G1291" s="81"/>
      <c r="H1291" s="81"/>
      <c r="I1291" s="81" t="s">
        <v>3056</v>
      </c>
      <c r="J1291" s="81" t="s">
        <v>3114</v>
      </c>
      <c r="K1291" s="81" t="s">
        <v>3137</v>
      </c>
      <c r="L1291" s="81" t="s">
        <v>20</v>
      </c>
      <c r="M1291" s="68"/>
      <c r="N1291" s="82">
        <v>107050</v>
      </c>
      <c r="O1291" s="57">
        <f t="shared" si="63"/>
        <v>0</v>
      </c>
      <c r="P1291" s="58"/>
      <c r="Q1291" s="73"/>
      <c r="R1291" s="57"/>
      <c r="S1291" s="57"/>
      <c r="T1291" s="57"/>
      <c r="U1291" s="57"/>
      <c r="V1291" s="73">
        <f t="shared" ref="V1291:V1444" si="64">SUM(O1291+Q1291)+S1291+U1291</f>
        <v>0</v>
      </c>
      <c r="W1291" s="106"/>
      <c r="X1291" s="64"/>
    </row>
    <row r="1292" spans="1:24" s="66" customFormat="1" ht="12" hidden="1" customHeight="1">
      <c r="A1292" s="81" t="s">
        <v>3138</v>
      </c>
      <c r="B1292" s="81"/>
      <c r="C1292" s="81"/>
      <c r="D1292" s="81"/>
      <c r="E1292" s="81"/>
      <c r="F1292" s="81"/>
      <c r="G1292" s="81"/>
      <c r="H1292" s="81"/>
      <c r="I1292" s="81" t="s">
        <v>3056</v>
      </c>
      <c r="J1292" s="81" t="s">
        <v>3114</v>
      </c>
      <c r="K1292" s="81" t="s">
        <v>3139</v>
      </c>
      <c r="L1292" s="81" t="s">
        <v>20</v>
      </c>
      <c r="M1292" s="68"/>
      <c r="N1292" s="82">
        <v>111620</v>
      </c>
      <c r="O1292" s="57">
        <f t="shared" si="63"/>
        <v>0</v>
      </c>
      <c r="P1292" s="58"/>
      <c r="Q1292" s="73"/>
      <c r="R1292" s="57"/>
      <c r="S1292" s="57"/>
      <c r="T1292" s="57"/>
      <c r="U1292" s="57"/>
      <c r="V1292" s="73">
        <f t="shared" si="64"/>
        <v>0</v>
      </c>
      <c r="W1292" s="106"/>
      <c r="X1292" s="64"/>
    </row>
    <row r="1293" spans="1:24" s="66" customFormat="1" ht="12" hidden="1" customHeight="1">
      <c r="A1293" s="81" t="s">
        <v>3132</v>
      </c>
      <c r="B1293" s="81"/>
      <c r="C1293" s="81"/>
      <c r="D1293" s="81"/>
      <c r="E1293" s="81"/>
      <c r="F1293" s="81"/>
      <c r="G1293" s="81"/>
      <c r="H1293" s="81"/>
      <c r="I1293" s="81" t="s">
        <v>3056</v>
      </c>
      <c r="J1293" s="81" t="s">
        <v>3114</v>
      </c>
      <c r="K1293" s="81" t="s">
        <v>3133</v>
      </c>
      <c r="L1293" s="81" t="s">
        <v>20</v>
      </c>
      <c r="M1293" s="68"/>
      <c r="N1293" s="82">
        <v>122350</v>
      </c>
      <c r="O1293" s="57">
        <f t="shared" si="63"/>
        <v>0</v>
      </c>
      <c r="P1293" s="58"/>
      <c r="Q1293" s="73"/>
      <c r="R1293" s="57"/>
      <c r="S1293" s="57"/>
      <c r="T1293" s="57"/>
      <c r="U1293" s="57"/>
      <c r="V1293" s="73">
        <f t="shared" si="64"/>
        <v>0</v>
      </c>
      <c r="W1293" s="106"/>
      <c r="X1293" s="64"/>
    </row>
    <row r="1294" spans="1:24" s="66" customFormat="1" ht="12" hidden="1" customHeight="1">
      <c r="A1294" s="81" t="s">
        <v>3144</v>
      </c>
      <c r="B1294" s="81"/>
      <c r="C1294" s="81"/>
      <c r="D1294" s="81"/>
      <c r="E1294" s="81"/>
      <c r="F1294" s="81"/>
      <c r="G1294" s="81"/>
      <c r="H1294" s="81"/>
      <c r="I1294" s="81" t="s">
        <v>3056</v>
      </c>
      <c r="J1294" s="81" t="s">
        <v>3114</v>
      </c>
      <c r="K1294" s="81" t="s">
        <v>3145</v>
      </c>
      <c r="L1294" s="81" t="s">
        <v>20</v>
      </c>
      <c r="M1294" s="68"/>
      <c r="N1294" s="82">
        <v>100890</v>
      </c>
      <c r="O1294" s="57">
        <f t="shared" si="63"/>
        <v>0</v>
      </c>
      <c r="P1294" s="58"/>
      <c r="Q1294" s="73"/>
      <c r="R1294" s="57"/>
      <c r="S1294" s="57"/>
      <c r="T1294" s="57"/>
      <c r="U1294" s="57"/>
      <c r="V1294" s="73">
        <f t="shared" si="64"/>
        <v>0</v>
      </c>
      <c r="W1294" s="106"/>
      <c r="X1294" s="64"/>
    </row>
    <row r="1295" spans="1:24" s="66" customFormat="1" ht="12" hidden="1" customHeight="1">
      <c r="A1295" s="81" t="s">
        <v>3146</v>
      </c>
      <c r="B1295" s="81"/>
      <c r="C1295" s="81"/>
      <c r="D1295" s="81"/>
      <c r="E1295" s="81"/>
      <c r="F1295" s="81"/>
      <c r="G1295" s="81"/>
      <c r="H1295" s="81"/>
      <c r="I1295" s="81" t="s">
        <v>3056</v>
      </c>
      <c r="J1295" s="81" t="s">
        <v>3114</v>
      </c>
      <c r="K1295" s="81" t="s">
        <v>3147</v>
      </c>
      <c r="L1295" s="81" t="s">
        <v>20</v>
      </c>
      <c r="M1295" s="68"/>
      <c r="N1295" s="82">
        <v>102380</v>
      </c>
      <c r="O1295" s="57">
        <f t="shared" si="63"/>
        <v>0</v>
      </c>
      <c r="P1295" s="58"/>
      <c r="Q1295" s="73"/>
      <c r="R1295" s="57"/>
      <c r="S1295" s="57"/>
      <c r="T1295" s="57"/>
      <c r="U1295" s="57"/>
      <c r="V1295" s="73">
        <f t="shared" si="64"/>
        <v>0</v>
      </c>
      <c r="W1295" s="106"/>
      <c r="X1295" s="64"/>
    </row>
    <row r="1296" spans="1:24" s="66" customFormat="1" ht="12" hidden="1" customHeight="1">
      <c r="A1296" s="81" t="s">
        <v>3148</v>
      </c>
      <c r="B1296" s="81"/>
      <c r="C1296" s="81"/>
      <c r="D1296" s="81"/>
      <c r="E1296" s="81"/>
      <c r="F1296" s="81"/>
      <c r="G1296" s="81"/>
      <c r="H1296" s="81"/>
      <c r="I1296" s="81" t="s">
        <v>3056</v>
      </c>
      <c r="J1296" s="81" t="s">
        <v>3114</v>
      </c>
      <c r="K1296" s="81" t="s">
        <v>3149</v>
      </c>
      <c r="L1296" s="81" t="s">
        <v>20</v>
      </c>
      <c r="M1296" s="68"/>
      <c r="N1296" s="82">
        <v>114700</v>
      </c>
      <c r="O1296" s="57">
        <f t="shared" si="63"/>
        <v>0</v>
      </c>
      <c r="P1296" s="58"/>
      <c r="Q1296" s="73"/>
      <c r="R1296" s="57"/>
      <c r="S1296" s="57"/>
      <c r="T1296" s="57"/>
      <c r="U1296" s="57"/>
      <c r="V1296" s="73">
        <f t="shared" si="64"/>
        <v>0</v>
      </c>
      <c r="W1296" s="106"/>
      <c r="X1296" s="64"/>
    </row>
    <row r="1297" spans="1:24" s="66" customFormat="1" ht="12" hidden="1" customHeight="1">
      <c r="A1297" s="81" t="s">
        <v>3150</v>
      </c>
      <c r="B1297" s="81"/>
      <c r="C1297" s="81"/>
      <c r="D1297" s="81"/>
      <c r="E1297" s="81"/>
      <c r="F1297" s="81"/>
      <c r="G1297" s="81"/>
      <c r="H1297" s="81"/>
      <c r="I1297" s="81" t="s">
        <v>3056</v>
      </c>
      <c r="J1297" s="81" t="s">
        <v>3114</v>
      </c>
      <c r="K1297" s="81" t="s">
        <v>3151</v>
      </c>
      <c r="L1297" s="81" t="s">
        <v>20</v>
      </c>
      <c r="M1297" s="68"/>
      <c r="N1297" s="82">
        <v>120750</v>
      </c>
      <c r="O1297" s="57">
        <f t="shared" si="63"/>
        <v>0</v>
      </c>
      <c r="P1297" s="58"/>
      <c r="Q1297" s="73"/>
      <c r="R1297" s="57"/>
      <c r="S1297" s="57"/>
      <c r="T1297" s="57"/>
      <c r="U1297" s="57"/>
      <c r="V1297" s="73">
        <f t="shared" si="64"/>
        <v>0</v>
      </c>
      <c r="W1297" s="106"/>
      <c r="X1297" s="64"/>
    </row>
    <row r="1298" spans="1:24" s="66" customFormat="1" ht="12" hidden="1" customHeight="1">
      <c r="A1298" s="81" t="s">
        <v>3140</v>
      </c>
      <c r="B1298" s="81"/>
      <c r="C1298" s="81"/>
      <c r="D1298" s="81"/>
      <c r="E1298" s="81"/>
      <c r="F1298" s="81"/>
      <c r="G1298" s="81"/>
      <c r="H1298" s="81"/>
      <c r="I1298" s="81" t="s">
        <v>3056</v>
      </c>
      <c r="J1298" s="81" t="s">
        <v>3114</v>
      </c>
      <c r="K1298" s="81" t="s">
        <v>3141</v>
      </c>
      <c r="L1298" s="81" t="s">
        <v>20</v>
      </c>
      <c r="M1298" s="68"/>
      <c r="N1298" s="82">
        <v>134560</v>
      </c>
      <c r="O1298" s="57">
        <f t="shared" si="63"/>
        <v>0</v>
      </c>
      <c r="P1298" s="58"/>
      <c r="Q1298" s="73"/>
      <c r="R1298" s="57"/>
      <c r="S1298" s="57"/>
      <c r="T1298" s="57"/>
      <c r="U1298" s="57"/>
      <c r="V1298" s="73">
        <f t="shared" si="64"/>
        <v>0</v>
      </c>
      <c r="W1298" s="106"/>
      <c r="X1298" s="64"/>
    </row>
    <row r="1299" spans="1:24" s="66" customFormat="1" ht="12" hidden="1" customHeight="1">
      <c r="A1299" s="81" t="s">
        <v>3142</v>
      </c>
      <c r="B1299" s="81"/>
      <c r="C1299" s="81"/>
      <c r="D1299" s="81"/>
      <c r="E1299" s="81"/>
      <c r="F1299" s="81"/>
      <c r="G1299" s="81"/>
      <c r="H1299" s="81"/>
      <c r="I1299" s="81" t="s">
        <v>3056</v>
      </c>
      <c r="J1299" s="81" t="s">
        <v>3114</v>
      </c>
      <c r="K1299" s="81" t="s">
        <v>3143</v>
      </c>
      <c r="L1299" s="81" t="s">
        <v>20</v>
      </c>
      <c r="M1299" s="68"/>
      <c r="N1299" s="82">
        <v>160580</v>
      </c>
      <c r="O1299" s="57">
        <f t="shared" si="63"/>
        <v>0</v>
      </c>
      <c r="P1299" s="58"/>
      <c r="Q1299" s="73"/>
      <c r="R1299" s="57"/>
      <c r="S1299" s="57"/>
      <c r="T1299" s="57"/>
      <c r="U1299" s="57"/>
      <c r="V1299" s="73">
        <f t="shared" si="64"/>
        <v>0</v>
      </c>
      <c r="W1299" s="106"/>
      <c r="X1299" s="64"/>
    </row>
    <row r="1300" spans="1:24" s="66" customFormat="1" ht="12" hidden="1" customHeight="1">
      <c r="A1300" s="81" t="s">
        <v>3158</v>
      </c>
      <c r="B1300" s="81"/>
      <c r="C1300" s="81"/>
      <c r="D1300" s="81"/>
      <c r="E1300" s="81"/>
      <c r="F1300" s="81"/>
      <c r="G1300" s="81"/>
      <c r="H1300" s="81"/>
      <c r="I1300" s="81" t="s">
        <v>3056</v>
      </c>
      <c r="J1300" s="81" t="s">
        <v>3114</v>
      </c>
      <c r="K1300" s="81" t="s">
        <v>3159</v>
      </c>
      <c r="L1300" s="81" t="s">
        <v>20</v>
      </c>
      <c r="M1300" s="68"/>
      <c r="N1300" s="82">
        <v>116190</v>
      </c>
      <c r="O1300" s="57">
        <f t="shared" si="63"/>
        <v>0</v>
      </c>
      <c r="P1300" s="58"/>
      <c r="Q1300" s="73"/>
      <c r="R1300" s="57"/>
      <c r="S1300" s="57"/>
      <c r="T1300" s="57"/>
      <c r="U1300" s="57"/>
      <c r="V1300" s="73">
        <f t="shared" si="64"/>
        <v>0</v>
      </c>
      <c r="W1300" s="106"/>
      <c r="X1300" s="64"/>
    </row>
    <row r="1301" spans="1:24" s="66" customFormat="1" ht="12" hidden="1" customHeight="1">
      <c r="A1301" s="81" t="s">
        <v>3152</v>
      </c>
      <c r="B1301" s="81"/>
      <c r="C1301" s="81"/>
      <c r="D1301" s="81"/>
      <c r="E1301" s="81"/>
      <c r="F1301" s="81"/>
      <c r="G1301" s="81"/>
      <c r="H1301" s="81"/>
      <c r="I1301" s="81" t="s">
        <v>3056</v>
      </c>
      <c r="J1301" s="81" t="s">
        <v>3114</v>
      </c>
      <c r="K1301" s="81" t="s">
        <v>3153</v>
      </c>
      <c r="L1301" s="81" t="s">
        <v>20</v>
      </c>
      <c r="M1301" s="68"/>
      <c r="N1301" s="82">
        <v>146770</v>
      </c>
      <c r="O1301" s="57">
        <f t="shared" si="63"/>
        <v>0</v>
      </c>
      <c r="P1301" s="58"/>
      <c r="Q1301" s="73"/>
      <c r="R1301" s="57"/>
      <c r="S1301" s="57"/>
      <c r="T1301" s="57"/>
      <c r="U1301" s="57"/>
      <c r="V1301" s="73">
        <f t="shared" si="64"/>
        <v>0</v>
      </c>
      <c r="W1301" s="106"/>
      <c r="X1301" s="64"/>
    </row>
    <row r="1302" spans="1:24" s="66" customFormat="1" ht="12" hidden="1" customHeight="1">
      <c r="A1302" s="81" t="s">
        <v>3154</v>
      </c>
      <c r="B1302" s="81"/>
      <c r="C1302" s="81"/>
      <c r="D1302" s="81"/>
      <c r="E1302" s="81"/>
      <c r="F1302" s="81"/>
      <c r="G1302" s="81"/>
      <c r="H1302" s="81"/>
      <c r="I1302" s="81" t="s">
        <v>3056</v>
      </c>
      <c r="J1302" s="81" t="s">
        <v>3114</v>
      </c>
      <c r="K1302" s="81" t="s">
        <v>3155</v>
      </c>
      <c r="L1302" s="81" t="s">
        <v>20</v>
      </c>
      <c r="M1302" s="68"/>
      <c r="N1302" s="82">
        <v>160580</v>
      </c>
      <c r="O1302" s="57">
        <f t="shared" si="63"/>
        <v>0</v>
      </c>
      <c r="P1302" s="58"/>
      <c r="Q1302" s="73"/>
      <c r="R1302" s="57"/>
      <c r="S1302" s="57"/>
      <c r="T1302" s="57"/>
      <c r="U1302" s="57"/>
      <c r="V1302" s="73">
        <f t="shared" si="64"/>
        <v>0</v>
      </c>
      <c r="W1302" s="106"/>
      <c r="X1302" s="64"/>
    </row>
    <row r="1303" spans="1:24" s="66" customFormat="1" ht="12" hidden="1" customHeight="1">
      <c r="A1303" s="81" t="s">
        <v>3156</v>
      </c>
      <c r="B1303" s="81"/>
      <c r="C1303" s="81"/>
      <c r="D1303" s="81"/>
      <c r="E1303" s="81"/>
      <c r="F1303" s="81"/>
      <c r="G1303" s="81"/>
      <c r="H1303" s="81"/>
      <c r="I1303" s="81" t="s">
        <v>3056</v>
      </c>
      <c r="J1303" s="81" t="s">
        <v>3114</v>
      </c>
      <c r="K1303" s="81" t="s">
        <v>3157</v>
      </c>
      <c r="L1303" s="81" t="s">
        <v>20</v>
      </c>
      <c r="M1303" s="68"/>
      <c r="N1303" s="82">
        <v>174280</v>
      </c>
      <c r="O1303" s="57">
        <f t="shared" si="63"/>
        <v>0</v>
      </c>
      <c r="P1303" s="58"/>
      <c r="Q1303" s="73"/>
      <c r="R1303" s="57"/>
      <c r="S1303" s="57"/>
      <c r="T1303" s="57"/>
      <c r="U1303" s="57"/>
      <c r="V1303" s="73">
        <f t="shared" si="64"/>
        <v>0</v>
      </c>
      <c r="W1303" s="106"/>
      <c r="X1303" s="64"/>
    </row>
    <row r="1304" spans="1:24" s="66" customFormat="1" ht="12" hidden="1" customHeight="1">
      <c r="A1304" s="81" t="s">
        <v>3164</v>
      </c>
      <c r="B1304" s="81"/>
      <c r="C1304" s="81"/>
      <c r="D1304" s="81"/>
      <c r="E1304" s="81"/>
      <c r="F1304" s="81"/>
      <c r="G1304" s="81"/>
      <c r="H1304" s="81"/>
      <c r="I1304" s="81" t="s">
        <v>3056</v>
      </c>
      <c r="J1304" s="81" t="s">
        <v>3114</v>
      </c>
      <c r="K1304" s="81" t="s">
        <v>3166</v>
      </c>
      <c r="L1304" s="81" t="s">
        <v>20</v>
      </c>
      <c r="M1304" s="68"/>
      <c r="N1304" s="82">
        <v>126910</v>
      </c>
      <c r="O1304" s="57">
        <f t="shared" si="63"/>
        <v>0</v>
      </c>
      <c r="P1304" s="58"/>
      <c r="Q1304" s="73"/>
      <c r="R1304" s="57"/>
      <c r="S1304" s="57"/>
      <c r="T1304" s="57"/>
      <c r="U1304" s="57"/>
      <c r="V1304" s="73">
        <f t="shared" si="64"/>
        <v>0</v>
      </c>
      <c r="W1304" s="106"/>
      <c r="X1304" s="64"/>
    </row>
    <row r="1305" spans="1:24" s="66" customFormat="1" ht="12" hidden="1" customHeight="1">
      <c r="A1305" s="81" t="s">
        <v>3165</v>
      </c>
      <c r="B1305" s="81"/>
      <c r="C1305" s="81"/>
      <c r="D1305" s="81"/>
      <c r="E1305" s="81"/>
      <c r="F1305" s="81"/>
      <c r="G1305" s="81"/>
      <c r="H1305" s="81"/>
      <c r="I1305" s="81" t="s">
        <v>3056</v>
      </c>
      <c r="J1305" s="81" t="s">
        <v>3114</v>
      </c>
      <c r="K1305" s="81" t="s">
        <v>3167</v>
      </c>
      <c r="L1305" s="81" t="s">
        <v>20</v>
      </c>
      <c r="M1305" s="68"/>
      <c r="N1305" s="82">
        <v>140610</v>
      </c>
      <c r="O1305" s="57">
        <f t="shared" si="63"/>
        <v>0</v>
      </c>
      <c r="P1305" s="58"/>
      <c r="Q1305" s="73"/>
      <c r="R1305" s="57"/>
      <c r="S1305" s="57"/>
      <c r="T1305" s="57"/>
      <c r="U1305" s="57"/>
      <c r="V1305" s="73">
        <f t="shared" si="64"/>
        <v>0</v>
      </c>
      <c r="W1305" s="106"/>
      <c r="X1305" s="64"/>
    </row>
    <row r="1306" spans="1:24" s="66" customFormat="1" ht="12" hidden="1" customHeight="1">
      <c r="A1306" s="81" t="s">
        <v>3160</v>
      </c>
      <c r="B1306" s="81"/>
      <c r="C1306" s="81"/>
      <c r="D1306" s="81"/>
      <c r="E1306" s="81"/>
      <c r="F1306" s="81"/>
      <c r="G1306" s="81"/>
      <c r="H1306" s="81"/>
      <c r="I1306" s="81" t="s">
        <v>3056</v>
      </c>
      <c r="J1306" s="81" t="s">
        <v>3114</v>
      </c>
      <c r="K1306" s="81" t="s">
        <v>3161</v>
      </c>
      <c r="L1306" s="81" t="s">
        <v>20</v>
      </c>
      <c r="M1306" s="68"/>
      <c r="N1306" s="82">
        <v>155910</v>
      </c>
      <c r="O1306" s="57">
        <f t="shared" si="63"/>
        <v>0</v>
      </c>
      <c r="P1306" s="58"/>
      <c r="Q1306" s="73"/>
      <c r="R1306" s="57"/>
      <c r="S1306" s="57"/>
      <c r="T1306" s="57"/>
      <c r="U1306" s="57"/>
      <c r="V1306" s="73">
        <f t="shared" si="64"/>
        <v>0</v>
      </c>
      <c r="W1306" s="106"/>
      <c r="X1306" s="64"/>
    </row>
    <row r="1307" spans="1:24" s="66" customFormat="1" ht="12" hidden="1" customHeight="1">
      <c r="A1307" s="81" t="s">
        <v>3162</v>
      </c>
      <c r="B1307" s="81"/>
      <c r="C1307" s="81"/>
      <c r="D1307" s="81"/>
      <c r="E1307" s="81"/>
      <c r="F1307" s="81"/>
      <c r="G1307" s="81"/>
      <c r="H1307" s="81"/>
      <c r="I1307" s="81" t="s">
        <v>3056</v>
      </c>
      <c r="J1307" s="81" t="s">
        <v>3114</v>
      </c>
      <c r="K1307" s="81" t="s">
        <v>3163</v>
      </c>
      <c r="L1307" s="81" t="s">
        <v>20</v>
      </c>
      <c r="M1307" s="68"/>
      <c r="N1307" s="82">
        <v>188090</v>
      </c>
      <c r="O1307" s="57">
        <f t="shared" si="63"/>
        <v>0</v>
      </c>
      <c r="P1307" s="58"/>
      <c r="Q1307" s="73"/>
      <c r="R1307" s="57"/>
      <c r="S1307" s="57"/>
      <c r="T1307" s="57"/>
      <c r="U1307" s="57"/>
      <c r="V1307" s="73">
        <f t="shared" si="64"/>
        <v>0</v>
      </c>
      <c r="W1307" s="106"/>
      <c r="X1307" s="64"/>
    </row>
    <row r="1308" spans="1:24" s="66" customFormat="1" ht="12" hidden="1" customHeight="1">
      <c r="A1308" s="81" t="s">
        <v>3174</v>
      </c>
      <c r="B1308" s="81"/>
      <c r="C1308" s="81"/>
      <c r="D1308" s="81"/>
      <c r="E1308" s="81"/>
      <c r="F1308" s="81"/>
      <c r="G1308" s="81"/>
      <c r="H1308" s="81"/>
      <c r="I1308" s="81" t="s">
        <v>3056</v>
      </c>
      <c r="J1308" s="81" t="s">
        <v>3114</v>
      </c>
      <c r="K1308" s="81" t="s">
        <v>3175</v>
      </c>
      <c r="L1308" s="81" t="s">
        <v>20</v>
      </c>
      <c r="M1308" s="68"/>
      <c r="N1308" s="82">
        <v>160580</v>
      </c>
      <c r="O1308" s="57">
        <f t="shared" si="63"/>
        <v>0</v>
      </c>
      <c r="P1308" s="58"/>
      <c r="Q1308" s="73"/>
      <c r="R1308" s="57"/>
      <c r="S1308" s="57"/>
      <c r="T1308" s="57"/>
      <c r="U1308" s="57"/>
      <c r="V1308" s="73">
        <f t="shared" si="64"/>
        <v>0</v>
      </c>
      <c r="W1308" s="106"/>
      <c r="X1308" s="64"/>
    </row>
    <row r="1309" spans="1:24" s="66" customFormat="1" ht="12" hidden="1" customHeight="1">
      <c r="A1309" s="81" t="s">
        <v>3168</v>
      </c>
      <c r="B1309" s="81"/>
      <c r="C1309" s="81"/>
      <c r="D1309" s="81"/>
      <c r="E1309" s="81"/>
      <c r="F1309" s="81"/>
      <c r="G1309" s="81"/>
      <c r="H1309" s="81"/>
      <c r="I1309" s="81" t="s">
        <v>3056</v>
      </c>
      <c r="J1309" s="81" t="s">
        <v>3114</v>
      </c>
      <c r="K1309" s="81" t="s">
        <v>3171</v>
      </c>
      <c r="L1309" s="81" t="s">
        <v>20</v>
      </c>
      <c r="M1309" s="68"/>
      <c r="N1309" s="82">
        <v>180440</v>
      </c>
      <c r="O1309" s="57">
        <f t="shared" si="63"/>
        <v>0</v>
      </c>
      <c r="P1309" s="58"/>
      <c r="Q1309" s="73"/>
      <c r="R1309" s="57"/>
      <c r="S1309" s="57"/>
      <c r="T1309" s="57"/>
      <c r="U1309" s="57"/>
      <c r="V1309" s="73">
        <f t="shared" si="64"/>
        <v>0</v>
      </c>
      <c r="W1309" s="106"/>
      <c r="X1309" s="64"/>
    </row>
    <row r="1310" spans="1:24" s="66" customFormat="1" ht="12" hidden="1" customHeight="1">
      <c r="A1310" s="81" t="s">
        <v>3169</v>
      </c>
      <c r="B1310" s="81"/>
      <c r="C1310" s="81"/>
      <c r="D1310" s="81"/>
      <c r="E1310" s="81"/>
      <c r="F1310" s="81"/>
      <c r="G1310" s="81"/>
      <c r="H1310" s="81"/>
      <c r="I1310" s="81" t="s">
        <v>3056</v>
      </c>
      <c r="J1310" s="81" t="s">
        <v>3114</v>
      </c>
      <c r="K1310" s="81" t="s">
        <v>3172</v>
      </c>
      <c r="L1310" s="81" t="s">
        <v>20</v>
      </c>
      <c r="M1310" s="68"/>
      <c r="N1310" s="82">
        <v>215590</v>
      </c>
      <c r="O1310" s="57">
        <f t="shared" si="63"/>
        <v>0</v>
      </c>
      <c r="P1310" s="58"/>
      <c r="Q1310" s="73"/>
      <c r="R1310" s="57"/>
      <c r="S1310" s="57"/>
      <c r="T1310" s="57"/>
      <c r="U1310" s="57"/>
      <c r="V1310" s="73">
        <f t="shared" si="64"/>
        <v>0</v>
      </c>
      <c r="W1310" s="106"/>
      <c r="X1310" s="64"/>
    </row>
    <row r="1311" spans="1:24" s="66" customFormat="1" ht="12" hidden="1" customHeight="1">
      <c r="A1311" s="81" t="s">
        <v>3170</v>
      </c>
      <c r="B1311" s="81"/>
      <c r="C1311" s="81"/>
      <c r="D1311" s="81"/>
      <c r="E1311" s="81"/>
      <c r="F1311" s="81"/>
      <c r="G1311" s="81"/>
      <c r="H1311" s="81"/>
      <c r="I1311" s="81" t="s">
        <v>3056</v>
      </c>
      <c r="J1311" s="81" t="s">
        <v>3114</v>
      </c>
      <c r="K1311" s="81" t="s">
        <v>3173</v>
      </c>
      <c r="L1311" s="81" t="s">
        <v>20</v>
      </c>
      <c r="M1311" s="68"/>
      <c r="N1311" s="82">
        <v>241610</v>
      </c>
      <c r="O1311" s="57">
        <f t="shared" si="63"/>
        <v>0</v>
      </c>
      <c r="P1311" s="58"/>
      <c r="Q1311" s="73"/>
      <c r="R1311" s="57"/>
      <c r="S1311" s="57"/>
      <c r="T1311" s="57"/>
      <c r="U1311" s="57"/>
      <c r="V1311" s="73">
        <f t="shared" si="64"/>
        <v>0</v>
      </c>
      <c r="W1311" s="106"/>
      <c r="X1311" s="64"/>
    </row>
    <row r="1312" spans="1:24" s="66" customFormat="1" ht="12" hidden="1" customHeight="1">
      <c r="A1312" s="81" t="s">
        <v>3020</v>
      </c>
      <c r="B1312" s="81"/>
      <c r="C1312" s="81"/>
      <c r="D1312" s="81"/>
      <c r="E1312" s="81"/>
      <c r="F1312" s="81"/>
      <c r="G1312" s="81"/>
      <c r="H1312" s="81"/>
      <c r="I1312" s="81" t="s">
        <v>3016</v>
      </c>
      <c r="J1312" s="81" t="s">
        <v>1062</v>
      </c>
      <c r="K1312" s="81" t="s">
        <v>1071</v>
      </c>
      <c r="L1312" s="81" t="s">
        <v>20</v>
      </c>
      <c r="M1312" s="68"/>
      <c r="N1312" s="82">
        <v>2605</v>
      </c>
      <c r="O1312" s="57">
        <f t="shared" si="63"/>
        <v>0</v>
      </c>
      <c r="P1312" s="58"/>
      <c r="Q1312" s="73"/>
      <c r="R1312" s="57"/>
      <c r="S1312" s="57"/>
      <c r="T1312" s="57"/>
      <c r="U1312" s="57"/>
      <c r="V1312" s="73">
        <f t="shared" si="64"/>
        <v>0</v>
      </c>
      <c r="W1312" s="106"/>
      <c r="X1312" s="64"/>
    </row>
    <row r="1313" spans="1:24" s="66" customFormat="1" ht="12" hidden="1" customHeight="1">
      <c r="A1313" s="81" t="s">
        <v>3021</v>
      </c>
      <c r="B1313" s="81"/>
      <c r="C1313" s="81"/>
      <c r="D1313" s="81"/>
      <c r="E1313" s="81"/>
      <c r="F1313" s="81"/>
      <c r="G1313" s="81"/>
      <c r="H1313" s="81"/>
      <c r="I1313" s="81" t="s">
        <v>3016</v>
      </c>
      <c r="J1313" s="81" t="s">
        <v>1062</v>
      </c>
      <c r="K1313" s="81" t="s">
        <v>1070</v>
      </c>
      <c r="L1313" s="81" t="s">
        <v>20</v>
      </c>
      <c r="M1313" s="68"/>
      <c r="N1313" s="82">
        <v>3244</v>
      </c>
      <c r="O1313" s="57">
        <f t="shared" ref="O1313:O1466" si="65">M1313*N1313*$O$3</f>
        <v>0</v>
      </c>
      <c r="P1313" s="58"/>
      <c r="Q1313" s="73"/>
      <c r="R1313" s="57"/>
      <c r="S1313" s="57"/>
      <c r="T1313" s="57"/>
      <c r="U1313" s="57"/>
      <c r="V1313" s="73">
        <f t="shared" si="64"/>
        <v>0</v>
      </c>
      <c r="W1313" s="106"/>
      <c r="X1313" s="64"/>
    </row>
    <row r="1314" spans="1:24" s="66" customFormat="1" ht="12" hidden="1" customHeight="1">
      <c r="A1314" s="81" t="s">
        <v>3022</v>
      </c>
      <c r="B1314" s="81"/>
      <c r="C1314" s="81"/>
      <c r="D1314" s="81"/>
      <c r="E1314" s="81"/>
      <c r="F1314" s="81"/>
      <c r="G1314" s="81"/>
      <c r="H1314" s="81"/>
      <c r="I1314" s="81" t="s">
        <v>3016</v>
      </c>
      <c r="J1314" s="81" t="s">
        <v>1062</v>
      </c>
      <c r="K1314" s="81" t="s">
        <v>1069</v>
      </c>
      <c r="L1314" s="81" t="s">
        <v>20</v>
      </c>
      <c r="M1314" s="68"/>
      <c r="N1314" s="82">
        <v>5376</v>
      </c>
      <c r="O1314" s="57">
        <f t="shared" si="65"/>
        <v>0</v>
      </c>
      <c r="P1314" s="58"/>
      <c r="Q1314" s="73"/>
      <c r="R1314" s="57"/>
      <c r="S1314" s="57"/>
      <c r="T1314" s="57"/>
      <c r="U1314" s="57"/>
      <c r="V1314" s="73">
        <f t="shared" si="64"/>
        <v>0</v>
      </c>
      <c r="W1314" s="106"/>
      <c r="X1314" s="64"/>
    </row>
    <row r="1315" spans="1:24" s="66" customFormat="1" ht="12" hidden="1" customHeight="1">
      <c r="A1315" s="81" t="s">
        <v>3023</v>
      </c>
      <c r="B1315" s="81"/>
      <c r="C1315" s="81"/>
      <c r="D1315" s="81"/>
      <c r="E1315" s="81"/>
      <c r="F1315" s="81"/>
      <c r="G1315" s="81"/>
      <c r="H1315" s="81"/>
      <c r="I1315" s="81" t="s">
        <v>3016</v>
      </c>
      <c r="J1315" s="81" t="s">
        <v>1062</v>
      </c>
      <c r="K1315" s="81" t="s">
        <v>1068</v>
      </c>
      <c r="L1315" s="81" t="s">
        <v>20</v>
      </c>
      <c r="M1315" s="68"/>
      <c r="N1315" s="82">
        <v>5941</v>
      </c>
      <c r="O1315" s="57">
        <f t="shared" si="65"/>
        <v>0</v>
      </c>
      <c r="P1315" s="58"/>
      <c r="Q1315" s="73"/>
      <c r="R1315" s="57"/>
      <c r="S1315" s="57"/>
      <c r="T1315" s="57"/>
      <c r="U1315" s="57"/>
      <c r="V1315" s="73">
        <f t="shared" si="64"/>
        <v>0</v>
      </c>
      <c r="W1315" s="106"/>
      <c r="X1315" s="64"/>
    </row>
    <row r="1316" spans="1:24" s="66" customFormat="1" ht="12" hidden="1" customHeight="1">
      <c r="A1316" s="81" t="s">
        <v>3024</v>
      </c>
      <c r="B1316" s="81"/>
      <c r="C1316" s="81"/>
      <c r="D1316" s="81"/>
      <c r="E1316" s="81"/>
      <c r="F1316" s="81"/>
      <c r="G1316" s="81"/>
      <c r="H1316" s="81"/>
      <c r="I1316" s="81" t="s">
        <v>3016</v>
      </c>
      <c r="J1316" s="81" t="s">
        <v>1062</v>
      </c>
      <c r="K1316" s="81" t="s">
        <v>1067</v>
      </c>
      <c r="L1316" s="81" t="s">
        <v>20</v>
      </c>
      <c r="M1316" s="68"/>
      <c r="N1316" s="82">
        <v>4183</v>
      </c>
      <c r="O1316" s="57">
        <f t="shared" si="65"/>
        <v>0</v>
      </c>
      <c r="P1316" s="58"/>
      <c r="Q1316" s="73"/>
      <c r="R1316" s="57"/>
      <c r="S1316" s="57"/>
      <c r="T1316" s="57"/>
      <c r="U1316" s="57"/>
      <c r="V1316" s="73">
        <f t="shared" si="64"/>
        <v>0</v>
      </c>
      <c r="W1316" s="106"/>
      <c r="X1316" s="64"/>
    </row>
    <row r="1317" spans="1:24" s="66" customFormat="1" ht="12" hidden="1" customHeight="1">
      <c r="A1317" s="81" t="s">
        <v>3025</v>
      </c>
      <c r="B1317" s="81"/>
      <c r="C1317" s="81"/>
      <c r="D1317" s="81"/>
      <c r="E1317" s="81"/>
      <c r="F1317" s="81"/>
      <c r="G1317" s="81"/>
      <c r="H1317" s="81"/>
      <c r="I1317" s="81" t="s">
        <v>3016</v>
      </c>
      <c r="J1317" s="81" t="s">
        <v>1062</v>
      </c>
      <c r="K1317" s="81" t="s">
        <v>1066</v>
      </c>
      <c r="L1317" s="81" t="s">
        <v>20</v>
      </c>
      <c r="M1317" s="68"/>
      <c r="N1317" s="82">
        <v>6800</v>
      </c>
      <c r="O1317" s="57">
        <f t="shared" si="65"/>
        <v>0</v>
      </c>
      <c r="P1317" s="58"/>
      <c r="Q1317" s="73"/>
      <c r="R1317" s="57"/>
      <c r="S1317" s="57"/>
      <c r="T1317" s="57"/>
      <c r="U1317" s="57"/>
      <c r="V1317" s="73">
        <f t="shared" si="64"/>
        <v>0</v>
      </c>
      <c r="W1317" s="106"/>
      <c r="X1317" s="64"/>
    </row>
    <row r="1318" spans="1:24" s="66" customFormat="1" ht="12" hidden="1" customHeight="1">
      <c r="A1318" s="81" t="s">
        <v>3026</v>
      </c>
      <c r="B1318" s="81"/>
      <c r="C1318" s="81"/>
      <c r="D1318" s="81"/>
      <c r="E1318" s="81"/>
      <c r="F1318" s="81"/>
      <c r="G1318" s="81"/>
      <c r="H1318" s="81"/>
      <c r="I1318" s="81" t="s">
        <v>3016</v>
      </c>
      <c r="J1318" s="81" t="s">
        <v>1062</v>
      </c>
      <c r="K1318" s="81" t="s">
        <v>1065</v>
      </c>
      <c r="L1318" s="81" t="s">
        <v>20</v>
      </c>
      <c r="M1318" s="68"/>
      <c r="N1318" s="82">
        <v>8010</v>
      </c>
      <c r="O1318" s="57">
        <f t="shared" si="65"/>
        <v>0</v>
      </c>
      <c r="P1318" s="58"/>
      <c r="Q1318" s="73"/>
      <c r="R1318" s="57"/>
      <c r="S1318" s="57"/>
      <c r="T1318" s="57"/>
      <c r="U1318" s="57"/>
      <c r="V1318" s="73">
        <f t="shared" si="64"/>
        <v>0</v>
      </c>
      <c r="W1318" s="106"/>
      <c r="X1318" s="64"/>
    </row>
    <row r="1319" spans="1:24" s="66" customFormat="1" ht="12" hidden="1" customHeight="1">
      <c r="A1319" s="81" t="s">
        <v>3027</v>
      </c>
      <c r="B1319" s="81"/>
      <c r="C1319" s="81"/>
      <c r="D1319" s="81"/>
      <c r="E1319" s="81"/>
      <c r="F1319" s="81"/>
      <c r="G1319" s="81"/>
      <c r="H1319" s="81"/>
      <c r="I1319" s="81" t="s">
        <v>3016</v>
      </c>
      <c r="J1319" s="81" t="s">
        <v>1062</v>
      </c>
      <c r="K1319" s="81" t="s">
        <v>3037</v>
      </c>
      <c r="L1319" s="81" t="s">
        <v>20</v>
      </c>
      <c r="M1319" s="68"/>
      <c r="N1319" s="82">
        <v>13431</v>
      </c>
      <c r="O1319" s="57">
        <f t="shared" si="65"/>
        <v>0</v>
      </c>
      <c r="P1319" s="58"/>
      <c r="Q1319" s="73"/>
      <c r="R1319" s="57"/>
      <c r="S1319" s="57"/>
      <c r="T1319" s="57"/>
      <c r="U1319" s="57"/>
      <c r="V1319" s="73">
        <f t="shared" si="64"/>
        <v>0</v>
      </c>
      <c r="W1319" s="106"/>
      <c r="X1319" s="64"/>
    </row>
    <row r="1320" spans="1:24" s="66" customFormat="1" ht="12" hidden="1" customHeight="1">
      <c r="A1320" s="81" t="s">
        <v>3028</v>
      </c>
      <c r="B1320" s="81"/>
      <c r="C1320" s="81"/>
      <c r="D1320" s="81"/>
      <c r="E1320" s="81"/>
      <c r="F1320" s="81"/>
      <c r="G1320" s="81"/>
      <c r="H1320" s="81"/>
      <c r="I1320" s="81" t="s">
        <v>3016</v>
      </c>
      <c r="J1320" s="81" t="s">
        <v>1062</v>
      </c>
      <c r="K1320" s="81" t="s">
        <v>1064</v>
      </c>
      <c r="L1320" s="81" t="s">
        <v>20</v>
      </c>
      <c r="M1320" s="68"/>
      <c r="N1320" s="82">
        <v>1690</v>
      </c>
      <c r="O1320" s="57">
        <f t="shared" si="65"/>
        <v>0</v>
      </c>
      <c r="P1320" s="58"/>
      <c r="Q1320" s="73"/>
      <c r="R1320" s="57"/>
      <c r="S1320" s="57"/>
      <c r="T1320" s="57"/>
      <c r="U1320" s="57"/>
      <c r="V1320" s="73">
        <f t="shared" si="64"/>
        <v>0</v>
      </c>
      <c r="W1320" s="106"/>
      <c r="X1320" s="64"/>
    </row>
    <row r="1321" spans="1:24" s="66" customFormat="1" ht="12" hidden="1" customHeight="1">
      <c r="A1321" s="81" t="s">
        <v>3029</v>
      </c>
      <c r="B1321" s="81"/>
      <c r="C1321" s="81"/>
      <c r="D1321" s="81"/>
      <c r="E1321" s="81"/>
      <c r="F1321" s="81"/>
      <c r="G1321" s="81"/>
      <c r="H1321" s="81"/>
      <c r="I1321" s="81" t="s">
        <v>3016</v>
      </c>
      <c r="J1321" s="81" t="s">
        <v>1062</v>
      </c>
      <c r="K1321" s="81" t="s">
        <v>1063</v>
      </c>
      <c r="L1321" s="81" t="s">
        <v>20</v>
      </c>
      <c r="M1321" s="68"/>
      <c r="N1321" s="82">
        <v>2340</v>
      </c>
      <c r="O1321" s="57">
        <f t="shared" si="65"/>
        <v>0</v>
      </c>
      <c r="P1321" s="58"/>
      <c r="Q1321" s="73"/>
      <c r="R1321" s="57"/>
      <c r="S1321" s="57"/>
      <c r="T1321" s="57"/>
      <c r="U1321" s="57"/>
      <c r="V1321" s="73">
        <f t="shared" si="64"/>
        <v>0</v>
      </c>
      <c r="W1321" s="106"/>
      <c r="X1321" s="64"/>
    </row>
    <row r="1322" spans="1:24" s="66" customFormat="1" ht="12" hidden="1" customHeight="1">
      <c r="A1322" s="81" t="s">
        <v>3030</v>
      </c>
      <c r="B1322" s="81"/>
      <c r="C1322" s="81"/>
      <c r="D1322" s="81"/>
      <c r="E1322" s="81"/>
      <c r="F1322" s="81"/>
      <c r="G1322" s="81"/>
      <c r="H1322" s="81"/>
      <c r="I1322" s="81" t="s">
        <v>3016</v>
      </c>
      <c r="J1322" s="81" t="s">
        <v>1062</v>
      </c>
      <c r="K1322" s="81" t="s">
        <v>3038</v>
      </c>
      <c r="L1322" s="81" t="s">
        <v>20</v>
      </c>
      <c r="M1322" s="68"/>
      <c r="N1322" s="82">
        <v>1470</v>
      </c>
      <c r="O1322" s="57">
        <f t="shared" si="65"/>
        <v>0</v>
      </c>
      <c r="P1322" s="58"/>
      <c r="Q1322" s="73"/>
      <c r="R1322" s="57"/>
      <c r="S1322" s="57"/>
      <c r="T1322" s="57"/>
      <c r="U1322" s="57"/>
      <c r="V1322" s="73">
        <f t="shared" si="64"/>
        <v>0</v>
      </c>
      <c r="W1322" s="106"/>
      <c r="X1322" s="64"/>
    </row>
    <row r="1323" spans="1:24" s="66" customFormat="1" ht="12" hidden="1" customHeight="1">
      <c r="A1323" s="81" t="s">
        <v>3031</v>
      </c>
      <c r="B1323" s="81"/>
      <c r="C1323" s="81"/>
      <c r="D1323" s="81"/>
      <c r="E1323" s="81"/>
      <c r="F1323" s="81"/>
      <c r="G1323" s="81"/>
      <c r="H1323" s="81"/>
      <c r="I1323" s="81" t="s">
        <v>3016</v>
      </c>
      <c r="J1323" s="81" t="s">
        <v>1062</v>
      </c>
      <c r="K1323" s="81" t="s">
        <v>3039</v>
      </c>
      <c r="L1323" s="81" t="s">
        <v>20</v>
      </c>
      <c r="M1323" s="68"/>
      <c r="N1323" s="82">
        <v>2110</v>
      </c>
      <c r="O1323" s="57">
        <f t="shared" si="65"/>
        <v>0</v>
      </c>
      <c r="P1323" s="58"/>
      <c r="Q1323" s="73"/>
      <c r="R1323" s="57"/>
      <c r="S1323" s="57"/>
      <c r="T1323" s="57"/>
      <c r="U1323" s="57"/>
      <c r="V1323" s="73">
        <f t="shared" si="64"/>
        <v>0</v>
      </c>
      <c r="W1323" s="106"/>
      <c r="X1323" s="64"/>
    </row>
    <row r="1324" spans="1:24" s="66" customFormat="1" ht="12" hidden="1" customHeight="1">
      <c r="A1324" s="81" t="s">
        <v>3015</v>
      </c>
      <c r="B1324" s="81"/>
      <c r="C1324" s="81"/>
      <c r="D1324" s="81"/>
      <c r="E1324" s="81"/>
      <c r="F1324" s="81"/>
      <c r="G1324" s="81"/>
      <c r="H1324" s="81"/>
      <c r="I1324" s="81" t="s">
        <v>3016</v>
      </c>
      <c r="J1324" s="81" t="s">
        <v>1056</v>
      </c>
      <c r="K1324" s="81" t="s">
        <v>1061</v>
      </c>
      <c r="L1324" s="81" t="s">
        <v>20</v>
      </c>
      <c r="M1324" s="68"/>
      <c r="N1324" s="82">
        <v>1800</v>
      </c>
      <c r="O1324" s="57">
        <f t="shared" si="65"/>
        <v>0</v>
      </c>
      <c r="P1324" s="58"/>
      <c r="Q1324" s="73"/>
      <c r="R1324" s="57"/>
      <c r="S1324" s="57"/>
      <c r="T1324" s="57"/>
      <c r="U1324" s="57"/>
      <c r="V1324" s="73">
        <f t="shared" si="64"/>
        <v>0</v>
      </c>
      <c r="W1324" s="106"/>
      <c r="X1324" s="64"/>
    </row>
    <row r="1325" spans="1:24" s="66" customFormat="1" ht="12" hidden="1" customHeight="1">
      <c r="A1325" s="81" t="s">
        <v>3032</v>
      </c>
      <c r="B1325" s="81"/>
      <c r="C1325" s="81"/>
      <c r="D1325" s="81"/>
      <c r="E1325" s="81"/>
      <c r="F1325" s="81"/>
      <c r="G1325" s="81"/>
      <c r="H1325" s="81"/>
      <c r="I1325" s="81" t="s">
        <v>3016</v>
      </c>
      <c r="J1325" s="81" t="s">
        <v>1056</v>
      </c>
      <c r="K1325" s="81" t="s">
        <v>1060</v>
      </c>
      <c r="L1325" s="81" t="s">
        <v>20</v>
      </c>
      <c r="M1325" s="68"/>
      <c r="N1325" s="82">
        <v>3345</v>
      </c>
      <c r="O1325" s="57">
        <f t="shared" si="65"/>
        <v>0</v>
      </c>
      <c r="P1325" s="58"/>
      <c r="Q1325" s="73"/>
      <c r="R1325" s="57"/>
      <c r="S1325" s="57"/>
      <c r="T1325" s="57"/>
      <c r="U1325" s="57"/>
      <c r="V1325" s="73">
        <f t="shared" si="64"/>
        <v>0</v>
      </c>
      <c r="W1325" s="106"/>
      <c r="X1325" s="64"/>
    </row>
    <row r="1326" spans="1:24" s="66" customFormat="1" ht="12" hidden="1" customHeight="1">
      <c r="A1326" s="81" t="s">
        <v>3033</v>
      </c>
      <c r="B1326" s="81"/>
      <c r="C1326" s="81"/>
      <c r="D1326" s="81"/>
      <c r="E1326" s="81"/>
      <c r="F1326" s="81"/>
      <c r="G1326" s="81"/>
      <c r="H1326" s="81"/>
      <c r="I1326" s="81" t="s">
        <v>3016</v>
      </c>
      <c r="J1326" s="81" t="s">
        <v>1056</v>
      </c>
      <c r="K1326" s="81" t="s">
        <v>1059</v>
      </c>
      <c r="L1326" s="81" t="s">
        <v>20</v>
      </c>
      <c r="M1326" s="68"/>
      <c r="N1326" s="82">
        <v>6996</v>
      </c>
      <c r="O1326" s="57">
        <f t="shared" si="65"/>
        <v>0</v>
      </c>
      <c r="P1326" s="58"/>
      <c r="Q1326" s="73"/>
      <c r="R1326" s="57"/>
      <c r="S1326" s="57"/>
      <c r="T1326" s="57"/>
      <c r="U1326" s="57"/>
      <c r="V1326" s="73">
        <f t="shared" si="64"/>
        <v>0</v>
      </c>
      <c r="W1326" s="106"/>
      <c r="X1326" s="64"/>
    </row>
    <row r="1327" spans="1:24" s="66" customFormat="1" ht="12" hidden="1" customHeight="1">
      <c r="A1327" s="81" t="s">
        <v>3034</v>
      </c>
      <c r="B1327" s="81"/>
      <c r="C1327" s="81"/>
      <c r="D1327" s="81"/>
      <c r="E1327" s="81"/>
      <c r="F1327" s="81"/>
      <c r="G1327" s="81"/>
      <c r="H1327" s="81"/>
      <c r="I1327" s="81" t="s">
        <v>3016</v>
      </c>
      <c r="J1327" s="81" t="s">
        <v>1056</v>
      </c>
      <c r="K1327" s="81" t="s">
        <v>1058</v>
      </c>
      <c r="L1327" s="81" t="s">
        <v>20</v>
      </c>
      <c r="M1327" s="68"/>
      <c r="N1327" s="82">
        <v>7257</v>
      </c>
      <c r="O1327" s="57">
        <f t="shared" si="65"/>
        <v>0</v>
      </c>
      <c r="P1327" s="58"/>
      <c r="Q1327" s="73"/>
      <c r="R1327" s="57"/>
      <c r="S1327" s="57"/>
      <c r="T1327" s="57"/>
      <c r="U1327" s="57"/>
      <c r="V1327" s="73">
        <f t="shared" si="64"/>
        <v>0</v>
      </c>
      <c r="W1327" s="106"/>
      <c r="X1327" s="64"/>
    </row>
    <row r="1328" spans="1:24" s="66" customFormat="1" ht="12" hidden="1" customHeight="1">
      <c r="A1328" s="81" t="s">
        <v>3035</v>
      </c>
      <c r="B1328" s="81"/>
      <c r="C1328" s="81"/>
      <c r="D1328" s="81"/>
      <c r="E1328" s="81"/>
      <c r="F1328" s="81"/>
      <c r="G1328" s="81"/>
      <c r="H1328" s="81"/>
      <c r="I1328" s="81" t="s">
        <v>3016</v>
      </c>
      <c r="J1328" s="81" t="s">
        <v>1056</v>
      </c>
      <c r="K1328" s="81" t="s">
        <v>1057</v>
      </c>
      <c r="L1328" s="81" t="s">
        <v>20</v>
      </c>
      <c r="M1328" s="68"/>
      <c r="N1328" s="82">
        <v>8600</v>
      </c>
      <c r="O1328" s="57">
        <f t="shared" si="65"/>
        <v>0</v>
      </c>
      <c r="P1328" s="58"/>
      <c r="Q1328" s="73"/>
      <c r="R1328" s="57"/>
      <c r="S1328" s="57"/>
      <c r="T1328" s="57"/>
      <c r="U1328" s="57"/>
      <c r="V1328" s="73">
        <f t="shared" si="64"/>
        <v>0</v>
      </c>
      <c r="W1328" s="106"/>
      <c r="X1328" s="64"/>
    </row>
    <row r="1329" spans="1:24" s="66" customFormat="1" ht="12" hidden="1" customHeight="1">
      <c r="A1329" s="81" t="s">
        <v>3036</v>
      </c>
      <c r="B1329" s="81"/>
      <c r="C1329" s="81"/>
      <c r="D1329" s="81"/>
      <c r="E1329" s="81"/>
      <c r="F1329" s="81"/>
      <c r="G1329" s="81"/>
      <c r="H1329" s="81"/>
      <c r="I1329" s="81" t="s">
        <v>3016</v>
      </c>
      <c r="J1329" s="81" t="s">
        <v>1056</v>
      </c>
      <c r="K1329" s="81" t="s">
        <v>1055</v>
      </c>
      <c r="L1329" s="81" t="s">
        <v>20</v>
      </c>
      <c r="M1329" s="68"/>
      <c r="N1329" s="82">
        <v>7038</v>
      </c>
      <c r="O1329" s="57">
        <f t="shared" si="65"/>
        <v>0</v>
      </c>
      <c r="P1329" s="58"/>
      <c r="Q1329" s="73"/>
      <c r="R1329" s="57"/>
      <c r="S1329" s="57"/>
      <c r="T1329" s="57"/>
      <c r="U1329" s="57"/>
      <c r="V1329" s="73">
        <f t="shared" si="64"/>
        <v>0</v>
      </c>
      <c r="W1329" s="106"/>
      <c r="X1329" s="64"/>
    </row>
    <row r="1330" spans="1:24" s="66" customFormat="1" ht="12" hidden="1" customHeight="1">
      <c r="A1330" s="79" t="s">
        <v>4350</v>
      </c>
      <c r="B1330" s="79"/>
      <c r="C1330" s="79"/>
      <c r="D1330" s="79"/>
      <c r="E1330" s="79"/>
      <c r="F1330" s="79"/>
      <c r="G1330" s="79"/>
      <c r="H1330" s="79"/>
      <c r="I1330" s="79" t="s">
        <v>1240</v>
      </c>
      <c r="J1330" s="79" t="s">
        <v>1240</v>
      </c>
      <c r="K1330" s="79" t="s">
        <v>4224</v>
      </c>
      <c r="L1330" s="79" t="s">
        <v>977</v>
      </c>
      <c r="M1330" s="68"/>
      <c r="N1330" s="80">
        <v>2017800</v>
      </c>
      <c r="O1330" s="57">
        <f t="shared" si="65"/>
        <v>0</v>
      </c>
      <c r="P1330" s="58"/>
      <c r="Q1330" s="73"/>
      <c r="R1330" s="57"/>
      <c r="S1330" s="57"/>
      <c r="T1330" s="57"/>
      <c r="U1330" s="57"/>
      <c r="V1330" s="73">
        <f t="shared" si="64"/>
        <v>0</v>
      </c>
      <c r="W1330" s="106"/>
      <c r="X1330" s="64"/>
    </row>
    <row r="1331" spans="1:24" s="66" customFormat="1" ht="12" hidden="1" customHeight="1">
      <c r="A1331" s="79" t="s">
        <v>4351</v>
      </c>
      <c r="B1331" s="79"/>
      <c r="C1331" s="79"/>
      <c r="D1331" s="79"/>
      <c r="E1331" s="79"/>
      <c r="F1331" s="79"/>
      <c r="G1331" s="79"/>
      <c r="H1331" s="79"/>
      <c r="I1331" s="79" t="s">
        <v>1240</v>
      </c>
      <c r="J1331" s="79" t="s">
        <v>1240</v>
      </c>
      <c r="K1331" s="79" t="s">
        <v>4225</v>
      </c>
      <c r="L1331" s="79" t="s">
        <v>977</v>
      </c>
      <c r="M1331" s="68"/>
      <c r="N1331" s="80">
        <v>2230200</v>
      </c>
      <c r="O1331" s="57">
        <f t="shared" si="65"/>
        <v>0</v>
      </c>
      <c r="P1331" s="58"/>
      <c r="Q1331" s="73"/>
      <c r="R1331" s="57"/>
      <c r="S1331" s="57"/>
      <c r="T1331" s="57"/>
      <c r="U1331" s="57"/>
      <c r="V1331" s="73">
        <f t="shared" si="64"/>
        <v>0</v>
      </c>
      <c r="W1331" s="106"/>
      <c r="X1331" s="64"/>
    </row>
    <row r="1332" spans="1:24" s="66" customFormat="1" ht="12" hidden="1" customHeight="1">
      <c r="A1332" s="79" t="s">
        <v>4352</v>
      </c>
      <c r="B1332" s="79"/>
      <c r="C1332" s="79"/>
      <c r="D1332" s="79"/>
      <c r="E1332" s="79"/>
      <c r="F1332" s="79"/>
      <c r="G1332" s="79"/>
      <c r="H1332" s="79"/>
      <c r="I1332" s="79" t="s">
        <v>1240</v>
      </c>
      <c r="J1332" s="79" t="s">
        <v>1240</v>
      </c>
      <c r="K1332" s="79" t="s">
        <v>4226</v>
      </c>
      <c r="L1332" s="79" t="s">
        <v>977</v>
      </c>
      <c r="M1332" s="68"/>
      <c r="N1332" s="80">
        <v>2548800</v>
      </c>
      <c r="O1332" s="57">
        <f t="shared" si="65"/>
        <v>0</v>
      </c>
      <c r="P1332" s="58"/>
      <c r="Q1332" s="73"/>
      <c r="R1332" s="57"/>
      <c r="S1332" s="57"/>
      <c r="T1332" s="57"/>
      <c r="U1332" s="57"/>
      <c r="V1332" s="73">
        <f t="shared" si="64"/>
        <v>0</v>
      </c>
      <c r="W1332" s="106"/>
      <c r="X1332" s="64"/>
    </row>
    <row r="1333" spans="1:24" s="66" customFormat="1" ht="12" hidden="1" customHeight="1">
      <c r="A1333" s="79" t="s">
        <v>4353</v>
      </c>
      <c r="B1333" s="79"/>
      <c r="C1333" s="79"/>
      <c r="D1333" s="79"/>
      <c r="E1333" s="79"/>
      <c r="F1333" s="79"/>
      <c r="G1333" s="79"/>
      <c r="H1333" s="79"/>
      <c r="I1333" s="79" t="s">
        <v>1240</v>
      </c>
      <c r="J1333" s="79" t="s">
        <v>1240</v>
      </c>
      <c r="K1333" s="79" t="s">
        <v>4227</v>
      </c>
      <c r="L1333" s="79" t="s">
        <v>977</v>
      </c>
      <c r="M1333" s="68"/>
      <c r="N1333" s="80">
        <v>2867400</v>
      </c>
      <c r="O1333" s="57">
        <f t="shared" si="65"/>
        <v>0</v>
      </c>
      <c r="P1333" s="58"/>
      <c r="Q1333" s="73"/>
      <c r="R1333" s="57"/>
      <c r="S1333" s="57"/>
      <c r="T1333" s="57"/>
      <c r="U1333" s="57"/>
      <c r="V1333" s="73">
        <f t="shared" si="64"/>
        <v>0</v>
      </c>
      <c r="W1333" s="106"/>
      <c r="X1333" s="64"/>
    </row>
    <row r="1334" spans="1:24" s="66" customFormat="1" ht="12" hidden="1" customHeight="1">
      <c r="A1334" s="79" t="s">
        <v>4354</v>
      </c>
      <c r="B1334" s="79"/>
      <c r="C1334" s="79"/>
      <c r="D1334" s="79"/>
      <c r="E1334" s="79"/>
      <c r="F1334" s="79"/>
      <c r="G1334" s="79"/>
      <c r="H1334" s="79"/>
      <c r="I1334" s="79" t="s">
        <v>1240</v>
      </c>
      <c r="J1334" s="79" t="s">
        <v>1240</v>
      </c>
      <c r="K1334" s="79" t="s">
        <v>4228</v>
      </c>
      <c r="L1334" s="79" t="s">
        <v>977</v>
      </c>
      <c r="M1334" s="68"/>
      <c r="N1334" s="80">
        <v>3610800</v>
      </c>
      <c r="O1334" s="57">
        <f t="shared" si="65"/>
        <v>0</v>
      </c>
      <c r="P1334" s="58"/>
      <c r="Q1334" s="73"/>
      <c r="R1334" s="57"/>
      <c r="S1334" s="57"/>
      <c r="T1334" s="57"/>
      <c r="U1334" s="57"/>
      <c r="V1334" s="73">
        <f t="shared" si="64"/>
        <v>0</v>
      </c>
      <c r="W1334" s="106"/>
      <c r="X1334" s="64"/>
    </row>
    <row r="1335" spans="1:24" s="66" customFormat="1" ht="12" hidden="1" customHeight="1">
      <c r="A1335" s="79" t="s">
        <v>4355</v>
      </c>
      <c r="B1335" s="79"/>
      <c r="C1335" s="79"/>
      <c r="D1335" s="79"/>
      <c r="E1335" s="79"/>
      <c r="F1335" s="79"/>
      <c r="G1335" s="79"/>
      <c r="H1335" s="79"/>
      <c r="I1335" s="79" t="s">
        <v>1240</v>
      </c>
      <c r="J1335" s="79" t="s">
        <v>1240</v>
      </c>
      <c r="K1335" s="79" t="s">
        <v>1250</v>
      </c>
      <c r="L1335" s="79" t="s">
        <v>977</v>
      </c>
      <c r="M1335" s="68"/>
      <c r="N1335" s="80">
        <v>3929400</v>
      </c>
      <c r="O1335" s="57">
        <f t="shared" si="65"/>
        <v>0</v>
      </c>
      <c r="P1335" s="58"/>
      <c r="Q1335" s="73"/>
      <c r="R1335" s="57"/>
      <c r="S1335" s="57"/>
      <c r="T1335" s="57"/>
      <c r="U1335" s="57"/>
      <c r="V1335" s="73">
        <f t="shared" si="64"/>
        <v>0</v>
      </c>
      <c r="W1335" s="106"/>
      <c r="X1335" s="64"/>
    </row>
    <row r="1336" spans="1:24" s="66" customFormat="1" ht="12" hidden="1" customHeight="1">
      <c r="A1336" s="79" t="s">
        <v>4356</v>
      </c>
      <c r="B1336" s="79"/>
      <c r="C1336" s="79"/>
      <c r="D1336" s="79"/>
      <c r="E1336" s="79"/>
      <c r="F1336" s="79"/>
      <c r="G1336" s="79"/>
      <c r="H1336" s="79"/>
      <c r="I1336" s="79" t="s">
        <v>1240</v>
      </c>
      <c r="J1336" s="79" t="s">
        <v>1240</v>
      </c>
      <c r="K1336" s="79" t="s">
        <v>1249</v>
      </c>
      <c r="L1336" s="79" t="s">
        <v>977</v>
      </c>
      <c r="M1336" s="68"/>
      <c r="N1336" s="80">
        <v>4779000</v>
      </c>
      <c r="O1336" s="57">
        <f t="shared" si="65"/>
        <v>0</v>
      </c>
      <c r="P1336" s="58"/>
      <c r="Q1336" s="73"/>
      <c r="R1336" s="57"/>
      <c r="S1336" s="57"/>
      <c r="T1336" s="57"/>
      <c r="U1336" s="57"/>
      <c r="V1336" s="73">
        <f t="shared" si="64"/>
        <v>0</v>
      </c>
      <c r="W1336" s="106"/>
      <c r="X1336" s="64"/>
    </row>
    <row r="1337" spans="1:24" s="66" customFormat="1" ht="12" hidden="1" customHeight="1">
      <c r="A1337" s="79" t="s">
        <v>4357</v>
      </c>
      <c r="B1337" s="79"/>
      <c r="C1337" s="79"/>
      <c r="D1337" s="79"/>
      <c r="E1337" s="79"/>
      <c r="F1337" s="79"/>
      <c r="G1337" s="79"/>
      <c r="H1337" s="79"/>
      <c r="I1337" s="79" t="s">
        <v>1240</v>
      </c>
      <c r="J1337" s="79" t="s">
        <v>1240</v>
      </c>
      <c r="K1337" s="79" t="s">
        <v>1248</v>
      </c>
      <c r="L1337" s="79" t="s">
        <v>977</v>
      </c>
      <c r="M1337" s="68"/>
      <c r="N1337" s="80">
        <v>4885200</v>
      </c>
      <c r="O1337" s="57">
        <f t="shared" si="65"/>
        <v>0</v>
      </c>
      <c r="P1337" s="58"/>
      <c r="Q1337" s="73"/>
      <c r="R1337" s="57"/>
      <c r="S1337" s="57"/>
      <c r="T1337" s="57"/>
      <c r="U1337" s="57"/>
      <c r="V1337" s="73">
        <f t="shared" si="64"/>
        <v>0</v>
      </c>
      <c r="W1337" s="106"/>
      <c r="X1337" s="64"/>
    </row>
    <row r="1338" spans="1:24" s="66" customFormat="1" ht="12" hidden="1" customHeight="1">
      <c r="A1338" s="79" t="s">
        <v>4358</v>
      </c>
      <c r="B1338" s="79"/>
      <c r="C1338" s="79"/>
      <c r="D1338" s="79"/>
      <c r="E1338" s="79"/>
      <c r="F1338" s="79"/>
      <c r="G1338" s="79"/>
      <c r="H1338" s="79"/>
      <c r="I1338" s="79" t="s">
        <v>1240</v>
      </c>
      <c r="J1338" s="79" t="s">
        <v>1240</v>
      </c>
      <c r="K1338" s="79" t="s">
        <v>1247</v>
      </c>
      <c r="L1338" s="79" t="s">
        <v>977</v>
      </c>
      <c r="M1338" s="68"/>
      <c r="N1338" s="80">
        <v>6159600</v>
      </c>
      <c r="O1338" s="57">
        <f t="shared" si="65"/>
        <v>0</v>
      </c>
      <c r="P1338" s="58"/>
      <c r="Q1338" s="73"/>
      <c r="R1338" s="57"/>
      <c r="S1338" s="57"/>
      <c r="T1338" s="57"/>
      <c r="U1338" s="57"/>
      <c r="V1338" s="73">
        <f t="shared" si="64"/>
        <v>0</v>
      </c>
      <c r="W1338" s="106"/>
      <c r="X1338" s="64"/>
    </row>
    <row r="1339" spans="1:24" s="66" customFormat="1" ht="12" hidden="1" customHeight="1">
      <c r="A1339" s="79" t="s">
        <v>4359</v>
      </c>
      <c r="B1339" s="79"/>
      <c r="C1339" s="79"/>
      <c r="D1339" s="79"/>
      <c r="E1339" s="79"/>
      <c r="F1339" s="79"/>
      <c r="G1339" s="79"/>
      <c r="H1339" s="79"/>
      <c r="I1339" s="79" t="s">
        <v>1240</v>
      </c>
      <c r="J1339" s="79" t="s">
        <v>1240</v>
      </c>
      <c r="K1339" s="79" t="s">
        <v>1246</v>
      </c>
      <c r="L1339" s="79" t="s">
        <v>977</v>
      </c>
      <c r="M1339" s="68"/>
      <c r="N1339" s="80">
        <v>6372000</v>
      </c>
      <c r="O1339" s="57">
        <f t="shared" si="65"/>
        <v>0</v>
      </c>
      <c r="P1339" s="58"/>
      <c r="Q1339" s="73"/>
      <c r="R1339" s="57"/>
      <c r="S1339" s="57"/>
      <c r="T1339" s="57"/>
      <c r="U1339" s="57"/>
      <c r="V1339" s="73">
        <f t="shared" si="64"/>
        <v>0</v>
      </c>
      <c r="W1339" s="106"/>
      <c r="X1339" s="64"/>
    </row>
    <row r="1340" spans="1:24" s="66" customFormat="1" ht="12" hidden="1" customHeight="1">
      <c r="A1340" s="79" t="s">
        <v>4360</v>
      </c>
      <c r="B1340" s="79"/>
      <c r="C1340" s="79"/>
      <c r="D1340" s="79"/>
      <c r="E1340" s="79"/>
      <c r="F1340" s="79"/>
      <c r="G1340" s="79"/>
      <c r="H1340" s="79"/>
      <c r="I1340" s="79" t="s">
        <v>1240</v>
      </c>
      <c r="J1340" s="79" t="s">
        <v>1240</v>
      </c>
      <c r="K1340" s="79" t="s">
        <v>1245</v>
      </c>
      <c r="L1340" s="79" t="s">
        <v>977</v>
      </c>
      <c r="M1340" s="68"/>
      <c r="N1340" s="80">
        <v>7434000</v>
      </c>
      <c r="O1340" s="57">
        <f t="shared" si="65"/>
        <v>0</v>
      </c>
      <c r="P1340" s="58"/>
      <c r="Q1340" s="73"/>
      <c r="R1340" s="57"/>
      <c r="S1340" s="57"/>
      <c r="T1340" s="57"/>
      <c r="U1340" s="57"/>
      <c r="V1340" s="73">
        <f t="shared" si="64"/>
        <v>0</v>
      </c>
      <c r="W1340" s="106"/>
      <c r="X1340" s="64"/>
    </row>
    <row r="1341" spans="1:24" s="66" customFormat="1" ht="12" hidden="1" customHeight="1">
      <c r="A1341" s="79" t="s">
        <v>4361</v>
      </c>
      <c r="B1341" s="79"/>
      <c r="C1341" s="79"/>
      <c r="D1341" s="79"/>
      <c r="E1341" s="79"/>
      <c r="F1341" s="79"/>
      <c r="G1341" s="79"/>
      <c r="H1341" s="79"/>
      <c r="I1341" s="79" t="s">
        <v>1240</v>
      </c>
      <c r="J1341" s="79" t="s">
        <v>1240</v>
      </c>
      <c r="K1341" s="79" t="s">
        <v>1244</v>
      </c>
      <c r="L1341" s="79" t="s">
        <v>977</v>
      </c>
      <c r="M1341" s="68"/>
      <c r="N1341" s="80">
        <v>7858800</v>
      </c>
      <c r="O1341" s="57">
        <f t="shared" si="65"/>
        <v>0</v>
      </c>
      <c r="P1341" s="58"/>
      <c r="Q1341" s="73"/>
      <c r="R1341" s="57"/>
      <c r="S1341" s="57"/>
      <c r="T1341" s="57"/>
      <c r="U1341" s="57"/>
      <c r="V1341" s="73">
        <f t="shared" si="64"/>
        <v>0</v>
      </c>
      <c r="W1341" s="106"/>
      <c r="X1341" s="64"/>
    </row>
    <row r="1342" spans="1:24" s="66" customFormat="1" ht="12" hidden="1" customHeight="1">
      <c r="A1342" s="79" t="s">
        <v>4362</v>
      </c>
      <c r="B1342" s="79"/>
      <c r="C1342" s="79"/>
      <c r="D1342" s="79"/>
      <c r="E1342" s="79"/>
      <c r="F1342" s="79"/>
      <c r="G1342" s="79"/>
      <c r="H1342" s="79"/>
      <c r="I1342" s="79" t="s">
        <v>1240</v>
      </c>
      <c r="J1342" s="79" t="s">
        <v>1240</v>
      </c>
      <c r="K1342" s="79" t="s">
        <v>1243</v>
      </c>
      <c r="L1342" s="79" t="s">
        <v>977</v>
      </c>
      <c r="M1342" s="68"/>
      <c r="N1342" s="80">
        <v>8496000</v>
      </c>
      <c r="O1342" s="57">
        <f t="shared" si="65"/>
        <v>0</v>
      </c>
      <c r="P1342" s="58"/>
      <c r="Q1342" s="73"/>
      <c r="R1342" s="57"/>
      <c r="S1342" s="57"/>
      <c r="T1342" s="57"/>
      <c r="U1342" s="57"/>
      <c r="V1342" s="73">
        <f t="shared" si="64"/>
        <v>0</v>
      </c>
      <c r="W1342" s="106"/>
      <c r="X1342" s="64"/>
    </row>
    <row r="1343" spans="1:24" s="66" customFormat="1" ht="12" hidden="1" customHeight="1">
      <c r="A1343" s="79" t="s">
        <v>4363</v>
      </c>
      <c r="B1343" s="79"/>
      <c r="C1343" s="79"/>
      <c r="D1343" s="79"/>
      <c r="E1343" s="79"/>
      <c r="F1343" s="79"/>
      <c r="G1343" s="79"/>
      <c r="H1343" s="79"/>
      <c r="I1343" s="79" t="s">
        <v>1240</v>
      </c>
      <c r="J1343" s="79" t="s">
        <v>1240</v>
      </c>
      <c r="K1343" s="79" t="s">
        <v>1242</v>
      </c>
      <c r="L1343" s="79" t="s">
        <v>977</v>
      </c>
      <c r="M1343" s="68"/>
      <c r="N1343" s="80">
        <v>9558000</v>
      </c>
      <c r="O1343" s="57">
        <f t="shared" si="65"/>
        <v>0</v>
      </c>
      <c r="P1343" s="58"/>
      <c r="Q1343" s="73"/>
      <c r="R1343" s="57"/>
      <c r="S1343" s="57"/>
      <c r="T1343" s="57"/>
      <c r="U1343" s="57"/>
      <c r="V1343" s="73">
        <f t="shared" si="64"/>
        <v>0</v>
      </c>
      <c r="W1343" s="106"/>
      <c r="X1343" s="64"/>
    </row>
    <row r="1344" spans="1:24" s="66" customFormat="1" ht="12" hidden="1" customHeight="1">
      <c r="A1344" s="79" t="s">
        <v>4364</v>
      </c>
      <c r="B1344" s="79"/>
      <c r="C1344" s="79"/>
      <c r="D1344" s="79"/>
      <c r="E1344" s="79"/>
      <c r="F1344" s="79"/>
      <c r="G1344" s="79"/>
      <c r="H1344" s="79"/>
      <c r="I1344" s="79" t="s">
        <v>1240</v>
      </c>
      <c r="J1344" s="79" t="s">
        <v>1240</v>
      </c>
      <c r="K1344" s="79" t="s">
        <v>1241</v>
      </c>
      <c r="L1344" s="79" t="s">
        <v>977</v>
      </c>
      <c r="M1344" s="68"/>
      <c r="N1344" s="80">
        <v>11682000</v>
      </c>
      <c r="O1344" s="57">
        <f t="shared" si="65"/>
        <v>0</v>
      </c>
      <c r="P1344" s="58"/>
      <c r="Q1344" s="73"/>
      <c r="R1344" s="57"/>
      <c r="S1344" s="57"/>
      <c r="T1344" s="57"/>
      <c r="U1344" s="57"/>
      <c r="V1344" s="73">
        <f t="shared" si="64"/>
        <v>0</v>
      </c>
      <c r="W1344" s="106"/>
      <c r="X1344" s="64"/>
    </row>
    <row r="1345" spans="1:24" s="66" customFormat="1" ht="12" hidden="1" customHeight="1">
      <c r="A1345" s="79" t="s">
        <v>4365</v>
      </c>
      <c r="B1345" s="79"/>
      <c r="C1345" s="79"/>
      <c r="D1345" s="79"/>
      <c r="E1345" s="79"/>
      <c r="F1345" s="79"/>
      <c r="G1345" s="79"/>
      <c r="H1345" s="79"/>
      <c r="I1345" s="79" t="s">
        <v>1240</v>
      </c>
      <c r="J1345" s="79" t="s">
        <v>1240</v>
      </c>
      <c r="K1345" s="79" t="s">
        <v>4376</v>
      </c>
      <c r="L1345" s="79" t="s">
        <v>977</v>
      </c>
      <c r="M1345" s="68"/>
      <c r="N1345" s="80">
        <v>13275000</v>
      </c>
      <c r="O1345" s="57">
        <f t="shared" si="65"/>
        <v>0</v>
      </c>
      <c r="P1345" s="58"/>
      <c r="Q1345" s="73"/>
      <c r="R1345" s="57"/>
      <c r="S1345" s="57"/>
      <c r="T1345" s="57"/>
      <c r="U1345" s="57"/>
      <c r="V1345" s="73">
        <f t="shared" si="64"/>
        <v>0</v>
      </c>
      <c r="W1345" s="106"/>
      <c r="X1345" s="64"/>
    </row>
    <row r="1346" spans="1:24" s="66" customFormat="1" ht="12" hidden="1" customHeight="1">
      <c r="A1346" s="79" t="s">
        <v>4366</v>
      </c>
      <c r="B1346" s="79"/>
      <c r="C1346" s="79"/>
      <c r="D1346" s="79"/>
      <c r="E1346" s="79"/>
      <c r="F1346" s="79"/>
      <c r="G1346" s="79"/>
      <c r="H1346" s="79"/>
      <c r="I1346" s="79" t="s">
        <v>1240</v>
      </c>
      <c r="J1346" s="79" t="s">
        <v>1240</v>
      </c>
      <c r="K1346" s="79" t="s">
        <v>4377</v>
      </c>
      <c r="L1346" s="79" t="s">
        <v>977</v>
      </c>
      <c r="M1346" s="68"/>
      <c r="N1346" s="80">
        <v>16992000</v>
      </c>
      <c r="O1346" s="57">
        <f t="shared" si="65"/>
        <v>0</v>
      </c>
      <c r="P1346" s="58"/>
      <c r="Q1346" s="73"/>
      <c r="R1346" s="57"/>
      <c r="S1346" s="57"/>
      <c r="T1346" s="57"/>
      <c r="U1346" s="57"/>
      <c r="V1346" s="73">
        <f t="shared" si="64"/>
        <v>0</v>
      </c>
      <c r="W1346" s="106"/>
      <c r="X1346" s="64"/>
    </row>
    <row r="1347" spans="1:24" s="66" customFormat="1" ht="12" hidden="1" customHeight="1">
      <c r="A1347" s="79" t="s">
        <v>4367</v>
      </c>
      <c r="B1347" s="79"/>
      <c r="C1347" s="79"/>
      <c r="D1347" s="79"/>
      <c r="E1347" s="79"/>
      <c r="F1347" s="79"/>
      <c r="G1347" s="79"/>
      <c r="H1347" s="79"/>
      <c r="I1347" s="79" t="s">
        <v>1240</v>
      </c>
      <c r="J1347" s="79" t="s">
        <v>1240</v>
      </c>
      <c r="K1347" s="79" t="s">
        <v>4378</v>
      </c>
      <c r="L1347" s="79" t="s">
        <v>977</v>
      </c>
      <c r="M1347" s="68"/>
      <c r="N1347" s="80">
        <v>19116000</v>
      </c>
      <c r="O1347" s="57">
        <f t="shared" si="65"/>
        <v>0</v>
      </c>
      <c r="P1347" s="58"/>
      <c r="Q1347" s="73"/>
      <c r="R1347" s="57"/>
      <c r="S1347" s="57"/>
      <c r="T1347" s="57"/>
      <c r="U1347" s="57"/>
      <c r="V1347" s="73">
        <f t="shared" si="64"/>
        <v>0</v>
      </c>
      <c r="W1347" s="106"/>
      <c r="X1347" s="64"/>
    </row>
    <row r="1348" spans="1:24" s="66" customFormat="1" ht="12" hidden="1" customHeight="1">
      <c r="A1348" s="79" t="s">
        <v>4368</v>
      </c>
      <c r="B1348" s="79"/>
      <c r="C1348" s="79"/>
      <c r="D1348" s="79"/>
      <c r="E1348" s="79"/>
      <c r="F1348" s="79"/>
      <c r="G1348" s="79"/>
      <c r="H1348" s="79"/>
      <c r="I1348" s="79" t="s">
        <v>1240</v>
      </c>
      <c r="J1348" s="79" t="s">
        <v>1240</v>
      </c>
      <c r="K1348" s="79" t="s">
        <v>4379</v>
      </c>
      <c r="L1348" s="79" t="s">
        <v>977</v>
      </c>
      <c r="M1348" s="68"/>
      <c r="N1348" s="80">
        <v>21240000</v>
      </c>
      <c r="O1348" s="57">
        <f t="shared" si="65"/>
        <v>0</v>
      </c>
      <c r="P1348" s="58"/>
      <c r="Q1348" s="73"/>
      <c r="R1348" s="57"/>
      <c r="S1348" s="57"/>
      <c r="T1348" s="57"/>
      <c r="U1348" s="57"/>
      <c r="V1348" s="73">
        <f t="shared" si="64"/>
        <v>0</v>
      </c>
      <c r="W1348" s="106"/>
      <c r="X1348" s="64"/>
    </row>
    <row r="1349" spans="1:24" s="66" customFormat="1" ht="12" hidden="1" customHeight="1">
      <c r="A1349" s="79" t="s">
        <v>4369</v>
      </c>
      <c r="B1349" s="79"/>
      <c r="C1349" s="79"/>
      <c r="D1349" s="79"/>
      <c r="E1349" s="79"/>
      <c r="F1349" s="79"/>
      <c r="G1349" s="79"/>
      <c r="H1349" s="79"/>
      <c r="I1349" s="79" t="s">
        <v>1240</v>
      </c>
      <c r="J1349" s="79" t="s">
        <v>1240</v>
      </c>
      <c r="K1349" s="79" t="s">
        <v>4380</v>
      </c>
      <c r="L1349" s="79" t="s">
        <v>977</v>
      </c>
      <c r="M1349" s="68"/>
      <c r="N1349" s="80">
        <v>23364000</v>
      </c>
      <c r="O1349" s="57">
        <f t="shared" si="65"/>
        <v>0</v>
      </c>
      <c r="P1349" s="58"/>
      <c r="Q1349" s="73"/>
      <c r="R1349" s="57"/>
      <c r="S1349" s="57"/>
      <c r="T1349" s="57"/>
      <c r="U1349" s="57"/>
      <c r="V1349" s="73">
        <f t="shared" si="64"/>
        <v>0</v>
      </c>
      <c r="W1349" s="106"/>
      <c r="X1349" s="64"/>
    </row>
    <row r="1350" spans="1:24" s="66" customFormat="1" ht="12" hidden="1" customHeight="1">
      <c r="A1350" s="79" t="s">
        <v>4370</v>
      </c>
      <c r="B1350" s="79"/>
      <c r="C1350" s="79"/>
      <c r="D1350" s="79"/>
      <c r="E1350" s="79"/>
      <c r="F1350" s="79"/>
      <c r="G1350" s="79"/>
      <c r="H1350" s="79"/>
      <c r="I1350" s="79" t="s">
        <v>1240</v>
      </c>
      <c r="J1350" s="79" t="s">
        <v>1240</v>
      </c>
      <c r="K1350" s="79" t="s">
        <v>4381</v>
      </c>
      <c r="L1350" s="79" t="s">
        <v>977</v>
      </c>
      <c r="M1350" s="68"/>
      <c r="N1350" s="80">
        <v>29736000</v>
      </c>
      <c r="O1350" s="57">
        <f t="shared" si="65"/>
        <v>0</v>
      </c>
      <c r="P1350" s="58"/>
      <c r="Q1350" s="73"/>
      <c r="R1350" s="57"/>
      <c r="S1350" s="57"/>
      <c r="T1350" s="57"/>
      <c r="U1350" s="57"/>
      <c r="V1350" s="73">
        <f t="shared" si="64"/>
        <v>0</v>
      </c>
      <c r="W1350" s="106"/>
      <c r="X1350" s="64"/>
    </row>
    <row r="1351" spans="1:24" s="66" customFormat="1" ht="12" hidden="1" customHeight="1">
      <c r="A1351" s="79" t="s">
        <v>4371</v>
      </c>
      <c r="B1351" s="79"/>
      <c r="C1351" s="79"/>
      <c r="D1351" s="79"/>
      <c r="E1351" s="79"/>
      <c r="F1351" s="79"/>
      <c r="G1351" s="79"/>
      <c r="H1351" s="79"/>
      <c r="I1351" s="79" t="s">
        <v>1240</v>
      </c>
      <c r="J1351" s="79" t="s">
        <v>1240</v>
      </c>
      <c r="K1351" s="79" t="s">
        <v>4382</v>
      </c>
      <c r="L1351" s="79" t="s">
        <v>977</v>
      </c>
      <c r="M1351" s="68"/>
      <c r="N1351" s="80">
        <v>36108000</v>
      </c>
      <c r="O1351" s="57">
        <f t="shared" si="65"/>
        <v>0</v>
      </c>
      <c r="P1351" s="58"/>
      <c r="Q1351" s="73"/>
      <c r="R1351" s="57"/>
      <c r="S1351" s="57"/>
      <c r="T1351" s="57"/>
      <c r="U1351" s="57"/>
      <c r="V1351" s="73">
        <f t="shared" si="64"/>
        <v>0</v>
      </c>
      <c r="W1351" s="106"/>
      <c r="X1351" s="64"/>
    </row>
    <row r="1352" spans="1:24" s="66" customFormat="1" ht="12" hidden="1" customHeight="1">
      <c r="A1352" s="79" t="s">
        <v>4372</v>
      </c>
      <c r="B1352" s="79"/>
      <c r="C1352" s="79"/>
      <c r="D1352" s="79"/>
      <c r="E1352" s="79"/>
      <c r="F1352" s="79"/>
      <c r="G1352" s="79"/>
      <c r="H1352" s="79"/>
      <c r="I1352" s="79" t="s">
        <v>1240</v>
      </c>
      <c r="J1352" s="79" t="s">
        <v>1240</v>
      </c>
      <c r="K1352" s="79" t="s">
        <v>4383</v>
      </c>
      <c r="L1352" s="79" t="s">
        <v>977</v>
      </c>
      <c r="M1352" s="68"/>
      <c r="N1352" s="80">
        <v>40356000</v>
      </c>
      <c r="O1352" s="57">
        <f t="shared" si="65"/>
        <v>0</v>
      </c>
      <c r="P1352" s="58"/>
      <c r="Q1352" s="73"/>
      <c r="R1352" s="57"/>
      <c r="S1352" s="57"/>
      <c r="T1352" s="57"/>
      <c r="U1352" s="57"/>
      <c r="V1352" s="73">
        <f t="shared" si="64"/>
        <v>0</v>
      </c>
      <c r="W1352" s="106"/>
      <c r="X1352" s="64"/>
    </row>
    <row r="1353" spans="1:24" s="66" customFormat="1" ht="12" hidden="1" customHeight="1">
      <c r="A1353" s="79" t="s">
        <v>4373</v>
      </c>
      <c r="B1353" s="79"/>
      <c r="C1353" s="79"/>
      <c r="D1353" s="79"/>
      <c r="E1353" s="79"/>
      <c r="F1353" s="79"/>
      <c r="G1353" s="79"/>
      <c r="H1353" s="79"/>
      <c r="I1353" s="79" t="s">
        <v>1240</v>
      </c>
      <c r="J1353" s="79" t="s">
        <v>1240</v>
      </c>
      <c r="K1353" s="79" t="s">
        <v>4384</v>
      </c>
      <c r="L1353" s="79" t="s">
        <v>977</v>
      </c>
      <c r="M1353" s="68"/>
      <c r="N1353" s="80">
        <v>47790000</v>
      </c>
      <c r="O1353" s="57">
        <f t="shared" si="65"/>
        <v>0</v>
      </c>
      <c r="P1353" s="58"/>
      <c r="Q1353" s="73"/>
      <c r="R1353" s="57"/>
      <c r="S1353" s="57"/>
      <c r="T1353" s="57"/>
      <c r="U1353" s="57"/>
      <c r="V1353" s="73">
        <f t="shared" si="64"/>
        <v>0</v>
      </c>
      <c r="W1353" s="106"/>
      <c r="X1353" s="64"/>
    </row>
    <row r="1354" spans="1:24" s="66" customFormat="1" ht="12" hidden="1" customHeight="1">
      <c r="A1354" s="79" t="s">
        <v>4374</v>
      </c>
      <c r="B1354" s="79"/>
      <c r="C1354" s="79"/>
      <c r="D1354" s="79"/>
      <c r="E1354" s="79"/>
      <c r="F1354" s="79"/>
      <c r="G1354" s="79"/>
      <c r="H1354" s="79"/>
      <c r="I1354" s="79" t="s">
        <v>1240</v>
      </c>
      <c r="J1354" s="79" t="s">
        <v>1240</v>
      </c>
      <c r="K1354" s="79" t="s">
        <v>4385</v>
      </c>
      <c r="L1354" s="79" t="s">
        <v>977</v>
      </c>
      <c r="M1354" s="68"/>
      <c r="N1354" s="80">
        <v>50976000</v>
      </c>
      <c r="O1354" s="57">
        <f t="shared" si="65"/>
        <v>0</v>
      </c>
      <c r="P1354" s="58"/>
      <c r="Q1354" s="73"/>
      <c r="R1354" s="57"/>
      <c r="S1354" s="57"/>
      <c r="T1354" s="57"/>
      <c r="U1354" s="57"/>
      <c r="V1354" s="73">
        <f t="shared" si="64"/>
        <v>0</v>
      </c>
      <c r="W1354" s="106"/>
      <c r="X1354" s="64"/>
    </row>
    <row r="1355" spans="1:24" s="66" customFormat="1" ht="12" hidden="1" customHeight="1">
      <c r="A1355" s="79" t="s">
        <v>4375</v>
      </c>
      <c r="B1355" s="79"/>
      <c r="C1355" s="79"/>
      <c r="D1355" s="79"/>
      <c r="E1355" s="79"/>
      <c r="F1355" s="79"/>
      <c r="G1355" s="79"/>
      <c r="H1355" s="79"/>
      <c r="I1355" s="79" t="s">
        <v>1240</v>
      </c>
      <c r="J1355" s="79" t="s">
        <v>1240</v>
      </c>
      <c r="K1355" s="79" t="s">
        <v>4386</v>
      </c>
      <c r="L1355" s="79" t="s">
        <v>977</v>
      </c>
      <c r="M1355" s="68"/>
      <c r="N1355" s="80">
        <v>63720000</v>
      </c>
      <c r="O1355" s="57">
        <f t="shared" si="65"/>
        <v>0</v>
      </c>
      <c r="P1355" s="58"/>
      <c r="Q1355" s="73"/>
      <c r="R1355" s="57"/>
      <c r="S1355" s="57"/>
      <c r="T1355" s="57"/>
      <c r="U1355" s="57"/>
      <c r="V1355" s="73">
        <f t="shared" si="64"/>
        <v>0</v>
      </c>
      <c r="W1355" s="106"/>
      <c r="X1355" s="64"/>
    </row>
    <row r="1356" spans="1:24" s="66" customFormat="1" ht="12" hidden="1" customHeight="1">
      <c r="A1356" s="79" t="s">
        <v>4286</v>
      </c>
      <c r="B1356" s="79"/>
      <c r="C1356" s="79"/>
      <c r="D1356" s="79"/>
      <c r="E1356" s="79"/>
      <c r="F1356" s="79"/>
      <c r="G1356" s="79"/>
      <c r="H1356" s="79"/>
      <c r="I1356" s="79" t="s">
        <v>4229</v>
      </c>
      <c r="J1356" s="79" t="s">
        <v>1231</v>
      </c>
      <c r="K1356" s="79" t="s">
        <v>4230</v>
      </c>
      <c r="L1356" s="79" t="s">
        <v>974</v>
      </c>
      <c r="M1356" s="68"/>
      <c r="N1356" s="80">
        <v>493830</v>
      </c>
      <c r="O1356" s="57">
        <f t="shared" si="65"/>
        <v>0</v>
      </c>
      <c r="P1356" s="58"/>
      <c r="Q1356" s="73"/>
      <c r="R1356" s="57"/>
      <c r="S1356" s="57"/>
      <c r="T1356" s="57"/>
      <c r="U1356" s="57"/>
      <c r="V1356" s="73">
        <f t="shared" si="64"/>
        <v>0</v>
      </c>
      <c r="W1356" s="106"/>
      <c r="X1356" s="64"/>
    </row>
    <row r="1357" spans="1:24" s="66" customFormat="1" ht="12" hidden="1" customHeight="1">
      <c r="A1357" s="79" t="s">
        <v>4287</v>
      </c>
      <c r="B1357" s="79"/>
      <c r="C1357" s="79"/>
      <c r="D1357" s="79"/>
      <c r="E1357" s="79"/>
      <c r="F1357" s="79"/>
      <c r="G1357" s="79"/>
      <c r="H1357" s="79"/>
      <c r="I1357" s="79" t="s">
        <v>4229</v>
      </c>
      <c r="J1357" s="79" t="s">
        <v>1231</v>
      </c>
      <c r="K1357" s="79" t="s">
        <v>4231</v>
      </c>
      <c r="L1357" s="79" t="s">
        <v>974</v>
      </c>
      <c r="M1357" s="68"/>
      <c r="N1357" s="80">
        <v>600030</v>
      </c>
      <c r="O1357" s="57">
        <f t="shared" si="65"/>
        <v>0</v>
      </c>
      <c r="P1357" s="58"/>
      <c r="Q1357" s="73"/>
      <c r="R1357" s="57"/>
      <c r="S1357" s="57"/>
      <c r="T1357" s="57"/>
      <c r="U1357" s="57"/>
      <c r="V1357" s="73">
        <f t="shared" si="64"/>
        <v>0</v>
      </c>
      <c r="W1357" s="106"/>
      <c r="X1357" s="64"/>
    </row>
    <row r="1358" spans="1:24" s="66" customFormat="1" ht="12" hidden="1" customHeight="1">
      <c r="A1358" s="79" t="s">
        <v>4288</v>
      </c>
      <c r="B1358" s="79"/>
      <c r="C1358" s="79"/>
      <c r="D1358" s="79"/>
      <c r="E1358" s="79"/>
      <c r="F1358" s="79"/>
      <c r="G1358" s="79"/>
      <c r="H1358" s="79"/>
      <c r="I1358" s="79" t="s">
        <v>4229</v>
      </c>
      <c r="J1358" s="79" t="s">
        <v>1231</v>
      </c>
      <c r="K1358" s="79" t="s">
        <v>4232</v>
      </c>
      <c r="L1358" s="79" t="s">
        <v>974</v>
      </c>
      <c r="M1358" s="68"/>
      <c r="N1358" s="80">
        <v>649950</v>
      </c>
      <c r="O1358" s="57">
        <f t="shared" si="65"/>
        <v>0</v>
      </c>
      <c r="P1358" s="58"/>
      <c r="Q1358" s="73"/>
      <c r="R1358" s="57"/>
      <c r="S1358" s="57"/>
      <c r="T1358" s="57"/>
      <c r="U1358" s="57"/>
      <c r="V1358" s="73">
        <f t="shared" si="64"/>
        <v>0</v>
      </c>
      <c r="W1358" s="106"/>
      <c r="X1358" s="64"/>
    </row>
    <row r="1359" spans="1:24" s="66" customFormat="1" ht="12" hidden="1" customHeight="1">
      <c r="A1359" s="79" t="s">
        <v>4289</v>
      </c>
      <c r="B1359" s="79"/>
      <c r="C1359" s="79"/>
      <c r="D1359" s="79"/>
      <c r="E1359" s="79"/>
      <c r="F1359" s="79"/>
      <c r="G1359" s="79"/>
      <c r="H1359" s="79"/>
      <c r="I1359" s="79" t="s">
        <v>4229</v>
      </c>
      <c r="J1359" s="79" t="s">
        <v>1231</v>
      </c>
      <c r="K1359" s="79" t="s">
        <v>4233</v>
      </c>
      <c r="L1359" s="79" t="s">
        <v>974</v>
      </c>
      <c r="M1359" s="68"/>
      <c r="N1359" s="80">
        <v>785880</v>
      </c>
      <c r="O1359" s="57">
        <f t="shared" si="65"/>
        <v>0</v>
      </c>
      <c r="P1359" s="58"/>
      <c r="Q1359" s="73"/>
      <c r="R1359" s="57"/>
      <c r="S1359" s="57"/>
      <c r="T1359" s="57"/>
      <c r="U1359" s="57"/>
      <c r="V1359" s="73">
        <f t="shared" si="64"/>
        <v>0</v>
      </c>
      <c r="W1359" s="106"/>
      <c r="X1359" s="64"/>
    </row>
    <row r="1360" spans="1:24" s="66" customFormat="1" ht="12" hidden="1" customHeight="1">
      <c r="A1360" s="79" t="s">
        <v>4290</v>
      </c>
      <c r="B1360" s="79"/>
      <c r="C1360" s="79"/>
      <c r="D1360" s="79"/>
      <c r="E1360" s="79"/>
      <c r="F1360" s="79"/>
      <c r="G1360" s="79"/>
      <c r="H1360" s="79"/>
      <c r="I1360" s="79" t="s">
        <v>4229</v>
      </c>
      <c r="J1360" s="79" t="s">
        <v>1231</v>
      </c>
      <c r="K1360" s="79" t="s">
        <v>4234</v>
      </c>
      <c r="L1360" s="79" t="s">
        <v>974</v>
      </c>
      <c r="M1360" s="68"/>
      <c r="N1360" s="80">
        <v>985540</v>
      </c>
      <c r="O1360" s="57">
        <f t="shared" si="65"/>
        <v>0</v>
      </c>
      <c r="P1360" s="58"/>
      <c r="Q1360" s="73"/>
      <c r="R1360" s="57"/>
      <c r="S1360" s="57"/>
      <c r="T1360" s="57"/>
      <c r="U1360" s="57"/>
      <c r="V1360" s="73">
        <f t="shared" si="64"/>
        <v>0</v>
      </c>
      <c r="W1360" s="106"/>
      <c r="X1360" s="64"/>
    </row>
    <row r="1361" spans="1:24" s="66" customFormat="1" ht="12" hidden="1" customHeight="1">
      <c r="A1361" s="79" t="s">
        <v>4291</v>
      </c>
      <c r="B1361" s="79"/>
      <c r="C1361" s="79"/>
      <c r="D1361" s="79"/>
      <c r="E1361" s="79"/>
      <c r="F1361" s="79"/>
      <c r="G1361" s="79"/>
      <c r="H1361" s="79"/>
      <c r="I1361" s="79" t="s">
        <v>4229</v>
      </c>
      <c r="J1361" s="79" t="s">
        <v>1231</v>
      </c>
      <c r="K1361" s="79" t="s">
        <v>4235</v>
      </c>
      <c r="L1361" s="79" t="s">
        <v>974</v>
      </c>
      <c r="M1361" s="68"/>
      <c r="N1361" s="80">
        <v>1214930</v>
      </c>
      <c r="O1361" s="57">
        <f t="shared" si="65"/>
        <v>0</v>
      </c>
      <c r="P1361" s="58"/>
      <c r="Q1361" s="73"/>
      <c r="R1361" s="57"/>
      <c r="S1361" s="57"/>
      <c r="T1361" s="57"/>
      <c r="U1361" s="57"/>
      <c r="V1361" s="73">
        <f t="shared" si="64"/>
        <v>0</v>
      </c>
      <c r="W1361" s="106"/>
      <c r="X1361" s="64"/>
    </row>
    <row r="1362" spans="1:24" s="66" customFormat="1" ht="12" hidden="1" customHeight="1">
      <c r="A1362" s="79" t="s">
        <v>4292</v>
      </c>
      <c r="B1362" s="79"/>
      <c r="C1362" s="79"/>
      <c r="D1362" s="79"/>
      <c r="E1362" s="79"/>
      <c r="F1362" s="79"/>
      <c r="G1362" s="79"/>
      <c r="H1362" s="79"/>
      <c r="I1362" s="79" t="s">
        <v>4229</v>
      </c>
      <c r="J1362" s="79" t="s">
        <v>1231</v>
      </c>
      <c r="K1362" s="79" t="s">
        <v>4236</v>
      </c>
      <c r="L1362" s="79" t="s">
        <v>974</v>
      </c>
      <c r="M1362" s="68"/>
      <c r="N1362" s="80">
        <v>1746990</v>
      </c>
      <c r="O1362" s="57">
        <f t="shared" si="65"/>
        <v>0</v>
      </c>
      <c r="P1362" s="58"/>
      <c r="Q1362" s="73"/>
      <c r="R1362" s="57"/>
      <c r="S1362" s="57"/>
      <c r="T1362" s="57"/>
      <c r="U1362" s="57"/>
      <c r="V1362" s="73">
        <f t="shared" si="64"/>
        <v>0</v>
      </c>
      <c r="W1362" s="106"/>
      <c r="X1362" s="64"/>
    </row>
    <row r="1363" spans="1:24" s="66" customFormat="1" ht="12" hidden="1" customHeight="1">
      <c r="A1363" s="79" t="s">
        <v>4293</v>
      </c>
      <c r="B1363" s="79"/>
      <c r="C1363" s="79"/>
      <c r="D1363" s="79"/>
      <c r="E1363" s="79"/>
      <c r="F1363" s="79"/>
      <c r="G1363" s="79"/>
      <c r="H1363" s="79"/>
      <c r="I1363" s="79" t="s">
        <v>4229</v>
      </c>
      <c r="J1363" s="79" t="s">
        <v>1231</v>
      </c>
      <c r="K1363" s="79" t="s">
        <v>4237</v>
      </c>
      <c r="L1363" s="79" t="s">
        <v>974</v>
      </c>
      <c r="M1363" s="68"/>
      <c r="N1363" s="80">
        <v>2180290</v>
      </c>
      <c r="O1363" s="57">
        <f t="shared" si="65"/>
        <v>0</v>
      </c>
      <c r="P1363" s="58"/>
      <c r="Q1363" s="73"/>
      <c r="R1363" s="57"/>
      <c r="S1363" s="57"/>
      <c r="T1363" s="57"/>
      <c r="U1363" s="57"/>
      <c r="V1363" s="73">
        <f t="shared" si="64"/>
        <v>0</v>
      </c>
      <c r="W1363" s="106"/>
      <c r="X1363" s="64"/>
    </row>
    <row r="1364" spans="1:24" s="66" customFormat="1" ht="12" hidden="1" customHeight="1">
      <c r="A1364" s="79" t="s">
        <v>4294</v>
      </c>
      <c r="B1364" s="79"/>
      <c r="C1364" s="79"/>
      <c r="D1364" s="79"/>
      <c r="E1364" s="79"/>
      <c r="F1364" s="79"/>
      <c r="G1364" s="79"/>
      <c r="H1364" s="79"/>
      <c r="I1364" s="79" t="s">
        <v>4229</v>
      </c>
      <c r="J1364" s="79" t="s">
        <v>1231</v>
      </c>
      <c r="K1364" s="79" t="s">
        <v>4238</v>
      </c>
      <c r="L1364" s="79" t="s">
        <v>974</v>
      </c>
      <c r="M1364" s="68"/>
      <c r="N1364" s="80">
        <v>2670930</v>
      </c>
      <c r="O1364" s="57">
        <f t="shared" si="65"/>
        <v>0</v>
      </c>
      <c r="P1364" s="58"/>
      <c r="Q1364" s="73"/>
      <c r="R1364" s="57"/>
      <c r="S1364" s="57"/>
      <c r="T1364" s="57"/>
      <c r="U1364" s="57"/>
      <c r="V1364" s="73">
        <f t="shared" si="64"/>
        <v>0</v>
      </c>
      <c r="W1364" s="106"/>
      <c r="X1364" s="64"/>
    </row>
    <row r="1365" spans="1:24" s="66" customFormat="1" ht="12" hidden="1" customHeight="1">
      <c r="A1365" s="79" t="s">
        <v>4295</v>
      </c>
      <c r="B1365" s="79"/>
      <c r="C1365" s="79"/>
      <c r="D1365" s="79"/>
      <c r="E1365" s="79"/>
      <c r="F1365" s="79"/>
      <c r="G1365" s="79"/>
      <c r="H1365" s="79"/>
      <c r="I1365" s="79" t="s">
        <v>4229</v>
      </c>
      <c r="J1365" s="79" t="s">
        <v>1231</v>
      </c>
      <c r="K1365" s="79" t="s">
        <v>4239</v>
      </c>
      <c r="L1365" s="79" t="s">
        <v>974</v>
      </c>
      <c r="M1365" s="68"/>
      <c r="N1365" s="80">
        <v>3022460</v>
      </c>
      <c r="O1365" s="57">
        <f t="shared" si="65"/>
        <v>0</v>
      </c>
      <c r="P1365" s="58"/>
      <c r="Q1365" s="73"/>
      <c r="R1365" s="57"/>
      <c r="S1365" s="57"/>
      <c r="T1365" s="57"/>
      <c r="U1365" s="57"/>
      <c r="V1365" s="73">
        <f t="shared" si="64"/>
        <v>0</v>
      </c>
      <c r="W1365" s="106"/>
      <c r="X1365" s="64"/>
    </row>
    <row r="1366" spans="1:24" s="66" customFormat="1" ht="12" hidden="1" customHeight="1">
      <c r="A1366" s="79" t="s">
        <v>4296</v>
      </c>
      <c r="B1366" s="79"/>
      <c r="C1366" s="79"/>
      <c r="D1366" s="79"/>
      <c r="E1366" s="79"/>
      <c r="F1366" s="79"/>
      <c r="G1366" s="79"/>
      <c r="H1366" s="79"/>
      <c r="I1366" s="79" t="s">
        <v>4229</v>
      </c>
      <c r="J1366" s="79" t="s">
        <v>1231</v>
      </c>
      <c r="K1366" s="79" t="s">
        <v>4240</v>
      </c>
      <c r="L1366" s="79" t="s">
        <v>974</v>
      </c>
      <c r="M1366" s="68"/>
      <c r="N1366" s="80">
        <v>4045160</v>
      </c>
      <c r="O1366" s="57">
        <f t="shared" si="65"/>
        <v>0</v>
      </c>
      <c r="P1366" s="58"/>
      <c r="Q1366" s="73"/>
      <c r="R1366" s="57"/>
      <c r="S1366" s="57"/>
      <c r="T1366" s="57"/>
      <c r="U1366" s="57"/>
      <c r="V1366" s="73">
        <f t="shared" si="64"/>
        <v>0</v>
      </c>
      <c r="W1366" s="106"/>
      <c r="X1366" s="64"/>
    </row>
    <row r="1367" spans="1:24" s="66" customFormat="1" ht="12" hidden="1" customHeight="1">
      <c r="A1367" s="79" t="s">
        <v>4297</v>
      </c>
      <c r="B1367" s="79"/>
      <c r="C1367" s="79"/>
      <c r="D1367" s="79"/>
      <c r="E1367" s="79"/>
      <c r="F1367" s="79"/>
      <c r="G1367" s="79"/>
      <c r="H1367" s="79"/>
      <c r="I1367" s="79" t="s">
        <v>4229</v>
      </c>
      <c r="J1367" s="79" t="s">
        <v>1231</v>
      </c>
      <c r="K1367" s="79" t="s">
        <v>4241</v>
      </c>
      <c r="L1367" s="79" t="s">
        <v>974</v>
      </c>
      <c r="M1367" s="68"/>
      <c r="N1367" s="80">
        <v>4728030</v>
      </c>
      <c r="O1367" s="57">
        <f t="shared" si="65"/>
        <v>0</v>
      </c>
      <c r="P1367" s="58"/>
      <c r="Q1367" s="73"/>
      <c r="R1367" s="57"/>
      <c r="S1367" s="57"/>
      <c r="T1367" s="57"/>
      <c r="U1367" s="57"/>
      <c r="V1367" s="73">
        <f t="shared" si="64"/>
        <v>0</v>
      </c>
      <c r="W1367" s="106"/>
      <c r="X1367" s="64"/>
    </row>
    <row r="1368" spans="1:24" s="66" customFormat="1" ht="12" hidden="1" customHeight="1">
      <c r="A1368" s="79" t="s">
        <v>4298</v>
      </c>
      <c r="B1368" s="79"/>
      <c r="C1368" s="79"/>
      <c r="D1368" s="79"/>
      <c r="E1368" s="79"/>
      <c r="F1368" s="79"/>
      <c r="G1368" s="79"/>
      <c r="H1368" s="79"/>
      <c r="I1368" s="79" t="s">
        <v>4229</v>
      </c>
      <c r="J1368" s="79" t="s">
        <v>1231</v>
      </c>
      <c r="K1368" s="79" t="s">
        <v>4242</v>
      </c>
      <c r="L1368" s="79" t="s">
        <v>974</v>
      </c>
      <c r="M1368" s="68"/>
      <c r="N1368" s="80">
        <v>5440630</v>
      </c>
      <c r="O1368" s="57">
        <f t="shared" si="65"/>
        <v>0</v>
      </c>
      <c r="P1368" s="58"/>
      <c r="Q1368" s="73"/>
      <c r="R1368" s="57"/>
      <c r="S1368" s="57"/>
      <c r="T1368" s="57"/>
      <c r="U1368" s="57"/>
      <c r="V1368" s="73">
        <f t="shared" si="64"/>
        <v>0</v>
      </c>
      <c r="W1368" s="106"/>
      <c r="X1368" s="64"/>
    </row>
    <row r="1369" spans="1:24" s="66" customFormat="1" ht="12" hidden="1" customHeight="1">
      <c r="A1369" s="79" t="s">
        <v>4299</v>
      </c>
      <c r="B1369" s="79"/>
      <c r="C1369" s="79"/>
      <c r="D1369" s="79"/>
      <c r="E1369" s="79"/>
      <c r="F1369" s="79"/>
      <c r="G1369" s="79"/>
      <c r="H1369" s="79"/>
      <c r="I1369" s="79" t="s">
        <v>4229</v>
      </c>
      <c r="J1369" s="79" t="s">
        <v>1231</v>
      </c>
      <c r="K1369" s="79" t="s">
        <v>4243</v>
      </c>
      <c r="L1369" s="79" t="s">
        <v>974</v>
      </c>
      <c r="M1369" s="68"/>
      <c r="N1369" s="80">
        <v>6059780</v>
      </c>
      <c r="O1369" s="57">
        <f t="shared" si="65"/>
        <v>0</v>
      </c>
      <c r="P1369" s="58"/>
      <c r="Q1369" s="73"/>
      <c r="R1369" s="57"/>
      <c r="S1369" s="57"/>
      <c r="T1369" s="57"/>
      <c r="U1369" s="57"/>
      <c r="V1369" s="73">
        <f t="shared" si="64"/>
        <v>0</v>
      </c>
      <c r="W1369" s="106"/>
      <c r="X1369" s="64"/>
    </row>
    <row r="1370" spans="1:24" s="66" customFormat="1" ht="12" hidden="1" customHeight="1">
      <c r="A1370" s="79" t="s">
        <v>4300</v>
      </c>
      <c r="B1370" s="79"/>
      <c r="C1370" s="79"/>
      <c r="D1370" s="79"/>
      <c r="E1370" s="79"/>
      <c r="F1370" s="79"/>
      <c r="G1370" s="79"/>
      <c r="H1370" s="79"/>
      <c r="I1370" s="79" t="s">
        <v>4229</v>
      </c>
      <c r="J1370" s="79" t="s">
        <v>1231</v>
      </c>
      <c r="K1370" s="79" t="s">
        <v>4244</v>
      </c>
      <c r="L1370" s="79" t="s">
        <v>974</v>
      </c>
      <c r="M1370" s="68"/>
      <c r="N1370" s="80">
        <v>7877920</v>
      </c>
      <c r="O1370" s="57">
        <f t="shared" si="65"/>
        <v>0</v>
      </c>
      <c r="P1370" s="58"/>
      <c r="Q1370" s="73"/>
      <c r="R1370" s="57"/>
      <c r="S1370" s="57"/>
      <c r="T1370" s="57"/>
      <c r="U1370" s="57"/>
      <c r="V1370" s="73">
        <f t="shared" si="64"/>
        <v>0</v>
      </c>
      <c r="W1370" s="106"/>
      <c r="X1370" s="64"/>
    </row>
    <row r="1371" spans="1:24" s="66" customFormat="1" ht="12" hidden="1" customHeight="1">
      <c r="A1371" s="79" t="s">
        <v>4301</v>
      </c>
      <c r="B1371" s="79"/>
      <c r="C1371" s="79"/>
      <c r="D1371" s="79"/>
      <c r="E1371" s="79"/>
      <c r="F1371" s="79"/>
      <c r="G1371" s="79"/>
      <c r="H1371" s="79"/>
      <c r="I1371" s="79" t="s">
        <v>4229</v>
      </c>
      <c r="J1371" s="79" t="s">
        <v>1231</v>
      </c>
      <c r="K1371" s="79" t="s">
        <v>4245</v>
      </c>
      <c r="L1371" s="79" t="s">
        <v>974</v>
      </c>
      <c r="M1371" s="68"/>
      <c r="N1371" s="80">
        <v>664820</v>
      </c>
      <c r="O1371" s="57">
        <f t="shared" si="65"/>
        <v>0</v>
      </c>
      <c r="P1371" s="58"/>
      <c r="Q1371" s="73"/>
      <c r="R1371" s="57"/>
      <c r="S1371" s="57"/>
      <c r="T1371" s="57"/>
      <c r="U1371" s="57"/>
      <c r="V1371" s="73">
        <f t="shared" si="64"/>
        <v>0</v>
      </c>
      <c r="W1371" s="106"/>
      <c r="X1371" s="64"/>
    </row>
    <row r="1372" spans="1:24" s="66" customFormat="1" ht="12" hidden="1" customHeight="1">
      <c r="A1372" s="79" t="s">
        <v>4302</v>
      </c>
      <c r="B1372" s="79"/>
      <c r="C1372" s="79"/>
      <c r="D1372" s="79"/>
      <c r="E1372" s="79"/>
      <c r="F1372" s="79"/>
      <c r="G1372" s="79"/>
      <c r="H1372" s="79"/>
      <c r="I1372" s="79" t="s">
        <v>4229</v>
      </c>
      <c r="J1372" s="79" t="s">
        <v>1231</v>
      </c>
      <c r="K1372" s="79" t="s">
        <v>4246</v>
      </c>
      <c r="L1372" s="79" t="s">
        <v>974</v>
      </c>
      <c r="M1372" s="68"/>
      <c r="N1372" s="80">
        <v>828360</v>
      </c>
      <c r="O1372" s="57">
        <f t="shared" si="65"/>
        <v>0</v>
      </c>
      <c r="P1372" s="58"/>
      <c r="Q1372" s="73"/>
      <c r="R1372" s="57"/>
      <c r="S1372" s="57"/>
      <c r="T1372" s="57"/>
      <c r="U1372" s="57"/>
      <c r="V1372" s="73">
        <f t="shared" si="64"/>
        <v>0</v>
      </c>
      <c r="W1372" s="106"/>
      <c r="X1372" s="64"/>
    </row>
    <row r="1373" spans="1:24" s="66" customFormat="1" ht="12" hidden="1" customHeight="1">
      <c r="A1373" s="79" t="s">
        <v>4303</v>
      </c>
      <c r="B1373" s="79"/>
      <c r="C1373" s="79"/>
      <c r="D1373" s="79"/>
      <c r="E1373" s="79"/>
      <c r="F1373" s="79"/>
      <c r="G1373" s="79"/>
      <c r="H1373" s="79"/>
      <c r="I1373" s="79" t="s">
        <v>4229</v>
      </c>
      <c r="J1373" s="79" t="s">
        <v>1231</v>
      </c>
      <c r="K1373" s="79" t="s">
        <v>4247</v>
      </c>
      <c r="L1373" s="79" t="s">
        <v>974</v>
      </c>
      <c r="M1373" s="68"/>
      <c r="N1373" s="80">
        <v>880400</v>
      </c>
      <c r="O1373" s="57">
        <f t="shared" si="65"/>
        <v>0</v>
      </c>
      <c r="P1373" s="58"/>
      <c r="Q1373" s="73"/>
      <c r="R1373" s="57"/>
      <c r="S1373" s="57"/>
      <c r="T1373" s="57"/>
      <c r="U1373" s="57"/>
      <c r="V1373" s="73">
        <f t="shared" si="64"/>
        <v>0</v>
      </c>
      <c r="W1373" s="106"/>
      <c r="X1373" s="64"/>
    </row>
    <row r="1374" spans="1:24" s="66" customFormat="1" ht="12" hidden="1" customHeight="1">
      <c r="A1374" s="79" t="s">
        <v>4304</v>
      </c>
      <c r="B1374" s="79"/>
      <c r="C1374" s="79"/>
      <c r="D1374" s="79"/>
      <c r="E1374" s="79"/>
      <c r="F1374" s="79"/>
      <c r="G1374" s="79"/>
      <c r="H1374" s="79"/>
      <c r="I1374" s="79" t="s">
        <v>4229</v>
      </c>
      <c r="J1374" s="79" t="s">
        <v>1231</v>
      </c>
      <c r="K1374" s="79" t="s">
        <v>4248</v>
      </c>
      <c r="L1374" s="79" t="s">
        <v>974</v>
      </c>
      <c r="M1374" s="68"/>
      <c r="N1374" s="80">
        <v>1146960</v>
      </c>
      <c r="O1374" s="57">
        <f t="shared" si="65"/>
        <v>0</v>
      </c>
      <c r="P1374" s="58"/>
      <c r="Q1374" s="73"/>
      <c r="R1374" s="57"/>
      <c r="S1374" s="57"/>
      <c r="T1374" s="57"/>
      <c r="U1374" s="57"/>
      <c r="V1374" s="73">
        <f t="shared" si="64"/>
        <v>0</v>
      </c>
      <c r="W1374" s="106"/>
      <c r="X1374" s="64"/>
    </row>
    <row r="1375" spans="1:24" s="66" customFormat="1" ht="12" hidden="1" customHeight="1">
      <c r="A1375" s="79" t="s">
        <v>4305</v>
      </c>
      <c r="B1375" s="79"/>
      <c r="C1375" s="79"/>
      <c r="D1375" s="79"/>
      <c r="E1375" s="79"/>
      <c r="F1375" s="79"/>
      <c r="G1375" s="79"/>
      <c r="H1375" s="79"/>
      <c r="I1375" s="79" t="s">
        <v>4229</v>
      </c>
      <c r="J1375" s="79" t="s">
        <v>1231</v>
      </c>
      <c r="K1375" s="79" t="s">
        <v>4249</v>
      </c>
      <c r="L1375" s="79" t="s">
        <v>974</v>
      </c>
      <c r="M1375" s="68"/>
      <c r="N1375" s="80">
        <v>1326440</v>
      </c>
      <c r="O1375" s="57">
        <f t="shared" si="65"/>
        <v>0</v>
      </c>
      <c r="P1375" s="58"/>
      <c r="Q1375" s="73"/>
      <c r="R1375" s="57"/>
      <c r="S1375" s="57"/>
      <c r="T1375" s="57"/>
      <c r="U1375" s="57"/>
      <c r="V1375" s="73">
        <f t="shared" si="64"/>
        <v>0</v>
      </c>
      <c r="W1375" s="106"/>
      <c r="X1375" s="64"/>
    </row>
    <row r="1376" spans="1:24" s="66" customFormat="1" ht="12" hidden="1" customHeight="1">
      <c r="A1376" s="79" t="s">
        <v>4306</v>
      </c>
      <c r="B1376" s="79"/>
      <c r="C1376" s="79"/>
      <c r="D1376" s="79"/>
      <c r="E1376" s="79"/>
      <c r="F1376" s="79"/>
      <c r="G1376" s="79"/>
      <c r="H1376" s="79"/>
      <c r="I1376" s="79" t="s">
        <v>4229</v>
      </c>
      <c r="J1376" s="79" t="s">
        <v>1231</v>
      </c>
      <c r="K1376" s="79" t="s">
        <v>4250</v>
      </c>
      <c r="L1376" s="79" t="s">
        <v>974</v>
      </c>
      <c r="M1376" s="68"/>
      <c r="N1376" s="80">
        <v>1649290</v>
      </c>
      <c r="O1376" s="57">
        <f t="shared" si="65"/>
        <v>0</v>
      </c>
      <c r="P1376" s="58"/>
      <c r="Q1376" s="73"/>
      <c r="R1376" s="57"/>
      <c r="S1376" s="57"/>
      <c r="T1376" s="57"/>
      <c r="U1376" s="57"/>
      <c r="V1376" s="73">
        <f t="shared" si="64"/>
        <v>0</v>
      </c>
      <c r="W1376" s="106"/>
      <c r="X1376" s="64"/>
    </row>
    <row r="1377" spans="1:24" s="66" customFormat="1" ht="12" hidden="1" customHeight="1">
      <c r="A1377" s="79" t="s">
        <v>4307</v>
      </c>
      <c r="B1377" s="79"/>
      <c r="C1377" s="79"/>
      <c r="D1377" s="79"/>
      <c r="E1377" s="79"/>
      <c r="F1377" s="79"/>
      <c r="G1377" s="79"/>
      <c r="H1377" s="79"/>
      <c r="I1377" s="79" t="s">
        <v>4229</v>
      </c>
      <c r="J1377" s="79" t="s">
        <v>1231</v>
      </c>
      <c r="K1377" s="79" t="s">
        <v>4251</v>
      </c>
      <c r="L1377" s="79" t="s">
        <v>974</v>
      </c>
      <c r="M1377" s="68"/>
      <c r="N1377" s="80">
        <v>2102760</v>
      </c>
      <c r="O1377" s="57">
        <f t="shared" si="65"/>
        <v>0</v>
      </c>
      <c r="P1377" s="58"/>
      <c r="Q1377" s="73"/>
      <c r="R1377" s="57"/>
      <c r="S1377" s="57"/>
      <c r="T1377" s="57"/>
      <c r="U1377" s="57"/>
      <c r="V1377" s="73">
        <f t="shared" si="64"/>
        <v>0</v>
      </c>
      <c r="W1377" s="106"/>
      <c r="X1377" s="64"/>
    </row>
    <row r="1378" spans="1:24" s="66" customFormat="1" ht="12" hidden="1" customHeight="1">
      <c r="A1378" s="79" t="s">
        <v>4308</v>
      </c>
      <c r="B1378" s="79"/>
      <c r="C1378" s="79"/>
      <c r="D1378" s="79"/>
      <c r="E1378" s="79"/>
      <c r="F1378" s="79"/>
      <c r="G1378" s="79"/>
      <c r="H1378" s="79"/>
      <c r="I1378" s="79" t="s">
        <v>4229</v>
      </c>
      <c r="J1378" s="79" t="s">
        <v>1231</v>
      </c>
      <c r="K1378" s="79" t="s">
        <v>4252</v>
      </c>
      <c r="L1378" s="79" t="s">
        <v>974</v>
      </c>
      <c r="M1378" s="68"/>
      <c r="N1378" s="80">
        <v>2430920</v>
      </c>
      <c r="O1378" s="57">
        <f t="shared" si="65"/>
        <v>0</v>
      </c>
      <c r="P1378" s="58"/>
      <c r="Q1378" s="73"/>
      <c r="R1378" s="57"/>
      <c r="S1378" s="57"/>
      <c r="T1378" s="57"/>
      <c r="U1378" s="57"/>
      <c r="V1378" s="73">
        <f t="shared" si="64"/>
        <v>0</v>
      </c>
      <c r="W1378" s="106"/>
      <c r="X1378" s="64"/>
    </row>
    <row r="1379" spans="1:24" s="66" customFormat="1" ht="12" hidden="1" customHeight="1">
      <c r="A1379" s="79" t="s">
        <v>4309</v>
      </c>
      <c r="B1379" s="79"/>
      <c r="C1379" s="79"/>
      <c r="D1379" s="79"/>
      <c r="E1379" s="79"/>
      <c r="F1379" s="79"/>
      <c r="G1379" s="79"/>
      <c r="H1379" s="79"/>
      <c r="I1379" s="79" t="s">
        <v>4229</v>
      </c>
      <c r="J1379" s="79" t="s">
        <v>1231</v>
      </c>
      <c r="K1379" s="79" t="s">
        <v>4253</v>
      </c>
      <c r="L1379" s="79" t="s">
        <v>974</v>
      </c>
      <c r="M1379" s="68"/>
      <c r="N1379" s="80">
        <v>2872710</v>
      </c>
      <c r="O1379" s="57">
        <f t="shared" si="65"/>
        <v>0</v>
      </c>
      <c r="P1379" s="58"/>
      <c r="Q1379" s="73"/>
      <c r="R1379" s="57"/>
      <c r="S1379" s="57"/>
      <c r="T1379" s="57"/>
      <c r="U1379" s="57"/>
      <c r="V1379" s="73">
        <f t="shared" si="64"/>
        <v>0</v>
      </c>
      <c r="W1379" s="106"/>
      <c r="X1379" s="64"/>
    </row>
    <row r="1380" spans="1:24" s="66" customFormat="1" ht="12" hidden="1" customHeight="1">
      <c r="A1380" s="79" t="s">
        <v>4310</v>
      </c>
      <c r="B1380" s="79"/>
      <c r="C1380" s="79"/>
      <c r="D1380" s="79"/>
      <c r="E1380" s="79"/>
      <c r="F1380" s="79"/>
      <c r="G1380" s="79"/>
      <c r="H1380" s="79"/>
      <c r="I1380" s="79" t="s">
        <v>4229</v>
      </c>
      <c r="J1380" s="79" t="s">
        <v>1231</v>
      </c>
      <c r="K1380" s="79" t="s">
        <v>4254</v>
      </c>
      <c r="L1380" s="79" t="s">
        <v>974</v>
      </c>
      <c r="M1380" s="68"/>
      <c r="N1380" s="80">
        <v>3144590</v>
      </c>
      <c r="O1380" s="57">
        <f t="shared" si="65"/>
        <v>0</v>
      </c>
      <c r="P1380" s="58"/>
      <c r="Q1380" s="73"/>
      <c r="R1380" s="57"/>
      <c r="S1380" s="57"/>
      <c r="T1380" s="57"/>
      <c r="U1380" s="57"/>
      <c r="V1380" s="73">
        <f t="shared" si="64"/>
        <v>0</v>
      </c>
      <c r="W1380" s="106"/>
      <c r="X1380" s="64"/>
    </row>
    <row r="1381" spans="1:24" s="66" customFormat="1" ht="12" hidden="1" customHeight="1">
      <c r="A1381" s="79" t="s">
        <v>4311</v>
      </c>
      <c r="B1381" s="79"/>
      <c r="C1381" s="79"/>
      <c r="D1381" s="79"/>
      <c r="E1381" s="79"/>
      <c r="F1381" s="79"/>
      <c r="G1381" s="79"/>
      <c r="H1381" s="79"/>
      <c r="I1381" s="79" t="s">
        <v>4229</v>
      </c>
      <c r="J1381" s="79" t="s">
        <v>1231</v>
      </c>
      <c r="K1381" s="79" t="s">
        <v>4255</v>
      </c>
      <c r="L1381" s="79" t="s">
        <v>974</v>
      </c>
      <c r="M1381" s="68"/>
      <c r="N1381" s="80">
        <v>3651160</v>
      </c>
      <c r="O1381" s="57">
        <f t="shared" si="65"/>
        <v>0</v>
      </c>
      <c r="P1381" s="58"/>
      <c r="Q1381" s="73"/>
      <c r="R1381" s="57"/>
      <c r="S1381" s="57"/>
      <c r="T1381" s="57"/>
      <c r="U1381" s="57"/>
      <c r="V1381" s="73">
        <f t="shared" si="64"/>
        <v>0</v>
      </c>
      <c r="W1381" s="106"/>
      <c r="X1381" s="64"/>
    </row>
    <row r="1382" spans="1:24" s="66" customFormat="1" ht="12" hidden="1" customHeight="1">
      <c r="A1382" s="79" t="s">
        <v>4312</v>
      </c>
      <c r="B1382" s="79"/>
      <c r="C1382" s="79"/>
      <c r="D1382" s="79"/>
      <c r="E1382" s="79"/>
      <c r="F1382" s="79"/>
      <c r="G1382" s="79"/>
      <c r="H1382" s="79"/>
      <c r="I1382" s="79" t="s">
        <v>4229</v>
      </c>
      <c r="J1382" s="79" t="s">
        <v>1231</v>
      </c>
      <c r="K1382" s="79" t="s">
        <v>4256</v>
      </c>
      <c r="L1382" s="79" t="s">
        <v>974</v>
      </c>
      <c r="M1382" s="68"/>
      <c r="N1382" s="80">
        <v>4563420</v>
      </c>
      <c r="O1382" s="57">
        <f t="shared" si="65"/>
        <v>0</v>
      </c>
      <c r="P1382" s="58"/>
      <c r="Q1382" s="73"/>
      <c r="R1382" s="57"/>
      <c r="S1382" s="57"/>
      <c r="T1382" s="57"/>
      <c r="U1382" s="57"/>
      <c r="V1382" s="73">
        <f t="shared" si="64"/>
        <v>0</v>
      </c>
      <c r="W1382" s="106"/>
      <c r="X1382" s="64"/>
    </row>
    <row r="1383" spans="1:24" s="66" customFormat="1" ht="12" hidden="1" customHeight="1">
      <c r="A1383" s="79" t="s">
        <v>4313</v>
      </c>
      <c r="B1383" s="79"/>
      <c r="C1383" s="79"/>
      <c r="D1383" s="79"/>
      <c r="E1383" s="79"/>
      <c r="F1383" s="79"/>
      <c r="G1383" s="79"/>
      <c r="H1383" s="79"/>
      <c r="I1383" s="79" t="s">
        <v>4229</v>
      </c>
      <c r="J1383" s="79" t="s">
        <v>1231</v>
      </c>
      <c r="K1383" s="79" t="s">
        <v>4257</v>
      </c>
      <c r="L1383" s="79" t="s">
        <v>974</v>
      </c>
      <c r="M1383" s="68"/>
      <c r="N1383" s="80">
        <v>5078490</v>
      </c>
      <c r="O1383" s="57">
        <f t="shared" si="65"/>
        <v>0</v>
      </c>
      <c r="P1383" s="58"/>
      <c r="Q1383" s="73"/>
      <c r="R1383" s="57"/>
      <c r="S1383" s="57"/>
      <c r="T1383" s="57"/>
      <c r="U1383" s="57"/>
      <c r="V1383" s="73">
        <f t="shared" si="64"/>
        <v>0</v>
      </c>
      <c r="W1383" s="106"/>
      <c r="X1383" s="64"/>
    </row>
    <row r="1384" spans="1:24" s="66" customFormat="1" ht="12" hidden="1" customHeight="1">
      <c r="A1384" s="79" t="s">
        <v>4314</v>
      </c>
      <c r="B1384" s="79"/>
      <c r="C1384" s="79"/>
      <c r="D1384" s="79"/>
      <c r="E1384" s="79"/>
      <c r="F1384" s="79"/>
      <c r="G1384" s="79"/>
      <c r="H1384" s="79"/>
      <c r="I1384" s="79" t="s">
        <v>4229</v>
      </c>
      <c r="J1384" s="79" t="s">
        <v>1231</v>
      </c>
      <c r="K1384" s="79" t="s">
        <v>4258</v>
      </c>
      <c r="L1384" s="79" t="s">
        <v>974</v>
      </c>
      <c r="M1384" s="68"/>
      <c r="N1384" s="80">
        <v>7065490</v>
      </c>
      <c r="O1384" s="57">
        <f t="shared" si="65"/>
        <v>0</v>
      </c>
      <c r="P1384" s="58"/>
      <c r="Q1384" s="73"/>
      <c r="R1384" s="57"/>
      <c r="S1384" s="57"/>
      <c r="T1384" s="57"/>
      <c r="U1384" s="57"/>
      <c r="V1384" s="73">
        <f t="shared" si="64"/>
        <v>0</v>
      </c>
      <c r="W1384" s="106"/>
      <c r="X1384" s="64"/>
    </row>
    <row r="1385" spans="1:24" s="66" customFormat="1" ht="12" hidden="1" customHeight="1">
      <c r="A1385" s="79" t="s">
        <v>4315</v>
      </c>
      <c r="B1385" s="79"/>
      <c r="C1385" s="79"/>
      <c r="D1385" s="79"/>
      <c r="E1385" s="79"/>
      <c r="F1385" s="79"/>
      <c r="G1385" s="79"/>
      <c r="H1385" s="79"/>
      <c r="I1385" s="79" t="s">
        <v>4229</v>
      </c>
      <c r="J1385" s="79" t="s">
        <v>1231</v>
      </c>
      <c r="K1385" s="79" t="s">
        <v>4259</v>
      </c>
      <c r="L1385" s="79" t="s">
        <v>974</v>
      </c>
      <c r="M1385" s="68"/>
      <c r="N1385" s="80">
        <v>8431220</v>
      </c>
      <c r="O1385" s="57">
        <f t="shared" si="65"/>
        <v>0</v>
      </c>
      <c r="P1385" s="58"/>
      <c r="Q1385" s="73"/>
      <c r="R1385" s="57"/>
      <c r="S1385" s="57"/>
      <c r="T1385" s="57"/>
      <c r="U1385" s="57"/>
      <c r="V1385" s="73">
        <f t="shared" si="64"/>
        <v>0</v>
      </c>
      <c r="W1385" s="106"/>
      <c r="X1385" s="64"/>
    </row>
    <row r="1386" spans="1:24" s="66" customFormat="1" ht="12" hidden="1" customHeight="1">
      <c r="A1386" s="79" t="s">
        <v>4316</v>
      </c>
      <c r="B1386" s="79"/>
      <c r="C1386" s="79"/>
      <c r="D1386" s="79"/>
      <c r="E1386" s="79"/>
      <c r="F1386" s="79"/>
      <c r="G1386" s="79"/>
      <c r="H1386" s="79"/>
      <c r="I1386" s="79" t="s">
        <v>4229</v>
      </c>
      <c r="J1386" s="79" t="s">
        <v>1231</v>
      </c>
      <c r="K1386" s="79" t="s">
        <v>4260</v>
      </c>
      <c r="L1386" s="79" t="s">
        <v>974</v>
      </c>
      <c r="M1386" s="68"/>
      <c r="N1386" s="80">
        <v>33453000</v>
      </c>
      <c r="O1386" s="57">
        <f t="shared" si="65"/>
        <v>0</v>
      </c>
      <c r="P1386" s="58"/>
      <c r="Q1386" s="73"/>
      <c r="R1386" s="57"/>
      <c r="S1386" s="57"/>
      <c r="T1386" s="57"/>
      <c r="U1386" s="57"/>
      <c r="V1386" s="73">
        <f t="shared" si="64"/>
        <v>0</v>
      </c>
      <c r="W1386" s="106"/>
      <c r="X1386" s="64"/>
    </row>
    <row r="1387" spans="1:24" s="66" customFormat="1" ht="12" hidden="1" customHeight="1">
      <c r="A1387" s="79" t="s">
        <v>4317</v>
      </c>
      <c r="B1387" s="79"/>
      <c r="C1387" s="79"/>
      <c r="D1387" s="79"/>
      <c r="E1387" s="79"/>
      <c r="F1387" s="79"/>
      <c r="G1387" s="79"/>
      <c r="H1387" s="79"/>
      <c r="I1387" s="79" t="s">
        <v>4229</v>
      </c>
      <c r="J1387" s="79" t="s">
        <v>1231</v>
      </c>
      <c r="K1387" s="79" t="s">
        <v>4261</v>
      </c>
      <c r="L1387" s="79" t="s">
        <v>974</v>
      </c>
      <c r="M1387" s="68"/>
      <c r="N1387" s="80">
        <v>41418000</v>
      </c>
      <c r="O1387" s="57">
        <f t="shared" si="65"/>
        <v>0</v>
      </c>
      <c r="P1387" s="58"/>
      <c r="Q1387" s="73"/>
      <c r="R1387" s="57"/>
      <c r="S1387" s="57"/>
      <c r="T1387" s="57"/>
      <c r="U1387" s="57"/>
      <c r="V1387" s="73">
        <f t="shared" si="64"/>
        <v>0</v>
      </c>
      <c r="W1387" s="106"/>
      <c r="X1387" s="64"/>
    </row>
    <row r="1388" spans="1:24" s="66" customFormat="1" ht="12" hidden="1" customHeight="1">
      <c r="A1388" s="79" t="s">
        <v>4318</v>
      </c>
      <c r="B1388" s="79"/>
      <c r="C1388" s="79"/>
      <c r="D1388" s="79"/>
      <c r="E1388" s="79"/>
      <c r="F1388" s="79"/>
      <c r="G1388" s="79"/>
      <c r="H1388" s="79"/>
      <c r="I1388" s="79" t="s">
        <v>4229</v>
      </c>
      <c r="J1388" s="79" t="s">
        <v>1231</v>
      </c>
      <c r="K1388" s="79" t="s">
        <v>4262</v>
      </c>
      <c r="L1388" s="79" t="s">
        <v>974</v>
      </c>
      <c r="M1388" s="68"/>
      <c r="N1388" s="80">
        <v>49383000</v>
      </c>
      <c r="O1388" s="57">
        <f t="shared" si="65"/>
        <v>0</v>
      </c>
      <c r="P1388" s="58"/>
      <c r="Q1388" s="73"/>
      <c r="R1388" s="57"/>
      <c r="S1388" s="57"/>
      <c r="T1388" s="57"/>
      <c r="U1388" s="57"/>
      <c r="V1388" s="73">
        <f t="shared" si="64"/>
        <v>0</v>
      </c>
      <c r="W1388" s="106"/>
      <c r="X1388" s="64"/>
    </row>
    <row r="1389" spans="1:24" s="66" customFormat="1" ht="12" hidden="1" customHeight="1">
      <c r="A1389" s="79" t="s">
        <v>4319</v>
      </c>
      <c r="B1389" s="79"/>
      <c r="C1389" s="79"/>
      <c r="D1389" s="79"/>
      <c r="E1389" s="79"/>
      <c r="F1389" s="79"/>
      <c r="G1389" s="79"/>
      <c r="H1389" s="79"/>
      <c r="I1389" s="79" t="s">
        <v>4229</v>
      </c>
      <c r="J1389" s="79" t="s">
        <v>1231</v>
      </c>
      <c r="K1389" s="79" t="s">
        <v>4263</v>
      </c>
      <c r="L1389" s="79" t="s">
        <v>974</v>
      </c>
      <c r="M1389" s="68"/>
      <c r="N1389" s="80">
        <v>4016490</v>
      </c>
      <c r="O1389" s="57">
        <f t="shared" si="65"/>
        <v>0</v>
      </c>
      <c r="P1389" s="58"/>
      <c r="Q1389" s="73"/>
      <c r="R1389" s="57"/>
      <c r="S1389" s="57"/>
      <c r="T1389" s="57"/>
      <c r="U1389" s="57"/>
      <c r="V1389" s="73">
        <f t="shared" si="64"/>
        <v>0</v>
      </c>
      <c r="W1389" s="106"/>
      <c r="X1389" s="64"/>
    </row>
    <row r="1390" spans="1:24" s="66" customFormat="1" ht="12" hidden="1" customHeight="1">
      <c r="A1390" s="79" t="s">
        <v>4320</v>
      </c>
      <c r="B1390" s="79"/>
      <c r="C1390" s="79"/>
      <c r="D1390" s="79"/>
      <c r="E1390" s="79"/>
      <c r="F1390" s="79"/>
      <c r="G1390" s="79"/>
      <c r="H1390" s="79"/>
      <c r="I1390" s="79" t="s">
        <v>4229</v>
      </c>
      <c r="J1390" s="79" t="s">
        <v>1231</v>
      </c>
      <c r="K1390" s="79" t="s">
        <v>4264</v>
      </c>
      <c r="L1390" s="79" t="s">
        <v>974</v>
      </c>
      <c r="M1390" s="68"/>
      <c r="N1390" s="80">
        <v>4928750</v>
      </c>
      <c r="O1390" s="57">
        <f t="shared" si="65"/>
        <v>0</v>
      </c>
      <c r="P1390" s="58"/>
      <c r="Q1390" s="73"/>
      <c r="R1390" s="57"/>
      <c r="S1390" s="57"/>
      <c r="T1390" s="57"/>
      <c r="U1390" s="57"/>
      <c r="V1390" s="73">
        <f t="shared" si="64"/>
        <v>0</v>
      </c>
      <c r="W1390" s="106"/>
      <c r="X1390" s="64"/>
    </row>
    <row r="1391" spans="1:24" s="66" customFormat="1" ht="12" hidden="1" customHeight="1">
      <c r="A1391" s="79" t="s">
        <v>4321</v>
      </c>
      <c r="B1391" s="79"/>
      <c r="C1391" s="79"/>
      <c r="D1391" s="79"/>
      <c r="E1391" s="79"/>
      <c r="F1391" s="79"/>
      <c r="G1391" s="79"/>
      <c r="H1391" s="79"/>
      <c r="I1391" s="79" t="s">
        <v>4229</v>
      </c>
      <c r="J1391" s="79" t="s">
        <v>1231</v>
      </c>
      <c r="K1391" s="79" t="s">
        <v>4265</v>
      </c>
      <c r="L1391" s="79" t="s">
        <v>974</v>
      </c>
      <c r="M1391" s="68"/>
      <c r="N1391" s="80">
        <v>5485230</v>
      </c>
      <c r="O1391" s="57">
        <f t="shared" si="65"/>
        <v>0</v>
      </c>
      <c r="P1391" s="58"/>
      <c r="Q1391" s="73"/>
      <c r="R1391" s="57"/>
      <c r="S1391" s="57"/>
      <c r="T1391" s="57"/>
      <c r="U1391" s="57"/>
      <c r="V1391" s="73">
        <f t="shared" si="64"/>
        <v>0</v>
      </c>
      <c r="W1391" s="106"/>
      <c r="X1391" s="64"/>
    </row>
    <row r="1392" spans="1:24" s="66" customFormat="1" ht="12" hidden="1" customHeight="1">
      <c r="A1392" s="79" t="s">
        <v>4322</v>
      </c>
      <c r="B1392" s="79"/>
      <c r="C1392" s="79"/>
      <c r="D1392" s="79"/>
      <c r="E1392" s="79"/>
      <c r="F1392" s="79"/>
      <c r="G1392" s="79"/>
      <c r="H1392" s="79"/>
      <c r="I1392" s="79" t="s">
        <v>4229</v>
      </c>
      <c r="J1392" s="79" t="s">
        <v>1231</v>
      </c>
      <c r="K1392" s="79" t="s">
        <v>4266</v>
      </c>
      <c r="L1392" s="79" t="s">
        <v>974</v>
      </c>
      <c r="M1392" s="68"/>
      <c r="N1392" s="80">
        <v>7550820</v>
      </c>
      <c r="O1392" s="57">
        <f t="shared" si="65"/>
        <v>0</v>
      </c>
      <c r="P1392" s="58"/>
      <c r="Q1392" s="73"/>
      <c r="R1392" s="57"/>
      <c r="S1392" s="57"/>
      <c r="T1392" s="57"/>
      <c r="U1392" s="57"/>
      <c r="V1392" s="73">
        <f t="shared" si="64"/>
        <v>0</v>
      </c>
      <c r="W1392" s="106"/>
      <c r="X1392" s="64"/>
    </row>
    <row r="1393" spans="1:24" s="66" customFormat="1" ht="12" hidden="1" customHeight="1">
      <c r="A1393" s="79" t="s">
        <v>4323</v>
      </c>
      <c r="B1393" s="79"/>
      <c r="C1393" s="79"/>
      <c r="D1393" s="79"/>
      <c r="E1393" s="79"/>
      <c r="F1393" s="79"/>
      <c r="G1393" s="79"/>
      <c r="H1393" s="79"/>
      <c r="I1393" s="79" t="s">
        <v>4229</v>
      </c>
      <c r="J1393" s="79" t="s">
        <v>1231</v>
      </c>
      <c r="K1393" s="79" t="s">
        <v>4267</v>
      </c>
      <c r="L1393" s="79" t="s">
        <v>974</v>
      </c>
      <c r="M1393" s="68"/>
      <c r="N1393" s="80">
        <v>9027000</v>
      </c>
      <c r="O1393" s="57">
        <f t="shared" si="65"/>
        <v>0</v>
      </c>
      <c r="P1393" s="58"/>
      <c r="Q1393" s="73"/>
      <c r="R1393" s="57"/>
      <c r="S1393" s="57"/>
      <c r="T1393" s="57"/>
      <c r="U1393" s="57"/>
      <c r="V1393" s="73">
        <f t="shared" si="64"/>
        <v>0</v>
      </c>
      <c r="W1393" s="106"/>
      <c r="X1393" s="64"/>
    </row>
    <row r="1394" spans="1:24" s="66" customFormat="1" ht="12" hidden="1" customHeight="1">
      <c r="A1394" s="79" t="s">
        <v>4324</v>
      </c>
      <c r="B1394" s="79"/>
      <c r="C1394" s="79"/>
      <c r="D1394" s="79"/>
      <c r="E1394" s="79"/>
      <c r="F1394" s="79"/>
      <c r="G1394" s="79"/>
      <c r="H1394" s="79"/>
      <c r="I1394" s="79" t="s">
        <v>4229</v>
      </c>
      <c r="J1394" s="79" t="s">
        <v>1231</v>
      </c>
      <c r="K1394" s="79" t="s">
        <v>4268</v>
      </c>
      <c r="L1394" s="79" t="s">
        <v>974</v>
      </c>
      <c r="M1394" s="68"/>
      <c r="N1394" s="80">
        <v>11699000</v>
      </c>
      <c r="O1394" s="57">
        <f t="shared" si="65"/>
        <v>0</v>
      </c>
      <c r="P1394" s="58"/>
      <c r="Q1394" s="73"/>
      <c r="R1394" s="57"/>
      <c r="S1394" s="57"/>
      <c r="T1394" s="57"/>
      <c r="U1394" s="57"/>
      <c r="V1394" s="73">
        <f t="shared" si="64"/>
        <v>0</v>
      </c>
      <c r="W1394" s="106"/>
      <c r="X1394" s="64"/>
    </row>
    <row r="1395" spans="1:24" s="66" customFormat="1" ht="12" hidden="1" customHeight="1">
      <c r="A1395" s="79" t="s">
        <v>4325</v>
      </c>
      <c r="B1395" s="79"/>
      <c r="C1395" s="79"/>
      <c r="D1395" s="79"/>
      <c r="E1395" s="79"/>
      <c r="F1395" s="79"/>
      <c r="G1395" s="79"/>
      <c r="H1395" s="79"/>
      <c r="I1395" s="79" t="s">
        <v>4229</v>
      </c>
      <c r="J1395" s="79" t="s">
        <v>1231</v>
      </c>
      <c r="K1395" s="79" t="s">
        <v>4269</v>
      </c>
      <c r="L1395" s="79" t="s">
        <v>974</v>
      </c>
      <c r="M1395" s="68"/>
      <c r="N1395" s="80">
        <v>13963180</v>
      </c>
      <c r="O1395" s="57">
        <f t="shared" si="65"/>
        <v>0</v>
      </c>
      <c r="P1395" s="58"/>
      <c r="Q1395" s="73"/>
      <c r="R1395" s="57"/>
      <c r="S1395" s="57"/>
      <c r="T1395" s="57"/>
      <c r="U1395" s="57"/>
      <c r="V1395" s="73">
        <f t="shared" si="64"/>
        <v>0</v>
      </c>
      <c r="W1395" s="106"/>
      <c r="X1395" s="64"/>
    </row>
    <row r="1396" spans="1:24" s="66" customFormat="1" ht="12" hidden="1" customHeight="1">
      <c r="A1396" s="79" t="s">
        <v>4326</v>
      </c>
      <c r="B1396" s="79"/>
      <c r="C1396" s="79"/>
      <c r="D1396" s="79"/>
      <c r="E1396" s="79"/>
      <c r="F1396" s="79"/>
      <c r="G1396" s="79"/>
      <c r="H1396" s="79"/>
      <c r="I1396" s="79" t="s">
        <v>4229</v>
      </c>
      <c r="J1396" s="79" t="s">
        <v>1231</v>
      </c>
      <c r="K1396" s="79" t="s">
        <v>4270</v>
      </c>
      <c r="L1396" s="79" t="s">
        <v>974</v>
      </c>
      <c r="M1396" s="68"/>
      <c r="N1396" s="80">
        <v>16665970</v>
      </c>
      <c r="O1396" s="57">
        <f t="shared" si="65"/>
        <v>0</v>
      </c>
      <c r="P1396" s="58"/>
      <c r="Q1396" s="73"/>
      <c r="R1396" s="57"/>
      <c r="S1396" s="57"/>
      <c r="T1396" s="57"/>
      <c r="U1396" s="57"/>
      <c r="V1396" s="73">
        <f t="shared" si="64"/>
        <v>0</v>
      </c>
      <c r="W1396" s="106"/>
      <c r="X1396" s="64"/>
    </row>
    <row r="1397" spans="1:24" s="66" customFormat="1" ht="12" hidden="1" customHeight="1">
      <c r="A1397" s="79" t="s">
        <v>4327</v>
      </c>
      <c r="B1397" s="79"/>
      <c r="C1397" s="79"/>
      <c r="D1397" s="79"/>
      <c r="E1397" s="79"/>
      <c r="F1397" s="79"/>
      <c r="G1397" s="79"/>
      <c r="H1397" s="79"/>
      <c r="I1397" s="79" t="s">
        <v>4229</v>
      </c>
      <c r="J1397" s="79" t="s">
        <v>1231</v>
      </c>
      <c r="K1397" s="79" t="s">
        <v>4271</v>
      </c>
      <c r="L1397" s="79" t="s">
        <v>974</v>
      </c>
      <c r="M1397" s="68"/>
      <c r="N1397" s="80">
        <v>19116000</v>
      </c>
      <c r="O1397" s="57">
        <f t="shared" si="65"/>
        <v>0</v>
      </c>
      <c r="P1397" s="58"/>
      <c r="Q1397" s="73"/>
      <c r="R1397" s="57"/>
      <c r="S1397" s="57"/>
      <c r="T1397" s="57"/>
      <c r="U1397" s="57"/>
      <c r="V1397" s="73">
        <f t="shared" si="64"/>
        <v>0</v>
      </c>
      <c r="W1397" s="106"/>
      <c r="X1397" s="64"/>
    </row>
    <row r="1398" spans="1:24" s="66" customFormat="1" ht="12" hidden="1" customHeight="1">
      <c r="A1398" s="79" t="s">
        <v>4328</v>
      </c>
      <c r="B1398" s="79"/>
      <c r="C1398" s="79"/>
      <c r="D1398" s="79"/>
      <c r="E1398" s="79"/>
      <c r="F1398" s="79"/>
      <c r="G1398" s="79"/>
      <c r="H1398" s="79"/>
      <c r="I1398" s="79" t="s">
        <v>4229</v>
      </c>
      <c r="J1398" s="79" t="s">
        <v>1231</v>
      </c>
      <c r="K1398" s="79" t="s">
        <v>4272</v>
      </c>
      <c r="L1398" s="79" t="s">
        <v>974</v>
      </c>
      <c r="M1398" s="68"/>
      <c r="N1398" s="80">
        <v>23364000</v>
      </c>
      <c r="O1398" s="57">
        <f t="shared" si="65"/>
        <v>0</v>
      </c>
      <c r="P1398" s="58"/>
      <c r="Q1398" s="73"/>
      <c r="R1398" s="57"/>
      <c r="S1398" s="57"/>
      <c r="T1398" s="57"/>
      <c r="U1398" s="57"/>
      <c r="V1398" s="73">
        <f t="shared" si="64"/>
        <v>0</v>
      </c>
      <c r="W1398" s="106"/>
      <c r="X1398" s="64"/>
    </row>
    <row r="1399" spans="1:24" s="66" customFormat="1" ht="12" hidden="1" customHeight="1">
      <c r="A1399" s="79" t="s">
        <v>4329</v>
      </c>
      <c r="B1399" s="79"/>
      <c r="C1399" s="79"/>
      <c r="D1399" s="79"/>
      <c r="E1399" s="79"/>
      <c r="F1399" s="79"/>
      <c r="G1399" s="79"/>
      <c r="H1399" s="79"/>
      <c r="I1399" s="79" t="s">
        <v>4229</v>
      </c>
      <c r="J1399" s="79" t="s">
        <v>1231</v>
      </c>
      <c r="K1399" s="79" t="s">
        <v>4273</v>
      </c>
      <c r="L1399" s="79" t="s">
        <v>974</v>
      </c>
      <c r="M1399" s="68"/>
      <c r="N1399" s="80">
        <v>27612000</v>
      </c>
      <c r="O1399" s="57">
        <f t="shared" si="65"/>
        <v>0</v>
      </c>
      <c r="P1399" s="58"/>
      <c r="Q1399" s="73"/>
      <c r="R1399" s="57"/>
      <c r="S1399" s="57"/>
      <c r="T1399" s="57"/>
      <c r="U1399" s="57"/>
      <c r="V1399" s="73">
        <f t="shared" si="64"/>
        <v>0</v>
      </c>
      <c r="W1399" s="106"/>
      <c r="X1399" s="64"/>
    </row>
    <row r="1400" spans="1:24" s="66" customFormat="1" ht="12" hidden="1" customHeight="1">
      <c r="A1400" s="79" t="s">
        <v>4330</v>
      </c>
      <c r="B1400" s="79"/>
      <c r="C1400" s="79"/>
      <c r="D1400" s="79"/>
      <c r="E1400" s="79"/>
      <c r="F1400" s="79"/>
      <c r="G1400" s="79"/>
      <c r="H1400" s="79"/>
      <c r="I1400" s="79" t="s">
        <v>4229</v>
      </c>
      <c r="J1400" s="79" t="s">
        <v>1231</v>
      </c>
      <c r="K1400" s="79" t="s">
        <v>4274</v>
      </c>
      <c r="L1400" s="79" t="s">
        <v>974</v>
      </c>
      <c r="M1400" s="68"/>
      <c r="N1400" s="80">
        <v>587290</v>
      </c>
      <c r="O1400" s="57">
        <f t="shared" si="65"/>
        <v>0</v>
      </c>
      <c r="P1400" s="58"/>
      <c r="Q1400" s="73"/>
      <c r="R1400" s="57"/>
      <c r="S1400" s="57"/>
      <c r="T1400" s="57"/>
      <c r="U1400" s="57"/>
      <c r="V1400" s="73">
        <f t="shared" si="64"/>
        <v>0</v>
      </c>
      <c r="W1400" s="106"/>
      <c r="X1400" s="64"/>
    </row>
    <row r="1401" spans="1:24" s="66" customFormat="1" ht="12" hidden="1" customHeight="1">
      <c r="A1401" s="79" t="s">
        <v>4331</v>
      </c>
      <c r="B1401" s="79"/>
      <c r="C1401" s="79"/>
      <c r="D1401" s="79"/>
      <c r="E1401" s="79"/>
      <c r="F1401" s="79"/>
      <c r="G1401" s="79"/>
      <c r="H1401" s="79"/>
      <c r="I1401" s="79" t="s">
        <v>4229</v>
      </c>
      <c r="J1401" s="79" t="s">
        <v>1231</v>
      </c>
      <c r="K1401" s="79" t="s">
        <v>4275</v>
      </c>
      <c r="L1401" s="79" t="s">
        <v>974</v>
      </c>
      <c r="M1401" s="68"/>
      <c r="N1401" s="80">
        <v>693490</v>
      </c>
      <c r="O1401" s="57">
        <f t="shared" si="65"/>
        <v>0</v>
      </c>
      <c r="P1401" s="58"/>
      <c r="Q1401" s="73"/>
      <c r="R1401" s="57"/>
      <c r="S1401" s="57"/>
      <c r="T1401" s="57"/>
      <c r="U1401" s="57"/>
      <c r="V1401" s="73">
        <f t="shared" si="64"/>
        <v>0</v>
      </c>
      <c r="W1401" s="106"/>
      <c r="X1401" s="64"/>
    </row>
    <row r="1402" spans="1:24" s="66" customFormat="1" ht="12" hidden="1" customHeight="1">
      <c r="A1402" s="79" t="s">
        <v>4332</v>
      </c>
      <c r="B1402" s="79"/>
      <c r="C1402" s="79"/>
      <c r="D1402" s="79"/>
      <c r="E1402" s="79"/>
      <c r="F1402" s="79"/>
      <c r="G1402" s="79"/>
      <c r="H1402" s="79"/>
      <c r="I1402" s="79" t="s">
        <v>4229</v>
      </c>
      <c r="J1402" s="79" t="s">
        <v>1231</v>
      </c>
      <c r="K1402" s="79" t="s">
        <v>4276</v>
      </c>
      <c r="L1402" s="79" t="s">
        <v>974</v>
      </c>
      <c r="M1402" s="68"/>
      <c r="N1402" s="80">
        <v>743400</v>
      </c>
      <c r="O1402" s="57">
        <f t="shared" si="65"/>
        <v>0</v>
      </c>
      <c r="P1402" s="58"/>
      <c r="Q1402" s="73"/>
      <c r="R1402" s="57"/>
      <c r="S1402" s="57"/>
      <c r="T1402" s="57"/>
      <c r="U1402" s="57"/>
      <c r="V1402" s="73">
        <f t="shared" si="64"/>
        <v>0</v>
      </c>
      <c r="W1402" s="106"/>
      <c r="X1402" s="64"/>
    </row>
    <row r="1403" spans="1:24" s="66" customFormat="1" ht="12" hidden="1" customHeight="1">
      <c r="A1403" s="79" t="s">
        <v>4333</v>
      </c>
      <c r="B1403" s="79"/>
      <c r="C1403" s="79"/>
      <c r="D1403" s="79"/>
      <c r="E1403" s="79"/>
      <c r="F1403" s="79"/>
      <c r="G1403" s="79"/>
      <c r="H1403" s="79"/>
      <c r="I1403" s="79" t="s">
        <v>4229</v>
      </c>
      <c r="J1403" s="79" t="s">
        <v>1231</v>
      </c>
      <c r="K1403" s="79" t="s">
        <v>4277</v>
      </c>
      <c r="L1403" s="79" t="s">
        <v>974</v>
      </c>
      <c r="M1403" s="68"/>
      <c r="N1403" s="80">
        <v>886770</v>
      </c>
      <c r="O1403" s="57">
        <f t="shared" si="65"/>
        <v>0</v>
      </c>
      <c r="P1403" s="58"/>
      <c r="Q1403" s="73"/>
      <c r="R1403" s="57"/>
      <c r="S1403" s="57"/>
      <c r="T1403" s="57"/>
      <c r="U1403" s="57"/>
      <c r="V1403" s="73">
        <f t="shared" si="64"/>
        <v>0</v>
      </c>
      <c r="W1403" s="106"/>
      <c r="X1403" s="64"/>
    </row>
    <row r="1404" spans="1:24" s="66" customFormat="1" ht="12" hidden="1" customHeight="1">
      <c r="A1404" s="79" t="s">
        <v>4334</v>
      </c>
      <c r="B1404" s="79"/>
      <c r="C1404" s="79"/>
      <c r="D1404" s="79"/>
      <c r="E1404" s="79"/>
      <c r="F1404" s="79"/>
      <c r="G1404" s="79"/>
      <c r="H1404" s="79"/>
      <c r="I1404" s="79" t="s">
        <v>4229</v>
      </c>
      <c r="J1404" s="79" t="s">
        <v>1231</v>
      </c>
      <c r="K1404" s="79" t="s">
        <v>1239</v>
      </c>
      <c r="L1404" s="79" t="s">
        <v>974</v>
      </c>
      <c r="M1404" s="68"/>
      <c r="N1404" s="80">
        <v>1125720</v>
      </c>
      <c r="O1404" s="57">
        <f t="shared" si="65"/>
        <v>0</v>
      </c>
      <c r="P1404" s="58"/>
      <c r="Q1404" s="73"/>
      <c r="R1404" s="57"/>
      <c r="S1404" s="57"/>
      <c r="T1404" s="57"/>
      <c r="U1404" s="57"/>
      <c r="V1404" s="73">
        <f t="shared" si="64"/>
        <v>0</v>
      </c>
      <c r="W1404" s="106"/>
      <c r="X1404" s="64"/>
    </row>
    <row r="1405" spans="1:24" s="66" customFormat="1" ht="12" hidden="1" customHeight="1">
      <c r="A1405" s="79" t="s">
        <v>4335</v>
      </c>
      <c r="B1405" s="79"/>
      <c r="C1405" s="79"/>
      <c r="D1405" s="79"/>
      <c r="E1405" s="79"/>
      <c r="F1405" s="79"/>
      <c r="G1405" s="79"/>
      <c r="H1405" s="79"/>
      <c r="I1405" s="79" t="s">
        <v>4229</v>
      </c>
      <c r="J1405" s="79" t="s">
        <v>1231</v>
      </c>
      <c r="K1405" s="79" t="s">
        <v>1238</v>
      </c>
      <c r="L1405" s="79" t="s">
        <v>974</v>
      </c>
      <c r="M1405" s="68"/>
      <c r="N1405" s="80">
        <v>1359360</v>
      </c>
      <c r="O1405" s="57">
        <f t="shared" si="65"/>
        <v>0</v>
      </c>
      <c r="P1405" s="58"/>
      <c r="Q1405" s="73"/>
      <c r="R1405" s="57"/>
      <c r="S1405" s="57"/>
      <c r="T1405" s="57"/>
      <c r="U1405" s="57"/>
      <c r="V1405" s="73">
        <f t="shared" si="64"/>
        <v>0</v>
      </c>
      <c r="W1405" s="106"/>
      <c r="X1405" s="64"/>
    </row>
    <row r="1406" spans="1:24" s="66" customFormat="1" ht="12" hidden="1" customHeight="1">
      <c r="A1406" s="79" t="s">
        <v>4336</v>
      </c>
      <c r="B1406" s="79"/>
      <c r="C1406" s="79"/>
      <c r="D1406" s="79"/>
      <c r="E1406" s="79"/>
      <c r="F1406" s="79"/>
      <c r="G1406" s="79"/>
      <c r="H1406" s="79"/>
      <c r="I1406" s="79" t="s">
        <v>4229</v>
      </c>
      <c r="J1406" s="79" t="s">
        <v>1231</v>
      </c>
      <c r="K1406" s="79" t="s">
        <v>1237</v>
      </c>
      <c r="L1406" s="79" t="s">
        <v>974</v>
      </c>
      <c r="M1406" s="68"/>
      <c r="N1406" s="80">
        <v>2113380</v>
      </c>
      <c r="O1406" s="57">
        <f t="shared" si="65"/>
        <v>0</v>
      </c>
      <c r="P1406" s="58"/>
      <c r="Q1406" s="73"/>
      <c r="R1406" s="57"/>
      <c r="S1406" s="57"/>
      <c r="T1406" s="57"/>
      <c r="U1406" s="57"/>
      <c r="V1406" s="73">
        <f t="shared" si="64"/>
        <v>0</v>
      </c>
      <c r="W1406" s="106"/>
      <c r="X1406" s="64"/>
    </row>
    <row r="1407" spans="1:24" s="66" customFormat="1" ht="12" hidden="1" customHeight="1">
      <c r="A1407" s="79" t="s">
        <v>4337</v>
      </c>
      <c r="B1407" s="79"/>
      <c r="C1407" s="79"/>
      <c r="D1407" s="79"/>
      <c r="E1407" s="79"/>
      <c r="F1407" s="79"/>
      <c r="G1407" s="79"/>
      <c r="H1407" s="79"/>
      <c r="I1407" s="79" t="s">
        <v>4229</v>
      </c>
      <c r="J1407" s="79" t="s">
        <v>1231</v>
      </c>
      <c r="K1407" s="79" t="s">
        <v>1236</v>
      </c>
      <c r="L1407" s="79" t="s">
        <v>974</v>
      </c>
      <c r="M1407" s="68"/>
      <c r="N1407" s="80">
        <v>2547740</v>
      </c>
      <c r="O1407" s="57">
        <f t="shared" si="65"/>
        <v>0</v>
      </c>
      <c r="P1407" s="58"/>
      <c r="Q1407" s="73"/>
      <c r="R1407" s="57"/>
      <c r="S1407" s="57"/>
      <c r="T1407" s="57"/>
      <c r="U1407" s="57"/>
      <c r="V1407" s="73">
        <f t="shared" si="64"/>
        <v>0</v>
      </c>
      <c r="W1407" s="106"/>
      <c r="X1407" s="64"/>
    </row>
    <row r="1408" spans="1:24" s="66" customFormat="1" ht="12" hidden="1" customHeight="1">
      <c r="A1408" s="79" t="s">
        <v>4338</v>
      </c>
      <c r="B1408" s="79"/>
      <c r="C1408" s="79"/>
      <c r="D1408" s="79"/>
      <c r="E1408" s="79"/>
      <c r="F1408" s="79"/>
      <c r="G1408" s="79"/>
      <c r="H1408" s="79"/>
      <c r="I1408" s="79" t="s">
        <v>4229</v>
      </c>
      <c r="J1408" s="79" t="s">
        <v>1231</v>
      </c>
      <c r="K1408" s="79" t="s">
        <v>1235</v>
      </c>
      <c r="L1408" s="79" t="s">
        <v>974</v>
      </c>
      <c r="M1408" s="68"/>
      <c r="N1408" s="80">
        <v>3135030</v>
      </c>
      <c r="O1408" s="57">
        <f t="shared" si="65"/>
        <v>0</v>
      </c>
      <c r="P1408" s="58"/>
      <c r="Q1408" s="73"/>
      <c r="R1408" s="57"/>
      <c r="S1408" s="57"/>
      <c r="T1408" s="57"/>
      <c r="U1408" s="57"/>
      <c r="V1408" s="73">
        <f t="shared" si="64"/>
        <v>0</v>
      </c>
      <c r="W1408" s="106"/>
      <c r="X1408" s="64"/>
    </row>
    <row r="1409" spans="1:24" s="66" customFormat="1" ht="12" hidden="1" customHeight="1">
      <c r="A1409" s="79" t="s">
        <v>4339</v>
      </c>
      <c r="B1409" s="79"/>
      <c r="C1409" s="79"/>
      <c r="D1409" s="79"/>
      <c r="E1409" s="79"/>
      <c r="F1409" s="79"/>
      <c r="G1409" s="79"/>
      <c r="H1409" s="79"/>
      <c r="I1409" s="79" t="s">
        <v>4229</v>
      </c>
      <c r="J1409" s="79" t="s">
        <v>1231</v>
      </c>
      <c r="K1409" s="79" t="s">
        <v>1234</v>
      </c>
      <c r="L1409" s="79" t="s">
        <v>974</v>
      </c>
      <c r="M1409" s="68"/>
      <c r="N1409" s="80">
        <v>3502480</v>
      </c>
      <c r="O1409" s="57">
        <f t="shared" si="65"/>
        <v>0</v>
      </c>
      <c r="P1409" s="58"/>
      <c r="Q1409" s="73"/>
      <c r="R1409" s="57"/>
      <c r="S1409" s="57"/>
      <c r="T1409" s="57"/>
      <c r="U1409" s="57"/>
      <c r="V1409" s="73">
        <f t="shared" si="64"/>
        <v>0</v>
      </c>
      <c r="W1409" s="106"/>
      <c r="X1409" s="64"/>
    </row>
    <row r="1410" spans="1:24" s="66" customFormat="1" ht="12" hidden="1" customHeight="1">
      <c r="A1410" s="79" t="s">
        <v>4340</v>
      </c>
      <c r="B1410" s="79"/>
      <c r="C1410" s="79"/>
      <c r="D1410" s="79"/>
      <c r="E1410" s="79"/>
      <c r="F1410" s="79"/>
      <c r="G1410" s="79"/>
      <c r="H1410" s="79"/>
      <c r="I1410" s="79" t="s">
        <v>4229</v>
      </c>
      <c r="J1410" s="79" t="s">
        <v>1231</v>
      </c>
      <c r="K1410" s="79" t="s">
        <v>1233</v>
      </c>
      <c r="L1410" s="79" t="s">
        <v>974</v>
      </c>
      <c r="M1410" s="68"/>
      <c r="N1410" s="80">
        <v>758270</v>
      </c>
      <c r="O1410" s="57">
        <f t="shared" si="65"/>
        <v>0</v>
      </c>
      <c r="P1410" s="58"/>
      <c r="Q1410" s="73"/>
      <c r="R1410" s="57"/>
      <c r="S1410" s="57"/>
      <c r="T1410" s="57"/>
      <c r="U1410" s="57"/>
      <c r="V1410" s="73">
        <f t="shared" si="64"/>
        <v>0</v>
      </c>
      <c r="W1410" s="106"/>
      <c r="X1410" s="64"/>
    </row>
    <row r="1411" spans="1:24" s="66" customFormat="1" ht="12" hidden="1" customHeight="1">
      <c r="A1411" s="79" t="s">
        <v>4341</v>
      </c>
      <c r="B1411" s="79"/>
      <c r="C1411" s="79"/>
      <c r="D1411" s="79"/>
      <c r="E1411" s="79"/>
      <c r="F1411" s="79"/>
      <c r="G1411" s="79"/>
      <c r="H1411" s="79"/>
      <c r="I1411" s="79" t="s">
        <v>4229</v>
      </c>
      <c r="J1411" s="79" t="s">
        <v>1231</v>
      </c>
      <c r="K1411" s="79" t="s">
        <v>1232</v>
      </c>
      <c r="L1411" s="79" t="s">
        <v>974</v>
      </c>
      <c r="M1411" s="68"/>
      <c r="N1411" s="80">
        <v>921820</v>
      </c>
      <c r="O1411" s="57">
        <f t="shared" si="65"/>
        <v>0</v>
      </c>
      <c r="P1411" s="58"/>
      <c r="Q1411" s="73"/>
      <c r="R1411" s="57"/>
      <c r="S1411" s="57"/>
      <c r="T1411" s="57"/>
      <c r="U1411" s="57"/>
      <c r="V1411" s="73">
        <f t="shared" si="64"/>
        <v>0</v>
      </c>
      <c r="W1411" s="106"/>
      <c r="X1411" s="64"/>
    </row>
    <row r="1412" spans="1:24" s="66" customFormat="1" ht="12" hidden="1" customHeight="1">
      <c r="A1412" s="79" t="s">
        <v>4342</v>
      </c>
      <c r="B1412" s="79"/>
      <c r="C1412" s="79"/>
      <c r="D1412" s="79"/>
      <c r="E1412" s="79"/>
      <c r="F1412" s="79"/>
      <c r="G1412" s="79"/>
      <c r="H1412" s="79"/>
      <c r="I1412" s="79" t="s">
        <v>4229</v>
      </c>
      <c r="J1412" s="79" t="s">
        <v>1231</v>
      </c>
      <c r="K1412" s="79" t="s">
        <v>4278</v>
      </c>
      <c r="L1412" s="79" t="s">
        <v>974</v>
      </c>
      <c r="M1412" s="68"/>
      <c r="N1412" s="80">
        <v>973860</v>
      </c>
      <c r="O1412" s="57">
        <f t="shared" si="65"/>
        <v>0</v>
      </c>
      <c r="P1412" s="58"/>
      <c r="Q1412" s="73"/>
      <c r="R1412" s="57"/>
      <c r="S1412" s="57"/>
      <c r="T1412" s="57"/>
      <c r="U1412" s="57"/>
      <c r="V1412" s="73">
        <f t="shared" si="64"/>
        <v>0</v>
      </c>
      <c r="W1412" s="106"/>
      <c r="X1412" s="64"/>
    </row>
    <row r="1413" spans="1:24" s="66" customFormat="1" ht="12" hidden="1" customHeight="1">
      <c r="A1413" s="79" t="s">
        <v>4343</v>
      </c>
      <c r="B1413" s="79"/>
      <c r="C1413" s="79"/>
      <c r="D1413" s="79"/>
      <c r="E1413" s="79"/>
      <c r="F1413" s="79"/>
      <c r="G1413" s="79"/>
      <c r="H1413" s="79"/>
      <c r="I1413" s="79" t="s">
        <v>4229</v>
      </c>
      <c r="J1413" s="79" t="s">
        <v>1231</v>
      </c>
      <c r="K1413" s="79" t="s">
        <v>4279</v>
      </c>
      <c r="L1413" s="79" t="s">
        <v>974</v>
      </c>
      <c r="M1413" s="68"/>
      <c r="N1413" s="80">
        <v>1247850</v>
      </c>
      <c r="O1413" s="57">
        <f t="shared" si="65"/>
        <v>0</v>
      </c>
      <c r="P1413" s="58"/>
      <c r="Q1413" s="73"/>
      <c r="R1413" s="57"/>
      <c r="S1413" s="57"/>
      <c r="T1413" s="57"/>
      <c r="U1413" s="57"/>
      <c r="V1413" s="73">
        <f t="shared" si="64"/>
        <v>0</v>
      </c>
      <c r="W1413" s="106"/>
      <c r="X1413" s="64"/>
    </row>
    <row r="1414" spans="1:24" s="66" customFormat="1" ht="12" hidden="1" customHeight="1">
      <c r="A1414" s="79" t="s">
        <v>4344</v>
      </c>
      <c r="B1414" s="79"/>
      <c r="C1414" s="79"/>
      <c r="D1414" s="79"/>
      <c r="E1414" s="79"/>
      <c r="F1414" s="79"/>
      <c r="G1414" s="79"/>
      <c r="H1414" s="79"/>
      <c r="I1414" s="79" t="s">
        <v>4229</v>
      </c>
      <c r="J1414" s="79" t="s">
        <v>1231</v>
      </c>
      <c r="K1414" s="79" t="s">
        <v>4280</v>
      </c>
      <c r="L1414" s="79" t="s">
        <v>974</v>
      </c>
      <c r="M1414" s="68"/>
      <c r="N1414" s="80">
        <v>1443260</v>
      </c>
      <c r="O1414" s="57">
        <f t="shared" si="65"/>
        <v>0</v>
      </c>
      <c r="P1414" s="58"/>
      <c r="Q1414" s="73"/>
      <c r="R1414" s="57"/>
      <c r="S1414" s="57"/>
      <c r="T1414" s="57"/>
      <c r="U1414" s="57"/>
      <c r="V1414" s="73">
        <f t="shared" si="64"/>
        <v>0</v>
      </c>
      <c r="W1414" s="106"/>
      <c r="X1414" s="64"/>
    </row>
    <row r="1415" spans="1:24" s="66" customFormat="1" ht="12" hidden="1" customHeight="1">
      <c r="A1415" s="79" t="s">
        <v>4345</v>
      </c>
      <c r="B1415" s="79"/>
      <c r="C1415" s="79"/>
      <c r="D1415" s="79"/>
      <c r="E1415" s="79"/>
      <c r="F1415" s="79"/>
      <c r="G1415" s="79"/>
      <c r="H1415" s="79"/>
      <c r="I1415" s="79" t="s">
        <v>4229</v>
      </c>
      <c r="J1415" s="79" t="s">
        <v>1231</v>
      </c>
      <c r="K1415" s="79" t="s">
        <v>4281</v>
      </c>
      <c r="L1415" s="79" t="s">
        <v>974</v>
      </c>
      <c r="M1415" s="68"/>
      <c r="N1415" s="80">
        <v>1768230</v>
      </c>
      <c r="O1415" s="57">
        <f t="shared" si="65"/>
        <v>0</v>
      </c>
      <c r="P1415" s="58"/>
      <c r="Q1415" s="73"/>
      <c r="R1415" s="57"/>
      <c r="S1415" s="57"/>
      <c r="T1415" s="57"/>
      <c r="U1415" s="57"/>
      <c r="V1415" s="73">
        <f t="shared" si="64"/>
        <v>0</v>
      </c>
      <c r="W1415" s="106"/>
      <c r="X1415" s="64"/>
    </row>
    <row r="1416" spans="1:24" s="66" customFormat="1" ht="12" hidden="1" customHeight="1">
      <c r="A1416" s="79" t="s">
        <v>4346</v>
      </c>
      <c r="B1416" s="79"/>
      <c r="C1416" s="79"/>
      <c r="D1416" s="79"/>
      <c r="E1416" s="79"/>
      <c r="F1416" s="79"/>
      <c r="G1416" s="79"/>
      <c r="H1416" s="79"/>
      <c r="I1416" s="79" t="s">
        <v>4229</v>
      </c>
      <c r="J1416" s="79" t="s">
        <v>1231</v>
      </c>
      <c r="K1416" s="79" t="s">
        <v>4282</v>
      </c>
      <c r="L1416" s="79" t="s">
        <v>974</v>
      </c>
      <c r="M1416" s="68"/>
      <c r="N1416" s="80">
        <v>2496770</v>
      </c>
      <c r="O1416" s="57">
        <f t="shared" si="65"/>
        <v>0</v>
      </c>
      <c r="P1416" s="58"/>
      <c r="Q1416" s="73"/>
      <c r="R1416" s="57"/>
      <c r="S1416" s="57"/>
      <c r="T1416" s="57"/>
      <c r="U1416" s="57"/>
      <c r="V1416" s="73">
        <f t="shared" si="64"/>
        <v>0</v>
      </c>
      <c r="W1416" s="106"/>
      <c r="X1416" s="64"/>
    </row>
    <row r="1417" spans="1:24" s="66" customFormat="1" ht="12" hidden="1" customHeight="1">
      <c r="A1417" s="79" t="s">
        <v>4347</v>
      </c>
      <c r="B1417" s="79"/>
      <c r="C1417" s="79"/>
      <c r="D1417" s="79"/>
      <c r="E1417" s="79"/>
      <c r="F1417" s="79"/>
      <c r="G1417" s="79"/>
      <c r="H1417" s="79"/>
      <c r="I1417" s="79" t="s">
        <v>4229</v>
      </c>
      <c r="J1417" s="79" t="s">
        <v>1231</v>
      </c>
      <c r="K1417" s="79" t="s">
        <v>4283</v>
      </c>
      <c r="L1417" s="79" t="s">
        <v>974</v>
      </c>
      <c r="M1417" s="68"/>
      <c r="N1417" s="80">
        <v>2825990</v>
      </c>
      <c r="O1417" s="57">
        <f t="shared" si="65"/>
        <v>0</v>
      </c>
      <c r="P1417" s="58"/>
      <c r="Q1417" s="73"/>
      <c r="R1417" s="57"/>
      <c r="S1417" s="57"/>
      <c r="T1417" s="57"/>
      <c r="U1417" s="57"/>
      <c r="V1417" s="73">
        <f t="shared" si="64"/>
        <v>0</v>
      </c>
      <c r="W1417" s="106"/>
      <c r="X1417" s="64"/>
    </row>
    <row r="1418" spans="1:24" s="66" customFormat="1" ht="12" hidden="1" customHeight="1">
      <c r="A1418" s="79" t="s">
        <v>4348</v>
      </c>
      <c r="B1418" s="79"/>
      <c r="C1418" s="79"/>
      <c r="D1418" s="79"/>
      <c r="E1418" s="79"/>
      <c r="F1418" s="79"/>
      <c r="G1418" s="79"/>
      <c r="H1418" s="79"/>
      <c r="I1418" s="79" t="s">
        <v>4229</v>
      </c>
      <c r="J1418" s="79" t="s">
        <v>1231</v>
      </c>
      <c r="K1418" s="79" t="s">
        <v>4284</v>
      </c>
      <c r="L1418" s="79" t="s">
        <v>974</v>
      </c>
      <c r="M1418" s="68"/>
      <c r="N1418" s="80">
        <v>3342120</v>
      </c>
      <c r="O1418" s="57">
        <f t="shared" si="65"/>
        <v>0</v>
      </c>
      <c r="P1418" s="58"/>
      <c r="Q1418" s="73"/>
      <c r="R1418" s="57"/>
      <c r="S1418" s="57"/>
      <c r="T1418" s="57"/>
      <c r="U1418" s="57"/>
      <c r="V1418" s="73">
        <f t="shared" si="64"/>
        <v>0</v>
      </c>
      <c r="W1418" s="106"/>
      <c r="X1418" s="64"/>
    </row>
    <row r="1419" spans="1:24" s="66" customFormat="1" ht="12" hidden="1" customHeight="1">
      <c r="A1419" s="79" t="s">
        <v>4349</v>
      </c>
      <c r="B1419" s="79"/>
      <c r="C1419" s="79"/>
      <c r="D1419" s="79"/>
      <c r="E1419" s="79"/>
      <c r="F1419" s="79"/>
      <c r="G1419" s="79"/>
      <c r="H1419" s="79"/>
      <c r="I1419" s="79" t="s">
        <v>4229</v>
      </c>
      <c r="J1419" s="79" t="s">
        <v>1231</v>
      </c>
      <c r="K1419" s="79" t="s">
        <v>4285</v>
      </c>
      <c r="L1419" s="79" t="s">
        <v>974</v>
      </c>
      <c r="M1419" s="68"/>
      <c r="N1419" s="80">
        <v>3625670</v>
      </c>
      <c r="O1419" s="57">
        <f t="shared" si="65"/>
        <v>0</v>
      </c>
      <c r="P1419" s="58"/>
      <c r="Q1419" s="73"/>
      <c r="R1419" s="57"/>
      <c r="S1419" s="57"/>
      <c r="T1419" s="57"/>
      <c r="U1419" s="57"/>
      <c r="V1419" s="73">
        <f t="shared" si="64"/>
        <v>0</v>
      </c>
      <c r="W1419" s="106"/>
      <c r="X1419" s="64"/>
    </row>
    <row r="1420" spans="1:24" s="66" customFormat="1" ht="12" hidden="1" customHeight="1">
      <c r="A1420" s="81" t="s">
        <v>3293</v>
      </c>
      <c r="B1420" s="81"/>
      <c r="C1420" s="81"/>
      <c r="D1420" s="81"/>
      <c r="E1420" s="81"/>
      <c r="F1420" s="81"/>
      <c r="G1420" s="81"/>
      <c r="H1420" s="81"/>
      <c r="I1420" s="81" t="s">
        <v>3294</v>
      </c>
      <c r="J1420" s="81" t="s">
        <v>1098</v>
      </c>
      <c r="K1420" s="81" t="s">
        <v>3295</v>
      </c>
      <c r="L1420" s="81" t="s">
        <v>20</v>
      </c>
      <c r="M1420" s="68"/>
      <c r="N1420" s="82">
        <v>1810</v>
      </c>
      <c r="O1420" s="57">
        <f t="shared" si="65"/>
        <v>0</v>
      </c>
      <c r="P1420" s="58"/>
      <c r="Q1420" s="73"/>
      <c r="R1420" s="57"/>
      <c r="S1420" s="57"/>
      <c r="T1420" s="57"/>
      <c r="U1420" s="57"/>
      <c r="V1420" s="73">
        <f t="shared" si="64"/>
        <v>0</v>
      </c>
      <c r="W1420" s="106"/>
      <c r="X1420" s="64"/>
    </row>
    <row r="1421" spans="1:24" s="66" customFormat="1" ht="12" hidden="1" customHeight="1">
      <c r="A1421" s="81" t="s">
        <v>3296</v>
      </c>
      <c r="B1421" s="81"/>
      <c r="C1421" s="81"/>
      <c r="D1421" s="81"/>
      <c r="E1421" s="81"/>
      <c r="F1421" s="81"/>
      <c r="G1421" s="81"/>
      <c r="H1421" s="81"/>
      <c r="I1421" s="81" t="s">
        <v>3294</v>
      </c>
      <c r="J1421" s="81" t="s">
        <v>3297</v>
      </c>
      <c r="K1421" s="81" t="s">
        <v>3295</v>
      </c>
      <c r="L1421" s="81" t="s">
        <v>20</v>
      </c>
      <c r="M1421" s="68"/>
      <c r="N1421" s="82">
        <v>2800</v>
      </c>
      <c r="O1421" s="57">
        <f t="shared" si="65"/>
        <v>0</v>
      </c>
      <c r="P1421" s="58"/>
      <c r="Q1421" s="73"/>
      <c r="R1421" s="57"/>
      <c r="S1421" s="57"/>
      <c r="T1421" s="57"/>
      <c r="U1421" s="57"/>
      <c r="V1421" s="73">
        <f t="shared" si="64"/>
        <v>0</v>
      </c>
      <c r="W1421" s="106"/>
      <c r="X1421" s="64"/>
    </row>
    <row r="1422" spans="1:24" s="66" customFormat="1" ht="12" hidden="1" customHeight="1">
      <c r="A1422" s="81" t="s">
        <v>3298</v>
      </c>
      <c r="B1422" s="81"/>
      <c r="C1422" s="81"/>
      <c r="D1422" s="81"/>
      <c r="E1422" s="81"/>
      <c r="F1422" s="81"/>
      <c r="G1422" s="81"/>
      <c r="H1422" s="81"/>
      <c r="I1422" s="81" t="s">
        <v>3294</v>
      </c>
      <c r="J1422" s="81" t="s">
        <v>3299</v>
      </c>
      <c r="K1422" s="81" t="s">
        <v>3295</v>
      </c>
      <c r="L1422" s="81" t="s">
        <v>20</v>
      </c>
      <c r="M1422" s="68"/>
      <c r="N1422" s="82">
        <v>3720</v>
      </c>
      <c r="O1422" s="57">
        <f t="shared" si="65"/>
        <v>0</v>
      </c>
      <c r="P1422" s="58"/>
      <c r="Q1422" s="73"/>
      <c r="R1422" s="57"/>
      <c r="S1422" s="57"/>
      <c r="T1422" s="57"/>
      <c r="U1422" s="57"/>
      <c r="V1422" s="73">
        <f t="shared" si="64"/>
        <v>0</v>
      </c>
      <c r="W1422" s="106"/>
      <c r="X1422" s="64"/>
    </row>
    <row r="1423" spans="1:24" s="66" customFormat="1" ht="12" hidden="1" customHeight="1">
      <c r="A1423" s="81" t="s">
        <v>3300</v>
      </c>
      <c r="B1423" s="81"/>
      <c r="C1423" s="81"/>
      <c r="D1423" s="81"/>
      <c r="E1423" s="81"/>
      <c r="F1423" s="81"/>
      <c r="G1423" s="81"/>
      <c r="H1423" s="81"/>
      <c r="I1423" s="81" t="s">
        <v>3294</v>
      </c>
      <c r="J1423" s="81" t="s">
        <v>1097</v>
      </c>
      <c r="K1423" s="81" t="s">
        <v>3295</v>
      </c>
      <c r="L1423" s="81" t="s">
        <v>20</v>
      </c>
      <c r="M1423" s="68"/>
      <c r="N1423" s="82">
        <v>3420</v>
      </c>
      <c r="O1423" s="57">
        <f t="shared" si="65"/>
        <v>0</v>
      </c>
      <c r="P1423" s="58"/>
      <c r="Q1423" s="73"/>
      <c r="R1423" s="57"/>
      <c r="S1423" s="57"/>
      <c r="T1423" s="57"/>
      <c r="U1423" s="57"/>
      <c r="V1423" s="73">
        <f t="shared" si="64"/>
        <v>0</v>
      </c>
      <c r="W1423" s="106"/>
      <c r="X1423" s="64"/>
    </row>
    <row r="1424" spans="1:24" s="66" customFormat="1" ht="12" hidden="1" customHeight="1">
      <c r="A1424" s="81" t="s">
        <v>3301</v>
      </c>
      <c r="B1424" s="81"/>
      <c r="C1424" s="81"/>
      <c r="D1424" s="81"/>
      <c r="E1424" s="81"/>
      <c r="F1424" s="81"/>
      <c r="G1424" s="81"/>
      <c r="H1424" s="81"/>
      <c r="I1424" s="81" t="s">
        <v>3294</v>
      </c>
      <c r="J1424" s="81" t="s">
        <v>1096</v>
      </c>
      <c r="K1424" s="81" t="s">
        <v>3295</v>
      </c>
      <c r="L1424" s="81" t="s">
        <v>20</v>
      </c>
      <c r="M1424" s="68"/>
      <c r="N1424" s="82">
        <v>4320</v>
      </c>
      <c r="O1424" s="57">
        <f t="shared" si="65"/>
        <v>0</v>
      </c>
      <c r="P1424" s="58"/>
      <c r="Q1424" s="73"/>
      <c r="R1424" s="57"/>
      <c r="S1424" s="57"/>
      <c r="T1424" s="57"/>
      <c r="U1424" s="57"/>
      <c r="V1424" s="73">
        <f t="shared" si="64"/>
        <v>0</v>
      </c>
      <c r="W1424" s="106"/>
      <c r="X1424" s="64"/>
    </row>
    <row r="1425" spans="1:24" s="66" customFormat="1" ht="12" hidden="1" customHeight="1">
      <c r="A1425" s="81" t="s">
        <v>3302</v>
      </c>
      <c r="B1425" s="81"/>
      <c r="C1425" s="81"/>
      <c r="D1425" s="81"/>
      <c r="E1425" s="81"/>
      <c r="F1425" s="81"/>
      <c r="G1425" s="81"/>
      <c r="H1425" s="81"/>
      <c r="I1425" s="81" t="s">
        <v>3294</v>
      </c>
      <c r="J1425" s="81" t="s">
        <v>1095</v>
      </c>
      <c r="K1425" s="81" t="s">
        <v>3295</v>
      </c>
      <c r="L1425" s="81" t="s">
        <v>20</v>
      </c>
      <c r="M1425" s="68"/>
      <c r="N1425" s="82">
        <v>5390</v>
      </c>
      <c r="O1425" s="57">
        <f t="shared" si="65"/>
        <v>0</v>
      </c>
      <c r="P1425" s="58"/>
      <c r="Q1425" s="73"/>
      <c r="R1425" s="57"/>
      <c r="S1425" s="57"/>
      <c r="T1425" s="57"/>
      <c r="U1425" s="57"/>
      <c r="V1425" s="73">
        <f t="shared" si="64"/>
        <v>0</v>
      </c>
      <c r="W1425" s="106"/>
      <c r="X1425" s="64"/>
    </row>
    <row r="1426" spans="1:24" s="66" customFormat="1" ht="12" hidden="1" customHeight="1">
      <c r="A1426" s="81" t="s">
        <v>3303</v>
      </c>
      <c r="B1426" s="81"/>
      <c r="C1426" s="81"/>
      <c r="D1426" s="81"/>
      <c r="E1426" s="81"/>
      <c r="F1426" s="81"/>
      <c r="G1426" s="81"/>
      <c r="H1426" s="81"/>
      <c r="I1426" s="81" t="s">
        <v>3294</v>
      </c>
      <c r="J1426" s="81" t="s">
        <v>1094</v>
      </c>
      <c r="K1426" s="81" t="s">
        <v>3295</v>
      </c>
      <c r="L1426" s="81" t="s">
        <v>20</v>
      </c>
      <c r="M1426" s="68"/>
      <c r="N1426" s="82">
        <v>6300</v>
      </c>
      <c r="O1426" s="57">
        <f t="shared" si="65"/>
        <v>0</v>
      </c>
      <c r="P1426" s="58"/>
      <c r="Q1426" s="73"/>
      <c r="R1426" s="57"/>
      <c r="S1426" s="57"/>
      <c r="T1426" s="57"/>
      <c r="U1426" s="57"/>
      <c r="V1426" s="73">
        <f t="shared" si="64"/>
        <v>0</v>
      </c>
      <c r="W1426" s="106"/>
      <c r="X1426" s="64"/>
    </row>
    <row r="1427" spans="1:24" s="66" customFormat="1" ht="12" hidden="1" customHeight="1">
      <c r="A1427" s="81" t="s">
        <v>3304</v>
      </c>
      <c r="B1427" s="81"/>
      <c r="C1427" s="81"/>
      <c r="D1427" s="81"/>
      <c r="E1427" s="81"/>
      <c r="F1427" s="81"/>
      <c r="G1427" s="81"/>
      <c r="H1427" s="81"/>
      <c r="I1427" s="81" t="s">
        <v>3294</v>
      </c>
      <c r="J1427" s="81" t="s">
        <v>1093</v>
      </c>
      <c r="K1427" s="81" t="s">
        <v>3295</v>
      </c>
      <c r="L1427" s="81" t="s">
        <v>20</v>
      </c>
      <c r="M1427" s="68"/>
      <c r="N1427" s="82">
        <v>7200</v>
      </c>
      <c r="O1427" s="57">
        <f t="shared" si="65"/>
        <v>0</v>
      </c>
      <c r="P1427" s="58"/>
      <c r="Q1427" s="73"/>
      <c r="R1427" s="57"/>
      <c r="S1427" s="57"/>
      <c r="T1427" s="57"/>
      <c r="U1427" s="57"/>
      <c r="V1427" s="73">
        <f t="shared" si="64"/>
        <v>0</v>
      </c>
      <c r="W1427" s="106"/>
      <c r="X1427" s="64"/>
    </row>
    <row r="1428" spans="1:24" s="66" customFormat="1" ht="12" hidden="1" customHeight="1">
      <c r="A1428" s="81" t="s">
        <v>3305</v>
      </c>
      <c r="B1428" s="81"/>
      <c r="C1428" s="81"/>
      <c r="D1428" s="81"/>
      <c r="E1428" s="81"/>
      <c r="F1428" s="81"/>
      <c r="G1428" s="81"/>
      <c r="H1428" s="81"/>
      <c r="I1428" s="81" t="s">
        <v>3294</v>
      </c>
      <c r="J1428" s="81" t="s">
        <v>1092</v>
      </c>
      <c r="K1428" s="81" t="s">
        <v>3295</v>
      </c>
      <c r="L1428" s="81" t="s">
        <v>20</v>
      </c>
      <c r="M1428" s="68"/>
      <c r="N1428" s="82">
        <v>2220</v>
      </c>
      <c r="O1428" s="57">
        <f t="shared" si="65"/>
        <v>0</v>
      </c>
      <c r="P1428" s="58"/>
      <c r="Q1428" s="73"/>
      <c r="R1428" s="57"/>
      <c r="S1428" s="57"/>
      <c r="T1428" s="57"/>
      <c r="U1428" s="57"/>
      <c r="V1428" s="73">
        <f t="shared" si="64"/>
        <v>0</v>
      </c>
      <c r="W1428" s="106"/>
      <c r="X1428" s="64"/>
    </row>
    <row r="1429" spans="1:24" s="66" customFormat="1" ht="12" hidden="1" customHeight="1">
      <c r="A1429" s="81" t="s">
        <v>3306</v>
      </c>
      <c r="B1429" s="81"/>
      <c r="C1429" s="81"/>
      <c r="D1429" s="81"/>
      <c r="E1429" s="81"/>
      <c r="F1429" s="81"/>
      <c r="G1429" s="81"/>
      <c r="H1429" s="81"/>
      <c r="I1429" s="81" t="s">
        <v>3294</v>
      </c>
      <c r="J1429" s="81" t="s">
        <v>3307</v>
      </c>
      <c r="K1429" s="81" t="s">
        <v>3295</v>
      </c>
      <c r="L1429" s="81" t="s">
        <v>20</v>
      </c>
      <c r="M1429" s="68"/>
      <c r="N1429" s="82">
        <v>3630</v>
      </c>
      <c r="O1429" s="57">
        <f t="shared" si="65"/>
        <v>0</v>
      </c>
      <c r="P1429" s="58"/>
      <c r="Q1429" s="73"/>
      <c r="R1429" s="57"/>
      <c r="S1429" s="57"/>
      <c r="T1429" s="57"/>
      <c r="U1429" s="57"/>
      <c r="V1429" s="73">
        <f t="shared" si="64"/>
        <v>0</v>
      </c>
      <c r="W1429" s="106"/>
      <c r="X1429" s="64"/>
    </row>
    <row r="1430" spans="1:24" s="66" customFormat="1" ht="12" hidden="1" customHeight="1">
      <c r="A1430" s="81" t="s">
        <v>3308</v>
      </c>
      <c r="B1430" s="81"/>
      <c r="C1430" s="81"/>
      <c r="D1430" s="81"/>
      <c r="E1430" s="81"/>
      <c r="F1430" s="81"/>
      <c r="G1430" s="81"/>
      <c r="H1430" s="81"/>
      <c r="I1430" s="81" t="s">
        <v>3294</v>
      </c>
      <c r="J1430" s="81" t="s">
        <v>3309</v>
      </c>
      <c r="K1430" s="81" t="s">
        <v>3295</v>
      </c>
      <c r="L1430" s="81" t="s">
        <v>20</v>
      </c>
      <c r="M1430" s="68"/>
      <c r="N1430" s="82">
        <v>4970</v>
      </c>
      <c r="O1430" s="57">
        <f t="shared" si="65"/>
        <v>0</v>
      </c>
      <c r="P1430" s="58"/>
      <c r="Q1430" s="73"/>
      <c r="R1430" s="57"/>
      <c r="S1430" s="57"/>
      <c r="T1430" s="57"/>
      <c r="U1430" s="57"/>
      <c r="V1430" s="73">
        <f t="shared" si="64"/>
        <v>0</v>
      </c>
      <c r="W1430" s="106"/>
      <c r="X1430" s="64"/>
    </row>
    <row r="1431" spans="1:24" s="66" customFormat="1" ht="12" hidden="1" customHeight="1">
      <c r="A1431" s="81" t="s">
        <v>3310</v>
      </c>
      <c r="B1431" s="81"/>
      <c r="C1431" s="81"/>
      <c r="D1431" s="81"/>
      <c r="E1431" s="81"/>
      <c r="F1431" s="81"/>
      <c r="G1431" s="81"/>
      <c r="H1431" s="81"/>
      <c r="I1431" s="81" t="s">
        <v>3294</v>
      </c>
      <c r="J1431" s="81" t="s">
        <v>1091</v>
      </c>
      <c r="K1431" s="81" t="s">
        <v>3295</v>
      </c>
      <c r="L1431" s="81" t="s">
        <v>20</v>
      </c>
      <c r="M1431" s="68"/>
      <c r="N1431" s="82">
        <v>4240</v>
      </c>
      <c r="O1431" s="57">
        <f t="shared" si="65"/>
        <v>0</v>
      </c>
      <c r="P1431" s="58"/>
      <c r="Q1431" s="73"/>
      <c r="R1431" s="57"/>
      <c r="S1431" s="57"/>
      <c r="T1431" s="57"/>
      <c r="U1431" s="57"/>
      <c r="V1431" s="73">
        <f t="shared" si="64"/>
        <v>0</v>
      </c>
      <c r="W1431" s="106"/>
      <c r="X1431" s="64"/>
    </row>
    <row r="1432" spans="1:24" s="66" customFormat="1" ht="12" hidden="1" customHeight="1">
      <c r="A1432" s="81" t="s">
        <v>3311</v>
      </c>
      <c r="B1432" s="81"/>
      <c r="C1432" s="81"/>
      <c r="D1432" s="81"/>
      <c r="E1432" s="81"/>
      <c r="F1432" s="81"/>
      <c r="G1432" s="81"/>
      <c r="H1432" s="81"/>
      <c r="I1432" s="81" t="s">
        <v>3294</v>
      </c>
      <c r="J1432" s="81" t="s">
        <v>1090</v>
      </c>
      <c r="K1432" s="81" t="s">
        <v>3295</v>
      </c>
      <c r="L1432" s="81" t="s">
        <v>20</v>
      </c>
      <c r="M1432" s="68"/>
      <c r="N1432" s="82">
        <v>5650</v>
      </c>
      <c r="O1432" s="57">
        <f t="shared" si="65"/>
        <v>0</v>
      </c>
      <c r="P1432" s="58"/>
      <c r="Q1432" s="73"/>
      <c r="R1432" s="57"/>
      <c r="S1432" s="57"/>
      <c r="T1432" s="57"/>
      <c r="U1432" s="57"/>
      <c r="V1432" s="73">
        <f t="shared" si="64"/>
        <v>0</v>
      </c>
      <c r="W1432" s="106"/>
      <c r="X1432" s="64"/>
    </row>
    <row r="1433" spans="1:24" s="66" customFormat="1" ht="12" hidden="1" customHeight="1">
      <c r="A1433" s="81" t="s">
        <v>3312</v>
      </c>
      <c r="B1433" s="81"/>
      <c r="C1433" s="81"/>
      <c r="D1433" s="81"/>
      <c r="E1433" s="81"/>
      <c r="F1433" s="81"/>
      <c r="G1433" s="81"/>
      <c r="H1433" s="81"/>
      <c r="I1433" s="81" t="s">
        <v>3294</v>
      </c>
      <c r="J1433" s="81" t="s">
        <v>1089</v>
      </c>
      <c r="K1433" s="81" t="s">
        <v>3295</v>
      </c>
      <c r="L1433" s="81" t="s">
        <v>20</v>
      </c>
      <c r="M1433" s="68"/>
      <c r="N1433" s="82">
        <v>7050</v>
      </c>
      <c r="O1433" s="57">
        <f t="shared" si="65"/>
        <v>0</v>
      </c>
      <c r="P1433" s="58"/>
      <c r="Q1433" s="73"/>
      <c r="R1433" s="57"/>
      <c r="S1433" s="57"/>
      <c r="T1433" s="57"/>
      <c r="U1433" s="57"/>
      <c r="V1433" s="73">
        <f t="shared" si="64"/>
        <v>0</v>
      </c>
      <c r="W1433" s="106"/>
      <c r="X1433" s="64"/>
    </row>
    <row r="1434" spans="1:24" s="66" customFormat="1" ht="12" hidden="1" customHeight="1">
      <c r="A1434" s="81" t="s">
        <v>3313</v>
      </c>
      <c r="B1434" s="81"/>
      <c r="C1434" s="81"/>
      <c r="D1434" s="81"/>
      <c r="E1434" s="81"/>
      <c r="F1434" s="81"/>
      <c r="G1434" s="81"/>
      <c r="H1434" s="81"/>
      <c r="I1434" s="81" t="s">
        <v>3294</v>
      </c>
      <c r="J1434" s="81" t="s">
        <v>1088</v>
      </c>
      <c r="K1434" s="81" t="s">
        <v>3295</v>
      </c>
      <c r="L1434" s="81" t="s">
        <v>20</v>
      </c>
      <c r="M1434" s="68"/>
      <c r="N1434" s="82">
        <v>8370</v>
      </c>
      <c r="O1434" s="57">
        <f t="shared" si="65"/>
        <v>0</v>
      </c>
      <c r="P1434" s="58"/>
      <c r="Q1434" s="73"/>
      <c r="R1434" s="57"/>
      <c r="S1434" s="57"/>
      <c r="T1434" s="57"/>
      <c r="U1434" s="57"/>
      <c r="V1434" s="73">
        <f t="shared" si="64"/>
        <v>0</v>
      </c>
      <c r="W1434" s="106"/>
      <c r="X1434" s="64"/>
    </row>
    <row r="1435" spans="1:24" s="66" customFormat="1" ht="12" hidden="1" customHeight="1">
      <c r="A1435" s="81" t="s">
        <v>3314</v>
      </c>
      <c r="B1435" s="81"/>
      <c r="C1435" s="81"/>
      <c r="D1435" s="81"/>
      <c r="E1435" s="81"/>
      <c r="F1435" s="81"/>
      <c r="G1435" s="81"/>
      <c r="H1435" s="81"/>
      <c r="I1435" s="81" t="s">
        <v>3294</v>
      </c>
      <c r="J1435" s="81" t="s">
        <v>1087</v>
      </c>
      <c r="K1435" s="81" t="s">
        <v>3295</v>
      </c>
      <c r="L1435" s="81" t="s">
        <v>20</v>
      </c>
      <c r="M1435" s="68"/>
      <c r="N1435" s="82">
        <v>9700</v>
      </c>
      <c r="O1435" s="57">
        <f t="shared" si="65"/>
        <v>0</v>
      </c>
      <c r="P1435" s="58"/>
      <c r="Q1435" s="73"/>
      <c r="R1435" s="57"/>
      <c r="S1435" s="57"/>
      <c r="T1435" s="57"/>
      <c r="U1435" s="57"/>
      <c r="V1435" s="73">
        <f t="shared" si="64"/>
        <v>0</v>
      </c>
      <c r="W1435" s="106"/>
      <c r="X1435" s="64"/>
    </row>
    <row r="1436" spans="1:24" s="66" customFormat="1" ht="12" hidden="1" customHeight="1">
      <c r="A1436" s="81" t="s">
        <v>3315</v>
      </c>
      <c r="B1436" s="81"/>
      <c r="C1436" s="81"/>
      <c r="D1436" s="81"/>
      <c r="E1436" s="81"/>
      <c r="F1436" s="81"/>
      <c r="G1436" s="81"/>
      <c r="H1436" s="81"/>
      <c r="I1436" s="81" t="s">
        <v>3294</v>
      </c>
      <c r="J1436" s="81" t="s">
        <v>1086</v>
      </c>
      <c r="K1436" s="81" t="s">
        <v>3295</v>
      </c>
      <c r="L1436" s="81" t="s">
        <v>20</v>
      </c>
      <c r="M1436" s="68"/>
      <c r="N1436" s="82">
        <v>2340</v>
      </c>
      <c r="O1436" s="57">
        <f t="shared" si="65"/>
        <v>0</v>
      </c>
      <c r="P1436" s="58"/>
      <c r="Q1436" s="73"/>
      <c r="R1436" s="57"/>
      <c r="S1436" s="57"/>
      <c r="T1436" s="57"/>
      <c r="U1436" s="57"/>
      <c r="V1436" s="73">
        <f t="shared" si="64"/>
        <v>0</v>
      </c>
      <c r="W1436" s="106"/>
      <c r="X1436" s="64"/>
    </row>
    <row r="1437" spans="1:24" s="66" customFormat="1" ht="12" hidden="1" customHeight="1">
      <c r="A1437" s="81" t="s">
        <v>3316</v>
      </c>
      <c r="B1437" s="81"/>
      <c r="C1437" s="81"/>
      <c r="D1437" s="81"/>
      <c r="E1437" s="81"/>
      <c r="F1437" s="81"/>
      <c r="G1437" s="81"/>
      <c r="H1437" s="81"/>
      <c r="I1437" s="81" t="s">
        <v>3294</v>
      </c>
      <c r="J1437" s="81" t="s">
        <v>1085</v>
      </c>
      <c r="K1437" s="81" t="s">
        <v>3295</v>
      </c>
      <c r="L1437" s="81" t="s">
        <v>20</v>
      </c>
      <c r="M1437" s="68"/>
      <c r="N1437" s="82">
        <v>3860</v>
      </c>
      <c r="O1437" s="57">
        <f t="shared" si="65"/>
        <v>0</v>
      </c>
      <c r="P1437" s="58"/>
      <c r="Q1437" s="73"/>
      <c r="R1437" s="57"/>
      <c r="S1437" s="57"/>
      <c r="T1437" s="57"/>
      <c r="U1437" s="57"/>
      <c r="V1437" s="73">
        <f t="shared" si="64"/>
        <v>0</v>
      </c>
      <c r="W1437" s="106"/>
      <c r="X1437" s="64"/>
    </row>
    <row r="1438" spans="1:24" s="66" customFormat="1" ht="12" hidden="1" customHeight="1">
      <c r="A1438" s="81" t="s">
        <v>3317</v>
      </c>
      <c r="B1438" s="81"/>
      <c r="C1438" s="81"/>
      <c r="D1438" s="81"/>
      <c r="E1438" s="81"/>
      <c r="F1438" s="81"/>
      <c r="G1438" s="81"/>
      <c r="H1438" s="81"/>
      <c r="I1438" s="81" t="s">
        <v>3294</v>
      </c>
      <c r="J1438" s="81" t="s">
        <v>1084</v>
      </c>
      <c r="K1438" s="81" t="s">
        <v>3295</v>
      </c>
      <c r="L1438" s="81" t="s">
        <v>20</v>
      </c>
      <c r="M1438" s="68"/>
      <c r="N1438" s="82">
        <v>5310</v>
      </c>
      <c r="O1438" s="57">
        <f t="shared" si="65"/>
        <v>0</v>
      </c>
      <c r="P1438" s="58"/>
      <c r="Q1438" s="73"/>
      <c r="R1438" s="57"/>
      <c r="S1438" s="57"/>
      <c r="T1438" s="57"/>
      <c r="U1438" s="57"/>
      <c r="V1438" s="73">
        <f t="shared" si="64"/>
        <v>0</v>
      </c>
      <c r="W1438" s="106"/>
      <c r="X1438" s="64"/>
    </row>
    <row r="1439" spans="1:24" s="66" customFormat="1" ht="12" hidden="1" customHeight="1">
      <c r="A1439" s="81" t="s">
        <v>3318</v>
      </c>
      <c r="B1439" s="81"/>
      <c r="C1439" s="81"/>
      <c r="D1439" s="81"/>
      <c r="E1439" s="81"/>
      <c r="F1439" s="81"/>
      <c r="G1439" s="81"/>
      <c r="H1439" s="81"/>
      <c r="I1439" s="81" t="s">
        <v>3294</v>
      </c>
      <c r="J1439" s="81" t="s">
        <v>1083</v>
      </c>
      <c r="K1439" s="81" t="s">
        <v>3295</v>
      </c>
      <c r="L1439" s="81" t="s">
        <v>20</v>
      </c>
      <c r="M1439" s="68"/>
      <c r="N1439" s="82">
        <v>2750</v>
      </c>
      <c r="O1439" s="57">
        <f t="shared" si="65"/>
        <v>0</v>
      </c>
      <c r="P1439" s="58"/>
      <c r="Q1439" s="73"/>
      <c r="R1439" s="57"/>
      <c r="S1439" s="57"/>
      <c r="T1439" s="57"/>
      <c r="U1439" s="57"/>
      <c r="V1439" s="73">
        <f t="shared" si="64"/>
        <v>0</v>
      </c>
      <c r="W1439" s="106"/>
      <c r="X1439" s="64"/>
    </row>
    <row r="1440" spans="1:24" s="66" customFormat="1" ht="12" hidden="1" customHeight="1">
      <c r="A1440" s="81" t="s">
        <v>3319</v>
      </c>
      <c r="B1440" s="81"/>
      <c r="C1440" s="81"/>
      <c r="D1440" s="81"/>
      <c r="E1440" s="81"/>
      <c r="F1440" s="81"/>
      <c r="G1440" s="81"/>
      <c r="H1440" s="81"/>
      <c r="I1440" s="81" t="s">
        <v>3294</v>
      </c>
      <c r="J1440" s="81" t="s">
        <v>1082</v>
      </c>
      <c r="K1440" s="81" t="s">
        <v>3295</v>
      </c>
      <c r="L1440" s="81" t="s">
        <v>20</v>
      </c>
      <c r="M1440" s="68"/>
      <c r="N1440" s="82">
        <v>4680</v>
      </c>
      <c r="O1440" s="57">
        <f t="shared" si="65"/>
        <v>0</v>
      </c>
      <c r="P1440" s="58"/>
      <c r="Q1440" s="73"/>
      <c r="R1440" s="57"/>
      <c r="S1440" s="57"/>
      <c r="T1440" s="57"/>
      <c r="U1440" s="57"/>
      <c r="V1440" s="73">
        <f t="shared" si="64"/>
        <v>0</v>
      </c>
      <c r="W1440" s="106"/>
      <c r="X1440" s="64"/>
    </row>
    <row r="1441" spans="1:24" s="66" customFormat="1" ht="12" hidden="1" customHeight="1">
      <c r="A1441" s="81" t="s">
        <v>3320</v>
      </c>
      <c r="B1441" s="81"/>
      <c r="C1441" s="81"/>
      <c r="D1441" s="81"/>
      <c r="E1441" s="81"/>
      <c r="F1441" s="81"/>
      <c r="G1441" s="81"/>
      <c r="H1441" s="81"/>
      <c r="I1441" s="81" t="s">
        <v>3294</v>
      </c>
      <c r="J1441" s="81" t="s">
        <v>1081</v>
      </c>
      <c r="K1441" s="81" t="s">
        <v>3295</v>
      </c>
      <c r="L1441" s="81" t="s">
        <v>20</v>
      </c>
      <c r="M1441" s="68"/>
      <c r="N1441" s="82">
        <v>6550</v>
      </c>
      <c r="O1441" s="57">
        <f t="shared" si="65"/>
        <v>0</v>
      </c>
      <c r="P1441" s="58"/>
      <c r="Q1441" s="73"/>
      <c r="R1441" s="57"/>
      <c r="S1441" s="57"/>
      <c r="T1441" s="57"/>
      <c r="U1441" s="57"/>
      <c r="V1441" s="73">
        <f t="shared" si="64"/>
        <v>0</v>
      </c>
      <c r="W1441" s="106"/>
      <c r="X1441" s="64"/>
    </row>
    <row r="1442" spans="1:24" s="66" customFormat="1" ht="12" hidden="1" customHeight="1">
      <c r="A1442" s="81" t="s">
        <v>2952</v>
      </c>
      <c r="B1442" s="81"/>
      <c r="C1442" s="81"/>
      <c r="D1442" s="81"/>
      <c r="E1442" s="81"/>
      <c r="F1442" s="81"/>
      <c r="G1442" s="81"/>
      <c r="H1442" s="81"/>
      <c r="I1442" s="81" t="s">
        <v>2301</v>
      </c>
      <c r="J1442" s="81" t="s">
        <v>2950</v>
      </c>
      <c r="K1442" s="81" t="s">
        <v>2953</v>
      </c>
      <c r="L1442" s="67" t="s">
        <v>20</v>
      </c>
      <c r="M1442" s="68"/>
      <c r="N1442" s="82">
        <v>2130</v>
      </c>
      <c r="O1442" s="57">
        <f t="shared" si="65"/>
        <v>0</v>
      </c>
      <c r="P1442" s="58"/>
      <c r="Q1442" s="73"/>
      <c r="R1442" s="57"/>
      <c r="S1442" s="57"/>
      <c r="T1442" s="57"/>
      <c r="U1442" s="57"/>
      <c r="V1442" s="73">
        <f t="shared" si="64"/>
        <v>0</v>
      </c>
      <c r="W1442" s="106"/>
      <c r="X1442" s="64"/>
    </row>
    <row r="1443" spans="1:24" s="66" customFormat="1" ht="12" hidden="1" customHeight="1">
      <c r="A1443" s="81" t="s">
        <v>2954</v>
      </c>
      <c r="B1443" s="81"/>
      <c r="C1443" s="81"/>
      <c r="D1443" s="81"/>
      <c r="E1443" s="81"/>
      <c r="F1443" s="81"/>
      <c r="G1443" s="81"/>
      <c r="H1443" s="81"/>
      <c r="I1443" s="81" t="s">
        <v>2301</v>
      </c>
      <c r="J1443" s="81" t="s">
        <v>2950</v>
      </c>
      <c r="K1443" s="81" t="s">
        <v>2955</v>
      </c>
      <c r="L1443" s="67" t="s">
        <v>20</v>
      </c>
      <c r="M1443" s="68"/>
      <c r="N1443" s="82">
        <v>2460</v>
      </c>
      <c r="O1443" s="57">
        <f t="shared" si="65"/>
        <v>0</v>
      </c>
      <c r="P1443" s="58"/>
      <c r="Q1443" s="73"/>
      <c r="R1443" s="57"/>
      <c r="S1443" s="57"/>
      <c r="T1443" s="57"/>
      <c r="U1443" s="57"/>
      <c r="V1443" s="73">
        <f t="shared" si="64"/>
        <v>0</v>
      </c>
      <c r="W1443" s="106"/>
      <c r="X1443" s="64"/>
    </row>
    <row r="1444" spans="1:24" s="66" customFormat="1" ht="12" hidden="1" customHeight="1">
      <c r="A1444" s="81" t="s">
        <v>2956</v>
      </c>
      <c r="B1444" s="81"/>
      <c r="C1444" s="81"/>
      <c r="D1444" s="81"/>
      <c r="E1444" s="81"/>
      <c r="F1444" s="81"/>
      <c r="G1444" s="81"/>
      <c r="H1444" s="81"/>
      <c r="I1444" s="81" t="s">
        <v>2301</v>
      </c>
      <c r="J1444" s="81" t="s">
        <v>2950</v>
      </c>
      <c r="K1444" s="81" t="s">
        <v>2957</v>
      </c>
      <c r="L1444" s="67" t="s">
        <v>20</v>
      </c>
      <c r="M1444" s="68"/>
      <c r="N1444" s="82">
        <v>3570</v>
      </c>
      <c r="O1444" s="57">
        <f t="shared" si="65"/>
        <v>0</v>
      </c>
      <c r="P1444" s="58"/>
      <c r="Q1444" s="73"/>
      <c r="R1444" s="57"/>
      <c r="S1444" s="57"/>
      <c r="T1444" s="57"/>
      <c r="U1444" s="57"/>
      <c r="V1444" s="73">
        <f t="shared" si="64"/>
        <v>0</v>
      </c>
      <c r="W1444" s="106"/>
      <c r="X1444" s="64"/>
    </row>
    <row r="1445" spans="1:24" s="66" customFormat="1" ht="12" hidden="1" customHeight="1">
      <c r="A1445" s="81" t="s">
        <v>2958</v>
      </c>
      <c r="B1445" s="81"/>
      <c r="C1445" s="81"/>
      <c r="D1445" s="81"/>
      <c r="E1445" s="81"/>
      <c r="F1445" s="81"/>
      <c r="G1445" s="81"/>
      <c r="H1445" s="81"/>
      <c r="I1445" s="81" t="s">
        <v>2301</v>
      </c>
      <c r="J1445" s="81" t="s">
        <v>2950</v>
      </c>
      <c r="K1445" s="81" t="s">
        <v>2959</v>
      </c>
      <c r="L1445" s="67" t="s">
        <v>20</v>
      </c>
      <c r="M1445" s="68"/>
      <c r="N1445" s="82">
        <v>4790</v>
      </c>
      <c r="O1445" s="57">
        <f t="shared" si="65"/>
        <v>0</v>
      </c>
      <c r="P1445" s="58"/>
      <c r="Q1445" s="73"/>
      <c r="R1445" s="57"/>
      <c r="S1445" s="57"/>
      <c r="T1445" s="57"/>
      <c r="U1445" s="57"/>
      <c r="V1445" s="73">
        <f t="shared" ref="V1445:V1520" si="66">SUM(O1445+Q1445)+S1445+U1445</f>
        <v>0</v>
      </c>
      <c r="W1445" s="106"/>
      <c r="X1445" s="64"/>
    </row>
    <row r="1446" spans="1:24" s="66" customFormat="1" ht="12" hidden="1" customHeight="1">
      <c r="A1446" s="81" t="s">
        <v>2960</v>
      </c>
      <c r="B1446" s="81"/>
      <c r="C1446" s="81"/>
      <c r="D1446" s="81"/>
      <c r="E1446" s="81"/>
      <c r="F1446" s="81"/>
      <c r="G1446" s="81"/>
      <c r="H1446" s="81"/>
      <c r="I1446" s="81" t="s">
        <v>2301</v>
      </c>
      <c r="J1446" s="81" t="s">
        <v>2950</v>
      </c>
      <c r="K1446" s="81" t="s">
        <v>2961</v>
      </c>
      <c r="L1446" s="67" t="s">
        <v>20</v>
      </c>
      <c r="M1446" s="68"/>
      <c r="N1446" s="82">
        <v>6020</v>
      </c>
      <c r="O1446" s="57">
        <f t="shared" si="65"/>
        <v>0</v>
      </c>
      <c r="P1446" s="58"/>
      <c r="Q1446" s="73"/>
      <c r="R1446" s="57"/>
      <c r="S1446" s="57"/>
      <c r="T1446" s="57"/>
      <c r="U1446" s="57"/>
      <c r="V1446" s="73">
        <f t="shared" si="66"/>
        <v>0</v>
      </c>
      <c r="W1446" s="106"/>
      <c r="X1446" s="64"/>
    </row>
    <row r="1447" spans="1:24" s="66" customFormat="1" ht="12" hidden="1" customHeight="1">
      <c r="A1447" s="81" t="s">
        <v>2962</v>
      </c>
      <c r="B1447" s="81"/>
      <c r="C1447" s="81"/>
      <c r="D1447" s="81"/>
      <c r="E1447" s="81"/>
      <c r="F1447" s="81"/>
      <c r="G1447" s="81"/>
      <c r="H1447" s="81"/>
      <c r="I1447" s="81" t="s">
        <v>2301</v>
      </c>
      <c r="J1447" s="81" t="s">
        <v>2950</v>
      </c>
      <c r="K1447" s="81" t="s">
        <v>2963</v>
      </c>
      <c r="L1447" s="67" t="s">
        <v>20</v>
      </c>
      <c r="M1447" s="68"/>
      <c r="N1447" s="82">
        <v>9470</v>
      </c>
      <c r="O1447" s="57">
        <f t="shared" si="65"/>
        <v>0</v>
      </c>
      <c r="P1447" s="58"/>
      <c r="Q1447" s="73"/>
      <c r="R1447" s="57"/>
      <c r="S1447" s="57"/>
      <c r="T1447" s="57"/>
      <c r="U1447" s="57"/>
      <c r="V1447" s="73">
        <f t="shared" si="66"/>
        <v>0</v>
      </c>
      <c r="W1447" s="106"/>
      <c r="X1447" s="64"/>
    </row>
    <row r="1448" spans="1:24" s="66" customFormat="1" ht="12" hidden="1" customHeight="1">
      <c r="A1448" s="81" t="s">
        <v>2964</v>
      </c>
      <c r="B1448" s="81"/>
      <c r="C1448" s="81"/>
      <c r="D1448" s="81"/>
      <c r="E1448" s="81"/>
      <c r="F1448" s="81"/>
      <c r="G1448" s="81"/>
      <c r="H1448" s="81"/>
      <c r="I1448" s="81" t="s">
        <v>2301</v>
      </c>
      <c r="J1448" s="81" t="s">
        <v>2950</v>
      </c>
      <c r="K1448" s="81" t="s">
        <v>2965</v>
      </c>
      <c r="L1448" s="67" t="s">
        <v>20</v>
      </c>
      <c r="M1448" s="68"/>
      <c r="N1448" s="82">
        <v>15590</v>
      </c>
      <c r="O1448" s="57">
        <f t="shared" si="65"/>
        <v>0</v>
      </c>
      <c r="P1448" s="58"/>
      <c r="Q1448" s="73"/>
      <c r="R1448" s="57"/>
      <c r="S1448" s="57"/>
      <c r="T1448" s="57"/>
      <c r="U1448" s="57"/>
      <c r="V1448" s="73">
        <f t="shared" si="66"/>
        <v>0</v>
      </c>
      <c r="W1448" s="106"/>
      <c r="X1448" s="64"/>
    </row>
    <row r="1449" spans="1:24" s="66" customFormat="1" ht="12" hidden="1" customHeight="1">
      <c r="A1449" s="81" t="s">
        <v>2966</v>
      </c>
      <c r="B1449" s="81"/>
      <c r="C1449" s="81"/>
      <c r="D1449" s="81"/>
      <c r="E1449" s="81"/>
      <c r="F1449" s="81"/>
      <c r="G1449" s="81"/>
      <c r="H1449" s="81"/>
      <c r="I1449" s="81" t="s">
        <v>2301</v>
      </c>
      <c r="J1449" s="81" t="s">
        <v>2950</v>
      </c>
      <c r="K1449" s="81" t="s">
        <v>2967</v>
      </c>
      <c r="L1449" s="67" t="s">
        <v>20</v>
      </c>
      <c r="M1449" s="68"/>
      <c r="N1449" s="82">
        <v>21180</v>
      </c>
      <c r="O1449" s="57">
        <f t="shared" si="65"/>
        <v>0</v>
      </c>
      <c r="P1449" s="58"/>
      <c r="Q1449" s="73"/>
      <c r="R1449" s="57"/>
      <c r="S1449" s="57"/>
      <c r="T1449" s="57"/>
      <c r="U1449" s="57"/>
      <c r="V1449" s="73">
        <f t="shared" si="66"/>
        <v>0</v>
      </c>
      <c r="W1449" s="106"/>
      <c r="X1449" s="64"/>
    </row>
    <row r="1450" spans="1:24" s="66" customFormat="1" ht="12" hidden="1" customHeight="1">
      <c r="A1450" s="81" t="s">
        <v>2949</v>
      </c>
      <c r="B1450" s="81"/>
      <c r="C1450" s="81"/>
      <c r="D1450" s="81"/>
      <c r="E1450" s="81"/>
      <c r="F1450" s="81"/>
      <c r="G1450" s="81"/>
      <c r="H1450" s="81"/>
      <c r="I1450" s="81" t="s">
        <v>2301</v>
      </c>
      <c r="J1450" s="81" t="s">
        <v>2950</v>
      </c>
      <c r="K1450" s="81" t="s">
        <v>2951</v>
      </c>
      <c r="L1450" s="67" t="s">
        <v>20</v>
      </c>
      <c r="M1450" s="68"/>
      <c r="N1450" s="82">
        <v>42380</v>
      </c>
      <c r="O1450" s="57">
        <f t="shared" si="65"/>
        <v>0</v>
      </c>
      <c r="P1450" s="58"/>
      <c r="Q1450" s="73"/>
      <c r="R1450" s="57"/>
      <c r="S1450" s="57"/>
      <c r="T1450" s="57"/>
      <c r="U1450" s="57"/>
      <c r="V1450" s="73">
        <f t="shared" si="66"/>
        <v>0</v>
      </c>
      <c r="W1450" s="106"/>
      <c r="X1450" s="64"/>
    </row>
    <row r="1451" spans="1:24" s="66" customFormat="1" ht="12" hidden="1" customHeight="1">
      <c r="A1451" s="81" t="s">
        <v>2304</v>
      </c>
      <c r="B1451" s="81"/>
      <c r="C1451" s="81"/>
      <c r="D1451" s="81"/>
      <c r="E1451" s="81"/>
      <c r="F1451" s="81"/>
      <c r="G1451" s="81"/>
      <c r="H1451" s="81"/>
      <c r="I1451" s="81" t="s">
        <v>2301</v>
      </c>
      <c r="J1451" s="81" t="s">
        <v>2302</v>
      </c>
      <c r="K1451" s="81" t="s">
        <v>2305</v>
      </c>
      <c r="L1451" s="81" t="s">
        <v>0</v>
      </c>
      <c r="M1451" s="68"/>
      <c r="N1451" s="82">
        <v>530</v>
      </c>
      <c r="O1451" s="57">
        <f t="shared" si="65"/>
        <v>0</v>
      </c>
      <c r="P1451" s="58"/>
      <c r="Q1451" s="73"/>
      <c r="R1451" s="57"/>
      <c r="S1451" s="57"/>
      <c r="T1451" s="57"/>
      <c r="U1451" s="57"/>
      <c r="V1451" s="73">
        <f t="shared" si="66"/>
        <v>0</v>
      </c>
      <c r="W1451" s="106"/>
      <c r="X1451" s="64"/>
    </row>
    <row r="1452" spans="1:24" s="66" customFormat="1" ht="12" hidden="1" customHeight="1">
      <c r="A1452" s="81" t="s">
        <v>2306</v>
      </c>
      <c r="B1452" s="81"/>
      <c r="C1452" s="81"/>
      <c r="D1452" s="81"/>
      <c r="E1452" s="81"/>
      <c r="F1452" s="81"/>
      <c r="G1452" s="81"/>
      <c r="H1452" s="81"/>
      <c r="I1452" s="81" t="s">
        <v>2301</v>
      </c>
      <c r="J1452" s="81" t="s">
        <v>2302</v>
      </c>
      <c r="K1452" s="81" t="s">
        <v>2307</v>
      </c>
      <c r="L1452" s="81" t="s">
        <v>0</v>
      </c>
      <c r="M1452" s="68"/>
      <c r="N1452" s="82">
        <v>1000</v>
      </c>
      <c r="O1452" s="57">
        <f t="shared" si="65"/>
        <v>0</v>
      </c>
      <c r="P1452" s="58"/>
      <c r="Q1452" s="73"/>
      <c r="R1452" s="57"/>
      <c r="S1452" s="57"/>
      <c r="T1452" s="57"/>
      <c r="U1452" s="57"/>
      <c r="V1452" s="73">
        <f t="shared" si="66"/>
        <v>0</v>
      </c>
      <c r="W1452" s="106"/>
      <c r="X1452" s="64"/>
    </row>
    <row r="1453" spans="1:24" s="66" customFormat="1" ht="12" hidden="1" customHeight="1">
      <c r="A1453" s="81" t="s">
        <v>2308</v>
      </c>
      <c r="B1453" s="81"/>
      <c r="C1453" s="81"/>
      <c r="D1453" s="81"/>
      <c r="E1453" s="81"/>
      <c r="F1453" s="81"/>
      <c r="G1453" s="81"/>
      <c r="H1453" s="81"/>
      <c r="I1453" s="81" t="s">
        <v>2301</v>
      </c>
      <c r="J1453" s="81" t="s">
        <v>2302</v>
      </c>
      <c r="K1453" s="81" t="s">
        <v>2309</v>
      </c>
      <c r="L1453" s="81" t="s">
        <v>0</v>
      </c>
      <c r="M1453" s="68"/>
      <c r="N1453" s="82">
        <v>1170</v>
      </c>
      <c r="O1453" s="57">
        <f t="shared" si="65"/>
        <v>0</v>
      </c>
      <c r="P1453" s="58"/>
      <c r="Q1453" s="73"/>
      <c r="R1453" s="57"/>
      <c r="S1453" s="57"/>
      <c r="T1453" s="57"/>
      <c r="U1453" s="57"/>
      <c r="V1453" s="73">
        <f t="shared" si="66"/>
        <v>0</v>
      </c>
      <c r="W1453" s="106"/>
      <c r="X1453" s="64"/>
    </row>
    <row r="1454" spans="1:24" s="66" customFormat="1" ht="12" hidden="1" customHeight="1">
      <c r="A1454" s="81" t="s">
        <v>2310</v>
      </c>
      <c r="B1454" s="81"/>
      <c r="C1454" s="81"/>
      <c r="D1454" s="81"/>
      <c r="E1454" s="81"/>
      <c r="F1454" s="81"/>
      <c r="G1454" s="81"/>
      <c r="H1454" s="81"/>
      <c r="I1454" s="81" t="s">
        <v>2301</v>
      </c>
      <c r="J1454" s="81" t="s">
        <v>2302</v>
      </c>
      <c r="K1454" s="81" t="s">
        <v>2311</v>
      </c>
      <c r="L1454" s="81" t="s">
        <v>0</v>
      </c>
      <c r="M1454" s="68"/>
      <c r="N1454" s="82">
        <v>1520</v>
      </c>
      <c r="O1454" s="57">
        <f t="shared" si="65"/>
        <v>0</v>
      </c>
      <c r="P1454" s="58"/>
      <c r="Q1454" s="73"/>
      <c r="R1454" s="57"/>
      <c r="S1454" s="57"/>
      <c r="T1454" s="57"/>
      <c r="U1454" s="57"/>
      <c r="V1454" s="73">
        <f t="shared" si="66"/>
        <v>0</v>
      </c>
      <c r="W1454" s="106"/>
      <c r="X1454" s="64"/>
    </row>
    <row r="1455" spans="1:24" s="66" customFormat="1" ht="12" hidden="1" customHeight="1">
      <c r="A1455" s="81" t="s">
        <v>2312</v>
      </c>
      <c r="B1455" s="81"/>
      <c r="C1455" s="81"/>
      <c r="D1455" s="81"/>
      <c r="E1455" s="81"/>
      <c r="F1455" s="81"/>
      <c r="G1455" s="81"/>
      <c r="H1455" s="81"/>
      <c r="I1455" s="81" t="s">
        <v>2301</v>
      </c>
      <c r="J1455" s="81" t="s">
        <v>2302</v>
      </c>
      <c r="K1455" s="81" t="s">
        <v>2313</v>
      </c>
      <c r="L1455" s="81" t="s">
        <v>0</v>
      </c>
      <c r="M1455" s="68"/>
      <c r="N1455" s="82">
        <v>2450</v>
      </c>
      <c r="O1455" s="57">
        <f t="shared" si="65"/>
        <v>0</v>
      </c>
      <c r="P1455" s="58"/>
      <c r="Q1455" s="73"/>
      <c r="R1455" s="57"/>
      <c r="S1455" s="57"/>
      <c r="T1455" s="57"/>
      <c r="U1455" s="57"/>
      <c r="V1455" s="73">
        <f t="shared" si="66"/>
        <v>0</v>
      </c>
      <c r="W1455" s="106"/>
      <c r="X1455" s="64"/>
    </row>
    <row r="1456" spans="1:24" s="66" customFormat="1" ht="12" hidden="1" customHeight="1">
      <c r="A1456" s="81" t="s">
        <v>2314</v>
      </c>
      <c r="B1456" s="81"/>
      <c r="C1456" s="81"/>
      <c r="D1456" s="81"/>
      <c r="E1456" s="81"/>
      <c r="F1456" s="81"/>
      <c r="G1456" s="81"/>
      <c r="H1456" s="81"/>
      <c r="I1456" s="81" t="s">
        <v>2301</v>
      </c>
      <c r="J1456" s="81" t="s">
        <v>2302</v>
      </c>
      <c r="K1456" s="81" t="s">
        <v>2315</v>
      </c>
      <c r="L1456" s="81" t="s">
        <v>0</v>
      </c>
      <c r="M1456" s="68"/>
      <c r="N1456" s="82">
        <v>3160</v>
      </c>
      <c r="O1456" s="57">
        <f t="shared" si="65"/>
        <v>0</v>
      </c>
      <c r="P1456" s="58"/>
      <c r="Q1456" s="73"/>
      <c r="R1456" s="57"/>
      <c r="S1456" s="57"/>
      <c r="T1456" s="57"/>
      <c r="U1456" s="57"/>
      <c r="V1456" s="73">
        <f t="shared" si="66"/>
        <v>0</v>
      </c>
      <c r="W1456" s="106"/>
      <c r="X1456" s="64"/>
    </row>
    <row r="1457" spans="1:24" s="66" customFormat="1" ht="12" hidden="1" customHeight="1">
      <c r="A1457" s="81" t="s">
        <v>2316</v>
      </c>
      <c r="B1457" s="81"/>
      <c r="C1457" s="81"/>
      <c r="D1457" s="81"/>
      <c r="E1457" s="81"/>
      <c r="F1457" s="81"/>
      <c r="G1457" s="81"/>
      <c r="H1457" s="81"/>
      <c r="I1457" s="81" t="s">
        <v>2301</v>
      </c>
      <c r="J1457" s="81" t="s">
        <v>2302</v>
      </c>
      <c r="K1457" s="81" t="s">
        <v>2317</v>
      </c>
      <c r="L1457" s="81" t="s">
        <v>0</v>
      </c>
      <c r="M1457" s="68"/>
      <c r="N1457" s="82">
        <v>5730</v>
      </c>
      <c r="O1457" s="57">
        <f t="shared" si="65"/>
        <v>0</v>
      </c>
      <c r="P1457" s="58"/>
      <c r="Q1457" s="73"/>
      <c r="R1457" s="57"/>
      <c r="S1457" s="57"/>
      <c r="T1457" s="57"/>
      <c r="U1457" s="57"/>
      <c r="V1457" s="73">
        <f t="shared" si="66"/>
        <v>0</v>
      </c>
      <c r="W1457" s="106"/>
      <c r="X1457" s="64"/>
    </row>
    <row r="1458" spans="1:24" s="66" customFormat="1" ht="12" hidden="1" customHeight="1">
      <c r="A1458" s="81" t="s">
        <v>2318</v>
      </c>
      <c r="B1458" s="81"/>
      <c r="C1458" s="81"/>
      <c r="D1458" s="81"/>
      <c r="E1458" s="81"/>
      <c r="F1458" s="81"/>
      <c r="G1458" s="81"/>
      <c r="H1458" s="81"/>
      <c r="I1458" s="81" t="s">
        <v>2301</v>
      </c>
      <c r="J1458" s="81" t="s">
        <v>2302</v>
      </c>
      <c r="K1458" s="81" t="s">
        <v>2319</v>
      </c>
      <c r="L1458" s="81" t="s">
        <v>0</v>
      </c>
      <c r="M1458" s="68"/>
      <c r="N1458" s="82">
        <v>7250</v>
      </c>
      <c r="O1458" s="57">
        <f t="shared" si="65"/>
        <v>0</v>
      </c>
      <c r="P1458" s="58"/>
      <c r="Q1458" s="73"/>
      <c r="R1458" s="57"/>
      <c r="S1458" s="57"/>
      <c r="T1458" s="57"/>
      <c r="U1458" s="57"/>
      <c r="V1458" s="73">
        <f t="shared" si="66"/>
        <v>0</v>
      </c>
      <c r="W1458" s="106"/>
      <c r="X1458" s="64"/>
    </row>
    <row r="1459" spans="1:24" s="66" customFormat="1" ht="12" hidden="1" customHeight="1">
      <c r="A1459" s="81" t="s">
        <v>2300</v>
      </c>
      <c r="B1459" s="81"/>
      <c r="C1459" s="81"/>
      <c r="D1459" s="81"/>
      <c r="E1459" s="81"/>
      <c r="F1459" s="81"/>
      <c r="G1459" s="81"/>
      <c r="H1459" s="81"/>
      <c r="I1459" s="81" t="s">
        <v>2301</v>
      </c>
      <c r="J1459" s="81" t="s">
        <v>2302</v>
      </c>
      <c r="K1459" s="81" t="s">
        <v>2303</v>
      </c>
      <c r="L1459" s="81" t="s">
        <v>0</v>
      </c>
      <c r="M1459" s="68"/>
      <c r="N1459" s="82">
        <v>11370</v>
      </c>
      <c r="O1459" s="57">
        <f t="shared" si="65"/>
        <v>0</v>
      </c>
      <c r="P1459" s="58"/>
      <c r="Q1459" s="73"/>
      <c r="R1459" s="57"/>
      <c r="S1459" s="57"/>
      <c r="T1459" s="57"/>
      <c r="U1459" s="57"/>
      <c r="V1459" s="73">
        <f t="shared" si="66"/>
        <v>0</v>
      </c>
      <c r="W1459" s="106"/>
      <c r="X1459" s="64"/>
    </row>
    <row r="1460" spans="1:24" s="66" customFormat="1" ht="12" hidden="1" customHeight="1">
      <c r="A1460" s="81" t="s">
        <v>2267</v>
      </c>
      <c r="B1460" s="81"/>
      <c r="C1460" s="81"/>
      <c r="D1460" s="81"/>
      <c r="E1460" s="81"/>
      <c r="F1460" s="81"/>
      <c r="G1460" s="81"/>
      <c r="H1460" s="81"/>
      <c r="I1460" s="81" t="s">
        <v>2269</v>
      </c>
      <c r="J1460" s="81" t="s">
        <v>2270</v>
      </c>
      <c r="K1460" s="81" t="s">
        <v>2271</v>
      </c>
      <c r="L1460" s="81" t="s">
        <v>20</v>
      </c>
      <c r="M1460" s="68"/>
      <c r="N1460" s="82">
        <v>19110</v>
      </c>
      <c r="O1460" s="57">
        <f t="shared" si="65"/>
        <v>0</v>
      </c>
      <c r="P1460" s="58"/>
      <c r="Q1460" s="73"/>
      <c r="R1460" s="57"/>
      <c r="S1460" s="57"/>
      <c r="T1460" s="57"/>
      <c r="U1460" s="57"/>
      <c r="V1460" s="73">
        <f t="shared" si="66"/>
        <v>0</v>
      </c>
      <c r="W1460" s="106"/>
      <c r="X1460" s="64"/>
    </row>
    <row r="1461" spans="1:24" s="66" customFormat="1" ht="12" hidden="1" customHeight="1">
      <c r="A1461" s="81" t="s">
        <v>2273</v>
      </c>
      <c r="B1461" s="81"/>
      <c r="C1461" s="81"/>
      <c r="D1461" s="81"/>
      <c r="E1461" s="81"/>
      <c r="F1461" s="81"/>
      <c r="G1461" s="81"/>
      <c r="H1461" s="81"/>
      <c r="I1461" s="81" t="s">
        <v>2269</v>
      </c>
      <c r="J1461" s="81" t="s">
        <v>2270</v>
      </c>
      <c r="K1461" s="81" t="s">
        <v>2275</v>
      </c>
      <c r="L1461" s="81" t="s">
        <v>20</v>
      </c>
      <c r="M1461" s="68"/>
      <c r="N1461" s="82">
        <v>20690</v>
      </c>
      <c r="O1461" s="57">
        <f t="shared" si="65"/>
        <v>0</v>
      </c>
      <c r="P1461" s="58"/>
      <c r="Q1461" s="73"/>
      <c r="R1461" s="57"/>
      <c r="S1461" s="57"/>
      <c r="T1461" s="57"/>
      <c r="U1461" s="57"/>
      <c r="V1461" s="73">
        <f t="shared" si="66"/>
        <v>0</v>
      </c>
      <c r="W1461" s="106"/>
      <c r="X1461" s="64"/>
    </row>
    <row r="1462" spans="1:24" s="66" customFormat="1" ht="12" hidden="1" customHeight="1">
      <c r="A1462" s="81" t="s">
        <v>2276</v>
      </c>
      <c r="B1462" s="81"/>
      <c r="C1462" s="81"/>
      <c r="D1462" s="81"/>
      <c r="E1462" s="81"/>
      <c r="F1462" s="81"/>
      <c r="G1462" s="81"/>
      <c r="H1462" s="81"/>
      <c r="I1462" s="81" t="s">
        <v>2269</v>
      </c>
      <c r="J1462" s="81" t="s">
        <v>2270</v>
      </c>
      <c r="K1462" s="81" t="s">
        <v>2278</v>
      </c>
      <c r="L1462" s="81" t="s">
        <v>20</v>
      </c>
      <c r="M1462" s="68"/>
      <c r="N1462" s="82">
        <v>25280</v>
      </c>
      <c r="O1462" s="57">
        <f t="shared" si="65"/>
        <v>0</v>
      </c>
      <c r="P1462" s="58"/>
      <c r="Q1462" s="73"/>
      <c r="R1462" s="57"/>
      <c r="S1462" s="57"/>
      <c r="T1462" s="57"/>
      <c r="U1462" s="57"/>
      <c r="V1462" s="73">
        <f t="shared" si="66"/>
        <v>0</v>
      </c>
      <c r="W1462" s="106"/>
      <c r="X1462" s="64"/>
    </row>
    <row r="1463" spans="1:24" s="66" customFormat="1" ht="12" hidden="1" customHeight="1">
      <c r="A1463" s="81" t="s">
        <v>2279</v>
      </c>
      <c r="B1463" s="81"/>
      <c r="C1463" s="81"/>
      <c r="D1463" s="81"/>
      <c r="E1463" s="81"/>
      <c r="F1463" s="81"/>
      <c r="G1463" s="81"/>
      <c r="H1463" s="81"/>
      <c r="I1463" s="81" t="s">
        <v>2269</v>
      </c>
      <c r="J1463" s="81" t="s">
        <v>2270</v>
      </c>
      <c r="K1463" s="81" t="s">
        <v>2281</v>
      </c>
      <c r="L1463" s="81" t="s">
        <v>20</v>
      </c>
      <c r="M1463" s="68"/>
      <c r="N1463" s="82">
        <v>29580</v>
      </c>
      <c r="O1463" s="57">
        <f t="shared" si="65"/>
        <v>0</v>
      </c>
      <c r="P1463" s="58"/>
      <c r="Q1463" s="73"/>
      <c r="R1463" s="57"/>
      <c r="S1463" s="57"/>
      <c r="T1463" s="57"/>
      <c r="U1463" s="57"/>
      <c r="V1463" s="73">
        <f t="shared" si="66"/>
        <v>0</v>
      </c>
      <c r="W1463" s="106"/>
      <c r="X1463" s="64"/>
    </row>
    <row r="1464" spans="1:24" s="66" customFormat="1" ht="12" hidden="1" customHeight="1">
      <c r="A1464" s="81" t="s">
        <v>2282</v>
      </c>
      <c r="B1464" s="81"/>
      <c r="C1464" s="81"/>
      <c r="D1464" s="81"/>
      <c r="E1464" s="81"/>
      <c r="F1464" s="81"/>
      <c r="G1464" s="81"/>
      <c r="H1464" s="81"/>
      <c r="I1464" s="81" t="s">
        <v>2269</v>
      </c>
      <c r="J1464" s="81" t="s">
        <v>2270</v>
      </c>
      <c r="K1464" s="81" t="s">
        <v>2284</v>
      </c>
      <c r="L1464" s="81" t="s">
        <v>20</v>
      </c>
      <c r="M1464" s="68"/>
      <c r="N1464" s="82">
        <v>33330</v>
      </c>
      <c r="O1464" s="57">
        <f t="shared" si="65"/>
        <v>0</v>
      </c>
      <c r="P1464" s="58"/>
      <c r="Q1464" s="73"/>
      <c r="R1464" s="57"/>
      <c r="S1464" s="57"/>
      <c r="T1464" s="57"/>
      <c r="U1464" s="57"/>
      <c r="V1464" s="73">
        <f t="shared" si="66"/>
        <v>0</v>
      </c>
      <c r="W1464" s="106"/>
      <c r="X1464" s="64"/>
    </row>
    <row r="1465" spans="1:24" s="66" customFormat="1" ht="12" hidden="1" customHeight="1">
      <c r="A1465" s="81" t="s">
        <v>2285</v>
      </c>
      <c r="B1465" s="81"/>
      <c r="C1465" s="81"/>
      <c r="D1465" s="81"/>
      <c r="E1465" s="81"/>
      <c r="F1465" s="81"/>
      <c r="G1465" s="81"/>
      <c r="H1465" s="81"/>
      <c r="I1465" s="81" t="s">
        <v>2269</v>
      </c>
      <c r="J1465" s="81" t="s">
        <v>2270</v>
      </c>
      <c r="K1465" s="81" t="s">
        <v>2287</v>
      </c>
      <c r="L1465" s="81" t="s">
        <v>20</v>
      </c>
      <c r="M1465" s="68"/>
      <c r="N1465" s="82">
        <v>42170</v>
      </c>
      <c r="O1465" s="57">
        <f t="shared" si="65"/>
        <v>0</v>
      </c>
      <c r="P1465" s="58"/>
      <c r="Q1465" s="73"/>
      <c r="R1465" s="57"/>
      <c r="S1465" s="57"/>
      <c r="T1465" s="57"/>
      <c r="U1465" s="57"/>
      <c r="V1465" s="73">
        <f t="shared" si="66"/>
        <v>0</v>
      </c>
      <c r="W1465" s="106"/>
      <c r="X1465" s="64"/>
    </row>
    <row r="1466" spans="1:24" s="66" customFormat="1" ht="12" hidden="1" customHeight="1">
      <c r="A1466" s="81" t="s">
        <v>2268</v>
      </c>
      <c r="B1466" s="81"/>
      <c r="C1466" s="81"/>
      <c r="D1466" s="81"/>
      <c r="E1466" s="81"/>
      <c r="F1466" s="81"/>
      <c r="G1466" s="81"/>
      <c r="H1466" s="81"/>
      <c r="I1466" s="81" t="s">
        <v>2269</v>
      </c>
      <c r="J1466" s="81" t="s">
        <v>2272</v>
      </c>
      <c r="K1466" s="81" t="s">
        <v>2271</v>
      </c>
      <c r="L1466" s="81" t="s">
        <v>20</v>
      </c>
      <c r="M1466" s="68"/>
      <c r="N1466" s="82">
        <v>23900</v>
      </c>
      <c r="O1466" s="57">
        <f t="shared" si="65"/>
        <v>0</v>
      </c>
      <c r="P1466" s="58"/>
      <c r="Q1466" s="73"/>
      <c r="R1466" s="57"/>
      <c r="S1466" s="57"/>
      <c r="T1466" s="57"/>
      <c r="U1466" s="57"/>
      <c r="V1466" s="73">
        <f t="shared" si="66"/>
        <v>0</v>
      </c>
      <c r="W1466" s="106"/>
      <c r="X1466" s="64"/>
    </row>
    <row r="1467" spans="1:24" s="66" customFormat="1" ht="12" hidden="1" customHeight="1">
      <c r="A1467" s="81" t="s">
        <v>2274</v>
      </c>
      <c r="B1467" s="81"/>
      <c r="C1467" s="81"/>
      <c r="D1467" s="81"/>
      <c r="E1467" s="81"/>
      <c r="F1467" s="81"/>
      <c r="G1467" s="81"/>
      <c r="H1467" s="81"/>
      <c r="I1467" s="81" t="s">
        <v>2269</v>
      </c>
      <c r="J1467" s="81" t="s">
        <v>2272</v>
      </c>
      <c r="K1467" s="81" t="s">
        <v>2275</v>
      </c>
      <c r="L1467" s="81" t="s">
        <v>20</v>
      </c>
      <c r="M1467" s="68"/>
      <c r="N1467" s="82">
        <v>25710</v>
      </c>
      <c r="O1467" s="57">
        <f t="shared" ref="O1467:O1529" si="67">M1467*N1467*$O$3</f>
        <v>0</v>
      </c>
      <c r="P1467" s="58"/>
      <c r="Q1467" s="73"/>
      <c r="R1467" s="57"/>
      <c r="S1467" s="57"/>
      <c r="T1467" s="57"/>
      <c r="U1467" s="57"/>
      <c r="V1467" s="73">
        <f t="shared" si="66"/>
        <v>0</v>
      </c>
      <c r="W1467" s="106"/>
      <c r="X1467" s="64"/>
    </row>
    <row r="1468" spans="1:24" s="66" customFormat="1" ht="12" hidden="1" customHeight="1">
      <c r="A1468" s="81" t="s">
        <v>2277</v>
      </c>
      <c r="B1468" s="81"/>
      <c r="C1468" s="81"/>
      <c r="D1468" s="81"/>
      <c r="E1468" s="81"/>
      <c r="F1468" s="81"/>
      <c r="G1468" s="81"/>
      <c r="H1468" s="81"/>
      <c r="I1468" s="81" t="s">
        <v>2269</v>
      </c>
      <c r="J1468" s="81" t="s">
        <v>2272</v>
      </c>
      <c r="K1468" s="81" t="s">
        <v>2278</v>
      </c>
      <c r="L1468" s="81" t="s">
        <v>20</v>
      </c>
      <c r="M1468" s="68"/>
      <c r="N1468" s="82">
        <v>32270</v>
      </c>
      <c r="O1468" s="57">
        <f t="shared" si="67"/>
        <v>0</v>
      </c>
      <c r="P1468" s="58"/>
      <c r="Q1468" s="73"/>
      <c r="R1468" s="57"/>
      <c r="S1468" s="57"/>
      <c r="T1468" s="57"/>
      <c r="U1468" s="57"/>
      <c r="V1468" s="73">
        <f t="shared" si="66"/>
        <v>0</v>
      </c>
      <c r="W1468" s="106"/>
      <c r="X1468" s="64"/>
    </row>
    <row r="1469" spans="1:24" s="66" customFormat="1" ht="12" hidden="1" customHeight="1">
      <c r="A1469" s="81" t="s">
        <v>2280</v>
      </c>
      <c r="B1469" s="81"/>
      <c r="C1469" s="81"/>
      <c r="D1469" s="81"/>
      <c r="E1469" s="81"/>
      <c r="F1469" s="81"/>
      <c r="G1469" s="81"/>
      <c r="H1469" s="81"/>
      <c r="I1469" s="81" t="s">
        <v>2269</v>
      </c>
      <c r="J1469" s="81" t="s">
        <v>2272</v>
      </c>
      <c r="K1469" s="81" t="s">
        <v>2281</v>
      </c>
      <c r="L1469" s="81" t="s">
        <v>20</v>
      </c>
      <c r="M1469" s="68"/>
      <c r="N1469" s="82">
        <v>37820</v>
      </c>
      <c r="O1469" s="57">
        <f t="shared" si="67"/>
        <v>0</v>
      </c>
      <c r="P1469" s="58"/>
      <c r="Q1469" s="73"/>
      <c r="R1469" s="57"/>
      <c r="S1469" s="57"/>
      <c r="T1469" s="57"/>
      <c r="U1469" s="57"/>
      <c r="V1469" s="73">
        <f t="shared" si="66"/>
        <v>0</v>
      </c>
      <c r="W1469" s="106"/>
      <c r="X1469" s="64"/>
    </row>
    <row r="1470" spans="1:24" s="66" customFormat="1" ht="12" hidden="1" customHeight="1">
      <c r="A1470" s="81" t="s">
        <v>2283</v>
      </c>
      <c r="B1470" s="81"/>
      <c r="C1470" s="81"/>
      <c r="D1470" s="81"/>
      <c r="E1470" s="81"/>
      <c r="F1470" s="81"/>
      <c r="G1470" s="81"/>
      <c r="H1470" s="81"/>
      <c r="I1470" s="81" t="s">
        <v>2269</v>
      </c>
      <c r="J1470" s="81" t="s">
        <v>2272</v>
      </c>
      <c r="K1470" s="81" t="s">
        <v>2284</v>
      </c>
      <c r="L1470" s="81" t="s">
        <v>20</v>
      </c>
      <c r="M1470" s="68"/>
      <c r="N1470" s="82">
        <v>43370</v>
      </c>
      <c r="O1470" s="57">
        <f t="shared" si="67"/>
        <v>0</v>
      </c>
      <c r="P1470" s="58"/>
      <c r="Q1470" s="73"/>
      <c r="R1470" s="57"/>
      <c r="S1470" s="57"/>
      <c r="T1470" s="57"/>
      <c r="U1470" s="57"/>
      <c r="V1470" s="73">
        <f t="shared" si="66"/>
        <v>0</v>
      </c>
      <c r="W1470" s="106"/>
      <c r="X1470" s="64"/>
    </row>
    <row r="1471" spans="1:24" s="66" customFormat="1" ht="12" hidden="1" customHeight="1">
      <c r="A1471" s="81" t="s">
        <v>2286</v>
      </c>
      <c r="B1471" s="81"/>
      <c r="C1471" s="81"/>
      <c r="D1471" s="81"/>
      <c r="E1471" s="81"/>
      <c r="F1471" s="81"/>
      <c r="G1471" s="81"/>
      <c r="H1471" s="81"/>
      <c r="I1471" s="81" t="s">
        <v>2269</v>
      </c>
      <c r="J1471" s="81" t="s">
        <v>2272</v>
      </c>
      <c r="K1471" s="81" t="s">
        <v>2287</v>
      </c>
      <c r="L1471" s="81" t="s">
        <v>20</v>
      </c>
      <c r="M1471" s="68"/>
      <c r="N1471" s="82">
        <v>48790</v>
      </c>
      <c r="O1471" s="57">
        <f t="shared" si="67"/>
        <v>0</v>
      </c>
      <c r="P1471" s="58"/>
      <c r="Q1471" s="73"/>
      <c r="R1471" s="57"/>
      <c r="S1471" s="57"/>
      <c r="T1471" s="57"/>
      <c r="U1471" s="57"/>
      <c r="V1471" s="73">
        <f t="shared" si="66"/>
        <v>0</v>
      </c>
      <c r="W1471" s="106"/>
      <c r="X1471" s="64"/>
    </row>
    <row r="1472" spans="1:24" s="66" customFormat="1" ht="12" hidden="1" customHeight="1">
      <c r="A1472" s="81" t="s">
        <v>3321</v>
      </c>
      <c r="B1472" s="81"/>
      <c r="C1472" s="81"/>
      <c r="D1472" s="81"/>
      <c r="E1472" s="81"/>
      <c r="F1472" s="81"/>
      <c r="G1472" s="81"/>
      <c r="H1472" s="81"/>
      <c r="I1472" s="81" t="s">
        <v>2269</v>
      </c>
      <c r="J1472" s="81" t="s">
        <v>3322</v>
      </c>
      <c r="K1472" s="81" t="s">
        <v>2271</v>
      </c>
      <c r="L1472" s="81" t="s">
        <v>20</v>
      </c>
      <c r="M1472" s="68"/>
      <c r="N1472" s="82">
        <v>27720</v>
      </c>
      <c r="O1472" s="57">
        <f t="shared" si="67"/>
        <v>0</v>
      </c>
      <c r="P1472" s="58"/>
      <c r="Q1472" s="73"/>
      <c r="R1472" s="57"/>
      <c r="S1472" s="57"/>
      <c r="T1472" s="57"/>
      <c r="U1472" s="57"/>
      <c r="V1472" s="73">
        <f t="shared" si="66"/>
        <v>0</v>
      </c>
      <c r="W1472" s="106"/>
      <c r="X1472" s="64"/>
    </row>
    <row r="1473" spans="1:24" s="66" customFormat="1" ht="12" hidden="1" customHeight="1">
      <c r="A1473" s="81" t="s">
        <v>3323</v>
      </c>
      <c r="B1473" s="81"/>
      <c r="C1473" s="81"/>
      <c r="D1473" s="81"/>
      <c r="E1473" s="81"/>
      <c r="F1473" s="81"/>
      <c r="G1473" s="81"/>
      <c r="H1473" s="81"/>
      <c r="I1473" s="81" t="s">
        <v>2269</v>
      </c>
      <c r="J1473" s="81" t="s">
        <v>3322</v>
      </c>
      <c r="K1473" s="81" t="s">
        <v>2275</v>
      </c>
      <c r="L1473" s="81" t="s">
        <v>20</v>
      </c>
      <c r="M1473" s="68"/>
      <c r="N1473" s="82">
        <v>30260</v>
      </c>
      <c r="O1473" s="57">
        <f t="shared" si="67"/>
        <v>0</v>
      </c>
      <c r="P1473" s="58"/>
      <c r="Q1473" s="73"/>
      <c r="R1473" s="57"/>
      <c r="S1473" s="57"/>
      <c r="T1473" s="57"/>
      <c r="U1473" s="57"/>
      <c r="V1473" s="73">
        <f t="shared" si="66"/>
        <v>0</v>
      </c>
      <c r="W1473" s="106"/>
      <c r="X1473" s="64"/>
    </row>
    <row r="1474" spans="1:24" s="66" customFormat="1" ht="12" hidden="1" customHeight="1">
      <c r="A1474" s="81" t="s">
        <v>3324</v>
      </c>
      <c r="B1474" s="81"/>
      <c r="C1474" s="81"/>
      <c r="D1474" s="81"/>
      <c r="E1474" s="81"/>
      <c r="F1474" s="81"/>
      <c r="G1474" s="81"/>
      <c r="H1474" s="81"/>
      <c r="I1474" s="81" t="s">
        <v>2269</v>
      </c>
      <c r="J1474" s="81" t="s">
        <v>3322</v>
      </c>
      <c r="K1474" s="81" t="s">
        <v>2278</v>
      </c>
      <c r="L1474" s="81" t="s">
        <v>20</v>
      </c>
      <c r="M1474" s="68"/>
      <c r="N1474" s="82">
        <v>35970</v>
      </c>
      <c r="O1474" s="57">
        <f t="shared" si="67"/>
        <v>0</v>
      </c>
      <c r="P1474" s="58"/>
      <c r="Q1474" s="73"/>
      <c r="R1474" s="57"/>
      <c r="S1474" s="57"/>
      <c r="T1474" s="57"/>
      <c r="U1474" s="57"/>
      <c r="V1474" s="73">
        <f t="shared" si="66"/>
        <v>0</v>
      </c>
      <c r="W1474" s="106"/>
      <c r="X1474" s="64"/>
    </row>
    <row r="1475" spans="1:24" s="66" customFormat="1" ht="12" hidden="1" customHeight="1">
      <c r="A1475" s="81" t="s">
        <v>3325</v>
      </c>
      <c r="B1475" s="81"/>
      <c r="C1475" s="81"/>
      <c r="D1475" s="81"/>
      <c r="E1475" s="81"/>
      <c r="F1475" s="81"/>
      <c r="G1475" s="81"/>
      <c r="H1475" s="81"/>
      <c r="I1475" s="81" t="s">
        <v>2269</v>
      </c>
      <c r="J1475" s="81" t="s">
        <v>3322</v>
      </c>
      <c r="K1475" s="81" t="s">
        <v>2281</v>
      </c>
      <c r="L1475" s="81" t="s">
        <v>20</v>
      </c>
      <c r="M1475" s="68"/>
      <c r="N1475" s="82">
        <v>38800</v>
      </c>
      <c r="O1475" s="57">
        <f t="shared" si="67"/>
        <v>0</v>
      </c>
      <c r="P1475" s="58"/>
      <c r="Q1475" s="73"/>
      <c r="R1475" s="57"/>
      <c r="S1475" s="57"/>
      <c r="T1475" s="57"/>
      <c r="U1475" s="57"/>
      <c r="V1475" s="73">
        <f t="shared" si="66"/>
        <v>0</v>
      </c>
      <c r="W1475" s="106"/>
      <c r="X1475" s="64"/>
    </row>
    <row r="1476" spans="1:24" s="66" customFormat="1" ht="12" hidden="1" customHeight="1">
      <c r="A1476" s="81" t="s">
        <v>3326</v>
      </c>
      <c r="B1476" s="81"/>
      <c r="C1476" s="81"/>
      <c r="D1476" s="81"/>
      <c r="E1476" s="81"/>
      <c r="F1476" s="81"/>
      <c r="G1476" s="81"/>
      <c r="H1476" s="81"/>
      <c r="I1476" s="81" t="s">
        <v>2269</v>
      </c>
      <c r="J1476" s="81" t="s">
        <v>3322</v>
      </c>
      <c r="K1476" s="81" t="s">
        <v>2284</v>
      </c>
      <c r="L1476" s="81" t="s">
        <v>20</v>
      </c>
      <c r="M1476" s="68"/>
      <c r="N1476" s="82">
        <v>47120</v>
      </c>
      <c r="O1476" s="57">
        <f t="shared" si="67"/>
        <v>0</v>
      </c>
      <c r="P1476" s="58"/>
      <c r="Q1476" s="73"/>
      <c r="R1476" s="57"/>
      <c r="S1476" s="57"/>
      <c r="T1476" s="57"/>
      <c r="U1476" s="57"/>
      <c r="V1476" s="73">
        <f t="shared" si="66"/>
        <v>0</v>
      </c>
      <c r="W1476" s="106"/>
      <c r="X1476" s="64"/>
    </row>
    <row r="1477" spans="1:24" s="66" customFormat="1" ht="12" hidden="1" customHeight="1">
      <c r="A1477" s="81" t="s">
        <v>3327</v>
      </c>
      <c r="B1477" s="81"/>
      <c r="C1477" s="81"/>
      <c r="D1477" s="81"/>
      <c r="E1477" s="81"/>
      <c r="F1477" s="81"/>
      <c r="G1477" s="81"/>
      <c r="H1477" s="81"/>
      <c r="I1477" s="81" t="s">
        <v>2269</v>
      </c>
      <c r="J1477" s="81" t="s">
        <v>3322</v>
      </c>
      <c r="K1477" s="81" t="s">
        <v>2287</v>
      </c>
      <c r="L1477" s="81" t="s">
        <v>20</v>
      </c>
      <c r="M1477" s="68"/>
      <c r="N1477" s="82">
        <v>51600</v>
      </c>
      <c r="O1477" s="57">
        <f t="shared" si="67"/>
        <v>0</v>
      </c>
      <c r="P1477" s="58"/>
      <c r="Q1477" s="73"/>
      <c r="R1477" s="57"/>
      <c r="S1477" s="57"/>
      <c r="T1477" s="57"/>
      <c r="U1477" s="57"/>
      <c r="V1477" s="73">
        <f t="shared" si="66"/>
        <v>0</v>
      </c>
      <c r="W1477" s="106"/>
      <c r="X1477" s="64"/>
    </row>
    <row r="1478" spans="1:24" s="66" customFormat="1" ht="12" hidden="1" customHeight="1">
      <c r="A1478" s="81" t="s">
        <v>5115</v>
      </c>
      <c r="B1478" s="81"/>
      <c r="C1478" s="81"/>
      <c r="D1478" s="81"/>
      <c r="E1478" s="81"/>
      <c r="F1478" s="81"/>
      <c r="G1478" s="81"/>
      <c r="H1478" s="81"/>
      <c r="I1478" s="81" t="s">
        <v>2238</v>
      </c>
      <c r="J1478" s="81" t="s">
        <v>3328</v>
      </c>
      <c r="K1478" s="81" t="s">
        <v>5127</v>
      </c>
      <c r="L1478" s="81" t="s">
        <v>0</v>
      </c>
      <c r="M1478" s="68"/>
      <c r="N1478" s="82">
        <v>13310</v>
      </c>
      <c r="O1478" s="57">
        <f t="shared" si="67"/>
        <v>0</v>
      </c>
      <c r="P1478" s="58"/>
      <c r="Q1478" s="73"/>
      <c r="R1478" s="57"/>
      <c r="S1478" s="57"/>
      <c r="T1478" s="57"/>
      <c r="U1478" s="57"/>
      <c r="V1478" s="73"/>
      <c r="W1478" s="106"/>
      <c r="X1478" s="64"/>
    </row>
    <row r="1479" spans="1:24" s="66" customFormat="1" ht="12" hidden="1" customHeight="1">
      <c r="A1479" s="81" t="s">
        <v>5116</v>
      </c>
      <c r="B1479" s="81"/>
      <c r="C1479" s="81"/>
      <c r="D1479" s="81"/>
      <c r="E1479" s="81"/>
      <c r="F1479" s="81"/>
      <c r="G1479" s="81"/>
      <c r="H1479" s="81"/>
      <c r="I1479" s="81" t="s">
        <v>2238</v>
      </c>
      <c r="J1479" s="81" t="s">
        <v>3328</v>
      </c>
      <c r="K1479" s="81" t="s">
        <v>5128</v>
      </c>
      <c r="L1479" s="81" t="s">
        <v>0</v>
      </c>
      <c r="M1479" s="68"/>
      <c r="N1479" s="82">
        <v>13980</v>
      </c>
      <c r="O1479" s="57">
        <f t="shared" si="67"/>
        <v>0</v>
      </c>
      <c r="P1479" s="58"/>
      <c r="Q1479" s="73"/>
      <c r="R1479" s="57"/>
      <c r="S1479" s="57"/>
      <c r="T1479" s="57"/>
      <c r="U1479" s="57"/>
      <c r="V1479" s="73"/>
      <c r="W1479" s="106"/>
      <c r="X1479" s="64"/>
    </row>
    <row r="1480" spans="1:24" s="66" customFormat="1" ht="12" hidden="1" customHeight="1">
      <c r="A1480" s="81" t="s">
        <v>5117</v>
      </c>
      <c r="B1480" s="81"/>
      <c r="C1480" s="81"/>
      <c r="D1480" s="81"/>
      <c r="E1480" s="81"/>
      <c r="F1480" s="81"/>
      <c r="G1480" s="81"/>
      <c r="H1480" s="81"/>
      <c r="I1480" s="81" t="s">
        <v>2238</v>
      </c>
      <c r="J1480" s="81" t="s">
        <v>3328</v>
      </c>
      <c r="K1480" s="81" t="s">
        <v>5129</v>
      </c>
      <c r="L1480" s="81" t="s">
        <v>0</v>
      </c>
      <c r="M1480" s="68"/>
      <c r="N1480" s="82">
        <v>15320</v>
      </c>
      <c r="O1480" s="57">
        <f t="shared" si="67"/>
        <v>0</v>
      </c>
      <c r="P1480" s="58"/>
      <c r="Q1480" s="73"/>
      <c r="R1480" s="57"/>
      <c r="S1480" s="57"/>
      <c r="T1480" s="57"/>
      <c r="U1480" s="57"/>
      <c r="V1480" s="73"/>
      <c r="W1480" s="106"/>
      <c r="X1480" s="64"/>
    </row>
    <row r="1481" spans="1:24" s="66" customFormat="1" ht="12" hidden="1" customHeight="1">
      <c r="A1481" s="81" t="s">
        <v>5118</v>
      </c>
      <c r="B1481" s="81"/>
      <c r="C1481" s="81"/>
      <c r="D1481" s="81"/>
      <c r="E1481" s="81"/>
      <c r="F1481" s="81"/>
      <c r="G1481" s="81"/>
      <c r="H1481" s="81"/>
      <c r="I1481" s="81" t="s">
        <v>2238</v>
      </c>
      <c r="J1481" s="81" t="s">
        <v>3328</v>
      </c>
      <c r="K1481" s="81" t="s">
        <v>5130</v>
      </c>
      <c r="L1481" s="81" t="s">
        <v>0</v>
      </c>
      <c r="M1481" s="68"/>
      <c r="N1481" s="82">
        <v>16660</v>
      </c>
      <c r="O1481" s="57">
        <f t="shared" si="67"/>
        <v>0</v>
      </c>
      <c r="P1481" s="58"/>
      <c r="Q1481" s="73"/>
      <c r="R1481" s="57"/>
      <c r="S1481" s="57"/>
      <c r="T1481" s="57"/>
      <c r="U1481" s="57"/>
      <c r="V1481" s="73"/>
      <c r="W1481" s="106"/>
      <c r="X1481" s="64"/>
    </row>
    <row r="1482" spans="1:24" s="66" customFormat="1" ht="12" hidden="1" customHeight="1">
      <c r="A1482" s="81" t="s">
        <v>5119</v>
      </c>
      <c r="B1482" s="81"/>
      <c r="C1482" s="81"/>
      <c r="D1482" s="81"/>
      <c r="E1482" s="81"/>
      <c r="F1482" s="81"/>
      <c r="G1482" s="81"/>
      <c r="H1482" s="81"/>
      <c r="I1482" s="81" t="s">
        <v>2238</v>
      </c>
      <c r="J1482" s="81" t="s">
        <v>3328</v>
      </c>
      <c r="K1482" s="81" t="s">
        <v>5131</v>
      </c>
      <c r="L1482" s="81" t="s">
        <v>0</v>
      </c>
      <c r="M1482" s="68"/>
      <c r="N1482" s="82">
        <v>17320</v>
      </c>
      <c r="O1482" s="57">
        <f t="shared" si="67"/>
        <v>0</v>
      </c>
      <c r="P1482" s="58"/>
      <c r="Q1482" s="73"/>
      <c r="R1482" s="57"/>
      <c r="S1482" s="57"/>
      <c r="T1482" s="57"/>
      <c r="U1482" s="57"/>
      <c r="V1482" s="73"/>
      <c r="W1482" s="106"/>
      <c r="X1482" s="64"/>
    </row>
    <row r="1483" spans="1:24" s="66" customFormat="1" ht="12" hidden="1" customHeight="1">
      <c r="A1483" s="81" t="s">
        <v>5120</v>
      </c>
      <c r="B1483" s="81"/>
      <c r="C1483" s="81"/>
      <c r="D1483" s="81"/>
      <c r="E1483" s="81"/>
      <c r="F1483" s="81"/>
      <c r="G1483" s="81"/>
      <c r="H1483" s="81"/>
      <c r="I1483" s="81" t="s">
        <v>2238</v>
      </c>
      <c r="J1483" s="81" t="s">
        <v>3328</v>
      </c>
      <c r="K1483" s="81" t="s">
        <v>5132</v>
      </c>
      <c r="L1483" s="81" t="s">
        <v>0</v>
      </c>
      <c r="M1483" s="68"/>
      <c r="N1483" s="82">
        <v>18000</v>
      </c>
      <c r="O1483" s="57">
        <f t="shared" si="67"/>
        <v>0</v>
      </c>
      <c r="P1483" s="58"/>
      <c r="Q1483" s="73"/>
      <c r="R1483" s="57"/>
      <c r="S1483" s="57"/>
      <c r="T1483" s="57"/>
      <c r="U1483" s="57"/>
      <c r="V1483" s="73"/>
      <c r="W1483" s="106"/>
      <c r="X1483" s="64"/>
    </row>
    <row r="1484" spans="1:24" s="66" customFormat="1" ht="12" hidden="1" customHeight="1">
      <c r="A1484" s="81" t="s">
        <v>5121</v>
      </c>
      <c r="B1484" s="81"/>
      <c r="C1484" s="81"/>
      <c r="D1484" s="81"/>
      <c r="E1484" s="81"/>
      <c r="F1484" s="81"/>
      <c r="G1484" s="81"/>
      <c r="H1484" s="81"/>
      <c r="I1484" s="81" t="s">
        <v>2238</v>
      </c>
      <c r="J1484" s="81" t="s">
        <v>3328</v>
      </c>
      <c r="K1484" s="81" t="s">
        <v>5133</v>
      </c>
      <c r="L1484" s="81" t="s">
        <v>0</v>
      </c>
      <c r="M1484" s="68"/>
      <c r="N1484" s="82">
        <v>19330</v>
      </c>
      <c r="O1484" s="57">
        <f t="shared" si="67"/>
        <v>0</v>
      </c>
      <c r="P1484" s="58"/>
      <c r="Q1484" s="73"/>
      <c r="R1484" s="57"/>
      <c r="S1484" s="57"/>
      <c r="T1484" s="57"/>
      <c r="U1484" s="57"/>
      <c r="V1484" s="73"/>
      <c r="W1484" s="106"/>
      <c r="X1484" s="64"/>
    </row>
    <row r="1485" spans="1:24" s="66" customFormat="1" ht="12" hidden="1" customHeight="1">
      <c r="A1485" s="81" t="s">
        <v>5122</v>
      </c>
      <c r="B1485" s="81"/>
      <c r="C1485" s="81"/>
      <c r="D1485" s="81"/>
      <c r="E1485" s="81"/>
      <c r="F1485" s="81"/>
      <c r="G1485" s="81"/>
      <c r="H1485" s="81"/>
      <c r="I1485" s="81" t="s">
        <v>2238</v>
      </c>
      <c r="J1485" s="81" t="s">
        <v>3328</v>
      </c>
      <c r="K1485" s="81" t="s">
        <v>5134</v>
      </c>
      <c r="L1485" s="81" t="s">
        <v>0</v>
      </c>
      <c r="M1485" s="68"/>
      <c r="N1485" s="82">
        <v>20670</v>
      </c>
      <c r="O1485" s="57">
        <f t="shared" si="67"/>
        <v>0</v>
      </c>
      <c r="P1485" s="58"/>
      <c r="Q1485" s="73"/>
      <c r="R1485" s="57"/>
      <c r="S1485" s="57"/>
      <c r="T1485" s="57"/>
      <c r="U1485" s="57"/>
      <c r="V1485" s="73"/>
      <c r="W1485" s="106"/>
      <c r="X1485" s="64"/>
    </row>
    <row r="1486" spans="1:24" s="66" customFormat="1" ht="12" hidden="1" customHeight="1">
      <c r="A1486" s="81" t="s">
        <v>5123</v>
      </c>
      <c r="B1486" s="81"/>
      <c r="C1486" s="81"/>
      <c r="D1486" s="81"/>
      <c r="E1486" s="81"/>
      <c r="F1486" s="81"/>
      <c r="G1486" s="81"/>
      <c r="H1486" s="81"/>
      <c r="I1486" s="81" t="s">
        <v>2238</v>
      </c>
      <c r="J1486" s="81" t="s">
        <v>3328</v>
      </c>
      <c r="K1486" s="81" t="s">
        <v>5135</v>
      </c>
      <c r="L1486" s="81" t="s">
        <v>0</v>
      </c>
      <c r="M1486" s="68"/>
      <c r="N1486" s="82">
        <v>21340</v>
      </c>
      <c r="O1486" s="57">
        <f t="shared" si="67"/>
        <v>0</v>
      </c>
      <c r="P1486" s="58"/>
      <c r="Q1486" s="73"/>
      <c r="R1486" s="57"/>
      <c r="S1486" s="57"/>
      <c r="T1486" s="57"/>
      <c r="U1486" s="57"/>
      <c r="V1486" s="73"/>
      <c r="W1486" s="106"/>
      <c r="X1486" s="64"/>
    </row>
    <row r="1487" spans="1:24" s="66" customFormat="1" ht="12" hidden="1" customHeight="1">
      <c r="A1487" s="81" t="s">
        <v>5124</v>
      </c>
      <c r="B1487" s="81"/>
      <c r="C1487" s="81"/>
      <c r="D1487" s="81"/>
      <c r="E1487" s="81"/>
      <c r="F1487" s="81"/>
      <c r="G1487" s="81"/>
      <c r="H1487" s="81"/>
      <c r="I1487" s="81" t="s">
        <v>2238</v>
      </c>
      <c r="J1487" s="81" t="s">
        <v>3328</v>
      </c>
      <c r="K1487" s="81" t="s">
        <v>5136</v>
      </c>
      <c r="L1487" s="81" t="s">
        <v>0</v>
      </c>
      <c r="M1487" s="68"/>
      <c r="N1487" s="82">
        <v>22010</v>
      </c>
      <c r="O1487" s="57">
        <f t="shared" si="67"/>
        <v>0</v>
      </c>
      <c r="P1487" s="58"/>
      <c r="Q1487" s="73"/>
      <c r="R1487" s="57"/>
      <c r="S1487" s="57"/>
      <c r="T1487" s="57"/>
      <c r="U1487" s="57"/>
      <c r="V1487" s="73"/>
      <c r="W1487" s="106"/>
      <c r="X1487" s="64"/>
    </row>
    <row r="1488" spans="1:24" s="66" customFormat="1" ht="12" hidden="1" customHeight="1">
      <c r="A1488" s="81" t="s">
        <v>5125</v>
      </c>
      <c r="B1488" s="81"/>
      <c r="C1488" s="81"/>
      <c r="D1488" s="81"/>
      <c r="E1488" s="81"/>
      <c r="F1488" s="81"/>
      <c r="G1488" s="81"/>
      <c r="H1488" s="81"/>
      <c r="I1488" s="81" t="s">
        <v>2238</v>
      </c>
      <c r="J1488" s="81" t="s">
        <v>3328</v>
      </c>
      <c r="K1488" s="81" t="s">
        <v>5137</v>
      </c>
      <c r="L1488" s="81" t="s">
        <v>0</v>
      </c>
      <c r="M1488" s="68"/>
      <c r="N1488" s="82">
        <v>23350</v>
      </c>
      <c r="O1488" s="57">
        <f t="shared" si="67"/>
        <v>0</v>
      </c>
      <c r="P1488" s="58"/>
      <c r="Q1488" s="73"/>
      <c r="R1488" s="57"/>
      <c r="S1488" s="57"/>
      <c r="T1488" s="57"/>
      <c r="U1488" s="57"/>
      <c r="V1488" s="73"/>
      <c r="W1488" s="106"/>
      <c r="X1488" s="64"/>
    </row>
    <row r="1489" spans="1:24" s="66" customFormat="1" ht="12" hidden="1" customHeight="1">
      <c r="A1489" s="81" t="s">
        <v>5126</v>
      </c>
      <c r="B1489" s="81"/>
      <c r="C1489" s="81"/>
      <c r="D1489" s="81"/>
      <c r="E1489" s="81"/>
      <c r="F1489" s="81"/>
      <c r="G1489" s="81"/>
      <c r="H1489" s="81"/>
      <c r="I1489" s="81" t="s">
        <v>2238</v>
      </c>
      <c r="J1489" s="81" t="s">
        <v>3328</v>
      </c>
      <c r="K1489" s="81" t="s">
        <v>5138</v>
      </c>
      <c r="L1489" s="81" t="s">
        <v>0</v>
      </c>
      <c r="M1489" s="68"/>
      <c r="N1489" s="82">
        <v>24690</v>
      </c>
      <c r="O1489" s="57">
        <f t="shared" si="67"/>
        <v>0</v>
      </c>
      <c r="P1489" s="58"/>
      <c r="Q1489" s="73"/>
      <c r="R1489" s="57"/>
      <c r="S1489" s="57"/>
      <c r="T1489" s="57"/>
      <c r="U1489" s="57"/>
      <c r="V1489" s="73"/>
      <c r="W1489" s="106"/>
      <c r="X1489" s="64"/>
    </row>
    <row r="1490" spans="1:24" s="66" customFormat="1" ht="12" hidden="1" customHeight="1">
      <c r="A1490" s="81" t="s">
        <v>5095</v>
      </c>
      <c r="B1490" s="81"/>
      <c r="C1490" s="81"/>
      <c r="D1490" s="81"/>
      <c r="E1490" s="81"/>
      <c r="F1490" s="81"/>
      <c r="G1490" s="81"/>
      <c r="H1490" s="81"/>
      <c r="I1490" s="81" t="s">
        <v>5104</v>
      </c>
      <c r="J1490" s="81" t="s">
        <v>5105</v>
      </c>
      <c r="K1490" s="81" t="s">
        <v>5106</v>
      </c>
      <c r="L1490" s="81" t="s">
        <v>0</v>
      </c>
      <c r="M1490" s="68"/>
      <c r="N1490" s="82">
        <v>8360</v>
      </c>
      <c r="O1490" s="57">
        <f t="shared" si="67"/>
        <v>0</v>
      </c>
      <c r="P1490" s="58"/>
      <c r="Q1490" s="73"/>
      <c r="R1490" s="57"/>
      <c r="S1490" s="57"/>
      <c r="T1490" s="57"/>
      <c r="U1490" s="57"/>
      <c r="V1490" s="73">
        <f t="shared" si="66"/>
        <v>0</v>
      </c>
      <c r="W1490" s="106"/>
      <c r="X1490" s="64"/>
    </row>
    <row r="1491" spans="1:24" s="66" customFormat="1" ht="12" hidden="1" customHeight="1">
      <c r="A1491" s="81" t="s">
        <v>5096</v>
      </c>
      <c r="B1491" s="81"/>
      <c r="C1491" s="81"/>
      <c r="D1491" s="81"/>
      <c r="E1491" s="81"/>
      <c r="F1491" s="81"/>
      <c r="G1491" s="81"/>
      <c r="H1491" s="81"/>
      <c r="I1491" s="81" t="s">
        <v>5104</v>
      </c>
      <c r="J1491" s="81" t="s">
        <v>5105</v>
      </c>
      <c r="K1491" s="81" t="s">
        <v>5107</v>
      </c>
      <c r="L1491" s="81" t="s">
        <v>0</v>
      </c>
      <c r="M1491" s="68"/>
      <c r="N1491" s="82">
        <v>10560</v>
      </c>
      <c r="O1491" s="57">
        <f t="shared" si="67"/>
        <v>0</v>
      </c>
      <c r="P1491" s="58"/>
      <c r="Q1491" s="73"/>
      <c r="R1491" s="57"/>
      <c r="S1491" s="57"/>
      <c r="T1491" s="57"/>
      <c r="U1491" s="57"/>
      <c r="V1491" s="73">
        <f t="shared" si="66"/>
        <v>0</v>
      </c>
      <c r="W1491" s="106"/>
      <c r="X1491" s="64"/>
    </row>
    <row r="1492" spans="1:24" s="66" customFormat="1" ht="12" hidden="1" customHeight="1">
      <c r="A1492" s="81" t="s">
        <v>5097</v>
      </c>
      <c r="B1492" s="81"/>
      <c r="C1492" s="81"/>
      <c r="D1492" s="81"/>
      <c r="E1492" s="81"/>
      <c r="F1492" s="81"/>
      <c r="G1492" s="81"/>
      <c r="H1492" s="81"/>
      <c r="I1492" s="81" t="s">
        <v>5104</v>
      </c>
      <c r="J1492" s="81" t="s">
        <v>5105</v>
      </c>
      <c r="K1492" s="81" t="s">
        <v>5108</v>
      </c>
      <c r="L1492" s="81" t="s">
        <v>0</v>
      </c>
      <c r="M1492" s="68"/>
      <c r="N1492" s="82">
        <v>14900</v>
      </c>
      <c r="O1492" s="57">
        <f t="shared" si="67"/>
        <v>0</v>
      </c>
      <c r="P1492" s="58"/>
      <c r="Q1492" s="73"/>
      <c r="R1492" s="57"/>
      <c r="S1492" s="57"/>
      <c r="T1492" s="57"/>
      <c r="U1492" s="57"/>
      <c r="V1492" s="73">
        <f t="shared" si="66"/>
        <v>0</v>
      </c>
      <c r="W1492" s="106"/>
      <c r="X1492" s="64"/>
    </row>
    <row r="1493" spans="1:24" s="66" customFormat="1" ht="12" hidden="1" customHeight="1">
      <c r="A1493" s="81" t="s">
        <v>5098</v>
      </c>
      <c r="B1493" s="81"/>
      <c r="C1493" s="81"/>
      <c r="D1493" s="81"/>
      <c r="E1493" s="81"/>
      <c r="F1493" s="81"/>
      <c r="G1493" s="81"/>
      <c r="H1493" s="81"/>
      <c r="I1493" s="81" t="s">
        <v>5104</v>
      </c>
      <c r="J1493" s="81" t="s">
        <v>5105</v>
      </c>
      <c r="K1493" s="81" t="s">
        <v>5109</v>
      </c>
      <c r="L1493" s="81" t="s">
        <v>0</v>
      </c>
      <c r="M1493" s="68"/>
      <c r="N1493" s="82">
        <v>19300</v>
      </c>
      <c r="O1493" s="57">
        <f t="shared" si="67"/>
        <v>0</v>
      </c>
      <c r="P1493" s="58"/>
      <c r="Q1493" s="73"/>
      <c r="R1493" s="57"/>
      <c r="S1493" s="57"/>
      <c r="T1493" s="57"/>
      <c r="U1493" s="57"/>
      <c r="V1493" s="73">
        <f t="shared" si="66"/>
        <v>0</v>
      </c>
      <c r="W1493" s="106"/>
      <c r="X1493" s="64"/>
    </row>
    <row r="1494" spans="1:24" s="66" customFormat="1" ht="12" hidden="1" customHeight="1">
      <c r="A1494" s="81" t="s">
        <v>5099</v>
      </c>
      <c r="B1494" s="81"/>
      <c r="C1494" s="81"/>
      <c r="D1494" s="81"/>
      <c r="E1494" s="81"/>
      <c r="F1494" s="81"/>
      <c r="G1494" s="81"/>
      <c r="H1494" s="81"/>
      <c r="I1494" s="81" t="s">
        <v>5104</v>
      </c>
      <c r="J1494" s="81" t="s">
        <v>5105</v>
      </c>
      <c r="K1494" s="81" t="s">
        <v>5110</v>
      </c>
      <c r="L1494" s="81" t="s">
        <v>0</v>
      </c>
      <c r="M1494" s="68"/>
      <c r="N1494" s="82">
        <v>23700</v>
      </c>
      <c r="O1494" s="57">
        <f t="shared" si="67"/>
        <v>0</v>
      </c>
      <c r="P1494" s="58"/>
      <c r="Q1494" s="73"/>
      <c r="R1494" s="57"/>
      <c r="S1494" s="57"/>
      <c r="T1494" s="57"/>
      <c r="U1494" s="57"/>
      <c r="V1494" s="73">
        <f t="shared" si="66"/>
        <v>0</v>
      </c>
      <c r="W1494" s="106"/>
      <c r="X1494" s="64"/>
    </row>
    <row r="1495" spans="1:24" s="66" customFormat="1" ht="12" hidden="1" customHeight="1">
      <c r="A1495" s="81" t="s">
        <v>5100</v>
      </c>
      <c r="B1495" s="81"/>
      <c r="C1495" s="81"/>
      <c r="D1495" s="81"/>
      <c r="E1495" s="81"/>
      <c r="F1495" s="81"/>
      <c r="G1495" s="81"/>
      <c r="H1495" s="81"/>
      <c r="I1495" s="81" t="s">
        <v>5104</v>
      </c>
      <c r="J1495" s="81" t="s">
        <v>5105</v>
      </c>
      <c r="K1495" s="81" t="s">
        <v>5111</v>
      </c>
      <c r="L1495" s="81" t="s">
        <v>0</v>
      </c>
      <c r="M1495" s="68"/>
      <c r="N1495" s="82">
        <v>28090</v>
      </c>
      <c r="O1495" s="57">
        <f t="shared" si="67"/>
        <v>0</v>
      </c>
      <c r="P1495" s="58"/>
      <c r="Q1495" s="73"/>
      <c r="R1495" s="57"/>
      <c r="S1495" s="57"/>
      <c r="T1495" s="57"/>
      <c r="U1495" s="57"/>
      <c r="V1495" s="73">
        <f t="shared" si="66"/>
        <v>0</v>
      </c>
      <c r="W1495" s="106"/>
      <c r="X1495" s="64"/>
    </row>
    <row r="1496" spans="1:24" s="66" customFormat="1" ht="12" hidden="1" customHeight="1">
      <c r="A1496" s="81" t="s">
        <v>5101</v>
      </c>
      <c r="B1496" s="81"/>
      <c r="C1496" s="81"/>
      <c r="D1496" s="81"/>
      <c r="E1496" s="81"/>
      <c r="F1496" s="81"/>
      <c r="G1496" s="81"/>
      <c r="H1496" s="81"/>
      <c r="I1496" s="81" t="s">
        <v>5104</v>
      </c>
      <c r="J1496" s="81" t="s">
        <v>5105</v>
      </c>
      <c r="K1496" s="81" t="s">
        <v>5112</v>
      </c>
      <c r="L1496" s="81" t="s">
        <v>0</v>
      </c>
      <c r="M1496" s="68"/>
      <c r="N1496" s="82">
        <v>32490</v>
      </c>
      <c r="O1496" s="57">
        <f t="shared" si="67"/>
        <v>0</v>
      </c>
      <c r="P1496" s="58"/>
      <c r="Q1496" s="73"/>
      <c r="R1496" s="57"/>
      <c r="S1496" s="57"/>
      <c r="T1496" s="57"/>
      <c r="U1496" s="57"/>
      <c r="V1496" s="73">
        <f t="shared" si="66"/>
        <v>0</v>
      </c>
      <c r="W1496" s="106"/>
      <c r="X1496" s="64"/>
    </row>
    <row r="1497" spans="1:24" s="66" customFormat="1" ht="12" hidden="1" customHeight="1">
      <c r="A1497" s="81" t="s">
        <v>5102</v>
      </c>
      <c r="B1497" s="81"/>
      <c r="C1497" s="81"/>
      <c r="D1497" s="81"/>
      <c r="E1497" s="81"/>
      <c r="F1497" s="81"/>
      <c r="G1497" s="81"/>
      <c r="H1497" s="81"/>
      <c r="I1497" s="81" t="s">
        <v>5104</v>
      </c>
      <c r="J1497" s="81" t="s">
        <v>5105</v>
      </c>
      <c r="K1497" s="81" t="s">
        <v>5113</v>
      </c>
      <c r="L1497" s="81" t="s">
        <v>0</v>
      </c>
      <c r="M1497" s="68"/>
      <c r="N1497" s="82">
        <v>36890</v>
      </c>
      <c r="O1497" s="57">
        <f t="shared" si="67"/>
        <v>0</v>
      </c>
      <c r="P1497" s="58"/>
      <c r="Q1497" s="73"/>
      <c r="R1497" s="57"/>
      <c r="S1497" s="57"/>
      <c r="T1497" s="57"/>
      <c r="U1497" s="57"/>
      <c r="V1497" s="73">
        <f t="shared" si="66"/>
        <v>0</v>
      </c>
      <c r="W1497" s="106"/>
      <c r="X1497" s="64"/>
    </row>
    <row r="1498" spans="1:24" s="66" customFormat="1" ht="12" hidden="1" customHeight="1">
      <c r="A1498" s="81" t="s">
        <v>5103</v>
      </c>
      <c r="B1498" s="81"/>
      <c r="C1498" s="81"/>
      <c r="D1498" s="81"/>
      <c r="E1498" s="81"/>
      <c r="F1498" s="81"/>
      <c r="G1498" s="81"/>
      <c r="H1498" s="81"/>
      <c r="I1498" s="81" t="s">
        <v>5104</v>
      </c>
      <c r="J1498" s="81" t="s">
        <v>5105</v>
      </c>
      <c r="K1498" s="81" t="s">
        <v>5114</v>
      </c>
      <c r="L1498" s="81" t="s">
        <v>0</v>
      </c>
      <c r="M1498" s="68"/>
      <c r="N1498" s="82">
        <v>41280</v>
      </c>
      <c r="O1498" s="57">
        <f t="shared" si="67"/>
        <v>0</v>
      </c>
      <c r="P1498" s="58"/>
      <c r="Q1498" s="73"/>
      <c r="R1498" s="57"/>
      <c r="S1498" s="57"/>
      <c r="T1498" s="57"/>
      <c r="U1498" s="57"/>
      <c r="V1498" s="73">
        <f t="shared" si="66"/>
        <v>0</v>
      </c>
      <c r="W1498" s="106"/>
      <c r="X1498" s="64"/>
    </row>
    <row r="1499" spans="1:24" s="66" customFormat="1" ht="12" hidden="1" customHeight="1">
      <c r="A1499" s="81" t="s">
        <v>3329</v>
      </c>
      <c r="B1499" s="81"/>
      <c r="C1499" s="81"/>
      <c r="D1499" s="81"/>
      <c r="E1499" s="81"/>
      <c r="F1499" s="81"/>
      <c r="G1499" s="81"/>
      <c r="H1499" s="81"/>
      <c r="I1499" s="81" t="s">
        <v>2238</v>
      </c>
      <c r="J1499" s="81" t="s">
        <v>3328</v>
      </c>
      <c r="K1499" s="81" t="s">
        <v>3330</v>
      </c>
      <c r="L1499" s="67" t="s">
        <v>20</v>
      </c>
      <c r="M1499" s="68"/>
      <c r="N1499" s="82">
        <v>43890</v>
      </c>
      <c r="O1499" s="57">
        <f t="shared" si="67"/>
        <v>0</v>
      </c>
      <c r="P1499" s="58"/>
      <c r="Q1499" s="73"/>
      <c r="R1499" s="57"/>
      <c r="S1499" s="57"/>
      <c r="T1499" s="57"/>
      <c r="U1499" s="57"/>
      <c r="V1499" s="73">
        <f t="shared" si="66"/>
        <v>0</v>
      </c>
      <c r="W1499" s="106"/>
      <c r="X1499" s="64"/>
    </row>
    <row r="1500" spans="1:24" s="66" customFormat="1" ht="12" hidden="1" customHeight="1">
      <c r="A1500" s="81" t="s">
        <v>3331</v>
      </c>
      <c r="B1500" s="81"/>
      <c r="C1500" s="81"/>
      <c r="D1500" s="81"/>
      <c r="E1500" s="81"/>
      <c r="F1500" s="81"/>
      <c r="G1500" s="81"/>
      <c r="H1500" s="81"/>
      <c r="I1500" s="81" t="s">
        <v>2238</v>
      </c>
      <c r="J1500" s="81" t="s">
        <v>3328</v>
      </c>
      <c r="K1500" s="81" t="s">
        <v>3332</v>
      </c>
      <c r="L1500" s="67" t="s">
        <v>20</v>
      </c>
      <c r="M1500" s="68"/>
      <c r="N1500" s="82">
        <v>53870</v>
      </c>
      <c r="O1500" s="57">
        <f t="shared" si="67"/>
        <v>0</v>
      </c>
      <c r="P1500" s="58"/>
      <c r="Q1500" s="73"/>
      <c r="R1500" s="57"/>
      <c r="S1500" s="57"/>
      <c r="T1500" s="57"/>
      <c r="U1500" s="57"/>
      <c r="V1500" s="73">
        <f t="shared" si="66"/>
        <v>0</v>
      </c>
      <c r="W1500" s="106"/>
      <c r="X1500" s="64"/>
    </row>
    <row r="1501" spans="1:24" s="66" customFormat="1" ht="12" hidden="1" customHeight="1">
      <c r="A1501" s="81" t="s">
        <v>3333</v>
      </c>
      <c r="B1501" s="81"/>
      <c r="C1501" s="81"/>
      <c r="D1501" s="81"/>
      <c r="E1501" s="81"/>
      <c r="F1501" s="81"/>
      <c r="G1501" s="81"/>
      <c r="H1501" s="81"/>
      <c r="I1501" s="81" t="s">
        <v>2238</v>
      </c>
      <c r="J1501" s="81" t="s">
        <v>3328</v>
      </c>
      <c r="K1501" s="81" t="s">
        <v>3334</v>
      </c>
      <c r="L1501" s="67" t="s">
        <v>20</v>
      </c>
      <c r="M1501" s="68"/>
      <c r="N1501" s="82">
        <v>54980</v>
      </c>
      <c r="O1501" s="57">
        <f t="shared" si="67"/>
        <v>0</v>
      </c>
      <c r="P1501" s="58"/>
      <c r="Q1501" s="73"/>
      <c r="R1501" s="57"/>
      <c r="S1501" s="57"/>
      <c r="T1501" s="57"/>
      <c r="U1501" s="57"/>
      <c r="V1501" s="73">
        <f t="shared" si="66"/>
        <v>0</v>
      </c>
      <c r="W1501" s="106"/>
      <c r="X1501" s="64"/>
    </row>
    <row r="1502" spans="1:24" s="66" customFormat="1" ht="12" hidden="1" customHeight="1">
      <c r="A1502" s="81" t="s">
        <v>2241</v>
      </c>
      <c r="B1502" s="81"/>
      <c r="C1502" s="81"/>
      <c r="D1502" s="81"/>
      <c r="E1502" s="81"/>
      <c r="F1502" s="81"/>
      <c r="G1502" s="81"/>
      <c r="H1502" s="81"/>
      <c r="I1502" s="81" t="s">
        <v>2223</v>
      </c>
      <c r="J1502" s="81" t="s">
        <v>2224</v>
      </c>
      <c r="K1502" s="81" t="s">
        <v>2246</v>
      </c>
      <c r="L1502" s="81" t="s">
        <v>20</v>
      </c>
      <c r="M1502" s="68"/>
      <c r="N1502" s="82">
        <v>3490</v>
      </c>
      <c r="O1502" s="57">
        <f t="shared" si="67"/>
        <v>0</v>
      </c>
      <c r="P1502" s="58"/>
      <c r="Q1502" s="73"/>
      <c r="R1502" s="57"/>
      <c r="S1502" s="57"/>
      <c r="T1502" s="57"/>
      <c r="U1502" s="57"/>
      <c r="V1502" s="73">
        <f t="shared" si="66"/>
        <v>0</v>
      </c>
      <c r="W1502" s="106"/>
      <c r="X1502" s="64"/>
    </row>
    <row r="1503" spans="1:24" s="66" customFormat="1" ht="12" hidden="1" customHeight="1">
      <c r="A1503" s="81" t="s">
        <v>2242</v>
      </c>
      <c r="B1503" s="81"/>
      <c r="C1503" s="81"/>
      <c r="D1503" s="81"/>
      <c r="E1503" s="81"/>
      <c r="F1503" s="81"/>
      <c r="G1503" s="81"/>
      <c r="H1503" s="81"/>
      <c r="I1503" s="81" t="s">
        <v>2223</v>
      </c>
      <c r="J1503" s="81" t="s">
        <v>2224</v>
      </c>
      <c r="K1503" s="81" t="s">
        <v>2247</v>
      </c>
      <c r="L1503" s="81" t="s">
        <v>20</v>
      </c>
      <c r="M1503" s="68"/>
      <c r="N1503" s="82">
        <v>3970</v>
      </c>
      <c r="O1503" s="57">
        <f t="shared" si="67"/>
        <v>0</v>
      </c>
      <c r="P1503" s="58"/>
      <c r="Q1503" s="73"/>
      <c r="R1503" s="57"/>
      <c r="S1503" s="57"/>
      <c r="T1503" s="57"/>
      <c r="U1503" s="57"/>
      <c r="V1503" s="73">
        <f t="shared" si="66"/>
        <v>0</v>
      </c>
      <c r="W1503" s="106"/>
      <c r="X1503" s="64"/>
    </row>
    <row r="1504" spans="1:24" s="66" customFormat="1" ht="12" hidden="1" customHeight="1">
      <c r="A1504" s="81" t="s">
        <v>2243</v>
      </c>
      <c r="B1504" s="81"/>
      <c r="C1504" s="81"/>
      <c r="D1504" s="81"/>
      <c r="E1504" s="81"/>
      <c r="F1504" s="81"/>
      <c r="G1504" s="81"/>
      <c r="H1504" s="81"/>
      <c r="I1504" s="81" t="s">
        <v>2223</v>
      </c>
      <c r="J1504" s="81" t="s">
        <v>2224</v>
      </c>
      <c r="K1504" s="81" t="s">
        <v>2248</v>
      </c>
      <c r="L1504" s="81" t="s">
        <v>20</v>
      </c>
      <c r="M1504" s="68"/>
      <c r="N1504" s="82">
        <v>5590</v>
      </c>
      <c r="O1504" s="57">
        <f t="shared" si="67"/>
        <v>0</v>
      </c>
      <c r="P1504" s="58"/>
      <c r="Q1504" s="73"/>
      <c r="R1504" s="57"/>
      <c r="S1504" s="57"/>
      <c r="T1504" s="57"/>
      <c r="U1504" s="57"/>
      <c r="V1504" s="73">
        <f t="shared" si="66"/>
        <v>0</v>
      </c>
      <c r="W1504" s="106"/>
      <c r="X1504" s="64"/>
    </row>
    <row r="1505" spans="1:24" s="66" customFormat="1" ht="12" hidden="1" customHeight="1">
      <c r="A1505" s="81" t="s">
        <v>2249</v>
      </c>
      <c r="B1505" s="81"/>
      <c r="C1505" s="81"/>
      <c r="D1505" s="81"/>
      <c r="E1505" s="81"/>
      <c r="F1505" s="81"/>
      <c r="G1505" s="81"/>
      <c r="H1505" s="81"/>
      <c r="I1505" s="81" t="s">
        <v>2223</v>
      </c>
      <c r="J1505" s="81" t="s">
        <v>2224</v>
      </c>
      <c r="K1505" s="81" t="s">
        <v>2250</v>
      </c>
      <c r="L1505" s="81" t="s">
        <v>20</v>
      </c>
      <c r="M1505" s="68"/>
      <c r="N1505" s="82">
        <v>6250</v>
      </c>
      <c r="O1505" s="57">
        <f t="shared" si="67"/>
        <v>0</v>
      </c>
      <c r="P1505" s="58"/>
      <c r="Q1505" s="73"/>
      <c r="R1505" s="57"/>
      <c r="S1505" s="57"/>
      <c r="T1505" s="57"/>
      <c r="U1505" s="57"/>
      <c r="V1505" s="73">
        <f t="shared" si="66"/>
        <v>0</v>
      </c>
      <c r="W1505" s="106"/>
      <c r="X1505" s="64"/>
    </row>
    <row r="1506" spans="1:24" s="66" customFormat="1" ht="12" hidden="1" customHeight="1">
      <c r="A1506" s="81" t="s">
        <v>2251</v>
      </c>
      <c r="B1506" s="81"/>
      <c r="C1506" s="81"/>
      <c r="D1506" s="81"/>
      <c r="E1506" s="81"/>
      <c r="F1506" s="81"/>
      <c r="G1506" s="81"/>
      <c r="H1506" s="81"/>
      <c r="I1506" s="81" t="s">
        <v>2223</v>
      </c>
      <c r="J1506" s="81" t="s">
        <v>2224</v>
      </c>
      <c r="K1506" s="81" t="s">
        <v>5139</v>
      </c>
      <c r="L1506" s="81" t="s">
        <v>20</v>
      </c>
      <c r="M1506" s="68"/>
      <c r="N1506" s="82">
        <v>7110</v>
      </c>
      <c r="O1506" s="57">
        <f t="shared" si="67"/>
        <v>0</v>
      </c>
      <c r="P1506" s="58"/>
      <c r="Q1506" s="73"/>
      <c r="R1506" s="57"/>
      <c r="S1506" s="57"/>
      <c r="T1506" s="57"/>
      <c r="U1506" s="57"/>
      <c r="V1506" s="73">
        <f t="shared" si="66"/>
        <v>0</v>
      </c>
      <c r="W1506" s="106"/>
      <c r="X1506" s="64"/>
    </row>
    <row r="1507" spans="1:24" s="66" customFormat="1" ht="12" hidden="1" customHeight="1">
      <c r="A1507" s="81" t="s">
        <v>2252</v>
      </c>
      <c r="B1507" s="81"/>
      <c r="C1507" s="81"/>
      <c r="D1507" s="81"/>
      <c r="E1507" s="81"/>
      <c r="F1507" s="81"/>
      <c r="G1507" s="81"/>
      <c r="H1507" s="81"/>
      <c r="I1507" s="81" t="s">
        <v>2223</v>
      </c>
      <c r="J1507" s="81" t="s">
        <v>2224</v>
      </c>
      <c r="K1507" s="81" t="s">
        <v>2253</v>
      </c>
      <c r="L1507" s="81" t="s">
        <v>20</v>
      </c>
      <c r="M1507" s="68"/>
      <c r="N1507" s="82">
        <v>8130</v>
      </c>
      <c r="O1507" s="57">
        <f t="shared" si="67"/>
        <v>0</v>
      </c>
      <c r="P1507" s="58"/>
      <c r="Q1507" s="73"/>
      <c r="R1507" s="57"/>
      <c r="S1507" s="57"/>
      <c r="T1507" s="57"/>
      <c r="U1507" s="57"/>
      <c r="V1507" s="73">
        <f t="shared" si="66"/>
        <v>0</v>
      </c>
      <c r="W1507" s="106"/>
      <c r="X1507" s="64"/>
    </row>
    <row r="1508" spans="1:24" s="66" customFormat="1" ht="12" hidden="1" customHeight="1">
      <c r="A1508" s="81" t="s">
        <v>2254</v>
      </c>
      <c r="B1508" s="81"/>
      <c r="C1508" s="81"/>
      <c r="D1508" s="81"/>
      <c r="E1508" s="81"/>
      <c r="F1508" s="81"/>
      <c r="G1508" s="81"/>
      <c r="H1508" s="81"/>
      <c r="I1508" s="81" t="s">
        <v>2223</v>
      </c>
      <c r="J1508" s="81" t="s">
        <v>2224</v>
      </c>
      <c r="K1508" s="81" t="s">
        <v>2257</v>
      </c>
      <c r="L1508" s="81" t="s">
        <v>20</v>
      </c>
      <c r="M1508" s="68"/>
      <c r="N1508" s="82">
        <v>8770</v>
      </c>
      <c r="O1508" s="57">
        <f t="shared" si="67"/>
        <v>0</v>
      </c>
      <c r="P1508" s="58"/>
      <c r="Q1508" s="73"/>
      <c r="R1508" s="57"/>
      <c r="S1508" s="57"/>
      <c r="T1508" s="57"/>
      <c r="U1508" s="57"/>
      <c r="V1508" s="73">
        <f t="shared" si="66"/>
        <v>0</v>
      </c>
      <c r="W1508" s="106"/>
      <c r="X1508" s="64"/>
    </row>
    <row r="1509" spans="1:24" s="66" customFormat="1" ht="12" hidden="1" customHeight="1">
      <c r="A1509" s="81" t="s">
        <v>2255</v>
      </c>
      <c r="B1509" s="81"/>
      <c r="C1509" s="81"/>
      <c r="D1509" s="81"/>
      <c r="E1509" s="81"/>
      <c r="F1509" s="81"/>
      <c r="G1509" s="81"/>
      <c r="H1509" s="81"/>
      <c r="I1509" s="81" t="s">
        <v>2223</v>
      </c>
      <c r="J1509" s="81" t="s">
        <v>2224</v>
      </c>
      <c r="K1509" s="81" t="s">
        <v>2258</v>
      </c>
      <c r="L1509" s="81" t="s">
        <v>20</v>
      </c>
      <c r="M1509" s="68"/>
      <c r="N1509" s="82">
        <v>9680</v>
      </c>
      <c r="O1509" s="57">
        <f t="shared" si="67"/>
        <v>0</v>
      </c>
      <c r="P1509" s="58"/>
      <c r="Q1509" s="73"/>
      <c r="R1509" s="57"/>
      <c r="S1509" s="57"/>
      <c r="T1509" s="57"/>
      <c r="U1509" s="57"/>
      <c r="V1509" s="73">
        <f t="shared" si="66"/>
        <v>0</v>
      </c>
      <c r="W1509" s="106"/>
      <c r="X1509" s="64"/>
    </row>
    <row r="1510" spans="1:24" s="66" customFormat="1" ht="12" hidden="1" customHeight="1">
      <c r="A1510" s="81" t="s">
        <v>2256</v>
      </c>
      <c r="B1510" s="81"/>
      <c r="C1510" s="81"/>
      <c r="D1510" s="81"/>
      <c r="E1510" s="81"/>
      <c r="F1510" s="81"/>
      <c r="G1510" s="81"/>
      <c r="H1510" s="81"/>
      <c r="I1510" s="81" t="s">
        <v>2223</v>
      </c>
      <c r="J1510" s="81" t="s">
        <v>2224</v>
      </c>
      <c r="K1510" s="81" t="s">
        <v>2259</v>
      </c>
      <c r="L1510" s="81" t="s">
        <v>20</v>
      </c>
      <c r="M1510" s="68"/>
      <c r="N1510" s="82">
        <v>10460</v>
      </c>
      <c r="O1510" s="57">
        <f t="shared" si="67"/>
        <v>0</v>
      </c>
      <c r="P1510" s="58"/>
      <c r="Q1510" s="73"/>
      <c r="R1510" s="57"/>
      <c r="S1510" s="57"/>
      <c r="T1510" s="57"/>
      <c r="U1510" s="57"/>
      <c r="V1510" s="73">
        <f t="shared" si="66"/>
        <v>0</v>
      </c>
      <c r="W1510" s="106"/>
      <c r="X1510" s="64"/>
    </row>
    <row r="1511" spans="1:24" s="66" customFormat="1" ht="12" hidden="1" customHeight="1">
      <c r="A1511" s="81" t="s">
        <v>2239</v>
      </c>
      <c r="B1511" s="81"/>
      <c r="C1511" s="81"/>
      <c r="D1511" s="81"/>
      <c r="E1511" s="81"/>
      <c r="F1511" s="81"/>
      <c r="G1511" s="81"/>
      <c r="H1511" s="81"/>
      <c r="I1511" s="81" t="s">
        <v>2223</v>
      </c>
      <c r="J1511" s="81" t="s">
        <v>2224</v>
      </c>
      <c r="K1511" s="81" t="s">
        <v>2244</v>
      </c>
      <c r="L1511" s="81" t="s">
        <v>20</v>
      </c>
      <c r="M1511" s="68"/>
      <c r="N1511" s="82">
        <v>11550</v>
      </c>
      <c r="O1511" s="57">
        <f t="shared" si="67"/>
        <v>0</v>
      </c>
      <c r="P1511" s="58"/>
      <c r="Q1511" s="73"/>
      <c r="R1511" s="57"/>
      <c r="S1511" s="57"/>
      <c r="T1511" s="57"/>
      <c r="U1511" s="57"/>
      <c r="V1511" s="73">
        <f t="shared" si="66"/>
        <v>0</v>
      </c>
      <c r="W1511" s="106"/>
      <c r="X1511" s="64"/>
    </row>
    <row r="1512" spans="1:24" s="66" customFormat="1" ht="12" hidden="1" customHeight="1">
      <c r="A1512" s="81" t="s">
        <v>2240</v>
      </c>
      <c r="B1512" s="81"/>
      <c r="C1512" s="81"/>
      <c r="D1512" s="81"/>
      <c r="E1512" s="81"/>
      <c r="F1512" s="81"/>
      <c r="G1512" s="81"/>
      <c r="H1512" s="81"/>
      <c r="I1512" s="81" t="s">
        <v>2223</v>
      </c>
      <c r="J1512" s="81" t="s">
        <v>2224</v>
      </c>
      <c r="K1512" s="81" t="s">
        <v>2245</v>
      </c>
      <c r="L1512" s="81" t="s">
        <v>20</v>
      </c>
      <c r="M1512" s="68"/>
      <c r="N1512" s="82">
        <v>13470</v>
      </c>
      <c r="O1512" s="57">
        <f t="shared" si="67"/>
        <v>0</v>
      </c>
      <c r="P1512" s="58"/>
      <c r="Q1512" s="73"/>
      <c r="R1512" s="57"/>
      <c r="S1512" s="57"/>
      <c r="T1512" s="57"/>
      <c r="U1512" s="57"/>
      <c r="V1512" s="73">
        <f t="shared" si="66"/>
        <v>0</v>
      </c>
      <c r="W1512" s="106"/>
      <c r="X1512" s="64"/>
    </row>
    <row r="1513" spans="1:24" s="66" customFormat="1" ht="12" hidden="1" customHeight="1">
      <c r="A1513" s="81" t="s">
        <v>3335</v>
      </c>
      <c r="B1513" s="81"/>
      <c r="C1513" s="81"/>
      <c r="D1513" s="81"/>
      <c r="E1513" s="81"/>
      <c r="F1513" s="81"/>
      <c r="G1513" s="81"/>
      <c r="H1513" s="81"/>
      <c r="I1513" s="81" t="s">
        <v>2223</v>
      </c>
      <c r="J1513" s="81" t="s">
        <v>2224</v>
      </c>
      <c r="K1513" s="81" t="s">
        <v>3336</v>
      </c>
      <c r="L1513" s="81" t="s">
        <v>20</v>
      </c>
      <c r="M1513" s="68"/>
      <c r="N1513" s="82">
        <v>6880</v>
      </c>
      <c r="O1513" s="57">
        <f t="shared" si="67"/>
        <v>0</v>
      </c>
      <c r="P1513" s="58"/>
      <c r="Q1513" s="73"/>
      <c r="R1513" s="57"/>
      <c r="S1513" s="57"/>
      <c r="T1513" s="57"/>
      <c r="U1513" s="57"/>
      <c r="V1513" s="73">
        <f t="shared" si="66"/>
        <v>0</v>
      </c>
      <c r="W1513" s="106"/>
      <c r="X1513" s="64"/>
    </row>
    <row r="1514" spans="1:24" s="66" customFormat="1" ht="12" hidden="1" customHeight="1">
      <c r="A1514" s="81" t="s">
        <v>3337</v>
      </c>
      <c r="B1514" s="81"/>
      <c r="C1514" s="81"/>
      <c r="D1514" s="81"/>
      <c r="E1514" s="81"/>
      <c r="F1514" s="81"/>
      <c r="G1514" s="81"/>
      <c r="H1514" s="81"/>
      <c r="I1514" s="81" t="s">
        <v>2223</v>
      </c>
      <c r="J1514" s="81" t="s">
        <v>2224</v>
      </c>
      <c r="K1514" s="81" t="s">
        <v>3338</v>
      </c>
      <c r="L1514" s="81" t="s">
        <v>20</v>
      </c>
      <c r="M1514" s="68"/>
      <c r="N1514" s="82">
        <v>7650</v>
      </c>
      <c r="O1514" s="57">
        <f t="shared" si="67"/>
        <v>0</v>
      </c>
      <c r="P1514" s="58"/>
      <c r="Q1514" s="73"/>
      <c r="R1514" s="57"/>
      <c r="S1514" s="57"/>
      <c r="T1514" s="57"/>
      <c r="U1514" s="57"/>
      <c r="V1514" s="73">
        <f t="shared" si="66"/>
        <v>0</v>
      </c>
      <c r="W1514" s="106"/>
      <c r="X1514" s="64"/>
    </row>
    <row r="1515" spans="1:24" s="66" customFormat="1" ht="12" hidden="1" customHeight="1">
      <c r="A1515" s="81" t="s">
        <v>3339</v>
      </c>
      <c r="B1515" s="81"/>
      <c r="C1515" s="81"/>
      <c r="D1515" s="81"/>
      <c r="E1515" s="81"/>
      <c r="F1515" s="81"/>
      <c r="G1515" s="81"/>
      <c r="H1515" s="81"/>
      <c r="I1515" s="81" t="s">
        <v>2223</v>
      </c>
      <c r="J1515" s="81" t="s">
        <v>2224</v>
      </c>
      <c r="K1515" s="81" t="s">
        <v>3340</v>
      </c>
      <c r="L1515" s="81" t="s">
        <v>20</v>
      </c>
      <c r="M1515" s="68"/>
      <c r="N1515" s="82">
        <v>8960</v>
      </c>
      <c r="O1515" s="57">
        <f t="shared" si="67"/>
        <v>0</v>
      </c>
      <c r="P1515" s="58"/>
      <c r="Q1515" s="73"/>
      <c r="R1515" s="57"/>
      <c r="S1515" s="57"/>
      <c r="T1515" s="57"/>
      <c r="U1515" s="57"/>
      <c r="V1515" s="73">
        <f t="shared" si="66"/>
        <v>0</v>
      </c>
      <c r="W1515" s="106"/>
      <c r="X1515" s="64"/>
    </row>
    <row r="1516" spans="1:24" s="66" customFormat="1" ht="12" hidden="1" customHeight="1">
      <c r="A1516" s="81" t="s">
        <v>3341</v>
      </c>
      <c r="B1516" s="81"/>
      <c r="C1516" s="81"/>
      <c r="D1516" s="81"/>
      <c r="E1516" s="81"/>
      <c r="F1516" s="81"/>
      <c r="G1516" s="81"/>
      <c r="H1516" s="81"/>
      <c r="I1516" s="81" t="s">
        <v>2223</v>
      </c>
      <c r="J1516" s="81" t="s">
        <v>2224</v>
      </c>
      <c r="K1516" s="81" t="s">
        <v>3342</v>
      </c>
      <c r="L1516" s="81" t="s">
        <v>20</v>
      </c>
      <c r="M1516" s="68"/>
      <c r="N1516" s="82">
        <v>10430</v>
      </c>
      <c r="O1516" s="57">
        <f t="shared" si="67"/>
        <v>0</v>
      </c>
      <c r="P1516" s="58"/>
      <c r="Q1516" s="73"/>
      <c r="R1516" s="57"/>
      <c r="S1516" s="57"/>
      <c r="T1516" s="57"/>
      <c r="U1516" s="57"/>
      <c r="V1516" s="73">
        <f t="shared" si="66"/>
        <v>0</v>
      </c>
      <c r="W1516" s="106"/>
      <c r="X1516" s="64"/>
    </row>
    <row r="1517" spans="1:24" s="66" customFormat="1" ht="12" hidden="1" customHeight="1">
      <c r="A1517" s="81" t="s">
        <v>3343</v>
      </c>
      <c r="B1517" s="81"/>
      <c r="C1517" s="81"/>
      <c r="D1517" s="81"/>
      <c r="E1517" s="81"/>
      <c r="F1517" s="81"/>
      <c r="G1517" s="81"/>
      <c r="H1517" s="81"/>
      <c r="I1517" s="81" t="s">
        <v>2223</v>
      </c>
      <c r="J1517" s="81" t="s">
        <v>2224</v>
      </c>
      <c r="K1517" s="81" t="s">
        <v>3344</v>
      </c>
      <c r="L1517" s="81" t="s">
        <v>20</v>
      </c>
      <c r="M1517" s="68"/>
      <c r="N1517" s="82">
        <v>11900</v>
      </c>
      <c r="O1517" s="57">
        <f t="shared" si="67"/>
        <v>0</v>
      </c>
      <c r="P1517" s="58"/>
      <c r="Q1517" s="73"/>
      <c r="R1517" s="57"/>
      <c r="S1517" s="57"/>
      <c r="T1517" s="57"/>
      <c r="U1517" s="57"/>
      <c r="V1517" s="73">
        <f t="shared" si="66"/>
        <v>0</v>
      </c>
      <c r="W1517" s="106"/>
      <c r="X1517" s="64"/>
    </row>
    <row r="1518" spans="1:24" s="66" customFormat="1" ht="12" hidden="1" customHeight="1">
      <c r="A1518" s="81" t="s">
        <v>3345</v>
      </c>
      <c r="B1518" s="81"/>
      <c r="C1518" s="81"/>
      <c r="D1518" s="81"/>
      <c r="E1518" s="81"/>
      <c r="F1518" s="81"/>
      <c r="G1518" s="81"/>
      <c r="H1518" s="81"/>
      <c r="I1518" s="81" t="s">
        <v>2223</v>
      </c>
      <c r="J1518" s="81" t="s">
        <v>2224</v>
      </c>
      <c r="K1518" s="81" t="s">
        <v>3346</v>
      </c>
      <c r="L1518" s="81" t="s">
        <v>20</v>
      </c>
      <c r="M1518" s="68"/>
      <c r="N1518" s="82">
        <v>13340</v>
      </c>
      <c r="O1518" s="57">
        <f t="shared" si="67"/>
        <v>0</v>
      </c>
      <c r="P1518" s="58"/>
      <c r="Q1518" s="73"/>
      <c r="R1518" s="57"/>
      <c r="S1518" s="57"/>
      <c r="T1518" s="57"/>
      <c r="U1518" s="57"/>
      <c r="V1518" s="73">
        <f t="shared" si="66"/>
        <v>0</v>
      </c>
      <c r="W1518" s="106"/>
      <c r="X1518" s="64"/>
    </row>
    <row r="1519" spans="1:24" s="66" customFormat="1" ht="12" hidden="1" customHeight="1">
      <c r="A1519" s="81" t="s">
        <v>3347</v>
      </c>
      <c r="B1519" s="81"/>
      <c r="C1519" s="81"/>
      <c r="D1519" s="81"/>
      <c r="E1519" s="81"/>
      <c r="F1519" s="81"/>
      <c r="G1519" s="81"/>
      <c r="H1519" s="81"/>
      <c r="I1519" s="81" t="s">
        <v>2223</v>
      </c>
      <c r="J1519" s="81" t="s">
        <v>2224</v>
      </c>
      <c r="K1519" s="81" t="s">
        <v>3348</v>
      </c>
      <c r="L1519" s="81" t="s">
        <v>20</v>
      </c>
      <c r="M1519" s="68"/>
      <c r="N1519" s="82">
        <v>15040</v>
      </c>
      <c r="O1519" s="57">
        <f t="shared" si="67"/>
        <v>0</v>
      </c>
      <c r="P1519" s="58"/>
      <c r="Q1519" s="73"/>
      <c r="R1519" s="57"/>
      <c r="S1519" s="57"/>
      <c r="T1519" s="57"/>
      <c r="U1519" s="57"/>
      <c r="V1519" s="73">
        <f t="shared" si="66"/>
        <v>0</v>
      </c>
      <c r="W1519" s="106"/>
      <c r="X1519" s="64"/>
    </row>
    <row r="1520" spans="1:24" s="66" customFormat="1" ht="12" hidden="1" customHeight="1">
      <c r="A1520" s="81" t="s">
        <v>3349</v>
      </c>
      <c r="B1520" s="81"/>
      <c r="C1520" s="81"/>
      <c r="D1520" s="81"/>
      <c r="E1520" s="81"/>
      <c r="F1520" s="81"/>
      <c r="G1520" s="81"/>
      <c r="H1520" s="81"/>
      <c r="I1520" s="81" t="s">
        <v>2223</v>
      </c>
      <c r="J1520" s="81" t="s">
        <v>2224</v>
      </c>
      <c r="K1520" s="81" t="s">
        <v>3350</v>
      </c>
      <c r="L1520" s="81" t="s">
        <v>20</v>
      </c>
      <c r="M1520" s="68"/>
      <c r="N1520" s="82">
        <v>16340</v>
      </c>
      <c r="O1520" s="57">
        <f t="shared" si="67"/>
        <v>0</v>
      </c>
      <c r="P1520" s="58"/>
      <c r="Q1520" s="73"/>
      <c r="R1520" s="57"/>
      <c r="S1520" s="57"/>
      <c r="T1520" s="57"/>
      <c r="U1520" s="57"/>
      <c r="V1520" s="73">
        <f t="shared" si="66"/>
        <v>0</v>
      </c>
      <c r="W1520" s="106"/>
      <c r="X1520" s="64"/>
    </row>
    <row r="1521" spans="1:24" s="66" customFormat="1" ht="12" hidden="1" customHeight="1">
      <c r="A1521" s="81" t="s">
        <v>3351</v>
      </c>
      <c r="B1521" s="81"/>
      <c r="C1521" s="81"/>
      <c r="D1521" s="81"/>
      <c r="E1521" s="81"/>
      <c r="F1521" s="81"/>
      <c r="G1521" s="81"/>
      <c r="H1521" s="81"/>
      <c r="I1521" s="81" t="s">
        <v>2223</v>
      </c>
      <c r="J1521" s="81" t="s">
        <v>2224</v>
      </c>
      <c r="K1521" s="81" t="s">
        <v>3352</v>
      </c>
      <c r="L1521" s="81" t="s">
        <v>20</v>
      </c>
      <c r="M1521" s="68"/>
      <c r="N1521" s="82">
        <v>18230</v>
      </c>
      <c r="O1521" s="57">
        <f t="shared" si="67"/>
        <v>0</v>
      </c>
      <c r="P1521" s="58"/>
      <c r="Q1521" s="73"/>
      <c r="R1521" s="57"/>
      <c r="S1521" s="57"/>
      <c r="T1521" s="57"/>
      <c r="U1521" s="57"/>
      <c r="V1521" s="73">
        <f t="shared" ref="V1521:V1558" si="68">SUM(O1521+Q1521)+S1521+U1521</f>
        <v>0</v>
      </c>
      <c r="W1521" s="106"/>
      <c r="X1521" s="64"/>
    </row>
    <row r="1522" spans="1:24" s="66" customFormat="1" ht="12" hidden="1" customHeight="1">
      <c r="A1522" s="81" t="s">
        <v>3353</v>
      </c>
      <c r="B1522" s="81"/>
      <c r="C1522" s="81"/>
      <c r="D1522" s="81"/>
      <c r="E1522" s="81"/>
      <c r="F1522" s="81"/>
      <c r="G1522" s="81"/>
      <c r="H1522" s="81"/>
      <c r="I1522" s="81" t="s">
        <v>2223</v>
      </c>
      <c r="J1522" s="81" t="s">
        <v>2224</v>
      </c>
      <c r="K1522" s="81" t="s">
        <v>3354</v>
      </c>
      <c r="L1522" s="81" t="s">
        <v>20</v>
      </c>
      <c r="M1522" s="68"/>
      <c r="N1522" s="82">
        <v>19540</v>
      </c>
      <c r="O1522" s="57">
        <f t="shared" si="67"/>
        <v>0</v>
      </c>
      <c r="P1522" s="58"/>
      <c r="Q1522" s="73"/>
      <c r="R1522" s="57"/>
      <c r="S1522" s="57"/>
      <c r="T1522" s="57"/>
      <c r="U1522" s="57"/>
      <c r="V1522" s="73">
        <f t="shared" si="68"/>
        <v>0</v>
      </c>
      <c r="W1522" s="106"/>
      <c r="X1522" s="64"/>
    </row>
    <row r="1523" spans="1:24" s="66" customFormat="1" ht="12" hidden="1" customHeight="1">
      <c r="A1523" s="81" t="s">
        <v>3355</v>
      </c>
      <c r="B1523" s="81"/>
      <c r="C1523" s="81"/>
      <c r="D1523" s="81"/>
      <c r="E1523" s="81"/>
      <c r="F1523" s="81"/>
      <c r="G1523" s="81"/>
      <c r="H1523" s="81"/>
      <c r="I1523" s="81" t="s">
        <v>2223</v>
      </c>
      <c r="J1523" s="81" t="s">
        <v>2224</v>
      </c>
      <c r="K1523" s="81" t="s">
        <v>3356</v>
      </c>
      <c r="L1523" s="81" t="s">
        <v>20</v>
      </c>
      <c r="M1523" s="68"/>
      <c r="N1523" s="82">
        <v>22340</v>
      </c>
      <c r="O1523" s="57">
        <f t="shared" si="67"/>
        <v>0</v>
      </c>
      <c r="P1523" s="58"/>
      <c r="Q1523" s="73"/>
      <c r="R1523" s="57"/>
      <c r="S1523" s="57"/>
      <c r="T1523" s="57"/>
      <c r="U1523" s="57"/>
      <c r="V1523" s="73">
        <f t="shared" si="68"/>
        <v>0</v>
      </c>
      <c r="W1523" s="106"/>
      <c r="X1523" s="64"/>
    </row>
    <row r="1524" spans="1:24" s="66" customFormat="1" ht="12" hidden="1" customHeight="1">
      <c r="A1524" s="81" t="s">
        <v>2214</v>
      </c>
      <c r="B1524" s="81"/>
      <c r="C1524" s="81"/>
      <c r="D1524" s="81"/>
      <c r="E1524" s="81"/>
      <c r="F1524" s="81"/>
      <c r="G1524" s="81"/>
      <c r="H1524" s="81"/>
      <c r="I1524" s="81" t="s">
        <v>2223</v>
      </c>
      <c r="J1524" s="81" t="s">
        <v>2224</v>
      </c>
      <c r="K1524" s="81" t="s">
        <v>2227</v>
      </c>
      <c r="L1524" s="81" t="s">
        <v>20</v>
      </c>
      <c r="M1524" s="68"/>
      <c r="N1524" s="82">
        <v>2340</v>
      </c>
      <c r="O1524" s="57">
        <f t="shared" si="67"/>
        <v>0</v>
      </c>
      <c r="P1524" s="58"/>
      <c r="Q1524" s="73"/>
      <c r="R1524" s="57"/>
      <c r="S1524" s="57"/>
      <c r="T1524" s="57"/>
      <c r="U1524" s="57"/>
      <c r="V1524" s="73">
        <f t="shared" si="68"/>
        <v>0</v>
      </c>
      <c r="W1524" s="106"/>
      <c r="X1524" s="64"/>
    </row>
    <row r="1525" spans="1:24" s="66" customFormat="1" ht="12" hidden="1" customHeight="1">
      <c r="A1525" s="81" t="s">
        <v>2215</v>
      </c>
      <c r="B1525" s="81"/>
      <c r="C1525" s="81"/>
      <c r="D1525" s="81"/>
      <c r="E1525" s="81"/>
      <c r="F1525" s="81"/>
      <c r="G1525" s="81"/>
      <c r="H1525" s="81"/>
      <c r="I1525" s="81" t="s">
        <v>2223</v>
      </c>
      <c r="J1525" s="81" t="s">
        <v>2224</v>
      </c>
      <c r="K1525" s="81" t="s">
        <v>2228</v>
      </c>
      <c r="L1525" s="81" t="s">
        <v>20</v>
      </c>
      <c r="M1525" s="68"/>
      <c r="N1525" s="82">
        <v>2710</v>
      </c>
      <c r="O1525" s="57">
        <f t="shared" si="67"/>
        <v>0</v>
      </c>
      <c r="P1525" s="58"/>
      <c r="Q1525" s="73"/>
      <c r="R1525" s="57"/>
      <c r="S1525" s="57"/>
      <c r="T1525" s="57"/>
      <c r="U1525" s="57"/>
      <c r="V1525" s="73">
        <f t="shared" si="68"/>
        <v>0</v>
      </c>
      <c r="W1525" s="106"/>
      <c r="X1525" s="64"/>
    </row>
    <row r="1526" spans="1:24" s="66" customFormat="1" ht="12" hidden="1" customHeight="1">
      <c r="A1526" s="81" t="s">
        <v>2216</v>
      </c>
      <c r="B1526" s="81"/>
      <c r="C1526" s="81"/>
      <c r="D1526" s="81"/>
      <c r="E1526" s="81"/>
      <c r="F1526" s="81"/>
      <c r="G1526" s="81"/>
      <c r="H1526" s="81"/>
      <c r="I1526" s="81" t="s">
        <v>2223</v>
      </c>
      <c r="J1526" s="81" t="s">
        <v>2224</v>
      </c>
      <c r="K1526" s="81" t="s">
        <v>2229</v>
      </c>
      <c r="L1526" s="81" t="s">
        <v>20</v>
      </c>
      <c r="M1526" s="68"/>
      <c r="N1526" s="82">
        <v>3510</v>
      </c>
      <c r="O1526" s="57">
        <f t="shared" si="67"/>
        <v>0</v>
      </c>
      <c r="P1526" s="58"/>
      <c r="Q1526" s="73"/>
      <c r="R1526" s="57"/>
      <c r="S1526" s="57"/>
      <c r="T1526" s="57"/>
      <c r="U1526" s="57"/>
      <c r="V1526" s="73">
        <f t="shared" si="68"/>
        <v>0</v>
      </c>
      <c r="W1526" s="106"/>
      <c r="X1526" s="64"/>
    </row>
    <row r="1527" spans="1:24" s="66" customFormat="1" ht="12" hidden="1" customHeight="1">
      <c r="A1527" s="81" t="s">
        <v>2217</v>
      </c>
      <c r="B1527" s="81"/>
      <c r="C1527" s="81"/>
      <c r="D1527" s="81"/>
      <c r="E1527" s="81"/>
      <c r="F1527" s="81"/>
      <c r="G1527" s="81"/>
      <c r="H1527" s="81"/>
      <c r="I1527" s="81" t="s">
        <v>2223</v>
      </c>
      <c r="J1527" s="81" t="s">
        <v>2224</v>
      </c>
      <c r="K1527" s="81" t="s">
        <v>2230</v>
      </c>
      <c r="L1527" s="81" t="s">
        <v>20</v>
      </c>
      <c r="M1527" s="68"/>
      <c r="N1527" s="82">
        <v>4230</v>
      </c>
      <c r="O1527" s="57">
        <f t="shared" si="67"/>
        <v>0</v>
      </c>
      <c r="P1527" s="58"/>
      <c r="Q1527" s="73"/>
      <c r="R1527" s="57"/>
      <c r="S1527" s="57"/>
      <c r="T1527" s="57"/>
      <c r="U1527" s="57"/>
      <c r="V1527" s="73">
        <f t="shared" si="68"/>
        <v>0</v>
      </c>
      <c r="W1527" s="106"/>
      <c r="X1527" s="64"/>
    </row>
    <row r="1528" spans="1:24" s="66" customFormat="1" ht="12" hidden="1" customHeight="1">
      <c r="A1528" s="81" t="s">
        <v>2218</v>
      </c>
      <c r="B1528" s="81"/>
      <c r="C1528" s="81"/>
      <c r="D1528" s="81"/>
      <c r="E1528" s="81"/>
      <c r="F1528" s="81"/>
      <c r="G1528" s="81"/>
      <c r="H1528" s="81"/>
      <c r="I1528" s="81" t="s">
        <v>2223</v>
      </c>
      <c r="J1528" s="81" t="s">
        <v>2224</v>
      </c>
      <c r="K1528" s="81" t="s">
        <v>2231</v>
      </c>
      <c r="L1528" s="81" t="s">
        <v>20</v>
      </c>
      <c r="M1528" s="68"/>
      <c r="N1528" s="82">
        <v>5070</v>
      </c>
      <c r="O1528" s="57">
        <f t="shared" si="67"/>
        <v>0</v>
      </c>
      <c r="P1528" s="58"/>
      <c r="Q1528" s="73"/>
      <c r="R1528" s="57"/>
      <c r="S1528" s="57"/>
      <c r="T1528" s="57"/>
      <c r="U1528" s="57"/>
      <c r="V1528" s="73">
        <f t="shared" si="68"/>
        <v>0</v>
      </c>
      <c r="W1528" s="106"/>
      <c r="X1528" s="64"/>
    </row>
    <row r="1529" spans="1:24" s="66" customFormat="1" ht="12" hidden="1" customHeight="1">
      <c r="A1529" s="81" t="s">
        <v>2219</v>
      </c>
      <c r="B1529" s="81"/>
      <c r="C1529" s="81"/>
      <c r="D1529" s="81"/>
      <c r="E1529" s="81"/>
      <c r="F1529" s="81"/>
      <c r="G1529" s="81"/>
      <c r="H1529" s="81"/>
      <c r="I1529" s="81" t="s">
        <v>2223</v>
      </c>
      <c r="J1529" s="81" t="s">
        <v>2224</v>
      </c>
      <c r="K1529" s="81" t="s">
        <v>2232</v>
      </c>
      <c r="L1529" s="81" t="s">
        <v>20</v>
      </c>
      <c r="M1529" s="68"/>
      <c r="N1529" s="82">
        <v>5710</v>
      </c>
      <c r="O1529" s="57">
        <f t="shared" si="67"/>
        <v>0</v>
      </c>
      <c r="P1529" s="58"/>
      <c r="Q1529" s="73"/>
      <c r="R1529" s="57"/>
      <c r="S1529" s="57"/>
      <c r="T1529" s="57"/>
      <c r="U1529" s="57"/>
      <c r="V1529" s="73">
        <f t="shared" si="68"/>
        <v>0</v>
      </c>
      <c r="W1529" s="106"/>
      <c r="X1529" s="64"/>
    </row>
    <row r="1530" spans="1:24" s="66" customFormat="1" ht="12" hidden="1" customHeight="1">
      <c r="A1530" s="81" t="s">
        <v>2220</v>
      </c>
      <c r="B1530" s="81"/>
      <c r="C1530" s="81"/>
      <c r="D1530" s="81"/>
      <c r="E1530" s="81"/>
      <c r="F1530" s="81"/>
      <c r="G1530" s="81"/>
      <c r="H1530" s="81"/>
      <c r="I1530" s="81" t="s">
        <v>2223</v>
      </c>
      <c r="J1530" s="81" t="s">
        <v>2224</v>
      </c>
      <c r="K1530" s="81" t="s">
        <v>2233</v>
      </c>
      <c r="L1530" s="81" t="s">
        <v>20</v>
      </c>
      <c r="M1530" s="68"/>
      <c r="N1530" s="82">
        <v>6680</v>
      </c>
      <c r="O1530" s="57">
        <f t="shared" ref="O1530:O1577" si="69">M1530*N1530*$O$3</f>
        <v>0</v>
      </c>
      <c r="P1530" s="58"/>
      <c r="Q1530" s="73"/>
      <c r="R1530" s="57"/>
      <c r="S1530" s="57"/>
      <c r="T1530" s="57"/>
      <c r="U1530" s="57"/>
      <c r="V1530" s="73">
        <f t="shared" si="68"/>
        <v>0</v>
      </c>
      <c r="W1530" s="106"/>
      <c r="X1530" s="64"/>
    </row>
    <row r="1531" spans="1:24" s="66" customFormat="1" ht="12" hidden="1" customHeight="1">
      <c r="A1531" s="81" t="s">
        <v>2221</v>
      </c>
      <c r="B1531" s="81"/>
      <c r="C1531" s="81"/>
      <c r="D1531" s="81"/>
      <c r="E1531" s="81"/>
      <c r="F1531" s="81"/>
      <c r="G1531" s="81"/>
      <c r="H1531" s="81"/>
      <c r="I1531" s="81" t="s">
        <v>2223</v>
      </c>
      <c r="J1531" s="81" t="s">
        <v>2224</v>
      </c>
      <c r="K1531" s="81" t="s">
        <v>2234</v>
      </c>
      <c r="L1531" s="81" t="s">
        <v>20</v>
      </c>
      <c r="M1531" s="68"/>
      <c r="N1531" s="82">
        <v>7560</v>
      </c>
      <c r="O1531" s="57">
        <f t="shared" si="69"/>
        <v>0</v>
      </c>
      <c r="P1531" s="58"/>
      <c r="Q1531" s="73"/>
      <c r="R1531" s="57"/>
      <c r="S1531" s="57"/>
      <c r="T1531" s="57"/>
      <c r="U1531" s="57"/>
      <c r="V1531" s="73">
        <f t="shared" si="68"/>
        <v>0</v>
      </c>
      <c r="W1531" s="106"/>
      <c r="X1531" s="64"/>
    </row>
    <row r="1532" spans="1:24" s="66" customFormat="1" ht="12" hidden="1" customHeight="1">
      <c r="A1532" s="81" t="s">
        <v>2222</v>
      </c>
      <c r="B1532" s="81"/>
      <c r="C1532" s="81"/>
      <c r="D1532" s="81"/>
      <c r="E1532" s="81"/>
      <c r="F1532" s="81"/>
      <c r="G1532" s="81"/>
      <c r="H1532" s="81"/>
      <c r="I1532" s="81" t="s">
        <v>2223</v>
      </c>
      <c r="J1532" s="81" t="s">
        <v>2224</v>
      </c>
      <c r="K1532" s="81" t="s">
        <v>2235</v>
      </c>
      <c r="L1532" s="81" t="s">
        <v>20</v>
      </c>
      <c r="M1532" s="68"/>
      <c r="N1532" s="82">
        <v>8330</v>
      </c>
      <c r="O1532" s="57">
        <f t="shared" si="69"/>
        <v>0</v>
      </c>
      <c r="P1532" s="58"/>
      <c r="Q1532" s="73"/>
      <c r="R1532" s="57"/>
      <c r="S1532" s="57"/>
      <c r="T1532" s="57"/>
      <c r="U1532" s="57"/>
      <c r="V1532" s="73">
        <f t="shared" si="68"/>
        <v>0</v>
      </c>
      <c r="W1532" s="106"/>
      <c r="X1532" s="64"/>
    </row>
    <row r="1533" spans="1:24" s="66" customFormat="1" ht="12" hidden="1" customHeight="1">
      <c r="A1533" s="81" t="s">
        <v>2212</v>
      </c>
      <c r="B1533" s="81"/>
      <c r="C1533" s="81"/>
      <c r="D1533" s="81"/>
      <c r="E1533" s="81"/>
      <c r="F1533" s="81"/>
      <c r="G1533" s="81"/>
      <c r="H1533" s="81"/>
      <c r="I1533" s="81" t="s">
        <v>2223</v>
      </c>
      <c r="J1533" s="81" t="s">
        <v>2224</v>
      </c>
      <c r="K1533" s="81" t="s">
        <v>2225</v>
      </c>
      <c r="L1533" s="81" t="s">
        <v>20</v>
      </c>
      <c r="M1533" s="68"/>
      <c r="N1533" s="82">
        <v>9210</v>
      </c>
      <c r="O1533" s="57">
        <f t="shared" si="69"/>
        <v>0</v>
      </c>
      <c r="P1533" s="58"/>
      <c r="Q1533" s="73"/>
      <c r="R1533" s="57"/>
      <c r="S1533" s="57"/>
      <c r="T1533" s="57"/>
      <c r="U1533" s="57"/>
      <c r="V1533" s="73">
        <f t="shared" si="68"/>
        <v>0</v>
      </c>
      <c r="W1533" s="106"/>
      <c r="X1533" s="64"/>
    </row>
    <row r="1534" spans="1:24" s="66" customFormat="1" ht="12" hidden="1" customHeight="1">
      <c r="A1534" s="81" t="s">
        <v>2213</v>
      </c>
      <c r="B1534" s="81"/>
      <c r="C1534" s="81"/>
      <c r="D1534" s="81"/>
      <c r="E1534" s="81"/>
      <c r="F1534" s="81"/>
      <c r="G1534" s="81"/>
      <c r="H1534" s="81"/>
      <c r="I1534" s="81" t="s">
        <v>2223</v>
      </c>
      <c r="J1534" s="81" t="s">
        <v>2224</v>
      </c>
      <c r="K1534" s="81" t="s">
        <v>2226</v>
      </c>
      <c r="L1534" s="81" t="s">
        <v>20</v>
      </c>
      <c r="M1534" s="68"/>
      <c r="N1534" s="82">
        <v>10980</v>
      </c>
      <c r="O1534" s="57">
        <f t="shared" si="69"/>
        <v>0</v>
      </c>
      <c r="P1534" s="58"/>
      <c r="Q1534" s="73"/>
      <c r="R1534" s="57"/>
      <c r="S1534" s="57"/>
      <c r="T1534" s="57"/>
      <c r="U1534" s="57"/>
      <c r="V1534" s="73">
        <f t="shared" si="68"/>
        <v>0</v>
      </c>
      <c r="W1534" s="106"/>
      <c r="X1534" s="64"/>
    </row>
    <row r="1535" spans="1:24" s="66" customFormat="1" ht="12" hidden="1" customHeight="1">
      <c r="A1535" s="81" t="s">
        <v>3357</v>
      </c>
      <c r="B1535" s="81"/>
      <c r="C1535" s="81"/>
      <c r="D1535" s="81"/>
      <c r="E1535" s="81"/>
      <c r="F1535" s="81"/>
      <c r="G1535" s="81"/>
      <c r="H1535" s="81"/>
      <c r="I1535" s="81" t="s">
        <v>2223</v>
      </c>
      <c r="J1535" s="81" t="s">
        <v>2224</v>
      </c>
      <c r="K1535" s="81" t="s">
        <v>3358</v>
      </c>
      <c r="L1535" s="81" t="s">
        <v>20</v>
      </c>
      <c r="M1535" s="68"/>
      <c r="N1535" s="82">
        <v>5900</v>
      </c>
      <c r="O1535" s="57">
        <f t="shared" si="69"/>
        <v>0</v>
      </c>
      <c r="P1535" s="58"/>
      <c r="Q1535" s="73"/>
      <c r="R1535" s="57"/>
      <c r="S1535" s="57"/>
      <c r="T1535" s="57"/>
      <c r="U1535" s="57"/>
      <c r="V1535" s="73">
        <f t="shared" si="68"/>
        <v>0</v>
      </c>
      <c r="W1535" s="106"/>
      <c r="X1535" s="64"/>
    </row>
    <row r="1536" spans="1:24" s="66" customFormat="1" ht="12" hidden="1" customHeight="1">
      <c r="A1536" s="81" t="s">
        <v>3359</v>
      </c>
      <c r="B1536" s="81"/>
      <c r="C1536" s="81"/>
      <c r="D1536" s="81"/>
      <c r="E1536" s="81"/>
      <c r="F1536" s="81"/>
      <c r="G1536" s="81"/>
      <c r="H1536" s="81"/>
      <c r="I1536" s="81" t="s">
        <v>2223</v>
      </c>
      <c r="J1536" s="81" t="s">
        <v>2224</v>
      </c>
      <c r="K1536" s="81" t="s">
        <v>3360</v>
      </c>
      <c r="L1536" s="81" t="s">
        <v>20</v>
      </c>
      <c r="M1536" s="68"/>
      <c r="N1536" s="82">
        <v>6410</v>
      </c>
      <c r="O1536" s="57">
        <f t="shared" si="69"/>
        <v>0</v>
      </c>
      <c r="P1536" s="58"/>
      <c r="Q1536" s="73"/>
      <c r="R1536" s="57"/>
      <c r="S1536" s="57"/>
      <c r="T1536" s="57"/>
      <c r="U1536" s="57"/>
      <c r="V1536" s="73">
        <f t="shared" si="68"/>
        <v>0</v>
      </c>
      <c r="W1536" s="106"/>
      <c r="X1536" s="64"/>
    </row>
    <row r="1537" spans="1:24" s="66" customFormat="1" ht="12" hidden="1" customHeight="1">
      <c r="A1537" s="81" t="s">
        <v>3361</v>
      </c>
      <c r="B1537" s="81"/>
      <c r="C1537" s="81"/>
      <c r="D1537" s="81"/>
      <c r="E1537" s="81"/>
      <c r="F1537" s="81"/>
      <c r="G1537" s="81"/>
      <c r="H1537" s="81"/>
      <c r="I1537" s="81" t="s">
        <v>2223</v>
      </c>
      <c r="J1537" s="81" t="s">
        <v>2224</v>
      </c>
      <c r="K1537" s="81" t="s">
        <v>3362</v>
      </c>
      <c r="L1537" s="81" t="s">
        <v>20</v>
      </c>
      <c r="M1537" s="68"/>
      <c r="N1537" s="82">
        <v>7910</v>
      </c>
      <c r="O1537" s="57">
        <f t="shared" si="69"/>
        <v>0</v>
      </c>
      <c r="P1537" s="58"/>
      <c r="Q1537" s="73"/>
      <c r="R1537" s="57"/>
      <c r="S1537" s="57"/>
      <c r="T1537" s="57"/>
      <c r="U1537" s="57"/>
      <c r="V1537" s="73">
        <f t="shared" si="68"/>
        <v>0</v>
      </c>
      <c r="W1537" s="106"/>
      <c r="X1537" s="64"/>
    </row>
    <row r="1538" spans="1:24" s="66" customFormat="1" ht="12" hidden="1" customHeight="1">
      <c r="A1538" s="81" t="s">
        <v>3363</v>
      </c>
      <c r="B1538" s="81"/>
      <c r="C1538" s="81"/>
      <c r="D1538" s="81"/>
      <c r="E1538" s="81"/>
      <c r="F1538" s="81"/>
      <c r="G1538" s="81"/>
      <c r="H1538" s="81"/>
      <c r="I1538" s="81" t="s">
        <v>2223</v>
      </c>
      <c r="J1538" s="81" t="s">
        <v>2224</v>
      </c>
      <c r="K1538" s="81" t="s">
        <v>3364</v>
      </c>
      <c r="L1538" s="81" t="s">
        <v>20</v>
      </c>
      <c r="M1538" s="68"/>
      <c r="N1538" s="82">
        <v>8700</v>
      </c>
      <c r="O1538" s="57">
        <f t="shared" si="69"/>
        <v>0</v>
      </c>
      <c r="P1538" s="58"/>
      <c r="Q1538" s="73"/>
      <c r="R1538" s="57"/>
      <c r="S1538" s="57"/>
      <c r="T1538" s="57"/>
      <c r="U1538" s="57"/>
      <c r="V1538" s="73">
        <f t="shared" si="68"/>
        <v>0</v>
      </c>
      <c r="W1538" s="106"/>
      <c r="X1538" s="64"/>
    </row>
    <row r="1539" spans="1:24" s="66" customFormat="1" ht="12" hidden="1" customHeight="1">
      <c r="A1539" s="81" t="s">
        <v>3365</v>
      </c>
      <c r="B1539" s="81"/>
      <c r="C1539" s="81"/>
      <c r="D1539" s="81"/>
      <c r="E1539" s="81"/>
      <c r="F1539" s="81"/>
      <c r="G1539" s="81"/>
      <c r="H1539" s="81"/>
      <c r="I1539" s="81" t="s">
        <v>2223</v>
      </c>
      <c r="J1539" s="81" t="s">
        <v>2224</v>
      </c>
      <c r="K1539" s="81" t="s">
        <v>3366</v>
      </c>
      <c r="L1539" s="81" t="s">
        <v>20</v>
      </c>
      <c r="M1539" s="68"/>
      <c r="N1539" s="82">
        <v>9500</v>
      </c>
      <c r="O1539" s="57">
        <f t="shared" si="69"/>
        <v>0</v>
      </c>
      <c r="P1539" s="58"/>
      <c r="Q1539" s="73"/>
      <c r="R1539" s="57"/>
      <c r="S1539" s="57"/>
      <c r="T1539" s="57"/>
      <c r="U1539" s="57"/>
      <c r="V1539" s="73">
        <f t="shared" si="68"/>
        <v>0</v>
      </c>
      <c r="W1539" s="106"/>
      <c r="X1539" s="64"/>
    </row>
    <row r="1540" spans="1:24" s="66" customFormat="1" ht="12" hidden="1" customHeight="1">
      <c r="A1540" s="81" t="s">
        <v>3367</v>
      </c>
      <c r="B1540" s="81"/>
      <c r="C1540" s="81"/>
      <c r="D1540" s="81"/>
      <c r="E1540" s="81"/>
      <c r="F1540" s="81"/>
      <c r="G1540" s="81"/>
      <c r="H1540" s="81"/>
      <c r="I1540" s="81" t="s">
        <v>2223</v>
      </c>
      <c r="J1540" s="81" t="s">
        <v>2224</v>
      </c>
      <c r="K1540" s="81" t="s">
        <v>3368</v>
      </c>
      <c r="L1540" s="81" t="s">
        <v>20</v>
      </c>
      <c r="M1540" s="68"/>
      <c r="N1540" s="82">
        <v>10570</v>
      </c>
      <c r="O1540" s="57">
        <f t="shared" si="69"/>
        <v>0</v>
      </c>
      <c r="P1540" s="58"/>
      <c r="Q1540" s="73"/>
      <c r="R1540" s="57"/>
      <c r="S1540" s="57"/>
      <c r="T1540" s="57"/>
      <c r="U1540" s="57"/>
      <c r="V1540" s="73">
        <f t="shared" si="68"/>
        <v>0</v>
      </c>
      <c r="W1540" s="106"/>
      <c r="X1540" s="64"/>
    </row>
    <row r="1541" spans="1:24" s="66" customFormat="1" ht="12" hidden="1" customHeight="1">
      <c r="A1541" s="81" t="s">
        <v>3369</v>
      </c>
      <c r="B1541" s="81"/>
      <c r="C1541" s="81"/>
      <c r="D1541" s="81"/>
      <c r="E1541" s="81"/>
      <c r="F1541" s="81"/>
      <c r="G1541" s="81"/>
      <c r="H1541" s="81"/>
      <c r="I1541" s="81" t="s">
        <v>2223</v>
      </c>
      <c r="J1541" s="81" t="s">
        <v>2224</v>
      </c>
      <c r="K1541" s="81" t="s">
        <v>3370</v>
      </c>
      <c r="L1541" s="81" t="s">
        <v>20</v>
      </c>
      <c r="M1541" s="68"/>
      <c r="N1541" s="82">
        <v>11210</v>
      </c>
      <c r="O1541" s="57">
        <f t="shared" si="69"/>
        <v>0</v>
      </c>
      <c r="P1541" s="58"/>
      <c r="Q1541" s="73"/>
      <c r="R1541" s="57"/>
      <c r="S1541" s="57"/>
      <c r="T1541" s="57"/>
      <c r="U1541" s="57"/>
      <c r="V1541" s="73">
        <f t="shared" si="68"/>
        <v>0</v>
      </c>
      <c r="W1541" s="106"/>
      <c r="X1541" s="64"/>
    </row>
    <row r="1542" spans="1:24" s="66" customFormat="1" ht="12" hidden="1" customHeight="1">
      <c r="A1542" s="81" t="s">
        <v>3371</v>
      </c>
      <c r="B1542" s="81"/>
      <c r="C1542" s="81"/>
      <c r="D1542" s="81"/>
      <c r="E1542" s="81"/>
      <c r="F1542" s="81"/>
      <c r="G1542" s="81"/>
      <c r="H1542" s="81"/>
      <c r="I1542" s="81" t="s">
        <v>2223</v>
      </c>
      <c r="J1542" s="81" t="s">
        <v>2224</v>
      </c>
      <c r="K1542" s="81" t="s">
        <v>3372</v>
      </c>
      <c r="L1542" s="81" t="s">
        <v>20</v>
      </c>
      <c r="M1542" s="68"/>
      <c r="N1542" s="82">
        <v>12040</v>
      </c>
      <c r="O1542" s="57">
        <f t="shared" si="69"/>
        <v>0</v>
      </c>
      <c r="P1542" s="58"/>
      <c r="Q1542" s="73"/>
      <c r="R1542" s="57"/>
      <c r="S1542" s="57"/>
      <c r="T1542" s="57"/>
      <c r="U1542" s="57"/>
      <c r="V1542" s="73">
        <f t="shared" si="68"/>
        <v>0</v>
      </c>
      <c r="W1542" s="106"/>
      <c r="X1542" s="64"/>
    </row>
    <row r="1543" spans="1:24" s="66" customFormat="1" ht="12" hidden="1" customHeight="1">
      <c r="A1543" s="81" t="s">
        <v>3373</v>
      </c>
      <c r="B1543" s="81"/>
      <c r="C1543" s="81"/>
      <c r="D1543" s="81"/>
      <c r="E1543" s="81"/>
      <c r="F1543" s="81"/>
      <c r="G1543" s="81"/>
      <c r="H1543" s="81"/>
      <c r="I1543" s="81" t="s">
        <v>2223</v>
      </c>
      <c r="J1543" s="81" t="s">
        <v>2224</v>
      </c>
      <c r="K1543" s="81" t="s">
        <v>3374</v>
      </c>
      <c r="L1543" s="81" t="s">
        <v>20</v>
      </c>
      <c r="M1543" s="68"/>
      <c r="N1543" s="82">
        <v>12870</v>
      </c>
      <c r="O1543" s="57">
        <f t="shared" si="69"/>
        <v>0</v>
      </c>
      <c r="P1543" s="58"/>
      <c r="Q1543" s="73"/>
      <c r="R1543" s="57"/>
      <c r="S1543" s="57"/>
      <c r="T1543" s="57"/>
      <c r="U1543" s="57"/>
      <c r="V1543" s="73">
        <f t="shared" si="68"/>
        <v>0</v>
      </c>
      <c r="W1543" s="106"/>
      <c r="X1543" s="64"/>
    </row>
    <row r="1544" spans="1:24" s="66" customFormat="1" ht="12" hidden="1" customHeight="1">
      <c r="A1544" s="81" t="s">
        <v>3375</v>
      </c>
      <c r="B1544" s="81"/>
      <c r="C1544" s="81"/>
      <c r="D1544" s="81"/>
      <c r="E1544" s="81"/>
      <c r="F1544" s="81"/>
      <c r="G1544" s="81"/>
      <c r="H1544" s="81"/>
      <c r="I1544" s="81" t="s">
        <v>2223</v>
      </c>
      <c r="J1544" s="81" t="s">
        <v>2224</v>
      </c>
      <c r="K1544" s="81" t="s">
        <v>3376</v>
      </c>
      <c r="L1544" s="81" t="s">
        <v>20</v>
      </c>
      <c r="M1544" s="68"/>
      <c r="N1544" s="82">
        <v>14060</v>
      </c>
      <c r="O1544" s="57">
        <f t="shared" si="69"/>
        <v>0</v>
      </c>
      <c r="P1544" s="58"/>
      <c r="Q1544" s="73"/>
      <c r="R1544" s="57"/>
      <c r="S1544" s="57"/>
      <c r="T1544" s="57"/>
      <c r="U1544" s="57"/>
      <c r="V1544" s="73">
        <f t="shared" si="68"/>
        <v>0</v>
      </c>
      <c r="W1544" s="106"/>
      <c r="X1544" s="64"/>
    </row>
    <row r="1545" spans="1:24" s="66" customFormat="1" ht="12" hidden="1" customHeight="1">
      <c r="A1545" s="81" t="s">
        <v>3377</v>
      </c>
      <c r="B1545" s="81"/>
      <c r="C1545" s="81"/>
      <c r="D1545" s="81"/>
      <c r="E1545" s="81"/>
      <c r="F1545" s="81"/>
      <c r="G1545" s="81"/>
      <c r="H1545" s="81"/>
      <c r="I1545" s="81" t="s">
        <v>2223</v>
      </c>
      <c r="J1545" s="81" t="s">
        <v>2224</v>
      </c>
      <c r="K1545" s="81" t="s">
        <v>3378</v>
      </c>
      <c r="L1545" s="81" t="s">
        <v>20</v>
      </c>
      <c r="M1545" s="68"/>
      <c r="N1545" s="82">
        <v>15820</v>
      </c>
      <c r="O1545" s="57">
        <f t="shared" si="69"/>
        <v>0</v>
      </c>
      <c r="P1545" s="58"/>
      <c r="Q1545" s="73"/>
      <c r="R1545" s="57"/>
      <c r="S1545" s="57"/>
      <c r="T1545" s="57"/>
      <c r="U1545" s="57"/>
      <c r="V1545" s="73">
        <f t="shared" si="68"/>
        <v>0</v>
      </c>
      <c r="W1545" s="106"/>
      <c r="X1545" s="64"/>
    </row>
    <row r="1546" spans="1:24" s="66" customFormat="1" ht="12" hidden="1" customHeight="1">
      <c r="A1546" s="81" t="s">
        <v>3379</v>
      </c>
      <c r="B1546" s="81"/>
      <c r="C1546" s="81"/>
      <c r="D1546" s="81"/>
      <c r="E1546" s="81"/>
      <c r="F1546" s="81"/>
      <c r="G1546" s="81"/>
      <c r="H1546" s="81"/>
      <c r="I1546" s="81" t="s">
        <v>2223</v>
      </c>
      <c r="J1546" s="81" t="s">
        <v>2224</v>
      </c>
      <c r="K1546" s="81" t="s">
        <v>3380</v>
      </c>
      <c r="L1546" s="81" t="s">
        <v>20</v>
      </c>
      <c r="M1546" s="68"/>
      <c r="N1546" s="82">
        <v>7870</v>
      </c>
      <c r="O1546" s="57">
        <f t="shared" si="69"/>
        <v>0</v>
      </c>
      <c r="P1546" s="58"/>
      <c r="Q1546" s="73"/>
      <c r="R1546" s="57"/>
      <c r="S1546" s="57"/>
      <c r="T1546" s="57"/>
      <c r="U1546" s="57"/>
      <c r="V1546" s="73">
        <f t="shared" si="68"/>
        <v>0</v>
      </c>
      <c r="W1546" s="106"/>
      <c r="X1546" s="64"/>
    </row>
    <row r="1547" spans="1:24" s="66" customFormat="1" ht="12" hidden="1" customHeight="1">
      <c r="A1547" s="81" t="s">
        <v>3381</v>
      </c>
      <c r="B1547" s="81"/>
      <c r="C1547" s="81"/>
      <c r="D1547" s="81"/>
      <c r="E1547" s="81"/>
      <c r="F1547" s="81"/>
      <c r="G1547" s="81"/>
      <c r="H1547" s="81"/>
      <c r="I1547" s="81" t="s">
        <v>2223</v>
      </c>
      <c r="J1547" s="81" t="s">
        <v>2224</v>
      </c>
      <c r="K1547" s="81" t="s">
        <v>3382</v>
      </c>
      <c r="L1547" s="81" t="s">
        <v>20</v>
      </c>
      <c r="M1547" s="68"/>
      <c r="N1547" s="82">
        <v>8540</v>
      </c>
      <c r="O1547" s="57">
        <f t="shared" si="69"/>
        <v>0</v>
      </c>
      <c r="P1547" s="58"/>
      <c r="Q1547" s="73"/>
      <c r="R1547" s="57"/>
      <c r="S1547" s="57"/>
      <c r="T1547" s="57"/>
      <c r="U1547" s="57"/>
      <c r="V1547" s="73">
        <f t="shared" si="68"/>
        <v>0</v>
      </c>
      <c r="W1547" s="106"/>
      <c r="X1547" s="64"/>
    </row>
    <row r="1548" spans="1:24" s="66" customFormat="1" ht="12" hidden="1" customHeight="1">
      <c r="A1548" s="81" t="s">
        <v>3383</v>
      </c>
      <c r="B1548" s="81"/>
      <c r="C1548" s="81"/>
      <c r="D1548" s="81"/>
      <c r="E1548" s="81"/>
      <c r="F1548" s="81"/>
      <c r="G1548" s="81"/>
      <c r="H1548" s="81"/>
      <c r="I1548" s="81" t="s">
        <v>2223</v>
      </c>
      <c r="J1548" s="81" t="s">
        <v>2224</v>
      </c>
      <c r="K1548" s="81" t="s">
        <v>3384</v>
      </c>
      <c r="L1548" s="81" t="s">
        <v>20</v>
      </c>
      <c r="M1548" s="68"/>
      <c r="N1548" s="82">
        <v>9780</v>
      </c>
      <c r="O1548" s="57">
        <f t="shared" si="69"/>
        <v>0</v>
      </c>
      <c r="P1548" s="58"/>
      <c r="Q1548" s="73"/>
      <c r="R1548" s="57"/>
      <c r="S1548" s="57"/>
      <c r="T1548" s="57"/>
      <c r="U1548" s="57"/>
      <c r="V1548" s="73">
        <f t="shared" si="68"/>
        <v>0</v>
      </c>
      <c r="W1548" s="106"/>
      <c r="X1548" s="64"/>
    </row>
    <row r="1549" spans="1:24" s="66" customFormat="1" ht="12" hidden="1" customHeight="1">
      <c r="A1549" s="81" t="s">
        <v>3385</v>
      </c>
      <c r="B1549" s="81"/>
      <c r="C1549" s="81"/>
      <c r="D1549" s="81"/>
      <c r="E1549" s="81"/>
      <c r="F1549" s="81"/>
      <c r="G1549" s="81"/>
      <c r="H1549" s="81"/>
      <c r="I1549" s="81" t="s">
        <v>2223</v>
      </c>
      <c r="J1549" s="81" t="s">
        <v>2224</v>
      </c>
      <c r="K1549" s="81" t="s">
        <v>3386</v>
      </c>
      <c r="L1549" s="81" t="s">
        <v>20</v>
      </c>
      <c r="M1549" s="68"/>
      <c r="N1549" s="82">
        <v>11120</v>
      </c>
      <c r="O1549" s="57">
        <f t="shared" si="69"/>
        <v>0</v>
      </c>
      <c r="P1549" s="58"/>
      <c r="Q1549" s="73"/>
      <c r="R1549" s="57"/>
      <c r="S1549" s="57"/>
      <c r="T1549" s="57"/>
      <c r="U1549" s="57"/>
      <c r="V1549" s="73">
        <f t="shared" si="68"/>
        <v>0</v>
      </c>
      <c r="W1549" s="106"/>
      <c r="X1549" s="64"/>
    </row>
    <row r="1550" spans="1:24" s="66" customFormat="1" ht="12" hidden="1" customHeight="1">
      <c r="A1550" s="81" t="s">
        <v>3387</v>
      </c>
      <c r="B1550" s="81"/>
      <c r="C1550" s="81"/>
      <c r="D1550" s="81"/>
      <c r="E1550" s="81"/>
      <c r="F1550" s="81"/>
      <c r="G1550" s="81"/>
      <c r="H1550" s="81"/>
      <c r="I1550" s="81" t="s">
        <v>2223</v>
      </c>
      <c r="J1550" s="81" t="s">
        <v>2224</v>
      </c>
      <c r="K1550" s="81" t="s">
        <v>3388</v>
      </c>
      <c r="L1550" s="81" t="s">
        <v>20</v>
      </c>
      <c r="M1550" s="68"/>
      <c r="N1550" s="82">
        <v>12300</v>
      </c>
      <c r="O1550" s="57">
        <f t="shared" si="69"/>
        <v>0</v>
      </c>
      <c r="P1550" s="58"/>
      <c r="Q1550" s="73"/>
      <c r="R1550" s="57"/>
      <c r="S1550" s="57"/>
      <c r="T1550" s="57"/>
      <c r="U1550" s="57"/>
      <c r="V1550" s="73">
        <f t="shared" si="68"/>
        <v>0</v>
      </c>
      <c r="W1550" s="106"/>
      <c r="X1550" s="64"/>
    </row>
    <row r="1551" spans="1:24" s="66" customFormat="1" ht="12" hidden="1" customHeight="1">
      <c r="A1551" s="81" t="s">
        <v>3389</v>
      </c>
      <c r="B1551" s="81"/>
      <c r="C1551" s="81"/>
      <c r="D1551" s="81"/>
      <c r="E1551" s="81"/>
      <c r="F1551" s="81"/>
      <c r="G1551" s="81"/>
      <c r="H1551" s="81"/>
      <c r="I1551" s="81" t="s">
        <v>2223</v>
      </c>
      <c r="J1551" s="81" t="s">
        <v>2224</v>
      </c>
      <c r="K1551" s="81" t="s">
        <v>3390</v>
      </c>
      <c r="L1551" s="81" t="s">
        <v>20</v>
      </c>
      <c r="M1551" s="68"/>
      <c r="N1551" s="82">
        <v>13490</v>
      </c>
      <c r="O1551" s="57">
        <f t="shared" si="69"/>
        <v>0</v>
      </c>
      <c r="P1551" s="58"/>
      <c r="Q1551" s="73"/>
      <c r="R1551" s="57"/>
      <c r="S1551" s="57"/>
      <c r="T1551" s="57"/>
      <c r="U1551" s="57"/>
      <c r="V1551" s="73">
        <f t="shared" si="68"/>
        <v>0</v>
      </c>
      <c r="W1551" s="106"/>
      <c r="X1551" s="64"/>
    </row>
    <row r="1552" spans="1:24" s="66" customFormat="1" ht="12" hidden="1" customHeight="1">
      <c r="A1552" s="81" t="s">
        <v>3391</v>
      </c>
      <c r="B1552" s="81"/>
      <c r="C1552" s="81"/>
      <c r="D1552" s="81"/>
      <c r="E1552" s="81"/>
      <c r="F1552" s="81"/>
      <c r="G1552" s="81"/>
      <c r="H1552" s="81"/>
      <c r="I1552" s="81" t="s">
        <v>2223</v>
      </c>
      <c r="J1552" s="81" t="s">
        <v>2224</v>
      </c>
      <c r="K1552" s="81" t="s">
        <v>3392</v>
      </c>
      <c r="L1552" s="81" t="s">
        <v>20</v>
      </c>
      <c r="M1552" s="68"/>
      <c r="N1552" s="82">
        <v>14770</v>
      </c>
      <c r="O1552" s="57">
        <f t="shared" si="69"/>
        <v>0</v>
      </c>
      <c r="P1552" s="58"/>
      <c r="Q1552" s="73"/>
      <c r="R1552" s="57"/>
      <c r="S1552" s="57"/>
      <c r="T1552" s="57"/>
      <c r="U1552" s="57"/>
      <c r="V1552" s="73">
        <f t="shared" si="68"/>
        <v>0</v>
      </c>
      <c r="W1552" s="106"/>
      <c r="X1552" s="64"/>
    </row>
    <row r="1553" spans="1:24" s="66" customFormat="1" ht="12" hidden="1" customHeight="1">
      <c r="A1553" s="81" t="s">
        <v>3393</v>
      </c>
      <c r="B1553" s="81"/>
      <c r="C1553" s="81"/>
      <c r="D1553" s="81"/>
      <c r="E1553" s="81"/>
      <c r="F1553" s="81"/>
      <c r="G1553" s="81"/>
      <c r="H1553" s="81"/>
      <c r="I1553" s="81" t="s">
        <v>2223</v>
      </c>
      <c r="J1553" s="81" t="s">
        <v>2224</v>
      </c>
      <c r="K1553" s="81" t="s">
        <v>3394</v>
      </c>
      <c r="L1553" s="81" t="s">
        <v>20</v>
      </c>
      <c r="M1553" s="68"/>
      <c r="N1553" s="82">
        <v>16200</v>
      </c>
      <c r="O1553" s="57">
        <f t="shared" si="69"/>
        <v>0</v>
      </c>
      <c r="P1553" s="58"/>
      <c r="Q1553" s="73"/>
      <c r="R1553" s="57"/>
      <c r="S1553" s="57"/>
      <c r="T1553" s="57"/>
      <c r="U1553" s="57"/>
      <c r="V1553" s="73">
        <f t="shared" si="68"/>
        <v>0</v>
      </c>
      <c r="W1553" s="106"/>
      <c r="X1553" s="64"/>
    </row>
    <row r="1554" spans="1:24" s="66" customFormat="1" ht="12" hidden="1" customHeight="1">
      <c r="A1554" s="81" t="s">
        <v>3395</v>
      </c>
      <c r="B1554" s="81"/>
      <c r="C1554" s="81"/>
      <c r="D1554" s="81"/>
      <c r="E1554" s="81"/>
      <c r="F1554" s="81"/>
      <c r="G1554" s="81"/>
      <c r="H1554" s="81"/>
      <c r="I1554" s="81" t="s">
        <v>2223</v>
      </c>
      <c r="J1554" s="81" t="s">
        <v>2224</v>
      </c>
      <c r="K1554" s="81" t="s">
        <v>3396</v>
      </c>
      <c r="L1554" s="81" t="s">
        <v>20</v>
      </c>
      <c r="M1554" s="68"/>
      <c r="N1554" s="82">
        <v>17380</v>
      </c>
      <c r="O1554" s="57">
        <f t="shared" si="69"/>
        <v>0</v>
      </c>
      <c r="P1554" s="58"/>
      <c r="Q1554" s="73"/>
      <c r="R1554" s="57"/>
      <c r="S1554" s="57"/>
      <c r="T1554" s="57"/>
      <c r="U1554" s="57"/>
      <c r="V1554" s="73">
        <f t="shared" si="68"/>
        <v>0</v>
      </c>
      <c r="W1554" s="106"/>
      <c r="X1554" s="64"/>
    </row>
    <row r="1555" spans="1:24" s="66" customFormat="1" ht="12" hidden="1" customHeight="1">
      <c r="A1555" s="81" t="s">
        <v>3397</v>
      </c>
      <c r="B1555" s="81"/>
      <c r="C1555" s="81"/>
      <c r="D1555" s="81"/>
      <c r="E1555" s="81"/>
      <c r="F1555" s="81"/>
      <c r="G1555" s="81"/>
      <c r="H1555" s="81"/>
      <c r="I1555" s="81" t="s">
        <v>2223</v>
      </c>
      <c r="J1555" s="81" t="s">
        <v>2224</v>
      </c>
      <c r="K1555" s="81" t="s">
        <v>3398</v>
      </c>
      <c r="L1555" s="81" t="s">
        <v>20</v>
      </c>
      <c r="M1555" s="68"/>
      <c r="N1555" s="82">
        <v>18600</v>
      </c>
      <c r="O1555" s="57">
        <f t="shared" si="69"/>
        <v>0</v>
      </c>
      <c r="P1555" s="58"/>
      <c r="Q1555" s="73"/>
      <c r="R1555" s="57"/>
      <c r="S1555" s="57"/>
      <c r="T1555" s="57"/>
      <c r="U1555" s="57"/>
      <c r="V1555" s="73">
        <f t="shared" si="68"/>
        <v>0</v>
      </c>
      <c r="W1555" s="106"/>
      <c r="X1555" s="64"/>
    </row>
    <row r="1556" spans="1:24" s="66" customFormat="1" ht="12" hidden="1" customHeight="1">
      <c r="A1556" s="81" t="s">
        <v>3399</v>
      </c>
      <c r="B1556" s="81"/>
      <c r="C1556" s="81"/>
      <c r="D1556" s="81"/>
      <c r="E1556" s="81"/>
      <c r="F1556" s="81"/>
      <c r="G1556" s="81"/>
      <c r="H1556" s="81"/>
      <c r="I1556" s="81" t="s">
        <v>2223</v>
      </c>
      <c r="J1556" s="81" t="s">
        <v>2224</v>
      </c>
      <c r="K1556" s="81" t="s">
        <v>3400</v>
      </c>
      <c r="L1556" s="81" t="s">
        <v>20</v>
      </c>
      <c r="M1556" s="68"/>
      <c r="N1556" s="82">
        <v>21190</v>
      </c>
      <c r="O1556" s="57">
        <f t="shared" si="69"/>
        <v>0</v>
      </c>
      <c r="P1556" s="58"/>
      <c r="Q1556" s="73"/>
      <c r="R1556" s="57"/>
      <c r="S1556" s="57"/>
      <c r="T1556" s="57"/>
      <c r="U1556" s="57"/>
      <c r="V1556" s="73">
        <f t="shared" si="68"/>
        <v>0</v>
      </c>
      <c r="W1556" s="106"/>
      <c r="X1556" s="64"/>
    </row>
    <row r="1557" spans="1:24" s="66" customFormat="1" ht="12" hidden="1" customHeight="1">
      <c r="A1557" s="81" t="s">
        <v>3404</v>
      </c>
      <c r="B1557" s="81"/>
      <c r="C1557" s="81"/>
      <c r="D1557" s="81"/>
      <c r="E1557" s="81"/>
      <c r="F1557" s="81"/>
      <c r="G1557" s="81"/>
      <c r="H1557" s="81"/>
      <c r="I1557" s="81" t="s">
        <v>2238</v>
      </c>
      <c r="J1557" s="81" t="s">
        <v>3401</v>
      </c>
      <c r="K1557" s="81" t="s">
        <v>3405</v>
      </c>
      <c r="L1557" s="81" t="s">
        <v>20</v>
      </c>
      <c r="M1557" s="68"/>
      <c r="N1557" s="82">
        <v>380</v>
      </c>
      <c r="O1557" s="57">
        <f t="shared" si="69"/>
        <v>0</v>
      </c>
      <c r="P1557" s="58"/>
      <c r="Q1557" s="73"/>
      <c r="R1557" s="57"/>
      <c r="S1557" s="57"/>
      <c r="T1557" s="57"/>
      <c r="U1557" s="57"/>
      <c r="V1557" s="73">
        <f t="shared" si="68"/>
        <v>0</v>
      </c>
      <c r="W1557" s="106"/>
      <c r="X1557" s="64"/>
    </row>
    <row r="1558" spans="1:24" s="66" customFormat="1" ht="12" hidden="1" customHeight="1">
      <c r="A1558" s="81" t="s">
        <v>3402</v>
      </c>
      <c r="B1558" s="81"/>
      <c r="C1558" s="81"/>
      <c r="D1558" s="81"/>
      <c r="E1558" s="81"/>
      <c r="F1558" s="81"/>
      <c r="G1558" s="81"/>
      <c r="H1558" s="81"/>
      <c r="I1558" s="81" t="s">
        <v>2236</v>
      </c>
      <c r="J1558" s="81" t="s">
        <v>2262</v>
      </c>
      <c r="K1558" s="81" t="s">
        <v>3403</v>
      </c>
      <c r="L1558" s="81" t="s">
        <v>20</v>
      </c>
      <c r="M1558" s="68"/>
      <c r="N1558" s="68">
        <v>1620</v>
      </c>
      <c r="O1558" s="57">
        <f t="shared" si="69"/>
        <v>0</v>
      </c>
      <c r="P1558" s="58"/>
      <c r="Q1558" s="73"/>
      <c r="R1558" s="57"/>
      <c r="S1558" s="57"/>
      <c r="T1558" s="57"/>
      <c r="U1558" s="57"/>
      <c r="V1558" s="73">
        <f t="shared" si="68"/>
        <v>0</v>
      </c>
      <c r="W1558" s="106"/>
      <c r="X1558" s="64"/>
    </row>
    <row r="1559" spans="1:24" s="66" customFormat="1" ht="12" hidden="1" customHeight="1">
      <c r="A1559" s="81" t="s">
        <v>2263</v>
      </c>
      <c r="B1559" s="81"/>
      <c r="C1559" s="81"/>
      <c r="D1559" s="81"/>
      <c r="E1559" s="81"/>
      <c r="F1559" s="81"/>
      <c r="G1559" s="81"/>
      <c r="H1559" s="81"/>
      <c r="I1559" s="81" t="s">
        <v>2264</v>
      </c>
      <c r="J1559" s="81" t="s">
        <v>2265</v>
      </c>
      <c r="K1559" s="81" t="s">
        <v>2266</v>
      </c>
      <c r="L1559" s="81" t="s">
        <v>20</v>
      </c>
      <c r="M1559" s="68"/>
      <c r="N1559" s="82">
        <v>1600</v>
      </c>
      <c r="O1559" s="57">
        <f t="shared" si="69"/>
        <v>0</v>
      </c>
      <c r="P1559" s="58"/>
      <c r="Q1559" s="73"/>
      <c r="R1559" s="57"/>
      <c r="S1559" s="57"/>
      <c r="T1559" s="57"/>
      <c r="U1559" s="57"/>
      <c r="V1559" s="73">
        <f t="shared" ref="V1559:V1562" si="70">SUM(O1559+Q1559)+S1559+U1559</f>
        <v>0</v>
      </c>
      <c r="W1559" s="106"/>
      <c r="X1559" s="64"/>
    </row>
    <row r="1560" spans="1:24" s="66" customFormat="1" ht="12" hidden="1" customHeight="1">
      <c r="A1560" s="81" t="s">
        <v>2260</v>
      </c>
      <c r="B1560" s="81"/>
      <c r="C1560" s="81"/>
      <c r="D1560" s="81"/>
      <c r="E1560" s="81"/>
      <c r="F1560" s="81"/>
      <c r="G1560" s="81"/>
      <c r="H1560" s="81"/>
      <c r="I1560" s="81" t="s">
        <v>2236</v>
      </c>
      <c r="J1560" s="81" t="s">
        <v>2237</v>
      </c>
      <c r="K1560" s="81" t="s">
        <v>2261</v>
      </c>
      <c r="L1560" s="81" t="s">
        <v>20</v>
      </c>
      <c r="M1560" s="68"/>
      <c r="N1560" s="82">
        <v>1620</v>
      </c>
      <c r="O1560" s="57">
        <f t="shared" si="69"/>
        <v>0</v>
      </c>
      <c r="P1560" s="58"/>
      <c r="Q1560" s="73"/>
      <c r="R1560" s="57"/>
      <c r="S1560" s="57"/>
      <c r="T1560" s="57"/>
      <c r="U1560" s="57"/>
      <c r="V1560" s="73">
        <f>SUM(O1560+Q1560)+S1560+U1560</f>
        <v>0</v>
      </c>
      <c r="W1560" s="106"/>
      <c r="X1560" s="64"/>
    </row>
    <row r="1561" spans="1:24" s="66" customFormat="1" ht="12" hidden="1" customHeight="1">
      <c r="A1561" s="81" t="s">
        <v>2795</v>
      </c>
      <c r="B1561" s="81"/>
      <c r="C1561" s="81"/>
      <c r="D1561" s="81"/>
      <c r="E1561" s="81"/>
      <c r="F1561" s="81"/>
      <c r="G1561" s="81"/>
      <c r="H1561" s="81"/>
      <c r="I1561" s="81" t="s">
        <v>2784</v>
      </c>
      <c r="J1561" s="81" t="s">
        <v>1218</v>
      </c>
      <c r="K1561" s="81" t="s">
        <v>1230</v>
      </c>
      <c r="L1561" s="81" t="s">
        <v>974</v>
      </c>
      <c r="M1561" s="68"/>
      <c r="N1561" s="82">
        <v>13700</v>
      </c>
      <c r="O1561" s="57">
        <f t="shared" si="69"/>
        <v>0</v>
      </c>
      <c r="P1561" s="58"/>
      <c r="Q1561" s="73"/>
      <c r="R1561" s="57"/>
      <c r="S1561" s="57"/>
      <c r="T1561" s="57"/>
      <c r="U1561" s="57"/>
      <c r="V1561" s="73">
        <f t="shared" si="70"/>
        <v>0</v>
      </c>
      <c r="W1561" s="106"/>
      <c r="X1561" s="64"/>
    </row>
    <row r="1562" spans="1:24" s="66" customFormat="1" ht="12" hidden="1" customHeight="1">
      <c r="A1562" s="81" t="s">
        <v>2783</v>
      </c>
      <c r="B1562" s="81"/>
      <c r="C1562" s="81"/>
      <c r="D1562" s="81"/>
      <c r="E1562" s="81"/>
      <c r="F1562" s="81"/>
      <c r="G1562" s="81"/>
      <c r="H1562" s="81"/>
      <c r="I1562" s="81" t="s">
        <v>2784</v>
      </c>
      <c r="J1562" s="81" t="s">
        <v>1218</v>
      </c>
      <c r="K1562" s="81" t="s">
        <v>1229</v>
      </c>
      <c r="L1562" s="81" t="s">
        <v>974</v>
      </c>
      <c r="M1562" s="68"/>
      <c r="N1562" s="82">
        <v>14450</v>
      </c>
      <c r="O1562" s="57">
        <f t="shared" si="69"/>
        <v>0</v>
      </c>
      <c r="P1562" s="58"/>
      <c r="Q1562" s="73"/>
      <c r="R1562" s="57"/>
      <c r="S1562" s="57"/>
      <c r="T1562" s="57"/>
      <c r="U1562" s="57"/>
      <c r="V1562" s="73">
        <f t="shared" si="70"/>
        <v>0</v>
      </c>
      <c r="W1562" s="106"/>
      <c r="X1562" s="64"/>
    </row>
    <row r="1563" spans="1:24" s="66" customFormat="1" ht="12" hidden="1" customHeight="1">
      <c r="A1563" s="81" t="s">
        <v>2790</v>
      </c>
      <c r="B1563" s="81"/>
      <c r="C1563" s="81"/>
      <c r="D1563" s="81"/>
      <c r="E1563" s="81"/>
      <c r="F1563" s="81"/>
      <c r="G1563" s="81"/>
      <c r="H1563" s="81"/>
      <c r="I1563" s="81" t="s">
        <v>2784</v>
      </c>
      <c r="J1563" s="81" t="s">
        <v>1218</v>
      </c>
      <c r="K1563" s="81" t="s">
        <v>1228</v>
      </c>
      <c r="L1563" s="81" t="s">
        <v>974</v>
      </c>
      <c r="M1563" s="68"/>
      <c r="N1563" s="82">
        <v>26340</v>
      </c>
      <c r="O1563" s="57">
        <f t="shared" si="69"/>
        <v>0</v>
      </c>
      <c r="P1563" s="58"/>
      <c r="Q1563" s="73"/>
      <c r="R1563" s="57"/>
      <c r="S1563" s="57"/>
      <c r="T1563" s="57"/>
      <c r="U1563" s="57"/>
      <c r="V1563" s="73">
        <f t="shared" ref="V1563:V1626" si="71">SUM(O1563+Q1563)+S1563+U1563</f>
        <v>0</v>
      </c>
      <c r="W1563" s="106"/>
      <c r="X1563" s="64"/>
    </row>
    <row r="1564" spans="1:24" s="66" customFormat="1" ht="12" hidden="1" customHeight="1">
      <c r="A1564" s="81" t="s">
        <v>2797</v>
      </c>
      <c r="B1564" s="81"/>
      <c r="C1564" s="81"/>
      <c r="D1564" s="81"/>
      <c r="E1564" s="81"/>
      <c r="F1564" s="81"/>
      <c r="G1564" s="81"/>
      <c r="H1564" s="81"/>
      <c r="I1564" s="81" t="s">
        <v>2784</v>
      </c>
      <c r="J1564" s="81" t="s">
        <v>1218</v>
      </c>
      <c r="K1564" s="81" t="s">
        <v>1227</v>
      </c>
      <c r="L1564" s="81" t="s">
        <v>974</v>
      </c>
      <c r="M1564" s="68"/>
      <c r="N1564" s="82">
        <v>15720</v>
      </c>
      <c r="O1564" s="57">
        <f t="shared" si="69"/>
        <v>0</v>
      </c>
      <c r="P1564" s="58"/>
      <c r="Q1564" s="73"/>
      <c r="R1564" s="57"/>
      <c r="S1564" s="57"/>
      <c r="T1564" s="57"/>
      <c r="U1564" s="57"/>
      <c r="V1564" s="73">
        <f t="shared" si="71"/>
        <v>0</v>
      </c>
      <c r="W1564" s="106"/>
      <c r="X1564" s="64"/>
    </row>
    <row r="1565" spans="1:24" s="66" customFormat="1" ht="12" hidden="1" customHeight="1">
      <c r="A1565" s="81" t="s">
        <v>2787</v>
      </c>
      <c r="B1565" s="81"/>
      <c r="C1565" s="81"/>
      <c r="D1565" s="81"/>
      <c r="E1565" s="81"/>
      <c r="F1565" s="81"/>
      <c r="G1565" s="81"/>
      <c r="H1565" s="81"/>
      <c r="I1565" s="81" t="s">
        <v>2784</v>
      </c>
      <c r="J1565" s="81" t="s">
        <v>1218</v>
      </c>
      <c r="K1565" s="81" t="s">
        <v>1226</v>
      </c>
      <c r="L1565" s="81" t="s">
        <v>974</v>
      </c>
      <c r="M1565" s="68"/>
      <c r="N1565" s="82">
        <v>15830</v>
      </c>
      <c r="O1565" s="57">
        <f t="shared" si="69"/>
        <v>0</v>
      </c>
      <c r="P1565" s="58"/>
      <c r="Q1565" s="73"/>
      <c r="R1565" s="57"/>
      <c r="S1565" s="57"/>
      <c r="T1565" s="57"/>
      <c r="U1565" s="57"/>
      <c r="V1565" s="73">
        <f t="shared" si="71"/>
        <v>0</v>
      </c>
      <c r="W1565" s="106"/>
      <c r="X1565" s="64"/>
    </row>
    <row r="1566" spans="1:24" s="66" customFormat="1" ht="12" hidden="1" customHeight="1">
      <c r="A1566" s="81" t="s">
        <v>2793</v>
      </c>
      <c r="B1566" s="81"/>
      <c r="C1566" s="81"/>
      <c r="D1566" s="81"/>
      <c r="E1566" s="81"/>
      <c r="F1566" s="81"/>
      <c r="G1566" s="81"/>
      <c r="H1566" s="81"/>
      <c r="I1566" s="81" t="s">
        <v>2784</v>
      </c>
      <c r="J1566" s="81" t="s">
        <v>1218</v>
      </c>
      <c r="K1566" s="81" t="s">
        <v>1225</v>
      </c>
      <c r="L1566" s="81" t="s">
        <v>974</v>
      </c>
      <c r="M1566" s="68"/>
      <c r="N1566" s="82">
        <v>29740</v>
      </c>
      <c r="O1566" s="57">
        <f t="shared" si="69"/>
        <v>0</v>
      </c>
      <c r="P1566" s="58"/>
      <c r="Q1566" s="73"/>
      <c r="R1566" s="57"/>
      <c r="S1566" s="57"/>
      <c r="T1566" s="57"/>
      <c r="U1566" s="57"/>
      <c r="V1566" s="73">
        <f t="shared" si="71"/>
        <v>0</v>
      </c>
      <c r="W1566" s="106"/>
      <c r="X1566" s="64"/>
    </row>
    <row r="1567" spans="1:24" s="66" customFormat="1" ht="12" hidden="1" customHeight="1">
      <c r="A1567" s="81" t="s">
        <v>2796</v>
      </c>
      <c r="B1567" s="81"/>
      <c r="C1567" s="81"/>
      <c r="D1567" s="81"/>
      <c r="E1567" s="81"/>
      <c r="F1567" s="81"/>
      <c r="G1567" s="81"/>
      <c r="H1567" s="81"/>
      <c r="I1567" s="81" t="s">
        <v>2784</v>
      </c>
      <c r="J1567" s="81" t="s">
        <v>1218</v>
      </c>
      <c r="K1567" s="81" t="s">
        <v>2800</v>
      </c>
      <c r="L1567" s="81" t="s">
        <v>974</v>
      </c>
      <c r="M1567" s="68"/>
      <c r="N1567" s="82">
        <v>16470</v>
      </c>
      <c r="O1567" s="57">
        <f t="shared" si="69"/>
        <v>0</v>
      </c>
      <c r="P1567" s="58"/>
      <c r="Q1567" s="73"/>
      <c r="R1567" s="57"/>
      <c r="S1567" s="57"/>
      <c r="T1567" s="57"/>
      <c r="U1567" s="57"/>
      <c r="V1567" s="73">
        <f t="shared" si="71"/>
        <v>0</v>
      </c>
      <c r="W1567" s="106"/>
      <c r="X1567" s="64"/>
    </row>
    <row r="1568" spans="1:24" s="66" customFormat="1" ht="12" hidden="1" customHeight="1">
      <c r="A1568" s="81" t="s">
        <v>2785</v>
      </c>
      <c r="B1568" s="81"/>
      <c r="C1568" s="81"/>
      <c r="D1568" s="81"/>
      <c r="E1568" s="81"/>
      <c r="F1568" s="81"/>
      <c r="G1568" s="81"/>
      <c r="H1568" s="81"/>
      <c r="I1568" s="81" t="s">
        <v>2784</v>
      </c>
      <c r="J1568" s="81" t="s">
        <v>1218</v>
      </c>
      <c r="K1568" s="81" t="s">
        <v>2786</v>
      </c>
      <c r="L1568" s="81" t="s">
        <v>974</v>
      </c>
      <c r="M1568" s="68"/>
      <c r="N1568" s="82">
        <v>17210</v>
      </c>
      <c r="O1568" s="57">
        <f t="shared" si="69"/>
        <v>0</v>
      </c>
      <c r="P1568" s="58"/>
      <c r="Q1568" s="73"/>
      <c r="R1568" s="57"/>
      <c r="S1568" s="57"/>
      <c r="T1568" s="57"/>
      <c r="U1568" s="57"/>
      <c r="V1568" s="73">
        <f t="shared" si="71"/>
        <v>0</v>
      </c>
      <c r="W1568" s="106"/>
      <c r="X1568" s="64"/>
    </row>
    <row r="1569" spans="1:24" s="66" customFormat="1" ht="12" hidden="1" customHeight="1">
      <c r="A1569" s="81" t="s">
        <v>2791</v>
      </c>
      <c r="B1569" s="81"/>
      <c r="C1569" s="81"/>
      <c r="D1569" s="81"/>
      <c r="E1569" s="81"/>
      <c r="F1569" s="81"/>
      <c r="G1569" s="81"/>
      <c r="H1569" s="81"/>
      <c r="I1569" s="81" t="s">
        <v>2784</v>
      </c>
      <c r="J1569" s="81" t="s">
        <v>1218</v>
      </c>
      <c r="K1569" s="81" t="s">
        <v>2792</v>
      </c>
      <c r="L1569" s="81" t="s">
        <v>974</v>
      </c>
      <c r="M1569" s="68"/>
      <c r="N1569" s="82">
        <v>31020</v>
      </c>
      <c r="O1569" s="57">
        <f t="shared" si="69"/>
        <v>0</v>
      </c>
      <c r="P1569" s="58"/>
      <c r="Q1569" s="73"/>
      <c r="R1569" s="57"/>
      <c r="S1569" s="57"/>
      <c r="T1569" s="57"/>
      <c r="U1569" s="57"/>
      <c r="V1569" s="73">
        <f t="shared" si="71"/>
        <v>0</v>
      </c>
      <c r="W1569" s="106"/>
      <c r="X1569" s="64"/>
    </row>
    <row r="1570" spans="1:24" s="66" customFormat="1" ht="12" hidden="1" customHeight="1">
      <c r="A1570" s="81" t="s">
        <v>2798</v>
      </c>
      <c r="B1570" s="81"/>
      <c r="C1570" s="81"/>
      <c r="D1570" s="81"/>
      <c r="E1570" s="81"/>
      <c r="F1570" s="81"/>
      <c r="G1570" s="81"/>
      <c r="H1570" s="81"/>
      <c r="I1570" s="81" t="s">
        <v>2784</v>
      </c>
      <c r="J1570" s="81" t="s">
        <v>1218</v>
      </c>
      <c r="K1570" s="81" t="s">
        <v>2801</v>
      </c>
      <c r="L1570" s="81" t="s">
        <v>974</v>
      </c>
      <c r="M1570" s="68"/>
      <c r="N1570" s="82">
        <v>18590</v>
      </c>
      <c r="O1570" s="57">
        <f t="shared" si="69"/>
        <v>0</v>
      </c>
      <c r="P1570" s="58"/>
      <c r="Q1570" s="73"/>
      <c r="R1570" s="57"/>
      <c r="S1570" s="57"/>
      <c r="T1570" s="57"/>
      <c r="U1570" s="57"/>
      <c r="V1570" s="73">
        <f t="shared" si="71"/>
        <v>0</v>
      </c>
      <c r="W1570" s="106"/>
      <c r="X1570" s="64"/>
    </row>
    <row r="1571" spans="1:24" s="66" customFormat="1" ht="12" hidden="1" customHeight="1">
      <c r="A1571" s="81" t="s">
        <v>2788</v>
      </c>
      <c r="B1571" s="81"/>
      <c r="C1571" s="81"/>
      <c r="D1571" s="81"/>
      <c r="E1571" s="81"/>
      <c r="F1571" s="81"/>
      <c r="G1571" s="81"/>
      <c r="H1571" s="81"/>
      <c r="I1571" s="81" t="s">
        <v>2784</v>
      </c>
      <c r="J1571" s="81" t="s">
        <v>1218</v>
      </c>
      <c r="K1571" s="81" t="s">
        <v>2789</v>
      </c>
      <c r="L1571" s="81" t="s">
        <v>974</v>
      </c>
      <c r="M1571" s="68"/>
      <c r="N1571" s="82">
        <v>19120</v>
      </c>
      <c r="O1571" s="57">
        <f t="shared" si="69"/>
        <v>0</v>
      </c>
      <c r="P1571" s="58"/>
      <c r="Q1571" s="73"/>
      <c r="R1571" s="57"/>
      <c r="S1571" s="57"/>
      <c r="T1571" s="57"/>
      <c r="U1571" s="57"/>
      <c r="V1571" s="73">
        <f t="shared" si="71"/>
        <v>0</v>
      </c>
      <c r="W1571" s="106"/>
      <c r="X1571" s="64"/>
    </row>
    <row r="1572" spans="1:24" s="66" customFormat="1" ht="12" hidden="1" customHeight="1">
      <c r="A1572" s="81" t="s">
        <v>2794</v>
      </c>
      <c r="B1572" s="81"/>
      <c r="C1572" s="81"/>
      <c r="D1572" s="81"/>
      <c r="E1572" s="81"/>
      <c r="F1572" s="81"/>
      <c r="G1572" s="81"/>
      <c r="H1572" s="81"/>
      <c r="I1572" s="81" t="s">
        <v>2784</v>
      </c>
      <c r="J1572" s="81" t="s">
        <v>1218</v>
      </c>
      <c r="K1572" s="81" t="s">
        <v>2799</v>
      </c>
      <c r="L1572" s="81" t="s">
        <v>974</v>
      </c>
      <c r="M1572" s="68"/>
      <c r="N1572" s="82">
        <v>35480</v>
      </c>
      <c r="O1572" s="57">
        <f t="shared" si="69"/>
        <v>0</v>
      </c>
      <c r="P1572" s="58"/>
      <c r="Q1572" s="73"/>
      <c r="R1572" s="57"/>
      <c r="S1572" s="57"/>
      <c r="T1572" s="57"/>
      <c r="U1572" s="57"/>
      <c r="V1572" s="73">
        <f t="shared" si="71"/>
        <v>0</v>
      </c>
      <c r="W1572" s="106"/>
      <c r="X1572" s="64"/>
    </row>
    <row r="1573" spans="1:24" s="66" customFormat="1" ht="12" hidden="1" customHeight="1">
      <c r="A1573" s="81" t="s">
        <v>2804</v>
      </c>
      <c r="B1573" s="81"/>
      <c r="C1573" s="81"/>
      <c r="D1573" s="81"/>
      <c r="E1573" s="81"/>
      <c r="F1573" s="81"/>
      <c r="G1573" s="81"/>
      <c r="H1573" s="81"/>
      <c r="I1573" s="81" t="s">
        <v>2784</v>
      </c>
      <c r="J1573" s="81" t="s">
        <v>1218</v>
      </c>
      <c r="K1573" s="81" t="s">
        <v>1224</v>
      </c>
      <c r="L1573" s="81" t="s">
        <v>974</v>
      </c>
      <c r="M1573" s="68"/>
      <c r="N1573" s="82">
        <v>38240</v>
      </c>
      <c r="O1573" s="57">
        <f t="shared" si="69"/>
        <v>0</v>
      </c>
      <c r="P1573" s="58"/>
      <c r="Q1573" s="73"/>
      <c r="R1573" s="57"/>
      <c r="S1573" s="57"/>
      <c r="T1573" s="57"/>
      <c r="U1573" s="57"/>
      <c r="V1573" s="73">
        <f t="shared" si="71"/>
        <v>0</v>
      </c>
      <c r="W1573" s="106"/>
      <c r="X1573" s="64"/>
    </row>
    <row r="1574" spans="1:24" s="66" customFormat="1" ht="12" hidden="1" customHeight="1">
      <c r="A1574" s="81" t="s">
        <v>2805</v>
      </c>
      <c r="B1574" s="81"/>
      <c r="C1574" s="81"/>
      <c r="D1574" s="81"/>
      <c r="E1574" s="81"/>
      <c r="F1574" s="81"/>
      <c r="G1574" s="81"/>
      <c r="H1574" s="81"/>
      <c r="I1574" s="81" t="s">
        <v>2784</v>
      </c>
      <c r="J1574" s="81" t="s">
        <v>1218</v>
      </c>
      <c r="K1574" s="81" t="s">
        <v>1223</v>
      </c>
      <c r="L1574" s="81" t="s">
        <v>974</v>
      </c>
      <c r="M1574" s="68"/>
      <c r="N1574" s="82">
        <v>46200</v>
      </c>
      <c r="O1574" s="57">
        <f t="shared" si="69"/>
        <v>0</v>
      </c>
      <c r="P1574" s="58"/>
      <c r="Q1574" s="73"/>
      <c r="R1574" s="57"/>
      <c r="S1574" s="57"/>
      <c r="T1574" s="57"/>
      <c r="U1574" s="57"/>
      <c r="V1574" s="73">
        <f t="shared" si="71"/>
        <v>0</v>
      </c>
      <c r="W1574" s="106"/>
      <c r="X1574" s="64"/>
    </row>
    <row r="1575" spans="1:24" s="66" customFormat="1" ht="12" hidden="1" customHeight="1">
      <c r="A1575" s="81" t="s">
        <v>2806</v>
      </c>
      <c r="B1575" s="81"/>
      <c r="C1575" s="81"/>
      <c r="D1575" s="81"/>
      <c r="E1575" s="81"/>
      <c r="F1575" s="81"/>
      <c r="G1575" s="81"/>
      <c r="H1575" s="81"/>
      <c r="I1575" s="81" t="s">
        <v>2784</v>
      </c>
      <c r="J1575" s="81" t="s">
        <v>1218</v>
      </c>
      <c r="K1575" s="81" t="s">
        <v>1222</v>
      </c>
      <c r="L1575" s="81" t="s">
        <v>974</v>
      </c>
      <c r="M1575" s="68"/>
      <c r="N1575" s="82">
        <v>41530</v>
      </c>
      <c r="O1575" s="57">
        <f t="shared" si="69"/>
        <v>0</v>
      </c>
      <c r="P1575" s="58"/>
      <c r="Q1575" s="73"/>
      <c r="R1575" s="57"/>
      <c r="S1575" s="57"/>
      <c r="T1575" s="57"/>
      <c r="U1575" s="57"/>
      <c r="V1575" s="73">
        <f t="shared" si="71"/>
        <v>0</v>
      </c>
      <c r="W1575" s="106"/>
      <c r="X1575" s="64"/>
    </row>
    <row r="1576" spans="1:24" s="66" customFormat="1" ht="12" hidden="1" customHeight="1">
      <c r="A1576" s="81" t="s">
        <v>2807</v>
      </c>
      <c r="B1576" s="81"/>
      <c r="C1576" s="81"/>
      <c r="D1576" s="81"/>
      <c r="E1576" s="81"/>
      <c r="F1576" s="81"/>
      <c r="G1576" s="81"/>
      <c r="H1576" s="81"/>
      <c r="I1576" s="81" t="s">
        <v>2784</v>
      </c>
      <c r="J1576" s="81" t="s">
        <v>1218</v>
      </c>
      <c r="K1576" s="81" t="s">
        <v>1221</v>
      </c>
      <c r="L1576" s="81" t="s">
        <v>974</v>
      </c>
      <c r="M1576" s="68"/>
      <c r="N1576" s="82">
        <v>51090</v>
      </c>
      <c r="O1576" s="57">
        <f t="shared" si="69"/>
        <v>0</v>
      </c>
      <c r="P1576" s="58"/>
      <c r="Q1576" s="73"/>
      <c r="R1576" s="57"/>
      <c r="S1576" s="57"/>
      <c r="T1576" s="57"/>
      <c r="U1576" s="57"/>
      <c r="V1576" s="73">
        <f t="shared" si="71"/>
        <v>0</v>
      </c>
      <c r="W1576" s="106"/>
      <c r="X1576" s="64"/>
    </row>
    <row r="1577" spans="1:24" s="66" customFormat="1" ht="12" hidden="1" customHeight="1">
      <c r="A1577" s="81" t="s">
        <v>2802</v>
      </c>
      <c r="B1577" s="81"/>
      <c r="C1577" s="81"/>
      <c r="D1577" s="81"/>
      <c r="E1577" s="81"/>
      <c r="F1577" s="81"/>
      <c r="G1577" s="81"/>
      <c r="H1577" s="81"/>
      <c r="I1577" s="81" t="s">
        <v>2784</v>
      </c>
      <c r="J1577" s="81" t="s">
        <v>1218</v>
      </c>
      <c r="K1577" s="81" t="s">
        <v>1220</v>
      </c>
      <c r="L1577" s="81" t="s">
        <v>974</v>
      </c>
      <c r="M1577" s="68"/>
      <c r="N1577" s="82">
        <v>81890</v>
      </c>
      <c r="O1577" s="57">
        <f t="shared" si="69"/>
        <v>0</v>
      </c>
      <c r="P1577" s="58"/>
      <c r="Q1577" s="73"/>
      <c r="R1577" s="57"/>
      <c r="S1577" s="57"/>
      <c r="T1577" s="57"/>
      <c r="U1577" s="57"/>
      <c r="V1577" s="73">
        <f t="shared" si="71"/>
        <v>0</v>
      </c>
      <c r="W1577" s="106"/>
      <c r="X1577" s="64"/>
    </row>
    <row r="1578" spans="1:24" s="66" customFormat="1" ht="12" hidden="1" customHeight="1">
      <c r="A1578" s="81" t="s">
        <v>2803</v>
      </c>
      <c r="B1578" s="81"/>
      <c r="C1578" s="81"/>
      <c r="D1578" s="81"/>
      <c r="E1578" s="81"/>
      <c r="F1578" s="81"/>
      <c r="G1578" s="81"/>
      <c r="H1578" s="81"/>
      <c r="I1578" s="81" t="s">
        <v>2784</v>
      </c>
      <c r="J1578" s="81" t="s">
        <v>1218</v>
      </c>
      <c r="K1578" s="81" t="s">
        <v>1219</v>
      </c>
      <c r="L1578" s="81" t="s">
        <v>974</v>
      </c>
      <c r="M1578" s="57"/>
      <c r="N1578" s="82">
        <v>93890</v>
      </c>
      <c r="O1578" s="57">
        <f t="shared" ref="O1578:O1641" si="72">M1578*N1578*$O$3</f>
        <v>0</v>
      </c>
      <c r="P1578" s="58"/>
      <c r="Q1578" s="73"/>
      <c r="R1578" s="57"/>
      <c r="S1578" s="57"/>
      <c r="T1578" s="57"/>
      <c r="U1578" s="57"/>
      <c r="V1578" s="73">
        <f t="shared" si="71"/>
        <v>0</v>
      </c>
      <c r="W1578" s="106"/>
      <c r="X1578" s="64"/>
    </row>
    <row r="1579" spans="1:24" s="66" customFormat="1" ht="12" hidden="1" customHeight="1">
      <c r="A1579" s="81" t="s">
        <v>2825</v>
      </c>
      <c r="B1579" s="81"/>
      <c r="C1579" s="81"/>
      <c r="D1579" s="81"/>
      <c r="E1579" s="81"/>
      <c r="F1579" s="81"/>
      <c r="G1579" s="81"/>
      <c r="H1579" s="81"/>
      <c r="I1579" s="81" t="s">
        <v>2784</v>
      </c>
      <c r="J1579" s="81" t="s">
        <v>1218</v>
      </c>
      <c r="K1579" s="81" t="s">
        <v>2832</v>
      </c>
      <c r="L1579" s="81" t="s">
        <v>974</v>
      </c>
      <c r="M1579" s="57"/>
      <c r="N1579" s="82">
        <v>39940</v>
      </c>
      <c r="O1579" s="57">
        <f t="shared" si="72"/>
        <v>0</v>
      </c>
      <c r="P1579" s="58"/>
      <c r="Q1579" s="73"/>
      <c r="R1579" s="57"/>
      <c r="S1579" s="57"/>
      <c r="T1579" s="57"/>
      <c r="U1579" s="57"/>
      <c r="V1579" s="73">
        <f t="shared" si="71"/>
        <v>0</v>
      </c>
      <c r="W1579" s="106"/>
      <c r="X1579" s="64"/>
    </row>
    <row r="1580" spans="1:24" s="66" customFormat="1" ht="12" hidden="1" customHeight="1">
      <c r="A1580" s="81" t="s">
        <v>2826</v>
      </c>
      <c r="B1580" s="81"/>
      <c r="C1580" s="81"/>
      <c r="D1580" s="81"/>
      <c r="E1580" s="81"/>
      <c r="F1580" s="81"/>
      <c r="G1580" s="81"/>
      <c r="H1580" s="81"/>
      <c r="I1580" s="81" t="s">
        <v>2784</v>
      </c>
      <c r="J1580" s="81" t="s">
        <v>1218</v>
      </c>
      <c r="K1580" s="81" t="s">
        <v>2833</v>
      </c>
      <c r="L1580" s="81" t="s">
        <v>974</v>
      </c>
      <c r="M1580" s="57"/>
      <c r="N1580" s="82">
        <v>48110</v>
      </c>
      <c r="O1580" s="57">
        <f t="shared" si="72"/>
        <v>0</v>
      </c>
      <c r="P1580" s="58"/>
      <c r="Q1580" s="73"/>
      <c r="R1580" s="57"/>
      <c r="S1580" s="57"/>
      <c r="T1580" s="57"/>
      <c r="U1580" s="57"/>
      <c r="V1580" s="73">
        <f t="shared" si="71"/>
        <v>0</v>
      </c>
      <c r="W1580" s="106"/>
      <c r="X1580" s="64"/>
    </row>
    <row r="1581" spans="1:24" s="66" customFormat="1" ht="12" hidden="1" customHeight="1">
      <c r="A1581" s="81" t="s">
        <v>2827</v>
      </c>
      <c r="B1581" s="81"/>
      <c r="C1581" s="81"/>
      <c r="D1581" s="81"/>
      <c r="E1581" s="81"/>
      <c r="F1581" s="81"/>
      <c r="G1581" s="81"/>
      <c r="H1581" s="81"/>
      <c r="I1581" s="81" t="s">
        <v>2784</v>
      </c>
      <c r="J1581" s="81" t="s">
        <v>1218</v>
      </c>
      <c r="K1581" s="81" t="s">
        <v>2834</v>
      </c>
      <c r="L1581" s="81" t="s">
        <v>974</v>
      </c>
      <c r="M1581" s="57"/>
      <c r="N1581" s="82">
        <v>43020</v>
      </c>
      <c r="O1581" s="57">
        <f t="shared" si="72"/>
        <v>0</v>
      </c>
      <c r="P1581" s="58"/>
      <c r="Q1581" s="73"/>
      <c r="R1581" s="57"/>
      <c r="S1581" s="57"/>
      <c r="T1581" s="57"/>
      <c r="U1581" s="57"/>
      <c r="V1581" s="73">
        <f t="shared" si="71"/>
        <v>0</v>
      </c>
      <c r="W1581" s="106"/>
      <c r="X1581" s="64"/>
    </row>
    <row r="1582" spans="1:24" s="66" customFormat="1" ht="12" hidden="1" customHeight="1">
      <c r="A1582" s="81" t="s">
        <v>2828</v>
      </c>
      <c r="B1582" s="81"/>
      <c r="C1582" s="81"/>
      <c r="D1582" s="81"/>
      <c r="E1582" s="81"/>
      <c r="F1582" s="81"/>
      <c r="G1582" s="81"/>
      <c r="H1582" s="81"/>
      <c r="I1582" s="81" t="s">
        <v>2784</v>
      </c>
      <c r="J1582" s="81" t="s">
        <v>1218</v>
      </c>
      <c r="K1582" s="81" t="s">
        <v>2835</v>
      </c>
      <c r="L1582" s="81" t="s">
        <v>974</v>
      </c>
      <c r="M1582" s="57"/>
      <c r="N1582" s="82">
        <v>52680</v>
      </c>
      <c r="O1582" s="57">
        <f t="shared" si="72"/>
        <v>0</v>
      </c>
      <c r="P1582" s="58"/>
      <c r="Q1582" s="73"/>
      <c r="R1582" s="57"/>
      <c r="S1582" s="57"/>
      <c r="T1582" s="57"/>
      <c r="U1582" s="57"/>
      <c r="V1582" s="73">
        <f t="shared" si="71"/>
        <v>0</v>
      </c>
      <c r="W1582" s="106"/>
      <c r="X1582" s="64"/>
    </row>
    <row r="1583" spans="1:24" s="66" customFormat="1" ht="12" hidden="1" customHeight="1">
      <c r="A1583" s="81" t="s">
        <v>2822</v>
      </c>
      <c r="B1583" s="81"/>
      <c r="C1583" s="81"/>
      <c r="D1583" s="81"/>
      <c r="E1583" s="81"/>
      <c r="F1583" s="81"/>
      <c r="G1583" s="81"/>
      <c r="H1583" s="81"/>
      <c r="I1583" s="81" t="s">
        <v>2784</v>
      </c>
      <c r="J1583" s="81" t="s">
        <v>1218</v>
      </c>
      <c r="K1583" s="81" t="s">
        <v>2829</v>
      </c>
      <c r="L1583" s="81" t="s">
        <v>974</v>
      </c>
      <c r="M1583" s="57"/>
      <c r="N1583" s="82">
        <v>90170</v>
      </c>
      <c r="O1583" s="57">
        <f t="shared" si="72"/>
        <v>0</v>
      </c>
      <c r="P1583" s="58"/>
      <c r="Q1583" s="73"/>
      <c r="R1583" s="57"/>
      <c r="S1583" s="57"/>
      <c r="T1583" s="57"/>
      <c r="U1583" s="57"/>
      <c r="V1583" s="73">
        <f t="shared" si="71"/>
        <v>0</v>
      </c>
      <c r="W1583" s="106"/>
      <c r="X1583" s="64"/>
    </row>
    <row r="1584" spans="1:24" s="66" customFormat="1" ht="12" hidden="1" customHeight="1">
      <c r="A1584" s="81" t="s">
        <v>2823</v>
      </c>
      <c r="B1584" s="81"/>
      <c r="C1584" s="81"/>
      <c r="D1584" s="81"/>
      <c r="E1584" s="81"/>
      <c r="F1584" s="81"/>
      <c r="G1584" s="81"/>
      <c r="H1584" s="81"/>
      <c r="I1584" s="81" t="s">
        <v>2784</v>
      </c>
      <c r="J1584" s="81" t="s">
        <v>1218</v>
      </c>
      <c r="K1584" s="81" t="s">
        <v>2830</v>
      </c>
      <c r="L1584" s="81" t="s">
        <v>974</v>
      </c>
      <c r="M1584" s="57"/>
      <c r="N1584" s="82">
        <v>112790</v>
      </c>
      <c r="O1584" s="57">
        <f t="shared" si="72"/>
        <v>0</v>
      </c>
      <c r="P1584" s="58"/>
      <c r="Q1584" s="73"/>
      <c r="R1584" s="57"/>
      <c r="S1584" s="57"/>
      <c r="T1584" s="57"/>
      <c r="U1584" s="57"/>
      <c r="V1584" s="73">
        <f t="shared" si="71"/>
        <v>0</v>
      </c>
      <c r="W1584" s="106"/>
      <c r="X1584" s="64"/>
    </row>
    <row r="1585" spans="1:24" s="66" customFormat="1" ht="12" hidden="1" customHeight="1">
      <c r="A1585" s="81" t="s">
        <v>2824</v>
      </c>
      <c r="B1585" s="81"/>
      <c r="C1585" s="81"/>
      <c r="D1585" s="81"/>
      <c r="E1585" s="81"/>
      <c r="F1585" s="81"/>
      <c r="G1585" s="81"/>
      <c r="H1585" s="81"/>
      <c r="I1585" s="81" t="s">
        <v>2784</v>
      </c>
      <c r="J1585" s="81" t="s">
        <v>1204</v>
      </c>
      <c r="K1585" s="81" t="s">
        <v>2831</v>
      </c>
      <c r="L1585" s="81" t="s">
        <v>974</v>
      </c>
      <c r="M1585" s="57"/>
      <c r="N1585" s="82">
        <v>72650</v>
      </c>
      <c r="O1585" s="57">
        <f t="shared" si="72"/>
        <v>0</v>
      </c>
      <c r="P1585" s="58"/>
      <c r="Q1585" s="73"/>
      <c r="R1585" s="57"/>
      <c r="S1585" s="57"/>
      <c r="T1585" s="57"/>
      <c r="U1585" s="57"/>
      <c r="V1585" s="73">
        <f t="shared" si="71"/>
        <v>0</v>
      </c>
      <c r="W1585" s="106"/>
      <c r="X1585" s="64"/>
    </row>
    <row r="1586" spans="1:24" s="66" customFormat="1" ht="12" hidden="1" customHeight="1">
      <c r="A1586" s="81" t="s">
        <v>2812</v>
      </c>
      <c r="B1586" s="81"/>
      <c r="C1586" s="81"/>
      <c r="D1586" s="81"/>
      <c r="E1586" s="81"/>
      <c r="F1586" s="81"/>
      <c r="G1586" s="81"/>
      <c r="H1586" s="81"/>
      <c r="I1586" s="81" t="s">
        <v>2784</v>
      </c>
      <c r="J1586" s="81" t="s">
        <v>1204</v>
      </c>
      <c r="K1586" s="81" t="s">
        <v>1217</v>
      </c>
      <c r="L1586" s="81" t="s">
        <v>974</v>
      </c>
      <c r="M1586" s="57"/>
      <c r="N1586" s="82">
        <v>78910</v>
      </c>
      <c r="O1586" s="57">
        <f t="shared" si="72"/>
        <v>0</v>
      </c>
      <c r="P1586" s="58"/>
      <c r="Q1586" s="73"/>
      <c r="R1586" s="57"/>
      <c r="S1586" s="57"/>
      <c r="T1586" s="57"/>
      <c r="U1586" s="57"/>
      <c r="V1586" s="73">
        <f t="shared" si="71"/>
        <v>0</v>
      </c>
      <c r="W1586" s="106"/>
      <c r="X1586" s="64"/>
    </row>
    <row r="1587" spans="1:24" s="66" customFormat="1" ht="12" hidden="1" customHeight="1">
      <c r="A1587" s="81" t="s">
        <v>2813</v>
      </c>
      <c r="B1587" s="81"/>
      <c r="C1587" s="81"/>
      <c r="D1587" s="81"/>
      <c r="E1587" s="81"/>
      <c r="F1587" s="81"/>
      <c r="G1587" s="81"/>
      <c r="H1587" s="81"/>
      <c r="I1587" s="81" t="s">
        <v>2784</v>
      </c>
      <c r="J1587" s="81" t="s">
        <v>1204</v>
      </c>
      <c r="K1587" s="81" t="s">
        <v>1216</v>
      </c>
      <c r="L1587" s="81" t="s">
        <v>974</v>
      </c>
      <c r="M1587" s="57"/>
      <c r="N1587" s="82">
        <v>108220</v>
      </c>
      <c r="O1587" s="57">
        <f t="shared" si="72"/>
        <v>0</v>
      </c>
      <c r="P1587" s="58"/>
      <c r="Q1587" s="73"/>
      <c r="R1587" s="57"/>
      <c r="S1587" s="57"/>
      <c r="T1587" s="57"/>
      <c r="U1587" s="57"/>
      <c r="V1587" s="73">
        <f t="shared" si="71"/>
        <v>0</v>
      </c>
      <c r="W1587" s="106"/>
      <c r="X1587" s="64"/>
    </row>
    <row r="1588" spans="1:24" s="66" customFormat="1" ht="12" hidden="1" customHeight="1">
      <c r="A1588" s="81" t="s">
        <v>2816</v>
      </c>
      <c r="B1588" s="81"/>
      <c r="C1588" s="81"/>
      <c r="D1588" s="81"/>
      <c r="E1588" s="81"/>
      <c r="F1588" s="81"/>
      <c r="G1588" s="81"/>
      <c r="H1588" s="81"/>
      <c r="I1588" s="81" t="s">
        <v>2784</v>
      </c>
      <c r="J1588" s="81" t="s">
        <v>1204</v>
      </c>
      <c r="K1588" s="81" t="s">
        <v>1215</v>
      </c>
      <c r="L1588" s="81" t="s">
        <v>974</v>
      </c>
      <c r="M1588" s="57"/>
      <c r="N1588" s="82">
        <v>129250</v>
      </c>
      <c r="O1588" s="57">
        <f t="shared" si="72"/>
        <v>0</v>
      </c>
      <c r="P1588" s="58"/>
      <c r="Q1588" s="73"/>
      <c r="R1588" s="57"/>
      <c r="S1588" s="57"/>
      <c r="T1588" s="57"/>
      <c r="U1588" s="57"/>
      <c r="V1588" s="73">
        <f t="shared" si="71"/>
        <v>0</v>
      </c>
      <c r="W1588" s="106"/>
      <c r="X1588" s="64"/>
    </row>
    <row r="1589" spans="1:24" s="66" customFormat="1" ht="12" hidden="1" customHeight="1">
      <c r="A1589" s="81" t="s">
        <v>2817</v>
      </c>
      <c r="B1589" s="81"/>
      <c r="C1589" s="81"/>
      <c r="D1589" s="81"/>
      <c r="E1589" s="81"/>
      <c r="F1589" s="81"/>
      <c r="G1589" s="81"/>
      <c r="H1589" s="81"/>
      <c r="I1589" s="81" t="s">
        <v>2784</v>
      </c>
      <c r="J1589" s="81" t="s">
        <v>1204</v>
      </c>
      <c r="K1589" s="81" t="s">
        <v>1214</v>
      </c>
      <c r="L1589" s="81" t="s">
        <v>974</v>
      </c>
      <c r="M1589" s="57"/>
      <c r="N1589" s="82">
        <v>141040</v>
      </c>
      <c r="O1589" s="57">
        <f t="shared" si="72"/>
        <v>0</v>
      </c>
      <c r="P1589" s="58"/>
      <c r="Q1589" s="73"/>
      <c r="R1589" s="57"/>
      <c r="S1589" s="57"/>
      <c r="T1589" s="57"/>
      <c r="U1589" s="57"/>
      <c r="V1589" s="73">
        <f t="shared" si="71"/>
        <v>0</v>
      </c>
      <c r="W1589" s="106"/>
      <c r="X1589" s="64"/>
    </row>
    <row r="1590" spans="1:24" s="66" customFormat="1" ht="12" hidden="1" customHeight="1">
      <c r="A1590" s="81" t="s">
        <v>2819</v>
      </c>
      <c r="B1590" s="81"/>
      <c r="C1590" s="81"/>
      <c r="D1590" s="81"/>
      <c r="E1590" s="81"/>
      <c r="F1590" s="81"/>
      <c r="G1590" s="81"/>
      <c r="H1590" s="81"/>
      <c r="I1590" s="81" t="s">
        <v>2784</v>
      </c>
      <c r="J1590" s="81" t="s">
        <v>1204</v>
      </c>
      <c r="K1590" s="81" t="s">
        <v>1213</v>
      </c>
      <c r="L1590" s="81" t="s">
        <v>974</v>
      </c>
      <c r="M1590" s="57"/>
      <c r="N1590" s="82">
        <v>131690</v>
      </c>
      <c r="O1590" s="57">
        <f t="shared" si="72"/>
        <v>0</v>
      </c>
      <c r="P1590" s="58"/>
      <c r="Q1590" s="73"/>
      <c r="R1590" s="57"/>
      <c r="S1590" s="57"/>
      <c r="T1590" s="57"/>
      <c r="U1590" s="57"/>
      <c r="V1590" s="73">
        <f t="shared" si="71"/>
        <v>0</v>
      </c>
      <c r="W1590" s="106"/>
      <c r="X1590" s="64"/>
    </row>
    <row r="1591" spans="1:24" s="66" customFormat="1" ht="12" hidden="1" customHeight="1">
      <c r="A1591" s="81" t="s">
        <v>2820</v>
      </c>
      <c r="B1591" s="81"/>
      <c r="C1591" s="81"/>
      <c r="D1591" s="81"/>
      <c r="E1591" s="81"/>
      <c r="F1591" s="81"/>
      <c r="G1591" s="81"/>
      <c r="H1591" s="81"/>
      <c r="I1591" s="81" t="s">
        <v>2784</v>
      </c>
      <c r="J1591" s="81" t="s">
        <v>1204</v>
      </c>
      <c r="K1591" s="81" t="s">
        <v>1212</v>
      </c>
      <c r="L1591" s="81" t="s">
        <v>974</v>
      </c>
      <c r="M1591" s="57"/>
      <c r="N1591" s="82">
        <v>167590</v>
      </c>
      <c r="O1591" s="57">
        <f t="shared" si="72"/>
        <v>0</v>
      </c>
      <c r="P1591" s="58"/>
      <c r="Q1591" s="73"/>
      <c r="R1591" s="57"/>
      <c r="S1591" s="57"/>
      <c r="T1591" s="57"/>
      <c r="U1591" s="57"/>
      <c r="V1591" s="73">
        <f t="shared" si="71"/>
        <v>0</v>
      </c>
      <c r="W1591" s="106"/>
      <c r="X1591" s="64"/>
    </row>
    <row r="1592" spans="1:24" s="66" customFormat="1" ht="12" hidden="1" customHeight="1">
      <c r="A1592" s="81" t="s">
        <v>2808</v>
      </c>
      <c r="B1592" s="81"/>
      <c r="C1592" s="81"/>
      <c r="D1592" s="81"/>
      <c r="E1592" s="81"/>
      <c r="F1592" s="81"/>
      <c r="G1592" s="81"/>
      <c r="H1592" s="81"/>
      <c r="I1592" s="81" t="s">
        <v>2784</v>
      </c>
      <c r="J1592" s="81" t="s">
        <v>1204</v>
      </c>
      <c r="K1592" s="81" t="s">
        <v>1211</v>
      </c>
      <c r="L1592" s="81" t="s">
        <v>974</v>
      </c>
      <c r="M1592" s="57"/>
      <c r="N1592" s="82">
        <v>175130</v>
      </c>
      <c r="O1592" s="57">
        <f t="shared" si="72"/>
        <v>0</v>
      </c>
      <c r="P1592" s="58"/>
      <c r="Q1592" s="73"/>
      <c r="R1592" s="57"/>
      <c r="S1592" s="57"/>
      <c r="T1592" s="57"/>
      <c r="U1592" s="57"/>
      <c r="V1592" s="73">
        <f t="shared" si="71"/>
        <v>0</v>
      </c>
      <c r="W1592" s="106"/>
      <c r="X1592" s="64"/>
    </row>
    <row r="1593" spans="1:24" s="66" customFormat="1" ht="12" hidden="1" customHeight="1">
      <c r="A1593" s="81" t="s">
        <v>2809</v>
      </c>
      <c r="B1593" s="81"/>
      <c r="C1593" s="81"/>
      <c r="D1593" s="81"/>
      <c r="E1593" s="81"/>
      <c r="F1593" s="81"/>
      <c r="G1593" s="81"/>
      <c r="H1593" s="81"/>
      <c r="I1593" s="81" t="s">
        <v>2784</v>
      </c>
      <c r="J1593" s="81" t="s">
        <v>1204</v>
      </c>
      <c r="K1593" s="81" t="s">
        <v>1210</v>
      </c>
      <c r="L1593" s="81" t="s">
        <v>974</v>
      </c>
      <c r="M1593" s="57"/>
      <c r="N1593" s="82">
        <v>210390</v>
      </c>
      <c r="O1593" s="57">
        <f t="shared" si="72"/>
        <v>0</v>
      </c>
      <c r="P1593" s="58"/>
      <c r="Q1593" s="73"/>
      <c r="R1593" s="57"/>
      <c r="S1593" s="57"/>
      <c r="T1593" s="57"/>
      <c r="U1593" s="57"/>
      <c r="V1593" s="73">
        <f t="shared" si="71"/>
        <v>0</v>
      </c>
      <c r="W1593" s="106"/>
      <c r="X1593" s="64"/>
    </row>
    <row r="1594" spans="1:24" s="66" customFormat="1" ht="12" hidden="1" customHeight="1">
      <c r="A1594" s="81" t="s">
        <v>2810</v>
      </c>
      <c r="B1594" s="81"/>
      <c r="C1594" s="81"/>
      <c r="D1594" s="81"/>
      <c r="E1594" s="81"/>
      <c r="F1594" s="81"/>
      <c r="G1594" s="81"/>
      <c r="H1594" s="81"/>
      <c r="I1594" s="81" t="s">
        <v>2784</v>
      </c>
      <c r="J1594" s="81" t="s">
        <v>1204</v>
      </c>
      <c r="K1594" s="81" t="s">
        <v>1209</v>
      </c>
      <c r="L1594" s="81" t="s">
        <v>974</v>
      </c>
      <c r="M1594" s="57"/>
      <c r="N1594" s="82">
        <v>377650</v>
      </c>
      <c r="O1594" s="57">
        <f t="shared" si="72"/>
        <v>0</v>
      </c>
      <c r="P1594" s="58"/>
      <c r="Q1594" s="73"/>
      <c r="R1594" s="57"/>
      <c r="S1594" s="57"/>
      <c r="T1594" s="57"/>
      <c r="U1594" s="57"/>
      <c r="V1594" s="73">
        <f t="shared" si="71"/>
        <v>0</v>
      </c>
      <c r="W1594" s="106"/>
      <c r="X1594" s="64"/>
    </row>
    <row r="1595" spans="1:24" s="66" customFormat="1" ht="12" hidden="1" customHeight="1">
      <c r="A1595" s="81" t="s">
        <v>2811</v>
      </c>
      <c r="B1595" s="81"/>
      <c r="C1595" s="81"/>
      <c r="D1595" s="81"/>
      <c r="E1595" s="81"/>
      <c r="F1595" s="81"/>
      <c r="G1595" s="81"/>
      <c r="H1595" s="81"/>
      <c r="I1595" s="81" t="s">
        <v>2784</v>
      </c>
      <c r="J1595" s="81" t="s">
        <v>1204</v>
      </c>
      <c r="K1595" s="81" t="s">
        <v>1208</v>
      </c>
      <c r="L1595" s="81" t="s">
        <v>974</v>
      </c>
      <c r="M1595" s="57"/>
      <c r="N1595" s="82">
        <v>444350</v>
      </c>
      <c r="O1595" s="57">
        <f t="shared" si="72"/>
        <v>0</v>
      </c>
      <c r="P1595" s="58"/>
      <c r="Q1595" s="73"/>
      <c r="R1595" s="57"/>
      <c r="S1595" s="57"/>
      <c r="T1595" s="57"/>
      <c r="U1595" s="57"/>
      <c r="V1595" s="73">
        <f t="shared" si="71"/>
        <v>0</v>
      </c>
      <c r="W1595" s="106"/>
      <c r="X1595" s="64"/>
    </row>
    <row r="1596" spans="1:24" s="66" customFormat="1" ht="12" hidden="1" customHeight="1">
      <c r="A1596" s="81" t="s">
        <v>2814</v>
      </c>
      <c r="B1596" s="81"/>
      <c r="C1596" s="81"/>
      <c r="D1596" s="81"/>
      <c r="E1596" s="81"/>
      <c r="F1596" s="81"/>
      <c r="G1596" s="81"/>
      <c r="H1596" s="81"/>
      <c r="I1596" s="81" t="s">
        <v>2784</v>
      </c>
      <c r="J1596" s="81" t="s">
        <v>1204</v>
      </c>
      <c r="K1596" s="81" t="s">
        <v>1207</v>
      </c>
      <c r="L1596" s="81" t="s">
        <v>974</v>
      </c>
      <c r="M1596" s="57"/>
      <c r="N1596" s="82">
        <v>644850</v>
      </c>
      <c r="O1596" s="57">
        <f t="shared" si="72"/>
        <v>0</v>
      </c>
      <c r="P1596" s="58"/>
      <c r="Q1596" s="73"/>
      <c r="R1596" s="57"/>
      <c r="S1596" s="57"/>
      <c r="T1596" s="57"/>
      <c r="U1596" s="57"/>
      <c r="V1596" s="73">
        <f t="shared" si="71"/>
        <v>0</v>
      </c>
      <c r="W1596" s="106"/>
      <c r="X1596" s="64"/>
    </row>
    <row r="1597" spans="1:24" s="66" customFormat="1" ht="12" hidden="1" customHeight="1">
      <c r="A1597" s="81" t="s">
        <v>2815</v>
      </c>
      <c r="B1597" s="81"/>
      <c r="C1597" s="81"/>
      <c r="D1597" s="81"/>
      <c r="E1597" s="81"/>
      <c r="F1597" s="81"/>
      <c r="G1597" s="81"/>
      <c r="H1597" s="81"/>
      <c r="I1597" s="81" t="s">
        <v>2784</v>
      </c>
      <c r="J1597" s="81" t="s">
        <v>1204</v>
      </c>
      <c r="K1597" s="81" t="s">
        <v>1206</v>
      </c>
      <c r="L1597" s="81" t="s">
        <v>974</v>
      </c>
      <c r="M1597" s="57"/>
      <c r="N1597" s="82">
        <v>857990</v>
      </c>
      <c r="O1597" s="57">
        <f t="shared" si="72"/>
        <v>0</v>
      </c>
      <c r="P1597" s="58"/>
      <c r="Q1597" s="73"/>
      <c r="R1597" s="57"/>
      <c r="S1597" s="57"/>
      <c r="T1597" s="57"/>
      <c r="U1597" s="57"/>
      <c r="V1597" s="73">
        <f t="shared" si="71"/>
        <v>0</v>
      </c>
      <c r="W1597" s="106"/>
      <c r="X1597" s="64"/>
    </row>
    <row r="1598" spans="1:24" s="66" customFormat="1" ht="12" hidden="1" customHeight="1">
      <c r="A1598" s="81" t="s">
        <v>2818</v>
      </c>
      <c r="B1598" s="81"/>
      <c r="C1598" s="81"/>
      <c r="D1598" s="81"/>
      <c r="E1598" s="81"/>
      <c r="F1598" s="81"/>
      <c r="G1598" s="81"/>
      <c r="H1598" s="81"/>
      <c r="I1598" s="81" t="s">
        <v>2784</v>
      </c>
      <c r="J1598" s="81" t="s">
        <v>1204</v>
      </c>
      <c r="K1598" s="81" t="s">
        <v>1205</v>
      </c>
      <c r="L1598" s="81" t="s">
        <v>974</v>
      </c>
      <c r="M1598" s="57"/>
      <c r="N1598" s="82">
        <v>1204100</v>
      </c>
      <c r="O1598" s="57">
        <f t="shared" si="72"/>
        <v>0</v>
      </c>
      <c r="P1598" s="58"/>
      <c r="Q1598" s="73"/>
      <c r="R1598" s="57"/>
      <c r="S1598" s="57"/>
      <c r="T1598" s="57"/>
      <c r="U1598" s="57"/>
      <c r="V1598" s="73">
        <f t="shared" si="71"/>
        <v>0</v>
      </c>
      <c r="W1598" s="106"/>
      <c r="X1598" s="64"/>
    </row>
    <row r="1599" spans="1:24" s="66" customFormat="1" ht="12" hidden="1" customHeight="1">
      <c r="A1599" s="81" t="s">
        <v>2821</v>
      </c>
      <c r="B1599" s="81"/>
      <c r="C1599" s="81"/>
      <c r="D1599" s="81"/>
      <c r="E1599" s="81"/>
      <c r="F1599" s="81"/>
      <c r="G1599" s="81"/>
      <c r="H1599" s="81"/>
      <c r="I1599" s="81" t="s">
        <v>2784</v>
      </c>
      <c r="J1599" s="81" t="s">
        <v>1204</v>
      </c>
      <c r="K1599" s="81" t="s">
        <v>1203</v>
      </c>
      <c r="L1599" s="81" t="s">
        <v>974</v>
      </c>
      <c r="M1599" s="57"/>
      <c r="N1599" s="82">
        <v>1466950</v>
      </c>
      <c r="O1599" s="57">
        <f t="shared" si="72"/>
        <v>0</v>
      </c>
      <c r="P1599" s="58"/>
      <c r="Q1599" s="73"/>
      <c r="R1599" s="57"/>
      <c r="S1599" s="57"/>
      <c r="T1599" s="57"/>
      <c r="U1599" s="57"/>
      <c r="V1599" s="73">
        <f t="shared" si="71"/>
        <v>0</v>
      </c>
      <c r="W1599" s="106"/>
      <c r="X1599" s="64"/>
    </row>
    <row r="1600" spans="1:24" s="66" customFormat="1" ht="12" hidden="1" customHeight="1">
      <c r="A1600" s="81" t="s">
        <v>3406</v>
      </c>
      <c r="B1600" s="81"/>
      <c r="C1600" s="81"/>
      <c r="D1600" s="81"/>
      <c r="E1600" s="81"/>
      <c r="F1600" s="81"/>
      <c r="G1600" s="81"/>
      <c r="H1600" s="81"/>
      <c r="I1600" s="81" t="s">
        <v>3407</v>
      </c>
      <c r="J1600" s="81" t="s">
        <v>1193</v>
      </c>
      <c r="K1600" s="81" t="s">
        <v>1202</v>
      </c>
      <c r="L1600" s="81" t="s">
        <v>974</v>
      </c>
      <c r="M1600" s="57"/>
      <c r="N1600" s="82">
        <v>29950</v>
      </c>
      <c r="O1600" s="57">
        <f t="shared" si="72"/>
        <v>0</v>
      </c>
      <c r="P1600" s="58"/>
      <c r="Q1600" s="73"/>
      <c r="R1600" s="57"/>
      <c r="S1600" s="57"/>
      <c r="T1600" s="57"/>
      <c r="U1600" s="57"/>
      <c r="V1600" s="73">
        <f t="shared" si="71"/>
        <v>0</v>
      </c>
      <c r="W1600" s="106"/>
      <c r="X1600" s="64"/>
    </row>
    <row r="1601" spans="1:24" s="66" customFormat="1" ht="12" hidden="1" customHeight="1">
      <c r="A1601" s="81" t="s">
        <v>3408</v>
      </c>
      <c r="B1601" s="81"/>
      <c r="C1601" s="81"/>
      <c r="D1601" s="81"/>
      <c r="E1601" s="81"/>
      <c r="F1601" s="81"/>
      <c r="G1601" s="81"/>
      <c r="H1601" s="81"/>
      <c r="I1601" s="81" t="s">
        <v>3407</v>
      </c>
      <c r="J1601" s="81" t="s">
        <v>1193</v>
      </c>
      <c r="K1601" s="81" t="s">
        <v>1201</v>
      </c>
      <c r="L1601" s="81" t="s">
        <v>974</v>
      </c>
      <c r="M1601" s="57"/>
      <c r="N1601" s="82">
        <v>48960</v>
      </c>
      <c r="O1601" s="57">
        <f t="shared" si="72"/>
        <v>0</v>
      </c>
      <c r="P1601" s="58"/>
      <c r="Q1601" s="73"/>
      <c r="R1601" s="57"/>
      <c r="S1601" s="57"/>
      <c r="T1601" s="57"/>
      <c r="U1601" s="57"/>
      <c r="V1601" s="73">
        <f t="shared" si="71"/>
        <v>0</v>
      </c>
      <c r="W1601" s="106"/>
      <c r="X1601" s="64"/>
    </row>
    <row r="1602" spans="1:24" s="66" customFormat="1" ht="12" hidden="1" customHeight="1">
      <c r="A1602" s="81" t="s">
        <v>3409</v>
      </c>
      <c r="B1602" s="81"/>
      <c r="C1602" s="81"/>
      <c r="D1602" s="81"/>
      <c r="E1602" s="81"/>
      <c r="F1602" s="81"/>
      <c r="G1602" s="81"/>
      <c r="H1602" s="81"/>
      <c r="I1602" s="81" t="s">
        <v>3407</v>
      </c>
      <c r="J1602" s="81" t="s">
        <v>1193</v>
      </c>
      <c r="K1602" s="81" t="s">
        <v>1200</v>
      </c>
      <c r="L1602" s="81" t="s">
        <v>974</v>
      </c>
      <c r="M1602" s="57"/>
      <c r="N1602" s="82">
        <v>58200</v>
      </c>
      <c r="O1602" s="57">
        <f t="shared" si="72"/>
        <v>0</v>
      </c>
      <c r="P1602" s="58"/>
      <c r="Q1602" s="73"/>
      <c r="R1602" s="57"/>
      <c r="S1602" s="57"/>
      <c r="T1602" s="57"/>
      <c r="U1602" s="57"/>
      <c r="V1602" s="73">
        <f t="shared" si="71"/>
        <v>0</v>
      </c>
      <c r="W1602" s="106"/>
      <c r="X1602" s="64"/>
    </row>
    <row r="1603" spans="1:24" s="66" customFormat="1" ht="12" hidden="1" customHeight="1">
      <c r="A1603" s="81" t="s">
        <v>3410</v>
      </c>
      <c r="B1603" s="81"/>
      <c r="C1603" s="81"/>
      <c r="D1603" s="81"/>
      <c r="E1603" s="81"/>
      <c r="F1603" s="81"/>
      <c r="G1603" s="81"/>
      <c r="H1603" s="81"/>
      <c r="I1603" s="81" t="s">
        <v>3407</v>
      </c>
      <c r="J1603" s="81" t="s">
        <v>1193</v>
      </c>
      <c r="K1603" s="81" t="s">
        <v>1199</v>
      </c>
      <c r="L1603" s="81" t="s">
        <v>974</v>
      </c>
      <c r="M1603" s="57"/>
      <c r="N1603" s="82">
        <v>39720</v>
      </c>
      <c r="O1603" s="57">
        <f t="shared" si="72"/>
        <v>0</v>
      </c>
      <c r="P1603" s="58"/>
      <c r="Q1603" s="73"/>
      <c r="R1603" s="57"/>
      <c r="S1603" s="57"/>
      <c r="T1603" s="57"/>
      <c r="U1603" s="57"/>
      <c r="V1603" s="73">
        <f t="shared" si="71"/>
        <v>0</v>
      </c>
      <c r="W1603" s="106"/>
      <c r="X1603" s="64"/>
    </row>
    <row r="1604" spans="1:24" s="66" customFormat="1" ht="12" hidden="1" customHeight="1">
      <c r="A1604" s="81" t="s">
        <v>3411</v>
      </c>
      <c r="B1604" s="81"/>
      <c r="C1604" s="81"/>
      <c r="D1604" s="81"/>
      <c r="E1604" s="81"/>
      <c r="F1604" s="81"/>
      <c r="G1604" s="81"/>
      <c r="H1604" s="81"/>
      <c r="I1604" s="81" t="s">
        <v>3407</v>
      </c>
      <c r="J1604" s="81" t="s">
        <v>1193</v>
      </c>
      <c r="K1604" s="81" t="s">
        <v>1198</v>
      </c>
      <c r="L1604" s="81" t="s">
        <v>974</v>
      </c>
      <c r="M1604" s="57"/>
      <c r="N1604" s="82">
        <v>53210</v>
      </c>
      <c r="O1604" s="57">
        <f t="shared" si="72"/>
        <v>0</v>
      </c>
      <c r="P1604" s="58"/>
      <c r="Q1604" s="73"/>
      <c r="R1604" s="57"/>
      <c r="S1604" s="57"/>
      <c r="T1604" s="57"/>
      <c r="U1604" s="57"/>
      <c r="V1604" s="73">
        <f t="shared" si="71"/>
        <v>0</v>
      </c>
      <c r="W1604" s="106"/>
      <c r="X1604" s="64"/>
    </row>
    <row r="1605" spans="1:24" s="66" customFormat="1" ht="12" hidden="1" customHeight="1">
      <c r="A1605" s="81" t="s">
        <v>3412</v>
      </c>
      <c r="B1605" s="81"/>
      <c r="C1605" s="81"/>
      <c r="D1605" s="81"/>
      <c r="E1605" s="81"/>
      <c r="F1605" s="81"/>
      <c r="G1605" s="81"/>
      <c r="H1605" s="81"/>
      <c r="I1605" s="81" t="s">
        <v>3407</v>
      </c>
      <c r="J1605" s="81" t="s">
        <v>1193</v>
      </c>
      <c r="K1605" s="81" t="s">
        <v>1197</v>
      </c>
      <c r="L1605" s="81" t="s">
        <v>974</v>
      </c>
      <c r="M1605" s="57"/>
      <c r="N1605" s="82">
        <v>66380</v>
      </c>
      <c r="O1605" s="57">
        <f t="shared" si="72"/>
        <v>0</v>
      </c>
      <c r="P1605" s="58"/>
      <c r="Q1605" s="73"/>
      <c r="R1605" s="57"/>
      <c r="S1605" s="57"/>
      <c r="T1605" s="57"/>
      <c r="U1605" s="57"/>
      <c r="V1605" s="73">
        <f t="shared" si="71"/>
        <v>0</v>
      </c>
      <c r="W1605" s="106"/>
      <c r="X1605" s="64"/>
    </row>
    <row r="1606" spans="1:24" s="66" customFormat="1" ht="12" hidden="1" customHeight="1">
      <c r="A1606" s="81" t="s">
        <v>3413</v>
      </c>
      <c r="B1606" s="81"/>
      <c r="C1606" s="81"/>
      <c r="D1606" s="81"/>
      <c r="E1606" s="81"/>
      <c r="F1606" s="81"/>
      <c r="G1606" s="81"/>
      <c r="H1606" s="81"/>
      <c r="I1606" s="81" t="s">
        <v>3407</v>
      </c>
      <c r="J1606" s="81" t="s">
        <v>1193</v>
      </c>
      <c r="K1606" s="81" t="s">
        <v>1196</v>
      </c>
      <c r="L1606" s="81" t="s">
        <v>974</v>
      </c>
      <c r="M1606" s="57"/>
      <c r="N1606" s="82">
        <v>42270</v>
      </c>
      <c r="O1606" s="57">
        <f t="shared" si="72"/>
        <v>0</v>
      </c>
      <c r="P1606" s="58"/>
      <c r="Q1606" s="73"/>
      <c r="R1606" s="57"/>
      <c r="S1606" s="57"/>
      <c r="T1606" s="57"/>
      <c r="U1606" s="57"/>
      <c r="V1606" s="73">
        <f t="shared" si="71"/>
        <v>0</v>
      </c>
      <c r="W1606" s="106"/>
      <c r="X1606" s="64"/>
    </row>
    <row r="1607" spans="1:24" s="66" customFormat="1" ht="12" hidden="1" customHeight="1">
      <c r="A1607" s="81" t="s">
        <v>3414</v>
      </c>
      <c r="B1607" s="81"/>
      <c r="C1607" s="81"/>
      <c r="D1607" s="81"/>
      <c r="E1607" s="81"/>
      <c r="F1607" s="81"/>
      <c r="G1607" s="81"/>
      <c r="H1607" s="81"/>
      <c r="I1607" s="81" t="s">
        <v>3407</v>
      </c>
      <c r="J1607" s="81" t="s">
        <v>1193</v>
      </c>
      <c r="K1607" s="81" t="s">
        <v>1195</v>
      </c>
      <c r="L1607" s="81" t="s">
        <v>974</v>
      </c>
      <c r="M1607" s="57"/>
      <c r="N1607" s="82">
        <v>55440</v>
      </c>
      <c r="O1607" s="57">
        <f t="shared" si="72"/>
        <v>0</v>
      </c>
      <c r="P1607" s="58"/>
      <c r="Q1607" s="73"/>
      <c r="R1607" s="57"/>
      <c r="S1607" s="57"/>
      <c r="T1607" s="57"/>
      <c r="U1607" s="57"/>
      <c r="V1607" s="73">
        <f t="shared" si="71"/>
        <v>0</v>
      </c>
      <c r="W1607" s="106"/>
      <c r="X1607" s="64"/>
    </row>
    <row r="1608" spans="1:24" s="66" customFormat="1" ht="12" hidden="1" customHeight="1">
      <c r="A1608" s="81" t="s">
        <v>3415</v>
      </c>
      <c r="B1608" s="81"/>
      <c r="C1608" s="81"/>
      <c r="D1608" s="81"/>
      <c r="E1608" s="81"/>
      <c r="F1608" s="81"/>
      <c r="G1608" s="81"/>
      <c r="H1608" s="81"/>
      <c r="I1608" s="81" t="s">
        <v>3407</v>
      </c>
      <c r="J1608" s="81" t="s">
        <v>1193</v>
      </c>
      <c r="K1608" s="81" t="s">
        <v>1194</v>
      </c>
      <c r="L1608" s="81" t="s">
        <v>974</v>
      </c>
      <c r="M1608" s="57"/>
      <c r="N1608" s="82">
        <v>69990</v>
      </c>
      <c r="O1608" s="57">
        <f t="shared" si="72"/>
        <v>0</v>
      </c>
      <c r="P1608" s="58"/>
      <c r="Q1608" s="73"/>
      <c r="R1608" s="57"/>
      <c r="S1608" s="57"/>
      <c r="T1608" s="57"/>
      <c r="U1608" s="57"/>
      <c r="V1608" s="73">
        <f t="shared" si="71"/>
        <v>0</v>
      </c>
      <c r="W1608" s="106"/>
      <c r="X1608" s="64"/>
    </row>
    <row r="1609" spans="1:24" s="66" customFormat="1" ht="12" hidden="1" customHeight="1">
      <c r="A1609" s="81" t="s">
        <v>3416</v>
      </c>
      <c r="B1609" s="81"/>
      <c r="C1609" s="81"/>
      <c r="D1609" s="81"/>
      <c r="E1609" s="81"/>
      <c r="F1609" s="81"/>
      <c r="G1609" s="81"/>
      <c r="H1609" s="81"/>
      <c r="I1609" s="81" t="s">
        <v>3407</v>
      </c>
      <c r="J1609" s="81" t="s">
        <v>1193</v>
      </c>
      <c r="K1609" s="81" t="s">
        <v>1192</v>
      </c>
      <c r="L1609" s="81" t="s">
        <v>974</v>
      </c>
      <c r="M1609" s="57"/>
      <c r="N1609" s="82">
        <v>80720</v>
      </c>
      <c r="O1609" s="57">
        <f t="shared" si="72"/>
        <v>0</v>
      </c>
      <c r="P1609" s="58"/>
      <c r="Q1609" s="73"/>
      <c r="R1609" s="57"/>
      <c r="S1609" s="57"/>
      <c r="T1609" s="57"/>
      <c r="U1609" s="57"/>
      <c r="V1609" s="73">
        <f t="shared" si="71"/>
        <v>0</v>
      </c>
      <c r="W1609" s="106"/>
      <c r="X1609" s="64"/>
    </row>
    <row r="1610" spans="1:24" s="66" customFormat="1" ht="12" hidden="1" customHeight="1">
      <c r="A1610" s="81" t="s">
        <v>3051</v>
      </c>
      <c r="B1610" s="81"/>
      <c r="C1610" s="81"/>
      <c r="D1610" s="81"/>
      <c r="E1610" s="81"/>
      <c r="F1610" s="81"/>
      <c r="G1610" s="81"/>
      <c r="H1610" s="81"/>
      <c r="I1610" s="81" t="s">
        <v>3045</v>
      </c>
      <c r="J1610" s="81" t="s">
        <v>1110</v>
      </c>
      <c r="K1610" s="81" t="s">
        <v>1114</v>
      </c>
      <c r="L1610" s="81" t="s">
        <v>20</v>
      </c>
      <c r="M1610" s="57"/>
      <c r="N1610" s="82">
        <v>1790</v>
      </c>
      <c r="O1610" s="57">
        <f t="shared" si="72"/>
        <v>0</v>
      </c>
      <c r="P1610" s="58"/>
      <c r="Q1610" s="73"/>
      <c r="R1610" s="57"/>
      <c r="S1610" s="57"/>
      <c r="T1610" s="57"/>
      <c r="U1610" s="57"/>
      <c r="V1610" s="73">
        <f t="shared" si="71"/>
        <v>0</v>
      </c>
      <c r="W1610" s="106"/>
      <c r="X1610" s="64"/>
    </row>
    <row r="1611" spans="1:24" s="66" customFormat="1" ht="12" hidden="1" customHeight="1">
      <c r="A1611" s="81" t="s">
        <v>3043</v>
      </c>
      <c r="B1611" s="81"/>
      <c r="C1611" s="81"/>
      <c r="D1611" s="81"/>
      <c r="E1611" s="81"/>
      <c r="F1611" s="81"/>
      <c r="G1611" s="81"/>
      <c r="H1611" s="81"/>
      <c r="I1611" s="81" t="s">
        <v>3045</v>
      </c>
      <c r="J1611" s="81" t="s">
        <v>1110</v>
      </c>
      <c r="K1611" s="81" t="s">
        <v>940</v>
      </c>
      <c r="L1611" s="81" t="s">
        <v>20</v>
      </c>
      <c r="M1611" s="57"/>
      <c r="N1611" s="82">
        <v>2040</v>
      </c>
      <c r="O1611" s="57">
        <f t="shared" si="72"/>
        <v>0</v>
      </c>
      <c r="P1611" s="58"/>
      <c r="Q1611" s="73"/>
      <c r="R1611" s="57"/>
      <c r="S1611" s="57"/>
      <c r="T1611" s="57"/>
      <c r="U1611" s="57"/>
      <c r="V1611" s="73">
        <f t="shared" si="71"/>
        <v>0</v>
      </c>
      <c r="W1611" s="106"/>
      <c r="X1611" s="64"/>
    </row>
    <row r="1612" spans="1:24" s="66" customFormat="1" ht="12" hidden="1" customHeight="1">
      <c r="A1612" s="81" t="s">
        <v>3042</v>
      </c>
      <c r="B1612" s="81"/>
      <c r="C1612" s="81"/>
      <c r="D1612" s="81"/>
      <c r="E1612" s="81"/>
      <c r="F1612" s="81"/>
      <c r="G1612" s="81"/>
      <c r="H1612" s="81"/>
      <c r="I1612" s="81" t="s">
        <v>3045</v>
      </c>
      <c r="J1612" s="81" t="s">
        <v>1110</v>
      </c>
      <c r="K1612" s="81" t="s">
        <v>1113</v>
      </c>
      <c r="L1612" s="81" t="s">
        <v>20</v>
      </c>
      <c r="M1612" s="57"/>
      <c r="N1612" s="82">
        <v>18857</v>
      </c>
      <c r="O1612" s="57">
        <f t="shared" si="72"/>
        <v>0</v>
      </c>
      <c r="P1612" s="58"/>
      <c r="Q1612" s="73"/>
      <c r="R1612" s="57"/>
      <c r="S1612" s="57"/>
      <c r="T1612" s="57"/>
      <c r="U1612" s="57"/>
      <c r="V1612" s="73">
        <f t="shared" si="71"/>
        <v>0</v>
      </c>
      <c r="W1612" s="106"/>
      <c r="X1612" s="64"/>
    </row>
    <row r="1613" spans="1:24" s="66" customFormat="1" ht="12" hidden="1" customHeight="1">
      <c r="A1613" s="81" t="s">
        <v>3044</v>
      </c>
      <c r="B1613" s="81"/>
      <c r="C1613" s="81"/>
      <c r="D1613" s="81"/>
      <c r="E1613" s="81"/>
      <c r="F1613" s="81"/>
      <c r="G1613" s="81"/>
      <c r="H1613" s="81"/>
      <c r="I1613" s="81" t="s">
        <v>3045</v>
      </c>
      <c r="J1613" s="81" t="s">
        <v>1110</v>
      </c>
      <c r="K1613" s="81" t="s">
        <v>941</v>
      </c>
      <c r="L1613" s="81" t="s">
        <v>20</v>
      </c>
      <c r="M1613" s="57"/>
      <c r="N1613" s="82">
        <v>3730</v>
      </c>
      <c r="O1613" s="57">
        <f t="shared" si="72"/>
        <v>0</v>
      </c>
      <c r="P1613" s="58"/>
      <c r="Q1613" s="73"/>
      <c r="R1613" s="57"/>
      <c r="S1613" s="57"/>
      <c r="T1613" s="57"/>
      <c r="U1613" s="57"/>
      <c r="V1613" s="73">
        <f t="shared" si="71"/>
        <v>0</v>
      </c>
      <c r="W1613" s="106"/>
      <c r="X1613" s="64"/>
    </row>
    <row r="1614" spans="1:24" s="66" customFormat="1" ht="12" hidden="1" customHeight="1">
      <c r="A1614" s="81" t="s">
        <v>3046</v>
      </c>
      <c r="B1614" s="81"/>
      <c r="C1614" s="81"/>
      <c r="D1614" s="81"/>
      <c r="E1614" s="81"/>
      <c r="F1614" s="81"/>
      <c r="G1614" s="81"/>
      <c r="H1614" s="81"/>
      <c r="I1614" s="81" t="s">
        <v>3045</v>
      </c>
      <c r="J1614" s="81" t="s">
        <v>1110</v>
      </c>
      <c r="K1614" s="81" t="s">
        <v>942</v>
      </c>
      <c r="L1614" s="81" t="s">
        <v>20</v>
      </c>
      <c r="M1614" s="57"/>
      <c r="N1614" s="82">
        <v>4130</v>
      </c>
      <c r="O1614" s="57">
        <f t="shared" si="72"/>
        <v>0</v>
      </c>
      <c r="P1614" s="58"/>
      <c r="Q1614" s="73"/>
      <c r="R1614" s="57"/>
      <c r="S1614" s="57"/>
      <c r="T1614" s="57"/>
      <c r="U1614" s="57"/>
      <c r="V1614" s="73">
        <f t="shared" si="71"/>
        <v>0</v>
      </c>
      <c r="W1614" s="106"/>
      <c r="X1614" s="64"/>
    </row>
    <row r="1615" spans="1:24" s="66" customFormat="1" ht="12" hidden="1" customHeight="1">
      <c r="A1615" s="81" t="s">
        <v>3047</v>
      </c>
      <c r="B1615" s="81"/>
      <c r="C1615" s="81"/>
      <c r="D1615" s="81"/>
      <c r="E1615" s="81"/>
      <c r="F1615" s="81"/>
      <c r="G1615" s="81"/>
      <c r="H1615" s="81"/>
      <c r="I1615" s="81" t="s">
        <v>3045</v>
      </c>
      <c r="J1615" s="81" t="s">
        <v>1110</v>
      </c>
      <c r="K1615" s="81" t="s">
        <v>943</v>
      </c>
      <c r="L1615" s="81" t="s">
        <v>20</v>
      </c>
      <c r="M1615" s="57"/>
      <c r="N1615" s="82">
        <v>3700</v>
      </c>
      <c r="O1615" s="57">
        <f t="shared" si="72"/>
        <v>0</v>
      </c>
      <c r="P1615" s="58"/>
      <c r="Q1615" s="73"/>
      <c r="R1615" s="57"/>
      <c r="S1615" s="57"/>
      <c r="T1615" s="57"/>
      <c r="U1615" s="57"/>
      <c r="V1615" s="73">
        <f t="shared" si="71"/>
        <v>0</v>
      </c>
      <c r="W1615" s="106"/>
      <c r="X1615" s="64"/>
    </row>
    <row r="1616" spans="1:24" s="66" customFormat="1" ht="12" hidden="1" customHeight="1">
      <c r="A1616" s="81" t="s">
        <v>3049</v>
      </c>
      <c r="B1616" s="81"/>
      <c r="C1616" s="81"/>
      <c r="D1616" s="81"/>
      <c r="E1616" s="81"/>
      <c r="F1616" s="81"/>
      <c r="G1616" s="81"/>
      <c r="H1616" s="81"/>
      <c r="I1616" s="81" t="s">
        <v>3045</v>
      </c>
      <c r="J1616" s="81" t="s">
        <v>1110</v>
      </c>
      <c r="K1616" s="81" t="s">
        <v>944</v>
      </c>
      <c r="L1616" s="81" t="s">
        <v>20</v>
      </c>
      <c r="M1616" s="57"/>
      <c r="N1616" s="82">
        <v>4690</v>
      </c>
      <c r="O1616" s="57">
        <f t="shared" si="72"/>
        <v>0</v>
      </c>
      <c r="P1616" s="58"/>
      <c r="Q1616" s="73"/>
      <c r="R1616" s="57"/>
      <c r="S1616" s="57"/>
      <c r="T1616" s="57"/>
      <c r="U1616" s="57"/>
      <c r="V1616" s="73">
        <f t="shared" si="71"/>
        <v>0</v>
      </c>
      <c r="W1616" s="106"/>
      <c r="X1616" s="64"/>
    </row>
    <row r="1617" spans="1:24" s="66" customFormat="1" ht="12" hidden="1" customHeight="1">
      <c r="A1617" s="81" t="s">
        <v>3050</v>
      </c>
      <c r="B1617" s="81"/>
      <c r="C1617" s="81"/>
      <c r="D1617" s="81"/>
      <c r="E1617" s="81"/>
      <c r="F1617" s="81"/>
      <c r="G1617" s="81"/>
      <c r="H1617" s="81"/>
      <c r="I1617" s="81" t="s">
        <v>3045</v>
      </c>
      <c r="J1617" s="81" t="s">
        <v>1110</v>
      </c>
      <c r="K1617" s="81" t="s">
        <v>945</v>
      </c>
      <c r="L1617" s="81" t="s">
        <v>20</v>
      </c>
      <c r="M1617" s="57"/>
      <c r="N1617" s="82">
        <v>7800</v>
      </c>
      <c r="O1617" s="57">
        <f t="shared" si="72"/>
        <v>0</v>
      </c>
      <c r="P1617" s="57"/>
      <c r="Q1617" s="73"/>
      <c r="R1617" s="57"/>
      <c r="S1617" s="57"/>
      <c r="T1617" s="57"/>
      <c r="U1617" s="57"/>
      <c r="V1617" s="73">
        <f t="shared" si="71"/>
        <v>0</v>
      </c>
      <c r="W1617" s="106"/>
      <c r="X1617" s="64"/>
    </row>
    <row r="1618" spans="1:24" s="66" customFormat="1" ht="12" hidden="1" customHeight="1">
      <c r="A1618" s="81" t="s">
        <v>3048</v>
      </c>
      <c r="B1618" s="81"/>
      <c r="C1618" s="81"/>
      <c r="D1618" s="81"/>
      <c r="E1618" s="81"/>
      <c r="F1618" s="81"/>
      <c r="G1618" s="81"/>
      <c r="H1618" s="81"/>
      <c r="I1618" s="81" t="s">
        <v>3045</v>
      </c>
      <c r="J1618" s="81" t="s">
        <v>1110</v>
      </c>
      <c r="K1618" s="81" t="s">
        <v>1112</v>
      </c>
      <c r="L1618" s="81" t="s">
        <v>20</v>
      </c>
      <c r="M1618" s="57"/>
      <c r="N1618" s="82">
        <v>10442</v>
      </c>
      <c r="O1618" s="57">
        <f t="shared" si="72"/>
        <v>0</v>
      </c>
      <c r="P1618" s="57"/>
      <c r="Q1618" s="73"/>
      <c r="R1618" s="57"/>
      <c r="S1618" s="57"/>
      <c r="T1618" s="57"/>
      <c r="U1618" s="57"/>
      <c r="V1618" s="73">
        <f t="shared" si="71"/>
        <v>0</v>
      </c>
      <c r="W1618" s="106"/>
      <c r="X1618" s="64"/>
    </row>
    <row r="1619" spans="1:24" s="66" customFormat="1" ht="12" hidden="1" customHeight="1">
      <c r="A1619" s="81" t="s">
        <v>3052</v>
      </c>
      <c r="B1619" s="81"/>
      <c r="C1619" s="81"/>
      <c r="D1619" s="81"/>
      <c r="E1619" s="81"/>
      <c r="F1619" s="81"/>
      <c r="G1619" s="81"/>
      <c r="H1619" s="81"/>
      <c r="I1619" s="81" t="s">
        <v>3045</v>
      </c>
      <c r="J1619" s="81" t="s">
        <v>1110</v>
      </c>
      <c r="K1619" s="81" t="s">
        <v>1111</v>
      </c>
      <c r="L1619" s="81" t="s">
        <v>20</v>
      </c>
      <c r="M1619" s="57"/>
      <c r="N1619" s="82">
        <v>1244</v>
      </c>
      <c r="O1619" s="57">
        <f t="shared" si="72"/>
        <v>0</v>
      </c>
      <c r="P1619" s="57"/>
      <c r="Q1619" s="73"/>
      <c r="R1619" s="57"/>
      <c r="S1619" s="57"/>
      <c r="T1619" s="57"/>
      <c r="U1619" s="57"/>
      <c r="V1619" s="73">
        <f t="shared" si="71"/>
        <v>0</v>
      </c>
      <c r="W1619" s="106"/>
      <c r="X1619" s="64"/>
    </row>
    <row r="1620" spans="1:24" s="66" customFormat="1" ht="12" hidden="1" customHeight="1">
      <c r="A1620" s="81" t="s">
        <v>3053</v>
      </c>
      <c r="B1620" s="81"/>
      <c r="C1620" s="81"/>
      <c r="D1620" s="81"/>
      <c r="E1620" s="81"/>
      <c r="F1620" s="81"/>
      <c r="G1620" s="81"/>
      <c r="H1620" s="81"/>
      <c r="I1620" s="81" t="s">
        <v>3045</v>
      </c>
      <c r="J1620" s="81" t="s">
        <v>1110</v>
      </c>
      <c r="K1620" s="81" t="s">
        <v>1109</v>
      </c>
      <c r="L1620" s="81" t="s">
        <v>20</v>
      </c>
      <c r="M1620" s="57"/>
      <c r="N1620" s="82">
        <v>1244</v>
      </c>
      <c r="O1620" s="57">
        <f t="shared" si="72"/>
        <v>0</v>
      </c>
      <c r="P1620" s="57"/>
      <c r="Q1620" s="73"/>
      <c r="R1620" s="57"/>
      <c r="S1620" s="57"/>
      <c r="T1620" s="57"/>
      <c r="U1620" s="57"/>
      <c r="V1620" s="73">
        <f t="shared" si="71"/>
        <v>0</v>
      </c>
      <c r="W1620" s="106"/>
      <c r="X1620" s="64"/>
    </row>
    <row r="1621" spans="1:24" s="66" customFormat="1" ht="12" hidden="1" customHeight="1">
      <c r="A1621" s="81" t="s">
        <v>3017</v>
      </c>
      <c r="B1621" s="81"/>
      <c r="C1621" s="81"/>
      <c r="D1621" s="81"/>
      <c r="E1621" s="81"/>
      <c r="F1621" s="81"/>
      <c r="G1621" s="81"/>
      <c r="H1621" s="81"/>
      <c r="I1621" s="81" t="s">
        <v>3016</v>
      </c>
      <c r="J1621" s="81" t="s">
        <v>1073</v>
      </c>
      <c r="K1621" s="81" t="s">
        <v>1077</v>
      </c>
      <c r="L1621" s="81" t="s">
        <v>20</v>
      </c>
      <c r="M1621" s="57"/>
      <c r="N1621" s="82">
        <v>1843</v>
      </c>
      <c r="O1621" s="57">
        <f t="shared" si="72"/>
        <v>0</v>
      </c>
      <c r="P1621" s="57"/>
      <c r="Q1621" s="73"/>
      <c r="R1621" s="57"/>
      <c r="S1621" s="57"/>
      <c r="T1621" s="57"/>
      <c r="U1621" s="57"/>
      <c r="V1621" s="73">
        <f t="shared" si="71"/>
        <v>0</v>
      </c>
      <c r="W1621" s="106"/>
      <c r="X1621" s="64"/>
    </row>
    <row r="1622" spans="1:24" s="66" customFormat="1" ht="12" hidden="1" customHeight="1">
      <c r="A1622" s="81" t="s">
        <v>3018</v>
      </c>
      <c r="B1622" s="81"/>
      <c r="C1622" s="81"/>
      <c r="D1622" s="81"/>
      <c r="E1622" s="81"/>
      <c r="F1622" s="81"/>
      <c r="G1622" s="81"/>
      <c r="H1622" s="81"/>
      <c r="I1622" s="81" t="s">
        <v>3016</v>
      </c>
      <c r="J1622" s="81" t="s">
        <v>1073</v>
      </c>
      <c r="K1622" s="81" t="s">
        <v>1076</v>
      </c>
      <c r="L1622" s="81" t="s">
        <v>20</v>
      </c>
      <c r="M1622" s="57"/>
      <c r="N1622" s="82">
        <v>2273</v>
      </c>
      <c r="O1622" s="57">
        <f t="shared" si="72"/>
        <v>0</v>
      </c>
      <c r="P1622" s="57"/>
      <c r="Q1622" s="73"/>
      <c r="R1622" s="57"/>
      <c r="S1622" s="57"/>
      <c r="T1622" s="57"/>
      <c r="U1622" s="57"/>
      <c r="V1622" s="73">
        <f t="shared" si="71"/>
        <v>0</v>
      </c>
      <c r="W1622" s="106"/>
      <c r="X1622" s="64"/>
    </row>
    <row r="1623" spans="1:24" s="66" customFormat="1" ht="12" hidden="1" customHeight="1">
      <c r="A1623" s="81" t="s">
        <v>3019</v>
      </c>
      <c r="B1623" s="81"/>
      <c r="C1623" s="81"/>
      <c r="D1623" s="81"/>
      <c r="E1623" s="81"/>
      <c r="F1623" s="81"/>
      <c r="G1623" s="81"/>
      <c r="H1623" s="81"/>
      <c r="I1623" s="81" t="s">
        <v>3016</v>
      </c>
      <c r="J1623" s="81" t="s">
        <v>1073</v>
      </c>
      <c r="K1623" s="81" t="s">
        <v>1075</v>
      </c>
      <c r="L1623" s="81" t="s">
        <v>20</v>
      </c>
      <c r="M1623" s="57"/>
      <c r="N1623" s="82">
        <v>5487</v>
      </c>
      <c r="O1623" s="57">
        <f t="shared" si="72"/>
        <v>0</v>
      </c>
      <c r="P1623" s="57"/>
      <c r="Q1623" s="73"/>
      <c r="R1623" s="57"/>
      <c r="S1623" s="57"/>
      <c r="T1623" s="57"/>
      <c r="U1623" s="57"/>
      <c r="V1623" s="73">
        <f t="shared" si="71"/>
        <v>0</v>
      </c>
      <c r="W1623" s="106"/>
      <c r="X1623" s="64"/>
    </row>
    <row r="1624" spans="1:24" s="66" customFormat="1" ht="12" hidden="1" customHeight="1">
      <c r="A1624" s="81" t="s">
        <v>3040</v>
      </c>
      <c r="B1624" s="81"/>
      <c r="C1624" s="81"/>
      <c r="D1624" s="81"/>
      <c r="E1624" s="81"/>
      <c r="F1624" s="81"/>
      <c r="G1624" s="81"/>
      <c r="H1624" s="81"/>
      <c r="I1624" s="81" t="s">
        <v>3016</v>
      </c>
      <c r="J1624" s="81" t="s">
        <v>1073</v>
      </c>
      <c r="K1624" s="81" t="s">
        <v>1074</v>
      </c>
      <c r="L1624" s="81" t="s">
        <v>20</v>
      </c>
      <c r="M1624" s="57"/>
      <c r="N1624" s="82">
        <v>2950</v>
      </c>
      <c r="O1624" s="57">
        <f t="shared" si="72"/>
        <v>0</v>
      </c>
      <c r="P1624" s="57"/>
      <c r="Q1624" s="73"/>
      <c r="R1624" s="57"/>
      <c r="S1624" s="57"/>
      <c r="T1624" s="57"/>
      <c r="U1624" s="57"/>
      <c r="V1624" s="73">
        <f t="shared" si="71"/>
        <v>0</v>
      </c>
      <c r="W1624" s="106"/>
      <c r="X1624" s="64"/>
    </row>
    <row r="1625" spans="1:24" s="66" customFormat="1" ht="12" hidden="1" customHeight="1">
      <c r="A1625" s="81" t="s">
        <v>3041</v>
      </c>
      <c r="B1625" s="81"/>
      <c r="C1625" s="81"/>
      <c r="D1625" s="81"/>
      <c r="E1625" s="81"/>
      <c r="F1625" s="81"/>
      <c r="G1625" s="81"/>
      <c r="H1625" s="81"/>
      <c r="I1625" s="81" t="s">
        <v>3016</v>
      </c>
      <c r="J1625" s="81" t="s">
        <v>1073</v>
      </c>
      <c r="K1625" s="81" t="s">
        <v>1072</v>
      </c>
      <c r="L1625" s="81" t="s">
        <v>20</v>
      </c>
      <c r="M1625" s="57"/>
      <c r="N1625" s="82">
        <v>3280</v>
      </c>
      <c r="O1625" s="57">
        <f t="shared" si="72"/>
        <v>0</v>
      </c>
      <c r="P1625" s="57"/>
      <c r="Q1625" s="73"/>
      <c r="R1625" s="57"/>
      <c r="S1625" s="57"/>
      <c r="T1625" s="57"/>
      <c r="U1625" s="57"/>
      <c r="V1625" s="73">
        <f t="shared" si="71"/>
        <v>0</v>
      </c>
      <c r="W1625" s="106"/>
      <c r="X1625" s="64"/>
    </row>
    <row r="1626" spans="1:24" s="66" customFormat="1" ht="12" hidden="1" customHeight="1">
      <c r="A1626" s="81" t="s">
        <v>3020</v>
      </c>
      <c r="B1626" s="81"/>
      <c r="C1626" s="81"/>
      <c r="D1626" s="81"/>
      <c r="E1626" s="81"/>
      <c r="F1626" s="81"/>
      <c r="G1626" s="81"/>
      <c r="H1626" s="81"/>
      <c r="I1626" s="81" t="s">
        <v>3016</v>
      </c>
      <c r="J1626" s="81" t="s">
        <v>1062</v>
      </c>
      <c r="K1626" s="81" t="s">
        <v>1071</v>
      </c>
      <c r="L1626" s="81" t="s">
        <v>20</v>
      </c>
      <c r="M1626" s="57"/>
      <c r="N1626" s="82">
        <v>2605</v>
      </c>
      <c r="O1626" s="57">
        <f t="shared" si="72"/>
        <v>0</v>
      </c>
      <c r="P1626" s="57"/>
      <c r="Q1626" s="73"/>
      <c r="R1626" s="57"/>
      <c r="S1626" s="57"/>
      <c r="T1626" s="57"/>
      <c r="U1626" s="57"/>
      <c r="V1626" s="73">
        <f t="shared" si="71"/>
        <v>0</v>
      </c>
      <c r="W1626" s="106"/>
      <c r="X1626" s="64"/>
    </row>
    <row r="1627" spans="1:24" s="66" customFormat="1" ht="12" hidden="1" customHeight="1">
      <c r="A1627" s="81" t="s">
        <v>3021</v>
      </c>
      <c r="B1627" s="81"/>
      <c r="C1627" s="81"/>
      <c r="D1627" s="81"/>
      <c r="E1627" s="81"/>
      <c r="F1627" s="81"/>
      <c r="G1627" s="81"/>
      <c r="H1627" s="81"/>
      <c r="I1627" s="81" t="s">
        <v>3016</v>
      </c>
      <c r="J1627" s="81" t="s">
        <v>1062</v>
      </c>
      <c r="K1627" s="81" t="s">
        <v>1070</v>
      </c>
      <c r="L1627" s="81" t="s">
        <v>20</v>
      </c>
      <c r="M1627" s="57"/>
      <c r="N1627" s="82">
        <v>3244</v>
      </c>
      <c r="O1627" s="57">
        <f t="shared" si="72"/>
        <v>0</v>
      </c>
      <c r="P1627" s="57"/>
      <c r="Q1627" s="73"/>
      <c r="R1627" s="57"/>
      <c r="S1627" s="57"/>
      <c r="T1627" s="57"/>
      <c r="U1627" s="57"/>
      <c r="V1627" s="73">
        <f t="shared" ref="V1627:V1690" si="73">SUM(O1627+Q1627)+S1627+U1627</f>
        <v>0</v>
      </c>
      <c r="W1627" s="106"/>
      <c r="X1627" s="64"/>
    </row>
    <row r="1628" spans="1:24" s="66" customFormat="1" ht="12" hidden="1" customHeight="1">
      <c r="A1628" s="81" t="s">
        <v>3022</v>
      </c>
      <c r="B1628" s="81"/>
      <c r="C1628" s="81"/>
      <c r="D1628" s="81"/>
      <c r="E1628" s="81"/>
      <c r="F1628" s="81"/>
      <c r="G1628" s="81"/>
      <c r="H1628" s="81"/>
      <c r="I1628" s="81" t="s">
        <v>3016</v>
      </c>
      <c r="J1628" s="81" t="s">
        <v>1062</v>
      </c>
      <c r="K1628" s="81" t="s">
        <v>1069</v>
      </c>
      <c r="L1628" s="81" t="s">
        <v>20</v>
      </c>
      <c r="M1628" s="57"/>
      <c r="N1628" s="82">
        <v>5376</v>
      </c>
      <c r="O1628" s="57">
        <f t="shared" si="72"/>
        <v>0</v>
      </c>
      <c r="P1628" s="57"/>
      <c r="Q1628" s="73"/>
      <c r="R1628" s="57"/>
      <c r="S1628" s="57"/>
      <c r="T1628" s="57"/>
      <c r="U1628" s="57"/>
      <c r="V1628" s="73">
        <f t="shared" si="73"/>
        <v>0</v>
      </c>
      <c r="W1628" s="106"/>
      <c r="X1628" s="64"/>
    </row>
    <row r="1629" spans="1:24" s="66" customFormat="1" ht="12" hidden="1" customHeight="1">
      <c r="A1629" s="81" t="s">
        <v>3023</v>
      </c>
      <c r="B1629" s="81"/>
      <c r="C1629" s="81"/>
      <c r="D1629" s="81"/>
      <c r="E1629" s="81"/>
      <c r="F1629" s="81"/>
      <c r="G1629" s="81"/>
      <c r="H1629" s="81"/>
      <c r="I1629" s="81" t="s">
        <v>3016</v>
      </c>
      <c r="J1629" s="81" t="s">
        <v>1062</v>
      </c>
      <c r="K1629" s="81" t="s">
        <v>1068</v>
      </c>
      <c r="L1629" s="81" t="s">
        <v>20</v>
      </c>
      <c r="M1629" s="57"/>
      <c r="N1629" s="82">
        <v>5941</v>
      </c>
      <c r="O1629" s="57">
        <f t="shared" si="72"/>
        <v>0</v>
      </c>
      <c r="P1629" s="57"/>
      <c r="Q1629" s="73"/>
      <c r="R1629" s="57"/>
      <c r="S1629" s="57"/>
      <c r="T1629" s="57"/>
      <c r="U1629" s="57"/>
      <c r="V1629" s="73">
        <f t="shared" si="73"/>
        <v>0</v>
      </c>
      <c r="W1629" s="106"/>
      <c r="X1629" s="64"/>
    </row>
    <row r="1630" spans="1:24" s="66" customFormat="1" ht="12" hidden="1" customHeight="1">
      <c r="A1630" s="81" t="s">
        <v>3024</v>
      </c>
      <c r="B1630" s="81"/>
      <c r="C1630" s="81"/>
      <c r="D1630" s="81"/>
      <c r="E1630" s="81"/>
      <c r="F1630" s="81"/>
      <c r="G1630" s="81"/>
      <c r="H1630" s="81"/>
      <c r="I1630" s="81" t="s">
        <v>3016</v>
      </c>
      <c r="J1630" s="81" t="s">
        <v>1062</v>
      </c>
      <c r="K1630" s="81" t="s">
        <v>1067</v>
      </c>
      <c r="L1630" s="81" t="s">
        <v>20</v>
      </c>
      <c r="M1630" s="57"/>
      <c r="N1630" s="82">
        <v>4183</v>
      </c>
      <c r="O1630" s="57">
        <f t="shared" si="72"/>
        <v>0</v>
      </c>
      <c r="P1630" s="57"/>
      <c r="Q1630" s="73"/>
      <c r="R1630" s="57"/>
      <c r="S1630" s="57"/>
      <c r="T1630" s="57"/>
      <c r="U1630" s="57"/>
      <c r="V1630" s="73">
        <f t="shared" si="73"/>
        <v>0</v>
      </c>
      <c r="W1630" s="106"/>
      <c r="X1630" s="64"/>
    </row>
    <row r="1631" spans="1:24" s="66" customFormat="1" ht="12" hidden="1" customHeight="1">
      <c r="A1631" s="81" t="s">
        <v>3025</v>
      </c>
      <c r="B1631" s="81"/>
      <c r="C1631" s="81"/>
      <c r="D1631" s="81"/>
      <c r="E1631" s="81"/>
      <c r="F1631" s="81"/>
      <c r="G1631" s="81"/>
      <c r="H1631" s="81"/>
      <c r="I1631" s="81" t="s">
        <v>3016</v>
      </c>
      <c r="J1631" s="81" t="s">
        <v>1062</v>
      </c>
      <c r="K1631" s="81" t="s">
        <v>1066</v>
      </c>
      <c r="L1631" s="81" t="s">
        <v>20</v>
      </c>
      <c r="M1631" s="57"/>
      <c r="N1631" s="82">
        <v>6800</v>
      </c>
      <c r="O1631" s="57">
        <f t="shared" si="72"/>
        <v>0</v>
      </c>
      <c r="P1631" s="57"/>
      <c r="Q1631" s="73"/>
      <c r="R1631" s="57"/>
      <c r="S1631" s="57"/>
      <c r="T1631" s="57"/>
      <c r="U1631" s="57"/>
      <c r="V1631" s="73">
        <f t="shared" si="73"/>
        <v>0</v>
      </c>
      <c r="W1631" s="106"/>
      <c r="X1631" s="64"/>
    </row>
    <row r="1632" spans="1:24" s="66" customFormat="1" ht="12" hidden="1" customHeight="1">
      <c r="A1632" s="81" t="s">
        <v>3026</v>
      </c>
      <c r="B1632" s="81"/>
      <c r="C1632" s="81"/>
      <c r="D1632" s="81"/>
      <c r="E1632" s="81"/>
      <c r="F1632" s="81"/>
      <c r="G1632" s="81"/>
      <c r="H1632" s="81"/>
      <c r="I1632" s="81" t="s">
        <v>3016</v>
      </c>
      <c r="J1632" s="81" t="s">
        <v>1062</v>
      </c>
      <c r="K1632" s="81" t="s">
        <v>1065</v>
      </c>
      <c r="L1632" s="81" t="s">
        <v>20</v>
      </c>
      <c r="M1632" s="57"/>
      <c r="N1632" s="82">
        <v>8010</v>
      </c>
      <c r="O1632" s="57">
        <f t="shared" si="72"/>
        <v>0</v>
      </c>
      <c r="P1632" s="57"/>
      <c r="Q1632" s="73"/>
      <c r="R1632" s="57"/>
      <c r="S1632" s="57"/>
      <c r="T1632" s="57"/>
      <c r="U1632" s="57"/>
      <c r="V1632" s="73">
        <f t="shared" si="73"/>
        <v>0</v>
      </c>
      <c r="W1632" s="106"/>
      <c r="X1632" s="64"/>
    </row>
    <row r="1633" spans="1:24" s="66" customFormat="1" ht="12" hidden="1" customHeight="1">
      <c r="A1633" s="81" t="s">
        <v>3027</v>
      </c>
      <c r="B1633" s="81"/>
      <c r="C1633" s="81"/>
      <c r="D1633" s="81"/>
      <c r="E1633" s="81"/>
      <c r="F1633" s="81"/>
      <c r="G1633" s="81"/>
      <c r="H1633" s="81"/>
      <c r="I1633" s="81" t="s">
        <v>3016</v>
      </c>
      <c r="J1633" s="81" t="s">
        <v>1062</v>
      </c>
      <c r="K1633" s="81" t="s">
        <v>3037</v>
      </c>
      <c r="L1633" s="81" t="s">
        <v>20</v>
      </c>
      <c r="M1633" s="57"/>
      <c r="N1633" s="82">
        <v>13431</v>
      </c>
      <c r="O1633" s="57">
        <f t="shared" si="72"/>
        <v>0</v>
      </c>
      <c r="P1633" s="57"/>
      <c r="Q1633" s="73"/>
      <c r="R1633" s="57"/>
      <c r="S1633" s="57"/>
      <c r="T1633" s="57"/>
      <c r="U1633" s="57"/>
      <c r="V1633" s="73">
        <f t="shared" si="73"/>
        <v>0</v>
      </c>
      <c r="W1633" s="106"/>
      <c r="X1633" s="64"/>
    </row>
    <row r="1634" spans="1:24" s="66" customFormat="1" ht="12" hidden="1" customHeight="1">
      <c r="A1634" s="81" t="s">
        <v>3028</v>
      </c>
      <c r="B1634" s="81"/>
      <c r="C1634" s="81"/>
      <c r="D1634" s="81"/>
      <c r="E1634" s="81"/>
      <c r="F1634" s="81"/>
      <c r="G1634" s="81"/>
      <c r="H1634" s="81"/>
      <c r="I1634" s="81" t="s">
        <v>3016</v>
      </c>
      <c r="J1634" s="81" t="s">
        <v>1062</v>
      </c>
      <c r="K1634" s="81" t="s">
        <v>1064</v>
      </c>
      <c r="L1634" s="81" t="s">
        <v>20</v>
      </c>
      <c r="M1634" s="57"/>
      <c r="N1634" s="82">
        <v>1690</v>
      </c>
      <c r="O1634" s="57">
        <f t="shared" si="72"/>
        <v>0</v>
      </c>
      <c r="P1634" s="57"/>
      <c r="Q1634" s="73"/>
      <c r="R1634" s="57"/>
      <c r="S1634" s="57"/>
      <c r="T1634" s="57"/>
      <c r="U1634" s="57"/>
      <c r="V1634" s="73">
        <f t="shared" si="73"/>
        <v>0</v>
      </c>
      <c r="W1634" s="106"/>
      <c r="X1634" s="64"/>
    </row>
    <row r="1635" spans="1:24" s="66" customFormat="1" ht="12" hidden="1" customHeight="1">
      <c r="A1635" s="81" t="s">
        <v>3029</v>
      </c>
      <c r="B1635" s="81"/>
      <c r="C1635" s="81"/>
      <c r="D1635" s="81"/>
      <c r="E1635" s="81"/>
      <c r="F1635" s="81"/>
      <c r="G1635" s="81"/>
      <c r="H1635" s="81"/>
      <c r="I1635" s="81" t="s">
        <v>3016</v>
      </c>
      <c r="J1635" s="81" t="s">
        <v>1062</v>
      </c>
      <c r="K1635" s="81" t="s">
        <v>1063</v>
      </c>
      <c r="L1635" s="81" t="s">
        <v>20</v>
      </c>
      <c r="M1635" s="62"/>
      <c r="N1635" s="82">
        <v>2340</v>
      </c>
      <c r="O1635" s="57">
        <f t="shared" si="72"/>
        <v>0</v>
      </c>
      <c r="P1635" s="57"/>
      <c r="Q1635" s="73"/>
      <c r="R1635" s="57"/>
      <c r="S1635" s="57"/>
      <c r="T1635" s="57"/>
      <c r="U1635" s="57"/>
      <c r="V1635" s="73">
        <f t="shared" si="73"/>
        <v>0</v>
      </c>
      <c r="W1635" s="106"/>
      <c r="X1635" s="64"/>
    </row>
    <row r="1636" spans="1:24" s="66" customFormat="1" ht="12" hidden="1" customHeight="1">
      <c r="A1636" s="81" t="s">
        <v>3030</v>
      </c>
      <c r="B1636" s="81"/>
      <c r="C1636" s="81"/>
      <c r="D1636" s="81"/>
      <c r="E1636" s="81"/>
      <c r="F1636" s="81"/>
      <c r="G1636" s="81"/>
      <c r="H1636" s="81"/>
      <c r="I1636" s="81" t="s">
        <v>3016</v>
      </c>
      <c r="J1636" s="81" t="s">
        <v>1062</v>
      </c>
      <c r="K1636" s="81" t="s">
        <v>3038</v>
      </c>
      <c r="L1636" s="81" t="s">
        <v>20</v>
      </c>
      <c r="M1636" s="63"/>
      <c r="N1636" s="82">
        <v>1470</v>
      </c>
      <c r="O1636" s="57">
        <f t="shared" si="72"/>
        <v>0</v>
      </c>
      <c r="P1636" s="57"/>
      <c r="Q1636" s="73"/>
      <c r="R1636" s="57"/>
      <c r="S1636" s="57"/>
      <c r="T1636" s="57"/>
      <c r="U1636" s="57"/>
      <c r="V1636" s="73">
        <f t="shared" si="73"/>
        <v>0</v>
      </c>
      <c r="W1636" s="106"/>
      <c r="X1636" s="64"/>
    </row>
    <row r="1637" spans="1:24" s="66" customFormat="1" ht="12" hidden="1" customHeight="1">
      <c r="A1637" s="81" t="s">
        <v>3031</v>
      </c>
      <c r="B1637" s="81"/>
      <c r="C1637" s="81"/>
      <c r="D1637" s="81"/>
      <c r="E1637" s="81"/>
      <c r="F1637" s="81"/>
      <c r="G1637" s="81"/>
      <c r="H1637" s="81"/>
      <c r="I1637" s="81" t="s">
        <v>3016</v>
      </c>
      <c r="J1637" s="81" t="s">
        <v>1062</v>
      </c>
      <c r="K1637" s="81" t="s">
        <v>3039</v>
      </c>
      <c r="L1637" s="81" t="s">
        <v>20</v>
      </c>
      <c r="M1637" s="57"/>
      <c r="N1637" s="82">
        <v>2110</v>
      </c>
      <c r="O1637" s="57">
        <f t="shared" si="72"/>
        <v>0</v>
      </c>
      <c r="P1637" s="57"/>
      <c r="Q1637" s="73"/>
      <c r="R1637" s="57"/>
      <c r="S1637" s="57"/>
      <c r="T1637" s="57"/>
      <c r="U1637" s="57"/>
      <c r="V1637" s="73">
        <f t="shared" si="73"/>
        <v>0</v>
      </c>
      <c r="W1637" s="106"/>
      <c r="X1637" s="64"/>
    </row>
    <row r="1638" spans="1:24" s="66" customFormat="1" ht="12" hidden="1" customHeight="1">
      <c r="A1638" s="81" t="s">
        <v>3015</v>
      </c>
      <c r="B1638" s="81"/>
      <c r="C1638" s="81"/>
      <c r="D1638" s="81"/>
      <c r="E1638" s="81"/>
      <c r="F1638" s="81"/>
      <c r="G1638" s="81"/>
      <c r="H1638" s="81"/>
      <c r="I1638" s="81" t="s">
        <v>3016</v>
      </c>
      <c r="J1638" s="81" t="s">
        <v>1056</v>
      </c>
      <c r="K1638" s="81" t="s">
        <v>1061</v>
      </c>
      <c r="L1638" s="81" t="s">
        <v>20</v>
      </c>
      <c r="M1638" s="57"/>
      <c r="N1638" s="82">
        <v>1800</v>
      </c>
      <c r="O1638" s="57">
        <f t="shared" si="72"/>
        <v>0</v>
      </c>
      <c r="P1638" s="57"/>
      <c r="Q1638" s="73"/>
      <c r="R1638" s="57"/>
      <c r="S1638" s="57"/>
      <c r="T1638" s="57"/>
      <c r="U1638" s="57"/>
      <c r="V1638" s="73">
        <f t="shared" si="73"/>
        <v>0</v>
      </c>
      <c r="W1638" s="106"/>
      <c r="X1638" s="64"/>
    </row>
    <row r="1639" spans="1:24" s="66" customFormat="1" ht="12" hidden="1" customHeight="1">
      <c r="A1639" s="81" t="s">
        <v>3032</v>
      </c>
      <c r="B1639" s="81"/>
      <c r="C1639" s="81"/>
      <c r="D1639" s="81"/>
      <c r="E1639" s="81"/>
      <c r="F1639" s="81"/>
      <c r="G1639" s="81"/>
      <c r="H1639" s="81"/>
      <c r="I1639" s="81" t="s">
        <v>3016</v>
      </c>
      <c r="J1639" s="81" t="s">
        <v>1056</v>
      </c>
      <c r="K1639" s="81" t="s">
        <v>1060</v>
      </c>
      <c r="L1639" s="81" t="s">
        <v>20</v>
      </c>
      <c r="M1639" s="57"/>
      <c r="N1639" s="82">
        <v>3345</v>
      </c>
      <c r="O1639" s="57">
        <f t="shared" si="72"/>
        <v>0</v>
      </c>
      <c r="P1639" s="57"/>
      <c r="Q1639" s="73"/>
      <c r="R1639" s="57"/>
      <c r="S1639" s="57"/>
      <c r="T1639" s="57"/>
      <c r="U1639" s="57"/>
      <c r="V1639" s="73">
        <f t="shared" si="73"/>
        <v>0</v>
      </c>
      <c r="W1639" s="106"/>
      <c r="X1639" s="64"/>
    </row>
    <row r="1640" spans="1:24" s="66" customFormat="1" ht="12" hidden="1" customHeight="1">
      <c r="A1640" s="81" t="s">
        <v>3033</v>
      </c>
      <c r="B1640" s="81"/>
      <c r="C1640" s="81"/>
      <c r="D1640" s="81"/>
      <c r="E1640" s="81"/>
      <c r="F1640" s="81"/>
      <c r="G1640" s="81"/>
      <c r="H1640" s="81"/>
      <c r="I1640" s="81" t="s">
        <v>3016</v>
      </c>
      <c r="J1640" s="81" t="s">
        <v>1056</v>
      </c>
      <c r="K1640" s="81" t="s">
        <v>1059</v>
      </c>
      <c r="L1640" s="81" t="s">
        <v>20</v>
      </c>
      <c r="M1640" s="57"/>
      <c r="N1640" s="82">
        <v>6996</v>
      </c>
      <c r="O1640" s="57">
        <f t="shared" si="72"/>
        <v>0</v>
      </c>
      <c r="P1640" s="57"/>
      <c r="Q1640" s="73"/>
      <c r="R1640" s="57"/>
      <c r="S1640" s="57"/>
      <c r="T1640" s="57"/>
      <c r="U1640" s="57"/>
      <c r="V1640" s="73">
        <f t="shared" si="73"/>
        <v>0</v>
      </c>
      <c r="W1640" s="106"/>
      <c r="X1640" s="64"/>
    </row>
    <row r="1641" spans="1:24" s="66" customFormat="1" ht="12" hidden="1" customHeight="1">
      <c r="A1641" s="81" t="s">
        <v>3034</v>
      </c>
      <c r="B1641" s="81"/>
      <c r="C1641" s="81"/>
      <c r="D1641" s="81"/>
      <c r="E1641" s="81"/>
      <c r="F1641" s="81"/>
      <c r="G1641" s="81"/>
      <c r="H1641" s="81"/>
      <c r="I1641" s="81" t="s">
        <v>3016</v>
      </c>
      <c r="J1641" s="81" t="s">
        <v>1056</v>
      </c>
      <c r="K1641" s="81" t="s">
        <v>1058</v>
      </c>
      <c r="L1641" s="81" t="s">
        <v>20</v>
      </c>
      <c r="M1641" s="57"/>
      <c r="N1641" s="82">
        <v>7257</v>
      </c>
      <c r="O1641" s="57">
        <f t="shared" si="72"/>
        <v>0</v>
      </c>
      <c r="P1641" s="57"/>
      <c r="Q1641" s="73"/>
      <c r="R1641" s="57"/>
      <c r="S1641" s="57"/>
      <c r="T1641" s="57"/>
      <c r="U1641" s="57"/>
      <c r="V1641" s="73">
        <f t="shared" si="73"/>
        <v>0</v>
      </c>
      <c r="W1641" s="106"/>
      <c r="X1641" s="64"/>
    </row>
    <row r="1642" spans="1:24" s="66" customFormat="1" ht="12" hidden="1" customHeight="1">
      <c r="A1642" s="81" t="s">
        <v>3035</v>
      </c>
      <c r="B1642" s="81"/>
      <c r="C1642" s="81"/>
      <c r="D1642" s="81"/>
      <c r="E1642" s="81"/>
      <c r="F1642" s="81"/>
      <c r="G1642" s="81"/>
      <c r="H1642" s="81"/>
      <c r="I1642" s="81" t="s">
        <v>3016</v>
      </c>
      <c r="J1642" s="81" t="s">
        <v>1056</v>
      </c>
      <c r="K1642" s="81" t="s">
        <v>1057</v>
      </c>
      <c r="L1642" s="81" t="s">
        <v>20</v>
      </c>
      <c r="M1642" s="57"/>
      <c r="N1642" s="82">
        <v>8600</v>
      </c>
      <c r="O1642" s="57">
        <f t="shared" ref="O1642:O1705" si="74">M1642*N1642*$O$3</f>
        <v>0</v>
      </c>
      <c r="P1642" s="57"/>
      <c r="Q1642" s="73"/>
      <c r="R1642" s="57"/>
      <c r="S1642" s="57"/>
      <c r="T1642" s="57"/>
      <c r="U1642" s="57"/>
      <c r="V1642" s="73">
        <f t="shared" si="73"/>
        <v>0</v>
      </c>
      <c r="W1642" s="106"/>
      <c r="X1642" s="64"/>
    </row>
    <row r="1643" spans="1:24" s="66" customFormat="1" ht="12" hidden="1" customHeight="1">
      <c r="A1643" s="81" t="s">
        <v>3036</v>
      </c>
      <c r="B1643" s="81"/>
      <c r="C1643" s="81"/>
      <c r="D1643" s="81"/>
      <c r="E1643" s="81"/>
      <c r="F1643" s="81"/>
      <c r="G1643" s="81"/>
      <c r="H1643" s="81"/>
      <c r="I1643" s="81" t="s">
        <v>3016</v>
      </c>
      <c r="J1643" s="81" t="s">
        <v>1056</v>
      </c>
      <c r="K1643" s="81" t="s">
        <v>1055</v>
      </c>
      <c r="L1643" s="81" t="s">
        <v>20</v>
      </c>
      <c r="M1643" s="57"/>
      <c r="N1643" s="82">
        <v>7038</v>
      </c>
      <c r="O1643" s="57">
        <f t="shared" si="74"/>
        <v>0</v>
      </c>
      <c r="P1643" s="57"/>
      <c r="Q1643" s="73"/>
      <c r="R1643" s="57"/>
      <c r="S1643" s="57"/>
      <c r="T1643" s="57"/>
      <c r="U1643" s="57"/>
      <c r="V1643" s="73">
        <f t="shared" si="73"/>
        <v>0</v>
      </c>
      <c r="W1643" s="106"/>
      <c r="X1643" s="64"/>
    </row>
    <row r="1644" spans="1:24" s="66" customFormat="1" ht="12" hidden="1" customHeight="1">
      <c r="A1644" s="79" t="s">
        <v>3417</v>
      </c>
      <c r="B1644" s="79"/>
      <c r="C1644" s="79"/>
      <c r="D1644" s="79"/>
      <c r="E1644" s="79"/>
      <c r="F1644" s="79"/>
      <c r="G1644" s="79"/>
      <c r="H1644" s="79"/>
      <c r="I1644" s="79" t="s">
        <v>3418</v>
      </c>
      <c r="J1644" s="79" t="s">
        <v>756</v>
      </c>
      <c r="K1644" s="79" t="s">
        <v>1367</v>
      </c>
      <c r="L1644" s="79" t="s">
        <v>0</v>
      </c>
      <c r="M1644" s="57"/>
      <c r="N1644" s="80">
        <v>688</v>
      </c>
      <c r="O1644" s="57">
        <f t="shared" si="74"/>
        <v>0</v>
      </c>
      <c r="P1644" s="57"/>
      <c r="Q1644" s="73"/>
      <c r="R1644" s="57"/>
      <c r="S1644" s="57"/>
      <c r="T1644" s="57"/>
      <c r="U1644" s="57"/>
      <c r="V1644" s="73">
        <f t="shared" si="73"/>
        <v>0</v>
      </c>
      <c r="W1644" s="106"/>
      <c r="X1644" s="64"/>
    </row>
    <row r="1645" spans="1:24" s="66" customFormat="1" ht="12" hidden="1" customHeight="1">
      <c r="A1645" s="79" t="s">
        <v>3419</v>
      </c>
      <c r="B1645" s="79"/>
      <c r="C1645" s="79"/>
      <c r="D1645" s="79"/>
      <c r="E1645" s="79"/>
      <c r="F1645" s="79"/>
      <c r="G1645" s="79"/>
      <c r="H1645" s="79"/>
      <c r="I1645" s="79" t="s">
        <v>3418</v>
      </c>
      <c r="J1645" s="79" t="s">
        <v>756</v>
      </c>
      <c r="K1645" s="79" t="s">
        <v>1366</v>
      </c>
      <c r="L1645" s="79" t="s">
        <v>0</v>
      </c>
      <c r="M1645" s="57"/>
      <c r="N1645" s="80">
        <v>956</v>
      </c>
      <c r="O1645" s="57">
        <f t="shared" si="74"/>
        <v>0</v>
      </c>
      <c r="P1645" s="57"/>
      <c r="Q1645" s="73"/>
      <c r="R1645" s="57"/>
      <c r="S1645" s="57"/>
      <c r="T1645" s="57"/>
      <c r="U1645" s="57"/>
      <c r="V1645" s="73">
        <f t="shared" si="73"/>
        <v>0</v>
      </c>
      <c r="W1645" s="106"/>
      <c r="X1645" s="64"/>
    </row>
    <row r="1646" spans="1:24" s="66" customFormat="1" ht="12" hidden="1" customHeight="1">
      <c r="A1646" s="79" t="s">
        <v>3420</v>
      </c>
      <c r="B1646" s="79"/>
      <c r="C1646" s="79"/>
      <c r="D1646" s="79"/>
      <c r="E1646" s="79"/>
      <c r="F1646" s="79"/>
      <c r="G1646" s="79"/>
      <c r="H1646" s="79"/>
      <c r="I1646" s="79" t="s">
        <v>3418</v>
      </c>
      <c r="J1646" s="79" t="s">
        <v>756</v>
      </c>
      <c r="K1646" s="79" t="s">
        <v>1365</v>
      </c>
      <c r="L1646" s="79" t="s">
        <v>0</v>
      </c>
      <c r="M1646" s="57"/>
      <c r="N1646" s="80">
        <v>1088</v>
      </c>
      <c r="O1646" s="57">
        <f t="shared" si="74"/>
        <v>0</v>
      </c>
      <c r="P1646" s="57"/>
      <c r="Q1646" s="73"/>
      <c r="R1646" s="57"/>
      <c r="S1646" s="57"/>
      <c r="T1646" s="57"/>
      <c r="U1646" s="57"/>
      <c r="V1646" s="73">
        <f t="shared" si="73"/>
        <v>0</v>
      </c>
      <c r="W1646" s="106"/>
      <c r="X1646" s="64"/>
    </row>
    <row r="1647" spans="1:24" s="66" customFormat="1" ht="12" hidden="1" customHeight="1">
      <c r="A1647" s="79" t="s">
        <v>3421</v>
      </c>
      <c r="B1647" s="79"/>
      <c r="C1647" s="79"/>
      <c r="D1647" s="79"/>
      <c r="E1647" s="79"/>
      <c r="F1647" s="79"/>
      <c r="G1647" s="79"/>
      <c r="H1647" s="79"/>
      <c r="I1647" s="79" t="s">
        <v>3418</v>
      </c>
      <c r="J1647" s="79" t="s">
        <v>756</v>
      </c>
      <c r="K1647" s="79" t="s">
        <v>1364</v>
      </c>
      <c r="L1647" s="79" t="s">
        <v>0</v>
      </c>
      <c r="M1647" s="57"/>
      <c r="N1647" s="80">
        <v>1834</v>
      </c>
      <c r="O1647" s="57">
        <f t="shared" si="74"/>
        <v>0</v>
      </c>
      <c r="P1647" s="57"/>
      <c r="Q1647" s="73"/>
      <c r="R1647" s="57"/>
      <c r="S1647" s="57"/>
      <c r="T1647" s="57"/>
      <c r="U1647" s="57"/>
      <c r="V1647" s="73">
        <f t="shared" si="73"/>
        <v>0</v>
      </c>
      <c r="W1647" s="106"/>
      <c r="X1647" s="64"/>
    </row>
    <row r="1648" spans="1:24" s="66" customFormat="1" ht="12" hidden="1" customHeight="1">
      <c r="A1648" s="79" t="s">
        <v>3422</v>
      </c>
      <c r="B1648" s="79"/>
      <c r="C1648" s="79"/>
      <c r="D1648" s="79"/>
      <c r="E1648" s="79"/>
      <c r="F1648" s="79"/>
      <c r="G1648" s="79"/>
      <c r="H1648" s="79"/>
      <c r="I1648" s="79" t="s">
        <v>3418</v>
      </c>
      <c r="J1648" s="79" t="s">
        <v>756</v>
      </c>
      <c r="K1648" s="79" t="s">
        <v>1120</v>
      </c>
      <c r="L1648" s="79" t="s">
        <v>0</v>
      </c>
      <c r="M1648" s="57"/>
      <c r="N1648" s="80">
        <v>2504</v>
      </c>
      <c r="O1648" s="57">
        <f t="shared" si="74"/>
        <v>0</v>
      </c>
      <c r="P1648" s="57"/>
      <c r="Q1648" s="73"/>
      <c r="R1648" s="57"/>
      <c r="S1648" s="57"/>
      <c r="T1648" s="57"/>
      <c r="U1648" s="57"/>
      <c r="V1648" s="73">
        <f t="shared" si="73"/>
        <v>0</v>
      </c>
      <c r="W1648" s="106"/>
      <c r="X1648" s="64"/>
    </row>
    <row r="1649" spans="1:24" s="66" customFormat="1" ht="12" hidden="1" customHeight="1">
      <c r="A1649" s="79" t="s">
        <v>3423</v>
      </c>
      <c r="B1649" s="79"/>
      <c r="C1649" s="79"/>
      <c r="D1649" s="79"/>
      <c r="E1649" s="79"/>
      <c r="F1649" s="79"/>
      <c r="G1649" s="79"/>
      <c r="H1649" s="79"/>
      <c r="I1649" s="79" t="s">
        <v>3418</v>
      </c>
      <c r="J1649" s="79" t="s">
        <v>756</v>
      </c>
      <c r="K1649" s="79" t="s">
        <v>1363</v>
      </c>
      <c r="L1649" s="79" t="s">
        <v>0</v>
      </c>
      <c r="M1649" s="57"/>
      <c r="N1649" s="80">
        <v>3846</v>
      </c>
      <c r="O1649" s="57">
        <f t="shared" si="74"/>
        <v>0</v>
      </c>
      <c r="P1649" s="57"/>
      <c r="Q1649" s="73"/>
      <c r="R1649" s="57"/>
      <c r="S1649" s="57"/>
      <c r="T1649" s="57"/>
      <c r="U1649" s="57"/>
      <c r="V1649" s="73">
        <f t="shared" si="73"/>
        <v>0</v>
      </c>
      <c r="W1649" s="106"/>
      <c r="X1649" s="64"/>
    </row>
    <row r="1650" spans="1:24" s="66" customFormat="1" ht="12" hidden="1" customHeight="1">
      <c r="A1650" s="79" t="s">
        <v>3424</v>
      </c>
      <c r="B1650" s="79"/>
      <c r="C1650" s="79"/>
      <c r="D1650" s="79"/>
      <c r="E1650" s="79"/>
      <c r="F1650" s="79"/>
      <c r="G1650" s="79"/>
      <c r="H1650" s="79"/>
      <c r="I1650" s="79" t="s">
        <v>3418</v>
      </c>
      <c r="J1650" s="79" t="s">
        <v>756</v>
      </c>
      <c r="K1650" s="79" t="s">
        <v>1362</v>
      </c>
      <c r="L1650" s="79" t="s">
        <v>0</v>
      </c>
      <c r="M1650" s="57"/>
      <c r="N1650" s="80">
        <v>5432</v>
      </c>
      <c r="O1650" s="57">
        <f t="shared" si="74"/>
        <v>0</v>
      </c>
      <c r="P1650" s="57"/>
      <c r="Q1650" s="73"/>
      <c r="R1650" s="57"/>
      <c r="S1650" s="57"/>
      <c r="T1650" s="57"/>
      <c r="U1650" s="57"/>
      <c r="V1650" s="73">
        <f t="shared" si="73"/>
        <v>0</v>
      </c>
      <c r="W1650" s="106"/>
      <c r="X1650" s="64"/>
    </row>
    <row r="1651" spans="1:24" s="66" customFormat="1" ht="12" hidden="1" customHeight="1">
      <c r="A1651" s="79" t="s">
        <v>3425</v>
      </c>
      <c r="B1651" s="79"/>
      <c r="C1651" s="79"/>
      <c r="D1651" s="79"/>
      <c r="E1651" s="79"/>
      <c r="F1651" s="79"/>
      <c r="G1651" s="79"/>
      <c r="H1651" s="79"/>
      <c r="I1651" s="79" t="s">
        <v>3418</v>
      </c>
      <c r="J1651" s="79" t="s">
        <v>756</v>
      </c>
      <c r="K1651" s="79" t="s">
        <v>1119</v>
      </c>
      <c r="L1651" s="79" t="s">
        <v>0</v>
      </c>
      <c r="M1651" s="57"/>
      <c r="N1651" s="80">
        <v>7384</v>
      </c>
      <c r="O1651" s="57">
        <f t="shared" si="74"/>
        <v>0</v>
      </c>
      <c r="P1651" s="57"/>
      <c r="Q1651" s="73"/>
      <c r="R1651" s="57"/>
      <c r="S1651" s="57"/>
      <c r="T1651" s="57"/>
      <c r="U1651" s="57"/>
      <c r="V1651" s="73">
        <f t="shared" si="73"/>
        <v>0</v>
      </c>
      <c r="W1651" s="106"/>
      <c r="X1651" s="64"/>
    </row>
    <row r="1652" spans="1:24" s="66" customFormat="1" ht="12" hidden="1" customHeight="1">
      <c r="A1652" s="79" t="s">
        <v>3426</v>
      </c>
      <c r="B1652" s="79"/>
      <c r="C1652" s="79"/>
      <c r="D1652" s="79"/>
      <c r="E1652" s="79"/>
      <c r="F1652" s="79"/>
      <c r="G1652" s="79"/>
      <c r="H1652" s="79"/>
      <c r="I1652" s="79" t="s">
        <v>3418</v>
      </c>
      <c r="J1652" s="79" t="s">
        <v>756</v>
      </c>
      <c r="K1652" s="79" t="s">
        <v>1118</v>
      </c>
      <c r="L1652" s="79" t="s">
        <v>0</v>
      </c>
      <c r="M1652" s="57"/>
      <c r="N1652" s="80">
        <v>10399</v>
      </c>
      <c r="O1652" s="57">
        <f t="shared" si="74"/>
        <v>0</v>
      </c>
      <c r="P1652" s="57"/>
      <c r="Q1652" s="73"/>
      <c r="R1652" s="57"/>
      <c r="S1652" s="57"/>
      <c r="T1652" s="57"/>
      <c r="U1652" s="57"/>
      <c r="V1652" s="73">
        <f t="shared" si="73"/>
        <v>0</v>
      </c>
      <c r="W1652" s="106"/>
      <c r="X1652" s="64"/>
    </row>
    <row r="1653" spans="1:24" s="66" customFormat="1" ht="12" hidden="1" customHeight="1">
      <c r="A1653" s="79" t="s">
        <v>3427</v>
      </c>
      <c r="B1653" s="79"/>
      <c r="C1653" s="79"/>
      <c r="D1653" s="79"/>
      <c r="E1653" s="79"/>
      <c r="F1653" s="79"/>
      <c r="G1653" s="79"/>
      <c r="H1653" s="79"/>
      <c r="I1653" s="79" t="s">
        <v>3418</v>
      </c>
      <c r="J1653" s="79" t="s">
        <v>756</v>
      </c>
      <c r="K1653" s="79" t="s">
        <v>1117</v>
      </c>
      <c r="L1653" s="79" t="s">
        <v>0</v>
      </c>
      <c r="M1653" s="57"/>
      <c r="N1653" s="80">
        <v>13998</v>
      </c>
      <c r="O1653" s="57">
        <f t="shared" si="74"/>
        <v>0</v>
      </c>
      <c r="P1653" s="57"/>
      <c r="Q1653" s="73"/>
      <c r="R1653" s="57"/>
      <c r="S1653" s="57"/>
      <c r="T1653" s="57"/>
      <c r="U1653" s="57"/>
      <c r="V1653" s="73">
        <f t="shared" si="73"/>
        <v>0</v>
      </c>
      <c r="W1653" s="106"/>
      <c r="X1653" s="64"/>
    </row>
    <row r="1654" spans="1:24" s="66" customFormat="1" ht="12" hidden="1" customHeight="1">
      <c r="A1654" s="79" t="s">
        <v>3428</v>
      </c>
      <c r="B1654" s="79"/>
      <c r="C1654" s="79"/>
      <c r="D1654" s="79"/>
      <c r="E1654" s="79"/>
      <c r="F1654" s="79"/>
      <c r="G1654" s="79"/>
      <c r="H1654" s="79"/>
      <c r="I1654" s="79" t="s">
        <v>3418</v>
      </c>
      <c r="J1654" s="79" t="s">
        <v>756</v>
      </c>
      <c r="K1654" s="79" t="s">
        <v>1116</v>
      </c>
      <c r="L1654" s="79" t="s">
        <v>0</v>
      </c>
      <c r="M1654" s="57"/>
      <c r="N1654" s="80">
        <v>17117</v>
      </c>
      <c r="O1654" s="57">
        <f t="shared" si="74"/>
        <v>0</v>
      </c>
      <c r="P1654" s="57"/>
      <c r="Q1654" s="73"/>
      <c r="R1654" s="57"/>
      <c r="S1654" s="57"/>
      <c r="T1654" s="57"/>
      <c r="U1654" s="57"/>
      <c r="V1654" s="73">
        <f t="shared" si="73"/>
        <v>0</v>
      </c>
      <c r="W1654" s="106"/>
      <c r="X1654" s="64"/>
    </row>
    <row r="1655" spans="1:24" s="66" customFormat="1" ht="12" hidden="1" customHeight="1">
      <c r="A1655" s="79" t="s">
        <v>3429</v>
      </c>
      <c r="B1655" s="79"/>
      <c r="C1655" s="79"/>
      <c r="D1655" s="79"/>
      <c r="E1655" s="79"/>
      <c r="F1655" s="79"/>
      <c r="G1655" s="79"/>
      <c r="H1655" s="79"/>
      <c r="I1655" s="79" t="s">
        <v>3418</v>
      </c>
      <c r="J1655" s="79" t="s">
        <v>756</v>
      </c>
      <c r="K1655" s="79" t="s">
        <v>1115</v>
      </c>
      <c r="L1655" s="79" t="s">
        <v>0</v>
      </c>
      <c r="M1655" s="57"/>
      <c r="N1655" s="80">
        <v>20812</v>
      </c>
      <c r="O1655" s="57">
        <f t="shared" si="74"/>
        <v>0</v>
      </c>
      <c r="P1655" s="57"/>
      <c r="Q1655" s="73"/>
      <c r="R1655" s="57"/>
      <c r="S1655" s="57"/>
      <c r="T1655" s="57"/>
      <c r="U1655" s="57"/>
      <c r="V1655" s="73">
        <f t="shared" si="73"/>
        <v>0</v>
      </c>
      <c r="W1655" s="106"/>
      <c r="X1655" s="64"/>
    </row>
    <row r="1656" spans="1:24" s="66" customFormat="1" ht="12" hidden="1" customHeight="1">
      <c r="A1656" s="79" t="s">
        <v>3430</v>
      </c>
      <c r="B1656" s="79"/>
      <c r="C1656" s="79"/>
      <c r="D1656" s="79"/>
      <c r="E1656" s="79"/>
      <c r="F1656" s="79"/>
      <c r="G1656" s="79"/>
      <c r="H1656" s="79"/>
      <c r="I1656" s="79" t="s">
        <v>3418</v>
      </c>
      <c r="J1656" s="79" t="s">
        <v>756</v>
      </c>
      <c r="K1656" s="79" t="s">
        <v>1361</v>
      </c>
      <c r="L1656" s="79" t="s">
        <v>0</v>
      </c>
      <c r="M1656" s="57"/>
      <c r="N1656" s="80">
        <v>25636</v>
      </c>
      <c r="O1656" s="57">
        <f t="shared" si="74"/>
        <v>0</v>
      </c>
      <c r="P1656" s="57"/>
      <c r="Q1656" s="73"/>
      <c r="R1656" s="57"/>
      <c r="S1656" s="57"/>
      <c r="T1656" s="57"/>
      <c r="U1656" s="57"/>
      <c r="V1656" s="73">
        <f t="shared" si="73"/>
        <v>0</v>
      </c>
      <c r="W1656" s="106"/>
      <c r="X1656" s="64"/>
    </row>
    <row r="1657" spans="1:24" s="66" customFormat="1" ht="12" hidden="1" customHeight="1">
      <c r="A1657" s="79" t="s">
        <v>3431</v>
      </c>
      <c r="B1657" s="79"/>
      <c r="C1657" s="79"/>
      <c r="D1657" s="79"/>
      <c r="E1657" s="79"/>
      <c r="F1657" s="79"/>
      <c r="G1657" s="79"/>
      <c r="H1657" s="79"/>
      <c r="I1657" s="79" t="s">
        <v>3418</v>
      </c>
      <c r="J1657" s="79" t="s">
        <v>756</v>
      </c>
      <c r="K1657" s="79" t="s">
        <v>1360</v>
      </c>
      <c r="L1657" s="79" t="s">
        <v>0</v>
      </c>
      <c r="M1657" s="57"/>
      <c r="N1657" s="80">
        <v>33626</v>
      </c>
      <c r="O1657" s="57">
        <f t="shared" si="74"/>
        <v>0</v>
      </c>
      <c r="P1657" s="57"/>
      <c r="Q1657" s="73"/>
      <c r="R1657" s="57"/>
      <c r="S1657" s="57"/>
      <c r="T1657" s="57"/>
      <c r="U1657" s="57"/>
      <c r="V1657" s="73">
        <f t="shared" si="73"/>
        <v>0</v>
      </c>
      <c r="W1657" s="106"/>
      <c r="X1657" s="64"/>
    </row>
    <row r="1658" spans="1:24" s="66" customFormat="1" ht="12" hidden="1" customHeight="1">
      <c r="A1658" s="79" t="s">
        <v>3432</v>
      </c>
      <c r="B1658" s="79"/>
      <c r="C1658" s="79"/>
      <c r="D1658" s="79"/>
      <c r="E1658" s="79"/>
      <c r="F1658" s="79"/>
      <c r="G1658" s="79"/>
      <c r="H1658" s="79"/>
      <c r="I1658" s="79" t="s">
        <v>3418</v>
      </c>
      <c r="J1658" s="79" t="s">
        <v>756</v>
      </c>
      <c r="K1658" s="79" t="s">
        <v>1359</v>
      </c>
      <c r="L1658" s="79" t="s">
        <v>0</v>
      </c>
      <c r="M1658" s="57"/>
      <c r="N1658" s="80">
        <v>41635</v>
      </c>
      <c r="O1658" s="57">
        <f t="shared" si="74"/>
        <v>0</v>
      </c>
      <c r="P1658" s="57"/>
      <c r="Q1658" s="73"/>
      <c r="R1658" s="57"/>
      <c r="S1658" s="57"/>
      <c r="T1658" s="57"/>
      <c r="U1658" s="57"/>
      <c r="V1658" s="73">
        <f t="shared" si="73"/>
        <v>0</v>
      </c>
      <c r="W1658" s="106"/>
      <c r="X1658" s="64"/>
    </row>
    <row r="1659" spans="1:24" s="66" customFormat="1" ht="12" hidden="1" customHeight="1">
      <c r="A1659" s="79" t="s">
        <v>2952</v>
      </c>
      <c r="B1659" s="79"/>
      <c r="C1659" s="79"/>
      <c r="D1659" s="79"/>
      <c r="E1659" s="79"/>
      <c r="F1659" s="79"/>
      <c r="G1659" s="79"/>
      <c r="H1659" s="79"/>
      <c r="I1659" s="79" t="s">
        <v>2301</v>
      </c>
      <c r="J1659" s="79" t="s">
        <v>2950</v>
      </c>
      <c r="K1659" s="79" t="s">
        <v>2953</v>
      </c>
      <c r="L1659" s="79" t="s">
        <v>20</v>
      </c>
      <c r="M1659" s="57"/>
      <c r="N1659" s="80">
        <v>2130</v>
      </c>
      <c r="O1659" s="57">
        <f t="shared" si="74"/>
        <v>0</v>
      </c>
      <c r="P1659" s="57"/>
      <c r="Q1659" s="73"/>
      <c r="R1659" s="57"/>
      <c r="S1659" s="57"/>
      <c r="T1659" s="57"/>
      <c r="U1659" s="57"/>
      <c r="V1659" s="73">
        <f t="shared" si="73"/>
        <v>0</v>
      </c>
      <c r="W1659" s="106"/>
      <c r="X1659" s="64"/>
    </row>
    <row r="1660" spans="1:24" s="66" customFormat="1" ht="12" hidden="1" customHeight="1">
      <c r="A1660" s="79" t="s">
        <v>2954</v>
      </c>
      <c r="B1660" s="79"/>
      <c r="C1660" s="79"/>
      <c r="D1660" s="79"/>
      <c r="E1660" s="79"/>
      <c r="F1660" s="79"/>
      <c r="G1660" s="79"/>
      <c r="H1660" s="79"/>
      <c r="I1660" s="79" t="s">
        <v>2301</v>
      </c>
      <c r="J1660" s="79" t="s">
        <v>2950</v>
      </c>
      <c r="K1660" s="79" t="s">
        <v>2955</v>
      </c>
      <c r="L1660" s="79" t="s">
        <v>20</v>
      </c>
      <c r="M1660" s="57"/>
      <c r="N1660" s="80">
        <v>2460</v>
      </c>
      <c r="O1660" s="57">
        <f t="shared" si="74"/>
        <v>0</v>
      </c>
      <c r="P1660" s="57"/>
      <c r="Q1660" s="73"/>
      <c r="R1660" s="57"/>
      <c r="S1660" s="57"/>
      <c r="T1660" s="57"/>
      <c r="U1660" s="57"/>
      <c r="V1660" s="73">
        <f t="shared" si="73"/>
        <v>0</v>
      </c>
      <c r="W1660" s="106"/>
      <c r="X1660" s="64"/>
    </row>
    <row r="1661" spans="1:24" s="66" customFormat="1" ht="12" hidden="1" customHeight="1">
      <c r="A1661" s="79" t="s">
        <v>2956</v>
      </c>
      <c r="B1661" s="79"/>
      <c r="C1661" s="79"/>
      <c r="D1661" s="79"/>
      <c r="E1661" s="79"/>
      <c r="F1661" s="79"/>
      <c r="G1661" s="79"/>
      <c r="H1661" s="79"/>
      <c r="I1661" s="79" t="s">
        <v>2301</v>
      </c>
      <c r="J1661" s="79" t="s">
        <v>2950</v>
      </c>
      <c r="K1661" s="79" t="s">
        <v>2957</v>
      </c>
      <c r="L1661" s="79" t="s">
        <v>20</v>
      </c>
      <c r="M1661" s="63"/>
      <c r="N1661" s="80">
        <v>3570</v>
      </c>
      <c r="O1661" s="57">
        <f t="shared" si="74"/>
        <v>0</v>
      </c>
      <c r="P1661" s="57"/>
      <c r="Q1661" s="73"/>
      <c r="R1661" s="57"/>
      <c r="S1661" s="57"/>
      <c r="T1661" s="57"/>
      <c r="U1661" s="57"/>
      <c r="V1661" s="73">
        <f t="shared" si="73"/>
        <v>0</v>
      </c>
      <c r="W1661" s="106"/>
      <c r="X1661" s="64"/>
    </row>
    <row r="1662" spans="1:24" s="66" customFormat="1" ht="12" hidden="1" customHeight="1">
      <c r="A1662" s="79" t="s">
        <v>2958</v>
      </c>
      <c r="B1662" s="79"/>
      <c r="C1662" s="79"/>
      <c r="D1662" s="79"/>
      <c r="E1662" s="79"/>
      <c r="F1662" s="79"/>
      <c r="G1662" s="79"/>
      <c r="H1662" s="79"/>
      <c r="I1662" s="79" t="s">
        <v>2301</v>
      </c>
      <c r="J1662" s="79" t="s">
        <v>2950</v>
      </c>
      <c r="K1662" s="79" t="s">
        <v>2959</v>
      </c>
      <c r="L1662" s="79" t="s">
        <v>20</v>
      </c>
      <c r="M1662" s="63"/>
      <c r="N1662" s="80">
        <v>4790</v>
      </c>
      <c r="O1662" s="57">
        <f t="shared" si="74"/>
        <v>0</v>
      </c>
      <c r="P1662" s="57"/>
      <c r="Q1662" s="73"/>
      <c r="R1662" s="57"/>
      <c r="S1662" s="57"/>
      <c r="T1662" s="57"/>
      <c r="U1662" s="57"/>
      <c r="V1662" s="73">
        <f t="shared" si="73"/>
        <v>0</v>
      </c>
      <c r="W1662" s="106"/>
      <c r="X1662" s="64"/>
    </row>
    <row r="1663" spans="1:24" s="66" customFormat="1" ht="12" hidden="1" customHeight="1">
      <c r="A1663" s="79" t="s">
        <v>2960</v>
      </c>
      <c r="B1663" s="79"/>
      <c r="C1663" s="79"/>
      <c r="D1663" s="79"/>
      <c r="E1663" s="79"/>
      <c r="F1663" s="79"/>
      <c r="G1663" s="79"/>
      <c r="H1663" s="79"/>
      <c r="I1663" s="79" t="s">
        <v>2301</v>
      </c>
      <c r="J1663" s="79" t="s">
        <v>2950</v>
      </c>
      <c r="K1663" s="79" t="s">
        <v>2961</v>
      </c>
      <c r="L1663" s="79" t="s">
        <v>20</v>
      </c>
      <c r="M1663" s="63"/>
      <c r="N1663" s="80">
        <v>6020</v>
      </c>
      <c r="O1663" s="57">
        <f t="shared" si="74"/>
        <v>0</v>
      </c>
      <c r="P1663" s="57"/>
      <c r="Q1663" s="73"/>
      <c r="R1663" s="57"/>
      <c r="S1663" s="57"/>
      <c r="T1663" s="57"/>
      <c r="U1663" s="57"/>
      <c r="V1663" s="73">
        <f t="shared" si="73"/>
        <v>0</v>
      </c>
      <c r="W1663" s="106"/>
      <c r="X1663" s="64"/>
    </row>
    <row r="1664" spans="1:24" s="66" customFormat="1" ht="12" hidden="1" customHeight="1">
      <c r="A1664" s="79" t="s">
        <v>2962</v>
      </c>
      <c r="B1664" s="79"/>
      <c r="C1664" s="79"/>
      <c r="D1664" s="79"/>
      <c r="E1664" s="79"/>
      <c r="F1664" s="79"/>
      <c r="G1664" s="79"/>
      <c r="H1664" s="79"/>
      <c r="I1664" s="79" t="s">
        <v>2301</v>
      </c>
      <c r="J1664" s="79" t="s">
        <v>2950</v>
      </c>
      <c r="K1664" s="79" t="s">
        <v>2963</v>
      </c>
      <c r="L1664" s="79" t="s">
        <v>20</v>
      </c>
      <c r="M1664" s="63"/>
      <c r="N1664" s="80">
        <v>9470</v>
      </c>
      <c r="O1664" s="57">
        <f t="shared" si="74"/>
        <v>0</v>
      </c>
      <c r="P1664" s="57"/>
      <c r="Q1664" s="73"/>
      <c r="R1664" s="57"/>
      <c r="S1664" s="57"/>
      <c r="T1664" s="57"/>
      <c r="U1664" s="57"/>
      <c r="V1664" s="73">
        <f t="shared" si="73"/>
        <v>0</v>
      </c>
      <c r="W1664" s="106"/>
      <c r="X1664" s="64"/>
    </row>
    <row r="1665" spans="1:24" s="66" customFormat="1" ht="12" hidden="1" customHeight="1">
      <c r="A1665" s="79" t="s">
        <v>2964</v>
      </c>
      <c r="B1665" s="79"/>
      <c r="C1665" s="79"/>
      <c r="D1665" s="79"/>
      <c r="E1665" s="79"/>
      <c r="F1665" s="79"/>
      <c r="G1665" s="79"/>
      <c r="H1665" s="79"/>
      <c r="I1665" s="79" t="s">
        <v>2301</v>
      </c>
      <c r="J1665" s="79" t="s">
        <v>2950</v>
      </c>
      <c r="K1665" s="79" t="s">
        <v>2965</v>
      </c>
      <c r="L1665" s="79" t="s">
        <v>20</v>
      </c>
      <c r="M1665" s="63"/>
      <c r="N1665" s="80">
        <v>15590</v>
      </c>
      <c r="O1665" s="57">
        <f t="shared" si="74"/>
        <v>0</v>
      </c>
      <c r="P1665" s="57"/>
      <c r="Q1665" s="73"/>
      <c r="R1665" s="57"/>
      <c r="S1665" s="57"/>
      <c r="T1665" s="57"/>
      <c r="U1665" s="57"/>
      <c r="V1665" s="73">
        <f t="shared" si="73"/>
        <v>0</v>
      </c>
      <c r="W1665" s="106"/>
      <c r="X1665" s="64"/>
    </row>
    <row r="1666" spans="1:24" s="66" customFormat="1" ht="12" hidden="1" customHeight="1">
      <c r="A1666" s="79" t="s">
        <v>2966</v>
      </c>
      <c r="B1666" s="79"/>
      <c r="C1666" s="79"/>
      <c r="D1666" s="79"/>
      <c r="E1666" s="79"/>
      <c r="F1666" s="79"/>
      <c r="G1666" s="79"/>
      <c r="H1666" s="79"/>
      <c r="I1666" s="79" t="s">
        <v>2301</v>
      </c>
      <c r="J1666" s="79" t="s">
        <v>2950</v>
      </c>
      <c r="K1666" s="79" t="s">
        <v>2967</v>
      </c>
      <c r="L1666" s="79" t="s">
        <v>20</v>
      </c>
      <c r="M1666" s="63"/>
      <c r="N1666" s="80">
        <v>21180</v>
      </c>
      <c r="O1666" s="57">
        <f t="shared" si="74"/>
        <v>0</v>
      </c>
      <c r="P1666" s="57"/>
      <c r="Q1666" s="73"/>
      <c r="R1666" s="57"/>
      <c r="S1666" s="57"/>
      <c r="T1666" s="57"/>
      <c r="U1666" s="57"/>
      <c r="V1666" s="73">
        <f t="shared" si="73"/>
        <v>0</v>
      </c>
      <c r="W1666" s="106"/>
      <c r="X1666" s="64"/>
    </row>
    <row r="1667" spans="1:24" s="66" customFormat="1" ht="12" hidden="1" customHeight="1">
      <c r="A1667" s="79" t="s">
        <v>2949</v>
      </c>
      <c r="B1667" s="79"/>
      <c r="C1667" s="79"/>
      <c r="D1667" s="79"/>
      <c r="E1667" s="79"/>
      <c r="F1667" s="79"/>
      <c r="G1667" s="79"/>
      <c r="H1667" s="79"/>
      <c r="I1667" s="79" t="s">
        <v>2301</v>
      </c>
      <c r="J1667" s="79" t="s">
        <v>2950</v>
      </c>
      <c r="K1667" s="79" t="s">
        <v>2951</v>
      </c>
      <c r="L1667" s="79" t="s">
        <v>20</v>
      </c>
      <c r="M1667" s="63"/>
      <c r="N1667" s="80">
        <v>42380</v>
      </c>
      <c r="O1667" s="57">
        <f t="shared" si="74"/>
        <v>0</v>
      </c>
      <c r="P1667" s="57"/>
      <c r="Q1667" s="73"/>
      <c r="R1667" s="57"/>
      <c r="S1667" s="57"/>
      <c r="T1667" s="57"/>
      <c r="U1667" s="57"/>
      <c r="V1667" s="73">
        <f t="shared" si="73"/>
        <v>0</v>
      </c>
      <c r="W1667" s="106"/>
      <c r="X1667" s="64"/>
    </row>
    <row r="1668" spans="1:24" s="66" customFormat="1" ht="12" hidden="1" customHeight="1">
      <c r="A1668" s="79" t="s">
        <v>2973</v>
      </c>
      <c r="B1668" s="79"/>
      <c r="C1668" s="79"/>
      <c r="D1668" s="79"/>
      <c r="E1668" s="79"/>
      <c r="F1668" s="79"/>
      <c r="G1668" s="79"/>
      <c r="H1668" s="79"/>
      <c r="I1668" s="79" t="s">
        <v>2301</v>
      </c>
      <c r="J1668" s="79" t="s">
        <v>2970</v>
      </c>
      <c r="K1668" s="79" t="s">
        <v>2975</v>
      </c>
      <c r="L1668" s="79" t="s">
        <v>20</v>
      </c>
      <c r="M1668" s="63"/>
      <c r="N1668" s="80">
        <v>5330</v>
      </c>
      <c r="O1668" s="57">
        <f t="shared" si="74"/>
        <v>0</v>
      </c>
      <c r="P1668" s="57"/>
      <c r="Q1668" s="73"/>
      <c r="R1668" s="57"/>
      <c r="S1668" s="57"/>
      <c r="T1668" s="57"/>
      <c r="U1668" s="57"/>
      <c r="V1668" s="73">
        <f t="shared" si="73"/>
        <v>0</v>
      </c>
      <c r="W1668" s="106"/>
      <c r="X1668" s="64"/>
    </row>
    <row r="1669" spans="1:24" s="66" customFormat="1" ht="12" hidden="1" customHeight="1">
      <c r="A1669" s="79" t="s">
        <v>2974</v>
      </c>
      <c r="B1669" s="79"/>
      <c r="C1669" s="79"/>
      <c r="D1669" s="79"/>
      <c r="E1669" s="79"/>
      <c r="F1669" s="79"/>
      <c r="G1669" s="79"/>
      <c r="H1669" s="79"/>
      <c r="I1669" s="79" t="s">
        <v>2301</v>
      </c>
      <c r="J1669" s="79" t="s">
        <v>2970</v>
      </c>
      <c r="K1669" s="79" t="s">
        <v>2976</v>
      </c>
      <c r="L1669" s="79" t="s">
        <v>20</v>
      </c>
      <c r="M1669" s="63"/>
      <c r="N1669" s="80">
        <v>6210</v>
      </c>
      <c r="O1669" s="57">
        <f t="shared" si="74"/>
        <v>0</v>
      </c>
      <c r="P1669" s="57"/>
      <c r="Q1669" s="73"/>
      <c r="R1669" s="57"/>
      <c r="S1669" s="57"/>
      <c r="T1669" s="57"/>
      <c r="U1669" s="57"/>
      <c r="V1669" s="73">
        <f t="shared" si="73"/>
        <v>0</v>
      </c>
      <c r="W1669" s="106"/>
      <c r="X1669" s="64"/>
    </row>
    <row r="1670" spans="1:24" s="66" customFormat="1" ht="12" hidden="1" customHeight="1">
      <c r="A1670" s="79" t="s">
        <v>2977</v>
      </c>
      <c r="B1670" s="79"/>
      <c r="C1670" s="79"/>
      <c r="D1670" s="79"/>
      <c r="E1670" s="79"/>
      <c r="F1670" s="79"/>
      <c r="G1670" s="79"/>
      <c r="H1670" s="79"/>
      <c r="I1670" s="79" t="s">
        <v>2301</v>
      </c>
      <c r="J1670" s="79" t="s">
        <v>2970</v>
      </c>
      <c r="K1670" s="79" t="s">
        <v>2978</v>
      </c>
      <c r="L1670" s="79" t="s">
        <v>20</v>
      </c>
      <c r="M1670" s="63"/>
      <c r="N1670" s="80">
        <v>6210</v>
      </c>
      <c r="O1670" s="57">
        <f t="shared" si="74"/>
        <v>0</v>
      </c>
      <c r="P1670" s="57"/>
      <c r="Q1670" s="73"/>
      <c r="R1670" s="57"/>
      <c r="S1670" s="57"/>
      <c r="T1670" s="57"/>
      <c r="U1670" s="57"/>
      <c r="V1670" s="73">
        <f t="shared" si="73"/>
        <v>0</v>
      </c>
      <c r="W1670" s="106"/>
      <c r="X1670" s="64"/>
    </row>
    <row r="1671" spans="1:24" s="66" customFormat="1" ht="12" hidden="1" customHeight="1">
      <c r="A1671" s="79" t="s">
        <v>2979</v>
      </c>
      <c r="B1671" s="79"/>
      <c r="C1671" s="79"/>
      <c r="D1671" s="79"/>
      <c r="E1671" s="79"/>
      <c r="F1671" s="79"/>
      <c r="G1671" s="79"/>
      <c r="H1671" s="79"/>
      <c r="I1671" s="79" t="s">
        <v>2301</v>
      </c>
      <c r="J1671" s="79" t="s">
        <v>2970</v>
      </c>
      <c r="K1671" s="79" t="s">
        <v>2980</v>
      </c>
      <c r="L1671" s="79" t="s">
        <v>20</v>
      </c>
      <c r="M1671" s="63"/>
      <c r="N1671" s="80">
        <v>7470</v>
      </c>
      <c r="O1671" s="57">
        <f t="shared" si="74"/>
        <v>0</v>
      </c>
      <c r="P1671" s="57"/>
      <c r="Q1671" s="73"/>
      <c r="R1671" s="57"/>
      <c r="S1671" s="57"/>
      <c r="T1671" s="57"/>
      <c r="U1671" s="57"/>
      <c r="V1671" s="73">
        <f t="shared" si="73"/>
        <v>0</v>
      </c>
      <c r="W1671" s="106"/>
      <c r="X1671" s="64"/>
    </row>
    <row r="1672" spans="1:24" s="66" customFormat="1" ht="12" hidden="1" customHeight="1">
      <c r="A1672" s="79" t="s">
        <v>2981</v>
      </c>
      <c r="B1672" s="79"/>
      <c r="C1672" s="79"/>
      <c r="D1672" s="79"/>
      <c r="E1672" s="79"/>
      <c r="F1672" s="79"/>
      <c r="G1672" s="79"/>
      <c r="H1672" s="79"/>
      <c r="I1672" s="79" t="s">
        <v>2301</v>
      </c>
      <c r="J1672" s="79" t="s">
        <v>2970</v>
      </c>
      <c r="K1672" s="79" t="s">
        <v>2983</v>
      </c>
      <c r="L1672" s="79" t="s">
        <v>20</v>
      </c>
      <c r="M1672" s="63"/>
      <c r="N1672" s="80">
        <v>8610</v>
      </c>
      <c r="O1672" s="57">
        <f t="shared" si="74"/>
        <v>0</v>
      </c>
      <c r="P1672" s="57"/>
      <c r="Q1672" s="73"/>
      <c r="R1672" s="57"/>
      <c r="S1672" s="57"/>
      <c r="T1672" s="57"/>
      <c r="U1672" s="57"/>
      <c r="V1672" s="73">
        <f t="shared" si="73"/>
        <v>0</v>
      </c>
      <c r="W1672" s="106"/>
      <c r="X1672" s="64"/>
    </row>
    <row r="1673" spans="1:24" s="66" customFormat="1" ht="12" hidden="1" customHeight="1">
      <c r="A1673" s="79" t="s">
        <v>2982</v>
      </c>
      <c r="B1673" s="79"/>
      <c r="C1673" s="79"/>
      <c r="D1673" s="79"/>
      <c r="E1673" s="79"/>
      <c r="F1673" s="79"/>
      <c r="G1673" s="79"/>
      <c r="H1673" s="79"/>
      <c r="I1673" s="79" t="s">
        <v>2301</v>
      </c>
      <c r="J1673" s="79" t="s">
        <v>2970</v>
      </c>
      <c r="K1673" s="79" t="s">
        <v>2984</v>
      </c>
      <c r="L1673" s="79" t="s">
        <v>20</v>
      </c>
      <c r="M1673" s="63"/>
      <c r="N1673" s="80">
        <v>10340</v>
      </c>
      <c r="O1673" s="57">
        <f t="shared" si="74"/>
        <v>0</v>
      </c>
      <c r="P1673" s="57"/>
      <c r="Q1673" s="73"/>
      <c r="R1673" s="57"/>
      <c r="S1673" s="57"/>
      <c r="T1673" s="57"/>
      <c r="U1673" s="57"/>
      <c r="V1673" s="73">
        <f t="shared" si="73"/>
        <v>0</v>
      </c>
      <c r="W1673" s="106"/>
      <c r="X1673" s="64"/>
    </row>
    <row r="1674" spans="1:24" s="66" customFormat="1" ht="12" hidden="1" customHeight="1">
      <c r="A1674" s="79" t="s">
        <v>2985</v>
      </c>
      <c r="B1674" s="79"/>
      <c r="C1674" s="79"/>
      <c r="D1674" s="79"/>
      <c r="E1674" s="79"/>
      <c r="F1674" s="79"/>
      <c r="G1674" s="79"/>
      <c r="H1674" s="79"/>
      <c r="I1674" s="79" t="s">
        <v>2301</v>
      </c>
      <c r="J1674" s="79" t="s">
        <v>2970</v>
      </c>
      <c r="K1674" s="79" t="s">
        <v>2987</v>
      </c>
      <c r="L1674" s="79" t="s">
        <v>20</v>
      </c>
      <c r="M1674" s="63"/>
      <c r="N1674" s="80">
        <v>11420</v>
      </c>
      <c r="O1674" s="57">
        <f t="shared" si="74"/>
        <v>0</v>
      </c>
      <c r="P1674" s="57"/>
      <c r="Q1674" s="73"/>
      <c r="R1674" s="57"/>
      <c r="S1674" s="57"/>
      <c r="T1674" s="57"/>
      <c r="U1674" s="57"/>
      <c r="V1674" s="73">
        <f t="shared" si="73"/>
        <v>0</v>
      </c>
      <c r="W1674" s="106"/>
      <c r="X1674" s="64"/>
    </row>
    <row r="1675" spans="1:24" s="66" customFormat="1" ht="12" hidden="1" customHeight="1">
      <c r="A1675" s="79" t="s">
        <v>2986</v>
      </c>
      <c r="B1675" s="79"/>
      <c r="C1675" s="79"/>
      <c r="D1675" s="79"/>
      <c r="E1675" s="79"/>
      <c r="F1675" s="79"/>
      <c r="G1675" s="79"/>
      <c r="H1675" s="79"/>
      <c r="I1675" s="79" t="s">
        <v>2301</v>
      </c>
      <c r="J1675" s="79" t="s">
        <v>2970</v>
      </c>
      <c r="K1675" s="79" t="s">
        <v>2988</v>
      </c>
      <c r="L1675" s="79" t="s">
        <v>20</v>
      </c>
      <c r="M1675" s="63"/>
      <c r="N1675" s="80">
        <v>13470</v>
      </c>
      <c r="O1675" s="57">
        <f t="shared" si="74"/>
        <v>0</v>
      </c>
      <c r="P1675" s="57"/>
      <c r="Q1675" s="73"/>
      <c r="R1675" s="57"/>
      <c r="S1675" s="57"/>
      <c r="T1675" s="57"/>
      <c r="U1675" s="57"/>
      <c r="V1675" s="73">
        <f t="shared" si="73"/>
        <v>0</v>
      </c>
      <c r="W1675" s="106"/>
      <c r="X1675" s="64"/>
    </row>
    <row r="1676" spans="1:24" s="66" customFormat="1" ht="12" hidden="1" customHeight="1">
      <c r="A1676" s="79" t="s">
        <v>2989</v>
      </c>
      <c r="B1676" s="79"/>
      <c r="C1676" s="79"/>
      <c r="D1676" s="79"/>
      <c r="E1676" s="79"/>
      <c r="F1676" s="79"/>
      <c r="G1676" s="79"/>
      <c r="H1676" s="79"/>
      <c r="I1676" s="79" t="s">
        <v>2301</v>
      </c>
      <c r="J1676" s="79" t="s">
        <v>2970</v>
      </c>
      <c r="K1676" s="79" t="s">
        <v>2991</v>
      </c>
      <c r="L1676" s="79" t="s">
        <v>20</v>
      </c>
      <c r="M1676" s="63"/>
      <c r="N1676" s="80">
        <v>15000</v>
      </c>
      <c r="O1676" s="57">
        <f t="shared" si="74"/>
        <v>0</v>
      </c>
      <c r="P1676" s="57"/>
      <c r="Q1676" s="73"/>
      <c r="R1676" s="57"/>
      <c r="S1676" s="57"/>
      <c r="T1676" s="57"/>
      <c r="U1676" s="57"/>
      <c r="V1676" s="73">
        <f t="shared" si="73"/>
        <v>0</v>
      </c>
      <c r="W1676" s="106"/>
      <c r="X1676" s="64"/>
    </row>
    <row r="1677" spans="1:24" s="66" customFormat="1" ht="12" hidden="1" customHeight="1">
      <c r="A1677" s="79" t="s">
        <v>2990</v>
      </c>
      <c r="B1677" s="79"/>
      <c r="C1677" s="79"/>
      <c r="D1677" s="79"/>
      <c r="E1677" s="79"/>
      <c r="F1677" s="79"/>
      <c r="G1677" s="79"/>
      <c r="H1677" s="79"/>
      <c r="I1677" s="79" t="s">
        <v>2301</v>
      </c>
      <c r="J1677" s="79" t="s">
        <v>2970</v>
      </c>
      <c r="K1677" s="79" t="s">
        <v>2992</v>
      </c>
      <c r="L1677" s="79" t="s">
        <v>20</v>
      </c>
      <c r="M1677" s="63"/>
      <c r="N1677" s="80">
        <v>17360</v>
      </c>
      <c r="O1677" s="57">
        <f t="shared" si="74"/>
        <v>0</v>
      </c>
      <c r="P1677" s="57"/>
      <c r="Q1677" s="73"/>
      <c r="R1677" s="57"/>
      <c r="S1677" s="57"/>
      <c r="T1677" s="57"/>
      <c r="U1677" s="57"/>
      <c r="V1677" s="73">
        <f t="shared" si="73"/>
        <v>0</v>
      </c>
      <c r="W1677" s="106"/>
      <c r="X1677" s="64"/>
    </row>
    <row r="1678" spans="1:24" s="66" customFormat="1" ht="12" hidden="1" customHeight="1">
      <c r="A1678" s="79" t="s">
        <v>2993</v>
      </c>
      <c r="B1678" s="79"/>
      <c r="C1678" s="79"/>
      <c r="D1678" s="79"/>
      <c r="E1678" s="79"/>
      <c r="F1678" s="79"/>
      <c r="G1678" s="79"/>
      <c r="H1678" s="79"/>
      <c r="I1678" s="79" t="s">
        <v>2301</v>
      </c>
      <c r="J1678" s="79" t="s">
        <v>2970</v>
      </c>
      <c r="K1678" s="79" t="s">
        <v>2994</v>
      </c>
      <c r="L1678" s="79" t="s">
        <v>20</v>
      </c>
      <c r="M1678" s="63"/>
      <c r="N1678" s="80">
        <v>21980</v>
      </c>
      <c r="O1678" s="57">
        <f t="shared" si="74"/>
        <v>0</v>
      </c>
      <c r="P1678" s="57"/>
      <c r="Q1678" s="73"/>
      <c r="R1678" s="57"/>
      <c r="S1678" s="57"/>
      <c r="T1678" s="57"/>
      <c r="U1678" s="57"/>
      <c r="V1678" s="73">
        <f t="shared" si="73"/>
        <v>0</v>
      </c>
      <c r="W1678" s="106"/>
      <c r="X1678" s="64"/>
    </row>
    <row r="1679" spans="1:24" s="66" customFormat="1" ht="12" hidden="1" customHeight="1">
      <c r="A1679" s="79" t="s">
        <v>2995</v>
      </c>
      <c r="B1679" s="79"/>
      <c r="C1679" s="79"/>
      <c r="D1679" s="79"/>
      <c r="E1679" s="79"/>
      <c r="F1679" s="79"/>
      <c r="G1679" s="79"/>
      <c r="H1679" s="79"/>
      <c r="I1679" s="79" t="s">
        <v>2301</v>
      </c>
      <c r="J1679" s="79" t="s">
        <v>2970</v>
      </c>
      <c r="K1679" s="79" t="s">
        <v>2996</v>
      </c>
      <c r="L1679" s="79" t="s">
        <v>20</v>
      </c>
      <c r="M1679" s="63"/>
      <c r="N1679" s="80">
        <v>25170</v>
      </c>
      <c r="O1679" s="57">
        <f t="shared" si="74"/>
        <v>0</v>
      </c>
      <c r="P1679" s="57"/>
      <c r="Q1679" s="73"/>
      <c r="R1679" s="57"/>
      <c r="S1679" s="57"/>
      <c r="T1679" s="57"/>
      <c r="U1679" s="57"/>
      <c r="V1679" s="73">
        <f t="shared" si="73"/>
        <v>0</v>
      </c>
      <c r="W1679" s="106"/>
      <c r="X1679" s="64"/>
    </row>
    <row r="1680" spans="1:24" s="66" customFormat="1" ht="12" hidden="1" customHeight="1">
      <c r="A1680" s="79" t="s">
        <v>2997</v>
      </c>
      <c r="B1680" s="79"/>
      <c r="C1680" s="79"/>
      <c r="D1680" s="79"/>
      <c r="E1680" s="79"/>
      <c r="F1680" s="79"/>
      <c r="G1680" s="79"/>
      <c r="H1680" s="79"/>
      <c r="I1680" s="79" t="s">
        <v>2301</v>
      </c>
      <c r="J1680" s="79" t="s">
        <v>2970</v>
      </c>
      <c r="K1680" s="79" t="s">
        <v>2999</v>
      </c>
      <c r="L1680" s="79" t="s">
        <v>20</v>
      </c>
      <c r="M1680" s="63"/>
      <c r="N1680" s="80">
        <v>41790</v>
      </c>
      <c r="O1680" s="57">
        <f t="shared" si="74"/>
        <v>0</v>
      </c>
      <c r="P1680" s="57"/>
      <c r="Q1680" s="73"/>
      <c r="R1680" s="57"/>
      <c r="S1680" s="57"/>
      <c r="T1680" s="57"/>
      <c r="U1680" s="57"/>
      <c r="V1680" s="73">
        <f t="shared" si="73"/>
        <v>0</v>
      </c>
      <c r="W1680" s="106"/>
      <c r="X1680" s="64"/>
    </row>
    <row r="1681" spans="1:24" s="66" customFormat="1" ht="12" hidden="1" customHeight="1">
      <c r="A1681" s="79" t="s">
        <v>2998</v>
      </c>
      <c r="B1681" s="79"/>
      <c r="C1681" s="79"/>
      <c r="D1681" s="79"/>
      <c r="E1681" s="79"/>
      <c r="F1681" s="79"/>
      <c r="G1681" s="79"/>
      <c r="H1681" s="79"/>
      <c r="I1681" s="79" t="s">
        <v>2301</v>
      </c>
      <c r="J1681" s="79" t="s">
        <v>2970</v>
      </c>
      <c r="K1681" s="79" t="s">
        <v>3000</v>
      </c>
      <c r="L1681" s="79" t="s">
        <v>20</v>
      </c>
      <c r="M1681" s="63"/>
      <c r="N1681" s="80">
        <v>49180</v>
      </c>
      <c r="O1681" s="57">
        <f t="shared" si="74"/>
        <v>0</v>
      </c>
      <c r="P1681" s="57"/>
      <c r="Q1681" s="73"/>
      <c r="R1681" s="57"/>
      <c r="S1681" s="57"/>
      <c r="T1681" s="57"/>
      <c r="U1681" s="57"/>
      <c r="V1681" s="73">
        <f t="shared" si="73"/>
        <v>0</v>
      </c>
      <c r="W1681" s="106"/>
      <c r="X1681" s="64"/>
    </row>
    <row r="1682" spans="1:24" s="66" customFormat="1" ht="12" hidden="1" customHeight="1">
      <c r="A1682" s="79" t="s">
        <v>3001</v>
      </c>
      <c r="B1682" s="79"/>
      <c r="C1682" s="79"/>
      <c r="D1682" s="79"/>
      <c r="E1682" s="79"/>
      <c r="F1682" s="79"/>
      <c r="G1682" s="79"/>
      <c r="H1682" s="79"/>
      <c r="I1682" s="79" t="s">
        <v>2301</v>
      </c>
      <c r="J1682" s="79" t="s">
        <v>2970</v>
      </c>
      <c r="K1682" s="79" t="s">
        <v>3002</v>
      </c>
      <c r="L1682" s="79" t="s">
        <v>20</v>
      </c>
      <c r="M1682" s="63"/>
      <c r="N1682" s="80">
        <v>52240</v>
      </c>
      <c r="O1682" s="57">
        <f t="shared" si="74"/>
        <v>0</v>
      </c>
      <c r="P1682" s="57"/>
      <c r="Q1682" s="73"/>
      <c r="R1682" s="57"/>
      <c r="S1682" s="57"/>
      <c r="T1682" s="57"/>
      <c r="U1682" s="57"/>
      <c r="V1682" s="73">
        <f t="shared" si="73"/>
        <v>0</v>
      </c>
      <c r="W1682" s="106"/>
      <c r="X1682" s="64"/>
    </row>
    <row r="1683" spans="1:24" s="66" customFormat="1" ht="12" hidden="1" customHeight="1">
      <c r="A1683" s="79" t="s">
        <v>3003</v>
      </c>
      <c r="B1683" s="79"/>
      <c r="C1683" s="79"/>
      <c r="D1683" s="79"/>
      <c r="E1683" s="79"/>
      <c r="F1683" s="79"/>
      <c r="G1683" s="79"/>
      <c r="H1683" s="79"/>
      <c r="I1683" s="79" t="s">
        <v>2301</v>
      </c>
      <c r="J1683" s="79" t="s">
        <v>2970</v>
      </c>
      <c r="K1683" s="79" t="s">
        <v>3004</v>
      </c>
      <c r="L1683" s="79" t="s">
        <v>20</v>
      </c>
      <c r="M1683" s="63"/>
      <c r="N1683" s="80">
        <v>58120</v>
      </c>
      <c r="O1683" s="57">
        <f t="shared" si="74"/>
        <v>0</v>
      </c>
      <c r="P1683" s="57"/>
      <c r="Q1683" s="73"/>
      <c r="R1683" s="57"/>
      <c r="S1683" s="57"/>
      <c r="T1683" s="57"/>
      <c r="U1683" s="57"/>
      <c r="V1683" s="73">
        <f t="shared" si="73"/>
        <v>0</v>
      </c>
      <c r="W1683" s="106"/>
      <c r="X1683" s="64"/>
    </row>
    <row r="1684" spans="1:24" s="66" customFormat="1" ht="12" hidden="1" customHeight="1">
      <c r="A1684" s="79" t="s">
        <v>2968</v>
      </c>
      <c r="B1684" s="79"/>
      <c r="C1684" s="79"/>
      <c r="D1684" s="79"/>
      <c r="E1684" s="79"/>
      <c r="F1684" s="79"/>
      <c r="G1684" s="79"/>
      <c r="H1684" s="79"/>
      <c r="I1684" s="79" t="s">
        <v>2301</v>
      </c>
      <c r="J1684" s="79" t="s">
        <v>2970</v>
      </c>
      <c r="K1684" s="79" t="s">
        <v>2971</v>
      </c>
      <c r="L1684" s="79" t="s">
        <v>20</v>
      </c>
      <c r="M1684" s="63"/>
      <c r="N1684" s="80">
        <v>77480</v>
      </c>
      <c r="O1684" s="57">
        <f t="shared" si="74"/>
        <v>0</v>
      </c>
      <c r="P1684" s="57"/>
      <c r="Q1684" s="73"/>
      <c r="R1684" s="57"/>
      <c r="S1684" s="57"/>
      <c r="T1684" s="57"/>
      <c r="U1684" s="57"/>
      <c r="V1684" s="73">
        <f t="shared" si="73"/>
        <v>0</v>
      </c>
      <c r="W1684" s="106"/>
      <c r="X1684" s="64"/>
    </row>
    <row r="1685" spans="1:24" s="66" customFormat="1" ht="12" hidden="1" customHeight="1">
      <c r="A1685" s="79" t="s">
        <v>2969</v>
      </c>
      <c r="B1685" s="79"/>
      <c r="C1685" s="79"/>
      <c r="D1685" s="79"/>
      <c r="E1685" s="79"/>
      <c r="F1685" s="79"/>
      <c r="G1685" s="79"/>
      <c r="H1685" s="79"/>
      <c r="I1685" s="79" t="s">
        <v>2301</v>
      </c>
      <c r="J1685" s="79" t="s">
        <v>2970</v>
      </c>
      <c r="K1685" s="79" t="s">
        <v>2972</v>
      </c>
      <c r="L1685" s="79" t="s">
        <v>20</v>
      </c>
      <c r="M1685" s="63"/>
      <c r="N1685" s="80">
        <v>87930</v>
      </c>
      <c r="O1685" s="57">
        <f t="shared" si="74"/>
        <v>0</v>
      </c>
      <c r="P1685" s="57"/>
      <c r="Q1685" s="73"/>
      <c r="R1685" s="57"/>
      <c r="S1685" s="57"/>
      <c r="T1685" s="57"/>
      <c r="U1685" s="57"/>
      <c r="V1685" s="73">
        <f t="shared" si="73"/>
        <v>0</v>
      </c>
      <c r="W1685" s="106"/>
      <c r="X1685" s="64"/>
    </row>
    <row r="1686" spans="1:24" s="66" customFormat="1" ht="12" hidden="1" customHeight="1">
      <c r="A1686" s="79" t="s">
        <v>3433</v>
      </c>
      <c r="B1686" s="79"/>
      <c r="C1686" s="79"/>
      <c r="D1686" s="79"/>
      <c r="E1686" s="79"/>
      <c r="F1686" s="79"/>
      <c r="G1686" s="79"/>
      <c r="H1686" s="79"/>
      <c r="I1686" s="79" t="s">
        <v>3434</v>
      </c>
      <c r="J1686" s="79" t="s">
        <v>1339</v>
      </c>
      <c r="K1686" s="79" t="s">
        <v>769</v>
      </c>
      <c r="L1686" s="79" t="s">
        <v>0</v>
      </c>
      <c r="M1686" s="63"/>
      <c r="N1686" s="80">
        <v>56820</v>
      </c>
      <c r="O1686" s="57">
        <f t="shared" si="74"/>
        <v>0</v>
      </c>
      <c r="P1686" s="57"/>
      <c r="Q1686" s="73"/>
      <c r="R1686" s="57"/>
      <c r="S1686" s="57"/>
      <c r="T1686" s="57"/>
      <c r="U1686" s="57"/>
      <c r="V1686" s="73">
        <f t="shared" si="73"/>
        <v>0</v>
      </c>
      <c r="W1686" s="106"/>
      <c r="X1686" s="64"/>
    </row>
    <row r="1687" spans="1:24" s="66" customFormat="1" ht="12" hidden="1" customHeight="1">
      <c r="A1687" s="79" t="s">
        <v>3435</v>
      </c>
      <c r="B1687" s="79"/>
      <c r="C1687" s="79"/>
      <c r="D1687" s="79"/>
      <c r="E1687" s="79"/>
      <c r="F1687" s="79"/>
      <c r="G1687" s="79"/>
      <c r="H1687" s="79"/>
      <c r="I1687" s="79" t="s">
        <v>3434</v>
      </c>
      <c r="J1687" s="79" t="s">
        <v>1339</v>
      </c>
      <c r="K1687" s="79" t="s">
        <v>770</v>
      </c>
      <c r="L1687" s="79" t="s">
        <v>0</v>
      </c>
      <c r="M1687" s="63"/>
      <c r="N1687" s="80">
        <v>68500</v>
      </c>
      <c r="O1687" s="57">
        <f t="shared" si="74"/>
        <v>0</v>
      </c>
      <c r="P1687" s="57"/>
      <c r="Q1687" s="73"/>
      <c r="R1687" s="57"/>
      <c r="S1687" s="57"/>
      <c r="T1687" s="57"/>
      <c r="U1687" s="57"/>
      <c r="V1687" s="73">
        <f t="shared" si="73"/>
        <v>0</v>
      </c>
      <c r="W1687" s="106"/>
      <c r="X1687" s="64"/>
    </row>
    <row r="1688" spans="1:24" s="66" customFormat="1" ht="12" hidden="1" customHeight="1">
      <c r="A1688" s="79" t="s">
        <v>3436</v>
      </c>
      <c r="B1688" s="79"/>
      <c r="C1688" s="79"/>
      <c r="D1688" s="79"/>
      <c r="E1688" s="79"/>
      <c r="F1688" s="79"/>
      <c r="G1688" s="79"/>
      <c r="H1688" s="79"/>
      <c r="I1688" s="79" t="s">
        <v>3434</v>
      </c>
      <c r="J1688" s="79" t="s">
        <v>1339</v>
      </c>
      <c r="K1688" s="79" t="s">
        <v>771</v>
      </c>
      <c r="L1688" s="79" t="s">
        <v>0</v>
      </c>
      <c r="M1688" s="63"/>
      <c r="N1688" s="80">
        <v>90270</v>
      </c>
      <c r="O1688" s="57">
        <f t="shared" si="74"/>
        <v>0</v>
      </c>
      <c r="P1688" s="57"/>
      <c r="Q1688" s="73"/>
      <c r="R1688" s="57"/>
      <c r="S1688" s="57"/>
      <c r="T1688" s="57"/>
      <c r="U1688" s="57"/>
      <c r="V1688" s="73">
        <f t="shared" si="73"/>
        <v>0</v>
      </c>
      <c r="W1688" s="106"/>
      <c r="X1688" s="64"/>
    </row>
    <row r="1689" spans="1:24" s="66" customFormat="1" ht="12" hidden="1" customHeight="1">
      <c r="A1689" s="79" t="s">
        <v>3437</v>
      </c>
      <c r="B1689" s="79"/>
      <c r="C1689" s="79"/>
      <c r="D1689" s="79"/>
      <c r="E1689" s="79"/>
      <c r="F1689" s="79"/>
      <c r="G1689" s="79"/>
      <c r="H1689" s="79"/>
      <c r="I1689" s="79" t="s">
        <v>3434</v>
      </c>
      <c r="J1689" s="79" t="s">
        <v>1339</v>
      </c>
      <c r="K1689" s="79" t="s">
        <v>772</v>
      </c>
      <c r="L1689" s="79" t="s">
        <v>0</v>
      </c>
      <c r="M1689" s="63"/>
      <c r="N1689" s="80">
        <v>119480</v>
      </c>
      <c r="O1689" s="57">
        <f t="shared" si="74"/>
        <v>0</v>
      </c>
      <c r="P1689" s="57"/>
      <c r="Q1689" s="73"/>
      <c r="R1689" s="57"/>
      <c r="S1689" s="57"/>
      <c r="T1689" s="57"/>
      <c r="U1689" s="57"/>
      <c r="V1689" s="73">
        <f t="shared" si="73"/>
        <v>0</v>
      </c>
      <c r="W1689" s="106"/>
      <c r="X1689" s="64"/>
    </row>
    <row r="1690" spans="1:24" s="66" customFormat="1" ht="12" hidden="1" customHeight="1">
      <c r="A1690" s="79" t="s">
        <v>3438</v>
      </c>
      <c r="B1690" s="79"/>
      <c r="C1690" s="79"/>
      <c r="D1690" s="79"/>
      <c r="E1690" s="79"/>
      <c r="F1690" s="79"/>
      <c r="G1690" s="79"/>
      <c r="H1690" s="79"/>
      <c r="I1690" s="79" t="s">
        <v>3434</v>
      </c>
      <c r="J1690" s="79" t="s">
        <v>1339</v>
      </c>
      <c r="K1690" s="79" t="s">
        <v>773</v>
      </c>
      <c r="L1690" s="79" t="s">
        <v>0</v>
      </c>
      <c r="M1690" s="63"/>
      <c r="N1690" s="80">
        <v>85070</v>
      </c>
      <c r="O1690" s="57">
        <f t="shared" si="74"/>
        <v>0</v>
      </c>
      <c r="P1690" s="57"/>
      <c r="Q1690" s="73"/>
      <c r="R1690" s="57"/>
      <c r="S1690" s="57"/>
      <c r="T1690" s="57"/>
      <c r="U1690" s="57"/>
      <c r="V1690" s="73">
        <f t="shared" si="73"/>
        <v>0</v>
      </c>
      <c r="W1690" s="106"/>
      <c r="X1690" s="64"/>
    </row>
    <row r="1691" spans="1:24" s="66" customFormat="1" ht="12" hidden="1" customHeight="1">
      <c r="A1691" s="79" t="s">
        <v>3439</v>
      </c>
      <c r="B1691" s="79"/>
      <c r="C1691" s="79"/>
      <c r="D1691" s="79"/>
      <c r="E1691" s="79"/>
      <c r="F1691" s="79"/>
      <c r="G1691" s="79"/>
      <c r="H1691" s="79"/>
      <c r="I1691" s="79" t="s">
        <v>3434</v>
      </c>
      <c r="J1691" s="79" t="s">
        <v>1339</v>
      </c>
      <c r="K1691" s="79" t="s">
        <v>774</v>
      </c>
      <c r="L1691" s="79" t="s">
        <v>0</v>
      </c>
      <c r="M1691" s="63"/>
      <c r="N1691" s="80">
        <v>127760</v>
      </c>
      <c r="O1691" s="57">
        <f t="shared" si="74"/>
        <v>0</v>
      </c>
      <c r="P1691" s="57"/>
      <c r="Q1691" s="73"/>
      <c r="R1691" s="57"/>
      <c r="S1691" s="57"/>
      <c r="T1691" s="57"/>
      <c r="U1691" s="57"/>
      <c r="V1691" s="73">
        <f t="shared" ref="V1691:V1754" si="75">SUM(O1691+Q1691)+S1691+U1691</f>
        <v>0</v>
      </c>
      <c r="W1691" s="106"/>
      <c r="X1691" s="64"/>
    </row>
    <row r="1692" spans="1:24" s="66" customFormat="1" ht="12" hidden="1" customHeight="1">
      <c r="A1692" s="79" t="s">
        <v>3440</v>
      </c>
      <c r="B1692" s="79"/>
      <c r="C1692" s="79"/>
      <c r="D1692" s="79"/>
      <c r="E1692" s="79"/>
      <c r="F1692" s="79"/>
      <c r="G1692" s="79"/>
      <c r="H1692" s="79"/>
      <c r="I1692" s="79" t="s">
        <v>3434</v>
      </c>
      <c r="J1692" s="79" t="s">
        <v>1339</v>
      </c>
      <c r="K1692" s="79" t="s">
        <v>775</v>
      </c>
      <c r="L1692" s="79" t="s">
        <v>0</v>
      </c>
      <c r="M1692" s="63"/>
      <c r="N1692" s="80">
        <v>138700</v>
      </c>
      <c r="O1692" s="57">
        <f t="shared" si="74"/>
        <v>0</v>
      </c>
      <c r="P1692" s="57"/>
      <c r="Q1692" s="73"/>
      <c r="R1692" s="57"/>
      <c r="S1692" s="57"/>
      <c r="T1692" s="57"/>
      <c r="U1692" s="57"/>
      <c r="V1692" s="73">
        <f t="shared" si="75"/>
        <v>0</v>
      </c>
      <c r="W1692" s="106"/>
      <c r="X1692" s="64"/>
    </row>
    <row r="1693" spans="1:24" s="66" customFormat="1" ht="12" hidden="1" customHeight="1">
      <c r="A1693" s="79" t="s">
        <v>3441</v>
      </c>
      <c r="B1693" s="79"/>
      <c r="C1693" s="79"/>
      <c r="D1693" s="79"/>
      <c r="E1693" s="79"/>
      <c r="F1693" s="79"/>
      <c r="G1693" s="79"/>
      <c r="H1693" s="79"/>
      <c r="I1693" s="79" t="s">
        <v>3434</v>
      </c>
      <c r="J1693" s="79" t="s">
        <v>1339</v>
      </c>
      <c r="K1693" s="79" t="s">
        <v>776</v>
      </c>
      <c r="L1693" s="79" t="s">
        <v>0</v>
      </c>
      <c r="M1693" s="63"/>
      <c r="N1693" s="80">
        <v>159520</v>
      </c>
      <c r="O1693" s="57">
        <f t="shared" si="74"/>
        <v>0</v>
      </c>
      <c r="P1693" s="57"/>
      <c r="Q1693" s="73"/>
      <c r="R1693" s="57"/>
      <c r="S1693" s="57"/>
      <c r="T1693" s="57"/>
      <c r="U1693" s="57"/>
      <c r="V1693" s="73">
        <f t="shared" si="75"/>
        <v>0</v>
      </c>
      <c r="W1693" s="106"/>
      <c r="X1693" s="64"/>
    </row>
    <row r="1694" spans="1:24" s="66" customFormat="1" ht="12" hidden="1" customHeight="1">
      <c r="A1694" s="79" t="s">
        <v>3442</v>
      </c>
      <c r="B1694" s="79"/>
      <c r="C1694" s="79"/>
      <c r="D1694" s="79"/>
      <c r="E1694" s="79"/>
      <c r="F1694" s="79"/>
      <c r="G1694" s="79"/>
      <c r="H1694" s="79"/>
      <c r="I1694" s="79" t="s">
        <v>3434</v>
      </c>
      <c r="J1694" s="79" t="s">
        <v>1339</v>
      </c>
      <c r="K1694" s="79" t="s">
        <v>777</v>
      </c>
      <c r="L1694" s="79" t="s">
        <v>0</v>
      </c>
      <c r="M1694" s="63"/>
      <c r="N1694" s="80">
        <v>153460</v>
      </c>
      <c r="O1694" s="57">
        <f t="shared" si="74"/>
        <v>0</v>
      </c>
      <c r="P1694" s="57"/>
      <c r="Q1694" s="73"/>
      <c r="R1694" s="57"/>
      <c r="S1694" s="57"/>
      <c r="T1694" s="57"/>
      <c r="U1694" s="57"/>
      <c r="V1694" s="73">
        <f t="shared" si="75"/>
        <v>0</v>
      </c>
      <c r="W1694" s="106"/>
      <c r="X1694" s="64"/>
    </row>
    <row r="1695" spans="1:24" s="66" customFormat="1" ht="12" hidden="1" customHeight="1">
      <c r="A1695" s="79" t="s">
        <v>2292</v>
      </c>
      <c r="B1695" s="79"/>
      <c r="C1695" s="79"/>
      <c r="D1695" s="79"/>
      <c r="E1695" s="79"/>
      <c r="F1695" s="79"/>
      <c r="G1695" s="79"/>
      <c r="H1695" s="79"/>
      <c r="I1695" s="79" t="s">
        <v>2291</v>
      </c>
      <c r="J1695" s="79" t="s">
        <v>1320</v>
      </c>
      <c r="K1695" s="79" t="s">
        <v>1328</v>
      </c>
      <c r="L1695" s="79" t="s">
        <v>0</v>
      </c>
      <c r="M1695" s="63"/>
      <c r="N1695" s="80">
        <v>2960</v>
      </c>
      <c r="O1695" s="57">
        <f t="shared" si="74"/>
        <v>0</v>
      </c>
      <c r="P1695" s="57"/>
      <c r="Q1695" s="73"/>
      <c r="R1695" s="57"/>
      <c r="S1695" s="57"/>
      <c r="T1695" s="57"/>
      <c r="U1695" s="57"/>
      <c r="V1695" s="73">
        <f t="shared" si="75"/>
        <v>0</v>
      </c>
      <c r="W1695" s="106"/>
      <c r="X1695" s="64"/>
    </row>
    <row r="1696" spans="1:24" s="66" customFormat="1" ht="12" hidden="1" customHeight="1">
      <c r="A1696" s="79" t="s">
        <v>2293</v>
      </c>
      <c r="B1696" s="79"/>
      <c r="C1696" s="79"/>
      <c r="D1696" s="79"/>
      <c r="E1696" s="79"/>
      <c r="F1696" s="79"/>
      <c r="G1696" s="79"/>
      <c r="H1696" s="79"/>
      <c r="I1696" s="79" t="s">
        <v>2291</v>
      </c>
      <c r="J1696" s="79" t="s">
        <v>1320</v>
      </c>
      <c r="K1696" s="79" t="s">
        <v>1327</v>
      </c>
      <c r="L1696" s="79" t="s">
        <v>0</v>
      </c>
      <c r="M1696" s="63"/>
      <c r="N1696" s="80">
        <v>3840</v>
      </c>
      <c r="O1696" s="57">
        <f t="shared" si="74"/>
        <v>0</v>
      </c>
      <c r="P1696" s="57"/>
      <c r="Q1696" s="73"/>
      <c r="R1696" s="57"/>
      <c r="S1696" s="57"/>
      <c r="T1696" s="57"/>
      <c r="U1696" s="57"/>
      <c r="V1696" s="73">
        <f t="shared" si="75"/>
        <v>0</v>
      </c>
      <c r="W1696" s="106"/>
      <c r="X1696" s="64"/>
    </row>
    <row r="1697" spans="1:24" s="66" customFormat="1" ht="12" hidden="1" customHeight="1">
      <c r="A1697" s="79" t="s">
        <v>2294</v>
      </c>
      <c r="B1697" s="79"/>
      <c r="C1697" s="79"/>
      <c r="D1697" s="79"/>
      <c r="E1697" s="79"/>
      <c r="F1697" s="79"/>
      <c r="G1697" s="79"/>
      <c r="H1697" s="79"/>
      <c r="I1697" s="79" t="s">
        <v>2291</v>
      </c>
      <c r="J1697" s="79" t="s">
        <v>1320</v>
      </c>
      <c r="K1697" s="79" t="s">
        <v>1326</v>
      </c>
      <c r="L1697" s="79" t="s">
        <v>0</v>
      </c>
      <c r="M1697" s="63"/>
      <c r="N1697" s="80">
        <v>5000</v>
      </c>
      <c r="O1697" s="57">
        <f t="shared" si="74"/>
        <v>0</v>
      </c>
      <c r="P1697" s="57"/>
      <c r="Q1697" s="73"/>
      <c r="R1697" s="57"/>
      <c r="S1697" s="57"/>
      <c r="T1697" s="57"/>
      <c r="U1697" s="57"/>
      <c r="V1697" s="73">
        <f t="shared" si="75"/>
        <v>0</v>
      </c>
      <c r="W1697" s="106"/>
      <c r="X1697" s="64"/>
    </row>
    <row r="1698" spans="1:24" s="66" customFormat="1" ht="12" hidden="1" customHeight="1">
      <c r="A1698" s="79" t="s">
        <v>2295</v>
      </c>
      <c r="B1698" s="79"/>
      <c r="C1698" s="79"/>
      <c r="D1698" s="79"/>
      <c r="E1698" s="79"/>
      <c r="F1698" s="79"/>
      <c r="G1698" s="79"/>
      <c r="H1698" s="79"/>
      <c r="I1698" s="79" t="s">
        <v>2291</v>
      </c>
      <c r="J1698" s="79" t="s">
        <v>1320</v>
      </c>
      <c r="K1698" s="79" t="s">
        <v>1325</v>
      </c>
      <c r="L1698" s="79" t="s">
        <v>0</v>
      </c>
      <c r="M1698" s="63"/>
      <c r="N1698" s="80">
        <v>6400</v>
      </c>
      <c r="O1698" s="57">
        <f t="shared" si="74"/>
        <v>0</v>
      </c>
      <c r="P1698" s="57"/>
      <c r="Q1698" s="73"/>
      <c r="R1698" s="57"/>
      <c r="S1698" s="57"/>
      <c r="T1698" s="57"/>
      <c r="U1698" s="57"/>
      <c r="V1698" s="73">
        <f t="shared" si="75"/>
        <v>0</v>
      </c>
      <c r="W1698" s="106"/>
      <c r="X1698" s="64"/>
    </row>
    <row r="1699" spans="1:24" s="66" customFormat="1" ht="12" hidden="1" customHeight="1">
      <c r="A1699" s="79" t="s">
        <v>2296</v>
      </c>
      <c r="B1699" s="79"/>
      <c r="C1699" s="79"/>
      <c r="D1699" s="79"/>
      <c r="E1699" s="79"/>
      <c r="F1699" s="79"/>
      <c r="G1699" s="79"/>
      <c r="H1699" s="79"/>
      <c r="I1699" s="79" t="s">
        <v>2291</v>
      </c>
      <c r="J1699" s="79" t="s">
        <v>1320</v>
      </c>
      <c r="K1699" s="79" t="s">
        <v>1324</v>
      </c>
      <c r="L1699" s="79" t="s">
        <v>0</v>
      </c>
      <c r="M1699" s="63"/>
      <c r="N1699" s="80">
        <v>7360</v>
      </c>
      <c r="O1699" s="57">
        <f t="shared" si="74"/>
        <v>0</v>
      </c>
      <c r="P1699" s="57"/>
      <c r="Q1699" s="73"/>
      <c r="R1699" s="57"/>
      <c r="S1699" s="57"/>
      <c r="T1699" s="57"/>
      <c r="U1699" s="57"/>
      <c r="V1699" s="73">
        <f t="shared" si="75"/>
        <v>0</v>
      </c>
      <c r="W1699" s="106"/>
      <c r="X1699" s="64"/>
    </row>
    <row r="1700" spans="1:24" s="66" customFormat="1" ht="12" hidden="1" customHeight="1">
      <c r="A1700" s="79" t="s">
        <v>2297</v>
      </c>
      <c r="B1700" s="79"/>
      <c r="C1700" s="79"/>
      <c r="D1700" s="79"/>
      <c r="E1700" s="79"/>
      <c r="F1700" s="79"/>
      <c r="G1700" s="79"/>
      <c r="H1700" s="79"/>
      <c r="I1700" s="79" t="s">
        <v>2291</v>
      </c>
      <c r="J1700" s="79" t="s">
        <v>1320</v>
      </c>
      <c r="K1700" s="79" t="s">
        <v>1323</v>
      </c>
      <c r="L1700" s="79" t="s">
        <v>0</v>
      </c>
      <c r="M1700" s="63"/>
      <c r="N1700" s="80">
        <v>10320</v>
      </c>
      <c r="O1700" s="57">
        <f t="shared" si="74"/>
        <v>0</v>
      </c>
      <c r="P1700" s="57"/>
      <c r="Q1700" s="73"/>
      <c r="R1700" s="57"/>
      <c r="S1700" s="57"/>
      <c r="T1700" s="57"/>
      <c r="U1700" s="57"/>
      <c r="V1700" s="73">
        <f t="shared" si="75"/>
        <v>0</v>
      </c>
      <c r="W1700" s="106"/>
      <c r="X1700" s="64"/>
    </row>
    <row r="1701" spans="1:24" s="66" customFormat="1" ht="12" hidden="1" customHeight="1">
      <c r="A1701" s="79" t="s">
        <v>2298</v>
      </c>
      <c r="B1701" s="79"/>
      <c r="C1701" s="79"/>
      <c r="D1701" s="79"/>
      <c r="E1701" s="79"/>
      <c r="F1701" s="79"/>
      <c r="G1701" s="79"/>
      <c r="H1701" s="79"/>
      <c r="I1701" s="79" t="s">
        <v>2291</v>
      </c>
      <c r="J1701" s="79" t="s">
        <v>1320</v>
      </c>
      <c r="K1701" s="79" t="s">
        <v>1322</v>
      </c>
      <c r="L1701" s="79" t="s">
        <v>0</v>
      </c>
      <c r="M1701" s="63"/>
      <c r="N1701" s="80">
        <v>13170</v>
      </c>
      <c r="O1701" s="57">
        <f t="shared" si="74"/>
        <v>0</v>
      </c>
      <c r="P1701" s="57"/>
      <c r="Q1701" s="73"/>
      <c r="R1701" s="57"/>
      <c r="S1701" s="57"/>
      <c r="T1701" s="57"/>
      <c r="U1701" s="57"/>
      <c r="V1701" s="73">
        <f t="shared" si="75"/>
        <v>0</v>
      </c>
      <c r="W1701" s="106"/>
      <c r="X1701" s="64"/>
    </row>
    <row r="1702" spans="1:24" s="66" customFormat="1" ht="12" hidden="1" customHeight="1">
      <c r="A1702" s="79" t="s">
        <v>2299</v>
      </c>
      <c r="B1702" s="79"/>
      <c r="C1702" s="79"/>
      <c r="D1702" s="79"/>
      <c r="E1702" s="79"/>
      <c r="F1702" s="79"/>
      <c r="G1702" s="79"/>
      <c r="H1702" s="79"/>
      <c r="I1702" s="79" t="s">
        <v>2291</v>
      </c>
      <c r="J1702" s="79" t="s">
        <v>1320</v>
      </c>
      <c r="K1702" s="79" t="s">
        <v>1321</v>
      </c>
      <c r="L1702" s="79" t="s">
        <v>0</v>
      </c>
      <c r="M1702" s="63"/>
      <c r="N1702" s="80">
        <v>15160</v>
      </c>
      <c r="O1702" s="57">
        <f t="shared" si="74"/>
        <v>0</v>
      </c>
      <c r="P1702" s="57"/>
      <c r="Q1702" s="73"/>
      <c r="R1702" s="57"/>
      <c r="S1702" s="57"/>
      <c r="T1702" s="57"/>
      <c r="U1702" s="57"/>
      <c r="V1702" s="73">
        <f t="shared" si="75"/>
        <v>0</v>
      </c>
      <c r="W1702" s="106"/>
      <c r="X1702" s="64"/>
    </row>
    <row r="1703" spans="1:24" s="66" customFormat="1" ht="12" hidden="1" customHeight="1">
      <c r="A1703" s="79" t="s">
        <v>2290</v>
      </c>
      <c r="B1703" s="79"/>
      <c r="C1703" s="79"/>
      <c r="D1703" s="79"/>
      <c r="E1703" s="79"/>
      <c r="F1703" s="79"/>
      <c r="G1703" s="79"/>
      <c r="H1703" s="79"/>
      <c r="I1703" s="79" t="s">
        <v>2291</v>
      </c>
      <c r="J1703" s="79" t="s">
        <v>1320</v>
      </c>
      <c r="K1703" s="79" t="s">
        <v>1319</v>
      </c>
      <c r="L1703" s="79" t="s">
        <v>0</v>
      </c>
      <c r="M1703" s="63"/>
      <c r="N1703" s="80">
        <v>24460</v>
      </c>
      <c r="O1703" s="57">
        <f t="shared" si="74"/>
        <v>0</v>
      </c>
      <c r="P1703" s="57"/>
      <c r="Q1703" s="73"/>
      <c r="R1703" s="57"/>
      <c r="S1703" s="57"/>
      <c r="T1703" s="57"/>
      <c r="U1703" s="57"/>
      <c r="V1703" s="73">
        <f t="shared" si="75"/>
        <v>0</v>
      </c>
      <c r="W1703" s="106"/>
      <c r="X1703" s="64"/>
    </row>
    <row r="1704" spans="1:24" s="66" customFormat="1" ht="12" hidden="1" customHeight="1">
      <c r="A1704" s="79" t="s">
        <v>2304</v>
      </c>
      <c r="B1704" s="79"/>
      <c r="C1704" s="79"/>
      <c r="D1704" s="79"/>
      <c r="E1704" s="79"/>
      <c r="F1704" s="79"/>
      <c r="G1704" s="79"/>
      <c r="H1704" s="79"/>
      <c r="I1704" s="79" t="s">
        <v>2301</v>
      </c>
      <c r="J1704" s="79" t="s">
        <v>2302</v>
      </c>
      <c r="K1704" s="79" t="s">
        <v>2305</v>
      </c>
      <c r="L1704" s="79" t="s">
        <v>0</v>
      </c>
      <c r="M1704" s="63"/>
      <c r="N1704" s="80">
        <v>530</v>
      </c>
      <c r="O1704" s="57">
        <f t="shared" si="74"/>
        <v>0</v>
      </c>
      <c r="P1704" s="57"/>
      <c r="Q1704" s="73"/>
      <c r="R1704" s="57"/>
      <c r="S1704" s="57"/>
      <c r="T1704" s="57"/>
      <c r="U1704" s="57"/>
      <c r="V1704" s="73">
        <f t="shared" si="75"/>
        <v>0</v>
      </c>
      <c r="W1704" s="106"/>
      <c r="X1704" s="64"/>
    </row>
    <row r="1705" spans="1:24" s="66" customFormat="1" ht="12" hidden="1" customHeight="1">
      <c r="A1705" s="79" t="s">
        <v>2306</v>
      </c>
      <c r="B1705" s="79"/>
      <c r="C1705" s="79"/>
      <c r="D1705" s="79"/>
      <c r="E1705" s="79"/>
      <c r="F1705" s="79"/>
      <c r="G1705" s="79"/>
      <c r="H1705" s="79"/>
      <c r="I1705" s="79" t="s">
        <v>2301</v>
      </c>
      <c r="J1705" s="79" t="s">
        <v>2302</v>
      </c>
      <c r="K1705" s="79" t="s">
        <v>2307</v>
      </c>
      <c r="L1705" s="79" t="s">
        <v>0</v>
      </c>
      <c r="M1705" s="63"/>
      <c r="N1705" s="80">
        <v>1000</v>
      </c>
      <c r="O1705" s="57">
        <f t="shared" si="74"/>
        <v>0</v>
      </c>
      <c r="P1705" s="57"/>
      <c r="Q1705" s="73"/>
      <c r="R1705" s="57"/>
      <c r="S1705" s="57"/>
      <c r="T1705" s="57"/>
      <c r="U1705" s="57"/>
      <c r="V1705" s="73">
        <f t="shared" si="75"/>
        <v>0</v>
      </c>
      <c r="W1705" s="106"/>
      <c r="X1705" s="64"/>
    </row>
    <row r="1706" spans="1:24" s="66" customFormat="1" ht="12" hidden="1" customHeight="1">
      <c r="A1706" s="79" t="s">
        <v>2308</v>
      </c>
      <c r="B1706" s="79"/>
      <c r="C1706" s="79"/>
      <c r="D1706" s="79"/>
      <c r="E1706" s="79"/>
      <c r="F1706" s="79"/>
      <c r="G1706" s="79"/>
      <c r="H1706" s="79"/>
      <c r="I1706" s="79" t="s">
        <v>2301</v>
      </c>
      <c r="J1706" s="79" t="s">
        <v>2302</v>
      </c>
      <c r="K1706" s="79" t="s">
        <v>2309</v>
      </c>
      <c r="L1706" s="79" t="s">
        <v>0</v>
      </c>
      <c r="M1706" s="63"/>
      <c r="N1706" s="80">
        <v>1170</v>
      </c>
      <c r="O1706" s="57">
        <f t="shared" ref="O1706:O1728" si="76">M1706*N1706*$O$3</f>
        <v>0</v>
      </c>
      <c r="P1706" s="57"/>
      <c r="Q1706" s="73"/>
      <c r="R1706" s="57"/>
      <c r="S1706" s="57"/>
      <c r="T1706" s="57"/>
      <c r="U1706" s="57"/>
      <c r="V1706" s="73">
        <f t="shared" si="75"/>
        <v>0</v>
      </c>
      <c r="W1706" s="106"/>
      <c r="X1706" s="64"/>
    </row>
    <row r="1707" spans="1:24" s="66" customFormat="1" ht="12" hidden="1" customHeight="1">
      <c r="A1707" s="79" t="s">
        <v>2310</v>
      </c>
      <c r="B1707" s="79"/>
      <c r="C1707" s="79"/>
      <c r="D1707" s="79"/>
      <c r="E1707" s="79"/>
      <c r="F1707" s="79"/>
      <c r="G1707" s="79"/>
      <c r="H1707" s="79"/>
      <c r="I1707" s="79" t="s">
        <v>2301</v>
      </c>
      <c r="J1707" s="79" t="s">
        <v>2302</v>
      </c>
      <c r="K1707" s="79" t="s">
        <v>2311</v>
      </c>
      <c r="L1707" s="79" t="s">
        <v>0</v>
      </c>
      <c r="M1707" s="63"/>
      <c r="N1707" s="80">
        <v>1520</v>
      </c>
      <c r="O1707" s="57">
        <f t="shared" si="76"/>
        <v>0</v>
      </c>
      <c r="P1707" s="57"/>
      <c r="Q1707" s="73"/>
      <c r="R1707" s="57"/>
      <c r="S1707" s="57"/>
      <c r="T1707" s="57"/>
      <c r="U1707" s="57"/>
      <c r="V1707" s="73">
        <f t="shared" si="75"/>
        <v>0</v>
      </c>
      <c r="W1707" s="106"/>
      <c r="X1707" s="64"/>
    </row>
    <row r="1708" spans="1:24" s="66" customFormat="1" ht="12" hidden="1" customHeight="1">
      <c r="A1708" s="79" t="s">
        <v>2312</v>
      </c>
      <c r="B1708" s="79"/>
      <c r="C1708" s="79"/>
      <c r="D1708" s="79"/>
      <c r="E1708" s="79"/>
      <c r="F1708" s="79"/>
      <c r="G1708" s="79"/>
      <c r="H1708" s="79"/>
      <c r="I1708" s="79" t="s">
        <v>2301</v>
      </c>
      <c r="J1708" s="79" t="s">
        <v>2302</v>
      </c>
      <c r="K1708" s="79" t="s">
        <v>2313</v>
      </c>
      <c r="L1708" s="79" t="s">
        <v>0</v>
      </c>
      <c r="M1708" s="63"/>
      <c r="N1708" s="80">
        <v>2450</v>
      </c>
      <c r="O1708" s="57">
        <f t="shared" si="76"/>
        <v>0</v>
      </c>
      <c r="P1708" s="57"/>
      <c r="Q1708" s="73"/>
      <c r="R1708" s="57"/>
      <c r="S1708" s="57"/>
      <c r="T1708" s="57"/>
      <c r="U1708" s="57"/>
      <c r="V1708" s="73">
        <f t="shared" si="75"/>
        <v>0</v>
      </c>
      <c r="W1708" s="106"/>
      <c r="X1708" s="64"/>
    </row>
    <row r="1709" spans="1:24" s="66" customFormat="1" ht="12" hidden="1" customHeight="1">
      <c r="A1709" s="79" t="s">
        <v>2314</v>
      </c>
      <c r="B1709" s="79"/>
      <c r="C1709" s="79"/>
      <c r="D1709" s="79"/>
      <c r="E1709" s="79"/>
      <c r="F1709" s="79"/>
      <c r="G1709" s="79"/>
      <c r="H1709" s="79"/>
      <c r="I1709" s="79" t="s">
        <v>2301</v>
      </c>
      <c r="J1709" s="79" t="s">
        <v>2302</v>
      </c>
      <c r="K1709" s="79" t="s">
        <v>2315</v>
      </c>
      <c r="L1709" s="79" t="s">
        <v>0</v>
      </c>
      <c r="M1709" s="63"/>
      <c r="N1709" s="80">
        <v>3160</v>
      </c>
      <c r="O1709" s="57">
        <f t="shared" si="76"/>
        <v>0</v>
      </c>
      <c r="P1709" s="57"/>
      <c r="Q1709" s="73"/>
      <c r="R1709" s="57"/>
      <c r="S1709" s="57"/>
      <c r="T1709" s="57"/>
      <c r="U1709" s="57"/>
      <c r="V1709" s="73">
        <f t="shared" si="75"/>
        <v>0</v>
      </c>
      <c r="W1709" s="106"/>
      <c r="X1709" s="64"/>
    </row>
    <row r="1710" spans="1:24" s="66" customFormat="1" ht="12" hidden="1" customHeight="1">
      <c r="A1710" s="79" t="s">
        <v>2316</v>
      </c>
      <c r="B1710" s="79"/>
      <c r="C1710" s="79"/>
      <c r="D1710" s="79"/>
      <c r="E1710" s="79"/>
      <c r="F1710" s="79"/>
      <c r="G1710" s="79"/>
      <c r="H1710" s="79"/>
      <c r="I1710" s="79" t="s">
        <v>2301</v>
      </c>
      <c r="J1710" s="79" t="s">
        <v>2302</v>
      </c>
      <c r="K1710" s="79" t="s">
        <v>2317</v>
      </c>
      <c r="L1710" s="79" t="s">
        <v>0</v>
      </c>
      <c r="M1710" s="63"/>
      <c r="N1710" s="80">
        <v>5730</v>
      </c>
      <c r="O1710" s="57">
        <f t="shared" si="76"/>
        <v>0</v>
      </c>
      <c r="P1710" s="57"/>
      <c r="Q1710" s="73"/>
      <c r="R1710" s="57"/>
      <c r="S1710" s="57"/>
      <c r="T1710" s="57"/>
      <c r="U1710" s="57"/>
      <c r="V1710" s="73">
        <f t="shared" si="75"/>
        <v>0</v>
      </c>
      <c r="W1710" s="106"/>
      <c r="X1710" s="64"/>
    </row>
    <row r="1711" spans="1:24" s="66" customFormat="1" ht="12" hidden="1" customHeight="1">
      <c r="A1711" s="79" t="s">
        <v>2318</v>
      </c>
      <c r="B1711" s="79"/>
      <c r="C1711" s="79"/>
      <c r="D1711" s="79"/>
      <c r="E1711" s="79"/>
      <c r="F1711" s="79"/>
      <c r="G1711" s="79"/>
      <c r="H1711" s="79"/>
      <c r="I1711" s="79" t="s">
        <v>2301</v>
      </c>
      <c r="J1711" s="79" t="s">
        <v>2302</v>
      </c>
      <c r="K1711" s="79" t="s">
        <v>2319</v>
      </c>
      <c r="L1711" s="79" t="s">
        <v>0</v>
      </c>
      <c r="M1711" s="63"/>
      <c r="N1711" s="80">
        <v>7250</v>
      </c>
      <c r="O1711" s="57">
        <f t="shared" si="76"/>
        <v>0</v>
      </c>
      <c r="P1711" s="57"/>
      <c r="Q1711" s="73"/>
      <c r="R1711" s="57"/>
      <c r="S1711" s="57"/>
      <c r="T1711" s="57"/>
      <c r="U1711" s="57"/>
      <c r="V1711" s="73">
        <f t="shared" si="75"/>
        <v>0</v>
      </c>
      <c r="W1711" s="106"/>
      <c r="X1711" s="64"/>
    </row>
    <row r="1712" spans="1:24" s="66" customFormat="1" ht="12" hidden="1" customHeight="1">
      <c r="A1712" s="79" t="s">
        <v>2300</v>
      </c>
      <c r="B1712" s="79"/>
      <c r="C1712" s="79"/>
      <c r="D1712" s="79"/>
      <c r="E1712" s="79"/>
      <c r="F1712" s="79"/>
      <c r="G1712" s="79"/>
      <c r="H1712" s="79"/>
      <c r="I1712" s="79" t="s">
        <v>2301</v>
      </c>
      <c r="J1712" s="79" t="s">
        <v>2302</v>
      </c>
      <c r="K1712" s="79" t="s">
        <v>2303</v>
      </c>
      <c r="L1712" s="79" t="s">
        <v>0</v>
      </c>
      <c r="M1712" s="63"/>
      <c r="N1712" s="80">
        <v>11370</v>
      </c>
      <c r="O1712" s="57">
        <f t="shared" si="76"/>
        <v>0</v>
      </c>
      <c r="P1712" s="57"/>
      <c r="Q1712" s="73"/>
      <c r="R1712" s="57"/>
      <c r="S1712" s="57"/>
      <c r="T1712" s="57"/>
      <c r="U1712" s="57"/>
      <c r="V1712" s="73">
        <f t="shared" si="75"/>
        <v>0</v>
      </c>
      <c r="W1712" s="106"/>
      <c r="X1712" s="64"/>
    </row>
    <row r="1713" spans="1:24" s="66" customFormat="1" ht="12" hidden="1" customHeight="1">
      <c r="A1713" s="79" t="s">
        <v>3007</v>
      </c>
      <c r="B1713" s="79"/>
      <c r="C1713" s="79"/>
      <c r="D1713" s="79"/>
      <c r="E1713" s="79"/>
      <c r="F1713" s="79"/>
      <c r="G1713" s="79"/>
      <c r="H1713" s="79"/>
      <c r="I1713" s="79" t="s">
        <v>2301</v>
      </c>
      <c r="J1713" s="79" t="s">
        <v>3006</v>
      </c>
      <c r="K1713" s="79" t="s">
        <v>2305</v>
      </c>
      <c r="L1713" s="79" t="s">
        <v>20</v>
      </c>
      <c r="M1713" s="63"/>
      <c r="N1713" s="80">
        <v>3830</v>
      </c>
      <c r="O1713" s="57">
        <f t="shared" si="76"/>
        <v>0</v>
      </c>
      <c r="P1713" s="57"/>
      <c r="Q1713" s="73"/>
      <c r="R1713" s="57"/>
      <c r="S1713" s="57"/>
      <c r="T1713" s="57"/>
      <c r="U1713" s="57"/>
      <c r="V1713" s="73">
        <f t="shared" si="75"/>
        <v>0</v>
      </c>
      <c r="W1713" s="106"/>
      <c r="X1713" s="64"/>
    </row>
    <row r="1714" spans="1:24" s="66" customFormat="1" ht="12" hidden="1" customHeight="1">
      <c r="A1714" s="79" t="s">
        <v>3008</v>
      </c>
      <c r="B1714" s="79"/>
      <c r="C1714" s="79"/>
      <c r="D1714" s="79"/>
      <c r="E1714" s="79"/>
      <c r="F1714" s="79"/>
      <c r="G1714" s="79"/>
      <c r="H1714" s="79"/>
      <c r="I1714" s="79" t="s">
        <v>2301</v>
      </c>
      <c r="J1714" s="79" t="s">
        <v>3006</v>
      </c>
      <c r="K1714" s="79" t="s">
        <v>2307</v>
      </c>
      <c r="L1714" s="79" t="s">
        <v>20</v>
      </c>
      <c r="M1714" s="63"/>
      <c r="N1714" s="80">
        <v>4750</v>
      </c>
      <c r="O1714" s="57">
        <f t="shared" si="76"/>
        <v>0</v>
      </c>
      <c r="P1714" s="57"/>
      <c r="Q1714" s="73"/>
      <c r="R1714" s="57"/>
      <c r="S1714" s="57"/>
      <c r="T1714" s="57"/>
      <c r="U1714" s="57"/>
      <c r="V1714" s="73">
        <f t="shared" si="75"/>
        <v>0</v>
      </c>
      <c r="W1714" s="106"/>
      <c r="X1714" s="64"/>
    </row>
    <row r="1715" spans="1:24" s="66" customFormat="1" ht="12" hidden="1" customHeight="1">
      <c r="A1715" s="79" t="s">
        <v>3009</v>
      </c>
      <c r="B1715" s="79"/>
      <c r="C1715" s="79"/>
      <c r="D1715" s="79"/>
      <c r="E1715" s="79"/>
      <c r="F1715" s="79"/>
      <c r="G1715" s="79"/>
      <c r="H1715" s="79"/>
      <c r="I1715" s="79" t="s">
        <v>2301</v>
      </c>
      <c r="J1715" s="79" t="s">
        <v>3006</v>
      </c>
      <c r="K1715" s="79" t="s">
        <v>2309</v>
      </c>
      <c r="L1715" s="79" t="s">
        <v>20</v>
      </c>
      <c r="M1715" s="63"/>
      <c r="N1715" s="80">
        <v>6270</v>
      </c>
      <c r="O1715" s="57">
        <f t="shared" si="76"/>
        <v>0</v>
      </c>
      <c r="P1715" s="57"/>
      <c r="Q1715" s="73"/>
      <c r="R1715" s="57"/>
      <c r="S1715" s="57"/>
      <c r="T1715" s="57"/>
      <c r="U1715" s="57"/>
      <c r="V1715" s="73">
        <f t="shared" si="75"/>
        <v>0</v>
      </c>
      <c r="W1715" s="106"/>
      <c r="X1715" s="64"/>
    </row>
    <row r="1716" spans="1:24" s="66" customFormat="1" ht="12" hidden="1" customHeight="1">
      <c r="A1716" s="79" t="s">
        <v>3010</v>
      </c>
      <c r="B1716" s="79"/>
      <c r="C1716" s="79"/>
      <c r="D1716" s="79"/>
      <c r="E1716" s="79"/>
      <c r="F1716" s="79"/>
      <c r="G1716" s="79"/>
      <c r="H1716" s="79"/>
      <c r="I1716" s="79" t="s">
        <v>2301</v>
      </c>
      <c r="J1716" s="79" t="s">
        <v>3006</v>
      </c>
      <c r="K1716" s="79" t="s">
        <v>2311</v>
      </c>
      <c r="L1716" s="79" t="s">
        <v>20</v>
      </c>
      <c r="M1716" s="63"/>
      <c r="N1716" s="80">
        <v>9340</v>
      </c>
      <c r="O1716" s="57">
        <f t="shared" si="76"/>
        <v>0</v>
      </c>
      <c r="P1716" s="57"/>
      <c r="Q1716" s="73"/>
      <c r="R1716" s="57"/>
      <c r="S1716" s="57"/>
      <c r="T1716" s="57"/>
      <c r="U1716" s="57"/>
      <c r="V1716" s="73">
        <f t="shared" si="75"/>
        <v>0</v>
      </c>
      <c r="W1716" s="106"/>
      <c r="X1716" s="64"/>
    </row>
    <row r="1717" spans="1:24" s="66" customFormat="1" ht="12" hidden="1" customHeight="1">
      <c r="A1717" s="79" t="s">
        <v>3011</v>
      </c>
      <c r="B1717" s="79"/>
      <c r="C1717" s="79"/>
      <c r="D1717" s="79"/>
      <c r="E1717" s="79"/>
      <c r="F1717" s="79"/>
      <c r="G1717" s="79"/>
      <c r="H1717" s="79"/>
      <c r="I1717" s="79" t="s">
        <v>2301</v>
      </c>
      <c r="J1717" s="79" t="s">
        <v>3006</v>
      </c>
      <c r="K1717" s="79" t="s">
        <v>2313</v>
      </c>
      <c r="L1717" s="79" t="s">
        <v>20</v>
      </c>
      <c r="M1717" s="63"/>
      <c r="N1717" s="80">
        <v>12320</v>
      </c>
      <c r="O1717" s="57">
        <f t="shared" si="76"/>
        <v>0</v>
      </c>
      <c r="P1717" s="57"/>
      <c r="Q1717" s="73"/>
      <c r="R1717" s="57"/>
      <c r="S1717" s="57"/>
      <c r="T1717" s="57"/>
      <c r="U1717" s="57"/>
      <c r="V1717" s="73">
        <f t="shared" si="75"/>
        <v>0</v>
      </c>
      <c r="W1717" s="106"/>
      <c r="X1717" s="64"/>
    </row>
    <row r="1718" spans="1:24" s="66" customFormat="1" ht="12" hidden="1" customHeight="1">
      <c r="A1718" s="79" t="s">
        <v>3012</v>
      </c>
      <c r="B1718" s="79"/>
      <c r="C1718" s="79"/>
      <c r="D1718" s="79"/>
      <c r="E1718" s="79"/>
      <c r="F1718" s="79"/>
      <c r="G1718" s="79"/>
      <c r="H1718" s="79"/>
      <c r="I1718" s="79" t="s">
        <v>2301</v>
      </c>
      <c r="J1718" s="79" t="s">
        <v>3006</v>
      </c>
      <c r="K1718" s="79" t="s">
        <v>2315</v>
      </c>
      <c r="L1718" s="79" t="s">
        <v>20</v>
      </c>
      <c r="M1718" s="63"/>
      <c r="N1718" s="80">
        <v>16890</v>
      </c>
      <c r="O1718" s="57">
        <f t="shared" si="76"/>
        <v>0</v>
      </c>
      <c r="P1718" s="57"/>
      <c r="Q1718" s="73"/>
      <c r="R1718" s="57"/>
      <c r="S1718" s="57"/>
      <c r="T1718" s="57"/>
      <c r="U1718" s="57"/>
      <c r="V1718" s="73">
        <f t="shared" si="75"/>
        <v>0</v>
      </c>
      <c r="W1718" s="106"/>
      <c r="X1718" s="64"/>
    </row>
    <row r="1719" spans="1:24" s="66" customFormat="1" ht="12" hidden="1" customHeight="1">
      <c r="A1719" s="79" t="s">
        <v>3013</v>
      </c>
      <c r="B1719" s="79"/>
      <c r="C1719" s="79"/>
      <c r="D1719" s="79"/>
      <c r="E1719" s="79"/>
      <c r="F1719" s="79"/>
      <c r="G1719" s="79"/>
      <c r="H1719" s="79"/>
      <c r="I1719" s="79" t="s">
        <v>2301</v>
      </c>
      <c r="J1719" s="79" t="s">
        <v>3006</v>
      </c>
      <c r="K1719" s="79" t="s">
        <v>2317</v>
      </c>
      <c r="L1719" s="79" t="s">
        <v>20</v>
      </c>
      <c r="M1719" s="63"/>
      <c r="N1719" s="80">
        <v>28150</v>
      </c>
      <c r="O1719" s="57">
        <f t="shared" si="76"/>
        <v>0</v>
      </c>
      <c r="P1719" s="57"/>
      <c r="Q1719" s="73"/>
      <c r="R1719" s="57"/>
      <c r="S1719" s="57"/>
      <c r="T1719" s="57"/>
      <c r="U1719" s="57"/>
      <c r="V1719" s="73">
        <f t="shared" si="75"/>
        <v>0</v>
      </c>
      <c r="W1719" s="106"/>
      <c r="X1719" s="64"/>
    </row>
    <row r="1720" spans="1:24" s="66" customFormat="1" ht="12" hidden="1" customHeight="1">
      <c r="A1720" s="79" t="s">
        <v>3014</v>
      </c>
      <c r="B1720" s="79"/>
      <c r="C1720" s="79"/>
      <c r="D1720" s="79"/>
      <c r="E1720" s="79"/>
      <c r="F1720" s="79"/>
      <c r="G1720" s="79"/>
      <c r="H1720" s="79"/>
      <c r="I1720" s="79" t="s">
        <v>2301</v>
      </c>
      <c r="J1720" s="79" t="s">
        <v>3006</v>
      </c>
      <c r="K1720" s="79" t="s">
        <v>2319</v>
      </c>
      <c r="L1720" s="79" t="s">
        <v>20</v>
      </c>
      <c r="M1720" s="63"/>
      <c r="N1720" s="80">
        <v>38560</v>
      </c>
      <c r="O1720" s="57">
        <f t="shared" si="76"/>
        <v>0</v>
      </c>
      <c r="P1720" s="57"/>
      <c r="Q1720" s="73"/>
      <c r="R1720" s="57"/>
      <c r="S1720" s="57"/>
      <c r="T1720" s="57"/>
      <c r="U1720" s="57"/>
      <c r="V1720" s="73">
        <f t="shared" si="75"/>
        <v>0</v>
      </c>
      <c r="W1720" s="106"/>
      <c r="X1720" s="64"/>
    </row>
    <row r="1721" spans="1:24" s="66" customFormat="1" ht="12" hidden="1" customHeight="1">
      <c r="A1721" s="79" t="s">
        <v>3005</v>
      </c>
      <c r="B1721" s="79"/>
      <c r="C1721" s="79"/>
      <c r="D1721" s="79"/>
      <c r="E1721" s="79"/>
      <c r="F1721" s="79"/>
      <c r="G1721" s="79"/>
      <c r="H1721" s="79"/>
      <c r="I1721" s="79" t="s">
        <v>2301</v>
      </c>
      <c r="J1721" s="79" t="s">
        <v>3006</v>
      </c>
      <c r="K1721" s="79" t="s">
        <v>2303</v>
      </c>
      <c r="L1721" s="79" t="s">
        <v>20</v>
      </c>
      <c r="M1721" s="63"/>
      <c r="N1721" s="80">
        <v>52680</v>
      </c>
      <c r="O1721" s="57">
        <f t="shared" si="76"/>
        <v>0</v>
      </c>
      <c r="P1721" s="57"/>
      <c r="Q1721" s="73"/>
      <c r="R1721" s="57"/>
      <c r="S1721" s="57"/>
      <c r="T1721" s="57"/>
      <c r="U1721" s="57"/>
      <c r="V1721" s="73">
        <f t="shared" si="75"/>
        <v>0</v>
      </c>
      <c r="W1721" s="106"/>
      <c r="X1721" s="64"/>
    </row>
    <row r="1722" spans="1:24" s="66" customFormat="1" ht="12" hidden="1" customHeight="1">
      <c r="A1722" s="79" t="s">
        <v>3443</v>
      </c>
      <c r="B1722" s="79"/>
      <c r="C1722" s="79"/>
      <c r="D1722" s="79"/>
      <c r="E1722" s="79"/>
      <c r="F1722" s="79"/>
      <c r="G1722" s="79"/>
      <c r="H1722" s="79"/>
      <c r="I1722" s="79" t="s">
        <v>3444</v>
      </c>
      <c r="J1722" s="79" t="s">
        <v>2939</v>
      </c>
      <c r="K1722" s="79" t="s">
        <v>3445</v>
      </c>
      <c r="L1722" s="79" t="s">
        <v>20</v>
      </c>
      <c r="M1722" s="63"/>
      <c r="N1722" s="80">
        <v>1620</v>
      </c>
      <c r="O1722" s="57">
        <f t="shared" si="76"/>
        <v>0</v>
      </c>
      <c r="P1722" s="57"/>
      <c r="Q1722" s="73"/>
      <c r="R1722" s="57"/>
      <c r="S1722" s="57"/>
      <c r="T1722" s="57"/>
      <c r="U1722" s="57"/>
      <c r="V1722" s="73">
        <f t="shared" si="75"/>
        <v>0</v>
      </c>
      <c r="W1722" s="106"/>
      <c r="X1722" s="64"/>
    </row>
    <row r="1723" spans="1:24" s="66" customFormat="1" ht="12" hidden="1" customHeight="1">
      <c r="A1723" s="79" t="s">
        <v>3446</v>
      </c>
      <c r="B1723" s="79"/>
      <c r="C1723" s="79"/>
      <c r="D1723" s="79"/>
      <c r="E1723" s="79"/>
      <c r="F1723" s="79"/>
      <c r="G1723" s="79"/>
      <c r="H1723" s="79"/>
      <c r="I1723" s="79" t="s">
        <v>3444</v>
      </c>
      <c r="J1723" s="79" t="s">
        <v>2939</v>
      </c>
      <c r="K1723" s="79" t="s">
        <v>3447</v>
      </c>
      <c r="L1723" s="79" t="s">
        <v>20</v>
      </c>
      <c r="M1723" s="63"/>
      <c r="N1723" s="80">
        <v>1790</v>
      </c>
      <c r="O1723" s="57">
        <f t="shared" si="76"/>
        <v>0</v>
      </c>
      <c r="P1723" s="57"/>
      <c r="Q1723" s="73"/>
      <c r="R1723" s="57"/>
      <c r="S1723" s="57"/>
      <c r="T1723" s="57"/>
      <c r="U1723" s="57"/>
      <c r="V1723" s="73">
        <f t="shared" si="75"/>
        <v>0</v>
      </c>
      <c r="W1723" s="106"/>
      <c r="X1723" s="64"/>
    </row>
    <row r="1724" spans="1:24" s="66" customFormat="1" ht="12" hidden="1" customHeight="1">
      <c r="A1724" s="79" t="s">
        <v>2938</v>
      </c>
      <c r="B1724" s="79"/>
      <c r="C1724" s="79"/>
      <c r="D1724" s="79"/>
      <c r="E1724" s="79"/>
      <c r="F1724" s="79"/>
      <c r="G1724" s="79"/>
      <c r="H1724" s="79"/>
      <c r="I1724" s="79" t="s">
        <v>3444</v>
      </c>
      <c r="J1724" s="79" t="s">
        <v>2939</v>
      </c>
      <c r="K1724" s="79" t="s">
        <v>2940</v>
      </c>
      <c r="L1724" s="79" t="s">
        <v>20</v>
      </c>
      <c r="M1724" s="63"/>
      <c r="N1724" s="80">
        <v>1920</v>
      </c>
      <c r="O1724" s="57">
        <f t="shared" si="76"/>
        <v>0</v>
      </c>
      <c r="P1724" s="57"/>
      <c r="Q1724" s="73"/>
      <c r="R1724" s="57"/>
      <c r="S1724" s="57"/>
      <c r="T1724" s="57"/>
      <c r="U1724" s="57"/>
      <c r="V1724" s="73">
        <f t="shared" si="75"/>
        <v>0</v>
      </c>
      <c r="W1724" s="106"/>
      <c r="X1724" s="64"/>
    </row>
    <row r="1725" spans="1:24" s="66" customFormat="1" ht="12" hidden="1" customHeight="1">
      <c r="A1725" s="79" t="s">
        <v>2941</v>
      </c>
      <c r="B1725" s="79"/>
      <c r="C1725" s="79"/>
      <c r="D1725" s="79"/>
      <c r="E1725" s="79"/>
      <c r="F1725" s="79"/>
      <c r="G1725" s="79"/>
      <c r="H1725" s="79"/>
      <c r="I1725" s="79" t="s">
        <v>3444</v>
      </c>
      <c r="J1725" s="79" t="s">
        <v>2939</v>
      </c>
      <c r="K1725" s="79" t="s">
        <v>2942</v>
      </c>
      <c r="L1725" s="79" t="s">
        <v>20</v>
      </c>
      <c r="M1725" s="63"/>
      <c r="N1725" s="80">
        <v>2390</v>
      </c>
      <c r="O1725" s="57">
        <f t="shared" si="76"/>
        <v>0</v>
      </c>
      <c r="P1725" s="57"/>
      <c r="Q1725" s="73"/>
      <c r="R1725" s="57"/>
      <c r="S1725" s="57"/>
      <c r="T1725" s="57"/>
      <c r="U1725" s="57"/>
      <c r="V1725" s="73">
        <f t="shared" si="75"/>
        <v>0</v>
      </c>
      <c r="W1725" s="106"/>
      <c r="X1725" s="64"/>
    </row>
    <row r="1726" spans="1:24" s="66" customFormat="1" ht="12" hidden="1" customHeight="1">
      <c r="A1726" s="79" t="s">
        <v>2943</v>
      </c>
      <c r="B1726" s="79"/>
      <c r="C1726" s="79"/>
      <c r="D1726" s="79"/>
      <c r="E1726" s="79"/>
      <c r="F1726" s="79"/>
      <c r="G1726" s="79"/>
      <c r="H1726" s="79"/>
      <c r="I1726" s="79" t="s">
        <v>3444</v>
      </c>
      <c r="J1726" s="79" t="s">
        <v>2939</v>
      </c>
      <c r="K1726" s="79" t="s">
        <v>2944</v>
      </c>
      <c r="L1726" s="79" t="s">
        <v>20</v>
      </c>
      <c r="M1726" s="63"/>
      <c r="N1726" s="80">
        <v>2810</v>
      </c>
      <c r="O1726" s="57">
        <f t="shared" si="76"/>
        <v>0</v>
      </c>
      <c r="P1726" s="57"/>
      <c r="Q1726" s="73"/>
      <c r="R1726" s="57"/>
      <c r="S1726" s="57"/>
      <c r="T1726" s="57"/>
      <c r="U1726" s="57"/>
      <c r="V1726" s="73">
        <f t="shared" si="75"/>
        <v>0</v>
      </c>
      <c r="W1726" s="106"/>
      <c r="X1726" s="64"/>
    </row>
    <row r="1727" spans="1:24" s="66" customFormat="1" ht="12" hidden="1" customHeight="1">
      <c r="A1727" s="79" t="s">
        <v>2945</v>
      </c>
      <c r="B1727" s="79"/>
      <c r="C1727" s="79"/>
      <c r="D1727" s="79"/>
      <c r="E1727" s="79"/>
      <c r="F1727" s="79"/>
      <c r="G1727" s="79"/>
      <c r="H1727" s="79"/>
      <c r="I1727" s="79" t="s">
        <v>3444</v>
      </c>
      <c r="J1727" s="79" t="s">
        <v>2939</v>
      </c>
      <c r="K1727" s="79" t="s">
        <v>2946</v>
      </c>
      <c r="L1727" s="79" t="s">
        <v>20</v>
      </c>
      <c r="M1727" s="63"/>
      <c r="N1727" s="80">
        <v>3830</v>
      </c>
      <c r="O1727" s="57">
        <f t="shared" si="76"/>
        <v>0</v>
      </c>
      <c r="P1727" s="57"/>
      <c r="Q1727" s="73"/>
      <c r="R1727" s="57"/>
      <c r="S1727" s="57"/>
      <c r="T1727" s="57"/>
      <c r="U1727" s="57"/>
      <c r="V1727" s="73">
        <f t="shared" si="75"/>
        <v>0</v>
      </c>
      <c r="W1727" s="106"/>
      <c r="X1727" s="64"/>
    </row>
    <row r="1728" spans="1:24" s="66" customFormat="1" ht="12" hidden="1" customHeight="1">
      <c r="A1728" s="79" t="s">
        <v>2947</v>
      </c>
      <c r="B1728" s="79"/>
      <c r="C1728" s="79"/>
      <c r="D1728" s="79"/>
      <c r="E1728" s="79"/>
      <c r="F1728" s="79"/>
      <c r="G1728" s="79"/>
      <c r="H1728" s="79"/>
      <c r="I1728" s="79" t="s">
        <v>3444</v>
      </c>
      <c r="J1728" s="79" t="s">
        <v>2939</v>
      </c>
      <c r="K1728" s="79" t="s">
        <v>2948</v>
      </c>
      <c r="L1728" s="79" t="s">
        <v>20</v>
      </c>
      <c r="M1728" s="63"/>
      <c r="N1728" s="80">
        <v>5820</v>
      </c>
      <c r="O1728" s="57">
        <f t="shared" si="76"/>
        <v>0</v>
      </c>
      <c r="P1728" s="57"/>
      <c r="Q1728" s="73"/>
      <c r="R1728" s="57"/>
      <c r="S1728" s="57"/>
      <c r="T1728" s="57"/>
      <c r="U1728" s="57"/>
      <c r="V1728" s="73">
        <f t="shared" si="75"/>
        <v>0</v>
      </c>
      <c r="W1728" s="106"/>
      <c r="X1728" s="64"/>
    </row>
    <row r="1729" spans="1:24" s="90" customFormat="1" ht="12" hidden="1" customHeight="1">
      <c r="A1729" s="83" t="s">
        <v>2320</v>
      </c>
      <c r="B1729" s="83"/>
      <c r="C1729" s="83"/>
      <c r="D1729" s="83"/>
      <c r="E1729" s="83"/>
      <c r="F1729" s="83"/>
      <c r="G1729" s="83"/>
      <c r="H1729" s="83"/>
      <c r="I1729" s="84" t="s">
        <v>2013</v>
      </c>
      <c r="J1729" s="84" t="s">
        <v>2335</v>
      </c>
      <c r="K1729" s="85" t="s">
        <v>3612</v>
      </c>
      <c r="L1729" s="85" t="s">
        <v>0</v>
      </c>
      <c r="M1729" s="86"/>
      <c r="N1729" s="86"/>
      <c r="O1729" s="86"/>
      <c r="P1729" s="91">
        <v>6262.4859999999999</v>
      </c>
      <c r="Q1729" s="87">
        <f t="shared" ref="Q1729:Q1792" si="77">IF(W1729="",M1729*P1729*$Q$3*$W$3,M1729*P1729*$Q$3*W1729)</f>
        <v>0</v>
      </c>
      <c r="R1729" s="86"/>
      <c r="S1729" s="86"/>
      <c r="T1729" s="86"/>
      <c r="U1729" s="86"/>
      <c r="V1729" s="87">
        <f t="shared" si="75"/>
        <v>0</v>
      </c>
      <c r="W1729" s="88"/>
      <c r="X1729" s="89"/>
    </row>
    <row r="1730" spans="1:24" s="90" customFormat="1" ht="12" hidden="1" customHeight="1">
      <c r="A1730" s="83" t="s">
        <v>2321</v>
      </c>
      <c r="B1730" s="83"/>
      <c r="C1730" s="83"/>
      <c r="D1730" s="83"/>
      <c r="E1730" s="83"/>
      <c r="F1730" s="83"/>
      <c r="G1730" s="83"/>
      <c r="H1730" s="83"/>
      <c r="I1730" s="84" t="s">
        <v>2014</v>
      </c>
      <c r="J1730" s="84" t="s">
        <v>2336</v>
      </c>
      <c r="K1730" s="85" t="s">
        <v>3613</v>
      </c>
      <c r="L1730" s="85" t="s">
        <v>0</v>
      </c>
      <c r="M1730" s="86"/>
      <c r="N1730" s="86"/>
      <c r="O1730" s="86"/>
      <c r="P1730" s="91">
        <v>8168.46</v>
      </c>
      <c r="Q1730" s="87">
        <f t="shared" si="77"/>
        <v>0</v>
      </c>
      <c r="R1730" s="86"/>
      <c r="S1730" s="86"/>
      <c r="T1730" s="86"/>
      <c r="U1730" s="86"/>
      <c r="V1730" s="87">
        <f t="shared" si="75"/>
        <v>0</v>
      </c>
      <c r="W1730" s="88"/>
      <c r="X1730" s="89"/>
    </row>
    <row r="1731" spans="1:24" s="90" customFormat="1" ht="12" hidden="1" customHeight="1">
      <c r="A1731" s="83" t="s">
        <v>2322</v>
      </c>
      <c r="B1731" s="83"/>
      <c r="C1731" s="83"/>
      <c r="D1731" s="83"/>
      <c r="E1731" s="83"/>
      <c r="F1731" s="83"/>
      <c r="G1731" s="83"/>
      <c r="H1731" s="83"/>
      <c r="I1731" s="84" t="s">
        <v>2015</v>
      </c>
      <c r="J1731" s="84" t="s">
        <v>2337</v>
      </c>
      <c r="K1731" s="85" t="s">
        <v>3614</v>
      </c>
      <c r="L1731" s="85" t="s">
        <v>0</v>
      </c>
      <c r="M1731" s="86"/>
      <c r="N1731" s="86"/>
      <c r="O1731" s="86"/>
      <c r="P1731" s="91">
        <v>9802.152</v>
      </c>
      <c r="Q1731" s="87">
        <f t="shared" si="77"/>
        <v>0</v>
      </c>
      <c r="R1731" s="86"/>
      <c r="S1731" s="86"/>
      <c r="T1731" s="86"/>
      <c r="U1731" s="86"/>
      <c r="V1731" s="87">
        <f t="shared" si="75"/>
        <v>0</v>
      </c>
      <c r="W1731" s="88"/>
      <c r="X1731" s="89"/>
    </row>
    <row r="1732" spans="1:24" s="90" customFormat="1" ht="12" hidden="1" customHeight="1">
      <c r="A1732" s="83" t="s">
        <v>2323</v>
      </c>
      <c r="B1732" s="83"/>
      <c r="C1732" s="83"/>
      <c r="D1732" s="83"/>
      <c r="E1732" s="83"/>
      <c r="F1732" s="83"/>
      <c r="G1732" s="83"/>
      <c r="H1732" s="83"/>
      <c r="I1732" s="84" t="s">
        <v>2024</v>
      </c>
      <c r="J1732" s="84" t="s">
        <v>2338</v>
      </c>
      <c r="K1732" s="85" t="s">
        <v>3615</v>
      </c>
      <c r="L1732" s="85" t="s">
        <v>0</v>
      </c>
      <c r="M1732" s="86"/>
      <c r="N1732" s="86"/>
      <c r="O1732" s="86"/>
      <c r="P1732" s="91">
        <v>11708.126</v>
      </c>
      <c r="Q1732" s="87">
        <f t="shared" si="77"/>
        <v>0</v>
      </c>
      <c r="R1732" s="86"/>
      <c r="S1732" s="86"/>
      <c r="T1732" s="86"/>
      <c r="U1732" s="86"/>
      <c r="V1732" s="87">
        <f t="shared" si="75"/>
        <v>0</v>
      </c>
      <c r="W1732" s="88"/>
      <c r="X1732" s="89"/>
    </row>
    <row r="1733" spans="1:24" s="90" customFormat="1" ht="12" hidden="1" customHeight="1">
      <c r="A1733" s="83" t="s">
        <v>2324</v>
      </c>
      <c r="B1733" s="83"/>
      <c r="C1733" s="83"/>
      <c r="D1733" s="83"/>
      <c r="E1733" s="83"/>
      <c r="F1733" s="83"/>
      <c r="G1733" s="83"/>
      <c r="H1733" s="83"/>
      <c r="I1733" s="84" t="s">
        <v>2339</v>
      </c>
      <c r="J1733" s="84" t="s">
        <v>2340</v>
      </c>
      <c r="K1733" s="85" t="s">
        <v>3616</v>
      </c>
      <c r="L1733" s="85" t="s">
        <v>0</v>
      </c>
      <c r="M1733" s="86"/>
      <c r="N1733" s="86"/>
      <c r="O1733" s="86"/>
      <c r="P1733" s="91">
        <v>13341.817999999999</v>
      </c>
      <c r="Q1733" s="87">
        <f t="shared" si="77"/>
        <v>0</v>
      </c>
      <c r="R1733" s="86"/>
      <c r="S1733" s="86"/>
      <c r="T1733" s="86"/>
      <c r="U1733" s="86"/>
      <c r="V1733" s="87">
        <f t="shared" si="75"/>
        <v>0</v>
      </c>
      <c r="W1733" s="88"/>
      <c r="X1733" s="89"/>
    </row>
    <row r="1734" spans="1:24" s="90" customFormat="1" ht="12" hidden="1" customHeight="1">
      <c r="A1734" s="83" t="s">
        <v>2325</v>
      </c>
      <c r="B1734" s="83"/>
      <c r="C1734" s="83"/>
      <c r="D1734" s="83"/>
      <c r="E1734" s="83"/>
      <c r="F1734" s="83"/>
      <c r="G1734" s="83"/>
      <c r="H1734" s="83"/>
      <c r="I1734" s="84" t="s">
        <v>2025</v>
      </c>
      <c r="J1734" s="84" t="s">
        <v>2341</v>
      </c>
      <c r="K1734" s="85" t="s">
        <v>3617</v>
      </c>
      <c r="L1734" s="85" t="s">
        <v>0</v>
      </c>
      <c r="M1734" s="86"/>
      <c r="N1734" s="86"/>
      <c r="O1734" s="86"/>
      <c r="P1734" s="91">
        <v>15520.074000000001</v>
      </c>
      <c r="Q1734" s="87">
        <f t="shared" si="77"/>
        <v>0</v>
      </c>
      <c r="R1734" s="86"/>
      <c r="S1734" s="86"/>
      <c r="T1734" s="86"/>
      <c r="U1734" s="86"/>
      <c r="V1734" s="87">
        <f t="shared" si="75"/>
        <v>0</v>
      </c>
      <c r="W1734" s="88"/>
      <c r="X1734" s="89"/>
    </row>
    <row r="1735" spans="1:24" s="90" customFormat="1" ht="12" hidden="1" customHeight="1">
      <c r="A1735" s="83" t="s">
        <v>2326</v>
      </c>
      <c r="B1735" s="83"/>
      <c r="C1735" s="83"/>
      <c r="D1735" s="83"/>
      <c r="E1735" s="83"/>
      <c r="F1735" s="83"/>
      <c r="G1735" s="83"/>
      <c r="H1735" s="83"/>
      <c r="I1735" s="84" t="s">
        <v>2342</v>
      </c>
      <c r="J1735" s="84" t="s">
        <v>2343</v>
      </c>
      <c r="K1735" s="85" t="s">
        <v>3618</v>
      </c>
      <c r="L1735" s="85" t="s">
        <v>0</v>
      </c>
      <c r="M1735" s="86"/>
      <c r="N1735" s="86"/>
      <c r="O1735" s="86"/>
      <c r="P1735" s="91">
        <v>16336.92</v>
      </c>
      <c r="Q1735" s="87">
        <f t="shared" si="77"/>
        <v>0</v>
      </c>
      <c r="R1735" s="86"/>
      <c r="S1735" s="86"/>
      <c r="T1735" s="86"/>
      <c r="U1735" s="86"/>
      <c r="V1735" s="87">
        <f t="shared" si="75"/>
        <v>0</v>
      </c>
      <c r="W1735" s="88"/>
      <c r="X1735" s="89"/>
    </row>
    <row r="1736" spans="1:24" s="90" customFormat="1" ht="12" hidden="1" customHeight="1">
      <c r="A1736" s="83" t="s">
        <v>2327</v>
      </c>
      <c r="B1736" s="83"/>
      <c r="C1736" s="83"/>
      <c r="D1736" s="83"/>
      <c r="E1736" s="83"/>
      <c r="F1736" s="83"/>
      <c r="G1736" s="83"/>
      <c r="H1736" s="83"/>
      <c r="I1736" s="84" t="s">
        <v>2026</v>
      </c>
      <c r="J1736" s="84" t="s">
        <v>2344</v>
      </c>
      <c r="K1736" s="85" t="s">
        <v>3619</v>
      </c>
      <c r="L1736" s="85" t="s">
        <v>0</v>
      </c>
      <c r="M1736" s="86"/>
      <c r="N1736" s="86"/>
      <c r="O1736" s="86"/>
      <c r="P1736" s="91">
        <v>19332.022000000001</v>
      </c>
      <c r="Q1736" s="87">
        <f t="shared" si="77"/>
        <v>0</v>
      </c>
      <c r="R1736" s="86"/>
      <c r="S1736" s="86"/>
      <c r="T1736" s="86"/>
      <c r="U1736" s="86"/>
      <c r="V1736" s="87">
        <f t="shared" si="75"/>
        <v>0</v>
      </c>
      <c r="W1736" s="88"/>
      <c r="X1736" s="89"/>
    </row>
    <row r="1737" spans="1:24" s="90" customFormat="1" ht="12" hidden="1" customHeight="1">
      <c r="A1737" s="83" t="s">
        <v>2328</v>
      </c>
      <c r="B1737" s="83"/>
      <c r="C1737" s="83"/>
      <c r="D1737" s="83"/>
      <c r="E1737" s="83"/>
      <c r="F1737" s="83"/>
      <c r="G1737" s="83"/>
      <c r="H1737" s="83"/>
      <c r="I1737" s="84" t="s">
        <v>2027</v>
      </c>
      <c r="J1737" s="84" t="s">
        <v>2345</v>
      </c>
      <c r="K1737" s="85" t="s">
        <v>3620</v>
      </c>
      <c r="L1737" s="85" t="s">
        <v>0</v>
      </c>
      <c r="M1737" s="86"/>
      <c r="N1737" s="86"/>
      <c r="O1737" s="86"/>
      <c r="P1737" s="91">
        <v>22871.687999999998</v>
      </c>
      <c r="Q1737" s="87">
        <f t="shared" si="77"/>
        <v>0</v>
      </c>
      <c r="R1737" s="86"/>
      <c r="S1737" s="86"/>
      <c r="T1737" s="86"/>
      <c r="U1737" s="86"/>
      <c r="V1737" s="87">
        <f t="shared" si="75"/>
        <v>0</v>
      </c>
      <c r="W1737" s="88"/>
      <c r="X1737" s="89"/>
    </row>
    <row r="1738" spans="1:24" s="90" customFormat="1" ht="12" hidden="1" customHeight="1">
      <c r="A1738" s="83" t="s">
        <v>2329</v>
      </c>
      <c r="B1738" s="83"/>
      <c r="C1738" s="83"/>
      <c r="D1738" s="83"/>
      <c r="E1738" s="83"/>
      <c r="F1738" s="83"/>
      <c r="G1738" s="83"/>
      <c r="H1738" s="83"/>
      <c r="I1738" s="84" t="s">
        <v>2028</v>
      </c>
      <c r="J1738" s="84" t="s">
        <v>2346</v>
      </c>
      <c r="K1738" s="85" t="s">
        <v>3621</v>
      </c>
      <c r="L1738" s="85" t="s">
        <v>0</v>
      </c>
      <c r="M1738" s="86"/>
      <c r="N1738" s="86"/>
      <c r="O1738" s="86"/>
      <c r="P1738" s="91">
        <v>26411.353999999999</v>
      </c>
      <c r="Q1738" s="87">
        <f t="shared" si="77"/>
        <v>0</v>
      </c>
      <c r="R1738" s="86"/>
      <c r="S1738" s="86"/>
      <c r="T1738" s="86"/>
      <c r="U1738" s="86"/>
      <c r="V1738" s="87">
        <f t="shared" si="75"/>
        <v>0</v>
      </c>
      <c r="W1738" s="88"/>
      <c r="X1738" s="89"/>
    </row>
    <row r="1739" spans="1:24" s="90" customFormat="1" ht="12" hidden="1" customHeight="1">
      <c r="A1739" s="83" t="s">
        <v>2330</v>
      </c>
      <c r="B1739" s="83"/>
      <c r="C1739" s="83"/>
      <c r="D1739" s="83"/>
      <c r="E1739" s="83"/>
      <c r="F1739" s="83"/>
      <c r="G1739" s="83"/>
      <c r="H1739" s="83"/>
      <c r="I1739" s="84" t="s">
        <v>2029</v>
      </c>
      <c r="J1739" s="84" t="s">
        <v>2347</v>
      </c>
      <c r="K1739" s="85" t="s">
        <v>3622</v>
      </c>
      <c r="L1739" s="85" t="s">
        <v>0</v>
      </c>
      <c r="M1739" s="86"/>
      <c r="N1739" s="86"/>
      <c r="O1739" s="86"/>
      <c r="P1739" s="91">
        <v>29406.455999999998</v>
      </c>
      <c r="Q1739" s="87">
        <f t="shared" si="77"/>
        <v>0</v>
      </c>
      <c r="R1739" s="86"/>
      <c r="S1739" s="86"/>
      <c r="T1739" s="86"/>
      <c r="U1739" s="86"/>
      <c r="V1739" s="87">
        <f t="shared" si="75"/>
        <v>0</v>
      </c>
      <c r="W1739" s="88"/>
      <c r="X1739" s="89"/>
    </row>
    <row r="1740" spans="1:24" s="90" customFormat="1" ht="12" hidden="1" customHeight="1">
      <c r="A1740" s="83" t="s">
        <v>2331</v>
      </c>
      <c r="B1740" s="83"/>
      <c r="C1740" s="83"/>
      <c r="D1740" s="83"/>
      <c r="E1740" s="83"/>
      <c r="F1740" s="83"/>
      <c r="G1740" s="83"/>
      <c r="H1740" s="83"/>
      <c r="I1740" s="84" t="s">
        <v>2348</v>
      </c>
      <c r="J1740" s="84" t="s">
        <v>2349</v>
      </c>
      <c r="K1740" s="85" t="s">
        <v>3623</v>
      </c>
      <c r="L1740" s="85" t="s">
        <v>0</v>
      </c>
      <c r="M1740" s="86"/>
      <c r="N1740" s="86"/>
      <c r="O1740" s="86"/>
      <c r="P1740" s="91">
        <v>31856.993999999999</v>
      </c>
      <c r="Q1740" s="87">
        <f t="shared" si="77"/>
        <v>0</v>
      </c>
      <c r="R1740" s="86"/>
      <c r="S1740" s="86"/>
      <c r="T1740" s="86"/>
      <c r="U1740" s="86"/>
      <c r="V1740" s="87">
        <f t="shared" si="75"/>
        <v>0</v>
      </c>
      <c r="W1740" s="88"/>
      <c r="X1740" s="89"/>
    </row>
    <row r="1741" spans="1:24" s="90" customFormat="1" ht="12" hidden="1" customHeight="1">
      <c r="A1741" s="83" t="s">
        <v>2332</v>
      </c>
      <c r="B1741" s="83"/>
      <c r="C1741" s="83"/>
      <c r="D1741" s="83"/>
      <c r="E1741" s="83"/>
      <c r="F1741" s="83"/>
      <c r="G1741" s="83"/>
      <c r="H1741" s="83"/>
      <c r="I1741" s="84" t="s">
        <v>2030</v>
      </c>
      <c r="J1741" s="84" t="s">
        <v>2350</v>
      </c>
      <c r="K1741" s="85" t="s">
        <v>3624</v>
      </c>
      <c r="L1741" s="85" t="s">
        <v>0</v>
      </c>
      <c r="M1741" s="86"/>
      <c r="N1741" s="86"/>
      <c r="O1741" s="86"/>
      <c r="P1741" s="91">
        <v>37030.351999999999</v>
      </c>
      <c r="Q1741" s="87">
        <f t="shared" si="77"/>
        <v>0</v>
      </c>
      <c r="R1741" s="86"/>
      <c r="S1741" s="86"/>
      <c r="T1741" s="86"/>
      <c r="U1741" s="86"/>
      <c r="V1741" s="87">
        <f t="shared" si="75"/>
        <v>0</v>
      </c>
      <c r="W1741" s="88"/>
      <c r="X1741" s="89"/>
    </row>
    <row r="1742" spans="1:24" s="90" customFormat="1" ht="12" hidden="1" customHeight="1">
      <c r="A1742" s="83" t="s">
        <v>2333</v>
      </c>
      <c r="B1742" s="83"/>
      <c r="C1742" s="83"/>
      <c r="D1742" s="83"/>
      <c r="E1742" s="83"/>
      <c r="F1742" s="83"/>
      <c r="G1742" s="83"/>
      <c r="H1742" s="83"/>
      <c r="I1742" s="84" t="s">
        <v>2351</v>
      </c>
      <c r="J1742" s="84" t="s">
        <v>2352</v>
      </c>
      <c r="K1742" s="85" t="s">
        <v>3625</v>
      </c>
      <c r="L1742" s="85" t="s">
        <v>0</v>
      </c>
      <c r="M1742" s="86"/>
      <c r="N1742" s="86"/>
      <c r="O1742" s="86"/>
      <c r="P1742" s="91">
        <v>38664.044000000002</v>
      </c>
      <c r="Q1742" s="87">
        <f t="shared" si="77"/>
        <v>0</v>
      </c>
      <c r="R1742" s="86"/>
      <c r="S1742" s="86"/>
      <c r="T1742" s="86"/>
      <c r="U1742" s="86"/>
      <c r="V1742" s="87">
        <f t="shared" si="75"/>
        <v>0</v>
      </c>
      <c r="W1742" s="88"/>
      <c r="X1742" s="89"/>
    </row>
    <row r="1743" spans="1:24" s="90" customFormat="1" ht="12" hidden="1" customHeight="1">
      <c r="A1743" s="83" t="s">
        <v>2334</v>
      </c>
      <c r="B1743" s="83"/>
      <c r="C1743" s="83"/>
      <c r="D1743" s="83"/>
      <c r="E1743" s="83"/>
      <c r="F1743" s="83"/>
      <c r="G1743" s="83"/>
      <c r="H1743" s="83"/>
      <c r="I1743" s="84" t="s">
        <v>2031</v>
      </c>
      <c r="J1743" s="84" t="s">
        <v>2353</v>
      </c>
      <c r="K1743" s="85" t="s">
        <v>3626</v>
      </c>
      <c r="L1743" s="85" t="s">
        <v>0</v>
      </c>
      <c r="M1743" s="86"/>
      <c r="N1743" s="86"/>
      <c r="O1743" s="86"/>
      <c r="P1743" s="91">
        <v>43292.838000000003</v>
      </c>
      <c r="Q1743" s="87">
        <f t="shared" si="77"/>
        <v>0</v>
      </c>
      <c r="R1743" s="86"/>
      <c r="S1743" s="86"/>
      <c r="T1743" s="86"/>
      <c r="U1743" s="86"/>
      <c r="V1743" s="87">
        <f t="shared" si="75"/>
        <v>0</v>
      </c>
      <c r="W1743" s="88"/>
      <c r="X1743" s="89"/>
    </row>
    <row r="1744" spans="1:24" s="90" customFormat="1" ht="12" hidden="1" customHeight="1">
      <c r="A1744" s="83" t="s">
        <v>2354</v>
      </c>
      <c r="B1744" s="83"/>
      <c r="C1744" s="83"/>
      <c r="D1744" s="83"/>
      <c r="E1744" s="83"/>
      <c r="F1744" s="83"/>
      <c r="G1744" s="83"/>
      <c r="H1744" s="83"/>
      <c r="I1744" s="84" t="s">
        <v>2020</v>
      </c>
      <c r="J1744" s="84" t="s">
        <v>2355</v>
      </c>
      <c r="K1744" s="85" t="s">
        <v>3627</v>
      </c>
      <c r="L1744" s="85" t="s">
        <v>0</v>
      </c>
      <c r="M1744" s="86"/>
      <c r="N1744" s="86"/>
      <c r="O1744" s="86"/>
      <c r="P1744" s="91">
        <v>2722.82</v>
      </c>
      <c r="Q1744" s="87">
        <f t="shared" si="77"/>
        <v>0</v>
      </c>
      <c r="R1744" s="86"/>
      <c r="S1744" s="86"/>
      <c r="T1744" s="86"/>
      <c r="U1744" s="86"/>
      <c r="V1744" s="87">
        <f t="shared" si="75"/>
        <v>0</v>
      </c>
      <c r="W1744" s="88"/>
      <c r="X1744" s="89"/>
    </row>
    <row r="1745" spans="1:24" s="90" customFormat="1" ht="12" hidden="1" customHeight="1">
      <c r="A1745" s="83" t="s">
        <v>2356</v>
      </c>
      <c r="B1745" s="83"/>
      <c r="C1745" s="83"/>
      <c r="D1745" s="83"/>
      <c r="E1745" s="83"/>
      <c r="F1745" s="83"/>
      <c r="G1745" s="83"/>
      <c r="H1745" s="83"/>
      <c r="I1745" s="84" t="s">
        <v>2021</v>
      </c>
      <c r="J1745" s="84" t="s">
        <v>2357</v>
      </c>
      <c r="K1745" s="85" t="s">
        <v>3628</v>
      </c>
      <c r="L1745" s="85" t="s">
        <v>0</v>
      </c>
      <c r="M1745" s="86"/>
      <c r="N1745" s="86"/>
      <c r="O1745" s="86"/>
      <c r="P1745" s="91">
        <v>2995.1019999999999</v>
      </c>
      <c r="Q1745" s="87">
        <f t="shared" si="77"/>
        <v>0</v>
      </c>
      <c r="R1745" s="86"/>
      <c r="S1745" s="86"/>
      <c r="T1745" s="86"/>
      <c r="U1745" s="86"/>
      <c r="V1745" s="87">
        <f t="shared" si="75"/>
        <v>0</v>
      </c>
      <c r="W1745" s="88"/>
      <c r="X1745" s="89"/>
    </row>
    <row r="1746" spans="1:24" s="90" customFormat="1" ht="12" hidden="1" customHeight="1">
      <c r="A1746" s="83" t="s">
        <v>3448</v>
      </c>
      <c r="B1746" s="83"/>
      <c r="C1746" s="83"/>
      <c r="D1746" s="83"/>
      <c r="E1746" s="83"/>
      <c r="F1746" s="83"/>
      <c r="G1746" s="83"/>
      <c r="H1746" s="83"/>
      <c r="I1746" s="84" t="s">
        <v>2022</v>
      </c>
      <c r="J1746" s="84" t="s">
        <v>3449</v>
      </c>
      <c r="K1746" s="85" t="s">
        <v>3629</v>
      </c>
      <c r="L1746" s="85" t="s">
        <v>0</v>
      </c>
      <c r="M1746" s="86"/>
      <c r="N1746" s="86"/>
      <c r="O1746" s="86"/>
      <c r="P1746" s="91">
        <v>3539.6660000000002</v>
      </c>
      <c r="Q1746" s="87">
        <f t="shared" si="77"/>
        <v>0</v>
      </c>
      <c r="R1746" s="86"/>
      <c r="S1746" s="86"/>
      <c r="T1746" s="86"/>
      <c r="U1746" s="86"/>
      <c r="V1746" s="87">
        <f t="shared" si="75"/>
        <v>0</v>
      </c>
      <c r="W1746" s="88"/>
      <c r="X1746" s="89"/>
    </row>
    <row r="1747" spans="1:24" s="90" customFormat="1" ht="12" hidden="1" customHeight="1">
      <c r="A1747" s="83" t="s">
        <v>3450</v>
      </c>
      <c r="B1747" s="83"/>
      <c r="C1747" s="83"/>
      <c r="D1747" s="83"/>
      <c r="E1747" s="83"/>
      <c r="F1747" s="83"/>
      <c r="G1747" s="83"/>
      <c r="H1747" s="83"/>
      <c r="I1747" s="84" t="s">
        <v>3451</v>
      </c>
      <c r="J1747" s="84" t="s">
        <v>3452</v>
      </c>
      <c r="K1747" s="85" t="s">
        <v>3630</v>
      </c>
      <c r="L1747" s="85" t="s">
        <v>0</v>
      </c>
      <c r="M1747" s="86"/>
      <c r="N1747" s="86"/>
      <c r="O1747" s="86"/>
      <c r="P1747" s="91">
        <v>3811.9479999999999</v>
      </c>
      <c r="Q1747" s="87">
        <f t="shared" si="77"/>
        <v>0</v>
      </c>
      <c r="R1747" s="86"/>
      <c r="S1747" s="86"/>
      <c r="T1747" s="86"/>
      <c r="U1747" s="86"/>
      <c r="V1747" s="87">
        <f t="shared" si="75"/>
        <v>0</v>
      </c>
      <c r="W1747" s="88"/>
      <c r="X1747" s="89"/>
    </row>
    <row r="1748" spans="1:24" s="90" customFormat="1" ht="12" hidden="1" customHeight="1">
      <c r="A1748" s="83" t="s">
        <v>2358</v>
      </c>
      <c r="B1748" s="83"/>
      <c r="C1748" s="83"/>
      <c r="D1748" s="83"/>
      <c r="E1748" s="83"/>
      <c r="F1748" s="83"/>
      <c r="G1748" s="83"/>
      <c r="H1748" s="83"/>
      <c r="I1748" s="84" t="s">
        <v>2023</v>
      </c>
      <c r="J1748" s="84" t="s">
        <v>2359</v>
      </c>
      <c r="K1748" s="85" t="s">
        <v>3631</v>
      </c>
      <c r="L1748" s="85" t="s">
        <v>0</v>
      </c>
      <c r="M1748" s="86"/>
      <c r="N1748" s="86"/>
      <c r="O1748" s="86"/>
      <c r="P1748" s="91">
        <v>4901.076</v>
      </c>
      <c r="Q1748" s="87">
        <f t="shared" si="77"/>
        <v>0</v>
      </c>
      <c r="R1748" s="86"/>
      <c r="S1748" s="86"/>
      <c r="T1748" s="86"/>
      <c r="U1748" s="86"/>
      <c r="V1748" s="87">
        <f t="shared" si="75"/>
        <v>0</v>
      </c>
      <c r="W1748" s="88"/>
      <c r="X1748" s="89"/>
    </row>
    <row r="1749" spans="1:24" s="90" customFormat="1" ht="12" hidden="1" customHeight="1">
      <c r="A1749" s="83" t="s">
        <v>3453</v>
      </c>
      <c r="B1749" s="83"/>
      <c r="C1749" s="83"/>
      <c r="D1749" s="83"/>
      <c r="E1749" s="83"/>
      <c r="F1749" s="83"/>
      <c r="G1749" s="83"/>
      <c r="H1749" s="83"/>
      <c r="I1749" s="84" t="s">
        <v>1985</v>
      </c>
      <c r="J1749" s="84" t="s">
        <v>1986</v>
      </c>
      <c r="K1749" s="85" t="s">
        <v>3627</v>
      </c>
      <c r="L1749" s="85" t="s">
        <v>0</v>
      </c>
      <c r="M1749" s="86"/>
      <c r="N1749" s="86"/>
      <c r="O1749" s="86"/>
      <c r="P1749" s="91">
        <v>14703.227999999999</v>
      </c>
      <c r="Q1749" s="87">
        <f t="shared" si="77"/>
        <v>0</v>
      </c>
      <c r="R1749" s="86"/>
      <c r="S1749" s="86"/>
      <c r="T1749" s="86"/>
      <c r="U1749" s="86"/>
      <c r="V1749" s="87">
        <f t="shared" si="75"/>
        <v>0</v>
      </c>
      <c r="W1749" s="88"/>
      <c r="X1749" s="89"/>
    </row>
    <row r="1750" spans="1:24" s="90" customFormat="1" ht="12" hidden="1" customHeight="1">
      <c r="A1750" s="83" t="s">
        <v>3454</v>
      </c>
      <c r="B1750" s="83"/>
      <c r="C1750" s="83"/>
      <c r="D1750" s="83"/>
      <c r="E1750" s="83"/>
      <c r="F1750" s="83"/>
      <c r="G1750" s="83"/>
      <c r="H1750" s="83"/>
      <c r="I1750" s="84" t="s">
        <v>1987</v>
      </c>
      <c r="J1750" s="84" t="s">
        <v>3455</v>
      </c>
      <c r="K1750" s="85" t="s">
        <v>3628</v>
      </c>
      <c r="L1750" s="85" t="s">
        <v>0</v>
      </c>
      <c r="M1750" s="86"/>
      <c r="N1750" s="86"/>
      <c r="O1750" s="86"/>
      <c r="P1750" s="91">
        <v>15792.356</v>
      </c>
      <c r="Q1750" s="87">
        <f t="shared" si="77"/>
        <v>0</v>
      </c>
      <c r="R1750" s="86"/>
      <c r="S1750" s="86"/>
      <c r="T1750" s="86"/>
      <c r="U1750" s="86"/>
      <c r="V1750" s="87">
        <f t="shared" si="75"/>
        <v>0</v>
      </c>
      <c r="W1750" s="88"/>
      <c r="X1750" s="89"/>
    </row>
    <row r="1751" spans="1:24" s="90" customFormat="1" ht="12" hidden="1" customHeight="1">
      <c r="A1751" s="83" t="s">
        <v>3456</v>
      </c>
      <c r="B1751" s="83"/>
      <c r="C1751" s="83"/>
      <c r="D1751" s="83"/>
      <c r="E1751" s="83"/>
      <c r="F1751" s="83"/>
      <c r="G1751" s="83"/>
      <c r="H1751" s="83"/>
      <c r="I1751" s="84" t="s">
        <v>1988</v>
      </c>
      <c r="J1751" s="84" t="s">
        <v>3457</v>
      </c>
      <c r="K1751" s="85" t="s">
        <v>3629</v>
      </c>
      <c r="L1751" s="85" t="s">
        <v>0</v>
      </c>
      <c r="M1751" s="86"/>
      <c r="N1751" s="86"/>
      <c r="O1751" s="86"/>
      <c r="P1751" s="91">
        <v>17970.612000000001</v>
      </c>
      <c r="Q1751" s="87">
        <f t="shared" si="77"/>
        <v>0</v>
      </c>
      <c r="R1751" s="86"/>
      <c r="S1751" s="86"/>
      <c r="T1751" s="86"/>
      <c r="U1751" s="86"/>
      <c r="V1751" s="87">
        <f t="shared" si="75"/>
        <v>0</v>
      </c>
      <c r="W1751" s="88"/>
      <c r="X1751" s="89"/>
    </row>
    <row r="1752" spans="1:24" s="90" customFormat="1" ht="12" hidden="1" customHeight="1">
      <c r="A1752" s="83" t="s">
        <v>3458</v>
      </c>
      <c r="B1752" s="83"/>
      <c r="C1752" s="83"/>
      <c r="D1752" s="83"/>
      <c r="E1752" s="83"/>
      <c r="F1752" s="83"/>
      <c r="G1752" s="83"/>
      <c r="H1752" s="83"/>
      <c r="I1752" s="84" t="s">
        <v>3459</v>
      </c>
      <c r="J1752" s="84" t="s">
        <v>3460</v>
      </c>
      <c r="K1752" s="85" t="s">
        <v>3627</v>
      </c>
      <c r="L1752" s="85" t="s">
        <v>0</v>
      </c>
      <c r="M1752" s="86"/>
      <c r="N1752" s="86"/>
      <c r="O1752" s="86"/>
      <c r="P1752" s="91">
        <v>16064.638000000001</v>
      </c>
      <c r="Q1752" s="87">
        <f t="shared" si="77"/>
        <v>0</v>
      </c>
      <c r="R1752" s="86"/>
      <c r="S1752" s="86"/>
      <c r="T1752" s="86"/>
      <c r="U1752" s="86"/>
      <c r="V1752" s="87">
        <f t="shared" si="75"/>
        <v>0</v>
      </c>
      <c r="W1752" s="88"/>
      <c r="X1752" s="89"/>
    </row>
    <row r="1753" spans="1:24" s="90" customFormat="1" ht="12" hidden="1" customHeight="1">
      <c r="A1753" s="83" t="s">
        <v>3461</v>
      </c>
      <c r="B1753" s="83"/>
      <c r="C1753" s="83"/>
      <c r="D1753" s="83"/>
      <c r="E1753" s="83"/>
      <c r="F1753" s="83"/>
      <c r="G1753" s="83"/>
      <c r="H1753" s="83"/>
      <c r="I1753" s="84" t="s">
        <v>3462</v>
      </c>
      <c r="J1753" s="84" t="s">
        <v>3463</v>
      </c>
      <c r="K1753" s="85" t="s">
        <v>3628</v>
      </c>
      <c r="L1753" s="85" t="s">
        <v>0</v>
      </c>
      <c r="M1753" s="86"/>
      <c r="N1753" s="86"/>
      <c r="O1753" s="86"/>
      <c r="P1753" s="91">
        <v>17426.047999999999</v>
      </c>
      <c r="Q1753" s="87">
        <f t="shared" si="77"/>
        <v>0</v>
      </c>
      <c r="R1753" s="86"/>
      <c r="S1753" s="86"/>
      <c r="T1753" s="86"/>
      <c r="U1753" s="86"/>
      <c r="V1753" s="87">
        <f t="shared" si="75"/>
        <v>0</v>
      </c>
      <c r="W1753" s="88"/>
      <c r="X1753" s="89"/>
    </row>
    <row r="1754" spans="1:24" s="90" customFormat="1" ht="12" hidden="1" customHeight="1">
      <c r="A1754" s="83" t="s">
        <v>3464</v>
      </c>
      <c r="B1754" s="83"/>
      <c r="C1754" s="83"/>
      <c r="D1754" s="83"/>
      <c r="E1754" s="83"/>
      <c r="F1754" s="83"/>
      <c r="G1754" s="83"/>
      <c r="H1754" s="83"/>
      <c r="I1754" s="84" t="s">
        <v>3465</v>
      </c>
      <c r="J1754" s="84" t="s">
        <v>3466</v>
      </c>
      <c r="K1754" s="85" t="s">
        <v>3629</v>
      </c>
      <c r="L1754" s="85" t="s">
        <v>0</v>
      </c>
      <c r="M1754" s="86"/>
      <c r="N1754" s="86"/>
      <c r="O1754" s="86"/>
      <c r="P1754" s="91">
        <v>19876.585999999999</v>
      </c>
      <c r="Q1754" s="87">
        <f t="shared" si="77"/>
        <v>0</v>
      </c>
      <c r="R1754" s="86"/>
      <c r="S1754" s="86"/>
      <c r="T1754" s="86"/>
      <c r="U1754" s="86"/>
      <c r="V1754" s="87">
        <f t="shared" si="75"/>
        <v>0</v>
      </c>
      <c r="W1754" s="88"/>
      <c r="X1754" s="89"/>
    </row>
    <row r="1755" spans="1:24" s="90" customFormat="1" ht="12" hidden="1" customHeight="1">
      <c r="A1755" s="83" t="s">
        <v>2360</v>
      </c>
      <c r="B1755" s="83"/>
      <c r="C1755" s="83"/>
      <c r="D1755" s="83"/>
      <c r="E1755" s="83"/>
      <c r="F1755" s="83"/>
      <c r="G1755" s="83"/>
      <c r="H1755" s="83"/>
      <c r="I1755" s="84" t="s">
        <v>1989</v>
      </c>
      <c r="J1755" s="84" t="s">
        <v>1990</v>
      </c>
      <c r="K1755" s="85" t="s">
        <v>3627</v>
      </c>
      <c r="L1755" s="85" t="s">
        <v>0</v>
      </c>
      <c r="M1755" s="86"/>
      <c r="N1755" s="86"/>
      <c r="O1755" s="86"/>
      <c r="P1755" s="91">
        <v>16881.484</v>
      </c>
      <c r="Q1755" s="87">
        <f t="shared" si="77"/>
        <v>0</v>
      </c>
      <c r="R1755" s="86"/>
      <c r="S1755" s="86"/>
      <c r="T1755" s="86"/>
      <c r="U1755" s="86"/>
      <c r="V1755" s="87">
        <f t="shared" ref="V1755:V1819" si="78">SUM(O1755+Q1755)+S1755+U1755</f>
        <v>0</v>
      </c>
      <c r="W1755" s="88"/>
      <c r="X1755" s="89"/>
    </row>
    <row r="1756" spans="1:24" s="90" customFormat="1" ht="12" hidden="1" customHeight="1">
      <c r="A1756" s="83" t="s">
        <v>2361</v>
      </c>
      <c r="B1756" s="83"/>
      <c r="C1756" s="83"/>
      <c r="D1756" s="83"/>
      <c r="E1756" s="83"/>
      <c r="F1756" s="83"/>
      <c r="G1756" s="83"/>
      <c r="H1756" s="83"/>
      <c r="I1756" s="84" t="s">
        <v>1991</v>
      </c>
      <c r="J1756" s="84" t="s">
        <v>2362</v>
      </c>
      <c r="K1756" s="85" t="s">
        <v>3628</v>
      </c>
      <c r="L1756" s="85" t="s">
        <v>0</v>
      </c>
      <c r="M1756" s="86"/>
      <c r="N1756" s="86"/>
      <c r="O1756" s="86"/>
      <c r="P1756" s="91">
        <v>18242.894</v>
      </c>
      <c r="Q1756" s="87">
        <f t="shared" si="77"/>
        <v>0</v>
      </c>
      <c r="R1756" s="86"/>
      <c r="S1756" s="86"/>
      <c r="T1756" s="86"/>
      <c r="U1756" s="86"/>
      <c r="V1756" s="87">
        <f t="shared" si="78"/>
        <v>0</v>
      </c>
      <c r="W1756" s="88"/>
      <c r="X1756" s="89"/>
    </row>
    <row r="1757" spans="1:24" s="90" customFormat="1" ht="12" hidden="1" customHeight="1">
      <c r="A1757" s="83" t="s">
        <v>3467</v>
      </c>
      <c r="B1757" s="83"/>
      <c r="C1757" s="83"/>
      <c r="D1757" s="83"/>
      <c r="E1757" s="83"/>
      <c r="F1757" s="83"/>
      <c r="G1757" s="83"/>
      <c r="H1757" s="83"/>
      <c r="I1757" s="84" t="s">
        <v>1992</v>
      </c>
      <c r="J1757" s="84" t="s">
        <v>3468</v>
      </c>
      <c r="K1757" s="85" t="s">
        <v>3629</v>
      </c>
      <c r="L1757" s="85" t="s">
        <v>0</v>
      </c>
      <c r="M1757" s="86"/>
      <c r="N1757" s="86"/>
      <c r="O1757" s="86"/>
      <c r="P1757" s="91">
        <v>20693.432000000001</v>
      </c>
      <c r="Q1757" s="87">
        <f t="shared" si="77"/>
        <v>0</v>
      </c>
      <c r="R1757" s="86"/>
      <c r="S1757" s="86"/>
      <c r="T1757" s="86"/>
      <c r="U1757" s="86"/>
      <c r="V1757" s="87">
        <f t="shared" si="78"/>
        <v>0</v>
      </c>
      <c r="W1757" s="88"/>
      <c r="X1757" s="89"/>
    </row>
    <row r="1758" spans="1:24" s="90" customFormat="1" ht="12" hidden="1" customHeight="1">
      <c r="A1758" s="83" t="s">
        <v>3469</v>
      </c>
      <c r="B1758" s="83"/>
      <c r="C1758" s="83"/>
      <c r="D1758" s="83"/>
      <c r="E1758" s="83"/>
      <c r="F1758" s="83"/>
      <c r="G1758" s="83"/>
      <c r="H1758" s="83"/>
      <c r="I1758" s="84" t="s">
        <v>3470</v>
      </c>
      <c r="J1758" s="84" t="s">
        <v>3471</v>
      </c>
      <c r="K1758" s="85" t="s">
        <v>3627</v>
      </c>
      <c r="L1758" s="85" t="s">
        <v>0</v>
      </c>
      <c r="M1758" s="86"/>
      <c r="N1758" s="86"/>
      <c r="O1758" s="86"/>
      <c r="P1758" s="91">
        <v>19604.304</v>
      </c>
      <c r="Q1758" s="87">
        <f t="shared" si="77"/>
        <v>0</v>
      </c>
      <c r="R1758" s="86"/>
      <c r="S1758" s="86"/>
      <c r="T1758" s="86"/>
      <c r="U1758" s="86"/>
      <c r="V1758" s="87">
        <f t="shared" si="78"/>
        <v>0</v>
      </c>
      <c r="W1758" s="88"/>
      <c r="X1758" s="89"/>
    </row>
    <row r="1759" spans="1:24" s="90" customFormat="1" ht="12" hidden="1" customHeight="1">
      <c r="A1759" s="83" t="s">
        <v>3472</v>
      </c>
      <c r="B1759" s="83"/>
      <c r="C1759" s="83"/>
      <c r="D1759" s="83"/>
      <c r="E1759" s="83"/>
      <c r="F1759" s="83"/>
      <c r="G1759" s="83"/>
      <c r="H1759" s="83"/>
      <c r="I1759" s="84" t="s">
        <v>3473</v>
      </c>
      <c r="J1759" s="84" t="s">
        <v>3474</v>
      </c>
      <c r="K1759" s="85" t="s">
        <v>3628</v>
      </c>
      <c r="L1759" s="85" t="s">
        <v>0</v>
      </c>
      <c r="M1759" s="86"/>
      <c r="N1759" s="86"/>
      <c r="O1759" s="86"/>
      <c r="P1759" s="91">
        <v>21237.995999999999</v>
      </c>
      <c r="Q1759" s="87">
        <f t="shared" si="77"/>
        <v>0</v>
      </c>
      <c r="R1759" s="86"/>
      <c r="S1759" s="86"/>
      <c r="T1759" s="86"/>
      <c r="U1759" s="86"/>
      <c r="V1759" s="87">
        <f t="shared" si="78"/>
        <v>0</v>
      </c>
      <c r="W1759" s="88"/>
      <c r="X1759" s="89"/>
    </row>
    <row r="1760" spans="1:24" s="90" customFormat="1" ht="12" hidden="1" customHeight="1">
      <c r="A1760" s="83" t="s">
        <v>3475</v>
      </c>
      <c r="B1760" s="83"/>
      <c r="C1760" s="83"/>
      <c r="D1760" s="83"/>
      <c r="E1760" s="83"/>
      <c r="F1760" s="83"/>
      <c r="G1760" s="83"/>
      <c r="H1760" s="83"/>
      <c r="I1760" s="84" t="s">
        <v>3476</v>
      </c>
      <c r="J1760" s="84" t="s">
        <v>3477</v>
      </c>
      <c r="K1760" s="85" t="s">
        <v>3629</v>
      </c>
      <c r="L1760" s="85" t="s">
        <v>0</v>
      </c>
      <c r="M1760" s="86"/>
      <c r="N1760" s="86"/>
      <c r="O1760" s="86"/>
      <c r="P1760" s="91">
        <v>24233.098000000002</v>
      </c>
      <c r="Q1760" s="87">
        <f t="shared" si="77"/>
        <v>0</v>
      </c>
      <c r="R1760" s="86"/>
      <c r="S1760" s="86"/>
      <c r="T1760" s="86"/>
      <c r="U1760" s="86"/>
      <c r="V1760" s="87">
        <f t="shared" si="78"/>
        <v>0</v>
      </c>
      <c r="W1760" s="88"/>
      <c r="X1760" s="89"/>
    </row>
    <row r="1761" spans="1:24" s="90" customFormat="1" ht="12" hidden="1" customHeight="1">
      <c r="A1761" s="83" t="s">
        <v>3478</v>
      </c>
      <c r="B1761" s="83"/>
      <c r="C1761" s="83"/>
      <c r="D1761" s="83"/>
      <c r="E1761" s="83"/>
      <c r="F1761" s="83"/>
      <c r="G1761" s="83"/>
      <c r="H1761" s="83"/>
      <c r="I1761" s="84" t="s">
        <v>1993</v>
      </c>
      <c r="J1761" s="84" t="s">
        <v>1525</v>
      </c>
      <c r="K1761" s="85" t="s">
        <v>3627</v>
      </c>
      <c r="L1761" s="85" t="s">
        <v>0</v>
      </c>
      <c r="M1761" s="86"/>
      <c r="N1761" s="86"/>
      <c r="O1761" s="86"/>
      <c r="P1761" s="91">
        <v>20148.867999999999</v>
      </c>
      <c r="Q1761" s="87">
        <f t="shared" si="77"/>
        <v>0</v>
      </c>
      <c r="R1761" s="86"/>
      <c r="S1761" s="86"/>
      <c r="T1761" s="86"/>
      <c r="U1761" s="86"/>
      <c r="V1761" s="87">
        <f t="shared" si="78"/>
        <v>0</v>
      </c>
      <c r="W1761" s="88"/>
      <c r="X1761" s="89"/>
    </row>
    <row r="1762" spans="1:24" s="90" customFormat="1" ht="12" hidden="1" customHeight="1">
      <c r="A1762" s="83" t="s">
        <v>3479</v>
      </c>
      <c r="B1762" s="83"/>
      <c r="C1762" s="83"/>
      <c r="D1762" s="83"/>
      <c r="E1762" s="83"/>
      <c r="F1762" s="83"/>
      <c r="G1762" s="83"/>
      <c r="H1762" s="83"/>
      <c r="I1762" s="84" t="s">
        <v>1994</v>
      </c>
      <c r="J1762" s="84" t="s">
        <v>3480</v>
      </c>
      <c r="K1762" s="85" t="s">
        <v>3628</v>
      </c>
      <c r="L1762" s="85" t="s">
        <v>0</v>
      </c>
      <c r="M1762" s="86"/>
      <c r="N1762" s="86"/>
      <c r="O1762" s="86"/>
      <c r="P1762" s="91">
        <v>21782.560000000001</v>
      </c>
      <c r="Q1762" s="87">
        <f t="shared" si="77"/>
        <v>0</v>
      </c>
      <c r="R1762" s="86"/>
      <c r="S1762" s="86"/>
      <c r="T1762" s="86"/>
      <c r="U1762" s="86"/>
      <c r="V1762" s="87">
        <f t="shared" si="78"/>
        <v>0</v>
      </c>
      <c r="W1762" s="88"/>
      <c r="X1762" s="89"/>
    </row>
    <row r="1763" spans="1:24" s="90" customFormat="1" ht="12" hidden="1" customHeight="1">
      <c r="A1763" s="83" t="s">
        <v>3481</v>
      </c>
      <c r="B1763" s="83"/>
      <c r="C1763" s="83"/>
      <c r="D1763" s="83"/>
      <c r="E1763" s="83"/>
      <c r="F1763" s="83"/>
      <c r="G1763" s="83"/>
      <c r="H1763" s="83"/>
      <c r="I1763" s="84" t="s">
        <v>3482</v>
      </c>
      <c r="J1763" s="84" t="s">
        <v>3483</v>
      </c>
      <c r="K1763" s="85" t="s">
        <v>3629</v>
      </c>
      <c r="L1763" s="85" t="s">
        <v>0</v>
      </c>
      <c r="M1763" s="86"/>
      <c r="N1763" s="86"/>
      <c r="O1763" s="86"/>
      <c r="P1763" s="91">
        <v>25049.944</v>
      </c>
      <c r="Q1763" s="87">
        <f t="shared" si="77"/>
        <v>0</v>
      </c>
      <c r="R1763" s="86"/>
      <c r="S1763" s="86"/>
      <c r="T1763" s="86"/>
      <c r="U1763" s="86"/>
      <c r="V1763" s="87">
        <f t="shared" si="78"/>
        <v>0</v>
      </c>
      <c r="W1763" s="88"/>
      <c r="X1763" s="89"/>
    </row>
    <row r="1764" spans="1:24" s="90" customFormat="1" ht="12" hidden="1" customHeight="1">
      <c r="A1764" s="83" t="s">
        <v>2363</v>
      </c>
      <c r="B1764" s="83"/>
      <c r="C1764" s="83"/>
      <c r="D1764" s="83"/>
      <c r="E1764" s="83"/>
      <c r="F1764" s="83"/>
      <c r="G1764" s="83"/>
      <c r="H1764" s="83"/>
      <c r="I1764" s="84" t="s">
        <v>2196</v>
      </c>
      <c r="J1764" s="84" t="s">
        <v>2364</v>
      </c>
      <c r="K1764" s="85" t="s">
        <v>3627</v>
      </c>
      <c r="L1764" s="85" t="s">
        <v>0</v>
      </c>
      <c r="M1764" s="86"/>
      <c r="N1764" s="86"/>
      <c r="O1764" s="86"/>
      <c r="P1764" s="91">
        <v>22871.687999999998</v>
      </c>
      <c r="Q1764" s="87">
        <f t="shared" si="77"/>
        <v>0</v>
      </c>
      <c r="R1764" s="86"/>
      <c r="S1764" s="86"/>
      <c r="T1764" s="86"/>
      <c r="U1764" s="86"/>
      <c r="V1764" s="87">
        <f t="shared" si="78"/>
        <v>0</v>
      </c>
      <c r="W1764" s="88"/>
      <c r="X1764" s="89"/>
    </row>
    <row r="1765" spans="1:24" s="90" customFormat="1" ht="12" hidden="1" customHeight="1">
      <c r="A1765" s="83" t="s">
        <v>2365</v>
      </c>
      <c r="B1765" s="83"/>
      <c r="C1765" s="83"/>
      <c r="D1765" s="83"/>
      <c r="E1765" s="83"/>
      <c r="F1765" s="83"/>
      <c r="G1765" s="83"/>
      <c r="H1765" s="83"/>
      <c r="I1765" s="84" t="s">
        <v>2197</v>
      </c>
      <c r="J1765" s="84" t="s">
        <v>2366</v>
      </c>
      <c r="K1765" s="85" t="s">
        <v>3628</v>
      </c>
      <c r="L1765" s="85" t="s">
        <v>0</v>
      </c>
      <c r="M1765" s="86"/>
      <c r="N1765" s="86"/>
      <c r="O1765" s="86"/>
      <c r="P1765" s="91">
        <v>24505.38</v>
      </c>
      <c r="Q1765" s="87">
        <f t="shared" si="77"/>
        <v>0</v>
      </c>
      <c r="R1765" s="86"/>
      <c r="S1765" s="86"/>
      <c r="T1765" s="86"/>
      <c r="U1765" s="86"/>
      <c r="V1765" s="87">
        <f t="shared" si="78"/>
        <v>0</v>
      </c>
      <c r="W1765" s="88"/>
      <c r="X1765" s="89"/>
    </row>
    <row r="1766" spans="1:24" s="90" customFormat="1" ht="12" hidden="1" customHeight="1">
      <c r="A1766" s="83" t="s">
        <v>3484</v>
      </c>
      <c r="B1766" s="83"/>
      <c r="C1766" s="83"/>
      <c r="D1766" s="83"/>
      <c r="E1766" s="83"/>
      <c r="F1766" s="83"/>
      <c r="G1766" s="83"/>
      <c r="H1766" s="83"/>
      <c r="I1766" s="84" t="s">
        <v>3485</v>
      </c>
      <c r="J1766" s="84" t="s">
        <v>3486</v>
      </c>
      <c r="K1766" s="85" t="s">
        <v>3629</v>
      </c>
      <c r="L1766" s="85" t="s">
        <v>0</v>
      </c>
      <c r="M1766" s="86"/>
      <c r="N1766" s="86"/>
      <c r="O1766" s="86"/>
      <c r="P1766" s="91">
        <v>28045.045999999998</v>
      </c>
      <c r="Q1766" s="87">
        <f t="shared" si="77"/>
        <v>0</v>
      </c>
      <c r="R1766" s="86"/>
      <c r="S1766" s="86"/>
      <c r="T1766" s="86"/>
      <c r="U1766" s="86"/>
      <c r="V1766" s="87">
        <f t="shared" si="78"/>
        <v>0</v>
      </c>
      <c r="W1766" s="88"/>
      <c r="X1766" s="89"/>
    </row>
    <row r="1767" spans="1:24" s="90" customFormat="1" ht="12" hidden="1" customHeight="1">
      <c r="A1767" s="83" t="s">
        <v>3487</v>
      </c>
      <c r="B1767" s="83"/>
      <c r="C1767" s="83"/>
      <c r="D1767" s="83"/>
      <c r="E1767" s="83"/>
      <c r="F1767" s="83"/>
      <c r="G1767" s="83"/>
      <c r="H1767" s="83"/>
      <c r="I1767" s="84" t="s">
        <v>1995</v>
      </c>
      <c r="J1767" s="84" t="s">
        <v>1996</v>
      </c>
      <c r="K1767" s="85" t="s">
        <v>3627</v>
      </c>
      <c r="L1767" s="85" t="s">
        <v>0</v>
      </c>
      <c r="M1767" s="86"/>
      <c r="N1767" s="86"/>
      <c r="O1767" s="86"/>
      <c r="P1767" s="91">
        <v>26683.635999999999</v>
      </c>
      <c r="Q1767" s="87">
        <f t="shared" si="77"/>
        <v>0</v>
      </c>
      <c r="R1767" s="86"/>
      <c r="S1767" s="86"/>
      <c r="T1767" s="86"/>
      <c r="U1767" s="86"/>
      <c r="V1767" s="87">
        <f t="shared" si="78"/>
        <v>0</v>
      </c>
      <c r="W1767" s="88"/>
      <c r="X1767" s="89"/>
    </row>
    <row r="1768" spans="1:24" s="90" customFormat="1" ht="12" hidden="1" customHeight="1">
      <c r="A1768" s="83" t="s">
        <v>3488</v>
      </c>
      <c r="B1768" s="83"/>
      <c r="C1768" s="83"/>
      <c r="D1768" s="83"/>
      <c r="E1768" s="83"/>
      <c r="F1768" s="83"/>
      <c r="G1768" s="83"/>
      <c r="H1768" s="83"/>
      <c r="I1768" s="84" t="s">
        <v>1997</v>
      </c>
      <c r="J1768" s="84" t="s">
        <v>1998</v>
      </c>
      <c r="K1768" s="85" t="s">
        <v>3627</v>
      </c>
      <c r="L1768" s="85" t="s">
        <v>0</v>
      </c>
      <c r="M1768" s="86"/>
      <c r="N1768" s="86"/>
      <c r="O1768" s="86"/>
      <c r="P1768" s="91">
        <v>30495.583999999999</v>
      </c>
      <c r="Q1768" s="87">
        <f t="shared" si="77"/>
        <v>0</v>
      </c>
      <c r="R1768" s="86"/>
      <c r="S1768" s="86"/>
      <c r="T1768" s="86"/>
      <c r="U1768" s="86"/>
      <c r="V1768" s="87">
        <f t="shared" si="78"/>
        <v>0</v>
      </c>
      <c r="W1768" s="88"/>
      <c r="X1768" s="89"/>
    </row>
    <row r="1769" spans="1:24" s="90" customFormat="1" ht="12" hidden="1" customHeight="1">
      <c r="A1769" s="83" t="s">
        <v>2367</v>
      </c>
      <c r="B1769" s="83"/>
      <c r="C1769" s="83"/>
      <c r="D1769" s="83"/>
      <c r="E1769" s="83"/>
      <c r="F1769" s="83"/>
      <c r="G1769" s="83"/>
      <c r="H1769" s="83"/>
      <c r="I1769" s="84" t="s">
        <v>1957</v>
      </c>
      <c r="J1769" s="84" t="s">
        <v>1526</v>
      </c>
      <c r="K1769" s="85" t="s">
        <v>3627</v>
      </c>
      <c r="L1769" s="85" t="s">
        <v>0</v>
      </c>
      <c r="M1769" s="86"/>
      <c r="N1769" s="86"/>
      <c r="O1769" s="86"/>
      <c r="P1769" s="91">
        <v>3811.9479999999999</v>
      </c>
      <c r="Q1769" s="87">
        <f t="shared" si="77"/>
        <v>0</v>
      </c>
      <c r="R1769" s="86"/>
      <c r="S1769" s="86"/>
      <c r="T1769" s="86"/>
      <c r="U1769" s="86"/>
      <c r="V1769" s="87">
        <f t="shared" si="78"/>
        <v>0</v>
      </c>
      <c r="W1769" s="88"/>
      <c r="X1769" s="89"/>
    </row>
    <row r="1770" spans="1:24" s="90" customFormat="1" ht="12" hidden="1" customHeight="1">
      <c r="A1770" s="83" t="s">
        <v>2368</v>
      </c>
      <c r="B1770" s="83"/>
      <c r="C1770" s="83"/>
      <c r="D1770" s="83"/>
      <c r="E1770" s="83"/>
      <c r="F1770" s="83"/>
      <c r="G1770" s="83"/>
      <c r="H1770" s="83"/>
      <c r="I1770" s="84" t="s">
        <v>1958</v>
      </c>
      <c r="J1770" s="84" t="s">
        <v>2369</v>
      </c>
      <c r="K1770" s="85" t="s">
        <v>3628</v>
      </c>
      <c r="L1770" s="85" t="s">
        <v>0</v>
      </c>
      <c r="M1770" s="86"/>
      <c r="N1770" s="86"/>
      <c r="O1770" s="86"/>
      <c r="P1770" s="91">
        <v>4356.5119999999997</v>
      </c>
      <c r="Q1770" s="87">
        <f t="shared" si="77"/>
        <v>0</v>
      </c>
      <c r="R1770" s="86"/>
      <c r="S1770" s="86"/>
      <c r="T1770" s="86"/>
      <c r="U1770" s="86"/>
      <c r="V1770" s="87">
        <f t="shared" si="78"/>
        <v>0</v>
      </c>
      <c r="W1770" s="88"/>
      <c r="X1770" s="89"/>
    </row>
    <row r="1771" spans="1:24" s="90" customFormat="1" ht="12" hidden="1" customHeight="1">
      <c r="A1771" s="83" t="s">
        <v>2370</v>
      </c>
      <c r="B1771" s="83"/>
      <c r="C1771" s="83"/>
      <c r="D1771" s="83"/>
      <c r="E1771" s="83"/>
      <c r="F1771" s="83"/>
      <c r="G1771" s="83"/>
      <c r="H1771" s="83"/>
      <c r="I1771" s="84" t="s">
        <v>1959</v>
      </c>
      <c r="J1771" s="84" t="s">
        <v>2371</v>
      </c>
      <c r="K1771" s="85" t="s">
        <v>3629</v>
      </c>
      <c r="L1771" s="85" t="s">
        <v>0</v>
      </c>
      <c r="M1771" s="86"/>
      <c r="N1771" s="86"/>
      <c r="O1771" s="86"/>
      <c r="P1771" s="91">
        <v>4901.076</v>
      </c>
      <c r="Q1771" s="87">
        <f t="shared" si="77"/>
        <v>0</v>
      </c>
      <c r="R1771" s="86"/>
      <c r="S1771" s="86"/>
      <c r="T1771" s="86"/>
      <c r="U1771" s="86"/>
      <c r="V1771" s="87">
        <f t="shared" si="78"/>
        <v>0</v>
      </c>
      <c r="W1771" s="88"/>
      <c r="X1771" s="89"/>
    </row>
    <row r="1772" spans="1:24" s="90" customFormat="1" ht="12" hidden="1" customHeight="1">
      <c r="A1772" s="83" t="s">
        <v>3489</v>
      </c>
      <c r="B1772" s="83"/>
      <c r="C1772" s="83"/>
      <c r="D1772" s="83"/>
      <c r="E1772" s="83"/>
      <c r="F1772" s="83"/>
      <c r="G1772" s="83"/>
      <c r="H1772" s="83"/>
      <c r="I1772" s="84" t="s">
        <v>3490</v>
      </c>
      <c r="J1772" s="84" t="s">
        <v>3491</v>
      </c>
      <c r="K1772" s="85" t="s">
        <v>3630</v>
      </c>
      <c r="L1772" s="85" t="s">
        <v>0</v>
      </c>
      <c r="M1772" s="86"/>
      <c r="N1772" s="86"/>
      <c r="O1772" s="86"/>
      <c r="P1772" s="91">
        <v>5445.64</v>
      </c>
      <c r="Q1772" s="87">
        <f t="shared" si="77"/>
        <v>0</v>
      </c>
      <c r="R1772" s="86"/>
      <c r="S1772" s="86"/>
      <c r="T1772" s="86"/>
      <c r="U1772" s="86"/>
      <c r="V1772" s="87">
        <f t="shared" si="78"/>
        <v>0</v>
      </c>
      <c r="W1772" s="88"/>
      <c r="X1772" s="89"/>
    </row>
    <row r="1773" spans="1:24" s="90" customFormat="1" ht="12" hidden="1" customHeight="1">
      <c r="A1773" s="83" t="s">
        <v>3492</v>
      </c>
      <c r="B1773" s="83"/>
      <c r="C1773" s="83"/>
      <c r="D1773" s="83"/>
      <c r="E1773" s="83"/>
      <c r="F1773" s="83"/>
      <c r="G1773" s="83"/>
      <c r="H1773" s="83"/>
      <c r="I1773" s="84" t="s">
        <v>2012</v>
      </c>
      <c r="J1773" s="84" t="s">
        <v>3493</v>
      </c>
      <c r="K1773" s="85" t="s">
        <v>3631</v>
      </c>
      <c r="L1773" s="85" t="s">
        <v>0</v>
      </c>
      <c r="M1773" s="86"/>
      <c r="N1773" s="86"/>
      <c r="O1773" s="86"/>
      <c r="P1773" s="91">
        <v>6807.05</v>
      </c>
      <c r="Q1773" s="87">
        <f t="shared" si="77"/>
        <v>0</v>
      </c>
      <c r="R1773" s="86"/>
      <c r="S1773" s="86"/>
      <c r="T1773" s="86"/>
      <c r="U1773" s="86"/>
      <c r="V1773" s="87">
        <f t="shared" si="78"/>
        <v>0</v>
      </c>
      <c r="W1773" s="88"/>
      <c r="X1773" s="89"/>
    </row>
    <row r="1774" spans="1:24" s="90" customFormat="1" ht="12" hidden="1" customHeight="1">
      <c r="A1774" s="83" t="s">
        <v>2372</v>
      </c>
      <c r="B1774" s="83"/>
      <c r="C1774" s="83"/>
      <c r="D1774" s="83"/>
      <c r="E1774" s="83"/>
      <c r="F1774" s="83"/>
      <c r="G1774" s="83"/>
      <c r="H1774" s="83"/>
      <c r="I1774" s="84" t="s">
        <v>1960</v>
      </c>
      <c r="J1774" s="84" t="s">
        <v>1527</v>
      </c>
      <c r="K1774" s="85" t="s">
        <v>3627</v>
      </c>
      <c r="L1774" s="85" t="s">
        <v>0</v>
      </c>
      <c r="M1774" s="86"/>
      <c r="N1774" s="86"/>
      <c r="O1774" s="86"/>
      <c r="P1774" s="91">
        <v>5173.3580000000002</v>
      </c>
      <c r="Q1774" s="87">
        <f t="shared" si="77"/>
        <v>0</v>
      </c>
      <c r="R1774" s="86"/>
      <c r="S1774" s="86"/>
      <c r="T1774" s="86"/>
      <c r="U1774" s="86"/>
      <c r="V1774" s="87">
        <f t="shared" si="78"/>
        <v>0</v>
      </c>
      <c r="W1774" s="88"/>
      <c r="X1774" s="89"/>
    </row>
    <row r="1775" spans="1:24" s="90" customFormat="1" ht="12" hidden="1" customHeight="1">
      <c r="A1775" s="83" t="s">
        <v>970</v>
      </c>
      <c r="B1775" s="83"/>
      <c r="C1775" s="83"/>
      <c r="D1775" s="83"/>
      <c r="E1775" s="83"/>
      <c r="F1775" s="83"/>
      <c r="G1775" s="83"/>
      <c r="H1775" s="83"/>
      <c r="I1775" s="84" t="s">
        <v>1961</v>
      </c>
      <c r="J1775" s="84" t="s">
        <v>1528</v>
      </c>
      <c r="K1775" s="85" t="s">
        <v>3628</v>
      </c>
      <c r="L1775" s="85" t="s">
        <v>0</v>
      </c>
      <c r="M1775" s="86"/>
      <c r="N1775" s="86"/>
      <c r="O1775" s="86"/>
      <c r="P1775" s="91">
        <v>5990.2039999999997</v>
      </c>
      <c r="Q1775" s="87">
        <f t="shared" si="77"/>
        <v>0</v>
      </c>
      <c r="R1775" s="86"/>
      <c r="S1775" s="86"/>
      <c r="T1775" s="86"/>
      <c r="U1775" s="86"/>
      <c r="V1775" s="87">
        <f t="shared" si="78"/>
        <v>0</v>
      </c>
      <c r="W1775" s="88"/>
      <c r="X1775" s="89"/>
    </row>
    <row r="1776" spans="1:24" s="90" customFormat="1" ht="12" hidden="1" customHeight="1">
      <c r="A1776" s="83" t="s">
        <v>2373</v>
      </c>
      <c r="B1776" s="83"/>
      <c r="C1776" s="83"/>
      <c r="D1776" s="83"/>
      <c r="E1776" s="83"/>
      <c r="F1776" s="83"/>
      <c r="G1776" s="83"/>
      <c r="H1776" s="83"/>
      <c r="I1776" s="84" t="s">
        <v>1962</v>
      </c>
      <c r="J1776" s="84" t="s">
        <v>2374</v>
      </c>
      <c r="K1776" s="85" t="s">
        <v>3629</v>
      </c>
      <c r="L1776" s="85" t="s">
        <v>0</v>
      </c>
      <c r="M1776" s="86"/>
      <c r="N1776" s="86"/>
      <c r="O1776" s="86"/>
      <c r="P1776" s="91">
        <v>7079.3320000000003</v>
      </c>
      <c r="Q1776" s="87">
        <f t="shared" si="77"/>
        <v>0</v>
      </c>
      <c r="R1776" s="86"/>
      <c r="S1776" s="86"/>
      <c r="T1776" s="86"/>
      <c r="U1776" s="86"/>
      <c r="V1776" s="87">
        <f t="shared" si="78"/>
        <v>0</v>
      </c>
      <c r="W1776" s="88"/>
      <c r="X1776" s="89"/>
    </row>
    <row r="1777" spans="1:24" s="90" customFormat="1" ht="12" hidden="1" customHeight="1">
      <c r="A1777" s="83" t="s">
        <v>3494</v>
      </c>
      <c r="B1777" s="83"/>
      <c r="C1777" s="83"/>
      <c r="D1777" s="83"/>
      <c r="E1777" s="83"/>
      <c r="F1777" s="83"/>
      <c r="G1777" s="83"/>
      <c r="H1777" s="83"/>
      <c r="I1777" s="84" t="s">
        <v>3495</v>
      </c>
      <c r="J1777" s="84" t="s">
        <v>3496</v>
      </c>
      <c r="K1777" s="85" t="s">
        <v>3630</v>
      </c>
      <c r="L1777" s="85" t="s">
        <v>0</v>
      </c>
      <c r="M1777" s="86"/>
      <c r="N1777" s="86"/>
      <c r="O1777" s="86"/>
      <c r="P1777" s="91">
        <v>7896.1779999999999</v>
      </c>
      <c r="Q1777" s="87">
        <f t="shared" si="77"/>
        <v>0</v>
      </c>
      <c r="R1777" s="86"/>
      <c r="S1777" s="86"/>
      <c r="T1777" s="86"/>
      <c r="U1777" s="86"/>
      <c r="V1777" s="87">
        <f t="shared" si="78"/>
        <v>0</v>
      </c>
      <c r="W1777" s="88"/>
      <c r="X1777" s="89"/>
    </row>
    <row r="1778" spans="1:24" s="90" customFormat="1" ht="12" hidden="1" customHeight="1">
      <c r="A1778" s="83" t="s">
        <v>971</v>
      </c>
      <c r="B1778" s="83"/>
      <c r="C1778" s="83"/>
      <c r="D1778" s="83"/>
      <c r="E1778" s="83"/>
      <c r="F1778" s="83"/>
      <c r="G1778" s="83"/>
      <c r="H1778" s="83"/>
      <c r="I1778" s="84" t="s">
        <v>2016</v>
      </c>
      <c r="J1778" s="84" t="s">
        <v>1529</v>
      </c>
      <c r="K1778" s="85" t="s">
        <v>3631</v>
      </c>
      <c r="L1778" s="85" t="s">
        <v>0</v>
      </c>
      <c r="M1778" s="86"/>
      <c r="N1778" s="86"/>
      <c r="O1778" s="86"/>
      <c r="P1778" s="91">
        <v>9802.152</v>
      </c>
      <c r="Q1778" s="87">
        <f t="shared" si="77"/>
        <v>0</v>
      </c>
      <c r="R1778" s="86"/>
      <c r="S1778" s="86"/>
      <c r="T1778" s="86"/>
      <c r="U1778" s="86"/>
      <c r="V1778" s="87">
        <f t="shared" si="78"/>
        <v>0</v>
      </c>
      <c r="W1778" s="88"/>
      <c r="X1778" s="89"/>
    </row>
    <row r="1779" spans="1:24" s="90" customFormat="1" ht="12" hidden="1" customHeight="1">
      <c r="A1779" s="83" t="s">
        <v>2375</v>
      </c>
      <c r="B1779" s="83"/>
      <c r="C1779" s="83"/>
      <c r="D1779" s="83"/>
      <c r="E1779" s="83"/>
      <c r="F1779" s="83"/>
      <c r="G1779" s="83"/>
      <c r="H1779" s="83"/>
      <c r="I1779" s="84" t="s">
        <v>1963</v>
      </c>
      <c r="J1779" s="84" t="s">
        <v>1530</v>
      </c>
      <c r="K1779" s="85" t="s">
        <v>3627</v>
      </c>
      <c r="L1779" s="85" t="s">
        <v>0</v>
      </c>
      <c r="M1779" s="86"/>
      <c r="N1779" s="86"/>
      <c r="O1779" s="86"/>
      <c r="P1779" s="91">
        <v>7079.3320000000003</v>
      </c>
      <c r="Q1779" s="87">
        <f t="shared" si="77"/>
        <v>0</v>
      </c>
      <c r="R1779" s="86"/>
      <c r="S1779" s="86"/>
      <c r="T1779" s="86"/>
      <c r="U1779" s="86"/>
      <c r="V1779" s="87">
        <f t="shared" si="78"/>
        <v>0</v>
      </c>
      <c r="W1779" s="88"/>
      <c r="X1779" s="89"/>
    </row>
    <row r="1780" spans="1:24" s="90" customFormat="1" ht="12" hidden="1" customHeight="1">
      <c r="A1780" s="83" t="s">
        <v>2376</v>
      </c>
      <c r="B1780" s="83"/>
      <c r="C1780" s="83"/>
      <c r="D1780" s="83"/>
      <c r="E1780" s="83"/>
      <c r="F1780" s="83"/>
      <c r="G1780" s="83"/>
      <c r="H1780" s="83"/>
      <c r="I1780" s="84" t="s">
        <v>1964</v>
      </c>
      <c r="J1780" s="84" t="s">
        <v>2377</v>
      </c>
      <c r="K1780" s="85" t="s">
        <v>3628</v>
      </c>
      <c r="L1780" s="85" t="s">
        <v>0</v>
      </c>
      <c r="M1780" s="86"/>
      <c r="N1780" s="86"/>
      <c r="O1780" s="86"/>
      <c r="P1780" s="91">
        <v>7896.1779999999999</v>
      </c>
      <c r="Q1780" s="87">
        <f t="shared" si="77"/>
        <v>0</v>
      </c>
      <c r="R1780" s="86"/>
      <c r="S1780" s="86"/>
      <c r="T1780" s="86"/>
      <c r="U1780" s="86"/>
      <c r="V1780" s="87">
        <f t="shared" si="78"/>
        <v>0</v>
      </c>
      <c r="W1780" s="88"/>
      <c r="X1780" s="89"/>
    </row>
    <row r="1781" spans="1:24" s="90" customFormat="1" ht="12" hidden="1" customHeight="1">
      <c r="A1781" s="83" t="s">
        <v>2378</v>
      </c>
      <c r="B1781" s="83"/>
      <c r="C1781" s="83"/>
      <c r="D1781" s="83"/>
      <c r="E1781" s="83"/>
      <c r="F1781" s="83"/>
      <c r="G1781" s="83"/>
      <c r="H1781" s="83"/>
      <c r="I1781" s="84" t="s">
        <v>1965</v>
      </c>
      <c r="J1781" s="84" t="s">
        <v>2379</v>
      </c>
      <c r="K1781" s="85" t="s">
        <v>3629</v>
      </c>
      <c r="L1781" s="85" t="s">
        <v>0</v>
      </c>
      <c r="M1781" s="86"/>
      <c r="N1781" s="86"/>
      <c r="O1781" s="86"/>
      <c r="P1781" s="91">
        <v>9257.5879999999997</v>
      </c>
      <c r="Q1781" s="87">
        <f t="shared" si="77"/>
        <v>0</v>
      </c>
      <c r="R1781" s="86"/>
      <c r="S1781" s="86"/>
      <c r="T1781" s="86"/>
      <c r="U1781" s="86"/>
      <c r="V1781" s="87">
        <f t="shared" si="78"/>
        <v>0</v>
      </c>
      <c r="W1781" s="88"/>
      <c r="X1781" s="89"/>
    </row>
    <row r="1782" spans="1:24" s="90" customFormat="1" ht="12" hidden="1" customHeight="1">
      <c r="A1782" s="83" t="s">
        <v>3497</v>
      </c>
      <c r="B1782" s="83"/>
      <c r="C1782" s="83"/>
      <c r="D1782" s="83"/>
      <c r="E1782" s="83"/>
      <c r="F1782" s="83"/>
      <c r="G1782" s="83"/>
      <c r="H1782" s="83"/>
      <c r="I1782" s="84" t="s">
        <v>3498</v>
      </c>
      <c r="J1782" s="84" t="s">
        <v>3499</v>
      </c>
      <c r="K1782" s="85" t="s">
        <v>3630</v>
      </c>
      <c r="L1782" s="85" t="s">
        <v>0</v>
      </c>
      <c r="M1782" s="86"/>
      <c r="N1782" s="86"/>
      <c r="O1782" s="86"/>
      <c r="P1782" s="91">
        <v>10618.998</v>
      </c>
      <c r="Q1782" s="87">
        <f t="shared" si="77"/>
        <v>0</v>
      </c>
      <c r="R1782" s="86"/>
      <c r="S1782" s="86"/>
      <c r="T1782" s="86"/>
      <c r="U1782" s="86"/>
      <c r="V1782" s="87">
        <f t="shared" si="78"/>
        <v>0</v>
      </c>
      <c r="W1782" s="88"/>
      <c r="X1782" s="89"/>
    </row>
    <row r="1783" spans="1:24" s="90" customFormat="1" ht="12" hidden="1" customHeight="1">
      <c r="A1783" s="83" t="s">
        <v>2380</v>
      </c>
      <c r="B1783" s="83"/>
      <c r="C1783" s="83"/>
      <c r="D1783" s="83"/>
      <c r="E1783" s="83"/>
      <c r="F1783" s="83"/>
      <c r="G1783" s="83"/>
      <c r="H1783" s="83"/>
      <c r="I1783" s="84" t="s">
        <v>2017</v>
      </c>
      <c r="J1783" s="84" t="s">
        <v>2381</v>
      </c>
      <c r="K1783" s="85" t="s">
        <v>3631</v>
      </c>
      <c r="L1783" s="85" t="s">
        <v>0</v>
      </c>
      <c r="M1783" s="86"/>
      <c r="N1783" s="86"/>
      <c r="O1783" s="86"/>
      <c r="P1783" s="91">
        <v>13341.817999999999</v>
      </c>
      <c r="Q1783" s="87">
        <f t="shared" si="77"/>
        <v>0</v>
      </c>
      <c r="R1783" s="86"/>
      <c r="S1783" s="86"/>
      <c r="T1783" s="86"/>
      <c r="U1783" s="86"/>
      <c r="V1783" s="87">
        <f t="shared" si="78"/>
        <v>0</v>
      </c>
      <c r="W1783" s="88"/>
      <c r="X1783" s="89"/>
    </row>
    <row r="1784" spans="1:24" s="90" customFormat="1" ht="12" hidden="1" customHeight="1">
      <c r="A1784" s="83" t="s">
        <v>3500</v>
      </c>
      <c r="B1784" s="83"/>
      <c r="C1784" s="83"/>
      <c r="D1784" s="83"/>
      <c r="E1784" s="83"/>
      <c r="F1784" s="83"/>
      <c r="G1784" s="83"/>
      <c r="H1784" s="83"/>
      <c r="I1784" s="84" t="s">
        <v>1966</v>
      </c>
      <c r="J1784" s="84" t="s">
        <v>1967</v>
      </c>
      <c r="K1784" s="85" t="s">
        <v>3627</v>
      </c>
      <c r="L1784" s="85" t="s">
        <v>0</v>
      </c>
      <c r="M1784" s="86"/>
      <c r="N1784" s="86"/>
      <c r="O1784" s="86"/>
      <c r="P1784" s="91">
        <v>8713.0239999999994</v>
      </c>
      <c r="Q1784" s="87">
        <f t="shared" si="77"/>
        <v>0</v>
      </c>
      <c r="R1784" s="86"/>
      <c r="S1784" s="86"/>
      <c r="T1784" s="86"/>
      <c r="U1784" s="86"/>
      <c r="V1784" s="87">
        <f t="shared" si="78"/>
        <v>0</v>
      </c>
      <c r="W1784" s="88"/>
      <c r="X1784" s="89"/>
    </row>
    <row r="1785" spans="1:24" s="90" customFormat="1" ht="12" hidden="1" customHeight="1">
      <c r="A1785" s="83" t="s">
        <v>3501</v>
      </c>
      <c r="B1785" s="83"/>
      <c r="C1785" s="83"/>
      <c r="D1785" s="83"/>
      <c r="E1785" s="83"/>
      <c r="F1785" s="83"/>
      <c r="G1785" s="83"/>
      <c r="H1785" s="83"/>
      <c r="I1785" s="84" t="s">
        <v>1968</v>
      </c>
      <c r="J1785" s="84" t="s">
        <v>3502</v>
      </c>
      <c r="K1785" s="85" t="s">
        <v>3628</v>
      </c>
      <c r="L1785" s="85" t="s">
        <v>0</v>
      </c>
      <c r="M1785" s="86"/>
      <c r="N1785" s="86"/>
      <c r="O1785" s="86"/>
      <c r="P1785" s="91">
        <v>9257.5879999999997</v>
      </c>
      <c r="Q1785" s="87">
        <f t="shared" si="77"/>
        <v>0</v>
      </c>
      <c r="R1785" s="86"/>
      <c r="S1785" s="86"/>
      <c r="T1785" s="86"/>
      <c r="U1785" s="86"/>
      <c r="V1785" s="87">
        <f t="shared" si="78"/>
        <v>0</v>
      </c>
      <c r="W1785" s="88"/>
      <c r="X1785" s="89"/>
    </row>
    <row r="1786" spans="1:24" s="90" customFormat="1" ht="12" hidden="1" customHeight="1">
      <c r="A1786" s="83" t="s">
        <v>3503</v>
      </c>
      <c r="B1786" s="83"/>
      <c r="C1786" s="83"/>
      <c r="D1786" s="83"/>
      <c r="E1786" s="83"/>
      <c r="F1786" s="83"/>
      <c r="G1786" s="83"/>
      <c r="H1786" s="83"/>
      <c r="I1786" s="84" t="s">
        <v>1969</v>
      </c>
      <c r="J1786" s="84" t="s">
        <v>3504</v>
      </c>
      <c r="K1786" s="85" t="s">
        <v>3629</v>
      </c>
      <c r="L1786" s="85" t="s">
        <v>0</v>
      </c>
      <c r="M1786" s="86"/>
      <c r="N1786" s="86"/>
      <c r="O1786" s="86"/>
      <c r="P1786" s="91">
        <v>10618.998</v>
      </c>
      <c r="Q1786" s="87">
        <f t="shared" si="77"/>
        <v>0</v>
      </c>
      <c r="R1786" s="86"/>
      <c r="S1786" s="86"/>
      <c r="T1786" s="86"/>
      <c r="U1786" s="86"/>
      <c r="V1786" s="87">
        <f t="shared" si="78"/>
        <v>0</v>
      </c>
      <c r="W1786" s="88"/>
      <c r="X1786" s="89"/>
    </row>
    <row r="1787" spans="1:24" s="90" customFormat="1" ht="12" hidden="1" customHeight="1">
      <c r="A1787" s="83" t="s">
        <v>3505</v>
      </c>
      <c r="B1787" s="83"/>
      <c r="C1787" s="83"/>
      <c r="D1787" s="83"/>
      <c r="E1787" s="83"/>
      <c r="F1787" s="83"/>
      <c r="G1787" s="83"/>
      <c r="H1787" s="83"/>
      <c r="I1787" s="84" t="s">
        <v>3506</v>
      </c>
      <c r="J1787" s="84" t="s">
        <v>3507</v>
      </c>
      <c r="K1787" s="85" t="s">
        <v>3630</v>
      </c>
      <c r="L1787" s="85" t="s">
        <v>0</v>
      </c>
      <c r="M1787" s="86"/>
      <c r="N1787" s="86"/>
      <c r="O1787" s="86"/>
      <c r="P1787" s="91">
        <v>11980.407999999999</v>
      </c>
      <c r="Q1787" s="87">
        <f t="shared" si="77"/>
        <v>0</v>
      </c>
      <c r="R1787" s="86"/>
      <c r="S1787" s="86"/>
      <c r="T1787" s="86"/>
      <c r="U1787" s="86"/>
      <c r="V1787" s="87">
        <f t="shared" si="78"/>
        <v>0</v>
      </c>
      <c r="W1787" s="88"/>
      <c r="X1787" s="89"/>
    </row>
    <row r="1788" spans="1:24" s="90" customFormat="1" ht="12" hidden="1" customHeight="1">
      <c r="A1788" s="83" t="s">
        <v>3508</v>
      </c>
      <c r="B1788" s="83"/>
      <c r="C1788" s="83"/>
      <c r="D1788" s="83"/>
      <c r="E1788" s="83"/>
      <c r="F1788" s="83"/>
      <c r="G1788" s="83"/>
      <c r="H1788" s="83"/>
      <c r="I1788" s="84" t="s">
        <v>2018</v>
      </c>
      <c r="J1788" s="84" t="s">
        <v>3509</v>
      </c>
      <c r="K1788" s="85" t="s">
        <v>3631</v>
      </c>
      <c r="L1788" s="85" t="s">
        <v>0</v>
      </c>
      <c r="M1788" s="86"/>
      <c r="N1788" s="86"/>
      <c r="O1788" s="86"/>
      <c r="P1788" s="91">
        <v>14975.51</v>
      </c>
      <c r="Q1788" s="87">
        <f t="shared" si="77"/>
        <v>0</v>
      </c>
      <c r="R1788" s="86"/>
      <c r="S1788" s="86"/>
      <c r="T1788" s="86"/>
      <c r="U1788" s="86"/>
      <c r="V1788" s="87">
        <f t="shared" si="78"/>
        <v>0</v>
      </c>
      <c r="W1788" s="88"/>
      <c r="X1788" s="89"/>
    </row>
    <row r="1789" spans="1:24" s="90" customFormat="1" ht="12" hidden="1" customHeight="1">
      <c r="A1789" s="83" t="s">
        <v>3510</v>
      </c>
      <c r="B1789" s="83"/>
      <c r="C1789" s="83"/>
      <c r="D1789" s="83"/>
      <c r="E1789" s="83"/>
      <c r="F1789" s="83"/>
      <c r="G1789" s="83"/>
      <c r="H1789" s="83"/>
      <c r="I1789" s="84" t="s">
        <v>1970</v>
      </c>
      <c r="J1789" s="84" t="s">
        <v>1971</v>
      </c>
      <c r="K1789" s="85" t="s">
        <v>3627</v>
      </c>
      <c r="L1789" s="85" t="s">
        <v>0</v>
      </c>
      <c r="M1789" s="86"/>
      <c r="N1789" s="86"/>
      <c r="O1789" s="86"/>
      <c r="P1789" s="91">
        <v>9529.8700000000008</v>
      </c>
      <c r="Q1789" s="87">
        <f t="shared" si="77"/>
        <v>0</v>
      </c>
      <c r="R1789" s="86"/>
      <c r="S1789" s="86"/>
      <c r="T1789" s="86"/>
      <c r="U1789" s="86"/>
      <c r="V1789" s="87">
        <f t="shared" si="78"/>
        <v>0</v>
      </c>
      <c r="W1789" s="88"/>
      <c r="X1789" s="89"/>
    </row>
    <row r="1790" spans="1:24" s="90" customFormat="1" ht="12" hidden="1" customHeight="1">
      <c r="A1790" s="83" t="s">
        <v>3511</v>
      </c>
      <c r="B1790" s="83"/>
      <c r="C1790" s="83"/>
      <c r="D1790" s="83"/>
      <c r="E1790" s="83"/>
      <c r="F1790" s="83"/>
      <c r="G1790" s="83"/>
      <c r="H1790" s="83"/>
      <c r="I1790" s="84" t="s">
        <v>1972</v>
      </c>
      <c r="J1790" s="84" t="s">
        <v>3512</v>
      </c>
      <c r="K1790" s="85" t="s">
        <v>3628</v>
      </c>
      <c r="L1790" s="85" t="s">
        <v>0</v>
      </c>
      <c r="M1790" s="86"/>
      <c r="N1790" s="86"/>
      <c r="O1790" s="86"/>
      <c r="P1790" s="91">
        <v>10346.716</v>
      </c>
      <c r="Q1790" s="87">
        <f t="shared" si="77"/>
        <v>0</v>
      </c>
      <c r="R1790" s="86"/>
      <c r="S1790" s="86"/>
      <c r="T1790" s="86"/>
      <c r="U1790" s="86"/>
      <c r="V1790" s="87">
        <f t="shared" si="78"/>
        <v>0</v>
      </c>
      <c r="W1790" s="88"/>
      <c r="X1790" s="89"/>
    </row>
    <row r="1791" spans="1:24" s="90" customFormat="1" ht="12" hidden="1" customHeight="1">
      <c r="A1791" s="83" t="s">
        <v>3513</v>
      </c>
      <c r="B1791" s="83"/>
      <c r="C1791" s="83"/>
      <c r="D1791" s="83"/>
      <c r="E1791" s="83"/>
      <c r="F1791" s="83"/>
      <c r="G1791" s="83"/>
      <c r="H1791" s="83"/>
      <c r="I1791" s="84" t="s">
        <v>1973</v>
      </c>
      <c r="J1791" s="84" t="s">
        <v>3514</v>
      </c>
      <c r="K1791" s="85" t="s">
        <v>3629</v>
      </c>
      <c r="L1791" s="85" t="s">
        <v>0</v>
      </c>
      <c r="M1791" s="86"/>
      <c r="N1791" s="86"/>
      <c r="O1791" s="86"/>
      <c r="P1791" s="91">
        <v>11980.407999999999</v>
      </c>
      <c r="Q1791" s="87">
        <f t="shared" si="77"/>
        <v>0</v>
      </c>
      <c r="R1791" s="86"/>
      <c r="S1791" s="86"/>
      <c r="T1791" s="86"/>
      <c r="U1791" s="86"/>
      <c r="V1791" s="87">
        <f t="shared" si="78"/>
        <v>0</v>
      </c>
      <c r="W1791" s="88"/>
      <c r="X1791" s="89"/>
    </row>
    <row r="1792" spans="1:24" s="90" customFormat="1" ht="12" hidden="1" customHeight="1">
      <c r="A1792" s="83" t="s">
        <v>3515</v>
      </c>
      <c r="B1792" s="83"/>
      <c r="C1792" s="83"/>
      <c r="D1792" s="83"/>
      <c r="E1792" s="83"/>
      <c r="F1792" s="83"/>
      <c r="G1792" s="83"/>
      <c r="H1792" s="83"/>
      <c r="I1792" s="84" t="s">
        <v>3516</v>
      </c>
      <c r="J1792" s="84" t="s">
        <v>3517</v>
      </c>
      <c r="K1792" s="85" t="s">
        <v>3630</v>
      </c>
      <c r="L1792" s="85" t="s">
        <v>0</v>
      </c>
      <c r="M1792" s="86"/>
      <c r="N1792" s="86"/>
      <c r="O1792" s="86"/>
      <c r="P1792" s="91">
        <v>13614.1</v>
      </c>
      <c r="Q1792" s="87">
        <f t="shared" si="77"/>
        <v>0</v>
      </c>
      <c r="R1792" s="86"/>
      <c r="S1792" s="86"/>
      <c r="T1792" s="86"/>
      <c r="U1792" s="86"/>
      <c r="V1792" s="87">
        <f t="shared" si="78"/>
        <v>0</v>
      </c>
      <c r="W1792" s="88"/>
      <c r="X1792" s="89"/>
    </row>
    <row r="1793" spans="1:24" s="90" customFormat="1" ht="12" hidden="1" customHeight="1">
      <c r="A1793" s="83" t="s">
        <v>3518</v>
      </c>
      <c r="B1793" s="83"/>
      <c r="C1793" s="83"/>
      <c r="D1793" s="83"/>
      <c r="E1793" s="83"/>
      <c r="F1793" s="83"/>
      <c r="G1793" s="83"/>
      <c r="H1793" s="83"/>
      <c r="I1793" s="84" t="s">
        <v>2019</v>
      </c>
      <c r="J1793" s="84" t="s">
        <v>3519</v>
      </c>
      <c r="K1793" s="85" t="s">
        <v>3631</v>
      </c>
      <c r="L1793" s="85" t="s">
        <v>0</v>
      </c>
      <c r="M1793" s="86"/>
      <c r="N1793" s="86"/>
      <c r="O1793" s="86"/>
      <c r="P1793" s="91">
        <v>17153.766</v>
      </c>
      <c r="Q1793" s="87">
        <f t="shared" ref="Q1793:Q1938" si="79">IF(W1793="",M1793*P1793*$Q$3*$W$3,M1793*P1793*$Q$3*W1793)</f>
        <v>0</v>
      </c>
      <c r="R1793" s="86"/>
      <c r="S1793" s="86"/>
      <c r="T1793" s="86"/>
      <c r="U1793" s="86"/>
      <c r="V1793" s="87">
        <f t="shared" si="78"/>
        <v>0</v>
      </c>
      <c r="W1793" s="88"/>
      <c r="X1793" s="89"/>
    </row>
    <row r="1794" spans="1:24" s="90" customFormat="1" ht="12" hidden="1" customHeight="1">
      <c r="A1794" s="83" t="s">
        <v>3520</v>
      </c>
      <c r="B1794" s="83"/>
      <c r="C1794" s="83"/>
      <c r="D1794" s="83"/>
      <c r="E1794" s="83"/>
      <c r="F1794" s="83"/>
      <c r="G1794" s="83"/>
      <c r="H1794" s="83"/>
      <c r="I1794" s="84" t="s">
        <v>1974</v>
      </c>
      <c r="J1794" s="84" t="s">
        <v>1975</v>
      </c>
      <c r="K1794" s="85" t="s">
        <v>3627</v>
      </c>
      <c r="L1794" s="85" t="s">
        <v>0</v>
      </c>
      <c r="M1794" s="86"/>
      <c r="N1794" s="86"/>
      <c r="O1794" s="86"/>
      <c r="P1794" s="91">
        <v>10618.998</v>
      </c>
      <c r="Q1794" s="87">
        <f t="shared" si="79"/>
        <v>0</v>
      </c>
      <c r="R1794" s="86"/>
      <c r="S1794" s="86"/>
      <c r="T1794" s="86"/>
      <c r="U1794" s="86"/>
      <c r="V1794" s="87">
        <f t="shared" si="78"/>
        <v>0</v>
      </c>
      <c r="W1794" s="88"/>
      <c r="X1794" s="89"/>
    </row>
    <row r="1795" spans="1:24" s="90" customFormat="1" ht="12" hidden="1" customHeight="1">
      <c r="A1795" s="83" t="s">
        <v>3521</v>
      </c>
      <c r="B1795" s="83"/>
      <c r="C1795" s="83"/>
      <c r="D1795" s="83"/>
      <c r="E1795" s="83"/>
      <c r="F1795" s="83"/>
      <c r="G1795" s="83"/>
      <c r="H1795" s="83"/>
      <c r="I1795" s="84" t="s">
        <v>1976</v>
      </c>
      <c r="J1795" s="84" t="s">
        <v>3522</v>
      </c>
      <c r="K1795" s="85" t="s">
        <v>3628</v>
      </c>
      <c r="L1795" s="85" t="s">
        <v>0</v>
      </c>
      <c r="M1795" s="86"/>
      <c r="N1795" s="86"/>
      <c r="O1795" s="86"/>
      <c r="P1795" s="91">
        <v>11435.843999999999</v>
      </c>
      <c r="Q1795" s="87">
        <f t="shared" si="79"/>
        <v>0</v>
      </c>
      <c r="R1795" s="86"/>
      <c r="S1795" s="86"/>
      <c r="T1795" s="86"/>
      <c r="U1795" s="86"/>
      <c r="V1795" s="87">
        <f t="shared" si="78"/>
        <v>0</v>
      </c>
      <c r="W1795" s="88"/>
      <c r="X1795" s="89"/>
    </row>
    <row r="1796" spans="1:24" s="90" customFormat="1" ht="12" hidden="1" customHeight="1">
      <c r="A1796" s="83" t="s">
        <v>3523</v>
      </c>
      <c r="B1796" s="83"/>
      <c r="C1796" s="83"/>
      <c r="D1796" s="83"/>
      <c r="E1796" s="83"/>
      <c r="F1796" s="83"/>
      <c r="G1796" s="83"/>
      <c r="H1796" s="83"/>
      <c r="I1796" s="84" t="s">
        <v>1977</v>
      </c>
      <c r="J1796" s="84" t="s">
        <v>3524</v>
      </c>
      <c r="K1796" s="85" t="s">
        <v>3629</v>
      </c>
      <c r="L1796" s="85" t="s">
        <v>0</v>
      </c>
      <c r="M1796" s="86"/>
      <c r="N1796" s="86"/>
      <c r="O1796" s="86"/>
      <c r="P1796" s="91">
        <v>13069.536</v>
      </c>
      <c r="Q1796" s="87">
        <f t="shared" si="79"/>
        <v>0</v>
      </c>
      <c r="R1796" s="86"/>
      <c r="S1796" s="86"/>
      <c r="T1796" s="86"/>
      <c r="U1796" s="86"/>
      <c r="V1796" s="87">
        <f t="shared" si="78"/>
        <v>0</v>
      </c>
      <c r="W1796" s="88"/>
      <c r="X1796" s="89"/>
    </row>
    <row r="1797" spans="1:24" s="90" customFormat="1" ht="12" hidden="1" customHeight="1">
      <c r="A1797" s="83" t="s">
        <v>3525</v>
      </c>
      <c r="B1797" s="83"/>
      <c r="C1797" s="83"/>
      <c r="D1797" s="83"/>
      <c r="E1797" s="83"/>
      <c r="F1797" s="83"/>
      <c r="G1797" s="83"/>
      <c r="H1797" s="83"/>
      <c r="I1797" s="84" t="s">
        <v>3526</v>
      </c>
      <c r="J1797" s="84" t="s">
        <v>3527</v>
      </c>
      <c r="K1797" s="85" t="s">
        <v>3630</v>
      </c>
      <c r="L1797" s="85" t="s">
        <v>0</v>
      </c>
      <c r="M1797" s="86"/>
      <c r="N1797" s="86"/>
      <c r="O1797" s="86"/>
      <c r="P1797" s="91">
        <v>14703.227999999999</v>
      </c>
      <c r="Q1797" s="87">
        <f t="shared" si="79"/>
        <v>0</v>
      </c>
      <c r="R1797" s="86"/>
      <c r="S1797" s="86"/>
      <c r="T1797" s="86"/>
      <c r="U1797" s="86"/>
      <c r="V1797" s="87">
        <f t="shared" si="78"/>
        <v>0</v>
      </c>
      <c r="W1797" s="88"/>
      <c r="X1797" s="89"/>
    </row>
    <row r="1798" spans="1:24" s="90" customFormat="1" ht="12" hidden="1" customHeight="1">
      <c r="A1798" s="83" t="s">
        <v>3528</v>
      </c>
      <c r="B1798" s="83"/>
      <c r="C1798" s="83"/>
      <c r="D1798" s="83"/>
      <c r="E1798" s="83"/>
      <c r="F1798" s="83"/>
      <c r="G1798" s="83"/>
      <c r="H1798" s="83"/>
      <c r="I1798" s="84" t="s">
        <v>3529</v>
      </c>
      <c r="J1798" s="84" t="s">
        <v>3530</v>
      </c>
      <c r="K1798" s="85" t="s">
        <v>3631</v>
      </c>
      <c r="L1798" s="85" t="s">
        <v>0</v>
      </c>
      <c r="M1798" s="86"/>
      <c r="N1798" s="86"/>
      <c r="O1798" s="86"/>
      <c r="P1798" s="91">
        <v>18515.175999999999</v>
      </c>
      <c r="Q1798" s="87">
        <f t="shared" si="79"/>
        <v>0</v>
      </c>
      <c r="R1798" s="86"/>
      <c r="S1798" s="86"/>
      <c r="T1798" s="86"/>
      <c r="U1798" s="86"/>
      <c r="V1798" s="87">
        <f t="shared" si="78"/>
        <v>0</v>
      </c>
      <c r="W1798" s="88"/>
      <c r="X1798" s="89"/>
    </row>
    <row r="1799" spans="1:24" s="90" customFormat="1" ht="12" hidden="1" customHeight="1">
      <c r="A1799" s="83" t="s">
        <v>3531</v>
      </c>
      <c r="B1799" s="83"/>
      <c r="C1799" s="83"/>
      <c r="D1799" s="83"/>
      <c r="E1799" s="83"/>
      <c r="F1799" s="83"/>
      <c r="G1799" s="83"/>
      <c r="H1799" s="83"/>
      <c r="I1799" s="84" t="s">
        <v>1978</v>
      </c>
      <c r="J1799" s="84" t="s">
        <v>1979</v>
      </c>
      <c r="K1799" s="85" t="s">
        <v>3627</v>
      </c>
      <c r="L1799" s="85" t="s">
        <v>0</v>
      </c>
      <c r="M1799" s="86"/>
      <c r="N1799" s="86"/>
      <c r="O1799" s="86"/>
      <c r="P1799" s="91">
        <v>11435.843999999999</v>
      </c>
      <c r="Q1799" s="87">
        <f t="shared" si="79"/>
        <v>0</v>
      </c>
      <c r="R1799" s="86"/>
      <c r="S1799" s="86"/>
      <c r="T1799" s="86"/>
      <c r="U1799" s="86"/>
      <c r="V1799" s="87">
        <f t="shared" si="78"/>
        <v>0</v>
      </c>
      <c r="W1799" s="88"/>
      <c r="X1799" s="89"/>
    </row>
    <row r="1800" spans="1:24" s="90" customFormat="1" ht="12" hidden="1" customHeight="1">
      <c r="A1800" s="83" t="s">
        <v>3532</v>
      </c>
      <c r="B1800" s="83"/>
      <c r="C1800" s="83"/>
      <c r="D1800" s="83"/>
      <c r="E1800" s="83"/>
      <c r="F1800" s="83"/>
      <c r="G1800" s="83"/>
      <c r="H1800" s="83"/>
      <c r="I1800" s="84" t="s">
        <v>1980</v>
      </c>
      <c r="J1800" s="84" t="s">
        <v>3533</v>
      </c>
      <c r="K1800" s="85" t="s">
        <v>3628</v>
      </c>
      <c r="L1800" s="85" t="s">
        <v>0</v>
      </c>
      <c r="M1800" s="86"/>
      <c r="N1800" s="86"/>
      <c r="O1800" s="86"/>
      <c r="P1800" s="91">
        <v>12524.972</v>
      </c>
      <c r="Q1800" s="87">
        <f t="shared" si="79"/>
        <v>0</v>
      </c>
      <c r="R1800" s="86"/>
      <c r="S1800" s="86"/>
      <c r="T1800" s="86"/>
      <c r="U1800" s="86"/>
      <c r="V1800" s="87">
        <f t="shared" si="78"/>
        <v>0</v>
      </c>
      <c r="W1800" s="88"/>
      <c r="X1800" s="89"/>
    </row>
    <row r="1801" spans="1:24" s="90" customFormat="1" ht="12" hidden="1" customHeight="1">
      <c r="A1801" s="83" t="s">
        <v>3534</v>
      </c>
      <c r="B1801" s="83"/>
      <c r="C1801" s="83"/>
      <c r="D1801" s="83"/>
      <c r="E1801" s="83"/>
      <c r="F1801" s="83"/>
      <c r="G1801" s="83"/>
      <c r="H1801" s="83"/>
      <c r="I1801" s="84" t="s">
        <v>1981</v>
      </c>
      <c r="J1801" s="84" t="s">
        <v>3535</v>
      </c>
      <c r="K1801" s="85" t="s">
        <v>3629</v>
      </c>
      <c r="L1801" s="85" t="s">
        <v>0</v>
      </c>
      <c r="M1801" s="86"/>
      <c r="N1801" s="86"/>
      <c r="O1801" s="86"/>
      <c r="P1801" s="91">
        <v>14158.664000000001</v>
      </c>
      <c r="Q1801" s="87">
        <f t="shared" si="79"/>
        <v>0</v>
      </c>
      <c r="R1801" s="86"/>
      <c r="S1801" s="86"/>
      <c r="T1801" s="86"/>
      <c r="U1801" s="86"/>
      <c r="V1801" s="87">
        <f t="shared" si="78"/>
        <v>0</v>
      </c>
      <c r="W1801" s="88"/>
      <c r="X1801" s="89"/>
    </row>
    <row r="1802" spans="1:24" s="90" customFormat="1" ht="12" hidden="1" customHeight="1">
      <c r="A1802" s="83" t="s">
        <v>3536</v>
      </c>
      <c r="B1802" s="83"/>
      <c r="C1802" s="83"/>
      <c r="D1802" s="83"/>
      <c r="E1802" s="83"/>
      <c r="F1802" s="83"/>
      <c r="G1802" s="83"/>
      <c r="H1802" s="83"/>
      <c r="I1802" s="84" t="s">
        <v>3537</v>
      </c>
      <c r="J1802" s="84" t="s">
        <v>3538</v>
      </c>
      <c r="K1802" s="85" t="s">
        <v>3630</v>
      </c>
      <c r="L1802" s="85" t="s">
        <v>0</v>
      </c>
      <c r="M1802" s="86"/>
      <c r="N1802" s="86"/>
      <c r="O1802" s="86"/>
      <c r="P1802" s="91">
        <v>15792.356</v>
      </c>
      <c r="Q1802" s="87">
        <f t="shared" si="79"/>
        <v>0</v>
      </c>
      <c r="R1802" s="86"/>
      <c r="S1802" s="86"/>
      <c r="T1802" s="86"/>
      <c r="U1802" s="86"/>
      <c r="V1802" s="87">
        <f t="shared" si="78"/>
        <v>0</v>
      </c>
      <c r="W1802" s="88"/>
      <c r="X1802" s="89"/>
    </row>
    <row r="1803" spans="1:24" s="90" customFormat="1" ht="12" hidden="1" customHeight="1">
      <c r="A1803" s="83" t="s">
        <v>3539</v>
      </c>
      <c r="B1803" s="83"/>
      <c r="C1803" s="83"/>
      <c r="D1803" s="83"/>
      <c r="E1803" s="83"/>
      <c r="F1803" s="83"/>
      <c r="G1803" s="83"/>
      <c r="H1803" s="83"/>
      <c r="I1803" s="84" t="s">
        <v>3540</v>
      </c>
      <c r="J1803" s="84" t="s">
        <v>3541</v>
      </c>
      <c r="K1803" s="85" t="s">
        <v>3631</v>
      </c>
      <c r="L1803" s="85" t="s">
        <v>0</v>
      </c>
      <c r="M1803" s="86"/>
      <c r="N1803" s="86"/>
      <c r="O1803" s="86"/>
      <c r="P1803" s="91">
        <v>19876.585999999999</v>
      </c>
      <c r="Q1803" s="87">
        <f t="shared" si="79"/>
        <v>0</v>
      </c>
      <c r="R1803" s="86"/>
      <c r="S1803" s="86"/>
      <c r="T1803" s="86"/>
      <c r="U1803" s="86"/>
      <c r="V1803" s="87">
        <f t="shared" si="78"/>
        <v>0</v>
      </c>
      <c r="W1803" s="88"/>
      <c r="X1803" s="89"/>
    </row>
    <row r="1804" spans="1:24" s="90" customFormat="1" ht="12" hidden="1" customHeight="1">
      <c r="A1804" s="83" t="s">
        <v>2382</v>
      </c>
      <c r="B1804" s="83"/>
      <c r="C1804" s="83"/>
      <c r="D1804" s="83"/>
      <c r="E1804" s="83"/>
      <c r="F1804" s="83"/>
      <c r="G1804" s="83"/>
      <c r="H1804" s="83"/>
      <c r="I1804" s="84" t="s">
        <v>1982</v>
      </c>
      <c r="J1804" s="84" t="s">
        <v>1531</v>
      </c>
      <c r="K1804" s="85" t="s">
        <v>3627</v>
      </c>
      <c r="L1804" s="85" t="s">
        <v>0</v>
      </c>
      <c r="M1804" s="86"/>
      <c r="N1804" s="86"/>
      <c r="O1804" s="86"/>
      <c r="P1804" s="91">
        <v>13069.536</v>
      </c>
      <c r="Q1804" s="87">
        <f t="shared" si="79"/>
        <v>0</v>
      </c>
      <c r="R1804" s="86"/>
      <c r="S1804" s="86"/>
      <c r="T1804" s="86"/>
      <c r="U1804" s="86"/>
      <c r="V1804" s="87">
        <f t="shared" si="78"/>
        <v>0</v>
      </c>
      <c r="W1804" s="88"/>
      <c r="X1804" s="89"/>
    </row>
    <row r="1805" spans="1:24" s="90" customFormat="1" ht="12" hidden="1" customHeight="1">
      <c r="A1805" s="83" t="s">
        <v>2383</v>
      </c>
      <c r="B1805" s="83"/>
      <c r="C1805" s="83"/>
      <c r="D1805" s="83"/>
      <c r="E1805" s="83"/>
      <c r="F1805" s="83"/>
      <c r="G1805" s="83"/>
      <c r="H1805" s="83"/>
      <c r="I1805" s="84" t="s">
        <v>1983</v>
      </c>
      <c r="J1805" s="84" t="s">
        <v>2384</v>
      </c>
      <c r="K1805" s="85" t="s">
        <v>3628</v>
      </c>
      <c r="L1805" s="85" t="s">
        <v>0</v>
      </c>
      <c r="M1805" s="86"/>
      <c r="N1805" s="86"/>
      <c r="O1805" s="86"/>
      <c r="P1805" s="91">
        <v>14158.664000000001</v>
      </c>
      <c r="Q1805" s="87">
        <f t="shared" si="79"/>
        <v>0</v>
      </c>
      <c r="R1805" s="86"/>
      <c r="S1805" s="86"/>
      <c r="T1805" s="86"/>
      <c r="U1805" s="86"/>
      <c r="V1805" s="87">
        <f t="shared" si="78"/>
        <v>0</v>
      </c>
      <c r="W1805" s="88"/>
      <c r="X1805" s="89"/>
    </row>
    <row r="1806" spans="1:24" s="90" customFormat="1" ht="12" hidden="1" customHeight="1">
      <c r="A1806" s="83" t="s">
        <v>3542</v>
      </c>
      <c r="B1806" s="83"/>
      <c r="C1806" s="83"/>
      <c r="D1806" s="83"/>
      <c r="E1806" s="83"/>
      <c r="F1806" s="83"/>
      <c r="G1806" s="83"/>
      <c r="H1806" s="83"/>
      <c r="I1806" s="84" t="s">
        <v>1984</v>
      </c>
      <c r="J1806" s="84" t="s">
        <v>3543</v>
      </c>
      <c r="K1806" s="85" t="s">
        <v>3629</v>
      </c>
      <c r="L1806" s="85" t="s">
        <v>0</v>
      </c>
      <c r="M1806" s="86"/>
      <c r="N1806" s="86"/>
      <c r="O1806" s="86"/>
      <c r="P1806" s="91">
        <v>16064.638000000001</v>
      </c>
      <c r="Q1806" s="87">
        <f t="shared" si="79"/>
        <v>0</v>
      </c>
      <c r="R1806" s="86"/>
      <c r="S1806" s="86"/>
      <c r="T1806" s="86"/>
      <c r="U1806" s="86"/>
      <c r="V1806" s="87">
        <f t="shared" si="78"/>
        <v>0</v>
      </c>
      <c r="W1806" s="88"/>
      <c r="X1806" s="89"/>
    </row>
    <row r="1807" spans="1:24" s="90" customFormat="1" ht="12" hidden="1" customHeight="1">
      <c r="A1807" s="83" t="s">
        <v>3544</v>
      </c>
      <c r="B1807" s="83"/>
      <c r="C1807" s="83"/>
      <c r="D1807" s="83"/>
      <c r="E1807" s="83"/>
      <c r="F1807" s="83"/>
      <c r="G1807" s="83"/>
      <c r="H1807" s="83"/>
      <c r="I1807" s="84" t="s">
        <v>3545</v>
      </c>
      <c r="J1807" s="84" t="s">
        <v>3546</v>
      </c>
      <c r="K1807" s="85" t="s">
        <v>3630</v>
      </c>
      <c r="L1807" s="85" t="s">
        <v>0</v>
      </c>
      <c r="M1807" s="86"/>
      <c r="N1807" s="86"/>
      <c r="O1807" s="86"/>
      <c r="P1807" s="91">
        <v>18242.894</v>
      </c>
      <c r="Q1807" s="87">
        <f t="shared" si="79"/>
        <v>0</v>
      </c>
      <c r="R1807" s="86"/>
      <c r="S1807" s="86"/>
      <c r="T1807" s="86"/>
      <c r="U1807" s="86"/>
      <c r="V1807" s="87">
        <f t="shared" si="78"/>
        <v>0</v>
      </c>
      <c r="W1807" s="88"/>
      <c r="X1807" s="89"/>
    </row>
    <row r="1808" spans="1:24" s="90" customFormat="1" ht="12" hidden="1" customHeight="1">
      <c r="A1808" s="83" t="s">
        <v>3547</v>
      </c>
      <c r="B1808" s="83"/>
      <c r="C1808" s="83"/>
      <c r="D1808" s="83"/>
      <c r="E1808" s="83"/>
      <c r="F1808" s="83"/>
      <c r="G1808" s="83"/>
      <c r="H1808" s="83"/>
      <c r="I1808" s="84" t="s">
        <v>3548</v>
      </c>
      <c r="J1808" s="84" t="s">
        <v>3549</v>
      </c>
      <c r="K1808" s="85" t="s">
        <v>3631</v>
      </c>
      <c r="L1808" s="85" t="s">
        <v>0</v>
      </c>
      <c r="M1808" s="86"/>
      <c r="N1808" s="86"/>
      <c r="O1808" s="86"/>
      <c r="P1808" s="91">
        <v>22871.687999999998</v>
      </c>
      <c r="Q1808" s="87">
        <f t="shared" si="79"/>
        <v>0</v>
      </c>
      <c r="R1808" s="86"/>
      <c r="S1808" s="86"/>
      <c r="T1808" s="86"/>
      <c r="U1808" s="86"/>
      <c r="V1808" s="87">
        <f t="shared" si="78"/>
        <v>0</v>
      </c>
      <c r="W1808" s="88"/>
      <c r="X1808" s="89"/>
    </row>
    <row r="1809" spans="1:24" s="90" customFormat="1" ht="12" hidden="1" customHeight="1">
      <c r="A1809" s="148" t="s">
        <v>4080</v>
      </c>
      <c r="B1809" s="148"/>
      <c r="C1809" s="148"/>
      <c r="D1809" s="148"/>
      <c r="E1809" s="148"/>
      <c r="F1809" s="148"/>
      <c r="G1809" s="148"/>
      <c r="H1809" s="148"/>
      <c r="I1809" s="149" t="s">
        <v>4081</v>
      </c>
      <c r="J1809" s="149" t="s">
        <v>4718</v>
      </c>
      <c r="K1809" s="65" t="s">
        <v>4202</v>
      </c>
      <c r="L1809" s="149" t="s">
        <v>974</v>
      </c>
      <c r="M1809" s="104"/>
      <c r="N1809" s="104"/>
      <c r="O1809" s="104"/>
      <c r="P1809" s="150">
        <v>1558277</v>
      </c>
      <c r="Q1809" s="87">
        <f t="shared" si="79"/>
        <v>0</v>
      </c>
      <c r="R1809" s="86"/>
      <c r="S1809" s="86"/>
      <c r="T1809" s="86"/>
      <c r="U1809" s="86"/>
      <c r="V1809" s="87">
        <f t="shared" si="78"/>
        <v>0</v>
      </c>
      <c r="W1809" s="88"/>
      <c r="X1809" s="89"/>
    </row>
    <row r="1810" spans="1:24" s="90" customFormat="1" ht="12" hidden="1" customHeight="1">
      <c r="A1810" s="83" t="s">
        <v>2430</v>
      </c>
      <c r="B1810" s="83"/>
      <c r="C1810" s="83"/>
      <c r="D1810" s="83"/>
      <c r="E1810" s="83"/>
      <c r="F1810" s="83"/>
      <c r="G1810" s="83"/>
      <c r="H1810" s="83"/>
      <c r="I1810" s="84" t="s">
        <v>2193</v>
      </c>
      <c r="J1810" s="84" t="s">
        <v>3550</v>
      </c>
      <c r="K1810" s="84" t="s">
        <v>3551</v>
      </c>
      <c r="L1810" s="84" t="s">
        <v>977</v>
      </c>
      <c r="M1810" s="86"/>
      <c r="N1810" s="86"/>
      <c r="O1810" s="86"/>
      <c r="P1810" s="91">
        <v>1428992.4</v>
      </c>
      <c r="Q1810" s="87">
        <f t="shared" si="79"/>
        <v>0</v>
      </c>
      <c r="R1810" s="86"/>
      <c r="S1810" s="86"/>
      <c r="T1810" s="86"/>
      <c r="U1810" s="86"/>
      <c r="V1810" s="87">
        <f t="shared" si="78"/>
        <v>0</v>
      </c>
      <c r="W1810" s="88"/>
      <c r="X1810" s="89"/>
    </row>
    <row r="1811" spans="1:24" s="90" customFormat="1" ht="12" hidden="1" customHeight="1">
      <c r="A1811" s="83" t="s">
        <v>2431</v>
      </c>
      <c r="B1811" s="83"/>
      <c r="C1811" s="83"/>
      <c r="D1811" s="83"/>
      <c r="E1811" s="83"/>
      <c r="F1811" s="83"/>
      <c r="G1811" s="83"/>
      <c r="H1811" s="83"/>
      <c r="I1811" s="84" t="s">
        <v>2432</v>
      </c>
      <c r="J1811" s="84" t="s">
        <v>2433</v>
      </c>
      <c r="K1811" s="84" t="s">
        <v>2434</v>
      </c>
      <c r="L1811" s="84" t="s">
        <v>977</v>
      </c>
      <c r="M1811" s="86"/>
      <c r="N1811" s="86"/>
      <c r="O1811" s="86"/>
      <c r="P1811" s="91">
        <v>1818428.1</v>
      </c>
      <c r="Q1811" s="87">
        <f t="shared" si="79"/>
        <v>0</v>
      </c>
      <c r="R1811" s="86"/>
      <c r="S1811" s="86"/>
      <c r="T1811" s="86"/>
      <c r="U1811" s="86"/>
      <c r="V1811" s="87">
        <f t="shared" si="78"/>
        <v>0</v>
      </c>
      <c r="W1811" s="88"/>
      <c r="X1811" s="89"/>
    </row>
    <row r="1812" spans="1:24" s="90" customFormat="1" ht="12" hidden="1" customHeight="1">
      <c r="A1812" s="83" t="s">
        <v>2435</v>
      </c>
      <c r="B1812" s="83"/>
      <c r="C1812" s="83"/>
      <c r="D1812" s="83"/>
      <c r="E1812" s="83"/>
      <c r="F1812" s="83"/>
      <c r="G1812" s="83"/>
      <c r="H1812" s="83"/>
      <c r="I1812" s="84" t="s">
        <v>2436</v>
      </c>
      <c r="J1812" s="84" t="s">
        <v>2437</v>
      </c>
      <c r="K1812" s="84" t="s">
        <v>2438</v>
      </c>
      <c r="L1812" s="84" t="s">
        <v>20</v>
      </c>
      <c r="M1812" s="86"/>
      <c r="N1812" s="86"/>
      <c r="O1812" s="86"/>
      <c r="P1812" s="91">
        <v>16840.785</v>
      </c>
      <c r="Q1812" s="87">
        <f t="shared" si="79"/>
        <v>0</v>
      </c>
      <c r="R1812" s="86"/>
      <c r="S1812" s="86"/>
      <c r="T1812" s="86"/>
      <c r="U1812" s="86"/>
      <c r="V1812" s="87">
        <f t="shared" si="78"/>
        <v>0</v>
      </c>
      <c r="W1812" s="88"/>
      <c r="X1812" s="89"/>
    </row>
    <row r="1813" spans="1:24" s="90" customFormat="1" ht="12" hidden="1" customHeight="1">
      <c r="A1813" s="83" t="s">
        <v>2439</v>
      </c>
      <c r="B1813" s="83"/>
      <c r="C1813" s="83"/>
      <c r="D1813" s="83"/>
      <c r="E1813" s="83"/>
      <c r="F1813" s="83"/>
      <c r="G1813" s="83"/>
      <c r="H1813" s="83"/>
      <c r="I1813" s="84" t="s">
        <v>2139</v>
      </c>
      <c r="J1813" s="84" t="s">
        <v>2440</v>
      </c>
      <c r="K1813" s="84" t="s">
        <v>2441</v>
      </c>
      <c r="L1813" s="84" t="s">
        <v>20</v>
      </c>
      <c r="M1813" s="86"/>
      <c r="N1813" s="86"/>
      <c r="O1813" s="86"/>
      <c r="P1813" s="91">
        <v>20727.12</v>
      </c>
      <c r="Q1813" s="87">
        <f t="shared" si="79"/>
        <v>0</v>
      </c>
      <c r="R1813" s="86"/>
      <c r="S1813" s="86"/>
      <c r="T1813" s="86"/>
      <c r="U1813" s="86"/>
      <c r="V1813" s="87">
        <f t="shared" si="78"/>
        <v>0</v>
      </c>
      <c r="W1813" s="88"/>
      <c r="X1813" s="89"/>
    </row>
    <row r="1814" spans="1:24" s="90" customFormat="1" ht="12" hidden="1" customHeight="1">
      <c r="A1814" s="83" t="s">
        <v>972</v>
      </c>
      <c r="B1814" s="83"/>
      <c r="C1814" s="83"/>
      <c r="D1814" s="83"/>
      <c r="E1814" s="83"/>
      <c r="F1814" s="83"/>
      <c r="G1814" s="83"/>
      <c r="H1814" s="83"/>
      <c r="I1814" s="84" t="s">
        <v>2171</v>
      </c>
      <c r="J1814" s="84" t="s">
        <v>1548</v>
      </c>
      <c r="K1814" s="84" t="s">
        <v>1549</v>
      </c>
      <c r="L1814" s="84" t="s">
        <v>20</v>
      </c>
      <c r="M1814" s="86"/>
      <c r="N1814" s="86"/>
      <c r="O1814" s="86"/>
      <c r="P1814" s="91">
        <v>22022.564999999999</v>
      </c>
      <c r="Q1814" s="87">
        <f t="shared" si="79"/>
        <v>0</v>
      </c>
      <c r="R1814" s="86"/>
      <c r="S1814" s="86"/>
      <c r="T1814" s="86"/>
      <c r="U1814" s="86"/>
      <c r="V1814" s="87">
        <f t="shared" si="78"/>
        <v>0</v>
      </c>
      <c r="W1814" s="88"/>
      <c r="X1814" s="89"/>
    </row>
    <row r="1815" spans="1:24" s="90" customFormat="1" ht="12" hidden="1" customHeight="1">
      <c r="A1815" s="83" t="s">
        <v>2442</v>
      </c>
      <c r="B1815" s="83"/>
      <c r="C1815" s="83"/>
      <c r="D1815" s="83"/>
      <c r="E1815" s="83"/>
      <c r="F1815" s="83"/>
      <c r="G1815" s="83"/>
      <c r="H1815" s="83"/>
      <c r="I1815" s="84" t="s">
        <v>2179</v>
      </c>
      <c r="J1815" s="84" t="s">
        <v>1550</v>
      </c>
      <c r="K1815" s="84" t="s">
        <v>1551</v>
      </c>
      <c r="L1815" s="84" t="s">
        <v>20</v>
      </c>
      <c r="M1815" s="86"/>
      <c r="N1815" s="86"/>
      <c r="O1815" s="86"/>
      <c r="P1815" s="91">
        <v>28499.79</v>
      </c>
      <c r="Q1815" s="87">
        <f t="shared" si="79"/>
        <v>0</v>
      </c>
      <c r="R1815" s="86"/>
      <c r="S1815" s="86"/>
      <c r="T1815" s="86"/>
      <c r="U1815" s="86"/>
      <c r="V1815" s="87">
        <f t="shared" si="78"/>
        <v>0</v>
      </c>
      <c r="W1815" s="88"/>
      <c r="X1815" s="89"/>
    </row>
    <row r="1816" spans="1:24" s="90" customFormat="1" ht="12" hidden="1" customHeight="1">
      <c r="A1816" s="83" t="s">
        <v>2443</v>
      </c>
      <c r="B1816" s="83"/>
      <c r="C1816" s="83"/>
      <c r="D1816" s="83"/>
      <c r="E1816" s="83"/>
      <c r="F1816" s="83"/>
      <c r="G1816" s="83"/>
      <c r="H1816" s="83"/>
      <c r="I1816" s="84" t="s">
        <v>2444</v>
      </c>
      <c r="J1816" s="84" t="s">
        <v>2445</v>
      </c>
      <c r="K1816" s="84" t="s">
        <v>2446</v>
      </c>
      <c r="L1816" s="84" t="s">
        <v>20</v>
      </c>
      <c r="M1816" s="86"/>
      <c r="N1816" s="86"/>
      <c r="O1816" s="86"/>
      <c r="P1816" s="91">
        <v>24872.544000000002</v>
      </c>
      <c r="Q1816" s="87">
        <f t="shared" si="79"/>
        <v>0</v>
      </c>
      <c r="R1816" s="86"/>
      <c r="S1816" s="86"/>
      <c r="T1816" s="86"/>
      <c r="U1816" s="86"/>
      <c r="V1816" s="87">
        <f t="shared" si="78"/>
        <v>0</v>
      </c>
      <c r="W1816" s="88"/>
      <c r="X1816" s="89"/>
    </row>
    <row r="1817" spans="1:24" s="90" customFormat="1" ht="12" hidden="1" customHeight="1">
      <c r="A1817" s="83" t="s">
        <v>2447</v>
      </c>
      <c r="B1817" s="83"/>
      <c r="C1817" s="83"/>
      <c r="D1817" s="83"/>
      <c r="E1817" s="83"/>
      <c r="F1817" s="83"/>
      <c r="G1817" s="83"/>
      <c r="H1817" s="83"/>
      <c r="I1817" s="84" t="s">
        <v>2448</v>
      </c>
      <c r="J1817" s="84" t="s">
        <v>2449</v>
      </c>
      <c r="K1817" s="84" t="s">
        <v>2450</v>
      </c>
      <c r="L1817" s="84" t="s">
        <v>20</v>
      </c>
      <c r="M1817" s="86"/>
      <c r="N1817" s="86"/>
      <c r="O1817" s="86"/>
      <c r="P1817" s="91">
        <v>24872.544000000002</v>
      </c>
      <c r="Q1817" s="87">
        <f t="shared" si="79"/>
        <v>0</v>
      </c>
      <c r="R1817" s="86"/>
      <c r="S1817" s="86"/>
      <c r="T1817" s="86"/>
      <c r="U1817" s="86"/>
      <c r="V1817" s="87">
        <f t="shared" si="78"/>
        <v>0</v>
      </c>
      <c r="W1817" s="88"/>
      <c r="X1817" s="89"/>
    </row>
    <row r="1818" spans="1:24" s="90" customFormat="1" ht="12" hidden="1" customHeight="1">
      <c r="A1818" s="83" t="s">
        <v>2451</v>
      </c>
      <c r="B1818" s="83"/>
      <c r="C1818" s="83"/>
      <c r="D1818" s="83"/>
      <c r="E1818" s="83"/>
      <c r="F1818" s="83"/>
      <c r="G1818" s="83"/>
      <c r="H1818" s="83"/>
      <c r="I1818" s="84" t="s">
        <v>2452</v>
      </c>
      <c r="J1818" s="84" t="s">
        <v>2453</v>
      </c>
      <c r="K1818" s="84" t="s">
        <v>2454</v>
      </c>
      <c r="L1818" s="84" t="s">
        <v>20</v>
      </c>
      <c r="M1818" s="86"/>
      <c r="N1818" s="86"/>
      <c r="O1818" s="86"/>
      <c r="P1818" s="91">
        <v>24872.544000000002</v>
      </c>
      <c r="Q1818" s="87">
        <f t="shared" si="79"/>
        <v>0</v>
      </c>
      <c r="R1818" s="86"/>
      <c r="S1818" s="86"/>
      <c r="T1818" s="86"/>
      <c r="U1818" s="86"/>
      <c r="V1818" s="87">
        <f t="shared" si="78"/>
        <v>0</v>
      </c>
      <c r="W1818" s="88"/>
      <c r="X1818" s="89"/>
    </row>
    <row r="1819" spans="1:24" s="90" customFormat="1" ht="12" hidden="1" customHeight="1">
      <c r="A1819" s="83" t="s">
        <v>2455</v>
      </c>
      <c r="B1819" s="83"/>
      <c r="C1819" s="83"/>
      <c r="D1819" s="83"/>
      <c r="E1819" s="83"/>
      <c r="F1819" s="83"/>
      <c r="G1819" s="83"/>
      <c r="H1819" s="83"/>
      <c r="I1819" s="84" t="s">
        <v>2456</v>
      </c>
      <c r="J1819" s="84" t="s">
        <v>2457</v>
      </c>
      <c r="K1819" s="84" t="s">
        <v>2438</v>
      </c>
      <c r="L1819" s="84" t="s">
        <v>20</v>
      </c>
      <c r="M1819" s="86"/>
      <c r="N1819" s="86"/>
      <c r="O1819" s="86"/>
      <c r="P1819" s="91">
        <v>24613.455000000002</v>
      </c>
      <c r="Q1819" s="87">
        <f t="shared" si="79"/>
        <v>0</v>
      </c>
      <c r="R1819" s="86"/>
      <c r="S1819" s="86"/>
      <c r="T1819" s="86"/>
      <c r="U1819" s="86"/>
      <c r="V1819" s="87">
        <f t="shared" si="78"/>
        <v>0</v>
      </c>
      <c r="W1819" s="88"/>
      <c r="X1819" s="89"/>
    </row>
    <row r="1820" spans="1:24" s="90" customFormat="1" ht="12" hidden="1" customHeight="1">
      <c r="A1820" s="83" t="s">
        <v>2458</v>
      </c>
      <c r="B1820" s="83"/>
      <c r="C1820" s="83"/>
      <c r="D1820" s="83"/>
      <c r="E1820" s="83"/>
      <c r="F1820" s="83"/>
      <c r="G1820" s="83"/>
      <c r="H1820" s="83"/>
      <c r="I1820" s="84" t="s">
        <v>2141</v>
      </c>
      <c r="J1820" s="84" t="s">
        <v>2459</v>
      </c>
      <c r="K1820" s="84" t="s">
        <v>1551</v>
      </c>
      <c r="L1820" s="84" t="s">
        <v>20</v>
      </c>
      <c r="M1820" s="86"/>
      <c r="N1820" s="86"/>
      <c r="O1820" s="86"/>
      <c r="P1820" s="91">
        <v>37567.904999999999</v>
      </c>
      <c r="Q1820" s="87">
        <f t="shared" si="79"/>
        <v>0</v>
      </c>
      <c r="R1820" s="86"/>
      <c r="S1820" s="86"/>
      <c r="T1820" s="86"/>
      <c r="U1820" s="86"/>
      <c r="V1820" s="87">
        <f t="shared" ref="V1820:V1964" si="80">SUM(O1820+Q1820)+S1820+U1820</f>
        <v>0</v>
      </c>
      <c r="W1820" s="88"/>
      <c r="X1820" s="89"/>
    </row>
    <row r="1821" spans="1:24" s="90" customFormat="1" ht="12" hidden="1" customHeight="1">
      <c r="A1821" s="83" t="s">
        <v>2460</v>
      </c>
      <c r="B1821" s="83"/>
      <c r="C1821" s="83"/>
      <c r="D1821" s="83"/>
      <c r="E1821" s="83"/>
      <c r="F1821" s="83"/>
      <c r="G1821" s="83"/>
      <c r="H1821" s="83"/>
      <c r="I1821" s="84" t="s">
        <v>2461</v>
      </c>
      <c r="J1821" s="84" t="s">
        <v>2462</v>
      </c>
      <c r="K1821" s="84" t="s">
        <v>2438</v>
      </c>
      <c r="L1821" s="84" t="s">
        <v>20</v>
      </c>
      <c r="M1821" s="86"/>
      <c r="N1821" s="86"/>
      <c r="O1821" s="86"/>
      <c r="P1821" s="91">
        <v>25908.9</v>
      </c>
      <c r="Q1821" s="87">
        <f t="shared" si="79"/>
        <v>0</v>
      </c>
      <c r="R1821" s="86"/>
      <c r="S1821" s="86"/>
      <c r="T1821" s="86"/>
      <c r="U1821" s="86"/>
      <c r="V1821" s="87">
        <f t="shared" si="80"/>
        <v>0</v>
      </c>
      <c r="W1821" s="88"/>
      <c r="X1821" s="89"/>
    </row>
    <row r="1822" spans="1:24" s="90" customFormat="1" ht="12" hidden="1" customHeight="1">
      <c r="A1822" s="92" t="s">
        <v>2463</v>
      </c>
      <c r="B1822" s="92"/>
      <c r="C1822" s="92"/>
      <c r="D1822" s="92"/>
      <c r="E1822" s="92"/>
      <c r="F1822" s="92"/>
      <c r="G1822" s="92"/>
      <c r="H1822" s="92"/>
      <c r="I1822" s="93" t="s">
        <v>2140</v>
      </c>
      <c r="J1822" s="93" t="s">
        <v>1552</v>
      </c>
      <c r="K1822" s="93" t="s">
        <v>1551</v>
      </c>
      <c r="L1822" s="93" t="s">
        <v>20</v>
      </c>
      <c r="M1822" s="86"/>
      <c r="N1822" s="86"/>
      <c r="O1822" s="86"/>
      <c r="P1822" s="95">
        <v>38863.35</v>
      </c>
      <c r="Q1822" s="87">
        <f t="shared" si="79"/>
        <v>0</v>
      </c>
      <c r="R1822" s="86"/>
      <c r="S1822" s="86"/>
      <c r="T1822" s="86"/>
      <c r="U1822" s="86"/>
      <c r="V1822" s="87">
        <f t="shared" si="80"/>
        <v>0</v>
      </c>
      <c r="W1822" s="88"/>
      <c r="X1822" s="89"/>
    </row>
    <row r="1823" spans="1:24" s="90" customFormat="1" ht="12" hidden="1" customHeight="1">
      <c r="A1823" s="92" t="s">
        <v>3774</v>
      </c>
      <c r="B1823" s="92"/>
      <c r="C1823" s="92"/>
      <c r="D1823" s="92"/>
      <c r="E1823" s="92"/>
      <c r="F1823" s="92"/>
      <c r="G1823" s="92"/>
      <c r="H1823" s="92"/>
      <c r="I1823" s="93" t="s">
        <v>3799</v>
      </c>
      <c r="J1823" s="93" t="s">
        <v>3800</v>
      </c>
      <c r="K1823" s="93" t="s">
        <v>3801</v>
      </c>
      <c r="L1823" s="93" t="s">
        <v>3797</v>
      </c>
      <c r="M1823" s="86"/>
      <c r="N1823" s="86"/>
      <c r="O1823" s="86"/>
      <c r="P1823" s="95">
        <v>98747.199999999997</v>
      </c>
      <c r="Q1823" s="87">
        <f t="shared" si="79"/>
        <v>0</v>
      </c>
      <c r="R1823" s="86"/>
      <c r="S1823" s="86"/>
      <c r="T1823" s="86"/>
      <c r="U1823" s="86"/>
      <c r="V1823" s="87">
        <f t="shared" si="80"/>
        <v>0</v>
      </c>
      <c r="W1823" s="88"/>
      <c r="X1823" s="89"/>
    </row>
    <row r="1824" spans="1:24" s="90" customFormat="1" ht="12" hidden="1" customHeight="1">
      <c r="A1824" s="92" t="s">
        <v>3775</v>
      </c>
      <c r="B1824" s="92"/>
      <c r="C1824" s="92"/>
      <c r="D1824" s="92"/>
      <c r="E1824" s="92"/>
      <c r="F1824" s="92"/>
      <c r="G1824" s="92"/>
      <c r="H1824" s="92"/>
      <c r="I1824" s="93" t="s">
        <v>3802</v>
      </c>
      <c r="J1824" s="93" t="s">
        <v>3803</v>
      </c>
      <c r="K1824" s="93" t="s">
        <v>3804</v>
      </c>
      <c r="L1824" s="93" t="s">
        <v>3797</v>
      </c>
      <c r="M1824" s="86"/>
      <c r="N1824" s="86"/>
      <c r="O1824" s="86"/>
      <c r="P1824" s="95">
        <v>148120.79999999999</v>
      </c>
      <c r="Q1824" s="87">
        <f t="shared" si="79"/>
        <v>0</v>
      </c>
      <c r="R1824" s="86"/>
      <c r="S1824" s="86"/>
      <c r="T1824" s="86"/>
      <c r="U1824" s="86"/>
      <c r="V1824" s="87">
        <f t="shared" si="80"/>
        <v>0</v>
      </c>
      <c r="W1824" s="88"/>
      <c r="X1824" s="89"/>
    </row>
    <row r="1825" spans="1:24" s="90" customFormat="1" ht="12" hidden="1" customHeight="1">
      <c r="A1825" s="92" t="s">
        <v>3776</v>
      </c>
      <c r="B1825" s="92"/>
      <c r="C1825" s="92"/>
      <c r="D1825" s="92"/>
      <c r="E1825" s="92"/>
      <c r="F1825" s="92"/>
      <c r="G1825" s="92"/>
      <c r="H1825" s="92"/>
      <c r="I1825" s="93" t="s">
        <v>3805</v>
      </c>
      <c r="J1825" s="93" t="s">
        <v>3806</v>
      </c>
      <c r="K1825" s="93" t="s">
        <v>3807</v>
      </c>
      <c r="L1825" s="93" t="s">
        <v>3797</v>
      </c>
      <c r="M1825" s="86"/>
      <c r="N1825" s="86"/>
      <c r="O1825" s="86"/>
      <c r="P1825" s="95">
        <v>246868</v>
      </c>
      <c r="Q1825" s="87">
        <f t="shared" si="79"/>
        <v>0</v>
      </c>
      <c r="R1825" s="86"/>
      <c r="S1825" s="86"/>
      <c r="T1825" s="86"/>
      <c r="U1825" s="86"/>
      <c r="V1825" s="87">
        <f t="shared" si="80"/>
        <v>0</v>
      </c>
      <c r="W1825" s="88"/>
      <c r="X1825" s="89"/>
    </row>
    <row r="1826" spans="1:24" s="90" customFormat="1" ht="12" hidden="1" customHeight="1">
      <c r="A1826" s="92" t="s">
        <v>3777</v>
      </c>
      <c r="B1826" s="92"/>
      <c r="C1826" s="92"/>
      <c r="D1826" s="92"/>
      <c r="E1826" s="92"/>
      <c r="F1826" s="92"/>
      <c r="G1826" s="92"/>
      <c r="H1826" s="92"/>
      <c r="I1826" s="93" t="s">
        <v>3808</v>
      </c>
      <c r="J1826" s="93" t="s">
        <v>3809</v>
      </c>
      <c r="K1826" s="93" t="s">
        <v>3810</v>
      </c>
      <c r="L1826" s="93" t="s">
        <v>3797</v>
      </c>
      <c r="M1826" s="86"/>
      <c r="N1826" s="86"/>
      <c r="O1826" s="86"/>
      <c r="P1826" s="95">
        <v>345615.2</v>
      </c>
      <c r="Q1826" s="87">
        <f t="shared" si="79"/>
        <v>0</v>
      </c>
      <c r="R1826" s="86"/>
      <c r="S1826" s="86"/>
      <c r="T1826" s="86"/>
      <c r="U1826" s="86"/>
      <c r="V1826" s="87">
        <f t="shared" si="80"/>
        <v>0</v>
      </c>
      <c r="W1826" s="88"/>
      <c r="X1826" s="89"/>
    </row>
    <row r="1827" spans="1:24" s="90" customFormat="1" ht="12" hidden="1" customHeight="1">
      <c r="A1827" s="92" t="s">
        <v>3778</v>
      </c>
      <c r="B1827" s="92"/>
      <c r="C1827" s="92"/>
      <c r="D1827" s="92"/>
      <c r="E1827" s="92"/>
      <c r="F1827" s="92"/>
      <c r="G1827" s="92"/>
      <c r="H1827" s="92"/>
      <c r="I1827" s="93" t="s">
        <v>3811</v>
      </c>
      <c r="J1827" s="93" t="s">
        <v>4218</v>
      </c>
      <c r="K1827" s="93" t="s">
        <v>3812</v>
      </c>
      <c r="L1827" s="93" t="s">
        <v>3798</v>
      </c>
      <c r="M1827" s="86"/>
      <c r="N1827" s="86"/>
      <c r="O1827" s="86"/>
      <c r="P1827" s="95">
        <v>11109.06</v>
      </c>
      <c r="Q1827" s="87">
        <f t="shared" si="79"/>
        <v>0</v>
      </c>
      <c r="R1827" s="86"/>
      <c r="S1827" s="86"/>
      <c r="T1827" s="86"/>
      <c r="U1827" s="86"/>
      <c r="V1827" s="87">
        <f t="shared" si="80"/>
        <v>0</v>
      </c>
      <c r="W1827" s="88"/>
      <c r="X1827" s="89"/>
    </row>
    <row r="1828" spans="1:24" s="90" customFormat="1" ht="12" hidden="1" customHeight="1">
      <c r="A1828" s="92" t="s">
        <v>3779</v>
      </c>
      <c r="B1828" s="92"/>
      <c r="C1828" s="92"/>
      <c r="D1828" s="92"/>
      <c r="E1828" s="92"/>
      <c r="F1828" s="92"/>
      <c r="G1828" s="92"/>
      <c r="H1828" s="92"/>
      <c r="I1828" s="93" t="s">
        <v>3813</v>
      </c>
      <c r="J1828" s="93" t="s">
        <v>3800</v>
      </c>
      <c r="K1828" s="93" t="s">
        <v>3793</v>
      </c>
      <c r="L1828" s="93" t="s">
        <v>3797</v>
      </c>
      <c r="M1828" s="86"/>
      <c r="N1828" s="86"/>
      <c r="O1828" s="86"/>
      <c r="P1828" s="95">
        <v>24686.799999999999</v>
      </c>
      <c r="Q1828" s="87">
        <f t="shared" si="79"/>
        <v>0</v>
      </c>
      <c r="R1828" s="86"/>
      <c r="S1828" s="86"/>
      <c r="T1828" s="86"/>
      <c r="U1828" s="86"/>
      <c r="V1828" s="87">
        <f t="shared" si="80"/>
        <v>0</v>
      </c>
      <c r="W1828" s="88"/>
      <c r="X1828" s="89"/>
    </row>
    <row r="1829" spans="1:24" s="90" customFormat="1" ht="12" hidden="1" customHeight="1">
      <c r="A1829" s="92" t="s">
        <v>3780</v>
      </c>
      <c r="B1829" s="92"/>
      <c r="C1829" s="92"/>
      <c r="D1829" s="92"/>
      <c r="E1829" s="92"/>
      <c r="F1829" s="92"/>
      <c r="G1829" s="92"/>
      <c r="H1829" s="92"/>
      <c r="I1829" s="93" t="s">
        <v>3814</v>
      </c>
      <c r="J1829" s="93" t="s">
        <v>3803</v>
      </c>
      <c r="K1829" s="93" t="s">
        <v>3794</v>
      </c>
      <c r="L1829" s="93" t="s">
        <v>3797</v>
      </c>
      <c r="M1829" s="86"/>
      <c r="N1829" s="86"/>
      <c r="O1829" s="86"/>
      <c r="P1829" s="95">
        <v>19749.439999999999</v>
      </c>
      <c r="Q1829" s="87">
        <f t="shared" si="79"/>
        <v>0</v>
      </c>
      <c r="R1829" s="86"/>
      <c r="S1829" s="86"/>
      <c r="T1829" s="86"/>
      <c r="U1829" s="86"/>
      <c r="V1829" s="87">
        <f t="shared" si="80"/>
        <v>0</v>
      </c>
      <c r="W1829" s="88"/>
      <c r="X1829" s="89"/>
    </row>
    <row r="1830" spans="1:24" s="90" customFormat="1" ht="12" hidden="1" customHeight="1">
      <c r="A1830" s="92" t="s">
        <v>3781</v>
      </c>
      <c r="B1830" s="92"/>
      <c r="C1830" s="92"/>
      <c r="D1830" s="92"/>
      <c r="E1830" s="92"/>
      <c r="F1830" s="92"/>
      <c r="G1830" s="92"/>
      <c r="H1830" s="92"/>
      <c r="I1830" s="93" t="s">
        <v>3815</v>
      </c>
      <c r="J1830" s="93" t="s">
        <v>3806</v>
      </c>
      <c r="K1830" s="93" t="s">
        <v>3816</v>
      </c>
      <c r="L1830" s="93" t="s">
        <v>3797</v>
      </c>
      <c r="M1830" s="86"/>
      <c r="N1830" s="86"/>
      <c r="O1830" s="86"/>
      <c r="P1830" s="95">
        <v>27155.48</v>
      </c>
      <c r="Q1830" s="87">
        <f t="shared" si="79"/>
        <v>0</v>
      </c>
      <c r="R1830" s="86"/>
      <c r="S1830" s="86"/>
      <c r="T1830" s="86"/>
      <c r="U1830" s="86"/>
      <c r="V1830" s="87">
        <f t="shared" si="80"/>
        <v>0</v>
      </c>
      <c r="W1830" s="88"/>
      <c r="X1830" s="89"/>
    </row>
    <row r="1831" spans="1:24" s="90" customFormat="1" ht="12" hidden="1" customHeight="1">
      <c r="A1831" s="92" t="s">
        <v>3782</v>
      </c>
      <c r="B1831" s="92"/>
      <c r="C1831" s="92"/>
      <c r="D1831" s="92"/>
      <c r="E1831" s="92"/>
      <c r="F1831" s="92"/>
      <c r="G1831" s="92"/>
      <c r="H1831" s="92"/>
      <c r="I1831" s="93" t="s">
        <v>3817</v>
      </c>
      <c r="J1831" s="93" t="s">
        <v>3809</v>
      </c>
      <c r="K1831" s="93" t="s">
        <v>3818</v>
      </c>
      <c r="L1831" s="93" t="s">
        <v>3797</v>
      </c>
      <c r="M1831" s="86"/>
      <c r="N1831" s="86"/>
      <c r="O1831" s="86"/>
      <c r="P1831" s="95">
        <v>24686.799999999999</v>
      </c>
      <c r="Q1831" s="87">
        <f t="shared" si="79"/>
        <v>0</v>
      </c>
      <c r="R1831" s="86"/>
      <c r="S1831" s="86"/>
      <c r="T1831" s="86"/>
      <c r="U1831" s="86"/>
      <c r="V1831" s="87">
        <f t="shared" si="80"/>
        <v>0</v>
      </c>
      <c r="W1831" s="88"/>
      <c r="X1831" s="89"/>
    </row>
    <row r="1832" spans="1:24" s="90" customFormat="1" ht="12" hidden="1" customHeight="1">
      <c r="A1832" s="92" t="s">
        <v>3783</v>
      </c>
      <c r="B1832" s="92"/>
      <c r="C1832" s="92"/>
      <c r="D1832" s="92"/>
      <c r="E1832" s="92"/>
      <c r="F1832" s="92"/>
      <c r="G1832" s="92"/>
      <c r="H1832" s="92"/>
      <c r="I1832" s="93" t="s">
        <v>3819</v>
      </c>
      <c r="J1832" s="93" t="s">
        <v>3800</v>
      </c>
      <c r="K1832" s="93" t="s">
        <v>3820</v>
      </c>
      <c r="L1832" s="93" t="s">
        <v>3797</v>
      </c>
      <c r="M1832" s="86"/>
      <c r="N1832" s="86"/>
      <c r="O1832" s="86"/>
      <c r="P1832" s="95">
        <v>49373.599999999999</v>
      </c>
      <c r="Q1832" s="87">
        <f t="shared" si="79"/>
        <v>0</v>
      </c>
      <c r="R1832" s="86"/>
      <c r="S1832" s="86"/>
      <c r="T1832" s="86"/>
      <c r="U1832" s="86"/>
      <c r="V1832" s="87">
        <f t="shared" si="80"/>
        <v>0</v>
      </c>
      <c r="W1832" s="88"/>
      <c r="X1832" s="89"/>
    </row>
    <row r="1833" spans="1:24" s="90" customFormat="1" ht="12" hidden="1" customHeight="1">
      <c r="A1833" s="92" t="s">
        <v>3784</v>
      </c>
      <c r="B1833" s="92"/>
      <c r="C1833" s="92"/>
      <c r="D1833" s="92"/>
      <c r="E1833" s="92"/>
      <c r="F1833" s="92"/>
      <c r="G1833" s="92"/>
      <c r="H1833" s="92"/>
      <c r="I1833" s="93" t="s">
        <v>3821</v>
      </c>
      <c r="J1833" s="93" t="s">
        <v>3803</v>
      </c>
      <c r="K1833" s="93" t="s">
        <v>3822</v>
      </c>
      <c r="L1833" s="93" t="s">
        <v>3797</v>
      </c>
      <c r="M1833" s="86"/>
      <c r="N1833" s="86"/>
      <c r="O1833" s="86"/>
      <c r="P1833" s="95">
        <v>123434</v>
      </c>
      <c r="Q1833" s="87">
        <f t="shared" si="79"/>
        <v>0</v>
      </c>
      <c r="R1833" s="86"/>
      <c r="S1833" s="86"/>
      <c r="T1833" s="86"/>
      <c r="U1833" s="86"/>
      <c r="V1833" s="87">
        <f t="shared" si="80"/>
        <v>0</v>
      </c>
      <c r="W1833" s="88"/>
      <c r="X1833" s="89"/>
    </row>
    <row r="1834" spans="1:24" s="90" customFormat="1" ht="12" hidden="1" customHeight="1">
      <c r="A1834" s="92" t="s">
        <v>3785</v>
      </c>
      <c r="B1834" s="92"/>
      <c r="C1834" s="92"/>
      <c r="D1834" s="92"/>
      <c r="E1834" s="92"/>
      <c r="F1834" s="92"/>
      <c r="G1834" s="92"/>
      <c r="H1834" s="92"/>
      <c r="I1834" s="93" t="s">
        <v>3823</v>
      </c>
      <c r="J1834" s="93" t="s">
        <v>3800</v>
      </c>
      <c r="K1834" s="93" t="s">
        <v>3824</v>
      </c>
      <c r="L1834" s="93" t="s">
        <v>3797</v>
      </c>
      <c r="M1834" s="86"/>
      <c r="N1834" s="86"/>
      <c r="O1834" s="86"/>
      <c r="P1834" s="95">
        <v>118496.64</v>
      </c>
      <c r="Q1834" s="87">
        <f t="shared" si="79"/>
        <v>0</v>
      </c>
      <c r="R1834" s="86"/>
      <c r="S1834" s="86"/>
      <c r="T1834" s="86"/>
      <c r="U1834" s="86"/>
      <c r="V1834" s="87">
        <f t="shared" si="80"/>
        <v>0</v>
      </c>
      <c r="W1834" s="88"/>
      <c r="X1834" s="89"/>
    </row>
    <row r="1835" spans="1:24" s="90" customFormat="1" ht="12" hidden="1" customHeight="1">
      <c r="A1835" s="92" t="s">
        <v>3786</v>
      </c>
      <c r="B1835" s="92"/>
      <c r="C1835" s="92"/>
      <c r="D1835" s="92"/>
      <c r="E1835" s="92"/>
      <c r="F1835" s="92"/>
      <c r="G1835" s="92"/>
      <c r="H1835" s="92"/>
      <c r="I1835" s="93" t="s">
        <v>3825</v>
      </c>
      <c r="J1835" s="93" t="s">
        <v>3803</v>
      </c>
      <c r="K1835" s="93" t="s">
        <v>3826</v>
      </c>
      <c r="L1835" s="93" t="s">
        <v>3797</v>
      </c>
      <c r="M1835" s="86"/>
      <c r="N1835" s="86"/>
      <c r="O1835" s="86"/>
      <c r="P1835" s="95">
        <v>197494.39999999999</v>
      </c>
      <c r="Q1835" s="87">
        <f t="shared" si="79"/>
        <v>0</v>
      </c>
      <c r="R1835" s="86"/>
      <c r="S1835" s="86"/>
      <c r="T1835" s="86"/>
      <c r="U1835" s="86"/>
      <c r="V1835" s="87">
        <f t="shared" si="80"/>
        <v>0</v>
      </c>
      <c r="W1835" s="88"/>
      <c r="X1835" s="89"/>
    </row>
    <row r="1836" spans="1:24" s="90" customFormat="1" ht="12" hidden="1" customHeight="1">
      <c r="A1836" s="92" t="s">
        <v>3787</v>
      </c>
      <c r="B1836" s="92"/>
      <c r="C1836" s="92"/>
      <c r="D1836" s="92"/>
      <c r="E1836" s="92"/>
      <c r="F1836" s="92"/>
      <c r="G1836" s="92"/>
      <c r="H1836" s="92"/>
      <c r="I1836" s="93" t="s">
        <v>3827</v>
      </c>
      <c r="J1836" s="93" t="s">
        <v>3800</v>
      </c>
      <c r="K1836" s="93" t="s">
        <v>3828</v>
      </c>
      <c r="L1836" s="93" t="s">
        <v>3797</v>
      </c>
      <c r="M1836" s="86"/>
      <c r="N1836" s="86"/>
      <c r="O1836" s="86"/>
      <c r="P1836" s="95">
        <v>33327.18</v>
      </c>
      <c r="Q1836" s="87">
        <f t="shared" si="79"/>
        <v>0</v>
      </c>
      <c r="R1836" s="86"/>
      <c r="S1836" s="86"/>
      <c r="T1836" s="86"/>
      <c r="U1836" s="86"/>
      <c r="V1836" s="87">
        <f t="shared" si="80"/>
        <v>0</v>
      </c>
      <c r="W1836" s="88"/>
      <c r="X1836" s="89"/>
    </row>
    <row r="1837" spans="1:24" s="90" customFormat="1" ht="12" hidden="1" customHeight="1">
      <c r="A1837" s="92" t="s">
        <v>3788</v>
      </c>
      <c r="B1837" s="92"/>
      <c r="C1837" s="92"/>
      <c r="D1837" s="92"/>
      <c r="E1837" s="92"/>
      <c r="F1837" s="92"/>
      <c r="G1837" s="92"/>
      <c r="H1837" s="92"/>
      <c r="I1837" s="93" t="s">
        <v>3829</v>
      </c>
      <c r="J1837" s="93" t="s">
        <v>3800</v>
      </c>
      <c r="K1837" s="93" t="s">
        <v>3830</v>
      </c>
      <c r="L1837" s="93" t="s">
        <v>3797</v>
      </c>
      <c r="M1837" s="86"/>
      <c r="N1837" s="86"/>
      <c r="O1837" s="86"/>
      <c r="P1837" s="95">
        <v>197494.39999999999</v>
      </c>
      <c r="Q1837" s="87">
        <f t="shared" si="79"/>
        <v>0</v>
      </c>
      <c r="R1837" s="86"/>
      <c r="S1837" s="86"/>
      <c r="T1837" s="86"/>
      <c r="U1837" s="86"/>
      <c r="V1837" s="87">
        <f t="shared" si="80"/>
        <v>0</v>
      </c>
      <c r="W1837" s="88"/>
      <c r="X1837" s="89"/>
    </row>
    <row r="1838" spans="1:24" s="90" customFormat="1" ht="12" hidden="1" customHeight="1">
      <c r="A1838" s="92" t="s">
        <v>3789</v>
      </c>
      <c r="B1838" s="92"/>
      <c r="C1838" s="92"/>
      <c r="D1838" s="92"/>
      <c r="E1838" s="92"/>
      <c r="F1838" s="92"/>
      <c r="G1838" s="92"/>
      <c r="H1838" s="92"/>
      <c r="I1838" s="93" t="s">
        <v>3831</v>
      </c>
      <c r="J1838" s="93" t="s">
        <v>3803</v>
      </c>
      <c r="K1838" s="93" t="s">
        <v>3832</v>
      </c>
      <c r="L1838" s="93" t="s">
        <v>3797</v>
      </c>
      <c r="M1838" s="86"/>
      <c r="N1838" s="86"/>
      <c r="O1838" s="86"/>
      <c r="P1838" s="95">
        <v>209837.8</v>
      </c>
      <c r="Q1838" s="87">
        <f t="shared" si="79"/>
        <v>0</v>
      </c>
      <c r="R1838" s="86"/>
      <c r="S1838" s="86"/>
      <c r="T1838" s="86"/>
      <c r="U1838" s="86"/>
      <c r="V1838" s="87">
        <f t="shared" si="80"/>
        <v>0</v>
      </c>
      <c r="W1838" s="88"/>
      <c r="X1838" s="89"/>
    </row>
    <row r="1839" spans="1:24" s="90" customFormat="1" ht="12" hidden="1" customHeight="1">
      <c r="A1839" s="92" t="s">
        <v>3790</v>
      </c>
      <c r="B1839" s="92"/>
      <c r="C1839" s="92"/>
      <c r="D1839" s="92"/>
      <c r="E1839" s="92"/>
      <c r="F1839" s="92"/>
      <c r="G1839" s="92"/>
      <c r="H1839" s="92"/>
      <c r="I1839" s="93" t="s">
        <v>3833</v>
      </c>
      <c r="J1839" s="93" t="s">
        <v>3806</v>
      </c>
      <c r="K1839" s="93" t="s">
        <v>3834</v>
      </c>
      <c r="L1839" s="93" t="s">
        <v>3797</v>
      </c>
      <c r="M1839" s="86"/>
      <c r="N1839" s="86"/>
      <c r="O1839" s="86"/>
      <c r="P1839" s="95">
        <v>271554.8</v>
      </c>
      <c r="Q1839" s="87">
        <f t="shared" si="79"/>
        <v>0</v>
      </c>
      <c r="R1839" s="86"/>
      <c r="S1839" s="86"/>
      <c r="T1839" s="86"/>
      <c r="U1839" s="86"/>
      <c r="V1839" s="87">
        <f t="shared" si="80"/>
        <v>0</v>
      </c>
      <c r="W1839" s="88"/>
      <c r="X1839" s="89"/>
    </row>
    <row r="1840" spans="1:24" s="90" customFormat="1" ht="12" hidden="1" customHeight="1">
      <c r="A1840" s="92" t="s">
        <v>3791</v>
      </c>
      <c r="B1840" s="92"/>
      <c r="C1840" s="92"/>
      <c r="D1840" s="92"/>
      <c r="E1840" s="92"/>
      <c r="F1840" s="92"/>
      <c r="G1840" s="92"/>
      <c r="H1840" s="92"/>
      <c r="I1840" s="93" t="s">
        <v>3835</v>
      </c>
      <c r="J1840" s="93" t="s">
        <v>3800</v>
      </c>
      <c r="K1840" s="93" t="s">
        <v>3795</v>
      </c>
      <c r="L1840" s="93" t="s">
        <v>3797</v>
      </c>
      <c r="M1840" s="86"/>
      <c r="N1840" s="86"/>
      <c r="O1840" s="86"/>
      <c r="P1840" s="95">
        <v>49373.599999999999</v>
      </c>
      <c r="Q1840" s="87">
        <f t="shared" si="79"/>
        <v>0</v>
      </c>
      <c r="R1840" s="86"/>
      <c r="S1840" s="86"/>
      <c r="T1840" s="86"/>
      <c r="U1840" s="86"/>
      <c r="V1840" s="87">
        <f t="shared" si="80"/>
        <v>0</v>
      </c>
      <c r="W1840" s="88"/>
      <c r="X1840" s="89"/>
    </row>
    <row r="1841" spans="1:24" s="90" customFormat="1" ht="12" hidden="1" customHeight="1">
      <c r="A1841" s="92" t="s">
        <v>3792</v>
      </c>
      <c r="B1841" s="92"/>
      <c r="C1841" s="92"/>
      <c r="D1841" s="92"/>
      <c r="E1841" s="92"/>
      <c r="F1841" s="92"/>
      <c r="G1841" s="92"/>
      <c r="H1841" s="92"/>
      <c r="I1841" s="93" t="s">
        <v>3836</v>
      </c>
      <c r="J1841" s="93" t="s">
        <v>3800</v>
      </c>
      <c r="K1841" s="93" t="s">
        <v>3796</v>
      </c>
      <c r="L1841" s="93" t="s">
        <v>3797</v>
      </c>
      <c r="M1841" s="86"/>
      <c r="N1841" s="86"/>
      <c r="O1841" s="86"/>
      <c r="P1841" s="95">
        <v>13824.608</v>
      </c>
      <c r="Q1841" s="87">
        <f t="shared" si="79"/>
        <v>0</v>
      </c>
      <c r="R1841" s="86"/>
      <c r="S1841" s="86"/>
      <c r="T1841" s="86"/>
      <c r="U1841" s="86"/>
      <c r="V1841" s="87">
        <f t="shared" si="80"/>
        <v>0</v>
      </c>
      <c r="W1841" s="88"/>
      <c r="X1841" s="89"/>
    </row>
    <row r="1842" spans="1:24" s="90" customFormat="1" ht="12" hidden="1" customHeight="1">
      <c r="A1842" s="92" t="s">
        <v>3837</v>
      </c>
      <c r="B1842" s="92"/>
      <c r="C1842" s="92"/>
      <c r="D1842" s="92"/>
      <c r="E1842" s="92"/>
      <c r="F1842" s="92"/>
      <c r="G1842" s="92"/>
      <c r="H1842" s="92"/>
      <c r="I1842" s="93" t="s">
        <v>3908</v>
      </c>
      <c r="J1842" s="93" t="s">
        <v>3909</v>
      </c>
      <c r="K1842" s="93" t="s">
        <v>3910</v>
      </c>
      <c r="L1842" s="93" t="s">
        <v>974</v>
      </c>
      <c r="M1842" s="86"/>
      <c r="N1842" s="86"/>
      <c r="O1842" s="86"/>
      <c r="P1842" s="95">
        <v>2544126</v>
      </c>
      <c r="Q1842" s="87">
        <f t="shared" si="79"/>
        <v>0</v>
      </c>
      <c r="R1842" s="86"/>
      <c r="S1842" s="86"/>
      <c r="T1842" s="86"/>
      <c r="U1842" s="86"/>
      <c r="V1842" s="87">
        <f t="shared" si="80"/>
        <v>0</v>
      </c>
      <c r="W1842" s="88"/>
      <c r="X1842" s="89"/>
    </row>
    <row r="1843" spans="1:24" s="90" customFormat="1" ht="12" hidden="1" customHeight="1">
      <c r="A1843" s="92" t="s">
        <v>3838</v>
      </c>
      <c r="B1843" s="92"/>
      <c r="C1843" s="92"/>
      <c r="D1843" s="92"/>
      <c r="E1843" s="92"/>
      <c r="F1843" s="92"/>
      <c r="G1843" s="92"/>
      <c r="H1843" s="92"/>
      <c r="I1843" s="93" t="s">
        <v>3911</v>
      </c>
      <c r="J1843" s="93" t="s">
        <v>3912</v>
      </c>
      <c r="K1843" s="93" t="s">
        <v>3913</v>
      </c>
      <c r="L1843" s="93" t="s">
        <v>974</v>
      </c>
      <c r="M1843" s="86"/>
      <c r="N1843" s="86"/>
      <c r="O1843" s="86"/>
      <c r="P1843" s="95">
        <v>3929064</v>
      </c>
      <c r="Q1843" s="87">
        <f t="shared" si="79"/>
        <v>0</v>
      </c>
      <c r="R1843" s="86"/>
      <c r="S1843" s="86"/>
      <c r="T1843" s="86"/>
      <c r="U1843" s="86"/>
      <c r="V1843" s="87">
        <f t="shared" si="80"/>
        <v>0</v>
      </c>
      <c r="W1843" s="88"/>
      <c r="X1843" s="89"/>
    </row>
    <row r="1844" spans="1:24" s="90" customFormat="1" ht="12" hidden="1" customHeight="1">
      <c r="A1844" s="92" t="s">
        <v>3839</v>
      </c>
      <c r="B1844" s="92"/>
      <c r="C1844" s="92"/>
      <c r="D1844" s="92"/>
      <c r="E1844" s="92"/>
      <c r="F1844" s="92"/>
      <c r="G1844" s="92"/>
      <c r="H1844" s="92"/>
      <c r="I1844" s="93" t="s">
        <v>3914</v>
      </c>
      <c r="J1844" s="93" t="s">
        <v>3915</v>
      </c>
      <c r="K1844" s="93" t="s">
        <v>3916</v>
      </c>
      <c r="L1844" s="93" t="s">
        <v>974</v>
      </c>
      <c r="M1844" s="86"/>
      <c r="N1844" s="86"/>
      <c r="O1844" s="86"/>
      <c r="P1844" s="95">
        <v>7602030</v>
      </c>
      <c r="Q1844" s="87">
        <f t="shared" si="79"/>
        <v>0</v>
      </c>
      <c r="R1844" s="86"/>
      <c r="S1844" s="86"/>
      <c r="T1844" s="86"/>
      <c r="U1844" s="86"/>
      <c r="V1844" s="87">
        <f t="shared" si="80"/>
        <v>0</v>
      </c>
      <c r="W1844" s="88"/>
      <c r="X1844" s="89"/>
    </row>
    <row r="1845" spans="1:24" s="90" customFormat="1" ht="12" hidden="1" customHeight="1">
      <c r="A1845" s="92" t="s">
        <v>3840</v>
      </c>
      <c r="B1845" s="92"/>
      <c r="C1845" s="92"/>
      <c r="D1845" s="92"/>
      <c r="E1845" s="92"/>
      <c r="F1845" s="92"/>
      <c r="G1845" s="92"/>
      <c r="H1845" s="92"/>
      <c r="I1845" s="93" t="s">
        <v>3917</v>
      </c>
      <c r="J1845" s="93" t="s">
        <v>3918</v>
      </c>
      <c r="K1845" s="94" t="s">
        <v>1503</v>
      </c>
      <c r="L1845" s="94" t="s">
        <v>3841</v>
      </c>
      <c r="M1845" s="86"/>
      <c r="N1845" s="86"/>
      <c r="O1845" s="86"/>
      <c r="P1845" s="95">
        <v>57059.839999999997</v>
      </c>
      <c r="Q1845" s="87">
        <f t="shared" si="79"/>
        <v>0</v>
      </c>
      <c r="R1845" s="86"/>
      <c r="S1845" s="86"/>
      <c r="T1845" s="86"/>
      <c r="U1845" s="86"/>
      <c r="V1845" s="87">
        <f t="shared" si="80"/>
        <v>0</v>
      </c>
      <c r="W1845" s="88"/>
      <c r="X1845" s="89"/>
    </row>
    <row r="1846" spans="1:24" s="90" customFormat="1" ht="12" hidden="1" customHeight="1">
      <c r="A1846" s="92" t="s">
        <v>3842</v>
      </c>
      <c r="B1846" s="92"/>
      <c r="C1846" s="92"/>
      <c r="D1846" s="92"/>
      <c r="E1846" s="92"/>
      <c r="F1846" s="92"/>
      <c r="G1846" s="92"/>
      <c r="H1846" s="92"/>
      <c r="I1846" s="93" t="s">
        <v>3919</v>
      </c>
      <c r="J1846" s="93" t="s">
        <v>3920</v>
      </c>
      <c r="K1846" s="94" t="s">
        <v>3921</v>
      </c>
      <c r="L1846" s="94" t="s">
        <v>3841</v>
      </c>
      <c r="M1846" s="86"/>
      <c r="N1846" s="86"/>
      <c r="O1846" s="86"/>
      <c r="P1846" s="95">
        <v>31641.54</v>
      </c>
      <c r="Q1846" s="87">
        <f t="shared" si="79"/>
        <v>0</v>
      </c>
      <c r="R1846" s="86"/>
      <c r="S1846" s="86"/>
      <c r="T1846" s="86"/>
      <c r="U1846" s="86"/>
      <c r="V1846" s="87">
        <f t="shared" si="80"/>
        <v>0</v>
      </c>
      <c r="W1846" s="88"/>
      <c r="X1846" s="89"/>
    </row>
    <row r="1847" spans="1:24" s="90" customFormat="1" ht="12" hidden="1" customHeight="1">
      <c r="A1847" s="92" t="s">
        <v>3843</v>
      </c>
      <c r="B1847" s="92"/>
      <c r="C1847" s="92"/>
      <c r="D1847" s="92"/>
      <c r="E1847" s="92"/>
      <c r="F1847" s="92"/>
      <c r="G1847" s="92"/>
      <c r="H1847" s="92"/>
      <c r="I1847" s="93" t="s">
        <v>3922</v>
      </c>
      <c r="J1847" s="93" t="s">
        <v>3920</v>
      </c>
      <c r="K1847" s="94" t="s">
        <v>3923</v>
      </c>
      <c r="L1847" s="94" t="s">
        <v>3841</v>
      </c>
      <c r="M1847" s="86"/>
      <c r="N1847" s="86"/>
      <c r="O1847" s="86"/>
      <c r="P1847" s="95">
        <v>64192.32</v>
      </c>
      <c r="Q1847" s="87">
        <f t="shared" si="79"/>
        <v>0</v>
      </c>
      <c r="R1847" s="86"/>
      <c r="S1847" s="86"/>
      <c r="T1847" s="86"/>
      <c r="U1847" s="86"/>
      <c r="V1847" s="87">
        <f t="shared" si="80"/>
        <v>0</v>
      </c>
      <c r="W1847" s="88"/>
      <c r="X1847" s="89"/>
    </row>
    <row r="1848" spans="1:24" s="90" customFormat="1" ht="12" hidden="1" customHeight="1">
      <c r="A1848" s="92" t="s">
        <v>3844</v>
      </c>
      <c r="B1848" s="92"/>
      <c r="C1848" s="92"/>
      <c r="D1848" s="92"/>
      <c r="E1848" s="92"/>
      <c r="F1848" s="92"/>
      <c r="G1848" s="92"/>
      <c r="H1848" s="92"/>
      <c r="I1848" s="93" t="s">
        <v>3924</v>
      </c>
      <c r="J1848" s="93" t="s">
        <v>3925</v>
      </c>
      <c r="K1848" s="93" t="s">
        <v>3926</v>
      </c>
      <c r="L1848" s="94" t="s">
        <v>3841</v>
      </c>
      <c r="M1848" s="86"/>
      <c r="N1848" s="86"/>
      <c r="O1848" s="86"/>
      <c r="P1848" s="95">
        <v>82023.520000000004</v>
      </c>
      <c r="Q1848" s="87">
        <f t="shared" si="79"/>
        <v>0</v>
      </c>
      <c r="R1848" s="86"/>
      <c r="S1848" s="86"/>
      <c r="T1848" s="86"/>
      <c r="U1848" s="86"/>
      <c r="V1848" s="87">
        <f t="shared" si="80"/>
        <v>0</v>
      </c>
      <c r="W1848" s="88"/>
      <c r="X1848" s="89"/>
    </row>
    <row r="1849" spans="1:24" s="90" customFormat="1" ht="12" hidden="1" customHeight="1">
      <c r="A1849" s="92" t="s">
        <v>3845</v>
      </c>
      <c r="B1849" s="92"/>
      <c r="C1849" s="92"/>
      <c r="D1849" s="92"/>
      <c r="E1849" s="92"/>
      <c r="F1849" s="92"/>
      <c r="G1849" s="92"/>
      <c r="H1849" s="92"/>
      <c r="I1849" s="93" t="s">
        <v>3927</v>
      </c>
      <c r="J1849" s="93" t="s">
        <v>3928</v>
      </c>
      <c r="K1849" s="94" t="s">
        <v>3846</v>
      </c>
      <c r="L1849" s="94" t="s">
        <v>3841</v>
      </c>
      <c r="M1849" s="86"/>
      <c r="N1849" s="86"/>
      <c r="O1849" s="86"/>
      <c r="P1849" s="95">
        <v>82023.520000000004</v>
      </c>
      <c r="Q1849" s="87">
        <f t="shared" si="79"/>
        <v>0</v>
      </c>
      <c r="R1849" s="86"/>
      <c r="S1849" s="86"/>
      <c r="T1849" s="86"/>
      <c r="U1849" s="86"/>
      <c r="V1849" s="87">
        <f t="shared" si="80"/>
        <v>0</v>
      </c>
      <c r="W1849" s="88"/>
      <c r="X1849" s="89"/>
    </row>
    <row r="1850" spans="1:24" s="90" customFormat="1" ht="12" hidden="1" customHeight="1">
      <c r="A1850" s="92" t="s">
        <v>3847</v>
      </c>
      <c r="B1850" s="92"/>
      <c r="C1850" s="92"/>
      <c r="D1850" s="92"/>
      <c r="E1850" s="92"/>
      <c r="F1850" s="92"/>
      <c r="G1850" s="92"/>
      <c r="H1850" s="92"/>
      <c r="I1850" s="93" t="s">
        <v>3929</v>
      </c>
      <c r="J1850" s="93" t="s">
        <v>3930</v>
      </c>
      <c r="K1850" s="93" t="s">
        <v>3931</v>
      </c>
      <c r="L1850" s="94" t="s">
        <v>3841</v>
      </c>
      <c r="M1850" s="86"/>
      <c r="N1850" s="86"/>
      <c r="O1850" s="86"/>
      <c r="P1850" s="95">
        <v>85589.759999999995</v>
      </c>
      <c r="Q1850" s="87">
        <f t="shared" si="79"/>
        <v>0</v>
      </c>
      <c r="R1850" s="86"/>
      <c r="S1850" s="86"/>
      <c r="T1850" s="86"/>
      <c r="U1850" s="86"/>
      <c r="V1850" s="87">
        <f t="shared" si="80"/>
        <v>0</v>
      </c>
      <c r="W1850" s="88"/>
      <c r="X1850" s="89"/>
    </row>
    <row r="1851" spans="1:24" s="90" customFormat="1" ht="12" hidden="1" customHeight="1">
      <c r="A1851" s="92" t="s">
        <v>3848</v>
      </c>
      <c r="B1851" s="92"/>
      <c r="C1851" s="92"/>
      <c r="D1851" s="92"/>
      <c r="E1851" s="92"/>
      <c r="F1851" s="92"/>
      <c r="G1851" s="92"/>
      <c r="H1851" s="92"/>
      <c r="I1851" s="93" t="s">
        <v>3932</v>
      </c>
      <c r="J1851" s="93" t="s">
        <v>3933</v>
      </c>
      <c r="K1851" s="93" t="s">
        <v>3934</v>
      </c>
      <c r="L1851" s="94" t="s">
        <v>3841</v>
      </c>
      <c r="M1851" s="86"/>
      <c r="N1851" s="86"/>
      <c r="O1851" s="86"/>
      <c r="P1851" s="95">
        <v>99854.720000000001</v>
      </c>
      <c r="Q1851" s="87">
        <f t="shared" si="79"/>
        <v>0</v>
      </c>
      <c r="R1851" s="86"/>
      <c r="S1851" s="86"/>
      <c r="T1851" s="86"/>
      <c r="U1851" s="86"/>
      <c r="V1851" s="87">
        <f t="shared" si="80"/>
        <v>0</v>
      </c>
      <c r="W1851" s="88"/>
      <c r="X1851" s="89"/>
    </row>
    <row r="1852" spans="1:24" s="90" customFormat="1" ht="12" hidden="1" customHeight="1">
      <c r="A1852" s="92" t="s">
        <v>3849</v>
      </c>
      <c r="B1852" s="92"/>
      <c r="C1852" s="92"/>
      <c r="D1852" s="92"/>
      <c r="E1852" s="92"/>
      <c r="F1852" s="92"/>
      <c r="G1852" s="92"/>
      <c r="H1852" s="92"/>
      <c r="I1852" s="93" t="s">
        <v>3935</v>
      </c>
      <c r="J1852" s="93" t="s">
        <v>3936</v>
      </c>
      <c r="K1852" s="93" t="s">
        <v>3937</v>
      </c>
      <c r="L1852" s="94" t="s">
        <v>3841</v>
      </c>
      <c r="M1852" s="86"/>
      <c r="N1852" s="86"/>
      <c r="O1852" s="86"/>
      <c r="P1852" s="95">
        <v>106987.2</v>
      </c>
      <c r="Q1852" s="87">
        <f t="shared" si="79"/>
        <v>0</v>
      </c>
      <c r="R1852" s="86"/>
      <c r="S1852" s="86"/>
      <c r="T1852" s="86"/>
      <c r="U1852" s="86"/>
      <c r="V1852" s="87">
        <f t="shared" si="80"/>
        <v>0</v>
      </c>
      <c r="W1852" s="88"/>
      <c r="X1852" s="89"/>
    </row>
    <row r="1853" spans="1:24" s="90" customFormat="1" ht="12" hidden="1" customHeight="1">
      <c r="A1853" s="92" t="s">
        <v>3850</v>
      </c>
      <c r="B1853" s="92"/>
      <c r="C1853" s="92"/>
      <c r="D1853" s="92"/>
      <c r="E1853" s="92"/>
      <c r="F1853" s="92"/>
      <c r="G1853" s="92"/>
      <c r="H1853" s="92"/>
      <c r="I1853" s="93" t="s">
        <v>3938</v>
      </c>
      <c r="J1853" s="93" t="s">
        <v>3939</v>
      </c>
      <c r="K1853" s="93" t="s">
        <v>3940</v>
      </c>
      <c r="L1853" s="94" t="s">
        <v>3841</v>
      </c>
      <c r="M1853" s="86"/>
      <c r="N1853" s="86"/>
      <c r="O1853" s="86"/>
      <c r="P1853" s="95">
        <v>114119.67999999999</v>
      </c>
      <c r="Q1853" s="87">
        <f t="shared" si="79"/>
        <v>0</v>
      </c>
      <c r="R1853" s="86"/>
      <c r="S1853" s="86"/>
      <c r="T1853" s="86"/>
      <c r="U1853" s="86"/>
      <c r="V1853" s="87">
        <f t="shared" si="80"/>
        <v>0</v>
      </c>
      <c r="W1853" s="88"/>
      <c r="X1853" s="89"/>
    </row>
    <row r="1854" spans="1:24" s="90" customFormat="1" ht="12" hidden="1" customHeight="1">
      <c r="A1854" s="92" t="s">
        <v>3851</v>
      </c>
      <c r="B1854" s="92"/>
      <c r="C1854" s="92"/>
      <c r="D1854" s="92"/>
      <c r="E1854" s="92"/>
      <c r="F1854" s="92"/>
      <c r="G1854" s="92"/>
      <c r="H1854" s="92"/>
      <c r="I1854" s="93" t="s">
        <v>3941</v>
      </c>
      <c r="J1854" s="93" t="s">
        <v>3942</v>
      </c>
      <c r="K1854" s="93" t="s">
        <v>3943</v>
      </c>
      <c r="L1854" s="94" t="s">
        <v>3841</v>
      </c>
      <c r="M1854" s="86"/>
      <c r="N1854" s="86"/>
      <c r="O1854" s="86"/>
      <c r="P1854" s="95">
        <v>135517.12</v>
      </c>
      <c r="Q1854" s="87">
        <f t="shared" si="79"/>
        <v>0</v>
      </c>
      <c r="R1854" s="86"/>
      <c r="S1854" s="86"/>
      <c r="T1854" s="86"/>
      <c r="U1854" s="86"/>
      <c r="V1854" s="87">
        <f t="shared" si="80"/>
        <v>0</v>
      </c>
      <c r="W1854" s="88"/>
      <c r="X1854" s="89"/>
    </row>
    <row r="1855" spans="1:24" s="90" customFormat="1" ht="12" hidden="1" customHeight="1">
      <c r="A1855" s="92" t="s">
        <v>3852</v>
      </c>
      <c r="B1855" s="92"/>
      <c r="C1855" s="92"/>
      <c r="D1855" s="92"/>
      <c r="E1855" s="92"/>
      <c r="F1855" s="92"/>
      <c r="G1855" s="92"/>
      <c r="H1855" s="92"/>
      <c r="I1855" s="93" t="s">
        <v>3944</v>
      </c>
      <c r="J1855" s="93" t="s">
        <v>3945</v>
      </c>
      <c r="K1855" s="93" t="s">
        <v>3946</v>
      </c>
      <c r="L1855" s="94" t="s">
        <v>3841</v>
      </c>
      <c r="M1855" s="86"/>
      <c r="N1855" s="86"/>
      <c r="O1855" s="86"/>
      <c r="P1855" s="95">
        <v>160480.79999999999</v>
      </c>
      <c r="Q1855" s="87">
        <f t="shared" si="79"/>
        <v>0</v>
      </c>
      <c r="R1855" s="86"/>
      <c r="S1855" s="86"/>
      <c r="T1855" s="86"/>
      <c r="U1855" s="86"/>
      <c r="V1855" s="87">
        <f t="shared" si="80"/>
        <v>0</v>
      </c>
      <c r="W1855" s="88"/>
      <c r="X1855" s="89"/>
    </row>
    <row r="1856" spans="1:24" s="90" customFormat="1" ht="12" hidden="1" customHeight="1">
      <c r="A1856" s="92" t="s">
        <v>3853</v>
      </c>
      <c r="B1856" s="92"/>
      <c r="C1856" s="92"/>
      <c r="D1856" s="92"/>
      <c r="E1856" s="92"/>
      <c r="F1856" s="92"/>
      <c r="G1856" s="92"/>
      <c r="H1856" s="92"/>
      <c r="I1856" s="93" t="s">
        <v>3947</v>
      </c>
      <c r="J1856" s="93" t="s">
        <v>3948</v>
      </c>
      <c r="K1856" s="93" t="s">
        <v>1629</v>
      </c>
      <c r="L1856" s="94" t="s">
        <v>706</v>
      </c>
      <c r="M1856" s="86"/>
      <c r="N1856" s="86"/>
      <c r="O1856" s="86"/>
      <c r="P1856" s="95">
        <v>393159.4</v>
      </c>
      <c r="Q1856" s="87">
        <f t="shared" si="79"/>
        <v>0</v>
      </c>
      <c r="R1856" s="86"/>
      <c r="S1856" s="86"/>
      <c r="T1856" s="86"/>
      <c r="U1856" s="86"/>
      <c r="V1856" s="87">
        <f t="shared" si="80"/>
        <v>0</v>
      </c>
      <c r="W1856" s="88"/>
      <c r="X1856" s="89"/>
    </row>
    <row r="1857" spans="1:24" s="90" customFormat="1" ht="12" hidden="1" customHeight="1">
      <c r="A1857" s="92" t="s">
        <v>3854</v>
      </c>
      <c r="B1857" s="92"/>
      <c r="C1857" s="92"/>
      <c r="D1857" s="92"/>
      <c r="E1857" s="92"/>
      <c r="F1857" s="92"/>
      <c r="G1857" s="92"/>
      <c r="H1857" s="92"/>
      <c r="I1857" s="93" t="s">
        <v>3949</v>
      </c>
      <c r="J1857" s="93" t="s">
        <v>3950</v>
      </c>
      <c r="K1857" s="93" t="s">
        <v>3855</v>
      </c>
      <c r="L1857" s="94" t="s">
        <v>706</v>
      </c>
      <c r="M1857" s="86"/>
      <c r="N1857" s="86"/>
      <c r="O1857" s="86"/>
      <c r="P1857" s="95">
        <v>148109.4</v>
      </c>
      <c r="Q1857" s="87">
        <f t="shared" si="79"/>
        <v>0</v>
      </c>
      <c r="R1857" s="86"/>
      <c r="S1857" s="86"/>
      <c r="T1857" s="86"/>
      <c r="U1857" s="86"/>
      <c r="V1857" s="87">
        <f t="shared" si="80"/>
        <v>0</v>
      </c>
      <c r="W1857" s="88"/>
      <c r="X1857" s="89"/>
    </row>
    <row r="1858" spans="1:24" s="90" customFormat="1" ht="12" hidden="1" customHeight="1">
      <c r="A1858" s="92" t="s">
        <v>3856</v>
      </c>
      <c r="B1858" s="92"/>
      <c r="C1858" s="92"/>
      <c r="D1858" s="92"/>
      <c r="E1858" s="92"/>
      <c r="F1858" s="92"/>
      <c r="G1858" s="92"/>
      <c r="H1858" s="92"/>
      <c r="I1858" s="93" t="s">
        <v>3951</v>
      </c>
      <c r="J1858" s="93" t="s">
        <v>3952</v>
      </c>
      <c r="K1858" s="93" t="s">
        <v>3857</v>
      </c>
      <c r="L1858" s="94" t="s">
        <v>706</v>
      </c>
      <c r="M1858" s="86"/>
      <c r="N1858" s="86"/>
      <c r="O1858" s="86"/>
      <c r="P1858" s="95">
        <v>1063869</v>
      </c>
      <c r="Q1858" s="87">
        <f t="shared" si="79"/>
        <v>0</v>
      </c>
      <c r="R1858" s="86"/>
      <c r="S1858" s="86"/>
      <c r="T1858" s="86"/>
      <c r="U1858" s="86"/>
      <c r="V1858" s="87">
        <f t="shared" si="80"/>
        <v>0</v>
      </c>
      <c r="W1858" s="88"/>
      <c r="X1858" s="89"/>
    </row>
    <row r="1859" spans="1:24" s="90" customFormat="1" ht="12" hidden="1" customHeight="1">
      <c r="A1859" s="92" t="s">
        <v>3858</v>
      </c>
      <c r="B1859" s="92"/>
      <c r="C1859" s="92"/>
      <c r="D1859" s="92"/>
      <c r="E1859" s="92"/>
      <c r="F1859" s="92"/>
      <c r="G1859" s="92"/>
      <c r="H1859" s="92"/>
      <c r="I1859" s="93" t="s">
        <v>3953</v>
      </c>
      <c r="J1859" s="93" t="s">
        <v>3954</v>
      </c>
      <c r="K1859" s="93" t="s">
        <v>3955</v>
      </c>
      <c r="L1859" s="94" t="s">
        <v>706</v>
      </c>
      <c r="M1859" s="86"/>
      <c r="N1859" s="86"/>
      <c r="O1859" s="86"/>
      <c r="P1859" s="95">
        <v>791529</v>
      </c>
      <c r="Q1859" s="87">
        <f t="shared" si="79"/>
        <v>0</v>
      </c>
      <c r="R1859" s="86"/>
      <c r="S1859" s="86"/>
      <c r="T1859" s="86"/>
      <c r="U1859" s="86"/>
      <c r="V1859" s="87">
        <f t="shared" si="80"/>
        <v>0</v>
      </c>
      <c r="W1859" s="88"/>
      <c r="X1859" s="89"/>
    </row>
    <row r="1860" spans="1:24" s="90" customFormat="1" ht="12" hidden="1" customHeight="1">
      <c r="A1860" s="92" t="s">
        <v>3859</v>
      </c>
      <c r="B1860" s="92"/>
      <c r="C1860" s="92"/>
      <c r="D1860" s="92"/>
      <c r="E1860" s="92"/>
      <c r="F1860" s="92"/>
      <c r="G1860" s="92"/>
      <c r="H1860" s="92"/>
      <c r="I1860" s="93" t="s">
        <v>3956</v>
      </c>
      <c r="J1860" s="93" t="s">
        <v>3957</v>
      </c>
      <c r="K1860" s="93" t="s">
        <v>1629</v>
      </c>
      <c r="L1860" s="94" t="s">
        <v>706</v>
      </c>
      <c r="M1860" s="86"/>
      <c r="N1860" s="86"/>
      <c r="O1860" s="86"/>
      <c r="P1860" s="95">
        <v>216148.1</v>
      </c>
      <c r="Q1860" s="87">
        <f t="shared" si="79"/>
        <v>0</v>
      </c>
      <c r="R1860" s="86"/>
      <c r="S1860" s="86"/>
      <c r="T1860" s="86"/>
      <c r="U1860" s="86"/>
      <c r="V1860" s="87">
        <f t="shared" si="80"/>
        <v>0</v>
      </c>
      <c r="W1860" s="88"/>
      <c r="X1860" s="89"/>
    </row>
    <row r="1861" spans="1:24" s="90" customFormat="1" ht="12" hidden="1" customHeight="1">
      <c r="A1861" s="92" t="s">
        <v>3860</v>
      </c>
      <c r="B1861" s="92"/>
      <c r="C1861" s="92"/>
      <c r="D1861" s="92"/>
      <c r="E1861" s="92"/>
      <c r="F1861" s="92"/>
      <c r="G1861" s="92"/>
      <c r="H1861" s="92"/>
      <c r="I1861" s="93" t="s">
        <v>3958</v>
      </c>
      <c r="J1861" s="93" t="s">
        <v>3959</v>
      </c>
      <c r="K1861" s="93" t="s">
        <v>3855</v>
      </c>
      <c r="L1861" s="94" t="s">
        <v>706</v>
      </c>
      <c r="M1861" s="86"/>
      <c r="N1861" s="86"/>
      <c r="O1861" s="86"/>
      <c r="P1861" s="95">
        <v>98739.6</v>
      </c>
      <c r="Q1861" s="87">
        <f t="shared" si="79"/>
        <v>0</v>
      </c>
      <c r="R1861" s="86"/>
      <c r="S1861" s="86"/>
      <c r="T1861" s="86"/>
      <c r="U1861" s="86"/>
      <c r="V1861" s="87">
        <f t="shared" si="80"/>
        <v>0</v>
      </c>
      <c r="W1861" s="88"/>
      <c r="X1861" s="89"/>
    </row>
    <row r="1862" spans="1:24" s="90" customFormat="1" ht="12" hidden="1" customHeight="1">
      <c r="A1862" s="92" t="s">
        <v>3861</v>
      </c>
      <c r="B1862" s="92"/>
      <c r="C1862" s="92"/>
      <c r="D1862" s="92"/>
      <c r="E1862" s="92"/>
      <c r="F1862" s="92"/>
      <c r="G1862" s="92"/>
      <c r="H1862" s="92"/>
      <c r="I1862" s="93" t="s">
        <v>3960</v>
      </c>
      <c r="J1862" s="93" t="s">
        <v>3961</v>
      </c>
      <c r="K1862" s="93" t="s">
        <v>3857</v>
      </c>
      <c r="L1862" s="94" t="s">
        <v>706</v>
      </c>
      <c r="M1862" s="86"/>
      <c r="N1862" s="86"/>
      <c r="O1862" s="86"/>
      <c r="P1862" s="95">
        <v>229813.3</v>
      </c>
      <c r="Q1862" s="87">
        <f t="shared" si="79"/>
        <v>0</v>
      </c>
      <c r="R1862" s="86"/>
      <c r="S1862" s="86"/>
      <c r="T1862" s="86"/>
      <c r="U1862" s="86"/>
      <c r="V1862" s="87">
        <f t="shared" si="80"/>
        <v>0</v>
      </c>
      <c r="W1862" s="88"/>
      <c r="X1862" s="89"/>
    </row>
    <row r="1863" spans="1:24" s="90" customFormat="1" ht="12" hidden="1" customHeight="1">
      <c r="A1863" s="92" t="s">
        <v>3862</v>
      </c>
      <c r="B1863" s="92"/>
      <c r="C1863" s="92"/>
      <c r="D1863" s="92"/>
      <c r="E1863" s="92"/>
      <c r="F1863" s="92"/>
      <c r="G1863" s="92"/>
      <c r="H1863" s="92"/>
      <c r="I1863" s="93" t="s">
        <v>3962</v>
      </c>
      <c r="J1863" s="93" t="s">
        <v>3963</v>
      </c>
      <c r="K1863" s="93" t="s">
        <v>3955</v>
      </c>
      <c r="L1863" s="94" t="s">
        <v>706</v>
      </c>
      <c r="M1863" s="86"/>
      <c r="N1863" s="86"/>
      <c r="O1863" s="86"/>
      <c r="P1863" s="95">
        <v>383019</v>
      </c>
      <c r="Q1863" s="87">
        <f t="shared" si="79"/>
        <v>0</v>
      </c>
      <c r="R1863" s="86"/>
      <c r="S1863" s="86"/>
      <c r="T1863" s="86"/>
      <c r="U1863" s="86"/>
      <c r="V1863" s="87">
        <f t="shared" si="80"/>
        <v>0</v>
      </c>
      <c r="W1863" s="88"/>
      <c r="X1863" s="89"/>
    </row>
    <row r="1864" spans="1:24" s="90" customFormat="1" ht="12" hidden="1" customHeight="1">
      <c r="A1864" s="92" t="s">
        <v>3863</v>
      </c>
      <c r="B1864" s="92"/>
      <c r="C1864" s="92"/>
      <c r="D1864" s="92"/>
      <c r="E1864" s="92"/>
      <c r="F1864" s="92"/>
      <c r="G1864" s="92"/>
      <c r="H1864" s="92"/>
      <c r="I1864" s="93" t="s">
        <v>3964</v>
      </c>
      <c r="J1864" s="93" t="s">
        <v>3965</v>
      </c>
      <c r="K1864" s="94" t="s">
        <v>3966</v>
      </c>
      <c r="L1864" s="94" t="s">
        <v>706</v>
      </c>
      <c r="M1864" s="86"/>
      <c r="N1864" s="86"/>
      <c r="O1864" s="86"/>
      <c r="P1864" s="95">
        <v>61714.91</v>
      </c>
      <c r="Q1864" s="87">
        <f t="shared" si="79"/>
        <v>0</v>
      </c>
      <c r="R1864" s="86"/>
      <c r="S1864" s="86"/>
      <c r="T1864" s="86"/>
      <c r="U1864" s="86"/>
      <c r="V1864" s="87">
        <f t="shared" si="80"/>
        <v>0</v>
      </c>
      <c r="W1864" s="88"/>
      <c r="X1864" s="89"/>
    </row>
    <row r="1865" spans="1:24" s="90" customFormat="1" ht="12" hidden="1" customHeight="1">
      <c r="A1865" s="92" t="s">
        <v>3864</v>
      </c>
      <c r="B1865" s="92"/>
      <c r="C1865" s="92"/>
      <c r="D1865" s="92"/>
      <c r="E1865" s="92"/>
      <c r="F1865" s="92"/>
      <c r="G1865" s="92"/>
      <c r="H1865" s="92"/>
      <c r="I1865" s="93" t="s">
        <v>3967</v>
      </c>
      <c r="J1865" s="93" t="s">
        <v>3968</v>
      </c>
      <c r="K1865" s="94" t="s">
        <v>3969</v>
      </c>
      <c r="L1865" s="94" t="s">
        <v>706</v>
      </c>
      <c r="M1865" s="86"/>
      <c r="N1865" s="86"/>
      <c r="O1865" s="86"/>
      <c r="P1865" s="95">
        <v>49371.89</v>
      </c>
      <c r="Q1865" s="87">
        <f t="shared" si="79"/>
        <v>0</v>
      </c>
      <c r="R1865" s="86"/>
      <c r="S1865" s="86"/>
      <c r="T1865" s="86"/>
      <c r="U1865" s="86"/>
      <c r="V1865" s="87">
        <f t="shared" si="80"/>
        <v>0</v>
      </c>
      <c r="W1865" s="88"/>
      <c r="X1865" s="89"/>
    </row>
    <row r="1866" spans="1:24" s="90" customFormat="1" ht="12" hidden="1" customHeight="1">
      <c r="A1866" s="92" t="s">
        <v>3865</v>
      </c>
      <c r="B1866" s="92"/>
      <c r="C1866" s="92"/>
      <c r="D1866" s="92"/>
      <c r="E1866" s="92"/>
      <c r="F1866" s="92"/>
      <c r="G1866" s="92"/>
      <c r="H1866" s="92"/>
      <c r="I1866" s="93" t="s">
        <v>3970</v>
      </c>
      <c r="J1866" s="93" t="s">
        <v>3971</v>
      </c>
      <c r="K1866" s="94" t="s">
        <v>3972</v>
      </c>
      <c r="L1866" s="94" t="s">
        <v>706</v>
      </c>
      <c r="M1866" s="86"/>
      <c r="N1866" s="86"/>
      <c r="O1866" s="86"/>
      <c r="P1866" s="95">
        <v>19747.919999999998</v>
      </c>
      <c r="Q1866" s="87">
        <f t="shared" si="79"/>
        <v>0</v>
      </c>
      <c r="R1866" s="86"/>
      <c r="S1866" s="86"/>
      <c r="T1866" s="86"/>
      <c r="U1866" s="86"/>
      <c r="V1866" s="87">
        <f t="shared" si="80"/>
        <v>0</v>
      </c>
      <c r="W1866" s="88"/>
      <c r="X1866" s="89"/>
    </row>
    <row r="1867" spans="1:24" s="90" customFormat="1" ht="12" hidden="1" customHeight="1">
      <c r="A1867" s="92" t="s">
        <v>3866</v>
      </c>
      <c r="B1867" s="92"/>
      <c r="C1867" s="92"/>
      <c r="D1867" s="92"/>
      <c r="E1867" s="92"/>
      <c r="F1867" s="92"/>
      <c r="G1867" s="92"/>
      <c r="H1867" s="92"/>
      <c r="I1867" s="93" t="s">
        <v>3973</v>
      </c>
      <c r="J1867" s="93" t="s">
        <v>3974</v>
      </c>
      <c r="K1867" s="94" t="s">
        <v>3975</v>
      </c>
      <c r="L1867" s="94" t="s">
        <v>706</v>
      </c>
      <c r="M1867" s="86"/>
      <c r="N1867" s="86"/>
      <c r="O1867" s="86"/>
      <c r="P1867" s="95">
        <v>103680.95</v>
      </c>
      <c r="Q1867" s="87">
        <f t="shared" si="79"/>
        <v>0</v>
      </c>
      <c r="R1867" s="86"/>
      <c r="S1867" s="86"/>
      <c r="T1867" s="86"/>
      <c r="U1867" s="86"/>
      <c r="V1867" s="87">
        <f t="shared" si="80"/>
        <v>0</v>
      </c>
      <c r="W1867" s="88"/>
      <c r="X1867" s="89"/>
    </row>
    <row r="1868" spans="1:24" s="90" customFormat="1" ht="12" hidden="1" customHeight="1">
      <c r="A1868" s="92" t="s">
        <v>3867</v>
      </c>
      <c r="B1868" s="92"/>
      <c r="C1868" s="92"/>
      <c r="D1868" s="92"/>
      <c r="E1868" s="92"/>
      <c r="F1868" s="92"/>
      <c r="G1868" s="92"/>
      <c r="H1868" s="92"/>
      <c r="I1868" s="93" t="s">
        <v>3976</v>
      </c>
      <c r="J1868" s="93" t="s">
        <v>3977</v>
      </c>
      <c r="K1868" s="94" t="s">
        <v>3978</v>
      </c>
      <c r="L1868" s="94" t="s">
        <v>706</v>
      </c>
      <c r="M1868" s="86"/>
      <c r="N1868" s="86"/>
      <c r="O1868" s="86"/>
      <c r="P1868" s="95">
        <v>83932.27</v>
      </c>
      <c r="Q1868" s="87">
        <f t="shared" si="79"/>
        <v>0</v>
      </c>
      <c r="R1868" s="86"/>
      <c r="S1868" s="86"/>
      <c r="T1868" s="86"/>
      <c r="U1868" s="86"/>
      <c r="V1868" s="87">
        <f t="shared" si="80"/>
        <v>0</v>
      </c>
      <c r="W1868" s="88"/>
      <c r="X1868" s="89"/>
    </row>
    <row r="1869" spans="1:24" s="90" customFormat="1" ht="12" hidden="1" customHeight="1">
      <c r="A1869" s="92" t="s">
        <v>3868</v>
      </c>
      <c r="B1869" s="92"/>
      <c r="C1869" s="92"/>
      <c r="D1869" s="92"/>
      <c r="E1869" s="92"/>
      <c r="F1869" s="92"/>
      <c r="G1869" s="92"/>
      <c r="H1869" s="92"/>
      <c r="I1869" s="93" t="s">
        <v>3979</v>
      </c>
      <c r="J1869" s="93" t="s">
        <v>3980</v>
      </c>
      <c r="K1869" s="94" t="s">
        <v>3981</v>
      </c>
      <c r="L1869" s="94" t="s">
        <v>706</v>
      </c>
      <c r="M1869" s="86"/>
      <c r="N1869" s="86"/>
      <c r="O1869" s="86"/>
      <c r="P1869" s="95">
        <v>32090.37</v>
      </c>
      <c r="Q1869" s="87">
        <f t="shared" si="79"/>
        <v>0</v>
      </c>
      <c r="R1869" s="86"/>
      <c r="S1869" s="86"/>
      <c r="T1869" s="86"/>
      <c r="U1869" s="86"/>
      <c r="V1869" s="87">
        <f t="shared" si="80"/>
        <v>0</v>
      </c>
      <c r="W1869" s="88"/>
      <c r="X1869" s="89"/>
    </row>
    <row r="1870" spans="1:24" s="90" customFormat="1" ht="12" hidden="1" customHeight="1">
      <c r="A1870" s="92" t="s">
        <v>3869</v>
      </c>
      <c r="B1870" s="92"/>
      <c r="C1870" s="92"/>
      <c r="D1870" s="92"/>
      <c r="E1870" s="92"/>
      <c r="F1870" s="92"/>
      <c r="G1870" s="92"/>
      <c r="H1870" s="92"/>
      <c r="I1870" s="93" t="s">
        <v>3982</v>
      </c>
      <c r="J1870" s="93" t="s">
        <v>3983</v>
      </c>
      <c r="K1870" s="94" t="s">
        <v>3984</v>
      </c>
      <c r="L1870" s="94" t="s">
        <v>706</v>
      </c>
      <c r="M1870" s="86"/>
      <c r="N1870" s="86"/>
      <c r="O1870" s="86"/>
      <c r="P1870" s="95">
        <v>133304.16</v>
      </c>
      <c r="Q1870" s="87">
        <f t="shared" si="79"/>
        <v>0</v>
      </c>
      <c r="R1870" s="86"/>
      <c r="S1870" s="86"/>
      <c r="T1870" s="86"/>
      <c r="U1870" s="86"/>
      <c r="V1870" s="87">
        <f t="shared" si="80"/>
        <v>0</v>
      </c>
      <c r="W1870" s="88"/>
      <c r="X1870" s="89"/>
    </row>
    <row r="1871" spans="1:24" s="90" customFormat="1" ht="12" hidden="1" customHeight="1">
      <c r="A1871" s="92" t="s">
        <v>3870</v>
      </c>
      <c r="B1871" s="92"/>
      <c r="C1871" s="92"/>
      <c r="D1871" s="92"/>
      <c r="E1871" s="92"/>
      <c r="F1871" s="92"/>
      <c r="G1871" s="92"/>
      <c r="H1871" s="92"/>
      <c r="I1871" s="93" t="s">
        <v>3985</v>
      </c>
      <c r="J1871" s="93" t="s">
        <v>3986</v>
      </c>
      <c r="K1871" s="94" t="s">
        <v>3987</v>
      </c>
      <c r="L1871" s="94" t="s">
        <v>706</v>
      </c>
      <c r="M1871" s="86"/>
      <c r="N1871" s="86"/>
      <c r="O1871" s="86"/>
      <c r="P1871" s="95">
        <v>106149.63</v>
      </c>
      <c r="Q1871" s="87">
        <f t="shared" si="79"/>
        <v>0</v>
      </c>
      <c r="R1871" s="86"/>
      <c r="S1871" s="86"/>
      <c r="T1871" s="86"/>
      <c r="U1871" s="86"/>
      <c r="V1871" s="87">
        <f t="shared" si="80"/>
        <v>0</v>
      </c>
      <c r="W1871" s="88"/>
      <c r="X1871" s="89"/>
    </row>
    <row r="1872" spans="1:24" s="90" customFormat="1" ht="12" hidden="1" customHeight="1">
      <c r="A1872" s="92" t="s">
        <v>3871</v>
      </c>
      <c r="B1872" s="92"/>
      <c r="C1872" s="92"/>
      <c r="D1872" s="92"/>
      <c r="E1872" s="92"/>
      <c r="F1872" s="92"/>
      <c r="G1872" s="92"/>
      <c r="H1872" s="92"/>
      <c r="I1872" s="93" t="s">
        <v>3988</v>
      </c>
      <c r="J1872" s="93" t="s">
        <v>3989</v>
      </c>
      <c r="K1872" s="94" t="s">
        <v>3990</v>
      </c>
      <c r="L1872" s="94" t="s">
        <v>706</v>
      </c>
      <c r="M1872" s="86"/>
      <c r="N1872" s="86"/>
      <c r="O1872" s="86"/>
      <c r="P1872" s="95">
        <v>39495.839999999997</v>
      </c>
      <c r="Q1872" s="87">
        <f t="shared" si="79"/>
        <v>0</v>
      </c>
      <c r="R1872" s="86"/>
      <c r="S1872" s="86"/>
      <c r="T1872" s="86"/>
      <c r="U1872" s="86"/>
      <c r="V1872" s="87">
        <f t="shared" si="80"/>
        <v>0</v>
      </c>
      <c r="W1872" s="88"/>
      <c r="X1872" s="89"/>
    </row>
    <row r="1873" spans="1:24" s="90" customFormat="1" ht="12" hidden="1" customHeight="1">
      <c r="A1873" s="92" t="s">
        <v>3872</v>
      </c>
      <c r="B1873" s="92"/>
      <c r="C1873" s="92"/>
      <c r="D1873" s="92"/>
      <c r="E1873" s="92"/>
      <c r="F1873" s="92"/>
      <c r="G1873" s="92"/>
      <c r="H1873" s="92"/>
      <c r="I1873" s="93" t="s">
        <v>3991</v>
      </c>
      <c r="J1873" s="93" t="s">
        <v>3992</v>
      </c>
      <c r="K1873" s="94" t="s">
        <v>3993</v>
      </c>
      <c r="L1873" s="94" t="s">
        <v>706</v>
      </c>
      <c r="M1873" s="86"/>
      <c r="N1873" s="86"/>
      <c r="O1873" s="86"/>
      <c r="P1873" s="95">
        <v>165395.85999999999</v>
      </c>
      <c r="Q1873" s="87">
        <f t="shared" si="79"/>
        <v>0</v>
      </c>
      <c r="R1873" s="86"/>
      <c r="S1873" s="86"/>
      <c r="T1873" s="86"/>
      <c r="U1873" s="86"/>
      <c r="V1873" s="87">
        <f t="shared" si="80"/>
        <v>0</v>
      </c>
      <c r="W1873" s="88"/>
      <c r="X1873" s="89"/>
    </row>
    <row r="1874" spans="1:24" s="90" customFormat="1" ht="12" hidden="1" customHeight="1">
      <c r="A1874" s="92" t="s">
        <v>3873</v>
      </c>
      <c r="B1874" s="92"/>
      <c r="C1874" s="92"/>
      <c r="D1874" s="92"/>
      <c r="E1874" s="92"/>
      <c r="F1874" s="92"/>
      <c r="G1874" s="92"/>
      <c r="H1874" s="92"/>
      <c r="I1874" s="93" t="s">
        <v>3994</v>
      </c>
      <c r="J1874" s="93" t="s">
        <v>3995</v>
      </c>
      <c r="K1874" s="94" t="s">
        <v>3996</v>
      </c>
      <c r="L1874" s="94" t="s">
        <v>706</v>
      </c>
      <c r="M1874" s="86"/>
      <c r="N1874" s="86"/>
      <c r="O1874" s="86"/>
      <c r="P1874" s="95">
        <v>130835.67</v>
      </c>
      <c r="Q1874" s="87">
        <f t="shared" si="79"/>
        <v>0</v>
      </c>
      <c r="R1874" s="86"/>
      <c r="S1874" s="86"/>
      <c r="T1874" s="86"/>
      <c r="U1874" s="86"/>
      <c r="V1874" s="87">
        <f t="shared" si="80"/>
        <v>0</v>
      </c>
      <c r="W1874" s="88"/>
      <c r="X1874" s="89"/>
    </row>
    <row r="1875" spans="1:24" s="90" customFormat="1" ht="12" hidden="1" customHeight="1">
      <c r="A1875" s="92" t="s">
        <v>3874</v>
      </c>
      <c r="B1875" s="92"/>
      <c r="C1875" s="92"/>
      <c r="D1875" s="92"/>
      <c r="E1875" s="92"/>
      <c r="F1875" s="92"/>
      <c r="G1875" s="92"/>
      <c r="H1875" s="92"/>
      <c r="I1875" s="93" t="s">
        <v>3997</v>
      </c>
      <c r="J1875" s="93" t="s">
        <v>3998</v>
      </c>
      <c r="K1875" s="94" t="s">
        <v>3999</v>
      </c>
      <c r="L1875" s="94" t="s">
        <v>706</v>
      </c>
      <c r="M1875" s="86"/>
      <c r="N1875" s="86"/>
      <c r="O1875" s="86"/>
      <c r="P1875" s="95">
        <v>49369.8</v>
      </c>
      <c r="Q1875" s="87">
        <f t="shared" si="79"/>
        <v>0</v>
      </c>
      <c r="R1875" s="86"/>
      <c r="S1875" s="86"/>
      <c r="T1875" s="86"/>
      <c r="U1875" s="86"/>
      <c r="V1875" s="87">
        <f t="shared" si="80"/>
        <v>0</v>
      </c>
      <c r="W1875" s="88"/>
      <c r="X1875" s="89"/>
    </row>
    <row r="1876" spans="1:24" s="90" customFormat="1" ht="12" hidden="1" customHeight="1">
      <c r="A1876" s="92" t="s">
        <v>3875</v>
      </c>
      <c r="B1876" s="92"/>
      <c r="C1876" s="92"/>
      <c r="D1876" s="92"/>
      <c r="E1876" s="92"/>
      <c r="F1876" s="92"/>
      <c r="G1876" s="92"/>
      <c r="H1876" s="92"/>
      <c r="I1876" s="93" t="s">
        <v>4000</v>
      </c>
      <c r="J1876" s="93" t="s">
        <v>4001</v>
      </c>
      <c r="K1876" s="93" t="s">
        <v>1629</v>
      </c>
      <c r="L1876" s="94" t="s">
        <v>706</v>
      </c>
      <c r="M1876" s="86"/>
      <c r="N1876" s="86"/>
      <c r="O1876" s="86"/>
      <c r="P1876" s="95">
        <v>703839.6</v>
      </c>
      <c r="Q1876" s="87">
        <f t="shared" si="79"/>
        <v>0</v>
      </c>
      <c r="R1876" s="86"/>
      <c r="S1876" s="86"/>
      <c r="T1876" s="86"/>
      <c r="U1876" s="86"/>
      <c r="V1876" s="87">
        <f t="shared" si="80"/>
        <v>0</v>
      </c>
      <c r="W1876" s="88"/>
      <c r="X1876" s="89"/>
    </row>
    <row r="1877" spans="1:24" s="90" customFormat="1" ht="12" hidden="1" customHeight="1">
      <c r="A1877" s="92" t="s">
        <v>3876</v>
      </c>
      <c r="B1877" s="92"/>
      <c r="C1877" s="92"/>
      <c r="D1877" s="92"/>
      <c r="E1877" s="92"/>
      <c r="F1877" s="92"/>
      <c r="G1877" s="92"/>
      <c r="H1877" s="92"/>
      <c r="I1877" s="93" t="s">
        <v>4002</v>
      </c>
      <c r="J1877" s="93" t="s">
        <v>4003</v>
      </c>
      <c r="K1877" s="93" t="s">
        <v>3855</v>
      </c>
      <c r="L1877" s="94" t="s">
        <v>706</v>
      </c>
      <c r="M1877" s="86"/>
      <c r="N1877" s="86"/>
      <c r="O1877" s="86"/>
      <c r="P1877" s="95">
        <v>123424.5</v>
      </c>
      <c r="Q1877" s="87">
        <f t="shared" si="79"/>
        <v>0</v>
      </c>
      <c r="R1877" s="86"/>
      <c r="S1877" s="86"/>
      <c r="T1877" s="86"/>
      <c r="U1877" s="86"/>
      <c r="V1877" s="87">
        <f t="shared" si="80"/>
        <v>0</v>
      </c>
      <c r="W1877" s="88"/>
      <c r="X1877" s="89"/>
    </row>
    <row r="1878" spans="1:24" s="90" customFormat="1" ht="12" hidden="1" customHeight="1">
      <c r="A1878" s="92" t="s">
        <v>3877</v>
      </c>
      <c r="B1878" s="92"/>
      <c r="C1878" s="92"/>
      <c r="D1878" s="92"/>
      <c r="E1878" s="92"/>
      <c r="F1878" s="92"/>
      <c r="G1878" s="92"/>
      <c r="H1878" s="92"/>
      <c r="I1878" s="93" t="s">
        <v>4004</v>
      </c>
      <c r="J1878" s="93" t="s">
        <v>4005</v>
      </c>
      <c r="K1878" s="93" t="s">
        <v>3955</v>
      </c>
      <c r="L1878" s="94" t="s">
        <v>706</v>
      </c>
      <c r="M1878" s="86"/>
      <c r="N1878" s="86"/>
      <c r="O1878" s="86"/>
      <c r="P1878" s="95">
        <v>519189</v>
      </c>
      <c r="Q1878" s="87">
        <f t="shared" si="79"/>
        <v>0</v>
      </c>
      <c r="R1878" s="86"/>
      <c r="S1878" s="86"/>
      <c r="T1878" s="86"/>
      <c r="U1878" s="86"/>
      <c r="V1878" s="87">
        <f t="shared" si="80"/>
        <v>0</v>
      </c>
      <c r="W1878" s="88"/>
      <c r="X1878" s="89"/>
    </row>
    <row r="1879" spans="1:24" s="90" customFormat="1" ht="12" hidden="1" customHeight="1">
      <c r="A1879" s="92" t="s">
        <v>3878</v>
      </c>
      <c r="B1879" s="92"/>
      <c r="C1879" s="92"/>
      <c r="D1879" s="92"/>
      <c r="E1879" s="92"/>
      <c r="F1879" s="92"/>
      <c r="G1879" s="92"/>
      <c r="H1879" s="92"/>
      <c r="I1879" s="93" t="s">
        <v>4006</v>
      </c>
      <c r="J1879" s="93" t="s">
        <v>4007</v>
      </c>
      <c r="K1879" s="93" t="s">
        <v>1629</v>
      </c>
      <c r="L1879" s="94" t="s">
        <v>706</v>
      </c>
      <c r="M1879" s="86"/>
      <c r="N1879" s="86"/>
      <c r="O1879" s="86"/>
      <c r="P1879" s="95">
        <v>329341.5</v>
      </c>
      <c r="Q1879" s="87">
        <f t="shared" si="79"/>
        <v>0</v>
      </c>
      <c r="R1879" s="86"/>
      <c r="S1879" s="86"/>
      <c r="T1879" s="86"/>
      <c r="U1879" s="86"/>
      <c r="V1879" s="87">
        <f t="shared" si="80"/>
        <v>0</v>
      </c>
      <c r="W1879" s="88"/>
      <c r="X1879" s="89"/>
    </row>
    <row r="1880" spans="1:24" s="90" customFormat="1" ht="12" hidden="1" customHeight="1">
      <c r="A1880" s="92" t="s">
        <v>3879</v>
      </c>
      <c r="B1880" s="92"/>
      <c r="C1880" s="92"/>
      <c r="D1880" s="92"/>
      <c r="E1880" s="92"/>
      <c r="F1880" s="92"/>
      <c r="G1880" s="92"/>
      <c r="H1880" s="92"/>
      <c r="I1880" s="93" t="s">
        <v>4008</v>
      </c>
      <c r="J1880" s="93" t="s">
        <v>4009</v>
      </c>
      <c r="K1880" s="93" t="s">
        <v>3855</v>
      </c>
      <c r="L1880" s="94" t="s">
        <v>706</v>
      </c>
      <c r="M1880" s="86"/>
      <c r="N1880" s="86"/>
      <c r="O1880" s="86"/>
      <c r="P1880" s="95">
        <v>98739.6</v>
      </c>
      <c r="Q1880" s="87">
        <f t="shared" si="79"/>
        <v>0</v>
      </c>
      <c r="R1880" s="86"/>
      <c r="S1880" s="86"/>
      <c r="T1880" s="86"/>
      <c r="U1880" s="86"/>
      <c r="V1880" s="87">
        <f t="shared" si="80"/>
        <v>0</v>
      </c>
      <c r="W1880" s="88"/>
      <c r="X1880" s="89"/>
    </row>
    <row r="1881" spans="1:24" s="90" customFormat="1" ht="12" hidden="1" customHeight="1">
      <c r="A1881" s="92" t="s">
        <v>3880</v>
      </c>
      <c r="B1881" s="92"/>
      <c r="C1881" s="92"/>
      <c r="D1881" s="92"/>
      <c r="E1881" s="92"/>
      <c r="F1881" s="92"/>
      <c r="G1881" s="92"/>
      <c r="H1881" s="92"/>
      <c r="I1881" s="93" t="s">
        <v>4010</v>
      </c>
      <c r="J1881" s="93" t="s">
        <v>4011</v>
      </c>
      <c r="K1881" s="93" t="s">
        <v>3857</v>
      </c>
      <c r="L1881" s="94" t="s">
        <v>706</v>
      </c>
      <c r="M1881" s="86"/>
      <c r="N1881" s="86"/>
      <c r="O1881" s="86"/>
      <c r="P1881" s="95">
        <v>257045.4</v>
      </c>
      <c r="Q1881" s="87">
        <f t="shared" si="79"/>
        <v>0</v>
      </c>
      <c r="R1881" s="86"/>
      <c r="S1881" s="86"/>
      <c r="T1881" s="86"/>
      <c r="U1881" s="86"/>
      <c r="V1881" s="87">
        <f t="shared" si="80"/>
        <v>0</v>
      </c>
      <c r="W1881" s="88"/>
      <c r="X1881" s="89"/>
    </row>
    <row r="1882" spans="1:24" s="90" customFormat="1" ht="12" hidden="1" customHeight="1">
      <c r="A1882" s="92" t="s">
        <v>3881</v>
      </c>
      <c r="B1882" s="92"/>
      <c r="C1882" s="92"/>
      <c r="D1882" s="92"/>
      <c r="E1882" s="92"/>
      <c r="F1882" s="92"/>
      <c r="G1882" s="92"/>
      <c r="H1882" s="92"/>
      <c r="I1882" s="93" t="s">
        <v>4012</v>
      </c>
      <c r="J1882" s="93" t="s">
        <v>4013</v>
      </c>
      <c r="K1882" s="93" t="s">
        <v>3955</v>
      </c>
      <c r="L1882" s="94" t="s">
        <v>706</v>
      </c>
      <c r="M1882" s="86"/>
      <c r="N1882" s="86"/>
      <c r="O1882" s="86"/>
      <c r="P1882" s="95">
        <v>464721</v>
      </c>
      <c r="Q1882" s="87">
        <f t="shared" si="79"/>
        <v>0</v>
      </c>
      <c r="R1882" s="86"/>
      <c r="S1882" s="86"/>
      <c r="T1882" s="86"/>
      <c r="U1882" s="86"/>
      <c r="V1882" s="87">
        <f t="shared" si="80"/>
        <v>0</v>
      </c>
      <c r="W1882" s="88"/>
      <c r="X1882" s="89"/>
    </row>
    <row r="1883" spans="1:24" s="90" customFormat="1" ht="12" hidden="1" customHeight="1">
      <c r="A1883" s="92" t="s">
        <v>3882</v>
      </c>
      <c r="B1883" s="92"/>
      <c r="C1883" s="92"/>
      <c r="D1883" s="92"/>
      <c r="E1883" s="92"/>
      <c r="F1883" s="92"/>
      <c r="G1883" s="92"/>
      <c r="H1883" s="92"/>
      <c r="I1883" s="93" t="s">
        <v>4014</v>
      </c>
      <c r="J1883" s="93" t="s">
        <v>4015</v>
      </c>
      <c r="K1883" s="93" t="s">
        <v>1629</v>
      </c>
      <c r="L1883" s="94" t="s">
        <v>706</v>
      </c>
      <c r="M1883" s="86"/>
      <c r="N1883" s="86"/>
      <c r="O1883" s="86"/>
      <c r="P1883" s="95">
        <v>216148.1</v>
      </c>
      <c r="Q1883" s="87">
        <f t="shared" si="79"/>
        <v>0</v>
      </c>
      <c r="R1883" s="86"/>
      <c r="S1883" s="86"/>
      <c r="T1883" s="86"/>
      <c r="U1883" s="86"/>
      <c r="V1883" s="87">
        <f t="shared" si="80"/>
        <v>0</v>
      </c>
      <c r="W1883" s="88"/>
      <c r="X1883" s="89"/>
    </row>
    <row r="1884" spans="1:24" s="90" customFormat="1" ht="12" hidden="1" customHeight="1">
      <c r="A1884" s="92" t="s">
        <v>3883</v>
      </c>
      <c r="B1884" s="92"/>
      <c r="C1884" s="92"/>
      <c r="D1884" s="92"/>
      <c r="E1884" s="92"/>
      <c r="F1884" s="92"/>
      <c r="G1884" s="92"/>
      <c r="H1884" s="92"/>
      <c r="I1884" s="93" t="s">
        <v>4016</v>
      </c>
      <c r="J1884" s="93" t="s">
        <v>4017</v>
      </c>
      <c r="K1884" s="93" t="s">
        <v>3855</v>
      </c>
      <c r="L1884" s="94" t="s">
        <v>706</v>
      </c>
      <c r="M1884" s="86"/>
      <c r="N1884" s="86"/>
      <c r="O1884" s="86"/>
      <c r="P1884" s="95">
        <v>98739.6</v>
      </c>
      <c r="Q1884" s="87">
        <f t="shared" si="79"/>
        <v>0</v>
      </c>
      <c r="R1884" s="86"/>
      <c r="S1884" s="86"/>
      <c r="T1884" s="86"/>
      <c r="U1884" s="86"/>
      <c r="V1884" s="87">
        <f t="shared" si="80"/>
        <v>0</v>
      </c>
      <c r="W1884" s="88"/>
      <c r="X1884" s="89"/>
    </row>
    <row r="1885" spans="1:24" s="90" customFormat="1" ht="12" hidden="1" customHeight="1">
      <c r="A1885" s="92" t="s">
        <v>3884</v>
      </c>
      <c r="B1885" s="92"/>
      <c r="C1885" s="92"/>
      <c r="D1885" s="92"/>
      <c r="E1885" s="92"/>
      <c r="F1885" s="92"/>
      <c r="G1885" s="92"/>
      <c r="H1885" s="92"/>
      <c r="I1885" s="93" t="s">
        <v>4018</v>
      </c>
      <c r="J1885" s="93" t="s">
        <v>4019</v>
      </c>
      <c r="K1885" s="93" t="s">
        <v>3857</v>
      </c>
      <c r="L1885" s="94" t="s">
        <v>706</v>
      </c>
      <c r="M1885" s="86"/>
      <c r="N1885" s="86"/>
      <c r="O1885" s="86"/>
      <c r="P1885" s="95">
        <v>205126.5</v>
      </c>
      <c r="Q1885" s="87">
        <f t="shared" si="79"/>
        <v>0</v>
      </c>
      <c r="R1885" s="86"/>
      <c r="S1885" s="86"/>
      <c r="T1885" s="86"/>
      <c r="U1885" s="86"/>
      <c r="V1885" s="87">
        <f t="shared" si="80"/>
        <v>0</v>
      </c>
      <c r="W1885" s="88"/>
      <c r="X1885" s="89"/>
    </row>
    <row r="1886" spans="1:24" s="90" customFormat="1" ht="12" hidden="1" customHeight="1">
      <c r="A1886" s="92" t="s">
        <v>3885</v>
      </c>
      <c r="B1886" s="92"/>
      <c r="C1886" s="92"/>
      <c r="D1886" s="92"/>
      <c r="E1886" s="92"/>
      <c r="F1886" s="92"/>
      <c r="G1886" s="92"/>
      <c r="H1886" s="92"/>
      <c r="I1886" s="93" t="s">
        <v>4020</v>
      </c>
      <c r="J1886" s="93" t="s">
        <v>4021</v>
      </c>
      <c r="K1886" s="93" t="s">
        <v>3955</v>
      </c>
      <c r="L1886" s="94" t="s">
        <v>706</v>
      </c>
      <c r="M1886" s="86"/>
      <c r="N1886" s="86"/>
      <c r="O1886" s="86"/>
      <c r="P1886" s="95">
        <v>333649.2</v>
      </c>
      <c r="Q1886" s="87">
        <f t="shared" si="79"/>
        <v>0</v>
      </c>
      <c r="R1886" s="86"/>
      <c r="S1886" s="86"/>
      <c r="T1886" s="86"/>
      <c r="U1886" s="86"/>
      <c r="V1886" s="87">
        <f t="shared" si="80"/>
        <v>0</v>
      </c>
      <c r="W1886" s="88"/>
      <c r="X1886" s="89"/>
    </row>
    <row r="1887" spans="1:24" s="90" customFormat="1" ht="12" hidden="1" customHeight="1">
      <c r="A1887" s="92" t="s">
        <v>3886</v>
      </c>
      <c r="B1887" s="92"/>
      <c r="C1887" s="92"/>
      <c r="D1887" s="92"/>
      <c r="E1887" s="92"/>
      <c r="F1887" s="92"/>
      <c r="G1887" s="92"/>
      <c r="H1887" s="92"/>
      <c r="I1887" s="93" t="s">
        <v>4022</v>
      </c>
      <c r="J1887" s="93" t="s">
        <v>4023</v>
      </c>
      <c r="K1887" s="93" t="s">
        <v>1629</v>
      </c>
      <c r="L1887" s="94" t="s">
        <v>706</v>
      </c>
      <c r="M1887" s="86"/>
      <c r="N1887" s="86"/>
      <c r="O1887" s="86"/>
      <c r="P1887" s="95">
        <v>588828.19999999995</v>
      </c>
      <c r="Q1887" s="87">
        <f t="shared" si="79"/>
        <v>0</v>
      </c>
      <c r="R1887" s="86"/>
      <c r="S1887" s="86"/>
      <c r="T1887" s="86"/>
      <c r="U1887" s="86"/>
      <c r="V1887" s="87">
        <f t="shared" si="80"/>
        <v>0</v>
      </c>
      <c r="W1887" s="88"/>
      <c r="X1887" s="89"/>
    </row>
    <row r="1888" spans="1:24" s="90" customFormat="1" ht="12" hidden="1" customHeight="1">
      <c r="A1888" s="92" t="s">
        <v>3887</v>
      </c>
      <c r="B1888" s="92"/>
      <c r="C1888" s="92"/>
      <c r="D1888" s="92"/>
      <c r="E1888" s="92"/>
      <c r="F1888" s="92"/>
      <c r="G1888" s="92"/>
      <c r="H1888" s="92"/>
      <c r="I1888" s="93" t="s">
        <v>4024</v>
      </c>
      <c r="J1888" s="93" t="s">
        <v>4025</v>
      </c>
      <c r="K1888" s="93" t="s">
        <v>3855</v>
      </c>
      <c r="L1888" s="94" t="s">
        <v>706</v>
      </c>
      <c r="M1888" s="86"/>
      <c r="N1888" s="86"/>
      <c r="O1888" s="86"/>
      <c r="P1888" s="95">
        <v>148109.4</v>
      </c>
      <c r="Q1888" s="87">
        <f t="shared" si="79"/>
        <v>0</v>
      </c>
      <c r="R1888" s="86"/>
      <c r="S1888" s="86"/>
      <c r="T1888" s="86"/>
      <c r="U1888" s="86"/>
      <c r="V1888" s="87">
        <f t="shared" si="80"/>
        <v>0</v>
      </c>
      <c r="W1888" s="88"/>
      <c r="X1888" s="89"/>
    </row>
    <row r="1889" spans="1:24" s="90" customFormat="1" ht="12" hidden="1" customHeight="1">
      <c r="A1889" s="92" t="s">
        <v>3888</v>
      </c>
      <c r="B1889" s="92"/>
      <c r="C1889" s="92"/>
      <c r="D1889" s="92"/>
      <c r="E1889" s="92"/>
      <c r="F1889" s="92"/>
      <c r="G1889" s="92"/>
      <c r="H1889" s="92"/>
      <c r="I1889" s="93" t="s">
        <v>4026</v>
      </c>
      <c r="J1889" s="93" t="s">
        <v>4027</v>
      </c>
      <c r="K1889" s="93" t="s">
        <v>3857</v>
      </c>
      <c r="L1889" s="94" t="s">
        <v>706</v>
      </c>
      <c r="M1889" s="86"/>
      <c r="N1889" s="86"/>
      <c r="O1889" s="86"/>
      <c r="P1889" s="95">
        <v>519189</v>
      </c>
      <c r="Q1889" s="87">
        <f t="shared" si="79"/>
        <v>0</v>
      </c>
      <c r="R1889" s="86"/>
      <c r="S1889" s="86"/>
      <c r="T1889" s="86"/>
      <c r="U1889" s="86"/>
      <c r="V1889" s="87">
        <f t="shared" si="80"/>
        <v>0</v>
      </c>
      <c r="W1889" s="88"/>
      <c r="X1889" s="89"/>
    </row>
    <row r="1890" spans="1:24" s="90" customFormat="1" ht="12" hidden="1" customHeight="1">
      <c r="A1890" s="92" t="s">
        <v>3889</v>
      </c>
      <c r="B1890" s="92"/>
      <c r="C1890" s="92"/>
      <c r="D1890" s="92"/>
      <c r="E1890" s="92"/>
      <c r="F1890" s="92"/>
      <c r="G1890" s="92"/>
      <c r="H1890" s="92"/>
      <c r="I1890" s="93" t="s">
        <v>4028</v>
      </c>
      <c r="J1890" s="93" t="s">
        <v>4029</v>
      </c>
      <c r="K1890" s="93" t="s">
        <v>3955</v>
      </c>
      <c r="L1890" s="94" t="s">
        <v>706</v>
      </c>
      <c r="M1890" s="86"/>
      <c r="N1890" s="86"/>
      <c r="O1890" s="86"/>
      <c r="P1890" s="95">
        <v>667298.4</v>
      </c>
      <c r="Q1890" s="87">
        <f t="shared" si="79"/>
        <v>0</v>
      </c>
      <c r="R1890" s="86"/>
      <c r="S1890" s="86"/>
      <c r="T1890" s="86"/>
      <c r="U1890" s="86"/>
      <c r="V1890" s="87">
        <f t="shared" si="80"/>
        <v>0</v>
      </c>
      <c r="W1890" s="88"/>
      <c r="X1890" s="89"/>
    </row>
    <row r="1891" spans="1:24" s="90" customFormat="1" ht="12" hidden="1" customHeight="1">
      <c r="A1891" s="92" t="s">
        <v>3890</v>
      </c>
      <c r="B1891" s="92"/>
      <c r="C1891" s="92"/>
      <c r="D1891" s="92"/>
      <c r="E1891" s="92"/>
      <c r="F1891" s="92"/>
      <c r="G1891" s="92"/>
      <c r="H1891" s="92"/>
      <c r="I1891" s="93" t="s">
        <v>4030</v>
      </c>
      <c r="J1891" s="93" t="s">
        <v>4031</v>
      </c>
      <c r="K1891" s="94" t="s">
        <v>3903</v>
      </c>
      <c r="L1891" s="94" t="s">
        <v>706</v>
      </c>
      <c r="M1891" s="86"/>
      <c r="N1891" s="86"/>
      <c r="O1891" s="86"/>
      <c r="P1891" s="95">
        <v>651255.30000000005</v>
      </c>
      <c r="Q1891" s="87">
        <f t="shared" si="79"/>
        <v>0</v>
      </c>
      <c r="R1891" s="86"/>
      <c r="S1891" s="86"/>
      <c r="T1891" s="86"/>
      <c r="U1891" s="86"/>
      <c r="V1891" s="87">
        <f t="shared" si="80"/>
        <v>0</v>
      </c>
      <c r="W1891" s="88"/>
      <c r="X1891" s="89"/>
    </row>
    <row r="1892" spans="1:24" s="90" customFormat="1" ht="12" hidden="1" customHeight="1">
      <c r="A1892" s="92" t="s">
        <v>3891</v>
      </c>
      <c r="B1892" s="92"/>
      <c r="C1892" s="92"/>
      <c r="D1892" s="92"/>
      <c r="E1892" s="92"/>
      <c r="F1892" s="92"/>
      <c r="G1892" s="92"/>
      <c r="H1892" s="92"/>
      <c r="I1892" s="93" t="s">
        <v>4032</v>
      </c>
      <c r="J1892" s="93" t="s">
        <v>4033</v>
      </c>
      <c r="K1892" s="94" t="s">
        <v>3904</v>
      </c>
      <c r="L1892" s="94" t="s">
        <v>706</v>
      </c>
      <c r="M1892" s="86"/>
      <c r="N1892" s="86"/>
      <c r="O1892" s="86"/>
      <c r="P1892" s="95">
        <v>245106</v>
      </c>
      <c r="Q1892" s="87">
        <f t="shared" si="79"/>
        <v>0</v>
      </c>
      <c r="R1892" s="86"/>
      <c r="S1892" s="86"/>
      <c r="T1892" s="86"/>
      <c r="U1892" s="86"/>
      <c r="V1892" s="87">
        <f t="shared" si="80"/>
        <v>0</v>
      </c>
      <c r="W1892" s="88"/>
      <c r="X1892" s="89"/>
    </row>
    <row r="1893" spans="1:24" s="90" customFormat="1" ht="12" hidden="1" customHeight="1">
      <c r="A1893" s="92" t="s">
        <v>3892</v>
      </c>
      <c r="B1893" s="92"/>
      <c r="C1893" s="92"/>
      <c r="D1893" s="92"/>
      <c r="E1893" s="92"/>
      <c r="F1893" s="92"/>
      <c r="G1893" s="92"/>
      <c r="H1893" s="92"/>
      <c r="I1893" s="93" t="s">
        <v>4034</v>
      </c>
      <c r="J1893" s="93" t="s">
        <v>4035</v>
      </c>
      <c r="K1893" s="94" t="s">
        <v>4036</v>
      </c>
      <c r="L1893" s="94" t="s">
        <v>706</v>
      </c>
      <c r="M1893" s="86"/>
      <c r="N1893" s="86"/>
      <c r="O1893" s="86"/>
      <c r="P1893" s="95">
        <v>1253871</v>
      </c>
      <c r="Q1893" s="87">
        <f t="shared" si="79"/>
        <v>0</v>
      </c>
      <c r="R1893" s="86"/>
      <c r="S1893" s="86"/>
      <c r="T1893" s="86"/>
      <c r="U1893" s="86"/>
      <c r="V1893" s="87">
        <f t="shared" si="80"/>
        <v>0</v>
      </c>
      <c r="W1893" s="88"/>
      <c r="X1893" s="89"/>
    </row>
    <row r="1894" spans="1:24" s="90" customFormat="1" ht="12" hidden="1" customHeight="1">
      <c r="A1894" s="92" t="s">
        <v>3893</v>
      </c>
      <c r="B1894" s="92"/>
      <c r="C1894" s="92"/>
      <c r="D1894" s="92"/>
      <c r="E1894" s="92"/>
      <c r="F1894" s="92"/>
      <c r="G1894" s="92"/>
      <c r="H1894" s="92"/>
      <c r="I1894" s="93" t="s">
        <v>4037</v>
      </c>
      <c r="J1894" s="93" t="s">
        <v>4031</v>
      </c>
      <c r="K1894" s="93" t="s">
        <v>4038</v>
      </c>
      <c r="L1894" s="94" t="s">
        <v>706</v>
      </c>
      <c r="M1894" s="86"/>
      <c r="N1894" s="86"/>
      <c r="O1894" s="86"/>
      <c r="P1894" s="95">
        <v>12343.4</v>
      </c>
      <c r="Q1894" s="87">
        <f t="shared" si="79"/>
        <v>0</v>
      </c>
      <c r="R1894" s="86"/>
      <c r="S1894" s="86"/>
      <c r="T1894" s="86"/>
      <c r="U1894" s="86"/>
      <c r="V1894" s="87">
        <f t="shared" si="80"/>
        <v>0</v>
      </c>
      <c r="W1894" s="88"/>
      <c r="X1894" s="89"/>
    </row>
    <row r="1895" spans="1:24" s="90" customFormat="1" ht="12" hidden="1" customHeight="1">
      <c r="A1895" s="92" t="s">
        <v>3894</v>
      </c>
      <c r="B1895" s="92"/>
      <c r="C1895" s="92"/>
      <c r="D1895" s="92"/>
      <c r="E1895" s="92"/>
      <c r="F1895" s="92"/>
      <c r="G1895" s="92"/>
      <c r="H1895" s="92"/>
      <c r="I1895" s="93" t="s">
        <v>4039</v>
      </c>
      <c r="J1895" s="93" t="s">
        <v>4033</v>
      </c>
      <c r="K1895" s="93" t="s">
        <v>4040</v>
      </c>
      <c r="L1895" s="94" t="s">
        <v>706</v>
      </c>
      <c r="M1895" s="86"/>
      <c r="N1895" s="86"/>
      <c r="O1895" s="86"/>
      <c r="P1895" s="95">
        <v>13617</v>
      </c>
      <c r="Q1895" s="87">
        <f t="shared" si="79"/>
        <v>0</v>
      </c>
      <c r="R1895" s="86"/>
      <c r="S1895" s="86"/>
      <c r="T1895" s="86"/>
      <c r="U1895" s="86"/>
      <c r="V1895" s="87">
        <f t="shared" si="80"/>
        <v>0</v>
      </c>
      <c r="W1895" s="88"/>
      <c r="X1895" s="89"/>
    </row>
    <row r="1896" spans="1:24" s="90" customFormat="1" ht="12" hidden="1" customHeight="1">
      <c r="A1896" s="92" t="s">
        <v>3895</v>
      </c>
      <c r="B1896" s="92"/>
      <c r="C1896" s="92"/>
      <c r="D1896" s="92"/>
      <c r="E1896" s="92"/>
      <c r="F1896" s="92"/>
      <c r="G1896" s="92"/>
      <c r="H1896" s="92"/>
      <c r="I1896" s="93" t="s">
        <v>4041</v>
      </c>
      <c r="J1896" s="93" t="s">
        <v>4035</v>
      </c>
      <c r="K1896" s="93" t="s">
        <v>4042</v>
      </c>
      <c r="L1896" s="94" t="s">
        <v>706</v>
      </c>
      <c r="M1896" s="86"/>
      <c r="N1896" s="86"/>
      <c r="O1896" s="86"/>
      <c r="P1896" s="95">
        <v>36432.699999999997</v>
      </c>
      <c r="Q1896" s="87">
        <f t="shared" si="79"/>
        <v>0</v>
      </c>
      <c r="R1896" s="86"/>
      <c r="S1896" s="86"/>
      <c r="T1896" s="86"/>
      <c r="U1896" s="86"/>
      <c r="V1896" s="87">
        <f t="shared" si="80"/>
        <v>0</v>
      </c>
      <c r="W1896" s="88"/>
      <c r="X1896" s="89"/>
    </row>
    <row r="1897" spans="1:24" s="90" customFormat="1" ht="12" hidden="1" customHeight="1">
      <c r="A1897" s="92" t="s">
        <v>3896</v>
      </c>
      <c r="B1897" s="92"/>
      <c r="C1897" s="92"/>
      <c r="D1897" s="92"/>
      <c r="E1897" s="92"/>
      <c r="F1897" s="92"/>
      <c r="G1897" s="92"/>
      <c r="H1897" s="92"/>
      <c r="I1897" s="93" t="s">
        <v>4043</v>
      </c>
      <c r="J1897" s="93" t="s">
        <v>4044</v>
      </c>
      <c r="K1897" s="94" t="s">
        <v>4045</v>
      </c>
      <c r="L1897" s="94" t="s">
        <v>706</v>
      </c>
      <c r="M1897" s="86"/>
      <c r="N1897" s="86"/>
      <c r="O1897" s="86"/>
      <c r="P1897" s="95">
        <v>360100.41</v>
      </c>
      <c r="Q1897" s="87">
        <f t="shared" si="79"/>
        <v>0</v>
      </c>
      <c r="R1897" s="86"/>
      <c r="S1897" s="86"/>
      <c r="T1897" s="86"/>
      <c r="U1897" s="86"/>
      <c r="V1897" s="87">
        <f t="shared" si="80"/>
        <v>0</v>
      </c>
      <c r="W1897" s="88"/>
      <c r="X1897" s="89"/>
    </row>
    <row r="1898" spans="1:24" s="90" customFormat="1" ht="12" hidden="1" customHeight="1">
      <c r="A1898" s="92" t="s">
        <v>3897</v>
      </c>
      <c r="B1898" s="92"/>
      <c r="C1898" s="92"/>
      <c r="D1898" s="92"/>
      <c r="E1898" s="92"/>
      <c r="F1898" s="92"/>
      <c r="G1898" s="92"/>
      <c r="H1898" s="92"/>
      <c r="I1898" s="93" t="s">
        <v>4046</v>
      </c>
      <c r="J1898" s="93" t="s">
        <v>4047</v>
      </c>
      <c r="K1898" s="94" t="s">
        <v>4048</v>
      </c>
      <c r="L1898" s="94" t="s">
        <v>706</v>
      </c>
      <c r="M1898" s="86"/>
      <c r="N1898" s="86"/>
      <c r="O1898" s="86"/>
      <c r="P1898" s="95">
        <v>190396.17</v>
      </c>
      <c r="Q1898" s="87">
        <f t="shared" si="79"/>
        <v>0</v>
      </c>
      <c r="R1898" s="86"/>
      <c r="S1898" s="86"/>
      <c r="T1898" s="86"/>
      <c r="U1898" s="86"/>
      <c r="V1898" s="87">
        <f t="shared" si="80"/>
        <v>0</v>
      </c>
      <c r="W1898" s="88"/>
      <c r="X1898" s="89"/>
    </row>
    <row r="1899" spans="1:24" s="90" customFormat="1" ht="12" hidden="1" customHeight="1">
      <c r="A1899" s="92" t="s">
        <v>3898</v>
      </c>
      <c r="B1899" s="92"/>
      <c r="C1899" s="92"/>
      <c r="D1899" s="92"/>
      <c r="E1899" s="92"/>
      <c r="F1899" s="92"/>
      <c r="G1899" s="92"/>
      <c r="H1899" s="92"/>
      <c r="I1899" s="93" t="s">
        <v>4049</v>
      </c>
      <c r="J1899" s="93" t="s">
        <v>4050</v>
      </c>
      <c r="K1899" s="94" t="s">
        <v>4051</v>
      </c>
      <c r="L1899" s="94" t="s">
        <v>706</v>
      </c>
      <c r="M1899" s="86"/>
      <c r="N1899" s="86"/>
      <c r="O1899" s="86"/>
      <c r="P1899" s="95">
        <v>305382.48</v>
      </c>
      <c r="Q1899" s="87">
        <f t="shared" si="79"/>
        <v>0</v>
      </c>
      <c r="R1899" s="86"/>
      <c r="S1899" s="86"/>
      <c r="T1899" s="86"/>
      <c r="U1899" s="86"/>
      <c r="V1899" s="87">
        <f t="shared" si="80"/>
        <v>0</v>
      </c>
      <c r="W1899" s="88"/>
      <c r="X1899" s="89"/>
    </row>
    <row r="1900" spans="1:24" s="90" customFormat="1" ht="12" hidden="1" customHeight="1">
      <c r="A1900" s="92" t="s">
        <v>3899</v>
      </c>
      <c r="B1900" s="92"/>
      <c r="C1900" s="92"/>
      <c r="D1900" s="92"/>
      <c r="E1900" s="92"/>
      <c r="F1900" s="92"/>
      <c r="G1900" s="92"/>
      <c r="H1900" s="92"/>
      <c r="I1900" s="93" t="s">
        <v>4052</v>
      </c>
      <c r="J1900" s="93" t="s">
        <v>4053</v>
      </c>
      <c r="K1900" s="94" t="s">
        <v>3905</v>
      </c>
      <c r="L1900" s="94" t="s">
        <v>706</v>
      </c>
      <c r="M1900" s="86"/>
      <c r="N1900" s="86"/>
      <c r="O1900" s="86"/>
      <c r="P1900" s="95">
        <v>514545</v>
      </c>
      <c r="Q1900" s="87">
        <f t="shared" si="79"/>
        <v>0</v>
      </c>
      <c r="R1900" s="86"/>
      <c r="S1900" s="86"/>
      <c r="T1900" s="86"/>
      <c r="U1900" s="86"/>
      <c r="V1900" s="87">
        <f t="shared" si="80"/>
        <v>0</v>
      </c>
      <c r="W1900" s="88"/>
      <c r="X1900" s="89"/>
    </row>
    <row r="1901" spans="1:24" s="90" customFormat="1" ht="12" hidden="1" customHeight="1">
      <c r="A1901" s="92" t="s">
        <v>3900</v>
      </c>
      <c r="B1901" s="92"/>
      <c r="C1901" s="92"/>
      <c r="D1901" s="92"/>
      <c r="E1901" s="92"/>
      <c r="F1901" s="92"/>
      <c r="G1901" s="92"/>
      <c r="H1901" s="92"/>
      <c r="I1901" s="93" t="s">
        <v>4054</v>
      </c>
      <c r="J1901" s="93" t="s">
        <v>4055</v>
      </c>
      <c r="K1901" s="94" t="s">
        <v>3906</v>
      </c>
      <c r="L1901" s="94" t="s">
        <v>706</v>
      </c>
      <c r="M1901" s="86"/>
      <c r="N1901" s="86"/>
      <c r="O1901" s="86"/>
      <c r="P1901" s="95">
        <v>74054.7</v>
      </c>
      <c r="Q1901" s="87">
        <f t="shared" si="79"/>
        <v>0</v>
      </c>
      <c r="R1901" s="86"/>
      <c r="S1901" s="86"/>
      <c r="T1901" s="86"/>
      <c r="U1901" s="86"/>
      <c r="V1901" s="87">
        <f t="shared" si="80"/>
        <v>0</v>
      </c>
      <c r="W1901" s="88"/>
      <c r="X1901" s="89"/>
    </row>
    <row r="1902" spans="1:24" s="90" customFormat="1" ht="12" hidden="1" customHeight="1">
      <c r="A1902" s="92" t="s">
        <v>3901</v>
      </c>
      <c r="B1902" s="92"/>
      <c r="C1902" s="92"/>
      <c r="D1902" s="92"/>
      <c r="E1902" s="92"/>
      <c r="F1902" s="92"/>
      <c r="G1902" s="92"/>
      <c r="H1902" s="92"/>
      <c r="I1902" s="93" t="s">
        <v>4056</v>
      </c>
      <c r="J1902" s="93" t="s">
        <v>4057</v>
      </c>
      <c r="K1902" s="94" t="s">
        <v>3907</v>
      </c>
      <c r="L1902" s="94" t="s">
        <v>706</v>
      </c>
      <c r="M1902" s="86"/>
      <c r="N1902" s="86"/>
      <c r="O1902" s="86"/>
      <c r="P1902" s="95">
        <v>172794.3</v>
      </c>
      <c r="Q1902" s="87">
        <f t="shared" si="79"/>
        <v>0</v>
      </c>
      <c r="R1902" s="86"/>
      <c r="S1902" s="86"/>
      <c r="T1902" s="86"/>
      <c r="U1902" s="86"/>
      <c r="V1902" s="87">
        <f t="shared" si="80"/>
        <v>0</v>
      </c>
      <c r="W1902" s="88"/>
      <c r="X1902" s="89"/>
    </row>
    <row r="1903" spans="1:24" s="90" customFormat="1" ht="12" hidden="1" customHeight="1">
      <c r="A1903" s="92" t="s">
        <v>3902</v>
      </c>
      <c r="B1903" s="92"/>
      <c r="C1903" s="92"/>
      <c r="D1903" s="92"/>
      <c r="E1903" s="92"/>
      <c r="F1903" s="92"/>
      <c r="G1903" s="92"/>
      <c r="H1903" s="92"/>
      <c r="I1903" s="93" t="s">
        <v>4058</v>
      </c>
      <c r="J1903" s="93" t="s">
        <v>4059</v>
      </c>
      <c r="K1903" s="94" t="s">
        <v>4060</v>
      </c>
      <c r="L1903" s="94" t="s">
        <v>706</v>
      </c>
      <c r="M1903" s="86"/>
      <c r="N1903" s="86"/>
      <c r="O1903" s="86"/>
      <c r="P1903" s="95">
        <v>1534660.6</v>
      </c>
      <c r="Q1903" s="87">
        <f t="shared" si="79"/>
        <v>0</v>
      </c>
      <c r="R1903" s="86"/>
      <c r="S1903" s="86"/>
      <c r="T1903" s="86"/>
      <c r="U1903" s="86"/>
      <c r="V1903" s="87">
        <f t="shared" si="80"/>
        <v>0</v>
      </c>
      <c r="W1903" s="88"/>
      <c r="X1903" s="89"/>
    </row>
    <row r="1904" spans="1:24" s="90" customFormat="1" ht="12" hidden="1" customHeight="1">
      <c r="A1904" s="83" t="s">
        <v>2480</v>
      </c>
      <c r="B1904" s="83"/>
      <c r="C1904" s="83"/>
      <c r="D1904" s="83"/>
      <c r="E1904" s="83"/>
      <c r="F1904" s="83"/>
      <c r="G1904" s="83"/>
      <c r="H1904" s="83"/>
      <c r="I1904" s="84" t="s">
        <v>2035</v>
      </c>
      <c r="J1904" s="84" t="s">
        <v>1553</v>
      </c>
      <c r="K1904" s="84" t="s">
        <v>1554</v>
      </c>
      <c r="L1904" s="84" t="s">
        <v>20</v>
      </c>
      <c r="M1904" s="86"/>
      <c r="N1904" s="86"/>
      <c r="O1904" s="86"/>
      <c r="P1904" s="91">
        <v>22022.564999999999</v>
      </c>
      <c r="Q1904" s="87">
        <f t="shared" si="79"/>
        <v>0</v>
      </c>
      <c r="R1904" s="86"/>
      <c r="S1904" s="86"/>
      <c r="T1904" s="86"/>
      <c r="U1904" s="86"/>
      <c r="V1904" s="87">
        <f t="shared" si="80"/>
        <v>0</v>
      </c>
      <c r="W1904" s="88"/>
      <c r="X1904" s="89"/>
    </row>
    <row r="1905" spans="1:24" s="90" customFormat="1" ht="12" hidden="1" customHeight="1">
      <c r="A1905" s="83" t="s">
        <v>2481</v>
      </c>
      <c r="B1905" s="83"/>
      <c r="C1905" s="83"/>
      <c r="D1905" s="83"/>
      <c r="E1905" s="83"/>
      <c r="F1905" s="83"/>
      <c r="G1905" s="83"/>
      <c r="H1905" s="83"/>
      <c r="I1905" s="84" t="s">
        <v>2036</v>
      </c>
      <c r="J1905" s="84" t="s">
        <v>2482</v>
      </c>
      <c r="K1905" s="84" t="s">
        <v>2483</v>
      </c>
      <c r="L1905" s="84" t="s">
        <v>20</v>
      </c>
      <c r="M1905" s="86"/>
      <c r="N1905" s="86"/>
      <c r="O1905" s="86"/>
      <c r="P1905" s="91">
        <v>22022.564999999999</v>
      </c>
      <c r="Q1905" s="87">
        <f t="shared" si="79"/>
        <v>0</v>
      </c>
      <c r="R1905" s="86"/>
      <c r="S1905" s="86"/>
      <c r="T1905" s="86"/>
      <c r="U1905" s="86"/>
      <c r="V1905" s="87">
        <f t="shared" si="80"/>
        <v>0</v>
      </c>
      <c r="W1905" s="88"/>
      <c r="X1905" s="89"/>
    </row>
    <row r="1906" spans="1:24" s="90" customFormat="1" ht="12" hidden="1" customHeight="1">
      <c r="A1906" s="83" t="s">
        <v>2484</v>
      </c>
      <c r="B1906" s="83"/>
      <c r="C1906" s="83"/>
      <c r="D1906" s="83"/>
      <c r="E1906" s="83"/>
      <c r="F1906" s="83"/>
      <c r="G1906" s="83"/>
      <c r="H1906" s="83"/>
      <c r="I1906" s="84" t="s">
        <v>2485</v>
      </c>
      <c r="J1906" s="84" t="s">
        <v>2486</v>
      </c>
      <c r="K1906" s="84" t="s">
        <v>2487</v>
      </c>
      <c r="L1906" s="84" t="s">
        <v>20</v>
      </c>
      <c r="M1906" s="86"/>
      <c r="N1906" s="86"/>
      <c r="O1906" s="86"/>
      <c r="P1906" s="91">
        <v>25908.9</v>
      </c>
      <c r="Q1906" s="87">
        <f t="shared" si="79"/>
        <v>0</v>
      </c>
      <c r="R1906" s="86"/>
      <c r="S1906" s="86"/>
      <c r="T1906" s="86"/>
      <c r="U1906" s="86"/>
      <c r="V1906" s="87">
        <f t="shared" si="80"/>
        <v>0</v>
      </c>
      <c r="W1906" s="88"/>
      <c r="X1906" s="89"/>
    </row>
    <row r="1907" spans="1:24" s="90" customFormat="1" ht="12" hidden="1" customHeight="1">
      <c r="A1907" s="83" t="s">
        <v>2464</v>
      </c>
      <c r="B1907" s="83"/>
      <c r="C1907" s="83"/>
      <c r="D1907" s="83"/>
      <c r="E1907" s="83"/>
      <c r="F1907" s="83"/>
      <c r="G1907" s="83"/>
      <c r="H1907" s="83"/>
      <c r="I1907" s="84" t="s">
        <v>2120</v>
      </c>
      <c r="J1907" s="84" t="s">
        <v>2465</v>
      </c>
      <c r="K1907" s="85" t="s">
        <v>3632</v>
      </c>
      <c r="L1907" s="84" t="s">
        <v>20</v>
      </c>
      <c r="M1907" s="86"/>
      <c r="N1907" s="86"/>
      <c r="O1907" s="86"/>
      <c r="P1907" s="91">
        <v>77726.7</v>
      </c>
      <c r="Q1907" s="87">
        <f t="shared" si="79"/>
        <v>0</v>
      </c>
      <c r="R1907" s="86"/>
      <c r="S1907" s="86"/>
      <c r="T1907" s="86"/>
      <c r="U1907" s="86"/>
      <c r="V1907" s="87">
        <f t="shared" si="80"/>
        <v>0</v>
      </c>
      <c r="W1907" s="88"/>
      <c r="X1907" s="89"/>
    </row>
    <row r="1908" spans="1:24" s="90" customFormat="1" ht="12" hidden="1" customHeight="1">
      <c r="A1908" s="83" t="s">
        <v>2466</v>
      </c>
      <c r="B1908" s="83"/>
      <c r="C1908" s="83"/>
      <c r="D1908" s="83"/>
      <c r="E1908" s="83"/>
      <c r="F1908" s="83"/>
      <c r="G1908" s="83"/>
      <c r="H1908" s="83"/>
      <c r="I1908" s="84" t="s">
        <v>2121</v>
      </c>
      <c r="J1908" s="84" t="s">
        <v>2467</v>
      </c>
      <c r="K1908" s="85" t="s">
        <v>3633</v>
      </c>
      <c r="L1908" s="84" t="s">
        <v>20</v>
      </c>
      <c r="M1908" s="86"/>
      <c r="N1908" s="86"/>
      <c r="O1908" s="86"/>
      <c r="P1908" s="91">
        <v>116590.05</v>
      </c>
      <c r="Q1908" s="87">
        <f t="shared" si="79"/>
        <v>0</v>
      </c>
      <c r="R1908" s="86"/>
      <c r="S1908" s="86"/>
      <c r="T1908" s="86"/>
      <c r="U1908" s="86"/>
      <c r="V1908" s="87">
        <f t="shared" si="80"/>
        <v>0</v>
      </c>
      <c r="W1908" s="88"/>
      <c r="X1908" s="89"/>
    </row>
    <row r="1909" spans="1:24" s="90" customFormat="1" ht="12" hidden="1" customHeight="1">
      <c r="A1909" s="83" t="s">
        <v>2468</v>
      </c>
      <c r="B1909" s="83"/>
      <c r="C1909" s="83"/>
      <c r="D1909" s="83"/>
      <c r="E1909" s="83"/>
      <c r="F1909" s="83"/>
      <c r="G1909" s="83"/>
      <c r="H1909" s="83"/>
      <c r="I1909" s="84" t="s">
        <v>2122</v>
      </c>
      <c r="J1909" s="84" t="s">
        <v>2469</v>
      </c>
      <c r="K1909" s="85" t="s">
        <v>3634</v>
      </c>
      <c r="L1909" s="84" t="s">
        <v>20</v>
      </c>
      <c r="M1909" s="86"/>
      <c r="N1909" s="86"/>
      <c r="O1909" s="86"/>
      <c r="P1909" s="91">
        <v>155453.4</v>
      </c>
      <c r="Q1909" s="87">
        <f t="shared" si="79"/>
        <v>0</v>
      </c>
      <c r="R1909" s="86"/>
      <c r="S1909" s="86"/>
      <c r="T1909" s="86"/>
      <c r="U1909" s="86"/>
      <c r="V1909" s="87">
        <f t="shared" si="80"/>
        <v>0</v>
      </c>
      <c r="W1909" s="88"/>
      <c r="X1909" s="89"/>
    </row>
    <row r="1910" spans="1:24" s="90" customFormat="1" ht="12" hidden="1" customHeight="1">
      <c r="A1910" s="83" t="s">
        <v>2470</v>
      </c>
      <c r="B1910" s="83"/>
      <c r="C1910" s="83"/>
      <c r="D1910" s="83"/>
      <c r="E1910" s="83"/>
      <c r="F1910" s="83"/>
      <c r="G1910" s="83"/>
      <c r="H1910" s="83"/>
      <c r="I1910" s="84" t="s">
        <v>2123</v>
      </c>
      <c r="J1910" s="84" t="s">
        <v>2471</v>
      </c>
      <c r="K1910" s="85" t="s">
        <v>3635</v>
      </c>
      <c r="L1910" s="84" t="s">
        <v>20</v>
      </c>
      <c r="M1910" s="86"/>
      <c r="N1910" s="86"/>
      <c r="O1910" s="86"/>
      <c r="P1910" s="91">
        <v>207271.2</v>
      </c>
      <c r="Q1910" s="87">
        <f t="shared" si="79"/>
        <v>0</v>
      </c>
      <c r="R1910" s="86"/>
      <c r="S1910" s="86"/>
      <c r="T1910" s="86"/>
      <c r="U1910" s="86"/>
      <c r="V1910" s="87">
        <f t="shared" si="80"/>
        <v>0</v>
      </c>
      <c r="W1910" s="88"/>
      <c r="X1910" s="89"/>
    </row>
    <row r="1911" spans="1:24" s="90" customFormat="1" ht="12" hidden="1" customHeight="1">
      <c r="A1911" s="83" t="s">
        <v>2472</v>
      </c>
      <c r="B1911" s="83"/>
      <c r="C1911" s="83"/>
      <c r="D1911" s="83"/>
      <c r="E1911" s="83"/>
      <c r="F1911" s="83"/>
      <c r="G1911" s="83"/>
      <c r="H1911" s="83"/>
      <c r="I1911" s="84" t="s">
        <v>2124</v>
      </c>
      <c r="J1911" s="84" t="s">
        <v>2473</v>
      </c>
      <c r="K1911" s="85" t="s">
        <v>3636</v>
      </c>
      <c r="L1911" s="84" t="s">
        <v>20</v>
      </c>
      <c r="M1911" s="86"/>
      <c r="N1911" s="86"/>
      <c r="O1911" s="86"/>
      <c r="P1911" s="91">
        <v>272043.45</v>
      </c>
      <c r="Q1911" s="87">
        <f t="shared" si="79"/>
        <v>0</v>
      </c>
      <c r="R1911" s="86"/>
      <c r="S1911" s="86"/>
      <c r="T1911" s="86"/>
      <c r="U1911" s="86"/>
      <c r="V1911" s="87">
        <f t="shared" si="80"/>
        <v>0</v>
      </c>
      <c r="W1911" s="88"/>
      <c r="X1911" s="89"/>
    </row>
    <row r="1912" spans="1:24" s="90" customFormat="1" ht="12" hidden="1" customHeight="1">
      <c r="A1912" s="83" t="s">
        <v>2474</v>
      </c>
      <c r="B1912" s="83"/>
      <c r="C1912" s="83"/>
      <c r="D1912" s="83"/>
      <c r="E1912" s="83"/>
      <c r="F1912" s="83"/>
      <c r="G1912" s="83"/>
      <c r="H1912" s="83"/>
      <c r="I1912" s="84" t="s">
        <v>2125</v>
      </c>
      <c r="J1912" s="84" t="s">
        <v>2475</v>
      </c>
      <c r="K1912" s="85" t="s">
        <v>3637</v>
      </c>
      <c r="L1912" s="84" t="s">
        <v>20</v>
      </c>
      <c r="M1912" s="86"/>
      <c r="N1912" s="86"/>
      <c r="O1912" s="86"/>
      <c r="P1912" s="91">
        <v>323861.25</v>
      </c>
      <c r="Q1912" s="87">
        <f t="shared" si="79"/>
        <v>0</v>
      </c>
      <c r="R1912" s="86"/>
      <c r="S1912" s="86"/>
      <c r="T1912" s="86"/>
      <c r="U1912" s="86"/>
      <c r="V1912" s="87">
        <f t="shared" si="80"/>
        <v>0</v>
      </c>
      <c r="W1912" s="88"/>
      <c r="X1912" s="89"/>
    </row>
    <row r="1913" spans="1:24" s="90" customFormat="1" ht="12" hidden="1" customHeight="1">
      <c r="A1913" s="83" t="s">
        <v>2476</v>
      </c>
      <c r="B1913" s="83"/>
      <c r="C1913" s="83"/>
      <c r="D1913" s="83"/>
      <c r="E1913" s="83"/>
      <c r="F1913" s="83"/>
      <c r="G1913" s="83"/>
      <c r="H1913" s="83"/>
      <c r="I1913" s="84" t="s">
        <v>2126</v>
      </c>
      <c r="J1913" s="84" t="s">
        <v>2477</v>
      </c>
      <c r="K1913" s="85" t="s">
        <v>3638</v>
      </c>
      <c r="L1913" s="84" t="s">
        <v>20</v>
      </c>
      <c r="M1913" s="86"/>
      <c r="N1913" s="86"/>
      <c r="O1913" s="86"/>
      <c r="P1913" s="91">
        <v>440451.3</v>
      </c>
      <c r="Q1913" s="87">
        <f t="shared" si="79"/>
        <v>0</v>
      </c>
      <c r="R1913" s="86"/>
      <c r="S1913" s="86"/>
      <c r="T1913" s="86"/>
      <c r="U1913" s="86"/>
      <c r="V1913" s="87">
        <f t="shared" si="80"/>
        <v>0</v>
      </c>
      <c r="W1913" s="88"/>
      <c r="X1913" s="89"/>
    </row>
    <row r="1914" spans="1:24" s="90" customFormat="1" ht="12" hidden="1" customHeight="1">
      <c r="A1914" s="83" t="s">
        <v>2478</v>
      </c>
      <c r="B1914" s="83"/>
      <c r="C1914" s="83"/>
      <c r="D1914" s="83"/>
      <c r="E1914" s="83"/>
      <c r="F1914" s="83"/>
      <c r="G1914" s="83"/>
      <c r="H1914" s="83"/>
      <c r="I1914" s="84" t="s">
        <v>2127</v>
      </c>
      <c r="J1914" s="84" t="s">
        <v>2479</v>
      </c>
      <c r="K1914" s="85" t="s">
        <v>3639</v>
      </c>
      <c r="L1914" s="84" t="s">
        <v>20</v>
      </c>
      <c r="M1914" s="86"/>
      <c r="N1914" s="86"/>
      <c r="O1914" s="86"/>
      <c r="P1914" s="91">
        <v>569995.80000000005</v>
      </c>
      <c r="Q1914" s="87">
        <f t="shared" si="79"/>
        <v>0</v>
      </c>
      <c r="R1914" s="86"/>
      <c r="S1914" s="86"/>
      <c r="T1914" s="86"/>
      <c r="U1914" s="86"/>
      <c r="V1914" s="87">
        <f t="shared" si="80"/>
        <v>0</v>
      </c>
      <c r="W1914" s="88"/>
      <c r="X1914" s="89"/>
    </row>
    <row r="1915" spans="1:24" s="90" customFormat="1" ht="12" hidden="1" customHeight="1">
      <c r="A1915" s="83" t="s">
        <v>3552</v>
      </c>
      <c r="B1915" s="83"/>
      <c r="C1915" s="83"/>
      <c r="D1915" s="83"/>
      <c r="E1915" s="83"/>
      <c r="F1915" s="83"/>
      <c r="G1915" s="83"/>
      <c r="H1915" s="83"/>
      <c r="I1915" s="84" t="s">
        <v>3553</v>
      </c>
      <c r="J1915" s="84" t="s">
        <v>3554</v>
      </c>
      <c r="K1915" s="85" t="s">
        <v>3640</v>
      </c>
      <c r="L1915" s="84" t="s">
        <v>20</v>
      </c>
      <c r="M1915" s="86"/>
      <c r="N1915" s="86"/>
      <c r="O1915" s="86"/>
      <c r="P1915" s="91">
        <v>92502.78</v>
      </c>
      <c r="Q1915" s="87">
        <f t="shared" si="79"/>
        <v>0</v>
      </c>
      <c r="R1915" s="86"/>
      <c r="S1915" s="86"/>
      <c r="T1915" s="86"/>
      <c r="U1915" s="86"/>
      <c r="V1915" s="87">
        <f t="shared" si="80"/>
        <v>0</v>
      </c>
      <c r="W1915" s="88"/>
      <c r="X1915" s="89"/>
    </row>
    <row r="1916" spans="1:24" s="90" customFormat="1" ht="12" hidden="1" customHeight="1">
      <c r="A1916" s="83" t="s">
        <v>3555</v>
      </c>
      <c r="B1916" s="83"/>
      <c r="C1916" s="83"/>
      <c r="D1916" s="83"/>
      <c r="E1916" s="83"/>
      <c r="F1916" s="83"/>
      <c r="G1916" s="83"/>
      <c r="H1916" s="83"/>
      <c r="I1916" s="84" t="s">
        <v>3556</v>
      </c>
      <c r="J1916" s="84" t="s">
        <v>3557</v>
      </c>
      <c r="K1916" s="85" t="s">
        <v>3641</v>
      </c>
      <c r="L1916" s="84" t="s">
        <v>20</v>
      </c>
      <c r="M1916" s="86"/>
      <c r="N1916" s="86"/>
      <c r="O1916" s="86"/>
      <c r="P1916" s="91">
        <v>116988.81</v>
      </c>
      <c r="Q1916" s="87">
        <f t="shared" si="79"/>
        <v>0</v>
      </c>
      <c r="R1916" s="86"/>
      <c r="S1916" s="86"/>
      <c r="T1916" s="86"/>
      <c r="U1916" s="86"/>
      <c r="V1916" s="87">
        <f t="shared" si="80"/>
        <v>0</v>
      </c>
      <c r="W1916" s="88"/>
      <c r="X1916" s="89"/>
    </row>
    <row r="1917" spans="1:24" s="90" customFormat="1" ht="12" hidden="1" customHeight="1">
      <c r="A1917" s="83" t="s">
        <v>3558</v>
      </c>
      <c r="B1917" s="83"/>
      <c r="C1917" s="83"/>
      <c r="D1917" s="83"/>
      <c r="E1917" s="83"/>
      <c r="F1917" s="83"/>
      <c r="G1917" s="83"/>
      <c r="H1917" s="83"/>
      <c r="I1917" s="84" t="s">
        <v>3559</v>
      </c>
      <c r="J1917" s="84" t="s">
        <v>3560</v>
      </c>
      <c r="K1917" s="85" t="s">
        <v>3642</v>
      </c>
      <c r="L1917" s="84" t="s">
        <v>20</v>
      </c>
      <c r="M1917" s="86"/>
      <c r="N1917" s="86"/>
      <c r="O1917" s="86"/>
      <c r="P1917" s="91">
        <v>146916.18</v>
      </c>
      <c r="Q1917" s="87">
        <f t="shared" si="79"/>
        <v>0</v>
      </c>
      <c r="R1917" s="86"/>
      <c r="S1917" s="86"/>
      <c r="T1917" s="86"/>
      <c r="U1917" s="86"/>
      <c r="V1917" s="87">
        <f t="shared" si="80"/>
        <v>0</v>
      </c>
      <c r="W1917" s="88"/>
      <c r="X1917" s="89"/>
    </row>
    <row r="1918" spans="1:24" s="90" customFormat="1" ht="12" hidden="1" customHeight="1">
      <c r="A1918" s="83" t="s">
        <v>3561</v>
      </c>
      <c r="B1918" s="83"/>
      <c r="C1918" s="83"/>
      <c r="D1918" s="83"/>
      <c r="E1918" s="83"/>
      <c r="F1918" s="83"/>
      <c r="G1918" s="83"/>
      <c r="H1918" s="83"/>
      <c r="I1918" s="84" t="s">
        <v>3562</v>
      </c>
      <c r="J1918" s="84" t="s">
        <v>3563</v>
      </c>
      <c r="K1918" s="85" t="s">
        <v>3643</v>
      </c>
      <c r="L1918" s="84" t="s">
        <v>20</v>
      </c>
      <c r="M1918" s="86"/>
      <c r="N1918" s="86"/>
      <c r="O1918" s="86"/>
      <c r="P1918" s="91">
        <v>116988.81</v>
      </c>
      <c r="Q1918" s="87">
        <f t="shared" si="79"/>
        <v>0</v>
      </c>
      <c r="R1918" s="86"/>
      <c r="S1918" s="86"/>
      <c r="T1918" s="86"/>
      <c r="U1918" s="86"/>
      <c r="V1918" s="87">
        <f t="shared" si="80"/>
        <v>0</v>
      </c>
      <c r="W1918" s="88"/>
      <c r="X1918" s="89"/>
    </row>
    <row r="1919" spans="1:24" s="90" customFormat="1" ht="12" hidden="1" customHeight="1">
      <c r="A1919" s="83" t="s">
        <v>3564</v>
      </c>
      <c r="B1919" s="83"/>
      <c r="C1919" s="83"/>
      <c r="D1919" s="83"/>
      <c r="E1919" s="83"/>
      <c r="F1919" s="83"/>
      <c r="G1919" s="83"/>
      <c r="H1919" s="83"/>
      <c r="I1919" s="84" t="s">
        <v>3565</v>
      </c>
      <c r="J1919" s="84" t="s">
        <v>3566</v>
      </c>
      <c r="K1919" s="85" t="s">
        <v>3644</v>
      </c>
      <c r="L1919" s="84" t="s">
        <v>20</v>
      </c>
      <c r="M1919" s="86"/>
      <c r="N1919" s="86"/>
      <c r="O1919" s="86"/>
      <c r="P1919" s="91">
        <v>157798.85999999999</v>
      </c>
      <c r="Q1919" s="87">
        <f t="shared" si="79"/>
        <v>0</v>
      </c>
      <c r="R1919" s="86"/>
      <c r="S1919" s="86"/>
      <c r="T1919" s="86"/>
      <c r="U1919" s="86"/>
      <c r="V1919" s="87">
        <f t="shared" si="80"/>
        <v>0</v>
      </c>
      <c r="W1919" s="88"/>
      <c r="X1919" s="89"/>
    </row>
    <row r="1920" spans="1:24" s="90" customFormat="1" ht="12" hidden="1" customHeight="1">
      <c r="A1920" s="83" t="s">
        <v>3567</v>
      </c>
      <c r="B1920" s="83"/>
      <c r="C1920" s="83"/>
      <c r="D1920" s="83"/>
      <c r="E1920" s="83"/>
      <c r="F1920" s="83"/>
      <c r="G1920" s="83"/>
      <c r="H1920" s="83"/>
      <c r="I1920" s="84" t="s">
        <v>3568</v>
      </c>
      <c r="J1920" s="84" t="s">
        <v>3569</v>
      </c>
      <c r="K1920" s="85" t="s">
        <v>3645</v>
      </c>
      <c r="L1920" s="84" t="s">
        <v>20</v>
      </c>
      <c r="M1920" s="86"/>
      <c r="N1920" s="86"/>
      <c r="O1920" s="86"/>
      <c r="P1920" s="91">
        <v>201329.58</v>
      </c>
      <c r="Q1920" s="87">
        <f t="shared" si="79"/>
        <v>0</v>
      </c>
      <c r="R1920" s="86"/>
      <c r="S1920" s="86"/>
      <c r="T1920" s="86"/>
      <c r="U1920" s="86"/>
      <c r="V1920" s="87">
        <f t="shared" si="80"/>
        <v>0</v>
      </c>
      <c r="W1920" s="88"/>
      <c r="X1920" s="89"/>
    </row>
    <row r="1921" spans="1:24" s="90" customFormat="1" ht="12" hidden="1" customHeight="1">
      <c r="A1921" s="83" t="s">
        <v>3570</v>
      </c>
      <c r="B1921" s="83"/>
      <c r="C1921" s="83"/>
      <c r="D1921" s="83"/>
      <c r="E1921" s="83"/>
      <c r="F1921" s="83"/>
      <c r="G1921" s="83"/>
      <c r="H1921" s="83"/>
      <c r="I1921" s="84" t="s">
        <v>3571</v>
      </c>
      <c r="J1921" s="84" t="s">
        <v>3572</v>
      </c>
      <c r="K1921" s="85" t="s">
        <v>3646</v>
      </c>
      <c r="L1921" s="84" t="s">
        <v>20</v>
      </c>
      <c r="M1921" s="86"/>
      <c r="N1921" s="86"/>
      <c r="O1921" s="86"/>
      <c r="P1921" s="91">
        <v>157798.85999999999</v>
      </c>
      <c r="Q1921" s="87">
        <f t="shared" si="79"/>
        <v>0</v>
      </c>
      <c r="R1921" s="86"/>
      <c r="S1921" s="86"/>
      <c r="T1921" s="86"/>
      <c r="U1921" s="86"/>
      <c r="V1921" s="87">
        <f t="shared" si="80"/>
        <v>0</v>
      </c>
      <c r="W1921" s="88"/>
      <c r="X1921" s="89"/>
    </row>
    <row r="1922" spans="1:24" s="90" customFormat="1" ht="12" hidden="1" customHeight="1">
      <c r="A1922" s="83" t="s">
        <v>3573</v>
      </c>
      <c r="B1922" s="83"/>
      <c r="C1922" s="83"/>
      <c r="D1922" s="83"/>
      <c r="E1922" s="83"/>
      <c r="F1922" s="83"/>
      <c r="G1922" s="83"/>
      <c r="H1922" s="83"/>
      <c r="I1922" s="84" t="s">
        <v>3574</v>
      </c>
      <c r="J1922" s="84" t="s">
        <v>3575</v>
      </c>
      <c r="K1922" s="85" t="s">
        <v>3647</v>
      </c>
      <c r="L1922" s="84" t="s">
        <v>20</v>
      </c>
      <c r="M1922" s="86"/>
      <c r="N1922" s="86"/>
      <c r="O1922" s="86"/>
      <c r="P1922" s="91">
        <v>201329.58</v>
      </c>
      <c r="Q1922" s="87">
        <f t="shared" si="79"/>
        <v>0</v>
      </c>
      <c r="R1922" s="86"/>
      <c r="S1922" s="86"/>
      <c r="T1922" s="86"/>
      <c r="U1922" s="86"/>
      <c r="V1922" s="87">
        <f t="shared" si="80"/>
        <v>0</v>
      </c>
      <c r="W1922" s="88"/>
      <c r="X1922" s="89"/>
    </row>
    <row r="1923" spans="1:24" s="90" customFormat="1" ht="12" hidden="1" customHeight="1">
      <c r="A1923" s="83" t="s">
        <v>3576</v>
      </c>
      <c r="B1923" s="83"/>
      <c r="C1923" s="83"/>
      <c r="D1923" s="83"/>
      <c r="E1923" s="83"/>
      <c r="F1923" s="83"/>
      <c r="G1923" s="83"/>
      <c r="H1923" s="83"/>
      <c r="I1923" s="84" t="s">
        <v>3577</v>
      </c>
      <c r="J1923" s="84" t="s">
        <v>3578</v>
      </c>
      <c r="K1923" s="85" t="s">
        <v>3648</v>
      </c>
      <c r="L1923" s="84" t="s">
        <v>20</v>
      </c>
      <c r="M1923" s="86"/>
      <c r="N1923" s="86"/>
      <c r="O1923" s="86"/>
      <c r="P1923" s="91">
        <v>282949.68</v>
      </c>
      <c r="Q1923" s="87">
        <f t="shared" si="79"/>
        <v>0</v>
      </c>
      <c r="R1923" s="86"/>
      <c r="S1923" s="86"/>
      <c r="T1923" s="86"/>
      <c r="U1923" s="86"/>
      <c r="V1923" s="87">
        <f t="shared" si="80"/>
        <v>0</v>
      </c>
      <c r="W1923" s="88"/>
      <c r="X1923" s="89"/>
    </row>
    <row r="1924" spans="1:24" s="90" customFormat="1" ht="12" hidden="1" customHeight="1">
      <c r="A1924" s="83" t="s">
        <v>3579</v>
      </c>
      <c r="B1924" s="83"/>
      <c r="C1924" s="83"/>
      <c r="D1924" s="83"/>
      <c r="E1924" s="83"/>
      <c r="F1924" s="83"/>
      <c r="G1924" s="83"/>
      <c r="H1924" s="83"/>
      <c r="I1924" s="84" t="s">
        <v>3580</v>
      </c>
      <c r="J1924" s="84" t="s">
        <v>3581</v>
      </c>
      <c r="K1924" s="85" t="s">
        <v>3649</v>
      </c>
      <c r="L1924" s="84" t="s">
        <v>20</v>
      </c>
      <c r="M1924" s="86"/>
      <c r="N1924" s="86"/>
      <c r="O1924" s="86"/>
      <c r="P1924" s="91">
        <v>201329.58</v>
      </c>
      <c r="Q1924" s="87">
        <f t="shared" si="79"/>
        <v>0</v>
      </c>
      <c r="R1924" s="86"/>
      <c r="S1924" s="86"/>
      <c r="T1924" s="86"/>
      <c r="U1924" s="86"/>
      <c r="V1924" s="87">
        <f t="shared" si="80"/>
        <v>0</v>
      </c>
      <c r="W1924" s="88"/>
      <c r="X1924" s="89"/>
    </row>
    <row r="1925" spans="1:24" s="90" customFormat="1" ht="12" hidden="1" customHeight="1">
      <c r="A1925" s="83" t="s">
        <v>3582</v>
      </c>
      <c r="B1925" s="83"/>
      <c r="C1925" s="83"/>
      <c r="D1925" s="83"/>
      <c r="E1925" s="83"/>
      <c r="F1925" s="83"/>
      <c r="G1925" s="83"/>
      <c r="H1925" s="83"/>
      <c r="I1925" s="84" t="s">
        <v>3583</v>
      </c>
      <c r="J1925" s="84" t="s">
        <v>3584</v>
      </c>
      <c r="K1925" s="85" t="s">
        <v>3650</v>
      </c>
      <c r="L1925" s="84" t="s">
        <v>20</v>
      </c>
      <c r="M1925" s="86"/>
      <c r="N1925" s="86"/>
      <c r="O1925" s="86"/>
      <c r="P1925" s="91">
        <v>282949.68</v>
      </c>
      <c r="Q1925" s="87">
        <f t="shared" si="79"/>
        <v>0</v>
      </c>
      <c r="R1925" s="86"/>
      <c r="S1925" s="86"/>
      <c r="T1925" s="86"/>
      <c r="U1925" s="86"/>
      <c r="V1925" s="87">
        <f t="shared" si="80"/>
        <v>0</v>
      </c>
      <c r="W1925" s="88"/>
      <c r="X1925" s="89"/>
    </row>
    <row r="1926" spans="1:24" s="90" customFormat="1" ht="12" hidden="1" customHeight="1">
      <c r="A1926" s="83" t="s">
        <v>3585</v>
      </c>
      <c r="B1926" s="83"/>
      <c r="C1926" s="83"/>
      <c r="D1926" s="83"/>
      <c r="E1926" s="83"/>
      <c r="F1926" s="83"/>
      <c r="G1926" s="83"/>
      <c r="H1926" s="83"/>
      <c r="I1926" s="84" t="s">
        <v>3586</v>
      </c>
      <c r="J1926" s="84" t="s">
        <v>3587</v>
      </c>
      <c r="K1926" s="85" t="s">
        <v>3651</v>
      </c>
      <c r="L1926" s="84" t="s">
        <v>20</v>
      </c>
      <c r="M1926" s="86"/>
      <c r="N1926" s="86"/>
      <c r="O1926" s="86"/>
      <c r="P1926" s="91">
        <v>367290.45</v>
      </c>
      <c r="Q1926" s="87">
        <f t="shared" si="79"/>
        <v>0</v>
      </c>
      <c r="R1926" s="86"/>
      <c r="S1926" s="86"/>
      <c r="T1926" s="86"/>
      <c r="U1926" s="86"/>
      <c r="V1926" s="87">
        <f t="shared" si="80"/>
        <v>0</v>
      </c>
      <c r="W1926" s="88"/>
      <c r="X1926" s="89"/>
    </row>
    <row r="1927" spans="1:24" s="90" customFormat="1" ht="12" hidden="1" customHeight="1">
      <c r="A1927" s="83" t="s">
        <v>3588</v>
      </c>
      <c r="B1927" s="83"/>
      <c r="C1927" s="83"/>
      <c r="D1927" s="83"/>
      <c r="E1927" s="83"/>
      <c r="F1927" s="83"/>
      <c r="G1927" s="83"/>
      <c r="H1927" s="83"/>
      <c r="I1927" s="84" t="s">
        <v>3589</v>
      </c>
      <c r="J1927" s="84" t="s">
        <v>3590</v>
      </c>
      <c r="K1927" s="85" t="s">
        <v>3652</v>
      </c>
      <c r="L1927" s="84" t="s">
        <v>20</v>
      </c>
      <c r="M1927" s="86"/>
      <c r="N1927" s="86"/>
      <c r="O1927" s="86"/>
      <c r="P1927" s="91">
        <v>46163.16</v>
      </c>
      <c r="Q1927" s="87">
        <f t="shared" si="79"/>
        <v>0</v>
      </c>
      <c r="R1927" s="86"/>
      <c r="S1927" s="86"/>
      <c r="T1927" s="86"/>
      <c r="U1927" s="86"/>
      <c r="V1927" s="87">
        <f t="shared" si="80"/>
        <v>0</v>
      </c>
      <c r="W1927" s="88"/>
      <c r="X1927" s="89"/>
    </row>
    <row r="1928" spans="1:24" s="90" customFormat="1" ht="12" hidden="1" customHeight="1">
      <c r="A1928" s="83" t="s">
        <v>3591</v>
      </c>
      <c r="B1928" s="83"/>
      <c r="C1928" s="83"/>
      <c r="D1928" s="83"/>
      <c r="E1928" s="83"/>
      <c r="F1928" s="83"/>
      <c r="G1928" s="83"/>
      <c r="H1928" s="83"/>
      <c r="I1928" s="84" t="s">
        <v>3592</v>
      </c>
      <c r="J1928" s="84" t="s">
        <v>3593</v>
      </c>
      <c r="K1928" s="85" t="s">
        <v>3653</v>
      </c>
      <c r="L1928" s="84" t="s">
        <v>20</v>
      </c>
      <c r="M1928" s="86"/>
      <c r="N1928" s="86"/>
      <c r="O1928" s="86"/>
      <c r="P1928" s="91">
        <v>63170.64</v>
      </c>
      <c r="Q1928" s="87">
        <f t="shared" si="79"/>
        <v>0</v>
      </c>
      <c r="R1928" s="86"/>
      <c r="S1928" s="86"/>
      <c r="T1928" s="86"/>
      <c r="U1928" s="86"/>
      <c r="V1928" s="87">
        <f t="shared" si="80"/>
        <v>0</v>
      </c>
      <c r="W1928" s="88"/>
      <c r="X1928" s="89"/>
    </row>
    <row r="1929" spans="1:24" s="90" customFormat="1" ht="12" hidden="1" customHeight="1">
      <c r="A1929" s="83" t="s">
        <v>3594</v>
      </c>
      <c r="B1929" s="83"/>
      <c r="C1929" s="83"/>
      <c r="D1929" s="83"/>
      <c r="E1929" s="83"/>
      <c r="F1929" s="83"/>
      <c r="G1929" s="83"/>
      <c r="H1929" s="83"/>
      <c r="I1929" s="84" t="s">
        <v>3595</v>
      </c>
      <c r="J1929" s="84" t="s">
        <v>3596</v>
      </c>
      <c r="K1929" s="85" t="s">
        <v>3654</v>
      </c>
      <c r="L1929" s="84" t="s">
        <v>20</v>
      </c>
      <c r="M1929" s="86"/>
      <c r="N1929" s="86"/>
      <c r="O1929" s="86"/>
      <c r="P1929" s="91">
        <v>87467.04</v>
      </c>
      <c r="Q1929" s="87">
        <f t="shared" si="79"/>
        <v>0</v>
      </c>
      <c r="R1929" s="86"/>
      <c r="S1929" s="86"/>
      <c r="T1929" s="86"/>
      <c r="U1929" s="86"/>
      <c r="V1929" s="87">
        <f t="shared" si="80"/>
        <v>0</v>
      </c>
      <c r="W1929" s="88"/>
      <c r="X1929" s="89"/>
    </row>
    <row r="1930" spans="1:24" s="90" customFormat="1" ht="12" hidden="1" customHeight="1">
      <c r="A1930" s="83" t="s">
        <v>3597</v>
      </c>
      <c r="B1930" s="83"/>
      <c r="C1930" s="83"/>
      <c r="D1930" s="83"/>
      <c r="E1930" s="83"/>
      <c r="F1930" s="83"/>
      <c r="G1930" s="83"/>
      <c r="H1930" s="83"/>
      <c r="I1930" s="84" t="s">
        <v>3598</v>
      </c>
      <c r="J1930" s="84" t="s">
        <v>3599</v>
      </c>
      <c r="K1930" s="85" t="s">
        <v>3655</v>
      </c>
      <c r="L1930" s="84" t="s">
        <v>20</v>
      </c>
      <c r="M1930" s="86"/>
      <c r="N1930" s="86"/>
      <c r="O1930" s="86"/>
      <c r="P1930" s="91">
        <v>114193.08</v>
      </c>
      <c r="Q1930" s="87">
        <f t="shared" si="79"/>
        <v>0</v>
      </c>
      <c r="R1930" s="86"/>
      <c r="S1930" s="86"/>
      <c r="T1930" s="86"/>
      <c r="U1930" s="86"/>
      <c r="V1930" s="87">
        <f t="shared" si="80"/>
        <v>0</v>
      </c>
      <c r="W1930" s="88"/>
      <c r="X1930" s="89"/>
    </row>
    <row r="1931" spans="1:24" s="90" customFormat="1" ht="12" hidden="1" customHeight="1">
      <c r="A1931" s="83" t="s">
        <v>2728</v>
      </c>
      <c r="B1931" s="83"/>
      <c r="C1931" s="83"/>
      <c r="D1931" s="83"/>
      <c r="E1931" s="83"/>
      <c r="F1931" s="83"/>
      <c r="G1931" s="83"/>
      <c r="H1931" s="83"/>
      <c r="I1931" s="84" t="s">
        <v>2729</v>
      </c>
      <c r="J1931" s="84" t="s">
        <v>2730</v>
      </c>
      <c r="K1931" s="84" t="s">
        <v>1532</v>
      </c>
      <c r="L1931" s="84" t="s">
        <v>20</v>
      </c>
      <c r="M1931" s="86"/>
      <c r="N1931" s="86"/>
      <c r="O1931" s="86"/>
      <c r="P1931" s="91">
        <v>88090.26</v>
      </c>
      <c r="Q1931" s="87">
        <f t="shared" si="79"/>
        <v>0</v>
      </c>
      <c r="R1931" s="86"/>
      <c r="S1931" s="86"/>
      <c r="T1931" s="86"/>
      <c r="U1931" s="86"/>
      <c r="V1931" s="87">
        <f t="shared" si="80"/>
        <v>0</v>
      </c>
      <c r="W1931" s="88"/>
      <c r="X1931" s="89"/>
    </row>
    <row r="1932" spans="1:24" s="90" customFormat="1" ht="12" hidden="1" customHeight="1">
      <c r="A1932" s="83" t="s">
        <v>2731</v>
      </c>
      <c r="B1932" s="83"/>
      <c r="C1932" s="83"/>
      <c r="D1932" s="83"/>
      <c r="E1932" s="83"/>
      <c r="F1932" s="83"/>
      <c r="G1932" s="83"/>
      <c r="H1932" s="83"/>
      <c r="I1932" s="84" t="s">
        <v>2732</v>
      </c>
      <c r="J1932" s="84" t="s">
        <v>2733</v>
      </c>
      <c r="K1932" s="84" t="s">
        <v>1533</v>
      </c>
      <c r="L1932" s="84" t="s">
        <v>20</v>
      </c>
      <c r="M1932" s="86"/>
      <c r="N1932" s="86"/>
      <c r="O1932" s="86"/>
      <c r="P1932" s="91">
        <v>111408.27</v>
      </c>
      <c r="Q1932" s="87">
        <f t="shared" si="79"/>
        <v>0</v>
      </c>
      <c r="R1932" s="86"/>
      <c r="S1932" s="86"/>
      <c r="T1932" s="86"/>
      <c r="U1932" s="86"/>
      <c r="V1932" s="87">
        <f t="shared" si="80"/>
        <v>0</v>
      </c>
      <c r="W1932" s="88"/>
      <c r="X1932" s="89"/>
    </row>
    <row r="1933" spans="1:24" s="90" customFormat="1" ht="12" hidden="1" customHeight="1">
      <c r="A1933" s="83" t="s">
        <v>2734</v>
      </c>
      <c r="B1933" s="83"/>
      <c r="C1933" s="83"/>
      <c r="D1933" s="83"/>
      <c r="E1933" s="83"/>
      <c r="F1933" s="83"/>
      <c r="G1933" s="83"/>
      <c r="H1933" s="83"/>
      <c r="I1933" s="84" t="s">
        <v>2735</v>
      </c>
      <c r="J1933" s="84" t="s">
        <v>2736</v>
      </c>
      <c r="K1933" s="84" t="s">
        <v>1534</v>
      </c>
      <c r="L1933" s="84" t="s">
        <v>20</v>
      </c>
      <c r="M1933" s="86"/>
      <c r="N1933" s="86"/>
      <c r="O1933" s="86"/>
      <c r="P1933" s="91">
        <v>150271.62</v>
      </c>
      <c r="Q1933" s="87">
        <f t="shared" si="79"/>
        <v>0</v>
      </c>
      <c r="R1933" s="86"/>
      <c r="S1933" s="86"/>
      <c r="T1933" s="86"/>
      <c r="U1933" s="86"/>
      <c r="V1933" s="87">
        <f t="shared" si="80"/>
        <v>0</v>
      </c>
      <c r="W1933" s="88"/>
      <c r="X1933" s="89"/>
    </row>
    <row r="1934" spans="1:24" s="90" customFormat="1" ht="12" hidden="1" customHeight="1">
      <c r="A1934" s="83" t="s">
        <v>2737</v>
      </c>
      <c r="B1934" s="83"/>
      <c r="C1934" s="83"/>
      <c r="D1934" s="83"/>
      <c r="E1934" s="83"/>
      <c r="F1934" s="83"/>
      <c r="G1934" s="83"/>
      <c r="H1934" s="83"/>
      <c r="I1934" s="84" t="s">
        <v>2738</v>
      </c>
      <c r="J1934" s="84" t="s">
        <v>2739</v>
      </c>
      <c r="K1934" s="84" t="s">
        <v>1535</v>
      </c>
      <c r="L1934" s="84" t="s">
        <v>20</v>
      </c>
      <c r="M1934" s="86"/>
      <c r="N1934" s="86"/>
      <c r="O1934" s="86"/>
      <c r="P1934" s="91">
        <v>191725.86</v>
      </c>
      <c r="Q1934" s="87">
        <f t="shared" si="79"/>
        <v>0</v>
      </c>
      <c r="R1934" s="86"/>
      <c r="S1934" s="86"/>
      <c r="T1934" s="86"/>
      <c r="U1934" s="86"/>
      <c r="V1934" s="87">
        <f t="shared" si="80"/>
        <v>0</v>
      </c>
      <c r="W1934" s="88"/>
      <c r="X1934" s="89"/>
    </row>
    <row r="1935" spans="1:24" s="90" customFormat="1" ht="12" hidden="1" customHeight="1">
      <c r="A1935" s="83" t="s">
        <v>2740</v>
      </c>
      <c r="B1935" s="83"/>
      <c r="C1935" s="83"/>
      <c r="D1935" s="83"/>
      <c r="E1935" s="83"/>
      <c r="F1935" s="83"/>
      <c r="G1935" s="83"/>
      <c r="H1935" s="83"/>
      <c r="I1935" s="84" t="s">
        <v>2741</v>
      </c>
      <c r="J1935" s="84" t="s">
        <v>2742</v>
      </c>
      <c r="K1935" s="84" t="s">
        <v>1532</v>
      </c>
      <c r="L1935" s="84" t="s">
        <v>20</v>
      </c>
      <c r="M1935" s="86"/>
      <c r="N1935" s="86"/>
      <c r="O1935" s="86"/>
      <c r="P1935" s="91">
        <v>111408.27</v>
      </c>
      <c r="Q1935" s="87">
        <f t="shared" si="79"/>
        <v>0</v>
      </c>
      <c r="R1935" s="86"/>
      <c r="S1935" s="86"/>
      <c r="T1935" s="86"/>
      <c r="U1935" s="86"/>
      <c r="V1935" s="87">
        <f t="shared" si="80"/>
        <v>0</v>
      </c>
      <c r="W1935" s="88"/>
      <c r="X1935" s="89"/>
    </row>
    <row r="1936" spans="1:24" s="90" customFormat="1" ht="12" hidden="1" customHeight="1">
      <c r="A1936" s="83" t="s">
        <v>2743</v>
      </c>
      <c r="B1936" s="83"/>
      <c r="C1936" s="83"/>
      <c r="D1936" s="83"/>
      <c r="E1936" s="83"/>
      <c r="F1936" s="83"/>
      <c r="G1936" s="83"/>
      <c r="H1936" s="83"/>
      <c r="I1936" s="84" t="s">
        <v>2744</v>
      </c>
      <c r="J1936" s="84" t="s">
        <v>2745</v>
      </c>
      <c r="K1936" s="84" t="s">
        <v>1533</v>
      </c>
      <c r="L1936" s="84" t="s">
        <v>20</v>
      </c>
      <c r="M1936" s="86"/>
      <c r="N1936" s="86"/>
      <c r="O1936" s="86"/>
      <c r="P1936" s="91">
        <v>150271.62</v>
      </c>
      <c r="Q1936" s="87">
        <f t="shared" si="79"/>
        <v>0</v>
      </c>
      <c r="R1936" s="86"/>
      <c r="S1936" s="86"/>
      <c r="T1936" s="86"/>
      <c r="U1936" s="86"/>
      <c r="V1936" s="87">
        <f t="shared" si="80"/>
        <v>0</v>
      </c>
      <c r="W1936" s="88"/>
      <c r="X1936" s="89"/>
    </row>
    <row r="1937" spans="1:24" s="90" customFormat="1" ht="12" hidden="1" customHeight="1">
      <c r="A1937" s="83" t="s">
        <v>2746</v>
      </c>
      <c r="B1937" s="83"/>
      <c r="C1937" s="83"/>
      <c r="D1937" s="83"/>
      <c r="E1937" s="83"/>
      <c r="F1937" s="83"/>
      <c r="G1937" s="83"/>
      <c r="H1937" s="83"/>
      <c r="I1937" s="84" t="s">
        <v>2747</v>
      </c>
      <c r="J1937" s="84" t="s">
        <v>2748</v>
      </c>
      <c r="K1937" s="84" t="s">
        <v>1534</v>
      </c>
      <c r="L1937" s="84" t="s">
        <v>20</v>
      </c>
      <c r="M1937" s="86"/>
      <c r="N1937" s="86"/>
      <c r="O1937" s="86"/>
      <c r="P1937" s="91">
        <v>191725.86</v>
      </c>
      <c r="Q1937" s="87">
        <f t="shared" si="79"/>
        <v>0</v>
      </c>
      <c r="R1937" s="86"/>
      <c r="S1937" s="86"/>
      <c r="T1937" s="86"/>
      <c r="U1937" s="86"/>
      <c r="V1937" s="87">
        <f t="shared" si="80"/>
        <v>0</v>
      </c>
      <c r="W1937" s="88"/>
      <c r="X1937" s="89"/>
    </row>
    <row r="1938" spans="1:24" s="90" customFormat="1" ht="12" hidden="1" customHeight="1">
      <c r="A1938" s="83" t="s">
        <v>2749</v>
      </c>
      <c r="B1938" s="83"/>
      <c r="C1938" s="83"/>
      <c r="D1938" s="83"/>
      <c r="E1938" s="83"/>
      <c r="F1938" s="83"/>
      <c r="G1938" s="83"/>
      <c r="H1938" s="83"/>
      <c r="I1938" s="84" t="s">
        <v>2750</v>
      </c>
      <c r="J1938" s="84" t="s">
        <v>2751</v>
      </c>
      <c r="K1938" s="84" t="s">
        <v>1535</v>
      </c>
      <c r="L1938" s="84" t="s">
        <v>20</v>
      </c>
      <c r="M1938" s="86"/>
      <c r="N1938" s="86"/>
      <c r="O1938" s="86"/>
      <c r="P1938" s="91">
        <v>269452.56</v>
      </c>
      <c r="Q1938" s="87">
        <f t="shared" si="79"/>
        <v>0</v>
      </c>
      <c r="R1938" s="86"/>
      <c r="S1938" s="86"/>
      <c r="T1938" s="86"/>
      <c r="U1938" s="86"/>
      <c r="V1938" s="87">
        <f t="shared" si="80"/>
        <v>0</v>
      </c>
      <c r="W1938" s="88"/>
      <c r="X1938" s="89"/>
    </row>
    <row r="1939" spans="1:24" s="90" customFormat="1" ht="12" hidden="1" customHeight="1">
      <c r="A1939" s="83" t="s">
        <v>2752</v>
      </c>
      <c r="B1939" s="83"/>
      <c r="C1939" s="83"/>
      <c r="D1939" s="83"/>
      <c r="E1939" s="83"/>
      <c r="F1939" s="83"/>
      <c r="G1939" s="83"/>
      <c r="H1939" s="83"/>
      <c r="I1939" s="84" t="s">
        <v>2753</v>
      </c>
      <c r="J1939" s="84" t="s">
        <v>2754</v>
      </c>
      <c r="K1939" s="84" t="s">
        <v>1536</v>
      </c>
      <c r="L1939" s="84" t="s">
        <v>20</v>
      </c>
      <c r="M1939" s="86"/>
      <c r="N1939" s="86"/>
      <c r="O1939" s="86"/>
      <c r="P1939" s="91">
        <v>427496.85</v>
      </c>
      <c r="Q1939" s="87">
        <f t="shared" ref="Q1939:Q2002" si="81">IF(W1939="",M1939*P1939*$Q$3*$W$3,M1939*P1939*$Q$3*W1939)</f>
        <v>0</v>
      </c>
      <c r="R1939" s="86"/>
      <c r="S1939" s="86"/>
      <c r="T1939" s="86"/>
      <c r="U1939" s="86"/>
      <c r="V1939" s="87">
        <f t="shared" si="80"/>
        <v>0</v>
      </c>
      <c r="W1939" s="88"/>
      <c r="X1939" s="89"/>
    </row>
    <row r="1940" spans="1:24" s="90" customFormat="1" ht="12" hidden="1" customHeight="1">
      <c r="A1940" s="83" t="s">
        <v>2755</v>
      </c>
      <c r="B1940" s="83"/>
      <c r="C1940" s="83"/>
      <c r="D1940" s="83"/>
      <c r="E1940" s="83"/>
      <c r="F1940" s="83"/>
      <c r="G1940" s="83"/>
      <c r="H1940" s="83"/>
      <c r="I1940" s="84" t="s">
        <v>2756</v>
      </c>
      <c r="J1940" s="84" t="s">
        <v>2757</v>
      </c>
      <c r="K1940" s="84" t="s">
        <v>1537</v>
      </c>
      <c r="L1940" s="84" t="s">
        <v>20</v>
      </c>
      <c r="M1940" s="86"/>
      <c r="N1940" s="86"/>
      <c r="O1940" s="86"/>
      <c r="P1940" s="91">
        <v>502632.66</v>
      </c>
      <c r="Q1940" s="87">
        <f t="shared" si="81"/>
        <v>0</v>
      </c>
      <c r="R1940" s="86"/>
      <c r="S1940" s="86"/>
      <c r="T1940" s="86"/>
      <c r="U1940" s="86"/>
      <c r="V1940" s="87">
        <f t="shared" si="80"/>
        <v>0</v>
      </c>
      <c r="W1940" s="88"/>
      <c r="X1940" s="89"/>
    </row>
    <row r="1941" spans="1:24" s="90" customFormat="1" ht="12" hidden="1" customHeight="1">
      <c r="A1941" s="83" t="s">
        <v>2758</v>
      </c>
      <c r="B1941" s="83"/>
      <c r="C1941" s="83"/>
      <c r="D1941" s="83"/>
      <c r="E1941" s="83"/>
      <c r="F1941" s="83"/>
      <c r="G1941" s="83"/>
      <c r="H1941" s="83"/>
      <c r="I1941" s="84" t="s">
        <v>2759</v>
      </c>
      <c r="J1941" s="84" t="s">
        <v>2760</v>
      </c>
      <c r="K1941" s="84" t="s">
        <v>1538</v>
      </c>
      <c r="L1941" s="84" t="s">
        <v>20</v>
      </c>
      <c r="M1941" s="86"/>
      <c r="N1941" s="86"/>
      <c r="O1941" s="86"/>
      <c r="P1941" s="91">
        <v>580359.36</v>
      </c>
      <c r="Q1941" s="87">
        <f t="shared" si="81"/>
        <v>0</v>
      </c>
      <c r="R1941" s="86"/>
      <c r="S1941" s="86"/>
      <c r="T1941" s="86"/>
      <c r="U1941" s="86"/>
      <c r="V1941" s="87">
        <f t="shared" si="80"/>
        <v>0</v>
      </c>
      <c r="W1941" s="88"/>
      <c r="X1941" s="89"/>
    </row>
    <row r="1942" spans="1:24" s="90" customFormat="1" ht="12" hidden="1" customHeight="1">
      <c r="A1942" s="83" t="s">
        <v>2761</v>
      </c>
      <c r="B1942" s="83"/>
      <c r="C1942" s="83"/>
      <c r="D1942" s="83"/>
      <c r="E1942" s="83"/>
      <c r="F1942" s="83"/>
      <c r="G1942" s="83"/>
      <c r="H1942" s="83"/>
      <c r="I1942" s="84" t="s">
        <v>2107</v>
      </c>
      <c r="J1942" s="84" t="s">
        <v>1539</v>
      </c>
      <c r="K1942" s="84" t="s">
        <v>1532</v>
      </c>
      <c r="L1942" s="84" t="s">
        <v>20</v>
      </c>
      <c r="M1942" s="86"/>
      <c r="N1942" s="86"/>
      <c r="O1942" s="86"/>
      <c r="P1942" s="91">
        <v>139908.06</v>
      </c>
      <c r="Q1942" s="87">
        <f t="shared" si="81"/>
        <v>0</v>
      </c>
      <c r="R1942" s="86"/>
      <c r="S1942" s="86"/>
      <c r="T1942" s="86"/>
      <c r="U1942" s="86"/>
      <c r="V1942" s="87">
        <f t="shared" si="80"/>
        <v>0</v>
      </c>
      <c r="W1942" s="88"/>
      <c r="X1942" s="89"/>
    </row>
    <row r="1943" spans="1:24" s="90" customFormat="1" ht="12" hidden="1" customHeight="1">
      <c r="A1943" s="83" t="s">
        <v>2762</v>
      </c>
      <c r="B1943" s="83"/>
      <c r="C1943" s="83"/>
      <c r="D1943" s="83"/>
      <c r="E1943" s="83"/>
      <c r="F1943" s="83"/>
      <c r="G1943" s="83"/>
      <c r="H1943" s="83"/>
      <c r="I1943" s="84" t="s">
        <v>2108</v>
      </c>
      <c r="J1943" s="84" t="s">
        <v>1540</v>
      </c>
      <c r="K1943" s="84" t="s">
        <v>1533</v>
      </c>
      <c r="L1943" s="84" t="s">
        <v>20</v>
      </c>
      <c r="M1943" s="86"/>
      <c r="N1943" s="86"/>
      <c r="O1943" s="86"/>
      <c r="P1943" s="91">
        <v>191725.86</v>
      </c>
      <c r="Q1943" s="87">
        <f t="shared" si="81"/>
        <v>0</v>
      </c>
      <c r="R1943" s="86"/>
      <c r="S1943" s="86"/>
      <c r="T1943" s="86"/>
      <c r="U1943" s="86"/>
      <c r="V1943" s="87">
        <f t="shared" si="80"/>
        <v>0</v>
      </c>
      <c r="W1943" s="88"/>
      <c r="X1943" s="89"/>
    </row>
    <row r="1944" spans="1:24" s="90" customFormat="1" ht="12" hidden="1" customHeight="1">
      <c r="A1944" s="83" t="s">
        <v>2763</v>
      </c>
      <c r="B1944" s="83"/>
      <c r="C1944" s="83"/>
      <c r="D1944" s="83"/>
      <c r="E1944" s="83"/>
      <c r="F1944" s="83"/>
      <c r="G1944" s="83"/>
      <c r="H1944" s="83"/>
      <c r="I1944" s="84" t="s">
        <v>2109</v>
      </c>
      <c r="J1944" s="84" t="s">
        <v>1541</v>
      </c>
      <c r="K1944" s="84" t="s">
        <v>1534</v>
      </c>
      <c r="L1944" s="84" t="s">
        <v>20</v>
      </c>
      <c r="M1944" s="86"/>
      <c r="N1944" s="86"/>
      <c r="O1944" s="86"/>
      <c r="P1944" s="91">
        <v>269452.56</v>
      </c>
      <c r="Q1944" s="87">
        <f t="shared" si="81"/>
        <v>0</v>
      </c>
      <c r="R1944" s="86"/>
      <c r="S1944" s="86"/>
      <c r="T1944" s="86"/>
      <c r="U1944" s="86"/>
      <c r="V1944" s="87">
        <f t="shared" si="80"/>
        <v>0</v>
      </c>
      <c r="W1944" s="88"/>
      <c r="X1944" s="89"/>
    </row>
    <row r="1945" spans="1:24" s="90" customFormat="1" ht="12" hidden="1" customHeight="1">
      <c r="A1945" s="83" t="s">
        <v>2764</v>
      </c>
      <c r="B1945" s="83"/>
      <c r="C1945" s="83"/>
      <c r="D1945" s="83"/>
      <c r="E1945" s="83"/>
      <c r="F1945" s="83"/>
      <c r="G1945" s="83"/>
      <c r="H1945" s="83"/>
      <c r="I1945" s="84" t="s">
        <v>2110</v>
      </c>
      <c r="J1945" s="84" t="s">
        <v>1542</v>
      </c>
      <c r="K1945" s="84" t="s">
        <v>1535</v>
      </c>
      <c r="L1945" s="84" t="s">
        <v>20</v>
      </c>
      <c r="M1945" s="86"/>
      <c r="N1945" s="86"/>
      <c r="O1945" s="86"/>
      <c r="P1945" s="91">
        <v>349770.15</v>
      </c>
      <c r="Q1945" s="87">
        <f t="shared" si="81"/>
        <v>0</v>
      </c>
      <c r="R1945" s="86"/>
      <c r="S1945" s="86"/>
      <c r="T1945" s="86"/>
      <c r="U1945" s="86"/>
      <c r="V1945" s="87">
        <f t="shared" si="80"/>
        <v>0</v>
      </c>
      <c r="W1945" s="88"/>
      <c r="X1945" s="89"/>
    </row>
    <row r="1946" spans="1:24" s="90" customFormat="1" ht="12" hidden="1" customHeight="1">
      <c r="A1946" s="83" t="s">
        <v>2765</v>
      </c>
      <c r="B1946" s="83"/>
      <c r="C1946" s="83"/>
      <c r="D1946" s="83"/>
      <c r="E1946" s="83"/>
      <c r="F1946" s="83"/>
      <c r="G1946" s="83"/>
      <c r="H1946" s="83"/>
      <c r="I1946" s="84" t="s">
        <v>2111</v>
      </c>
      <c r="J1946" s="84" t="s">
        <v>1543</v>
      </c>
      <c r="K1946" s="84" t="s">
        <v>1536</v>
      </c>
      <c r="L1946" s="84" t="s">
        <v>20</v>
      </c>
      <c r="M1946" s="86"/>
      <c r="N1946" s="86"/>
      <c r="O1946" s="86"/>
      <c r="P1946" s="91">
        <v>505223.55</v>
      </c>
      <c r="Q1946" s="87">
        <f t="shared" si="81"/>
        <v>0</v>
      </c>
      <c r="R1946" s="86"/>
      <c r="S1946" s="86"/>
      <c r="T1946" s="86"/>
      <c r="U1946" s="86"/>
      <c r="V1946" s="87">
        <f t="shared" si="80"/>
        <v>0</v>
      </c>
      <c r="W1946" s="88"/>
      <c r="X1946" s="89"/>
    </row>
    <row r="1947" spans="1:24" s="90" customFormat="1" ht="12" hidden="1" customHeight="1">
      <c r="A1947" s="83" t="s">
        <v>2766</v>
      </c>
      <c r="B1947" s="83"/>
      <c r="C1947" s="83"/>
      <c r="D1947" s="83"/>
      <c r="E1947" s="83"/>
      <c r="F1947" s="83"/>
      <c r="G1947" s="83"/>
      <c r="H1947" s="83"/>
      <c r="I1947" s="84" t="s">
        <v>2112</v>
      </c>
      <c r="J1947" s="84" t="s">
        <v>1544</v>
      </c>
      <c r="K1947" s="84" t="s">
        <v>1537</v>
      </c>
      <c r="L1947" s="84" t="s">
        <v>20</v>
      </c>
      <c r="M1947" s="86"/>
      <c r="N1947" s="86"/>
      <c r="O1947" s="86"/>
      <c r="P1947" s="91">
        <v>580359.36</v>
      </c>
      <c r="Q1947" s="87">
        <f t="shared" si="81"/>
        <v>0</v>
      </c>
      <c r="R1947" s="86"/>
      <c r="S1947" s="86"/>
      <c r="T1947" s="86"/>
      <c r="U1947" s="86"/>
      <c r="V1947" s="87">
        <f t="shared" si="80"/>
        <v>0</v>
      </c>
      <c r="W1947" s="88"/>
      <c r="X1947" s="89"/>
    </row>
    <row r="1948" spans="1:24" s="90" customFormat="1" ht="12" hidden="1" customHeight="1">
      <c r="A1948" s="83" t="s">
        <v>2767</v>
      </c>
      <c r="B1948" s="83"/>
      <c r="C1948" s="83"/>
      <c r="D1948" s="83"/>
      <c r="E1948" s="83"/>
      <c r="F1948" s="83"/>
      <c r="G1948" s="83"/>
      <c r="H1948" s="83"/>
      <c r="I1948" s="84" t="s">
        <v>2113</v>
      </c>
      <c r="J1948" s="84" t="s">
        <v>1545</v>
      </c>
      <c r="K1948" s="84" t="s">
        <v>1538</v>
      </c>
      <c r="L1948" s="84" t="s">
        <v>20</v>
      </c>
      <c r="M1948" s="86"/>
      <c r="N1948" s="86"/>
      <c r="O1948" s="86"/>
      <c r="P1948" s="91">
        <v>660676.94999999995</v>
      </c>
      <c r="Q1948" s="87">
        <f t="shared" si="81"/>
        <v>0</v>
      </c>
      <c r="R1948" s="86"/>
      <c r="S1948" s="86"/>
      <c r="T1948" s="86"/>
      <c r="U1948" s="86"/>
      <c r="V1948" s="87">
        <f t="shared" si="80"/>
        <v>0</v>
      </c>
      <c r="W1948" s="88"/>
      <c r="X1948" s="89"/>
    </row>
    <row r="1949" spans="1:24" s="90" customFormat="1" ht="12" hidden="1" customHeight="1">
      <c r="A1949" s="83" t="s">
        <v>2768</v>
      </c>
      <c r="B1949" s="83"/>
      <c r="C1949" s="83"/>
      <c r="D1949" s="83"/>
      <c r="E1949" s="83"/>
      <c r="F1949" s="83"/>
      <c r="G1949" s="83"/>
      <c r="H1949" s="83"/>
      <c r="I1949" s="84" t="s">
        <v>2114</v>
      </c>
      <c r="J1949" s="84" t="s">
        <v>2769</v>
      </c>
      <c r="K1949" s="85" t="s">
        <v>3652</v>
      </c>
      <c r="L1949" s="84" t="s">
        <v>20</v>
      </c>
      <c r="M1949" s="86"/>
      <c r="N1949" s="86"/>
      <c r="O1949" s="86"/>
      <c r="P1949" s="91">
        <v>49226.91</v>
      </c>
      <c r="Q1949" s="87">
        <f t="shared" si="81"/>
        <v>0</v>
      </c>
      <c r="R1949" s="86"/>
      <c r="S1949" s="86"/>
      <c r="T1949" s="86"/>
      <c r="U1949" s="86"/>
      <c r="V1949" s="87">
        <f t="shared" si="80"/>
        <v>0</v>
      </c>
      <c r="W1949" s="88"/>
      <c r="X1949" s="89"/>
    </row>
    <row r="1950" spans="1:24" s="90" customFormat="1" ht="12" hidden="1" customHeight="1">
      <c r="A1950" s="83" t="s">
        <v>2770</v>
      </c>
      <c r="B1950" s="83"/>
      <c r="C1950" s="83"/>
      <c r="D1950" s="83"/>
      <c r="E1950" s="83"/>
      <c r="F1950" s="83"/>
      <c r="G1950" s="83"/>
      <c r="H1950" s="83"/>
      <c r="I1950" s="84" t="s">
        <v>2115</v>
      </c>
      <c r="J1950" s="84" t="s">
        <v>2771</v>
      </c>
      <c r="K1950" s="85" t="s">
        <v>3653</v>
      </c>
      <c r="L1950" s="84" t="s">
        <v>20</v>
      </c>
      <c r="M1950" s="86"/>
      <c r="N1950" s="86"/>
      <c r="O1950" s="86"/>
      <c r="P1950" s="91">
        <v>67363.14</v>
      </c>
      <c r="Q1950" s="87">
        <f t="shared" si="81"/>
        <v>0</v>
      </c>
      <c r="R1950" s="86"/>
      <c r="S1950" s="86"/>
      <c r="T1950" s="86"/>
      <c r="U1950" s="86"/>
      <c r="V1950" s="87">
        <f t="shared" si="80"/>
        <v>0</v>
      </c>
      <c r="W1950" s="88"/>
      <c r="X1950" s="89"/>
    </row>
    <row r="1951" spans="1:24" s="90" customFormat="1" ht="12" hidden="1" customHeight="1">
      <c r="A1951" s="83" t="s">
        <v>2772</v>
      </c>
      <c r="B1951" s="83"/>
      <c r="C1951" s="83"/>
      <c r="D1951" s="83"/>
      <c r="E1951" s="83"/>
      <c r="F1951" s="83"/>
      <c r="G1951" s="83"/>
      <c r="H1951" s="83"/>
      <c r="I1951" s="84" t="s">
        <v>2116</v>
      </c>
      <c r="J1951" s="84" t="s">
        <v>2773</v>
      </c>
      <c r="K1951" s="85" t="s">
        <v>3654</v>
      </c>
      <c r="L1951" s="84" t="s">
        <v>20</v>
      </c>
      <c r="M1951" s="86"/>
      <c r="N1951" s="86"/>
      <c r="O1951" s="86"/>
      <c r="P1951" s="91">
        <v>93272.04</v>
      </c>
      <c r="Q1951" s="87">
        <f t="shared" si="81"/>
        <v>0</v>
      </c>
      <c r="R1951" s="86"/>
      <c r="S1951" s="86"/>
      <c r="T1951" s="86"/>
      <c r="U1951" s="86"/>
      <c r="V1951" s="87">
        <f t="shared" si="80"/>
        <v>0</v>
      </c>
      <c r="W1951" s="88"/>
      <c r="X1951" s="89"/>
    </row>
    <row r="1952" spans="1:24" s="90" customFormat="1" ht="12" hidden="1" customHeight="1">
      <c r="A1952" s="83" t="s">
        <v>2774</v>
      </c>
      <c r="B1952" s="83"/>
      <c r="C1952" s="83"/>
      <c r="D1952" s="83"/>
      <c r="E1952" s="83"/>
      <c r="F1952" s="83"/>
      <c r="G1952" s="83"/>
      <c r="H1952" s="83"/>
      <c r="I1952" s="84" t="s">
        <v>2117</v>
      </c>
      <c r="J1952" s="84" t="s">
        <v>2775</v>
      </c>
      <c r="K1952" s="85" t="s">
        <v>3655</v>
      </c>
      <c r="L1952" s="84" t="s">
        <v>20</v>
      </c>
      <c r="M1952" s="86"/>
      <c r="N1952" s="86"/>
      <c r="O1952" s="86"/>
      <c r="P1952" s="91">
        <v>121771.83</v>
      </c>
      <c r="Q1952" s="87">
        <f t="shared" si="81"/>
        <v>0</v>
      </c>
      <c r="R1952" s="86"/>
      <c r="S1952" s="86"/>
      <c r="T1952" s="86"/>
      <c r="U1952" s="86"/>
      <c r="V1952" s="87">
        <f t="shared" si="80"/>
        <v>0</v>
      </c>
      <c r="W1952" s="88"/>
      <c r="X1952" s="89"/>
    </row>
    <row r="1953" spans="1:24" s="90" customFormat="1" ht="12" hidden="1" customHeight="1">
      <c r="A1953" s="83" t="s">
        <v>2776</v>
      </c>
      <c r="B1953" s="83"/>
      <c r="C1953" s="83"/>
      <c r="D1953" s="83"/>
      <c r="E1953" s="83"/>
      <c r="F1953" s="83"/>
      <c r="G1953" s="83"/>
      <c r="H1953" s="83"/>
      <c r="I1953" s="84" t="s">
        <v>2118</v>
      </c>
      <c r="J1953" s="84" t="s">
        <v>2777</v>
      </c>
      <c r="K1953" s="85" t="s">
        <v>3656</v>
      </c>
      <c r="L1953" s="84" t="s">
        <v>20</v>
      </c>
      <c r="M1953" s="86"/>
      <c r="N1953" s="86"/>
      <c r="O1953" s="86"/>
      <c r="P1953" s="91">
        <v>176180.52</v>
      </c>
      <c r="Q1953" s="87">
        <f t="shared" si="81"/>
        <v>0</v>
      </c>
      <c r="R1953" s="86"/>
      <c r="S1953" s="86"/>
      <c r="T1953" s="86"/>
      <c r="U1953" s="86"/>
      <c r="V1953" s="87">
        <f t="shared" si="80"/>
        <v>0</v>
      </c>
      <c r="W1953" s="88"/>
      <c r="X1953" s="89"/>
    </row>
    <row r="1954" spans="1:24" s="90" customFormat="1" ht="12" hidden="1" customHeight="1">
      <c r="A1954" s="83" t="s">
        <v>2778</v>
      </c>
      <c r="B1954" s="83"/>
      <c r="C1954" s="83"/>
      <c r="D1954" s="83"/>
      <c r="E1954" s="83"/>
      <c r="F1954" s="83"/>
      <c r="G1954" s="83"/>
      <c r="H1954" s="83"/>
      <c r="I1954" s="84" t="s">
        <v>2779</v>
      </c>
      <c r="J1954" s="84" t="s">
        <v>2780</v>
      </c>
      <c r="K1954" s="85" t="s">
        <v>3657</v>
      </c>
      <c r="L1954" s="84" t="s">
        <v>20</v>
      </c>
      <c r="M1954" s="86"/>
      <c r="N1954" s="86"/>
      <c r="O1954" s="86"/>
      <c r="P1954" s="91">
        <v>202089.42</v>
      </c>
      <c r="Q1954" s="87">
        <f t="shared" si="81"/>
        <v>0</v>
      </c>
      <c r="R1954" s="86"/>
      <c r="S1954" s="86"/>
      <c r="T1954" s="86"/>
      <c r="U1954" s="86"/>
      <c r="V1954" s="87">
        <f t="shared" si="80"/>
        <v>0</v>
      </c>
      <c r="W1954" s="88"/>
      <c r="X1954" s="89"/>
    </row>
    <row r="1955" spans="1:24" s="90" customFormat="1" ht="12" hidden="1" customHeight="1">
      <c r="A1955" s="83" t="s">
        <v>2781</v>
      </c>
      <c r="B1955" s="83"/>
      <c r="C1955" s="83"/>
      <c r="D1955" s="83"/>
      <c r="E1955" s="83"/>
      <c r="F1955" s="83"/>
      <c r="G1955" s="83"/>
      <c r="H1955" s="83"/>
      <c r="I1955" s="84" t="s">
        <v>2119</v>
      </c>
      <c r="J1955" s="84" t="s">
        <v>2782</v>
      </c>
      <c r="K1955" s="85" t="s">
        <v>3658</v>
      </c>
      <c r="L1955" s="84" t="s">
        <v>20</v>
      </c>
      <c r="M1955" s="86"/>
      <c r="N1955" s="86"/>
      <c r="O1955" s="86"/>
      <c r="P1955" s="91">
        <v>230589.21</v>
      </c>
      <c r="Q1955" s="87">
        <f t="shared" si="81"/>
        <v>0</v>
      </c>
      <c r="R1955" s="86"/>
      <c r="S1955" s="86"/>
      <c r="T1955" s="86"/>
      <c r="U1955" s="86"/>
      <c r="V1955" s="87">
        <f t="shared" si="80"/>
        <v>0</v>
      </c>
      <c r="W1955" s="88"/>
      <c r="X1955" s="89"/>
    </row>
    <row r="1956" spans="1:24" s="90" customFormat="1" ht="12" hidden="1" customHeight="1">
      <c r="A1956" s="83" t="s">
        <v>2488</v>
      </c>
      <c r="B1956" s="83"/>
      <c r="C1956" s="83"/>
      <c r="D1956" s="83"/>
      <c r="E1956" s="83"/>
      <c r="F1956" s="83"/>
      <c r="G1956" s="83"/>
      <c r="H1956" s="83"/>
      <c r="I1956" s="84" t="s">
        <v>2037</v>
      </c>
      <c r="J1956" s="84" t="s">
        <v>2038</v>
      </c>
      <c r="K1956" s="84" t="s">
        <v>1559</v>
      </c>
      <c r="L1956" s="84" t="s">
        <v>1484</v>
      </c>
      <c r="M1956" s="86"/>
      <c r="N1956" s="86"/>
      <c r="O1956" s="86"/>
      <c r="P1956" s="91">
        <v>46636.02</v>
      </c>
      <c r="Q1956" s="87">
        <f t="shared" si="81"/>
        <v>0</v>
      </c>
      <c r="R1956" s="86"/>
      <c r="S1956" s="86"/>
      <c r="T1956" s="86"/>
      <c r="U1956" s="86"/>
      <c r="V1956" s="87">
        <f t="shared" si="80"/>
        <v>0</v>
      </c>
      <c r="W1956" s="88"/>
      <c r="X1956" s="89"/>
    </row>
    <row r="1957" spans="1:24" s="90" customFormat="1" ht="12" hidden="1" customHeight="1">
      <c r="A1957" s="83" t="s">
        <v>2489</v>
      </c>
      <c r="B1957" s="83"/>
      <c r="C1957" s="83"/>
      <c r="D1957" s="83"/>
      <c r="E1957" s="83"/>
      <c r="F1957" s="83"/>
      <c r="G1957" s="83"/>
      <c r="H1957" s="83"/>
      <c r="I1957" s="84" t="s">
        <v>2040</v>
      </c>
      <c r="J1957" s="84" t="s">
        <v>2041</v>
      </c>
      <c r="K1957" s="84" t="s">
        <v>1560</v>
      </c>
      <c r="L1957" s="84" t="s">
        <v>1484</v>
      </c>
      <c r="M1957" s="86"/>
      <c r="N1957" s="86"/>
      <c r="O1957" s="86"/>
      <c r="P1957" s="91">
        <v>63476.805</v>
      </c>
      <c r="Q1957" s="87">
        <f t="shared" si="81"/>
        <v>0</v>
      </c>
      <c r="R1957" s="86"/>
      <c r="S1957" s="86"/>
      <c r="T1957" s="86"/>
      <c r="U1957" s="86"/>
      <c r="V1957" s="87">
        <f t="shared" si="80"/>
        <v>0</v>
      </c>
      <c r="W1957" s="88"/>
      <c r="X1957" s="89"/>
    </row>
    <row r="1958" spans="1:24" s="90" customFormat="1" ht="12" hidden="1" customHeight="1">
      <c r="A1958" s="83" t="s">
        <v>2490</v>
      </c>
      <c r="B1958" s="83"/>
      <c r="C1958" s="83"/>
      <c r="D1958" s="83"/>
      <c r="E1958" s="83"/>
      <c r="F1958" s="83"/>
      <c r="G1958" s="83"/>
      <c r="H1958" s="83"/>
      <c r="I1958" s="84" t="s">
        <v>2491</v>
      </c>
      <c r="J1958" s="84" t="s">
        <v>2492</v>
      </c>
      <c r="K1958" s="84" t="s">
        <v>2493</v>
      </c>
      <c r="L1958" s="84" t="s">
        <v>1484</v>
      </c>
      <c r="M1958" s="86"/>
      <c r="N1958" s="86"/>
      <c r="O1958" s="86"/>
      <c r="P1958" s="91">
        <v>63476.805</v>
      </c>
      <c r="Q1958" s="87">
        <f t="shared" si="81"/>
        <v>0</v>
      </c>
      <c r="R1958" s="86"/>
      <c r="S1958" s="86"/>
      <c r="T1958" s="86"/>
      <c r="U1958" s="86"/>
      <c r="V1958" s="87">
        <f t="shared" si="80"/>
        <v>0</v>
      </c>
      <c r="W1958" s="88"/>
      <c r="X1958" s="89"/>
    </row>
    <row r="1959" spans="1:24" s="90" customFormat="1" ht="12" hidden="1" customHeight="1">
      <c r="A1959" s="83" t="s">
        <v>2494</v>
      </c>
      <c r="B1959" s="83"/>
      <c r="C1959" s="83"/>
      <c r="D1959" s="83"/>
      <c r="E1959" s="83"/>
      <c r="F1959" s="83"/>
      <c r="G1959" s="83"/>
      <c r="H1959" s="83"/>
      <c r="I1959" s="84" t="s">
        <v>2495</v>
      </c>
      <c r="J1959" s="84" t="s">
        <v>2496</v>
      </c>
      <c r="K1959" s="84" t="s">
        <v>2497</v>
      </c>
      <c r="L1959" s="84" t="s">
        <v>1484</v>
      </c>
      <c r="M1959" s="86"/>
      <c r="N1959" s="86"/>
      <c r="O1959" s="86"/>
      <c r="P1959" s="91">
        <v>44045.13</v>
      </c>
      <c r="Q1959" s="87">
        <f t="shared" si="81"/>
        <v>0</v>
      </c>
      <c r="R1959" s="86"/>
      <c r="S1959" s="86"/>
      <c r="T1959" s="86"/>
      <c r="U1959" s="86"/>
      <c r="V1959" s="87">
        <f t="shared" si="80"/>
        <v>0</v>
      </c>
      <c r="W1959" s="88"/>
      <c r="X1959" s="89"/>
    </row>
    <row r="1960" spans="1:24" s="90" customFormat="1" ht="12" hidden="1" customHeight="1">
      <c r="A1960" s="83" t="s">
        <v>2498</v>
      </c>
      <c r="B1960" s="83"/>
      <c r="C1960" s="83"/>
      <c r="D1960" s="83"/>
      <c r="E1960" s="83"/>
      <c r="F1960" s="83"/>
      <c r="G1960" s="83"/>
      <c r="H1960" s="83"/>
      <c r="I1960" s="84" t="s">
        <v>2499</v>
      </c>
      <c r="J1960" s="84" t="s">
        <v>2500</v>
      </c>
      <c r="K1960" s="84" t="s">
        <v>2501</v>
      </c>
      <c r="L1960" s="84" t="s">
        <v>1484</v>
      </c>
      <c r="M1960" s="86"/>
      <c r="N1960" s="86"/>
      <c r="O1960" s="86"/>
      <c r="P1960" s="91">
        <v>28240.701000000001</v>
      </c>
      <c r="Q1960" s="87">
        <f t="shared" si="81"/>
        <v>0</v>
      </c>
      <c r="R1960" s="86"/>
      <c r="S1960" s="86"/>
      <c r="T1960" s="86"/>
      <c r="U1960" s="86"/>
      <c r="V1960" s="87">
        <f t="shared" si="80"/>
        <v>0</v>
      </c>
      <c r="W1960" s="88"/>
      <c r="X1960" s="89"/>
    </row>
    <row r="1961" spans="1:24" s="90" customFormat="1" ht="12" hidden="1" customHeight="1">
      <c r="A1961" s="83" t="s">
        <v>2502</v>
      </c>
      <c r="B1961" s="83"/>
      <c r="C1961" s="83"/>
      <c r="D1961" s="83"/>
      <c r="E1961" s="83"/>
      <c r="F1961" s="83"/>
      <c r="G1961" s="83"/>
      <c r="H1961" s="83"/>
      <c r="I1961" s="84" t="s">
        <v>2503</v>
      </c>
      <c r="J1961" s="84" t="s">
        <v>2504</v>
      </c>
      <c r="K1961" s="84" t="s">
        <v>2505</v>
      </c>
      <c r="L1961" s="84" t="s">
        <v>1484</v>
      </c>
      <c r="M1961" s="86"/>
      <c r="N1961" s="86"/>
      <c r="O1961" s="86"/>
      <c r="P1961" s="91">
        <v>44045.13</v>
      </c>
      <c r="Q1961" s="87">
        <f t="shared" si="81"/>
        <v>0</v>
      </c>
      <c r="R1961" s="86"/>
      <c r="S1961" s="86"/>
      <c r="T1961" s="86"/>
      <c r="U1961" s="86"/>
      <c r="V1961" s="87">
        <f t="shared" si="80"/>
        <v>0</v>
      </c>
      <c r="W1961" s="88"/>
      <c r="X1961" s="89"/>
    </row>
    <row r="1962" spans="1:24" s="90" customFormat="1" ht="12" hidden="1" customHeight="1">
      <c r="A1962" s="83" t="s">
        <v>2506</v>
      </c>
      <c r="B1962" s="83"/>
      <c r="C1962" s="83"/>
      <c r="D1962" s="83"/>
      <c r="E1962" s="83"/>
      <c r="F1962" s="83"/>
      <c r="G1962" s="83"/>
      <c r="H1962" s="83"/>
      <c r="I1962" s="84" t="s">
        <v>2507</v>
      </c>
      <c r="J1962" s="84" t="s">
        <v>2508</v>
      </c>
      <c r="K1962" s="84" t="s">
        <v>2509</v>
      </c>
      <c r="L1962" s="84" t="s">
        <v>1484</v>
      </c>
      <c r="M1962" s="86"/>
      <c r="N1962" s="86"/>
      <c r="O1962" s="86"/>
      <c r="P1962" s="91">
        <v>38863.35</v>
      </c>
      <c r="Q1962" s="87">
        <f t="shared" si="81"/>
        <v>0</v>
      </c>
      <c r="R1962" s="86"/>
      <c r="S1962" s="86"/>
      <c r="T1962" s="86"/>
      <c r="U1962" s="86"/>
      <c r="V1962" s="87">
        <f t="shared" si="80"/>
        <v>0</v>
      </c>
      <c r="W1962" s="88"/>
      <c r="X1962" s="89"/>
    </row>
    <row r="1963" spans="1:24" s="90" customFormat="1" ht="12" hidden="1" customHeight="1">
      <c r="A1963" s="83" t="s">
        <v>2510</v>
      </c>
      <c r="B1963" s="83"/>
      <c r="C1963" s="83"/>
      <c r="D1963" s="83"/>
      <c r="E1963" s="83"/>
      <c r="F1963" s="83"/>
      <c r="G1963" s="83"/>
      <c r="H1963" s="83"/>
      <c r="I1963" s="84" t="s">
        <v>2511</v>
      </c>
      <c r="J1963" s="84" t="s">
        <v>2512</v>
      </c>
      <c r="K1963" s="84" t="s">
        <v>2513</v>
      </c>
      <c r="L1963" s="84" t="s">
        <v>1484</v>
      </c>
      <c r="M1963" s="86"/>
      <c r="N1963" s="86"/>
      <c r="O1963" s="86"/>
      <c r="P1963" s="91">
        <v>25908.9</v>
      </c>
      <c r="Q1963" s="87">
        <f t="shared" si="81"/>
        <v>0</v>
      </c>
      <c r="R1963" s="86"/>
      <c r="S1963" s="86"/>
      <c r="T1963" s="86"/>
      <c r="U1963" s="86"/>
      <c r="V1963" s="87">
        <f t="shared" si="80"/>
        <v>0</v>
      </c>
      <c r="W1963" s="88"/>
      <c r="X1963" s="89"/>
    </row>
    <row r="1964" spans="1:24" s="90" customFormat="1" ht="12" hidden="1" customHeight="1">
      <c r="A1964" s="83" t="s">
        <v>2514</v>
      </c>
      <c r="B1964" s="83"/>
      <c r="C1964" s="83"/>
      <c r="D1964" s="83"/>
      <c r="E1964" s="83"/>
      <c r="F1964" s="83"/>
      <c r="G1964" s="83"/>
      <c r="H1964" s="83"/>
      <c r="I1964" s="84" t="s">
        <v>2039</v>
      </c>
      <c r="J1964" s="84" t="s">
        <v>1561</v>
      </c>
      <c r="K1964" s="84" t="s">
        <v>1559</v>
      </c>
      <c r="L1964" s="84" t="s">
        <v>1484</v>
      </c>
      <c r="M1964" s="86"/>
      <c r="N1964" s="86"/>
      <c r="O1964" s="86"/>
      <c r="P1964" s="91">
        <v>49226.91</v>
      </c>
      <c r="Q1964" s="87">
        <f t="shared" si="81"/>
        <v>0</v>
      </c>
      <c r="R1964" s="86"/>
      <c r="S1964" s="86"/>
      <c r="T1964" s="86"/>
      <c r="U1964" s="86"/>
      <c r="V1964" s="87">
        <f t="shared" si="80"/>
        <v>0</v>
      </c>
      <c r="W1964" s="88"/>
      <c r="X1964" s="89"/>
    </row>
    <row r="1965" spans="1:24" s="90" customFormat="1" ht="12" hidden="1" customHeight="1">
      <c r="A1965" s="83" t="s">
        <v>2515</v>
      </c>
      <c r="B1965" s="83"/>
      <c r="C1965" s="83"/>
      <c r="D1965" s="83"/>
      <c r="E1965" s="83"/>
      <c r="F1965" s="83"/>
      <c r="G1965" s="83"/>
      <c r="H1965" s="83"/>
      <c r="I1965" s="84" t="s">
        <v>2167</v>
      </c>
      <c r="J1965" s="84" t="s">
        <v>1562</v>
      </c>
      <c r="K1965" s="84" t="s">
        <v>1560</v>
      </c>
      <c r="L1965" s="84" t="s">
        <v>1484</v>
      </c>
      <c r="M1965" s="86"/>
      <c r="N1965" s="86"/>
      <c r="O1965" s="86"/>
      <c r="P1965" s="91">
        <v>66585.873000000007</v>
      </c>
      <c r="Q1965" s="87">
        <f t="shared" si="81"/>
        <v>0</v>
      </c>
      <c r="R1965" s="86"/>
      <c r="S1965" s="86"/>
      <c r="T1965" s="86"/>
      <c r="U1965" s="86"/>
      <c r="V1965" s="87">
        <f t="shared" ref="V1965:V2028" si="82">SUM(O1965+Q1965)+S1965+U1965</f>
        <v>0</v>
      </c>
      <c r="W1965" s="88"/>
      <c r="X1965" s="89"/>
    </row>
    <row r="1966" spans="1:24" s="90" customFormat="1" ht="12" hidden="1" customHeight="1">
      <c r="A1966" s="83" t="s">
        <v>2516</v>
      </c>
      <c r="B1966" s="83"/>
      <c r="C1966" s="83"/>
      <c r="D1966" s="83"/>
      <c r="E1966" s="83"/>
      <c r="F1966" s="83"/>
      <c r="G1966" s="83"/>
      <c r="H1966" s="83"/>
      <c r="I1966" s="84" t="s">
        <v>2517</v>
      </c>
      <c r="J1966" s="84" t="s">
        <v>2518</v>
      </c>
      <c r="K1966" s="84" t="s">
        <v>2519</v>
      </c>
      <c r="L1966" s="84" t="s">
        <v>1484</v>
      </c>
      <c r="M1966" s="86"/>
      <c r="N1966" s="86"/>
      <c r="O1966" s="86"/>
      <c r="P1966" s="91">
        <v>66585.873000000007</v>
      </c>
      <c r="Q1966" s="87">
        <f t="shared" si="81"/>
        <v>0</v>
      </c>
      <c r="R1966" s="86"/>
      <c r="S1966" s="86"/>
      <c r="T1966" s="86"/>
      <c r="U1966" s="86"/>
      <c r="V1966" s="87">
        <f t="shared" si="82"/>
        <v>0</v>
      </c>
      <c r="W1966" s="88"/>
      <c r="X1966" s="89"/>
    </row>
    <row r="1967" spans="1:24" s="90" customFormat="1" ht="12" hidden="1" customHeight="1">
      <c r="A1967" s="83" t="s">
        <v>2520</v>
      </c>
      <c r="B1967" s="83"/>
      <c r="C1967" s="83"/>
      <c r="D1967" s="83"/>
      <c r="E1967" s="83"/>
      <c r="F1967" s="83"/>
      <c r="G1967" s="83"/>
      <c r="H1967" s="83"/>
      <c r="I1967" s="84" t="s">
        <v>2521</v>
      </c>
      <c r="J1967" s="84" t="s">
        <v>2522</v>
      </c>
      <c r="K1967" s="84" t="s">
        <v>2497</v>
      </c>
      <c r="L1967" s="84" t="s">
        <v>1484</v>
      </c>
      <c r="M1967" s="86"/>
      <c r="N1967" s="86"/>
      <c r="O1967" s="86"/>
      <c r="P1967" s="91">
        <v>46376.930999999997</v>
      </c>
      <c r="Q1967" s="87">
        <f t="shared" si="81"/>
        <v>0</v>
      </c>
      <c r="R1967" s="86"/>
      <c r="S1967" s="86"/>
      <c r="T1967" s="86"/>
      <c r="U1967" s="86"/>
      <c r="V1967" s="87">
        <f t="shared" si="82"/>
        <v>0</v>
      </c>
      <c r="W1967" s="88"/>
      <c r="X1967" s="89"/>
    </row>
    <row r="1968" spans="1:24" s="90" customFormat="1" ht="12" hidden="1" customHeight="1">
      <c r="A1968" s="83" t="s">
        <v>2523</v>
      </c>
      <c r="B1968" s="83"/>
      <c r="C1968" s="83"/>
      <c r="D1968" s="83"/>
      <c r="E1968" s="83"/>
      <c r="F1968" s="83"/>
      <c r="G1968" s="83"/>
      <c r="H1968" s="83"/>
      <c r="I1968" s="84" t="s">
        <v>2524</v>
      </c>
      <c r="J1968" s="84" t="s">
        <v>2525</v>
      </c>
      <c r="K1968" s="84" t="s">
        <v>2501</v>
      </c>
      <c r="L1968" s="84" t="s">
        <v>1484</v>
      </c>
      <c r="M1968" s="86"/>
      <c r="N1968" s="86"/>
      <c r="O1968" s="86"/>
      <c r="P1968" s="91">
        <v>38086.082999999999</v>
      </c>
      <c r="Q1968" s="87">
        <f t="shared" si="81"/>
        <v>0</v>
      </c>
      <c r="R1968" s="86"/>
      <c r="S1968" s="86"/>
      <c r="T1968" s="86"/>
      <c r="U1968" s="86"/>
      <c r="V1968" s="87">
        <f t="shared" si="82"/>
        <v>0</v>
      </c>
      <c r="W1968" s="88"/>
      <c r="X1968" s="89"/>
    </row>
    <row r="1969" spans="1:24" s="90" customFormat="1" ht="12" hidden="1" customHeight="1">
      <c r="A1969" s="83" t="s">
        <v>2526</v>
      </c>
      <c r="B1969" s="83"/>
      <c r="C1969" s="83"/>
      <c r="D1969" s="83"/>
      <c r="E1969" s="83"/>
      <c r="F1969" s="83"/>
      <c r="G1969" s="83"/>
      <c r="H1969" s="83"/>
      <c r="I1969" s="84" t="s">
        <v>2527</v>
      </c>
      <c r="J1969" s="84" t="s">
        <v>2528</v>
      </c>
      <c r="K1969" s="84" t="s">
        <v>2505</v>
      </c>
      <c r="L1969" s="84" t="s">
        <v>1484</v>
      </c>
      <c r="M1969" s="86"/>
      <c r="N1969" s="86"/>
      <c r="O1969" s="86"/>
      <c r="P1969" s="91">
        <v>46376.930999999997</v>
      </c>
      <c r="Q1969" s="87">
        <f t="shared" si="81"/>
        <v>0</v>
      </c>
      <c r="R1969" s="86"/>
      <c r="S1969" s="86"/>
      <c r="T1969" s="86"/>
      <c r="U1969" s="86"/>
      <c r="V1969" s="87">
        <f t="shared" si="82"/>
        <v>0</v>
      </c>
      <c r="W1969" s="88"/>
      <c r="X1969" s="89"/>
    </row>
    <row r="1970" spans="1:24" s="90" customFormat="1" ht="12" hidden="1" customHeight="1">
      <c r="A1970" s="83" t="s">
        <v>2529</v>
      </c>
      <c r="B1970" s="83"/>
      <c r="C1970" s="83"/>
      <c r="D1970" s="83"/>
      <c r="E1970" s="83"/>
      <c r="F1970" s="83"/>
      <c r="G1970" s="83"/>
      <c r="H1970" s="83"/>
      <c r="I1970" s="84" t="s">
        <v>2530</v>
      </c>
      <c r="J1970" s="84" t="s">
        <v>2531</v>
      </c>
      <c r="K1970" s="84" t="s">
        <v>2509</v>
      </c>
      <c r="L1970" s="84" t="s">
        <v>1484</v>
      </c>
      <c r="M1970" s="86"/>
      <c r="N1970" s="86"/>
      <c r="O1970" s="86"/>
      <c r="P1970" s="91">
        <v>40936.061999999998</v>
      </c>
      <c r="Q1970" s="87">
        <f t="shared" si="81"/>
        <v>0</v>
      </c>
      <c r="R1970" s="86"/>
      <c r="S1970" s="86"/>
      <c r="T1970" s="86"/>
      <c r="U1970" s="86"/>
      <c r="V1970" s="87">
        <f t="shared" si="82"/>
        <v>0</v>
      </c>
      <c r="W1970" s="88"/>
      <c r="X1970" s="89"/>
    </row>
    <row r="1971" spans="1:24" s="90" customFormat="1" ht="12" hidden="1" customHeight="1">
      <c r="A1971" s="83" t="s">
        <v>2532</v>
      </c>
      <c r="B1971" s="83"/>
      <c r="C1971" s="83"/>
      <c r="D1971" s="83"/>
      <c r="E1971" s="83"/>
      <c r="F1971" s="83"/>
      <c r="G1971" s="83"/>
      <c r="H1971" s="83"/>
      <c r="I1971" s="84" t="s">
        <v>2533</v>
      </c>
      <c r="J1971" s="84" t="s">
        <v>2534</v>
      </c>
      <c r="K1971" s="84" t="s">
        <v>3659</v>
      </c>
      <c r="L1971" s="84" t="s">
        <v>1484</v>
      </c>
      <c r="M1971" s="86"/>
      <c r="N1971" s="86"/>
      <c r="O1971" s="86"/>
      <c r="P1971" s="91">
        <v>128249.05499999999</v>
      </c>
      <c r="Q1971" s="87">
        <f t="shared" si="81"/>
        <v>0</v>
      </c>
      <c r="R1971" s="86"/>
      <c r="S1971" s="86"/>
      <c r="T1971" s="86"/>
      <c r="U1971" s="86"/>
      <c r="V1971" s="87">
        <f t="shared" si="82"/>
        <v>0</v>
      </c>
      <c r="W1971" s="88"/>
      <c r="X1971" s="89"/>
    </row>
    <row r="1972" spans="1:24" s="90" customFormat="1" ht="12" hidden="1" customHeight="1">
      <c r="A1972" s="83" t="s">
        <v>2535</v>
      </c>
      <c r="B1972" s="83"/>
      <c r="C1972" s="83"/>
      <c r="D1972" s="83"/>
      <c r="E1972" s="83"/>
      <c r="F1972" s="83"/>
      <c r="G1972" s="83"/>
      <c r="H1972" s="83"/>
      <c r="I1972" s="84" t="s">
        <v>2536</v>
      </c>
      <c r="J1972" s="84" t="s">
        <v>2537</v>
      </c>
      <c r="K1972" s="84" t="s">
        <v>3660</v>
      </c>
      <c r="L1972" s="84" t="s">
        <v>1484</v>
      </c>
      <c r="M1972" s="86"/>
      <c r="N1972" s="86"/>
      <c r="O1972" s="86"/>
      <c r="P1972" s="91">
        <v>134726.28</v>
      </c>
      <c r="Q1972" s="87">
        <f t="shared" si="81"/>
        <v>0</v>
      </c>
      <c r="R1972" s="86"/>
      <c r="S1972" s="86"/>
      <c r="T1972" s="86"/>
      <c r="U1972" s="86"/>
      <c r="V1972" s="87">
        <f t="shared" si="82"/>
        <v>0</v>
      </c>
      <c r="W1972" s="88"/>
      <c r="X1972" s="89"/>
    </row>
    <row r="1973" spans="1:24" s="90" customFormat="1" ht="12" hidden="1" customHeight="1">
      <c r="A1973" s="83" t="s">
        <v>3600</v>
      </c>
      <c r="B1973" s="83"/>
      <c r="C1973" s="83"/>
      <c r="D1973" s="83"/>
      <c r="E1973" s="83"/>
      <c r="F1973" s="83"/>
      <c r="G1973" s="83"/>
      <c r="H1973" s="83"/>
      <c r="I1973" s="84" t="s">
        <v>3601</v>
      </c>
      <c r="J1973" s="84" t="s">
        <v>3602</v>
      </c>
      <c r="K1973" s="84" t="s">
        <v>3603</v>
      </c>
      <c r="L1973" s="84" t="s">
        <v>1484</v>
      </c>
      <c r="M1973" s="86"/>
      <c r="N1973" s="86"/>
      <c r="O1973" s="86"/>
      <c r="P1973" s="91">
        <v>40810.050000000003</v>
      </c>
      <c r="Q1973" s="87">
        <f t="shared" si="81"/>
        <v>0</v>
      </c>
      <c r="R1973" s="86"/>
      <c r="S1973" s="86"/>
      <c r="T1973" s="86"/>
      <c r="U1973" s="86"/>
      <c r="V1973" s="87">
        <f t="shared" si="82"/>
        <v>0</v>
      </c>
      <c r="W1973" s="88"/>
      <c r="X1973" s="89"/>
    </row>
    <row r="1974" spans="1:24" s="90" customFormat="1" ht="12" hidden="1" customHeight="1">
      <c r="A1974" s="83" t="s">
        <v>3604</v>
      </c>
      <c r="B1974" s="83"/>
      <c r="C1974" s="83"/>
      <c r="D1974" s="83"/>
      <c r="E1974" s="83"/>
      <c r="F1974" s="83"/>
      <c r="G1974" s="83"/>
      <c r="H1974" s="83"/>
      <c r="I1974" s="84" t="s">
        <v>3605</v>
      </c>
      <c r="J1974" s="84" t="s">
        <v>3606</v>
      </c>
      <c r="K1974" s="84" t="s">
        <v>3607</v>
      </c>
      <c r="L1974" s="84" t="s">
        <v>1484</v>
      </c>
      <c r="M1974" s="86"/>
      <c r="N1974" s="86"/>
      <c r="O1974" s="86"/>
      <c r="P1974" s="91">
        <v>59854.74</v>
      </c>
      <c r="Q1974" s="87">
        <f t="shared" si="81"/>
        <v>0</v>
      </c>
      <c r="R1974" s="86"/>
      <c r="S1974" s="86"/>
      <c r="T1974" s="86"/>
      <c r="U1974" s="86"/>
      <c r="V1974" s="87">
        <f t="shared" si="82"/>
        <v>0</v>
      </c>
      <c r="W1974" s="88"/>
      <c r="X1974" s="89"/>
    </row>
    <row r="1975" spans="1:24" s="90" customFormat="1" ht="12" hidden="1" customHeight="1">
      <c r="A1975" s="83" t="s">
        <v>3608</v>
      </c>
      <c r="B1975" s="83"/>
      <c r="C1975" s="83"/>
      <c r="D1975" s="83"/>
      <c r="E1975" s="83"/>
      <c r="F1975" s="83"/>
      <c r="G1975" s="83"/>
      <c r="H1975" s="83"/>
      <c r="I1975" s="84" t="s">
        <v>3609</v>
      </c>
      <c r="J1975" s="84" t="s">
        <v>3610</v>
      </c>
      <c r="K1975" s="84" t="s">
        <v>3611</v>
      </c>
      <c r="L1975" s="84" t="s">
        <v>1484</v>
      </c>
      <c r="M1975" s="86"/>
      <c r="N1975" s="86"/>
      <c r="O1975" s="86"/>
      <c r="P1975" s="91">
        <v>108826.8</v>
      </c>
      <c r="Q1975" s="87">
        <f t="shared" si="81"/>
        <v>0</v>
      </c>
      <c r="R1975" s="86"/>
      <c r="S1975" s="86"/>
      <c r="T1975" s="86"/>
      <c r="U1975" s="86"/>
      <c r="V1975" s="87">
        <f t="shared" si="82"/>
        <v>0</v>
      </c>
      <c r="W1975" s="88"/>
      <c r="X1975" s="89"/>
    </row>
    <row r="1976" spans="1:24" s="90" customFormat="1" ht="12" hidden="1" customHeight="1">
      <c r="A1976" s="83" t="s">
        <v>2538</v>
      </c>
      <c r="B1976" s="83"/>
      <c r="C1976" s="83"/>
      <c r="D1976" s="83"/>
      <c r="E1976" s="83"/>
      <c r="F1976" s="83"/>
      <c r="G1976" s="83"/>
      <c r="H1976" s="83"/>
      <c r="I1976" s="84" t="s">
        <v>2539</v>
      </c>
      <c r="J1976" s="84" t="s">
        <v>2540</v>
      </c>
      <c r="K1976" s="85" t="s">
        <v>3661</v>
      </c>
      <c r="L1976" s="84" t="s">
        <v>1484</v>
      </c>
      <c r="M1976" s="86"/>
      <c r="N1976" s="86"/>
      <c r="O1976" s="86"/>
      <c r="P1976" s="91">
        <v>31867.947</v>
      </c>
      <c r="Q1976" s="87">
        <f t="shared" si="81"/>
        <v>0</v>
      </c>
      <c r="R1976" s="86"/>
      <c r="S1976" s="86"/>
      <c r="T1976" s="86"/>
      <c r="U1976" s="86"/>
      <c r="V1976" s="87">
        <f t="shared" si="82"/>
        <v>0</v>
      </c>
      <c r="W1976" s="88"/>
      <c r="X1976" s="89"/>
    </row>
    <row r="1977" spans="1:24" s="90" customFormat="1" ht="12" hidden="1" customHeight="1">
      <c r="A1977" s="83" t="s">
        <v>2541</v>
      </c>
      <c r="B1977" s="83"/>
      <c r="C1977" s="83"/>
      <c r="D1977" s="83"/>
      <c r="E1977" s="83"/>
      <c r="F1977" s="83"/>
      <c r="G1977" s="83"/>
      <c r="H1977" s="83"/>
      <c r="I1977" s="84" t="s">
        <v>2047</v>
      </c>
      <c r="J1977" s="84" t="s">
        <v>1563</v>
      </c>
      <c r="K1977" s="85" t="s">
        <v>3662</v>
      </c>
      <c r="L1977" s="84" t="s">
        <v>1484</v>
      </c>
      <c r="M1977" s="86"/>
      <c r="N1977" s="86"/>
      <c r="O1977" s="86"/>
      <c r="P1977" s="91">
        <v>36531.548999999999</v>
      </c>
      <c r="Q1977" s="87">
        <f t="shared" si="81"/>
        <v>0</v>
      </c>
      <c r="R1977" s="86"/>
      <c r="S1977" s="86"/>
      <c r="T1977" s="86"/>
      <c r="U1977" s="86"/>
      <c r="V1977" s="87">
        <f t="shared" si="82"/>
        <v>0</v>
      </c>
      <c r="W1977" s="88"/>
      <c r="X1977" s="89"/>
    </row>
    <row r="1978" spans="1:24" s="90" customFormat="1" ht="12" hidden="1" customHeight="1">
      <c r="A1978" s="83" t="s">
        <v>2542</v>
      </c>
      <c r="B1978" s="83"/>
      <c r="C1978" s="83"/>
      <c r="D1978" s="83"/>
      <c r="E1978" s="83"/>
      <c r="F1978" s="83"/>
      <c r="G1978" s="83"/>
      <c r="H1978" s="83"/>
      <c r="I1978" s="84" t="s">
        <v>2049</v>
      </c>
      <c r="J1978" s="84" t="s">
        <v>2168</v>
      </c>
      <c r="K1978" s="85" t="s">
        <v>3663</v>
      </c>
      <c r="L1978" s="84" t="s">
        <v>1484</v>
      </c>
      <c r="M1978" s="86"/>
      <c r="N1978" s="86"/>
      <c r="O1978" s="86"/>
      <c r="P1978" s="91">
        <v>45858.752999999997</v>
      </c>
      <c r="Q1978" s="87">
        <f t="shared" si="81"/>
        <v>0</v>
      </c>
      <c r="R1978" s="86"/>
      <c r="S1978" s="86"/>
      <c r="T1978" s="86"/>
      <c r="U1978" s="86"/>
      <c r="V1978" s="87">
        <f t="shared" si="82"/>
        <v>0</v>
      </c>
      <c r="W1978" s="88"/>
      <c r="X1978" s="89"/>
    </row>
    <row r="1979" spans="1:24" s="90" customFormat="1" ht="12" hidden="1" customHeight="1">
      <c r="A1979" s="83" t="s">
        <v>2543</v>
      </c>
      <c r="B1979" s="83"/>
      <c r="C1979" s="83"/>
      <c r="D1979" s="83"/>
      <c r="E1979" s="83"/>
      <c r="F1979" s="83"/>
      <c r="G1979" s="83"/>
      <c r="H1979" s="83"/>
      <c r="I1979" s="84" t="s">
        <v>2544</v>
      </c>
      <c r="J1979" s="84" t="s">
        <v>2545</v>
      </c>
      <c r="K1979" s="85" t="s">
        <v>3664</v>
      </c>
      <c r="L1979" s="84" t="s">
        <v>1484</v>
      </c>
      <c r="M1979" s="86"/>
      <c r="N1979" s="86"/>
      <c r="O1979" s="86"/>
      <c r="P1979" s="91">
        <v>57776.847000000002</v>
      </c>
      <c r="Q1979" s="87">
        <f t="shared" si="81"/>
        <v>0</v>
      </c>
      <c r="R1979" s="86"/>
      <c r="S1979" s="86"/>
      <c r="T1979" s="86"/>
      <c r="U1979" s="86"/>
      <c r="V1979" s="87">
        <f t="shared" si="82"/>
        <v>0</v>
      </c>
      <c r="W1979" s="88"/>
      <c r="X1979" s="89"/>
    </row>
    <row r="1980" spans="1:24" s="90" customFormat="1" ht="12" hidden="1" customHeight="1">
      <c r="A1980" s="83" t="s">
        <v>2546</v>
      </c>
      <c r="B1980" s="83"/>
      <c r="C1980" s="83"/>
      <c r="D1980" s="83"/>
      <c r="E1980" s="83"/>
      <c r="F1980" s="83"/>
      <c r="G1980" s="83"/>
      <c r="H1980" s="83"/>
      <c r="I1980" s="84" t="s">
        <v>2547</v>
      </c>
      <c r="J1980" s="84" t="s">
        <v>2548</v>
      </c>
      <c r="K1980" s="85" t="s">
        <v>3665</v>
      </c>
      <c r="L1980" s="84" t="s">
        <v>1484</v>
      </c>
      <c r="M1980" s="86"/>
      <c r="N1980" s="86"/>
      <c r="O1980" s="86"/>
      <c r="P1980" s="91">
        <v>83685.747000000003</v>
      </c>
      <c r="Q1980" s="87">
        <f t="shared" si="81"/>
        <v>0</v>
      </c>
      <c r="R1980" s="86"/>
      <c r="S1980" s="86"/>
      <c r="T1980" s="86"/>
      <c r="U1980" s="86"/>
      <c r="V1980" s="87">
        <f t="shared" si="82"/>
        <v>0</v>
      </c>
      <c r="W1980" s="88"/>
      <c r="X1980" s="89"/>
    </row>
    <row r="1981" spans="1:24" s="90" customFormat="1" ht="12" hidden="1" customHeight="1">
      <c r="A1981" s="83" t="s">
        <v>2549</v>
      </c>
      <c r="B1981" s="83"/>
      <c r="C1981" s="83"/>
      <c r="D1981" s="83"/>
      <c r="E1981" s="83"/>
      <c r="F1981" s="83"/>
      <c r="G1981" s="83"/>
      <c r="H1981" s="83"/>
      <c r="I1981" s="84" t="s">
        <v>2550</v>
      </c>
      <c r="J1981" s="84" t="s">
        <v>2551</v>
      </c>
      <c r="K1981" s="85" t="s">
        <v>3666</v>
      </c>
      <c r="L1981" s="84" t="s">
        <v>1484</v>
      </c>
      <c r="M1981" s="86"/>
      <c r="N1981" s="86"/>
      <c r="O1981" s="86"/>
      <c r="P1981" s="91">
        <v>38863.35</v>
      </c>
      <c r="Q1981" s="87">
        <f t="shared" si="81"/>
        <v>0</v>
      </c>
      <c r="R1981" s="86"/>
      <c r="S1981" s="86"/>
      <c r="T1981" s="86"/>
      <c r="U1981" s="86"/>
      <c r="V1981" s="87">
        <f t="shared" si="82"/>
        <v>0</v>
      </c>
      <c r="W1981" s="88"/>
      <c r="X1981" s="89"/>
    </row>
    <row r="1982" spans="1:24" s="90" customFormat="1" ht="12" hidden="1" customHeight="1">
      <c r="A1982" s="83" t="s">
        <v>2552</v>
      </c>
      <c r="B1982" s="83"/>
      <c r="C1982" s="83"/>
      <c r="D1982" s="83"/>
      <c r="E1982" s="83"/>
      <c r="F1982" s="83"/>
      <c r="G1982" s="83"/>
      <c r="H1982" s="83"/>
      <c r="I1982" s="84" t="s">
        <v>2170</v>
      </c>
      <c r="J1982" s="84" t="s">
        <v>1564</v>
      </c>
      <c r="K1982" s="85" t="s">
        <v>3667</v>
      </c>
      <c r="L1982" s="84" t="s">
        <v>1484</v>
      </c>
      <c r="M1982" s="86"/>
      <c r="N1982" s="86"/>
      <c r="O1982" s="86"/>
      <c r="P1982" s="91">
        <v>48967.821000000004</v>
      </c>
      <c r="Q1982" s="87">
        <f t="shared" si="81"/>
        <v>0</v>
      </c>
      <c r="R1982" s="86"/>
      <c r="S1982" s="86"/>
      <c r="T1982" s="86"/>
      <c r="U1982" s="86"/>
      <c r="V1982" s="87">
        <f t="shared" si="82"/>
        <v>0</v>
      </c>
      <c r="W1982" s="88"/>
      <c r="X1982" s="89"/>
    </row>
    <row r="1983" spans="1:24" s="90" customFormat="1" ht="12" hidden="1" customHeight="1">
      <c r="A1983" s="83" t="s">
        <v>2553</v>
      </c>
      <c r="B1983" s="83"/>
      <c r="C1983" s="83"/>
      <c r="D1983" s="83"/>
      <c r="E1983" s="83"/>
      <c r="F1983" s="83"/>
      <c r="G1983" s="83"/>
      <c r="H1983" s="83"/>
      <c r="I1983" s="84" t="s">
        <v>2046</v>
      </c>
      <c r="J1983" s="84" t="s">
        <v>1565</v>
      </c>
      <c r="K1983" s="85" t="s">
        <v>3668</v>
      </c>
      <c r="L1983" s="84" t="s">
        <v>1484</v>
      </c>
      <c r="M1983" s="86"/>
      <c r="N1983" s="86"/>
      <c r="O1983" s="86"/>
      <c r="P1983" s="91">
        <v>57776.847000000002</v>
      </c>
      <c r="Q1983" s="87">
        <f t="shared" si="81"/>
        <v>0</v>
      </c>
      <c r="R1983" s="86"/>
      <c r="S1983" s="86"/>
      <c r="T1983" s="86"/>
      <c r="U1983" s="86"/>
      <c r="V1983" s="87">
        <f t="shared" si="82"/>
        <v>0</v>
      </c>
      <c r="W1983" s="88"/>
      <c r="X1983" s="89"/>
    </row>
    <row r="1984" spans="1:24" s="90" customFormat="1" ht="12" hidden="1" customHeight="1">
      <c r="A1984" s="83" t="s">
        <v>2554</v>
      </c>
      <c r="B1984" s="83"/>
      <c r="C1984" s="83"/>
      <c r="D1984" s="83"/>
      <c r="E1984" s="83"/>
      <c r="F1984" s="83"/>
      <c r="G1984" s="83"/>
      <c r="H1984" s="83"/>
      <c r="I1984" s="84" t="s">
        <v>2044</v>
      </c>
      <c r="J1984" s="84" t="s">
        <v>2169</v>
      </c>
      <c r="K1984" s="85" t="s">
        <v>3669</v>
      </c>
      <c r="L1984" s="84" t="s">
        <v>1484</v>
      </c>
      <c r="M1984" s="86"/>
      <c r="N1984" s="86"/>
      <c r="O1984" s="86"/>
      <c r="P1984" s="91">
        <v>71767.653000000006</v>
      </c>
      <c r="Q1984" s="87">
        <f t="shared" si="81"/>
        <v>0</v>
      </c>
      <c r="R1984" s="86"/>
      <c r="S1984" s="86"/>
      <c r="T1984" s="86"/>
      <c r="U1984" s="86"/>
      <c r="V1984" s="87">
        <f t="shared" si="82"/>
        <v>0</v>
      </c>
      <c r="W1984" s="88"/>
      <c r="X1984" s="89"/>
    </row>
    <row r="1985" spans="1:24" s="90" customFormat="1" ht="12" hidden="1" customHeight="1">
      <c r="A1985" s="83" t="s">
        <v>2555</v>
      </c>
      <c r="B1985" s="83"/>
      <c r="C1985" s="83"/>
      <c r="D1985" s="83"/>
      <c r="E1985" s="83"/>
      <c r="F1985" s="83"/>
      <c r="G1985" s="83"/>
      <c r="H1985" s="83"/>
      <c r="I1985" s="84" t="s">
        <v>2556</v>
      </c>
      <c r="J1985" s="84" t="s">
        <v>2557</v>
      </c>
      <c r="K1985" s="85" t="s">
        <v>3670</v>
      </c>
      <c r="L1985" s="84" t="s">
        <v>1484</v>
      </c>
      <c r="M1985" s="86"/>
      <c r="N1985" s="86"/>
      <c r="O1985" s="86"/>
      <c r="P1985" s="91">
        <v>93012.951000000001</v>
      </c>
      <c r="Q1985" s="87">
        <f t="shared" si="81"/>
        <v>0</v>
      </c>
      <c r="R1985" s="86"/>
      <c r="S1985" s="86"/>
      <c r="T1985" s="86"/>
      <c r="U1985" s="86"/>
      <c r="V1985" s="87">
        <f t="shared" si="82"/>
        <v>0</v>
      </c>
      <c r="W1985" s="88"/>
      <c r="X1985" s="89"/>
    </row>
    <row r="1986" spans="1:24" s="90" customFormat="1" ht="12" hidden="1" customHeight="1">
      <c r="A1986" s="83" t="s">
        <v>2558</v>
      </c>
      <c r="B1986" s="83"/>
      <c r="C1986" s="83"/>
      <c r="D1986" s="83"/>
      <c r="E1986" s="83"/>
      <c r="F1986" s="83"/>
      <c r="G1986" s="83"/>
      <c r="H1986" s="83"/>
      <c r="I1986" s="84" t="s">
        <v>2045</v>
      </c>
      <c r="J1986" s="84" t="s">
        <v>2559</v>
      </c>
      <c r="K1986" s="85" t="s">
        <v>3671</v>
      </c>
      <c r="L1986" s="84" t="s">
        <v>1484</v>
      </c>
      <c r="M1986" s="86"/>
      <c r="N1986" s="86"/>
      <c r="O1986" s="86"/>
      <c r="P1986" s="91">
        <v>121253.652</v>
      </c>
      <c r="Q1986" s="87">
        <f t="shared" si="81"/>
        <v>0</v>
      </c>
      <c r="R1986" s="86"/>
      <c r="S1986" s="86"/>
      <c r="T1986" s="86"/>
      <c r="U1986" s="86"/>
      <c r="V1986" s="87">
        <f t="shared" si="82"/>
        <v>0</v>
      </c>
      <c r="W1986" s="88"/>
      <c r="X1986" s="89"/>
    </row>
    <row r="1987" spans="1:24" s="90" customFormat="1" ht="12" hidden="1" customHeight="1">
      <c r="A1987" s="83" t="s">
        <v>2560</v>
      </c>
      <c r="B1987" s="83"/>
      <c r="C1987" s="83"/>
      <c r="D1987" s="83"/>
      <c r="E1987" s="83"/>
      <c r="F1987" s="83"/>
      <c r="G1987" s="83"/>
      <c r="H1987" s="83"/>
      <c r="I1987" s="84" t="s">
        <v>2048</v>
      </c>
      <c r="J1987" s="84" t="s">
        <v>2561</v>
      </c>
      <c r="K1987" s="85" t="s">
        <v>3672</v>
      </c>
      <c r="L1987" s="84" t="s">
        <v>1484</v>
      </c>
      <c r="M1987" s="86"/>
      <c r="N1987" s="86"/>
      <c r="O1987" s="86"/>
      <c r="P1987" s="91">
        <v>107262.84600000001</v>
      </c>
      <c r="Q1987" s="87">
        <f t="shared" si="81"/>
        <v>0</v>
      </c>
      <c r="R1987" s="86"/>
      <c r="S1987" s="86"/>
      <c r="T1987" s="86"/>
      <c r="U1987" s="86"/>
      <c r="V1987" s="87">
        <f t="shared" si="82"/>
        <v>0</v>
      </c>
      <c r="W1987" s="88"/>
      <c r="X1987" s="89"/>
    </row>
    <row r="1988" spans="1:24" s="90" customFormat="1" ht="12" hidden="1" customHeight="1">
      <c r="A1988" s="83" t="s">
        <v>2562</v>
      </c>
      <c r="B1988" s="83"/>
      <c r="C1988" s="83"/>
      <c r="D1988" s="83"/>
      <c r="E1988" s="83"/>
      <c r="F1988" s="83"/>
      <c r="G1988" s="83"/>
      <c r="H1988" s="83"/>
      <c r="I1988" s="84" t="s">
        <v>2563</v>
      </c>
      <c r="J1988" s="84" t="s">
        <v>2564</v>
      </c>
      <c r="K1988" s="85" t="s">
        <v>3673</v>
      </c>
      <c r="L1988" s="84" t="s">
        <v>1484</v>
      </c>
      <c r="M1988" s="86"/>
      <c r="N1988" s="86"/>
      <c r="O1988" s="86"/>
      <c r="P1988" s="91">
        <v>130839.94500000001</v>
      </c>
      <c r="Q1988" s="87">
        <f t="shared" si="81"/>
        <v>0</v>
      </c>
      <c r="R1988" s="86"/>
      <c r="S1988" s="86"/>
      <c r="T1988" s="86"/>
      <c r="U1988" s="86"/>
      <c r="V1988" s="87">
        <f t="shared" si="82"/>
        <v>0</v>
      </c>
      <c r="W1988" s="88"/>
      <c r="X1988" s="89"/>
    </row>
    <row r="1989" spans="1:24" s="90" customFormat="1" ht="12" hidden="1" customHeight="1">
      <c r="A1989" s="83" t="s">
        <v>2565</v>
      </c>
      <c r="B1989" s="83"/>
      <c r="C1989" s="83"/>
      <c r="D1989" s="83"/>
      <c r="E1989" s="83"/>
      <c r="F1989" s="83"/>
      <c r="G1989" s="83"/>
      <c r="H1989" s="83"/>
      <c r="I1989" s="84" t="s">
        <v>2566</v>
      </c>
      <c r="J1989" s="84" t="s">
        <v>2567</v>
      </c>
      <c r="K1989" s="85" t="s">
        <v>3661</v>
      </c>
      <c r="L1989" s="84" t="s">
        <v>1484</v>
      </c>
      <c r="M1989" s="86"/>
      <c r="N1989" s="86"/>
      <c r="O1989" s="86"/>
      <c r="P1989" s="91">
        <v>38863.35</v>
      </c>
      <c r="Q1989" s="87">
        <f t="shared" si="81"/>
        <v>0</v>
      </c>
      <c r="R1989" s="86"/>
      <c r="S1989" s="86"/>
      <c r="T1989" s="86"/>
      <c r="U1989" s="86"/>
      <c r="V1989" s="87">
        <f t="shared" si="82"/>
        <v>0</v>
      </c>
      <c r="W1989" s="88"/>
      <c r="X1989" s="89"/>
    </row>
    <row r="1990" spans="1:24" s="90" customFormat="1" ht="12" hidden="1" customHeight="1">
      <c r="A1990" s="83" t="s">
        <v>2568</v>
      </c>
      <c r="B1990" s="83"/>
      <c r="C1990" s="83"/>
      <c r="D1990" s="83"/>
      <c r="E1990" s="83"/>
      <c r="F1990" s="83"/>
      <c r="G1990" s="83"/>
      <c r="H1990" s="83"/>
      <c r="I1990" s="84" t="s">
        <v>2569</v>
      </c>
      <c r="J1990" s="84" t="s">
        <v>2570</v>
      </c>
      <c r="K1990" s="85" t="s">
        <v>3662</v>
      </c>
      <c r="L1990" s="84" t="s">
        <v>1484</v>
      </c>
      <c r="M1990" s="86"/>
      <c r="N1990" s="86"/>
      <c r="O1990" s="86"/>
      <c r="P1990" s="91">
        <v>43526.951999999997</v>
      </c>
      <c r="Q1990" s="87">
        <f t="shared" si="81"/>
        <v>0</v>
      </c>
      <c r="R1990" s="86"/>
      <c r="S1990" s="86"/>
      <c r="T1990" s="86"/>
      <c r="U1990" s="86"/>
      <c r="V1990" s="87">
        <f t="shared" si="82"/>
        <v>0</v>
      </c>
      <c r="W1990" s="88"/>
      <c r="X1990" s="89"/>
    </row>
    <row r="1991" spans="1:24" s="90" customFormat="1" ht="12" hidden="1" customHeight="1">
      <c r="A1991" s="83" t="s">
        <v>2571</v>
      </c>
      <c r="B1991" s="83"/>
      <c r="C1991" s="83"/>
      <c r="D1991" s="83"/>
      <c r="E1991" s="83"/>
      <c r="F1991" s="83"/>
      <c r="G1991" s="83"/>
      <c r="H1991" s="83"/>
      <c r="I1991" s="84" t="s">
        <v>2572</v>
      </c>
      <c r="J1991" s="84" t="s">
        <v>2573</v>
      </c>
      <c r="K1991" s="85" t="s">
        <v>3663</v>
      </c>
      <c r="L1991" s="84" t="s">
        <v>1484</v>
      </c>
      <c r="M1991" s="86"/>
      <c r="N1991" s="86"/>
      <c r="O1991" s="86"/>
      <c r="P1991" s="91">
        <v>55574.590499999998</v>
      </c>
      <c r="Q1991" s="87">
        <f t="shared" si="81"/>
        <v>0</v>
      </c>
      <c r="R1991" s="86"/>
      <c r="S1991" s="86"/>
      <c r="T1991" s="86"/>
      <c r="U1991" s="86"/>
      <c r="V1991" s="87">
        <f t="shared" si="82"/>
        <v>0</v>
      </c>
      <c r="W1991" s="88"/>
      <c r="X1991" s="89"/>
    </row>
    <row r="1992" spans="1:24" s="90" customFormat="1" ht="12" hidden="1" customHeight="1">
      <c r="A1992" s="83" t="s">
        <v>2574</v>
      </c>
      <c r="B1992" s="83"/>
      <c r="C1992" s="83"/>
      <c r="D1992" s="83"/>
      <c r="E1992" s="83"/>
      <c r="F1992" s="83"/>
      <c r="G1992" s="83"/>
      <c r="H1992" s="83"/>
      <c r="I1992" s="84" t="s">
        <v>2575</v>
      </c>
      <c r="J1992" s="84" t="s">
        <v>2576</v>
      </c>
      <c r="K1992" s="85" t="s">
        <v>3666</v>
      </c>
      <c r="L1992" s="84" t="s">
        <v>1484</v>
      </c>
      <c r="M1992" s="86"/>
      <c r="N1992" s="86"/>
      <c r="O1992" s="86"/>
      <c r="P1992" s="91">
        <v>45858.752999999997</v>
      </c>
      <c r="Q1992" s="87">
        <f t="shared" si="81"/>
        <v>0</v>
      </c>
      <c r="R1992" s="86"/>
      <c r="S1992" s="86"/>
      <c r="T1992" s="86"/>
      <c r="U1992" s="86"/>
      <c r="V1992" s="87">
        <f t="shared" si="82"/>
        <v>0</v>
      </c>
      <c r="W1992" s="88"/>
      <c r="X1992" s="89"/>
    </row>
    <row r="1993" spans="1:24" s="90" customFormat="1" ht="12" hidden="1" customHeight="1">
      <c r="A1993" s="83" t="s">
        <v>2577</v>
      </c>
      <c r="B1993" s="83"/>
      <c r="C1993" s="83"/>
      <c r="D1993" s="83"/>
      <c r="E1993" s="83"/>
      <c r="F1993" s="83"/>
      <c r="G1993" s="83"/>
      <c r="H1993" s="83"/>
      <c r="I1993" s="84" t="s">
        <v>2578</v>
      </c>
      <c r="J1993" s="84" t="s">
        <v>2579</v>
      </c>
      <c r="K1993" s="85" t="s">
        <v>3668</v>
      </c>
      <c r="L1993" s="84" t="s">
        <v>1484</v>
      </c>
      <c r="M1993" s="86"/>
      <c r="N1993" s="86"/>
      <c r="O1993" s="86"/>
      <c r="P1993" s="91">
        <v>69435.851999999999</v>
      </c>
      <c r="Q1993" s="87">
        <f t="shared" si="81"/>
        <v>0</v>
      </c>
      <c r="R1993" s="86"/>
      <c r="S1993" s="86"/>
      <c r="T1993" s="86"/>
      <c r="U1993" s="86"/>
      <c r="V1993" s="87">
        <f t="shared" si="82"/>
        <v>0</v>
      </c>
      <c r="W1993" s="88"/>
      <c r="X1993" s="89"/>
    </row>
    <row r="1994" spans="1:24" s="90" customFormat="1" ht="12" hidden="1" customHeight="1">
      <c r="A1994" s="83" t="s">
        <v>2580</v>
      </c>
      <c r="B1994" s="83"/>
      <c r="C1994" s="83"/>
      <c r="D1994" s="83"/>
      <c r="E1994" s="83"/>
      <c r="F1994" s="83"/>
      <c r="G1994" s="83"/>
      <c r="H1994" s="83"/>
      <c r="I1994" s="84" t="s">
        <v>2581</v>
      </c>
      <c r="J1994" s="84" t="s">
        <v>2582</v>
      </c>
      <c r="K1994" s="85" t="s">
        <v>3669</v>
      </c>
      <c r="L1994" s="84" t="s">
        <v>1484</v>
      </c>
      <c r="M1994" s="86"/>
      <c r="N1994" s="86"/>
      <c r="O1994" s="86"/>
      <c r="P1994" s="91">
        <v>86017.547999999995</v>
      </c>
      <c r="Q1994" s="87">
        <f t="shared" si="81"/>
        <v>0</v>
      </c>
      <c r="R1994" s="86"/>
      <c r="S1994" s="86"/>
      <c r="T1994" s="86"/>
      <c r="U1994" s="86"/>
      <c r="V1994" s="87">
        <f t="shared" si="82"/>
        <v>0</v>
      </c>
      <c r="W1994" s="88"/>
      <c r="X1994" s="89"/>
    </row>
    <row r="1995" spans="1:24" s="90" customFormat="1" ht="12" hidden="1" customHeight="1">
      <c r="A1995" s="83" t="s">
        <v>2583</v>
      </c>
      <c r="B1995" s="83"/>
      <c r="C1995" s="83"/>
      <c r="D1995" s="83"/>
      <c r="E1995" s="83"/>
      <c r="F1995" s="83"/>
      <c r="G1995" s="83"/>
      <c r="H1995" s="83"/>
      <c r="I1995" s="84" t="s">
        <v>2584</v>
      </c>
      <c r="J1995" s="84" t="s">
        <v>2585</v>
      </c>
      <c r="K1995" s="85" t="s">
        <v>3670</v>
      </c>
      <c r="L1995" s="84" t="s">
        <v>1484</v>
      </c>
      <c r="M1995" s="86"/>
      <c r="N1995" s="86"/>
      <c r="O1995" s="86"/>
      <c r="P1995" s="91">
        <v>111926.448</v>
      </c>
      <c r="Q1995" s="87">
        <f t="shared" si="81"/>
        <v>0</v>
      </c>
      <c r="R1995" s="86"/>
      <c r="S1995" s="86"/>
      <c r="T1995" s="86"/>
      <c r="U1995" s="86"/>
      <c r="V1995" s="87">
        <f t="shared" si="82"/>
        <v>0</v>
      </c>
      <c r="W1995" s="88"/>
      <c r="X1995" s="89"/>
    </row>
    <row r="1996" spans="1:24" s="90" customFormat="1" ht="12" hidden="1" customHeight="1">
      <c r="A1996" s="83" t="s">
        <v>2586</v>
      </c>
      <c r="B1996" s="83"/>
      <c r="C1996" s="83"/>
      <c r="D1996" s="83"/>
      <c r="E1996" s="83"/>
      <c r="F1996" s="83"/>
      <c r="G1996" s="83"/>
      <c r="H1996" s="83"/>
      <c r="I1996" s="84" t="s">
        <v>2587</v>
      </c>
      <c r="J1996" s="84" t="s">
        <v>2588</v>
      </c>
      <c r="K1996" s="85" t="s">
        <v>3672</v>
      </c>
      <c r="L1996" s="84" t="s">
        <v>1484</v>
      </c>
      <c r="M1996" s="86"/>
      <c r="N1996" s="86"/>
      <c r="O1996" s="86"/>
      <c r="P1996" s="91">
        <v>128249.05499999999</v>
      </c>
      <c r="Q1996" s="87">
        <f t="shared" si="81"/>
        <v>0</v>
      </c>
      <c r="R1996" s="86"/>
      <c r="S1996" s="86"/>
      <c r="T1996" s="86"/>
      <c r="U1996" s="86"/>
      <c r="V1996" s="87">
        <f t="shared" si="82"/>
        <v>0</v>
      </c>
      <c r="W1996" s="88"/>
      <c r="X1996" s="89"/>
    </row>
    <row r="1997" spans="1:24" s="90" customFormat="1" ht="12" hidden="1" customHeight="1">
      <c r="A1997" s="83" t="s">
        <v>2589</v>
      </c>
      <c r="B1997" s="83"/>
      <c r="C1997" s="83"/>
      <c r="D1997" s="83"/>
      <c r="E1997" s="83"/>
      <c r="F1997" s="83"/>
      <c r="G1997" s="83"/>
      <c r="H1997" s="83"/>
      <c r="I1997" s="84" t="s">
        <v>2590</v>
      </c>
      <c r="J1997" s="84" t="s">
        <v>2591</v>
      </c>
      <c r="K1997" s="85" t="s">
        <v>3673</v>
      </c>
      <c r="L1997" s="84" t="s">
        <v>1484</v>
      </c>
      <c r="M1997" s="86"/>
      <c r="N1997" s="86"/>
      <c r="O1997" s="86"/>
      <c r="P1997" s="91">
        <v>155712.489</v>
      </c>
      <c r="Q1997" s="87">
        <f t="shared" si="81"/>
        <v>0</v>
      </c>
      <c r="R1997" s="86"/>
      <c r="S1997" s="86"/>
      <c r="T1997" s="86"/>
      <c r="U1997" s="86"/>
      <c r="V1997" s="87">
        <f t="shared" si="82"/>
        <v>0</v>
      </c>
      <c r="W1997" s="88"/>
      <c r="X1997" s="89"/>
    </row>
    <row r="1998" spans="1:24" s="90" customFormat="1" ht="12" hidden="1" customHeight="1">
      <c r="A1998" s="83" t="s">
        <v>2592</v>
      </c>
      <c r="B1998" s="83"/>
      <c r="C1998" s="83"/>
      <c r="D1998" s="83"/>
      <c r="E1998" s="83"/>
      <c r="F1998" s="83"/>
      <c r="G1998" s="83"/>
      <c r="H1998" s="83"/>
      <c r="I1998" s="84" t="s">
        <v>2593</v>
      </c>
      <c r="J1998" s="84" t="s">
        <v>2594</v>
      </c>
      <c r="K1998" s="85" t="s">
        <v>3661</v>
      </c>
      <c r="L1998" s="84" t="s">
        <v>1484</v>
      </c>
      <c r="M1998" s="86"/>
      <c r="N1998" s="86"/>
      <c r="O1998" s="86"/>
      <c r="P1998" s="91">
        <v>47154.197999999997</v>
      </c>
      <c r="Q1998" s="87">
        <f t="shared" si="81"/>
        <v>0</v>
      </c>
      <c r="R1998" s="86"/>
      <c r="S1998" s="86"/>
      <c r="T1998" s="86"/>
      <c r="U1998" s="86"/>
      <c r="V1998" s="87">
        <f t="shared" si="82"/>
        <v>0</v>
      </c>
      <c r="W1998" s="88"/>
      <c r="X1998" s="89"/>
    </row>
    <row r="1999" spans="1:24" s="90" customFormat="1" ht="12" hidden="1" customHeight="1">
      <c r="A1999" s="83" t="s">
        <v>2595</v>
      </c>
      <c r="B1999" s="83"/>
      <c r="C1999" s="83"/>
      <c r="D1999" s="83"/>
      <c r="E1999" s="83"/>
      <c r="F1999" s="83"/>
      <c r="G1999" s="83"/>
      <c r="H1999" s="83"/>
      <c r="I1999" s="84" t="s">
        <v>2596</v>
      </c>
      <c r="J1999" s="84" t="s">
        <v>2597</v>
      </c>
      <c r="K1999" s="85" t="s">
        <v>3662</v>
      </c>
      <c r="L1999" s="84" t="s">
        <v>1484</v>
      </c>
      <c r="M1999" s="86"/>
      <c r="N1999" s="86"/>
      <c r="O1999" s="86"/>
      <c r="P1999" s="91">
        <v>55445.046000000002</v>
      </c>
      <c r="Q1999" s="87">
        <f t="shared" si="81"/>
        <v>0</v>
      </c>
      <c r="R1999" s="86"/>
      <c r="S1999" s="86"/>
      <c r="T1999" s="86"/>
      <c r="U1999" s="86"/>
      <c r="V1999" s="87">
        <f t="shared" si="82"/>
        <v>0</v>
      </c>
      <c r="W1999" s="88"/>
      <c r="X1999" s="89"/>
    </row>
    <row r="2000" spans="1:24" s="90" customFormat="1" ht="12" hidden="1" customHeight="1">
      <c r="A2000" s="83" t="s">
        <v>2598</v>
      </c>
      <c r="B2000" s="83"/>
      <c r="C2000" s="83"/>
      <c r="D2000" s="83"/>
      <c r="E2000" s="83"/>
      <c r="F2000" s="83"/>
      <c r="G2000" s="83"/>
      <c r="H2000" s="83"/>
      <c r="I2000" s="84" t="s">
        <v>2042</v>
      </c>
      <c r="J2000" s="84" t="s">
        <v>2599</v>
      </c>
      <c r="K2000" s="85" t="s">
        <v>3663</v>
      </c>
      <c r="L2000" s="84" t="s">
        <v>1484</v>
      </c>
      <c r="M2000" s="86"/>
      <c r="N2000" s="86"/>
      <c r="O2000" s="86"/>
      <c r="P2000" s="91">
        <v>70731.297000000006</v>
      </c>
      <c r="Q2000" s="87">
        <f t="shared" si="81"/>
        <v>0</v>
      </c>
      <c r="R2000" s="86"/>
      <c r="S2000" s="86"/>
      <c r="T2000" s="86"/>
      <c r="U2000" s="86"/>
      <c r="V2000" s="87">
        <f t="shared" si="82"/>
        <v>0</v>
      </c>
      <c r="W2000" s="88"/>
      <c r="X2000" s="89"/>
    </row>
    <row r="2001" spans="1:24" s="90" customFormat="1" ht="12" hidden="1" customHeight="1">
      <c r="A2001" s="83" t="s">
        <v>2600</v>
      </c>
      <c r="B2001" s="83"/>
      <c r="C2001" s="83"/>
      <c r="D2001" s="83"/>
      <c r="E2001" s="83"/>
      <c r="F2001" s="83"/>
      <c r="G2001" s="83"/>
      <c r="H2001" s="83"/>
      <c r="I2001" s="84" t="s">
        <v>2601</v>
      </c>
      <c r="J2001" s="84" t="s">
        <v>2602</v>
      </c>
      <c r="K2001" s="85" t="s">
        <v>3664</v>
      </c>
      <c r="L2001" s="84" t="s">
        <v>1484</v>
      </c>
      <c r="M2001" s="86"/>
      <c r="N2001" s="86"/>
      <c r="O2001" s="86"/>
      <c r="P2001" s="91">
        <v>86794.815000000002</v>
      </c>
      <c r="Q2001" s="87">
        <f t="shared" si="81"/>
        <v>0</v>
      </c>
      <c r="R2001" s="86"/>
      <c r="S2001" s="86"/>
      <c r="T2001" s="86"/>
      <c r="U2001" s="86"/>
      <c r="V2001" s="87">
        <f t="shared" si="82"/>
        <v>0</v>
      </c>
      <c r="W2001" s="88"/>
      <c r="X2001" s="89"/>
    </row>
    <row r="2002" spans="1:24" s="90" customFormat="1" ht="12" hidden="1" customHeight="1">
      <c r="A2002" s="83" t="s">
        <v>2603</v>
      </c>
      <c r="B2002" s="83"/>
      <c r="C2002" s="83"/>
      <c r="D2002" s="83"/>
      <c r="E2002" s="83"/>
      <c r="F2002" s="83"/>
      <c r="G2002" s="83"/>
      <c r="H2002" s="83"/>
      <c r="I2002" s="84" t="s">
        <v>2604</v>
      </c>
      <c r="J2002" s="84" t="s">
        <v>2605</v>
      </c>
      <c r="K2002" s="85" t="s">
        <v>3665</v>
      </c>
      <c r="L2002" s="84" t="s">
        <v>1484</v>
      </c>
      <c r="M2002" s="86"/>
      <c r="N2002" s="86"/>
      <c r="O2002" s="86"/>
      <c r="P2002" s="91">
        <v>126694.52099999999</v>
      </c>
      <c r="Q2002" s="87">
        <f t="shared" si="81"/>
        <v>0</v>
      </c>
      <c r="R2002" s="86"/>
      <c r="S2002" s="86"/>
      <c r="T2002" s="86"/>
      <c r="U2002" s="86"/>
      <c r="V2002" s="87">
        <f t="shared" si="82"/>
        <v>0</v>
      </c>
      <c r="W2002" s="88"/>
      <c r="X2002" s="89"/>
    </row>
    <row r="2003" spans="1:24" s="90" customFormat="1" ht="12" hidden="1" customHeight="1">
      <c r="A2003" s="83" t="s">
        <v>2606</v>
      </c>
      <c r="B2003" s="83"/>
      <c r="C2003" s="83"/>
      <c r="D2003" s="83"/>
      <c r="E2003" s="83"/>
      <c r="F2003" s="83"/>
      <c r="G2003" s="83"/>
      <c r="H2003" s="83"/>
      <c r="I2003" s="84" t="s">
        <v>2607</v>
      </c>
      <c r="J2003" s="84" t="s">
        <v>2608</v>
      </c>
      <c r="K2003" s="85" t="s">
        <v>3666</v>
      </c>
      <c r="L2003" s="84" t="s">
        <v>1484</v>
      </c>
      <c r="M2003" s="86"/>
      <c r="N2003" s="86"/>
      <c r="O2003" s="86"/>
      <c r="P2003" s="91">
        <v>58813.203000000001</v>
      </c>
      <c r="Q2003" s="87">
        <f t="shared" ref="Q2003:Q2019" si="83">IF(W2003="",M2003*P2003*$Q$3*$W$3,M2003*P2003*$Q$3*W2003)</f>
        <v>0</v>
      </c>
      <c r="R2003" s="86"/>
      <c r="S2003" s="86"/>
      <c r="T2003" s="86"/>
      <c r="U2003" s="86"/>
      <c r="V2003" s="87">
        <f t="shared" si="82"/>
        <v>0</v>
      </c>
      <c r="W2003" s="88"/>
      <c r="X2003" s="89"/>
    </row>
    <row r="2004" spans="1:24" s="90" customFormat="1" ht="12" hidden="1" customHeight="1">
      <c r="A2004" s="83" t="s">
        <v>2609</v>
      </c>
      <c r="B2004" s="83"/>
      <c r="C2004" s="83"/>
      <c r="D2004" s="83"/>
      <c r="E2004" s="83"/>
      <c r="F2004" s="83"/>
      <c r="G2004" s="83"/>
      <c r="H2004" s="83"/>
      <c r="I2004" s="84" t="s">
        <v>2610</v>
      </c>
      <c r="J2004" s="84" t="s">
        <v>2611</v>
      </c>
      <c r="K2004" s="85" t="s">
        <v>3667</v>
      </c>
      <c r="L2004" s="84" t="s">
        <v>1484</v>
      </c>
      <c r="M2004" s="86"/>
      <c r="N2004" s="86"/>
      <c r="O2004" s="86"/>
      <c r="P2004" s="91">
        <v>80317.59</v>
      </c>
      <c r="Q2004" s="87">
        <f t="shared" si="83"/>
        <v>0</v>
      </c>
      <c r="R2004" s="86"/>
      <c r="S2004" s="86"/>
      <c r="T2004" s="86"/>
      <c r="U2004" s="86"/>
      <c r="V2004" s="87">
        <f t="shared" si="82"/>
        <v>0</v>
      </c>
      <c r="W2004" s="88"/>
      <c r="X2004" s="89"/>
    </row>
    <row r="2005" spans="1:24" s="90" customFormat="1" ht="12" hidden="1" customHeight="1">
      <c r="A2005" s="83" t="s">
        <v>2612</v>
      </c>
      <c r="B2005" s="83"/>
      <c r="C2005" s="83"/>
      <c r="D2005" s="83"/>
      <c r="E2005" s="83"/>
      <c r="F2005" s="83"/>
      <c r="G2005" s="83"/>
      <c r="H2005" s="83"/>
      <c r="I2005" s="84" t="s">
        <v>2613</v>
      </c>
      <c r="J2005" s="84" t="s">
        <v>2614</v>
      </c>
      <c r="K2005" s="85" t="s">
        <v>3668</v>
      </c>
      <c r="L2005" s="84" t="s">
        <v>1484</v>
      </c>
      <c r="M2005" s="86"/>
      <c r="N2005" s="86"/>
      <c r="O2005" s="86"/>
      <c r="P2005" s="91">
        <v>88090.26</v>
      </c>
      <c r="Q2005" s="87">
        <f t="shared" si="83"/>
        <v>0</v>
      </c>
      <c r="R2005" s="86"/>
      <c r="S2005" s="86"/>
      <c r="T2005" s="86"/>
      <c r="U2005" s="86"/>
      <c r="V2005" s="87">
        <f t="shared" si="82"/>
        <v>0</v>
      </c>
      <c r="W2005" s="88"/>
      <c r="X2005" s="89"/>
    </row>
    <row r="2006" spans="1:24" s="90" customFormat="1" ht="12" hidden="1" customHeight="1">
      <c r="A2006" s="83" t="s">
        <v>2615</v>
      </c>
      <c r="B2006" s="83"/>
      <c r="C2006" s="83"/>
      <c r="D2006" s="83"/>
      <c r="E2006" s="83"/>
      <c r="F2006" s="83"/>
      <c r="G2006" s="83"/>
      <c r="H2006" s="83"/>
      <c r="I2006" s="84" t="s">
        <v>2043</v>
      </c>
      <c r="J2006" s="84" t="s">
        <v>2616</v>
      </c>
      <c r="K2006" s="85" t="s">
        <v>3669</v>
      </c>
      <c r="L2006" s="84" t="s">
        <v>1484</v>
      </c>
      <c r="M2006" s="86"/>
      <c r="N2006" s="86"/>
      <c r="O2006" s="86"/>
      <c r="P2006" s="91">
        <v>108299.202</v>
      </c>
      <c r="Q2006" s="87">
        <f t="shared" si="83"/>
        <v>0</v>
      </c>
      <c r="R2006" s="86"/>
      <c r="S2006" s="86"/>
      <c r="T2006" s="86"/>
      <c r="U2006" s="86"/>
      <c r="V2006" s="87">
        <f t="shared" si="82"/>
        <v>0</v>
      </c>
      <c r="W2006" s="88"/>
      <c r="X2006" s="89"/>
    </row>
    <row r="2007" spans="1:24" s="90" customFormat="1" ht="12" hidden="1" customHeight="1">
      <c r="A2007" s="83" t="s">
        <v>2617</v>
      </c>
      <c r="B2007" s="83"/>
      <c r="C2007" s="83"/>
      <c r="D2007" s="83"/>
      <c r="E2007" s="83"/>
      <c r="F2007" s="83"/>
      <c r="G2007" s="83"/>
      <c r="H2007" s="83"/>
      <c r="I2007" s="84" t="s">
        <v>2618</v>
      </c>
      <c r="J2007" s="84" t="s">
        <v>2619</v>
      </c>
      <c r="K2007" s="85" t="s">
        <v>3670</v>
      </c>
      <c r="L2007" s="84" t="s">
        <v>1484</v>
      </c>
      <c r="M2007" s="86"/>
      <c r="N2007" s="86"/>
      <c r="O2007" s="86"/>
      <c r="P2007" s="91">
        <v>141203.505</v>
      </c>
      <c r="Q2007" s="87">
        <f t="shared" si="83"/>
        <v>0</v>
      </c>
      <c r="R2007" s="86"/>
      <c r="S2007" s="86"/>
      <c r="T2007" s="86"/>
      <c r="U2007" s="86"/>
      <c r="V2007" s="87">
        <f t="shared" si="82"/>
        <v>0</v>
      </c>
      <c r="W2007" s="88"/>
      <c r="X2007" s="89"/>
    </row>
    <row r="2008" spans="1:24" s="90" customFormat="1" ht="12" hidden="1" customHeight="1">
      <c r="A2008" s="83" t="s">
        <v>2620</v>
      </c>
      <c r="B2008" s="83"/>
      <c r="C2008" s="83"/>
      <c r="D2008" s="83"/>
      <c r="E2008" s="83"/>
      <c r="F2008" s="83"/>
      <c r="G2008" s="83"/>
      <c r="H2008" s="83"/>
      <c r="I2008" s="84" t="s">
        <v>2621</v>
      </c>
      <c r="J2008" s="84" t="s">
        <v>2622</v>
      </c>
      <c r="K2008" s="85" t="s">
        <v>3671</v>
      </c>
      <c r="L2008" s="84" t="s">
        <v>1484</v>
      </c>
      <c r="M2008" s="86"/>
      <c r="N2008" s="86"/>
      <c r="O2008" s="86"/>
      <c r="P2008" s="91">
        <v>183953.19</v>
      </c>
      <c r="Q2008" s="87">
        <f t="shared" si="83"/>
        <v>0</v>
      </c>
      <c r="R2008" s="86"/>
      <c r="S2008" s="86"/>
      <c r="T2008" s="86"/>
      <c r="U2008" s="86"/>
      <c r="V2008" s="87">
        <f t="shared" si="82"/>
        <v>0</v>
      </c>
      <c r="W2008" s="88"/>
      <c r="X2008" s="89"/>
    </row>
    <row r="2009" spans="1:24" s="90" customFormat="1" ht="12" hidden="1" customHeight="1">
      <c r="A2009" s="83" t="s">
        <v>2623</v>
      </c>
      <c r="B2009" s="83"/>
      <c r="C2009" s="83"/>
      <c r="D2009" s="83"/>
      <c r="E2009" s="83"/>
      <c r="F2009" s="83"/>
      <c r="G2009" s="83"/>
      <c r="H2009" s="83"/>
      <c r="I2009" s="84" t="s">
        <v>2624</v>
      </c>
      <c r="J2009" s="84" t="s">
        <v>2625</v>
      </c>
      <c r="K2009" s="85" t="s">
        <v>3672</v>
      </c>
      <c r="L2009" s="84" t="s">
        <v>1484</v>
      </c>
      <c r="M2009" s="86"/>
      <c r="N2009" s="86"/>
      <c r="O2009" s="86"/>
      <c r="P2009" s="91">
        <v>162448.80300000001</v>
      </c>
      <c r="Q2009" s="87">
        <f t="shared" si="83"/>
        <v>0</v>
      </c>
      <c r="R2009" s="86"/>
      <c r="S2009" s="86"/>
      <c r="T2009" s="86"/>
      <c r="U2009" s="86"/>
      <c r="V2009" s="87">
        <f t="shared" si="82"/>
        <v>0</v>
      </c>
      <c r="W2009" s="88"/>
      <c r="X2009" s="89"/>
    </row>
    <row r="2010" spans="1:24" s="90" customFormat="1" ht="12" hidden="1" customHeight="1">
      <c r="A2010" s="92" t="s">
        <v>2626</v>
      </c>
      <c r="B2010" s="92"/>
      <c r="C2010" s="92"/>
      <c r="D2010" s="92"/>
      <c r="E2010" s="92"/>
      <c r="F2010" s="92"/>
      <c r="G2010" s="92"/>
      <c r="H2010" s="92"/>
      <c r="I2010" s="93" t="s">
        <v>2627</v>
      </c>
      <c r="J2010" s="93" t="s">
        <v>2628</v>
      </c>
      <c r="K2010" s="94" t="s">
        <v>3673</v>
      </c>
      <c r="L2010" s="93" t="s">
        <v>1484</v>
      </c>
      <c r="M2010" s="86"/>
      <c r="N2010" s="86"/>
      <c r="O2010" s="86"/>
      <c r="P2010" s="95">
        <v>197943.99600000001</v>
      </c>
      <c r="Q2010" s="87">
        <f t="shared" si="83"/>
        <v>0</v>
      </c>
      <c r="R2010" s="86"/>
      <c r="S2010" s="86"/>
      <c r="T2010" s="86"/>
      <c r="U2010" s="86"/>
      <c r="V2010" s="87">
        <f t="shared" si="82"/>
        <v>0</v>
      </c>
      <c r="W2010" s="88"/>
      <c r="X2010" s="89"/>
    </row>
    <row r="2011" spans="1:24" s="90" customFormat="1" ht="12" hidden="1" customHeight="1">
      <c r="A2011" s="83" t="s">
        <v>2629</v>
      </c>
      <c r="B2011" s="83"/>
      <c r="C2011" s="83"/>
      <c r="D2011" s="83"/>
      <c r="E2011" s="83"/>
      <c r="F2011" s="83"/>
      <c r="G2011" s="83"/>
      <c r="H2011" s="83"/>
      <c r="I2011" s="84" t="s">
        <v>2056</v>
      </c>
      <c r="J2011" s="84" t="s">
        <v>2630</v>
      </c>
      <c r="K2011" s="85" t="s">
        <v>3674</v>
      </c>
      <c r="L2011" s="84" t="s">
        <v>20</v>
      </c>
      <c r="M2011" s="86"/>
      <c r="N2011" s="86"/>
      <c r="O2011" s="86"/>
      <c r="P2011" s="91">
        <v>30313.413</v>
      </c>
      <c r="Q2011" s="87">
        <f t="shared" si="83"/>
        <v>0</v>
      </c>
      <c r="R2011" s="86"/>
      <c r="S2011" s="86"/>
      <c r="T2011" s="86"/>
      <c r="U2011" s="86"/>
      <c r="V2011" s="87">
        <f t="shared" si="82"/>
        <v>0</v>
      </c>
      <c r="W2011" s="88"/>
      <c r="X2011" s="89"/>
    </row>
    <row r="2012" spans="1:24" s="90" customFormat="1" ht="12" hidden="1" customHeight="1">
      <c r="A2012" s="83" t="s">
        <v>2631</v>
      </c>
      <c r="B2012" s="83"/>
      <c r="C2012" s="83"/>
      <c r="D2012" s="83"/>
      <c r="E2012" s="83"/>
      <c r="F2012" s="83"/>
      <c r="G2012" s="83"/>
      <c r="H2012" s="83"/>
      <c r="I2012" s="84" t="s">
        <v>2632</v>
      </c>
      <c r="J2012" s="84" t="s">
        <v>2633</v>
      </c>
      <c r="K2012" s="85" t="s">
        <v>3675</v>
      </c>
      <c r="L2012" s="84" t="s">
        <v>20</v>
      </c>
      <c r="M2012" s="86"/>
      <c r="N2012" s="86"/>
      <c r="O2012" s="86"/>
      <c r="P2012" s="91">
        <v>35754.281999999999</v>
      </c>
      <c r="Q2012" s="87">
        <f t="shared" si="83"/>
        <v>0</v>
      </c>
      <c r="R2012" s="86"/>
      <c r="S2012" s="86"/>
      <c r="T2012" s="86"/>
      <c r="U2012" s="86"/>
      <c r="V2012" s="87">
        <f t="shared" si="82"/>
        <v>0</v>
      </c>
      <c r="W2012" s="88"/>
      <c r="X2012" s="89"/>
    </row>
    <row r="2013" spans="1:24" s="90" customFormat="1" ht="12" hidden="1" customHeight="1">
      <c r="A2013" s="83" t="s">
        <v>2634</v>
      </c>
      <c r="B2013" s="83"/>
      <c r="C2013" s="83"/>
      <c r="D2013" s="83"/>
      <c r="E2013" s="83"/>
      <c r="F2013" s="83"/>
      <c r="G2013" s="83"/>
      <c r="H2013" s="83"/>
      <c r="I2013" s="84" t="s">
        <v>2635</v>
      </c>
      <c r="J2013" s="84" t="s">
        <v>2636</v>
      </c>
      <c r="K2013" s="85" t="s">
        <v>3676</v>
      </c>
      <c r="L2013" s="84" t="s">
        <v>20</v>
      </c>
      <c r="M2013" s="86"/>
      <c r="N2013" s="86"/>
      <c r="O2013" s="86"/>
      <c r="P2013" s="91">
        <v>42231.506999999998</v>
      </c>
      <c r="Q2013" s="87">
        <f t="shared" si="83"/>
        <v>0</v>
      </c>
      <c r="R2013" s="86"/>
      <c r="S2013" s="86"/>
      <c r="T2013" s="86"/>
      <c r="U2013" s="86"/>
      <c r="V2013" s="87">
        <f t="shared" si="82"/>
        <v>0</v>
      </c>
      <c r="W2013" s="88"/>
      <c r="X2013" s="89"/>
    </row>
    <row r="2014" spans="1:24" s="90" customFormat="1" ht="12" hidden="1" customHeight="1">
      <c r="A2014" s="83" t="s">
        <v>2637</v>
      </c>
      <c r="B2014" s="83"/>
      <c r="C2014" s="83"/>
      <c r="D2014" s="83"/>
      <c r="E2014" s="83"/>
      <c r="F2014" s="83"/>
      <c r="G2014" s="83"/>
      <c r="H2014" s="83"/>
      <c r="I2014" s="84" t="s">
        <v>2638</v>
      </c>
      <c r="J2014" s="84" t="s">
        <v>2639</v>
      </c>
      <c r="K2014" s="85" t="s">
        <v>3677</v>
      </c>
      <c r="L2014" s="84" t="s">
        <v>20</v>
      </c>
      <c r="M2014" s="86"/>
      <c r="N2014" s="86"/>
      <c r="O2014" s="86"/>
      <c r="P2014" s="91">
        <v>57258.669000000002</v>
      </c>
      <c r="Q2014" s="87">
        <f t="shared" si="83"/>
        <v>0</v>
      </c>
      <c r="R2014" s="86"/>
      <c r="S2014" s="86"/>
      <c r="T2014" s="86"/>
      <c r="U2014" s="86"/>
      <c r="V2014" s="87">
        <f t="shared" si="82"/>
        <v>0</v>
      </c>
      <c r="W2014" s="88"/>
      <c r="X2014" s="89"/>
    </row>
    <row r="2015" spans="1:24" s="90" customFormat="1" ht="12" hidden="1" customHeight="1">
      <c r="A2015" s="83" t="s">
        <v>2640</v>
      </c>
      <c r="B2015" s="83"/>
      <c r="C2015" s="83"/>
      <c r="D2015" s="83"/>
      <c r="E2015" s="83"/>
      <c r="F2015" s="83"/>
      <c r="G2015" s="83"/>
      <c r="H2015" s="83"/>
      <c r="I2015" s="84" t="s">
        <v>2641</v>
      </c>
      <c r="J2015" s="84" t="s">
        <v>2642</v>
      </c>
      <c r="K2015" s="85" t="s">
        <v>3678</v>
      </c>
      <c r="L2015" s="84" t="s">
        <v>20</v>
      </c>
      <c r="M2015" s="86"/>
      <c r="N2015" s="86"/>
      <c r="O2015" s="86"/>
      <c r="P2015" s="91">
        <v>65808.606</v>
      </c>
      <c r="Q2015" s="87">
        <f t="shared" si="83"/>
        <v>0</v>
      </c>
      <c r="R2015" s="86"/>
      <c r="S2015" s="86"/>
      <c r="T2015" s="86"/>
      <c r="U2015" s="86"/>
      <c r="V2015" s="87">
        <f t="shared" si="82"/>
        <v>0</v>
      </c>
      <c r="W2015" s="88"/>
      <c r="X2015" s="89"/>
    </row>
    <row r="2016" spans="1:24" s="90" customFormat="1" ht="12" hidden="1" customHeight="1">
      <c r="A2016" s="83" t="s">
        <v>2643</v>
      </c>
      <c r="B2016" s="83"/>
      <c r="C2016" s="83"/>
      <c r="D2016" s="83"/>
      <c r="E2016" s="83"/>
      <c r="F2016" s="83"/>
      <c r="G2016" s="83"/>
      <c r="H2016" s="83"/>
      <c r="I2016" s="84" t="s">
        <v>2644</v>
      </c>
      <c r="J2016" s="84" t="s">
        <v>2645</v>
      </c>
      <c r="K2016" s="85" t="s">
        <v>3674</v>
      </c>
      <c r="L2016" s="84" t="s">
        <v>20</v>
      </c>
      <c r="M2016" s="86"/>
      <c r="N2016" s="86"/>
      <c r="O2016" s="86"/>
      <c r="P2016" s="91">
        <v>40936.061999999998</v>
      </c>
      <c r="Q2016" s="87">
        <f t="shared" si="83"/>
        <v>0</v>
      </c>
      <c r="R2016" s="86"/>
      <c r="S2016" s="86"/>
      <c r="T2016" s="86"/>
      <c r="U2016" s="86"/>
      <c r="V2016" s="87">
        <f t="shared" si="82"/>
        <v>0</v>
      </c>
      <c r="W2016" s="88"/>
      <c r="X2016" s="89"/>
    </row>
    <row r="2017" spans="1:24" s="90" customFormat="1" ht="12" hidden="1" customHeight="1">
      <c r="A2017" s="83" t="s">
        <v>2646</v>
      </c>
      <c r="B2017" s="83"/>
      <c r="C2017" s="83"/>
      <c r="D2017" s="83"/>
      <c r="E2017" s="83"/>
      <c r="F2017" s="83"/>
      <c r="G2017" s="83"/>
      <c r="H2017" s="83"/>
      <c r="I2017" s="84" t="s">
        <v>2647</v>
      </c>
      <c r="J2017" s="84" t="s">
        <v>2648</v>
      </c>
      <c r="K2017" s="85" t="s">
        <v>3675</v>
      </c>
      <c r="L2017" s="84" t="s">
        <v>20</v>
      </c>
      <c r="M2017" s="86"/>
      <c r="N2017" s="86"/>
      <c r="O2017" s="86"/>
      <c r="P2017" s="91">
        <v>42231.506999999998</v>
      </c>
      <c r="Q2017" s="87">
        <f t="shared" si="83"/>
        <v>0</v>
      </c>
      <c r="R2017" s="86"/>
      <c r="S2017" s="86"/>
      <c r="T2017" s="86"/>
      <c r="U2017" s="86"/>
      <c r="V2017" s="87">
        <f t="shared" si="82"/>
        <v>0</v>
      </c>
      <c r="W2017" s="88"/>
      <c r="X2017" s="89"/>
    </row>
    <row r="2018" spans="1:24" s="90" customFormat="1" ht="12" hidden="1" customHeight="1">
      <c r="A2018" s="83" t="s">
        <v>2649</v>
      </c>
      <c r="B2018" s="83"/>
      <c r="C2018" s="83"/>
      <c r="D2018" s="83"/>
      <c r="E2018" s="83"/>
      <c r="F2018" s="83"/>
      <c r="G2018" s="83"/>
      <c r="H2018" s="83"/>
      <c r="I2018" s="84" t="s">
        <v>2650</v>
      </c>
      <c r="J2018" s="84" t="s">
        <v>2651</v>
      </c>
      <c r="K2018" s="85" t="s">
        <v>3676</v>
      </c>
      <c r="L2018" s="84" t="s">
        <v>20</v>
      </c>
      <c r="M2018" s="86"/>
      <c r="N2018" s="86"/>
      <c r="O2018" s="86"/>
      <c r="P2018" s="91">
        <v>55185.957000000002</v>
      </c>
      <c r="Q2018" s="87">
        <f t="shared" si="83"/>
        <v>0</v>
      </c>
      <c r="R2018" s="86"/>
      <c r="S2018" s="86"/>
      <c r="T2018" s="86"/>
      <c r="U2018" s="86"/>
      <c r="V2018" s="87">
        <f t="shared" si="82"/>
        <v>0</v>
      </c>
      <c r="W2018" s="88"/>
      <c r="X2018" s="89"/>
    </row>
    <row r="2019" spans="1:24" s="90" customFormat="1" ht="12" hidden="1" customHeight="1">
      <c r="A2019" s="83" t="s">
        <v>2652</v>
      </c>
      <c r="B2019" s="83"/>
      <c r="C2019" s="83"/>
      <c r="D2019" s="83"/>
      <c r="E2019" s="83"/>
      <c r="F2019" s="83"/>
      <c r="G2019" s="83"/>
      <c r="H2019" s="83"/>
      <c r="I2019" s="84" t="s">
        <v>2653</v>
      </c>
      <c r="J2019" s="84" t="s">
        <v>2654</v>
      </c>
      <c r="K2019" s="85" t="s">
        <v>3677</v>
      </c>
      <c r="L2019" s="84" t="s">
        <v>20</v>
      </c>
      <c r="M2019" s="86"/>
      <c r="N2019" s="86"/>
      <c r="O2019" s="86"/>
      <c r="P2019" s="91">
        <v>64513.161</v>
      </c>
      <c r="Q2019" s="87">
        <f t="shared" si="83"/>
        <v>0</v>
      </c>
      <c r="R2019" s="86"/>
      <c r="S2019" s="86"/>
      <c r="T2019" s="86"/>
      <c r="U2019" s="86"/>
      <c r="V2019" s="87">
        <f t="shared" si="82"/>
        <v>0</v>
      </c>
      <c r="W2019" s="88"/>
      <c r="X2019" s="89"/>
    </row>
    <row r="2020" spans="1:24" s="90" customFormat="1" ht="12" hidden="1" customHeight="1">
      <c r="A2020" s="83" t="s">
        <v>2655</v>
      </c>
      <c r="B2020" s="83"/>
      <c r="C2020" s="83"/>
      <c r="D2020" s="83"/>
      <c r="E2020" s="83"/>
      <c r="F2020" s="83"/>
      <c r="G2020" s="83"/>
      <c r="H2020" s="83"/>
      <c r="I2020" s="84" t="s">
        <v>2054</v>
      </c>
      <c r="J2020" s="84" t="s">
        <v>2057</v>
      </c>
      <c r="K2020" s="85" t="s">
        <v>3674</v>
      </c>
      <c r="L2020" s="84" t="s">
        <v>20</v>
      </c>
      <c r="M2020" s="86"/>
      <c r="N2020" s="86"/>
      <c r="O2020" s="86"/>
      <c r="P2020" s="91">
        <v>40158.794999999998</v>
      </c>
      <c r="Q2020" s="87">
        <f t="shared" ref="Q2020:Q2083" si="84">IF(W2020="",M2020*P2020*$Q$3*$W$3,M2020*P2020*$Q$3*W2020)</f>
        <v>0</v>
      </c>
      <c r="R2020" s="86"/>
      <c r="S2020" s="86"/>
      <c r="T2020" s="86"/>
      <c r="U2020" s="86"/>
      <c r="V2020" s="87">
        <f t="shared" si="82"/>
        <v>0</v>
      </c>
      <c r="W2020" s="88"/>
      <c r="X2020" s="89"/>
    </row>
    <row r="2021" spans="1:24" s="90" customFormat="1" ht="12" hidden="1" customHeight="1">
      <c r="A2021" s="83" t="s">
        <v>2656</v>
      </c>
      <c r="B2021" s="83"/>
      <c r="C2021" s="83"/>
      <c r="D2021" s="83"/>
      <c r="E2021" s="83"/>
      <c r="F2021" s="83"/>
      <c r="G2021" s="83"/>
      <c r="H2021" s="83"/>
      <c r="I2021" s="84" t="s">
        <v>2063</v>
      </c>
      <c r="J2021" s="84" t="s">
        <v>2064</v>
      </c>
      <c r="K2021" s="85" t="s">
        <v>3675</v>
      </c>
      <c r="L2021" s="84" t="s">
        <v>20</v>
      </c>
      <c r="M2021" s="86"/>
      <c r="N2021" s="86"/>
      <c r="O2021" s="86"/>
      <c r="P2021" s="91">
        <v>47154.197999999997</v>
      </c>
      <c r="Q2021" s="87">
        <f t="shared" si="84"/>
        <v>0</v>
      </c>
      <c r="R2021" s="86"/>
      <c r="S2021" s="86"/>
      <c r="T2021" s="86"/>
      <c r="U2021" s="86"/>
      <c r="V2021" s="87">
        <f t="shared" si="82"/>
        <v>0</v>
      </c>
      <c r="W2021" s="88"/>
      <c r="X2021" s="89"/>
    </row>
    <row r="2022" spans="1:24" s="90" customFormat="1" ht="12" hidden="1" customHeight="1">
      <c r="A2022" s="83" t="s">
        <v>2657</v>
      </c>
      <c r="B2022" s="83"/>
      <c r="C2022" s="83"/>
      <c r="D2022" s="83"/>
      <c r="E2022" s="83"/>
      <c r="F2022" s="83"/>
      <c r="G2022" s="83"/>
      <c r="H2022" s="83"/>
      <c r="I2022" s="84" t="s">
        <v>2055</v>
      </c>
      <c r="J2022" s="84" t="s">
        <v>1571</v>
      </c>
      <c r="K2022" s="85" t="s">
        <v>3676</v>
      </c>
      <c r="L2022" s="84" t="s">
        <v>20</v>
      </c>
      <c r="M2022" s="86"/>
      <c r="N2022" s="86"/>
      <c r="O2022" s="86"/>
      <c r="P2022" s="91">
        <v>53890.512000000002</v>
      </c>
      <c r="Q2022" s="87">
        <f t="shared" si="84"/>
        <v>0</v>
      </c>
      <c r="R2022" s="86"/>
      <c r="S2022" s="86"/>
      <c r="T2022" s="86"/>
      <c r="U2022" s="86"/>
      <c r="V2022" s="87">
        <f t="shared" si="82"/>
        <v>0</v>
      </c>
      <c r="W2022" s="88"/>
      <c r="X2022" s="89"/>
    </row>
    <row r="2023" spans="1:24" s="90" customFormat="1" ht="12" hidden="1" customHeight="1">
      <c r="A2023" s="83" t="s">
        <v>2658</v>
      </c>
      <c r="B2023" s="83"/>
      <c r="C2023" s="83"/>
      <c r="D2023" s="83"/>
      <c r="E2023" s="83"/>
      <c r="F2023" s="83"/>
      <c r="G2023" s="83"/>
      <c r="H2023" s="83"/>
      <c r="I2023" s="84" t="s">
        <v>2050</v>
      </c>
      <c r="J2023" s="84" t="s">
        <v>1572</v>
      </c>
      <c r="K2023" s="85" t="s">
        <v>3676</v>
      </c>
      <c r="L2023" s="84" t="s">
        <v>20</v>
      </c>
      <c r="M2023" s="86"/>
      <c r="N2023" s="86"/>
      <c r="O2023" s="86"/>
      <c r="P2023" s="91">
        <v>62699.538</v>
      </c>
      <c r="Q2023" s="87">
        <f t="shared" si="84"/>
        <v>0</v>
      </c>
      <c r="R2023" s="86"/>
      <c r="S2023" s="86"/>
      <c r="T2023" s="86"/>
      <c r="U2023" s="86"/>
      <c r="V2023" s="87">
        <f t="shared" si="82"/>
        <v>0</v>
      </c>
      <c r="W2023" s="88"/>
      <c r="X2023" s="89"/>
    </row>
    <row r="2024" spans="1:24" s="90" customFormat="1" ht="12" hidden="1" customHeight="1">
      <c r="A2024" s="83" t="s">
        <v>2659</v>
      </c>
      <c r="B2024" s="83"/>
      <c r="C2024" s="83"/>
      <c r="D2024" s="83"/>
      <c r="E2024" s="83"/>
      <c r="F2024" s="83"/>
      <c r="G2024" s="83"/>
      <c r="H2024" s="83"/>
      <c r="I2024" s="84" t="s">
        <v>2051</v>
      </c>
      <c r="J2024" s="84" t="s">
        <v>1573</v>
      </c>
      <c r="K2024" s="85" t="s">
        <v>3677</v>
      </c>
      <c r="L2024" s="84" t="s">
        <v>20</v>
      </c>
      <c r="M2024" s="86"/>
      <c r="N2024" s="86"/>
      <c r="O2024" s="86"/>
      <c r="P2024" s="91">
        <v>68140.407000000007</v>
      </c>
      <c r="Q2024" s="87">
        <f t="shared" si="84"/>
        <v>0</v>
      </c>
      <c r="R2024" s="86"/>
      <c r="S2024" s="86"/>
      <c r="T2024" s="86"/>
      <c r="U2024" s="86"/>
      <c r="V2024" s="87">
        <f t="shared" si="82"/>
        <v>0</v>
      </c>
      <c r="W2024" s="88"/>
      <c r="X2024" s="89"/>
    </row>
    <row r="2025" spans="1:24" s="90" customFormat="1" ht="12" hidden="1" customHeight="1">
      <c r="A2025" s="83" t="s">
        <v>2660</v>
      </c>
      <c r="B2025" s="83"/>
      <c r="C2025" s="83"/>
      <c r="D2025" s="83"/>
      <c r="E2025" s="83"/>
      <c r="F2025" s="83"/>
      <c r="G2025" s="83"/>
      <c r="H2025" s="83"/>
      <c r="I2025" s="84" t="s">
        <v>2052</v>
      </c>
      <c r="J2025" s="84" t="s">
        <v>2053</v>
      </c>
      <c r="K2025" s="85" t="s">
        <v>3678</v>
      </c>
      <c r="L2025" s="84" t="s">
        <v>20</v>
      </c>
      <c r="M2025" s="86"/>
      <c r="N2025" s="86"/>
      <c r="O2025" s="86"/>
      <c r="P2025" s="91">
        <v>79281.233999999997</v>
      </c>
      <c r="Q2025" s="87">
        <f t="shared" si="84"/>
        <v>0</v>
      </c>
      <c r="R2025" s="86"/>
      <c r="S2025" s="86"/>
      <c r="T2025" s="86"/>
      <c r="U2025" s="86"/>
      <c r="V2025" s="87">
        <f t="shared" si="82"/>
        <v>0</v>
      </c>
      <c r="W2025" s="88"/>
      <c r="X2025" s="89"/>
    </row>
    <row r="2026" spans="1:24" s="90" customFormat="1" ht="12" hidden="1" customHeight="1">
      <c r="A2026" s="83" t="s">
        <v>2661</v>
      </c>
      <c r="B2026" s="83"/>
      <c r="C2026" s="83"/>
      <c r="D2026" s="83"/>
      <c r="E2026" s="83"/>
      <c r="F2026" s="83"/>
      <c r="G2026" s="83"/>
      <c r="H2026" s="83"/>
      <c r="I2026" s="84" t="s">
        <v>2662</v>
      </c>
      <c r="J2026" s="84" t="s">
        <v>2663</v>
      </c>
      <c r="K2026" s="85" t="s">
        <v>3679</v>
      </c>
      <c r="L2026" s="84" t="s">
        <v>20</v>
      </c>
      <c r="M2026" s="86"/>
      <c r="N2026" s="86"/>
      <c r="O2026" s="86"/>
      <c r="P2026" s="91">
        <v>53890.512000000002</v>
      </c>
      <c r="Q2026" s="87">
        <f t="shared" si="84"/>
        <v>0</v>
      </c>
      <c r="R2026" s="86"/>
      <c r="S2026" s="86"/>
      <c r="T2026" s="86"/>
      <c r="U2026" s="86"/>
      <c r="V2026" s="87">
        <f t="shared" si="82"/>
        <v>0</v>
      </c>
      <c r="W2026" s="88"/>
      <c r="X2026" s="89"/>
    </row>
    <row r="2027" spans="1:24" s="90" customFormat="1" ht="12" hidden="1" customHeight="1">
      <c r="A2027" s="83" t="s">
        <v>2664</v>
      </c>
      <c r="B2027" s="83"/>
      <c r="C2027" s="83"/>
      <c r="D2027" s="83"/>
      <c r="E2027" s="83"/>
      <c r="F2027" s="83"/>
      <c r="G2027" s="83"/>
      <c r="H2027" s="83"/>
      <c r="I2027" s="84" t="s">
        <v>2665</v>
      </c>
      <c r="J2027" s="84" t="s">
        <v>2666</v>
      </c>
      <c r="K2027" s="85" t="s">
        <v>3680</v>
      </c>
      <c r="L2027" s="84" t="s">
        <v>20</v>
      </c>
      <c r="M2027" s="86"/>
      <c r="N2027" s="86"/>
      <c r="O2027" s="86"/>
      <c r="P2027" s="91">
        <v>69694.941000000006</v>
      </c>
      <c r="Q2027" s="87">
        <f t="shared" si="84"/>
        <v>0</v>
      </c>
      <c r="R2027" s="86"/>
      <c r="S2027" s="86"/>
      <c r="T2027" s="86"/>
      <c r="U2027" s="86"/>
      <c r="V2027" s="87">
        <f t="shared" si="82"/>
        <v>0</v>
      </c>
      <c r="W2027" s="88"/>
      <c r="X2027" s="89"/>
    </row>
    <row r="2028" spans="1:24" s="90" customFormat="1" ht="12" hidden="1" customHeight="1">
      <c r="A2028" s="83" t="s">
        <v>2667</v>
      </c>
      <c r="B2028" s="83"/>
      <c r="C2028" s="83"/>
      <c r="D2028" s="83"/>
      <c r="E2028" s="83"/>
      <c r="F2028" s="83"/>
      <c r="G2028" s="83"/>
      <c r="H2028" s="83"/>
      <c r="I2028" s="84" t="s">
        <v>2668</v>
      </c>
      <c r="J2028" s="84" t="s">
        <v>2669</v>
      </c>
      <c r="K2028" s="85" t="s">
        <v>3681</v>
      </c>
      <c r="L2028" s="84" t="s">
        <v>20</v>
      </c>
      <c r="M2028" s="86"/>
      <c r="N2028" s="86"/>
      <c r="O2028" s="86"/>
      <c r="P2028" s="91">
        <v>84203.925000000003</v>
      </c>
      <c r="Q2028" s="87">
        <f t="shared" si="84"/>
        <v>0</v>
      </c>
      <c r="R2028" s="86"/>
      <c r="S2028" s="86"/>
      <c r="T2028" s="86"/>
      <c r="U2028" s="86"/>
      <c r="V2028" s="87">
        <f t="shared" si="82"/>
        <v>0</v>
      </c>
      <c r="W2028" s="88"/>
      <c r="X2028" s="89"/>
    </row>
    <row r="2029" spans="1:24" s="90" customFormat="1" ht="12" hidden="1" customHeight="1">
      <c r="A2029" s="83" t="s">
        <v>2670</v>
      </c>
      <c r="B2029" s="83"/>
      <c r="C2029" s="83"/>
      <c r="D2029" s="83"/>
      <c r="E2029" s="83"/>
      <c r="F2029" s="83"/>
      <c r="G2029" s="83"/>
      <c r="H2029" s="83"/>
      <c r="I2029" s="84" t="s">
        <v>2671</v>
      </c>
      <c r="J2029" s="84" t="s">
        <v>2672</v>
      </c>
      <c r="K2029" s="85" t="s">
        <v>3682</v>
      </c>
      <c r="L2029" s="84" t="s">
        <v>20</v>
      </c>
      <c r="M2029" s="86"/>
      <c r="N2029" s="86"/>
      <c r="O2029" s="86"/>
      <c r="P2029" s="91">
        <v>47413.286999999997</v>
      </c>
      <c r="Q2029" s="87">
        <f t="shared" si="84"/>
        <v>0</v>
      </c>
      <c r="R2029" s="86"/>
      <c r="S2029" s="86"/>
      <c r="T2029" s="86"/>
      <c r="U2029" s="86"/>
      <c r="V2029" s="87">
        <f t="shared" ref="V2029:V2042" si="85">SUM(O2029+Q2029)+S2029+U2029</f>
        <v>0</v>
      </c>
      <c r="W2029" s="88"/>
      <c r="X2029" s="89"/>
    </row>
    <row r="2030" spans="1:24" s="90" customFormat="1" ht="12" hidden="1" customHeight="1">
      <c r="A2030" s="83" t="s">
        <v>2673</v>
      </c>
      <c r="B2030" s="83"/>
      <c r="C2030" s="83"/>
      <c r="D2030" s="83"/>
      <c r="E2030" s="83"/>
      <c r="F2030" s="83"/>
      <c r="G2030" s="83"/>
      <c r="H2030" s="83"/>
      <c r="I2030" s="84" t="s">
        <v>2674</v>
      </c>
      <c r="J2030" s="84" t="s">
        <v>2675</v>
      </c>
      <c r="K2030" s="85" t="s">
        <v>3679</v>
      </c>
      <c r="L2030" s="84" t="s">
        <v>20</v>
      </c>
      <c r="M2030" s="86"/>
      <c r="N2030" s="86"/>
      <c r="O2030" s="86"/>
      <c r="P2030" s="91">
        <v>52854.156000000003</v>
      </c>
      <c r="Q2030" s="87">
        <f t="shared" si="84"/>
        <v>0</v>
      </c>
      <c r="R2030" s="86"/>
      <c r="S2030" s="86"/>
      <c r="T2030" s="86"/>
      <c r="U2030" s="86"/>
      <c r="V2030" s="87">
        <f t="shared" si="85"/>
        <v>0</v>
      </c>
      <c r="W2030" s="88"/>
      <c r="X2030" s="89"/>
    </row>
    <row r="2031" spans="1:24" s="90" customFormat="1" ht="12" hidden="1" customHeight="1">
      <c r="A2031" s="83" t="s">
        <v>2713</v>
      </c>
      <c r="B2031" s="83"/>
      <c r="C2031" s="83"/>
      <c r="D2031" s="83"/>
      <c r="E2031" s="83"/>
      <c r="F2031" s="83"/>
      <c r="G2031" s="83"/>
      <c r="H2031" s="83"/>
      <c r="I2031" s="84" t="s">
        <v>2070</v>
      </c>
      <c r="J2031" s="84" t="s">
        <v>2071</v>
      </c>
      <c r="K2031" s="85" t="s">
        <v>3683</v>
      </c>
      <c r="L2031" s="84" t="s">
        <v>20</v>
      </c>
      <c r="M2031" s="86"/>
      <c r="N2031" s="86"/>
      <c r="O2031" s="86"/>
      <c r="P2031" s="91">
        <v>52854.156000000003</v>
      </c>
      <c r="Q2031" s="87">
        <f t="shared" si="84"/>
        <v>0</v>
      </c>
      <c r="R2031" s="86"/>
      <c r="S2031" s="86"/>
      <c r="T2031" s="86"/>
      <c r="U2031" s="86"/>
      <c r="V2031" s="87">
        <f t="shared" si="85"/>
        <v>0</v>
      </c>
      <c r="W2031" s="88"/>
      <c r="X2031" s="89"/>
    </row>
    <row r="2032" spans="1:24" s="90" customFormat="1" ht="12" hidden="1" customHeight="1">
      <c r="A2032" s="83" t="s">
        <v>2714</v>
      </c>
      <c r="B2032" s="83"/>
      <c r="C2032" s="83"/>
      <c r="D2032" s="83"/>
      <c r="E2032" s="83"/>
      <c r="F2032" s="83"/>
      <c r="G2032" s="83"/>
      <c r="H2032" s="83"/>
      <c r="I2032" s="84" t="s">
        <v>2072</v>
      </c>
      <c r="J2032" s="84" t="s">
        <v>2073</v>
      </c>
      <c r="K2032" s="85" t="s">
        <v>3684</v>
      </c>
      <c r="L2032" s="84" t="s">
        <v>20</v>
      </c>
      <c r="M2032" s="86"/>
      <c r="N2032" s="86"/>
      <c r="O2032" s="86"/>
      <c r="P2032" s="91">
        <v>55185.957000000002</v>
      </c>
      <c r="Q2032" s="87">
        <f t="shared" si="84"/>
        <v>0</v>
      </c>
      <c r="R2032" s="86"/>
      <c r="S2032" s="86"/>
      <c r="T2032" s="86"/>
      <c r="U2032" s="86"/>
      <c r="V2032" s="87">
        <f t="shared" si="85"/>
        <v>0</v>
      </c>
      <c r="W2032" s="88"/>
      <c r="X2032" s="89"/>
    </row>
    <row r="2033" spans="1:24" s="90" customFormat="1" ht="12" hidden="1" customHeight="1">
      <c r="A2033" s="83" t="s">
        <v>2715</v>
      </c>
      <c r="B2033" s="83"/>
      <c r="C2033" s="83"/>
      <c r="D2033" s="83"/>
      <c r="E2033" s="83"/>
      <c r="F2033" s="83"/>
      <c r="G2033" s="83"/>
      <c r="H2033" s="83"/>
      <c r="I2033" s="84" t="s">
        <v>2075</v>
      </c>
      <c r="J2033" s="84" t="s">
        <v>2076</v>
      </c>
      <c r="K2033" s="85" t="s">
        <v>3685</v>
      </c>
      <c r="L2033" s="84" t="s">
        <v>20</v>
      </c>
      <c r="M2033" s="86"/>
      <c r="N2033" s="86"/>
      <c r="O2033" s="86"/>
      <c r="P2033" s="91">
        <v>57258.669000000002</v>
      </c>
      <c r="Q2033" s="87">
        <f t="shared" si="84"/>
        <v>0</v>
      </c>
      <c r="R2033" s="86"/>
      <c r="S2033" s="86"/>
      <c r="T2033" s="86"/>
      <c r="U2033" s="86"/>
      <c r="V2033" s="87">
        <f t="shared" si="85"/>
        <v>0</v>
      </c>
      <c r="W2033" s="88"/>
      <c r="X2033" s="89"/>
    </row>
    <row r="2034" spans="1:24" s="90" customFormat="1" ht="12" hidden="1" customHeight="1">
      <c r="A2034" s="83" t="s">
        <v>2716</v>
      </c>
      <c r="B2034" s="83"/>
      <c r="C2034" s="83"/>
      <c r="D2034" s="83"/>
      <c r="E2034" s="83"/>
      <c r="F2034" s="83"/>
      <c r="G2034" s="83"/>
      <c r="H2034" s="83"/>
      <c r="I2034" s="84" t="s">
        <v>2717</v>
      </c>
      <c r="J2034" s="84" t="s">
        <v>2718</v>
      </c>
      <c r="K2034" s="85" t="s">
        <v>3686</v>
      </c>
      <c r="L2034" s="84" t="s">
        <v>20</v>
      </c>
      <c r="M2034" s="86"/>
      <c r="N2034" s="86"/>
      <c r="O2034" s="86"/>
      <c r="P2034" s="91">
        <v>59331.381000000001</v>
      </c>
      <c r="Q2034" s="87">
        <f t="shared" si="84"/>
        <v>0</v>
      </c>
      <c r="R2034" s="86"/>
      <c r="S2034" s="86"/>
      <c r="T2034" s="86"/>
      <c r="U2034" s="86"/>
      <c r="V2034" s="87">
        <f t="shared" si="85"/>
        <v>0</v>
      </c>
      <c r="W2034" s="88"/>
      <c r="X2034" s="89"/>
    </row>
    <row r="2035" spans="1:24" s="90" customFormat="1" ht="12" hidden="1" customHeight="1">
      <c r="A2035" s="83" t="s">
        <v>2676</v>
      </c>
      <c r="B2035" s="83"/>
      <c r="C2035" s="83"/>
      <c r="D2035" s="83"/>
      <c r="E2035" s="83"/>
      <c r="F2035" s="83"/>
      <c r="G2035" s="83"/>
      <c r="H2035" s="83"/>
      <c r="I2035" s="84" t="s">
        <v>2067</v>
      </c>
      <c r="J2035" s="84" t="s">
        <v>1574</v>
      </c>
      <c r="K2035" s="85" t="s">
        <v>3683</v>
      </c>
      <c r="L2035" s="84" t="s">
        <v>20</v>
      </c>
      <c r="M2035" s="86"/>
      <c r="N2035" s="86"/>
      <c r="O2035" s="86"/>
      <c r="P2035" s="91">
        <v>318679.46999999997</v>
      </c>
      <c r="Q2035" s="87">
        <f t="shared" si="84"/>
        <v>0</v>
      </c>
      <c r="R2035" s="86"/>
      <c r="S2035" s="86"/>
      <c r="T2035" s="86"/>
      <c r="U2035" s="86"/>
      <c r="V2035" s="87">
        <f t="shared" si="85"/>
        <v>0</v>
      </c>
      <c r="W2035" s="88"/>
      <c r="X2035" s="89"/>
    </row>
    <row r="2036" spans="1:24" s="90" customFormat="1" ht="12" hidden="1" customHeight="1">
      <c r="A2036" s="83" t="s">
        <v>2677</v>
      </c>
      <c r="B2036" s="83"/>
      <c r="C2036" s="83"/>
      <c r="D2036" s="83"/>
      <c r="E2036" s="83"/>
      <c r="F2036" s="83"/>
      <c r="G2036" s="83"/>
      <c r="H2036" s="83"/>
      <c r="I2036" s="84" t="s">
        <v>2068</v>
      </c>
      <c r="J2036" s="84" t="s">
        <v>1576</v>
      </c>
      <c r="K2036" s="85" t="s">
        <v>3685</v>
      </c>
      <c r="L2036" s="84" t="s">
        <v>20</v>
      </c>
      <c r="M2036" s="86"/>
      <c r="N2036" s="86"/>
      <c r="O2036" s="86"/>
      <c r="P2036" s="91">
        <v>380860.83</v>
      </c>
      <c r="Q2036" s="87">
        <f t="shared" si="84"/>
        <v>0</v>
      </c>
      <c r="R2036" s="86"/>
      <c r="S2036" s="86"/>
      <c r="T2036" s="86"/>
      <c r="U2036" s="86"/>
      <c r="V2036" s="87">
        <f t="shared" si="85"/>
        <v>0</v>
      </c>
      <c r="W2036" s="88"/>
      <c r="X2036" s="89"/>
    </row>
    <row r="2037" spans="1:24" s="90" customFormat="1" ht="12" hidden="1" customHeight="1">
      <c r="A2037" s="83" t="s">
        <v>2678</v>
      </c>
      <c r="B2037" s="83"/>
      <c r="C2037" s="83"/>
      <c r="D2037" s="83"/>
      <c r="E2037" s="83"/>
      <c r="F2037" s="83"/>
      <c r="G2037" s="83"/>
      <c r="H2037" s="83"/>
      <c r="I2037" s="84" t="s">
        <v>2069</v>
      </c>
      <c r="J2037" s="84" t="s">
        <v>1578</v>
      </c>
      <c r="K2037" s="85" t="s">
        <v>3686</v>
      </c>
      <c r="L2037" s="84" t="s">
        <v>20</v>
      </c>
      <c r="M2037" s="86"/>
      <c r="N2037" s="86"/>
      <c r="O2037" s="86"/>
      <c r="P2037" s="91">
        <v>388633.5</v>
      </c>
      <c r="Q2037" s="87">
        <f t="shared" si="84"/>
        <v>0</v>
      </c>
      <c r="R2037" s="86"/>
      <c r="S2037" s="86"/>
      <c r="T2037" s="86"/>
      <c r="U2037" s="86"/>
      <c r="V2037" s="87">
        <f t="shared" si="85"/>
        <v>0</v>
      </c>
      <c r="W2037" s="88"/>
      <c r="X2037" s="89"/>
    </row>
    <row r="2038" spans="1:24" s="90" customFormat="1" ht="12" hidden="1" customHeight="1">
      <c r="A2038" s="83" t="s">
        <v>2679</v>
      </c>
      <c r="B2038" s="83"/>
      <c r="C2038" s="83"/>
      <c r="D2038" s="83"/>
      <c r="E2038" s="83"/>
      <c r="F2038" s="83"/>
      <c r="G2038" s="83"/>
      <c r="H2038" s="83"/>
      <c r="I2038" s="84" t="s">
        <v>2680</v>
      </c>
      <c r="J2038" s="84" t="s">
        <v>2681</v>
      </c>
      <c r="K2038" s="85" t="s">
        <v>3687</v>
      </c>
      <c r="L2038" s="84" t="s">
        <v>20</v>
      </c>
      <c r="M2038" s="86"/>
      <c r="N2038" s="86"/>
      <c r="O2038" s="86"/>
      <c r="P2038" s="91">
        <v>427496.85</v>
      </c>
      <c r="Q2038" s="87">
        <f t="shared" si="84"/>
        <v>0</v>
      </c>
      <c r="R2038" s="86"/>
      <c r="S2038" s="86"/>
      <c r="T2038" s="86"/>
      <c r="U2038" s="86"/>
      <c r="V2038" s="87">
        <f t="shared" si="85"/>
        <v>0</v>
      </c>
      <c r="W2038" s="88"/>
      <c r="X2038" s="89"/>
    </row>
    <row r="2039" spans="1:24" s="90" customFormat="1" ht="12" hidden="1" customHeight="1">
      <c r="A2039" s="83" t="s">
        <v>2683</v>
      </c>
      <c r="B2039" s="83"/>
      <c r="C2039" s="83"/>
      <c r="D2039" s="83"/>
      <c r="E2039" s="83"/>
      <c r="F2039" s="83"/>
      <c r="G2039" s="83"/>
      <c r="H2039" s="83"/>
      <c r="I2039" s="84" t="s">
        <v>2066</v>
      </c>
      <c r="J2039" s="84" t="s">
        <v>1580</v>
      </c>
      <c r="K2039" s="85" t="s">
        <v>3688</v>
      </c>
      <c r="L2039" s="84" t="s">
        <v>20</v>
      </c>
      <c r="M2039" s="86"/>
      <c r="N2039" s="86"/>
      <c r="O2039" s="86"/>
      <c r="P2039" s="91">
        <v>435269.52</v>
      </c>
      <c r="Q2039" s="87">
        <f t="shared" si="84"/>
        <v>0</v>
      </c>
      <c r="R2039" s="86"/>
      <c r="S2039" s="86"/>
      <c r="T2039" s="86"/>
      <c r="U2039" s="86"/>
      <c r="V2039" s="87">
        <f t="shared" si="85"/>
        <v>0</v>
      </c>
      <c r="W2039" s="88"/>
      <c r="X2039" s="89"/>
    </row>
    <row r="2040" spans="1:24" s="90" customFormat="1" ht="12" hidden="1" customHeight="1">
      <c r="A2040" s="83" t="s">
        <v>2684</v>
      </c>
      <c r="B2040" s="83"/>
      <c r="C2040" s="83"/>
      <c r="D2040" s="83"/>
      <c r="E2040" s="83"/>
      <c r="F2040" s="83"/>
      <c r="G2040" s="83"/>
      <c r="H2040" s="83"/>
      <c r="I2040" s="84" t="s">
        <v>2685</v>
      </c>
      <c r="J2040" s="84" t="s">
        <v>2686</v>
      </c>
      <c r="K2040" s="85" t="s">
        <v>3689</v>
      </c>
      <c r="L2040" s="84" t="s">
        <v>20</v>
      </c>
      <c r="M2040" s="86"/>
      <c r="N2040" s="86"/>
      <c r="O2040" s="86"/>
      <c r="P2040" s="91">
        <v>528541.56000000006</v>
      </c>
      <c r="Q2040" s="87">
        <f t="shared" si="84"/>
        <v>0</v>
      </c>
      <c r="R2040" s="86"/>
      <c r="S2040" s="86"/>
      <c r="T2040" s="86"/>
      <c r="U2040" s="86"/>
      <c r="V2040" s="87">
        <f t="shared" si="85"/>
        <v>0</v>
      </c>
      <c r="W2040" s="88"/>
      <c r="X2040" s="89"/>
    </row>
    <row r="2041" spans="1:24" s="90" customFormat="1" ht="12" hidden="1" customHeight="1">
      <c r="A2041" s="83" t="s">
        <v>2687</v>
      </c>
      <c r="B2041" s="83"/>
      <c r="C2041" s="83"/>
      <c r="D2041" s="83"/>
      <c r="E2041" s="83"/>
      <c r="F2041" s="83"/>
      <c r="G2041" s="83"/>
      <c r="H2041" s="83"/>
      <c r="I2041" s="84" t="s">
        <v>2065</v>
      </c>
      <c r="J2041" s="84" t="s">
        <v>1582</v>
      </c>
      <c r="K2041" s="85" t="s">
        <v>3690</v>
      </c>
      <c r="L2041" s="84" t="s">
        <v>20</v>
      </c>
      <c r="M2041" s="86"/>
      <c r="N2041" s="86"/>
      <c r="O2041" s="86"/>
      <c r="P2041" s="91">
        <v>588132.03</v>
      </c>
      <c r="Q2041" s="87">
        <f t="shared" si="84"/>
        <v>0</v>
      </c>
      <c r="R2041" s="86"/>
      <c r="S2041" s="86"/>
      <c r="T2041" s="86"/>
      <c r="U2041" s="86"/>
      <c r="V2041" s="87">
        <f t="shared" si="85"/>
        <v>0</v>
      </c>
      <c r="W2041" s="88"/>
      <c r="X2041" s="89"/>
    </row>
    <row r="2042" spans="1:24" s="90" customFormat="1" ht="12" hidden="1" customHeight="1">
      <c r="A2042" s="97" t="s">
        <v>2688</v>
      </c>
      <c r="B2042" s="97"/>
      <c r="C2042" s="97"/>
      <c r="D2042" s="97"/>
      <c r="E2042" s="97"/>
      <c r="F2042" s="97"/>
      <c r="G2042" s="97"/>
      <c r="H2042" s="97"/>
      <c r="I2042" s="98" t="s">
        <v>2689</v>
      </c>
      <c r="J2042" s="98" t="s">
        <v>2690</v>
      </c>
      <c r="K2042" s="99" t="s">
        <v>3691</v>
      </c>
      <c r="L2042" s="98" t="s">
        <v>20</v>
      </c>
      <c r="M2042" s="100"/>
      <c r="N2042" s="100"/>
      <c r="O2042" s="100"/>
      <c r="P2042" s="96">
        <v>647722.5</v>
      </c>
      <c r="Q2042" s="87">
        <f t="shared" si="84"/>
        <v>0</v>
      </c>
      <c r="R2042" s="86"/>
      <c r="S2042" s="86"/>
      <c r="T2042" s="86"/>
      <c r="U2042" s="86"/>
      <c r="V2042" s="87">
        <f t="shared" si="85"/>
        <v>0</v>
      </c>
      <c r="W2042" s="88"/>
      <c r="X2042" s="89"/>
    </row>
    <row r="2043" spans="1:24" s="90" customFormat="1" ht="12" hidden="1" customHeight="1">
      <c r="A2043" s="83" t="s">
        <v>2719</v>
      </c>
      <c r="B2043" s="83"/>
      <c r="C2043" s="83"/>
      <c r="D2043" s="83"/>
      <c r="E2043" s="83"/>
      <c r="F2043" s="83"/>
      <c r="G2043" s="83"/>
      <c r="H2043" s="83"/>
      <c r="I2043" s="84" t="s">
        <v>1825</v>
      </c>
      <c r="J2043" s="84" t="s">
        <v>2720</v>
      </c>
      <c r="K2043" s="85" t="s">
        <v>3712</v>
      </c>
      <c r="L2043" s="85" t="s">
        <v>0</v>
      </c>
      <c r="M2043" s="86"/>
      <c r="N2043" s="86"/>
      <c r="O2043" s="86"/>
      <c r="P2043" s="91">
        <v>38863.35</v>
      </c>
      <c r="Q2043" s="87">
        <f t="shared" si="84"/>
        <v>0</v>
      </c>
      <c r="R2043" s="86"/>
      <c r="S2043" s="86"/>
      <c r="T2043" s="86"/>
      <c r="U2043" s="86"/>
      <c r="V2043" s="87"/>
      <c r="W2043" s="88"/>
      <c r="X2043" s="89"/>
    </row>
    <row r="2044" spans="1:24" s="66" customFormat="1" ht="12" hidden="1" customHeight="1">
      <c r="A2044" s="83" t="s">
        <v>2722</v>
      </c>
      <c r="B2044" s="83"/>
      <c r="C2044" s="83"/>
      <c r="D2044" s="83"/>
      <c r="E2044" s="83"/>
      <c r="F2044" s="83"/>
      <c r="G2044" s="83"/>
      <c r="H2044" s="83"/>
      <c r="I2044" s="84" t="s">
        <v>1826</v>
      </c>
      <c r="J2044" s="84" t="s">
        <v>2723</v>
      </c>
      <c r="K2044" s="85" t="s">
        <v>3713</v>
      </c>
      <c r="L2044" s="85" t="s">
        <v>0</v>
      </c>
      <c r="M2044" s="86"/>
      <c r="N2044" s="86"/>
      <c r="O2044" s="86"/>
      <c r="P2044" s="91">
        <v>51817.8</v>
      </c>
      <c r="Q2044" s="87">
        <f t="shared" si="84"/>
        <v>0</v>
      </c>
      <c r="R2044" s="57"/>
      <c r="S2044" s="57"/>
      <c r="T2044" s="57"/>
      <c r="U2044" s="57"/>
      <c r="V2044" s="73">
        <f t="shared" ref="V2044:V2075" si="86">SUM(O2044+Q2044)+S2044+U2044</f>
        <v>0</v>
      </c>
      <c r="W2044" s="106"/>
      <c r="X2044" s="64"/>
    </row>
    <row r="2045" spans="1:24" s="66" customFormat="1" ht="12" hidden="1" customHeight="1">
      <c r="A2045" s="83" t="s">
        <v>2725</v>
      </c>
      <c r="B2045" s="83"/>
      <c r="C2045" s="83"/>
      <c r="D2045" s="83"/>
      <c r="E2045" s="83"/>
      <c r="F2045" s="83"/>
      <c r="G2045" s="83"/>
      <c r="H2045" s="83"/>
      <c r="I2045" s="84" t="s">
        <v>1823</v>
      </c>
      <c r="J2045" s="84" t="s">
        <v>2726</v>
      </c>
      <c r="K2045" s="85" t="s">
        <v>3714</v>
      </c>
      <c r="L2045" s="85" t="s">
        <v>0</v>
      </c>
      <c r="M2045" s="86"/>
      <c r="N2045" s="86"/>
      <c r="O2045" s="86"/>
      <c r="P2045" s="91">
        <v>77726.7</v>
      </c>
      <c r="Q2045" s="87">
        <f t="shared" si="84"/>
        <v>0</v>
      </c>
      <c r="R2045" s="57"/>
      <c r="S2045" s="57"/>
      <c r="T2045" s="57"/>
      <c r="U2045" s="57"/>
      <c r="V2045" s="73">
        <f t="shared" si="86"/>
        <v>0</v>
      </c>
      <c r="W2045" s="106"/>
      <c r="X2045" s="64"/>
    </row>
    <row r="2046" spans="1:24" s="66" customFormat="1" ht="12" hidden="1" customHeight="1">
      <c r="A2046" s="83" t="s">
        <v>3692</v>
      </c>
      <c r="B2046" s="83"/>
      <c r="C2046" s="83"/>
      <c r="D2046" s="83"/>
      <c r="E2046" s="83"/>
      <c r="F2046" s="83"/>
      <c r="G2046" s="83"/>
      <c r="H2046" s="83"/>
      <c r="I2046" s="84" t="s">
        <v>1824</v>
      </c>
      <c r="J2046" s="84" t="s">
        <v>1635</v>
      </c>
      <c r="K2046" s="85" t="s">
        <v>3715</v>
      </c>
      <c r="L2046" s="85" t="s">
        <v>0</v>
      </c>
      <c r="M2046" s="86"/>
      <c r="N2046" s="86"/>
      <c r="O2046" s="86"/>
      <c r="P2046" s="91">
        <v>103635.6</v>
      </c>
      <c r="Q2046" s="87">
        <f t="shared" si="84"/>
        <v>0</v>
      </c>
      <c r="R2046" s="57"/>
      <c r="S2046" s="57"/>
      <c r="T2046" s="57"/>
      <c r="U2046" s="57"/>
      <c r="V2046" s="73">
        <f t="shared" si="86"/>
        <v>0</v>
      </c>
      <c r="W2046" s="106"/>
      <c r="X2046" s="64"/>
    </row>
    <row r="2047" spans="1:24" s="66" customFormat="1" ht="12" hidden="1" customHeight="1">
      <c r="A2047" s="83" t="s">
        <v>3693</v>
      </c>
      <c r="B2047" s="83"/>
      <c r="C2047" s="83"/>
      <c r="D2047" s="83"/>
      <c r="E2047" s="83"/>
      <c r="F2047" s="83"/>
      <c r="G2047" s="83"/>
      <c r="H2047" s="83"/>
      <c r="I2047" s="84" t="s">
        <v>1819</v>
      </c>
      <c r="J2047" s="84" t="s">
        <v>3694</v>
      </c>
      <c r="K2047" s="85" t="s">
        <v>3716</v>
      </c>
      <c r="L2047" s="85" t="s">
        <v>0</v>
      </c>
      <c r="M2047" s="86"/>
      <c r="N2047" s="86"/>
      <c r="O2047" s="86"/>
      <c r="P2047" s="91">
        <v>116590.05</v>
      </c>
      <c r="Q2047" s="87">
        <f t="shared" si="84"/>
        <v>0</v>
      </c>
      <c r="R2047" s="57"/>
      <c r="S2047" s="57"/>
      <c r="T2047" s="57"/>
      <c r="U2047" s="57"/>
      <c r="V2047" s="73">
        <f t="shared" si="86"/>
        <v>0</v>
      </c>
      <c r="W2047" s="106"/>
      <c r="X2047" s="64"/>
    </row>
    <row r="2048" spans="1:24" s="66" customFormat="1" ht="12" hidden="1" customHeight="1">
      <c r="A2048" s="83" t="s">
        <v>3695</v>
      </c>
      <c r="B2048" s="83"/>
      <c r="C2048" s="83"/>
      <c r="D2048" s="83"/>
      <c r="E2048" s="83"/>
      <c r="F2048" s="83"/>
      <c r="G2048" s="83"/>
      <c r="H2048" s="83"/>
      <c r="I2048" s="84" t="s">
        <v>1820</v>
      </c>
      <c r="J2048" s="84" t="s">
        <v>1636</v>
      </c>
      <c r="K2048" s="85" t="s">
        <v>3717</v>
      </c>
      <c r="L2048" s="85" t="s">
        <v>0</v>
      </c>
      <c r="M2048" s="86"/>
      <c r="N2048" s="86"/>
      <c r="O2048" s="86"/>
      <c r="P2048" s="91">
        <v>129544.5</v>
      </c>
      <c r="Q2048" s="87">
        <f t="shared" si="84"/>
        <v>0</v>
      </c>
      <c r="R2048" s="57"/>
      <c r="S2048" s="57"/>
      <c r="T2048" s="57"/>
      <c r="U2048" s="57"/>
      <c r="V2048" s="73">
        <f t="shared" si="86"/>
        <v>0</v>
      </c>
      <c r="W2048" s="106"/>
      <c r="X2048" s="64"/>
    </row>
    <row r="2049" spans="1:24" s="66" customFormat="1" ht="12" hidden="1" customHeight="1">
      <c r="A2049" s="83" t="s">
        <v>3696</v>
      </c>
      <c r="B2049" s="83"/>
      <c r="C2049" s="83"/>
      <c r="D2049" s="83"/>
      <c r="E2049" s="83"/>
      <c r="F2049" s="83"/>
      <c r="G2049" s="83"/>
      <c r="H2049" s="83"/>
      <c r="I2049" s="84" t="s">
        <v>1821</v>
      </c>
      <c r="J2049" s="84" t="s">
        <v>3697</v>
      </c>
      <c r="K2049" s="85" t="s">
        <v>3718</v>
      </c>
      <c r="L2049" s="85" t="s">
        <v>0</v>
      </c>
      <c r="M2049" s="86"/>
      <c r="N2049" s="86"/>
      <c r="O2049" s="86"/>
      <c r="P2049" s="91">
        <v>155453.4</v>
      </c>
      <c r="Q2049" s="87">
        <f t="shared" si="84"/>
        <v>0</v>
      </c>
      <c r="R2049" s="57"/>
      <c r="S2049" s="57"/>
      <c r="T2049" s="57"/>
      <c r="U2049" s="57"/>
      <c r="V2049" s="73">
        <f t="shared" si="86"/>
        <v>0</v>
      </c>
      <c r="W2049" s="106"/>
      <c r="X2049" s="64"/>
    </row>
    <row r="2050" spans="1:24" s="66" customFormat="1" ht="12" hidden="1" customHeight="1">
      <c r="A2050" s="83" t="s">
        <v>3698</v>
      </c>
      <c r="B2050" s="83"/>
      <c r="C2050" s="83"/>
      <c r="D2050" s="83"/>
      <c r="E2050" s="83"/>
      <c r="F2050" s="83"/>
      <c r="G2050" s="83"/>
      <c r="H2050" s="83"/>
      <c r="I2050" s="84" t="s">
        <v>1822</v>
      </c>
      <c r="J2050" s="84" t="s">
        <v>3699</v>
      </c>
      <c r="K2050" s="85" t="s">
        <v>3719</v>
      </c>
      <c r="L2050" s="85" t="s">
        <v>0</v>
      </c>
      <c r="M2050" s="86"/>
      <c r="N2050" s="86"/>
      <c r="O2050" s="86"/>
      <c r="P2050" s="91">
        <v>388633.5</v>
      </c>
      <c r="Q2050" s="87">
        <f t="shared" si="84"/>
        <v>0</v>
      </c>
      <c r="R2050" s="57"/>
      <c r="S2050" s="57"/>
      <c r="T2050" s="57"/>
      <c r="U2050" s="57"/>
      <c r="V2050" s="73">
        <f t="shared" si="86"/>
        <v>0</v>
      </c>
      <c r="W2050" s="106"/>
      <c r="X2050" s="64"/>
    </row>
    <row r="2051" spans="1:24" s="66" customFormat="1" ht="12" hidden="1" customHeight="1">
      <c r="A2051" s="83" t="s">
        <v>3700</v>
      </c>
      <c r="B2051" s="83"/>
      <c r="C2051" s="83"/>
      <c r="D2051" s="83"/>
      <c r="E2051" s="83"/>
      <c r="F2051" s="83"/>
      <c r="G2051" s="83"/>
      <c r="H2051" s="83"/>
      <c r="I2051" s="84" t="s">
        <v>3701</v>
      </c>
      <c r="J2051" s="84" t="s">
        <v>3702</v>
      </c>
      <c r="K2051" s="85" t="s">
        <v>3720</v>
      </c>
      <c r="L2051" s="85" t="s">
        <v>0</v>
      </c>
      <c r="M2051" s="86"/>
      <c r="N2051" s="86"/>
      <c r="O2051" s="86"/>
      <c r="P2051" s="91">
        <v>518178</v>
      </c>
      <c r="Q2051" s="87">
        <f t="shared" si="84"/>
        <v>0</v>
      </c>
      <c r="R2051" s="57"/>
      <c r="S2051" s="57"/>
      <c r="T2051" s="57"/>
      <c r="U2051" s="57"/>
      <c r="V2051" s="73">
        <f t="shared" si="86"/>
        <v>0</v>
      </c>
      <c r="W2051" s="106"/>
      <c r="X2051" s="64"/>
    </row>
    <row r="2052" spans="1:24" s="66" customFormat="1" ht="12" hidden="1" customHeight="1">
      <c r="A2052" s="83" t="s">
        <v>3703</v>
      </c>
      <c r="B2052" s="83"/>
      <c r="C2052" s="83"/>
      <c r="D2052" s="83"/>
      <c r="E2052" s="83"/>
      <c r="F2052" s="83"/>
      <c r="G2052" s="83"/>
      <c r="H2052" s="83"/>
      <c r="I2052" s="84" t="s">
        <v>3704</v>
      </c>
      <c r="J2052" s="84" t="s">
        <v>3705</v>
      </c>
      <c r="K2052" s="85" t="s">
        <v>3721</v>
      </c>
      <c r="L2052" s="85" t="s">
        <v>0</v>
      </c>
      <c r="M2052" s="86"/>
      <c r="N2052" s="86"/>
      <c r="O2052" s="86"/>
      <c r="P2052" s="91">
        <v>647722.5</v>
      </c>
      <c r="Q2052" s="87">
        <f t="shared" si="84"/>
        <v>0</v>
      </c>
      <c r="R2052" s="57"/>
      <c r="S2052" s="57"/>
      <c r="T2052" s="57"/>
      <c r="U2052" s="57"/>
      <c r="V2052" s="73">
        <f t="shared" si="86"/>
        <v>0</v>
      </c>
      <c r="W2052" s="106"/>
      <c r="X2052" s="64"/>
    </row>
    <row r="2053" spans="1:24" s="66" customFormat="1" ht="12" hidden="1" customHeight="1">
      <c r="A2053" s="83" t="s">
        <v>3706</v>
      </c>
      <c r="B2053" s="83"/>
      <c r="C2053" s="83"/>
      <c r="D2053" s="83"/>
      <c r="E2053" s="83"/>
      <c r="F2053" s="83"/>
      <c r="G2053" s="83"/>
      <c r="H2053" s="83"/>
      <c r="I2053" s="84" t="s">
        <v>3707</v>
      </c>
      <c r="J2053" s="84" t="s">
        <v>3708</v>
      </c>
      <c r="K2053" s="85" t="s">
        <v>3722</v>
      </c>
      <c r="L2053" s="85" t="s">
        <v>0</v>
      </c>
      <c r="M2053" s="86"/>
      <c r="N2053" s="86"/>
      <c r="O2053" s="86"/>
      <c r="P2053" s="91">
        <v>777267</v>
      </c>
      <c r="Q2053" s="87">
        <f t="shared" si="84"/>
        <v>0</v>
      </c>
      <c r="R2053" s="57"/>
      <c r="S2053" s="57"/>
      <c r="T2053" s="57"/>
      <c r="U2053" s="57"/>
      <c r="V2053" s="73">
        <f t="shared" si="86"/>
        <v>0</v>
      </c>
      <c r="W2053" s="106"/>
      <c r="X2053" s="64"/>
    </row>
    <row r="2054" spans="1:24" s="66" customFormat="1" ht="12" hidden="1" customHeight="1">
      <c r="A2054" s="83" t="s">
        <v>3709</v>
      </c>
      <c r="B2054" s="83"/>
      <c r="C2054" s="83"/>
      <c r="D2054" s="83"/>
      <c r="E2054" s="83"/>
      <c r="F2054" s="83"/>
      <c r="G2054" s="83"/>
      <c r="H2054" s="83"/>
      <c r="I2054" s="84" t="s">
        <v>3710</v>
      </c>
      <c r="J2054" s="84" t="s">
        <v>3711</v>
      </c>
      <c r="K2054" s="85" t="s">
        <v>3723</v>
      </c>
      <c r="L2054" s="85" t="s">
        <v>0</v>
      </c>
      <c r="M2054" s="86"/>
      <c r="N2054" s="86"/>
      <c r="O2054" s="86"/>
      <c r="P2054" s="91">
        <v>958629.3</v>
      </c>
      <c r="Q2054" s="87">
        <f t="shared" si="84"/>
        <v>0</v>
      </c>
      <c r="R2054" s="57"/>
      <c r="S2054" s="57"/>
      <c r="T2054" s="57"/>
      <c r="U2054" s="57"/>
      <c r="V2054" s="73">
        <f t="shared" si="86"/>
        <v>0</v>
      </c>
      <c r="W2054" s="106"/>
      <c r="X2054" s="64"/>
    </row>
    <row r="2055" spans="1:24" s="66" customFormat="1" ht="12" hidden="1" customHeight="1">
      <c r="A2055" s="55" t="s">
        <v>2692</v>
      </c>
      <c r="B2055" s="55"/>
      <c r="C2055" s="55"/>
      <c r="D2055" s="55"/>
      <c r="E2055" s="55"/>
      <c r="F2055" s="55"/>
      <c r="G2055" s="55"/>
      <c r="H2055" s="55"/>
      <c r="I2055" s="56" t="s">
        <v>2693</v>
      </c>
      <c r="J2055" s="56" t="s">
        <v>2694</v>
      </c>
      <c r="K2055" s="56" t="s">
        <v>1583</v>
      </c>
      <c r="L2055" s="59" t="s">
        <v>20</v>
      </c>
      <c r="M2055" s="57"/>
      <c r="N2055" s="57"/>
      <c r="O2055" s="57"/>
      <c r="P2055" s="58">
        <v>165401</v>
      </c>
      <c r="Q2055" s="87">
        <f t="shared" si="84"/>
        <v>0</v>
      </c>
      <c r="R2055" s="57"/>
      <c r="S2055" s="57"/>
      <c r="T2055" s="57"/>
      <c r="U2055" s="57"/>
      <c r="V2055" s="73">
        <f t="shared" si="86"/>
        <v>0</v>
      </c>
      <c r="W2055" s="106"/>
      <c r="X2055" s="64"/>
    </row>
    <row r="2056" spans="1:24" s="66" customFormat="1" ht="12" hidden="1" customHeight="1">
      <c r="A2056" s="55" t="s">
        <v>2695</v>
      </c>
      <c r="B2056" s="55"/>
      <c r="C2056" s="55"/>
      <c r="D2056" s="55"/>
      <c r="E2056" s="55"/>
      <c r="F2056" s="55"/>
      <c r="G2056" s="55"/>
      <c r="H2056" s="55"/>
      <c r="I2056" s="56" t="s">
        <v>2696</v>
      </c>
      <c r="J2056" s="56" t="s">
        <v>2697</v>
      </c>
      <c r="K2056" s="56" t="s">
        <v>2691</v>
      </c>
      <c r="L2056" s="59" t="s">
        <v>20</v>
      </c>
      <c r="M2056" s="57"/>
      <c r="N2056" s="57"/>
      <c r="O2056" s="57"/>
      <c r="P2056" s="58">
        <v>177744</v>
      </c>
      <c r="Q2056" s="87">
        <f t="shared" si="84"/>
        <v>0</v>
      </c>
      <c r="R2056" s="57"/>
      <c r="S2056" s="57"/>
      <c r="T2056" s="57"/>
      <c r="U2056" s="57"/>
      <c r="V2056" s="73">
        <f t="shared" si="86"/>
        <v>0</v>
      </c>
      <c r="W2056" s="106"/>
      <c r="X2056" s="64"/>
    </row>
    <row r="2057" spans="1:24" s="66" customFormat="1" ht="12" hidden="1" customHeight="1">
      <c r="A2057" s="55" t="s">
        <v>2698</v>
      </c>
      <c r="B2057" s="55"/>
      <c r="C2057" s="55"/>
      <c r="D2057" s="55"/>
      <c r="E2057" s="55"/>
      <c r="F2057" s="55"/>
      <c r="G2057" s="55"/>
      <c r="H2057" s="55"/>
      <c r="I2057" s="56" t="s">
        <v>2699</v>
      </c>
      <c r="J2057" s="56" t="s">
        <v>2700</v>
      </c>
      <c r="K2057" s="56" t="s">
        <v>1575</v>
      </c>
      <c r="L2057" s="59" t="s">
        <v>20</v>
      </c>
      <c r="M2057" s="57"/>
      <c r="N2057" s="57"/>
      <c r="O2057" s="57"/>
      <c r="P2057" s="58">
        <v>116027</v>
      </c>
      <c r="Q2057" s="87">
        <f t="shared" si="84"/>
        <v>0</v>
      </c>
      <c r="R2057" s="57"/>
      <c r="S2057" s="57"/>
      <c r="T2057" s="57"/>
      <c r="U2057" s="57"/>
      <c r="V2057" s="73">
        <f t="shared" si="86"/>
        <v>0</v>
      </c>
      <c r="W2057" s="106"/>
      <c r="X2057" s="64"/>
    </row>
    <row r="2058" spans="1:24" s="66" customFormat="1" ht="12" hidden="1" customHeight="1">
      <c r="A2058" s="55" t="s">
        <v>2701</v>
      </c>
      <c r="B2058" s="55"/>
      <c r="C2058" s="55"/>
      <c r="D2058" s="55"/>
      <c r="E2058" s="55"/>
      <c r="F2058" s="55"/>
      <c r="G2058" s="55"/>
      <c r="H2058" s="55"/>
      <c r="I2058" s="56" t="s">
        <v>2702</v>
      </c>
      <c r="J2058" s="56" t="s">
        <v>2703</v>
      </c>
      <c r="K2058" s="56" t="s">
        <v>1577</v>
      </c>
      <c r="L2058" s="59" t="s">
        <v>20</v>
      </c>
      <c r="M2058" s="57"/>
      <c r="N2058" s="57"/>
      <c r="O2058" s="57"/>
      <c r="P2058" s="58">
        <v>133308</v>
      </c>
      <c r="Q2058" s="87">
        <f t="shared" si="84"/>
        <v>0</v>
      </c>
      <c r="R2058" s="57"/>
      <c r="S2058" s="57"/>
      <c r="T2058" s="57"/>
      <c r="U2058" s="57"/>
      <c r="V2058" s="73">
        <f t="shared" si="86"/>
        <v>0</v>
      </c>
      <c r="W2058" s="106"/>
      <c r="X2058" s="64"/>
    </row>
    <row r="2059" spans="1:24" s="66" customFormat="1" ht="12" hidden="1" customHeight="1">
      <c r="A2059" s="55" t="s">
        <v>2704</v>
      </c>
      <c r="B2059" s="55"/>
      <c r="C2059" s="55"/>
      <c r="D2059" s="55"/>
      <c r="E2059" s="55"/>
      <c r="F2059" s="55"/>
      <c r="G2059" s="55"/>
      <c r="H2059" s="55"/>
      <c r="I2059" s="56" t="s">
        <v>2705</v>
      </c>
      <c r="J2059" s="56" t="s">
        <v>2706</v>
      </c>
      <c r="K2059" s="56" t="s">
        <v>1579</v>
      </c>
      <c r="L2059" s="59" t="s">
        <v>20</v>
      </c>
      <c r="M2059" s="57"/>
      <c r="N2059" s="57"/>
      <c r="O2059" s="57"/>
      <c r="P2059" s="58">
        <v>150589</v>
      </c>
      <c r="Q2059" s="87">
        <f t="shared" si="84"/>
        <v>0</v>
      </c>
      <c r="R2059" s="57"/>
      <c r="S2059" s="57"/>
      <c r="T2059" s="57"/>
      <c r="U2059" s="57"/>
      <c r="V2059" s="73">
        <f t="shared" si="86"/>
        <v>0</v>
      </c>
      <c r="W2059" s="106"/>
      <c r="X2059" s="64"/>
    </row>
    <row r="2060" spans="1:24" s="66" customFormat="1" ht="12" hidden="1" customHeight="1">
      <c r="A2060" s="55" t="s">
        <v>2707</v>
      </c>
      <c r="B2060" s="55"/>
      <c r="C2060" s="55"/>
      <c r="D2060" s="55"/>
      <c r="E2060" s="55"/>
      <c r="F2060" s="55"/>
      <c r="G2060" s="55"/>
      <c r="H2060" s="55"/>
      <c r="I2060" s="56" t="s">
        <v>2708</v>
      </c>
      <c r="J2060" s="56" t="s">
        <v>2709</v>
      </c>
      <c r="K2060" s="56" t="s">
        <v>2682</v>
      </c>
      <c r="L2060" s="59" t="s">
        <v>20</v>
      </c>
      <c r="M2060" s="57"/>
      <c r="N2060" s="57"/>
      <c r="O2060" s="57"/>
      <c r="P2060" s="58">
        <v>150589</v>
      </c>
      <c r="Q2060" s="87">
        <f t="shared" si="84"/>
        <v>0</v>
      </c>
      <c r="R2060" s="57"/>
      <c r="S2060" s="57"/>
      <c r="T2060" s="57"/>
      <c r="U2060" s="57"/>
      <c r="V2060" s="73">
        <f t="shared" si="86"/>
        <v>0</v>
      </c>
      <c r="W2060" s="106"/>
      <c r="X2060" s="64"/>
    </row>
    <row r="2061" spans="1:24" s="66" customFormat="1" ht="12" hidden="1" customHeight="1">
      <c r="A2061" s="55" t="s">
        <v>2710</v>
      </c>
      <c r="B2061" s="55"/>
      <c r="C2061" s="55"/>
      <c r="D2061" s="55"/>
      <c r="E2061" s="55"/>
      <c r="F2061" s="55"/>
      <c r="G2061" s="55"/>
      <c r="H2061" s="55"/>
      <c r="I2061" s="56" t="s">
        <v>2711</v>
      </c>
      <c r="J2061" s="56" t="s">
        <v>2712</v>
      </c>
      <c r="K2061" s="56" t="s">
        <v>1581</v>
      </c>
      <c r="L2061" s="59" t="s">
        <v>20</v>
      </c>
      <c r="M2061" s="57"/>
      <c r="N2061" s="57"/>
      <c r="O2061" s="57"/>
      <c r="P2061" s="58">
        <v>160464</v>
      </c>
      <c r="Q2061" s="87">
        <f t="shared" si="84"/>
        <v>0</v>
      </c>
      <c r="R2061" s="57"/>
      <c r="S2061" s="57"/>
      <c r="T2061" s="57"/>
      <c r="U2061" s="57"/>
      <c r="V2061" s="73">
        <f t="shared" si="86"/>
        <v>0</v>
      </c>
      <c r="W2061" s="106"/>
      <c r="X2061" s="64"/>
    </row>
    <row r="2062" spans="1:24" s="66" customFormat="1" ht="12" hidden="1" customHeight="1">
      <c r="A2062" s="55" t="s">
        <v>2713</v>
      </c>
      <c r="B2062" s="55"/>
      <c r="C2062" s="55"/>
      <c r="D2062" s="55"/>
      <c r="E2062" s="55"/>
      <c r="F2062" s="55"/>
      <c r="G2062" s="55"/>
      <c r="H2062" s="55"/>
      <c r="I2062" s="56" t="s">
        <v>2070</v>
      </c>
      <c r="J2062" s="56" t="s">
        <v>2071</v>
      </c>
      <c r="K2062" s="56" t="s">
        <v>1575</v>
      </c>
      <c r="L2062" s="59" t="s">
        <v>20</v>
      </c>
      <c r="M2062" s="57"/>
      <c r="N2062" s="57"/>
      <c r="O2062" s="57"/>
      <c r="P2062" s="58">
        <v>50361</v>
      </c>
      <c r="Q2062" s="87">
        <f t="shared" si="84"/>
        <v>0</v>
      </c>
      <c r="R2062" s="57"/>
      <c r="S2062" s="57"/>
      <c r="T2062" s="57"/>
      <c r="U2062" s="57"/>
      <c r="V2062" s="73">
        <f t="shared" si="86"/>
        <v>0</v>
      </c>
      <c r="W2062" s="106"/>
      <c r="X2062" s="64"/>
    </row>
    <row r="2063" spans="1:24" s="66" customFormat="1" ht="12" hidden="1" customHeight="1">
      <c r="A2063" s="55" t="s">
        <v>2714</v>
      </c>
      <c r="B2063" s="55"/>
      <c r="C2063" s="55"/>
      <c r="D2063" s="55"/>
      <c r="E2063" s="55"/>
      <c r="F2063" s="55"/>
      <c r="G2063" s="55"/>
      <c r="H2063" s="55"/>
      <c r="I2063" s="56" t="s">
        <v>2072</v>
      </c>
      <c r="J2063" s="56" t="s">
        <v>2073</v>
      </c>
      <c r="K2063" s="56" t="s">
        <v>2074</v>
      </c>
      <c r="L2063" s="59" t="s">
        <v>20</v>
      </c>
      <c r="M2063" s="57"/>
      <c r="N2063" s="57"/>
      <c r="O2063" s="57"/>
      <c r="P2063" s="58">
        <v>52582</v>
      </c>
      <c r="Q2063" s="87">
        <f t="shared" si="84"/>
        <v>0</v>
      </c>
      <c r="R2063" s="57"/>
      <c r="S2063" s="57"/>
      <c r="T2063" s="57"/>
      <c r="U2063" s="57"/>
      <c r="V2063" s="73">
        <f t="shared" si="86"/>
        <v>0</v>
      </c>
      <c r="W2063" s="106"/>
      <c r="X2063" s="64"/>
    </row>
    <row r="2064" spans="1:24" s="66" customFormat="1" ht="12" hidden="1" customHeight="1">
      <c r="A2064" s="55" t="s">
        <v>2715</v>
      </c>
      <c r="B2064" s="55"/>
      <c r="C2064" s="55"/>
      <c r="D2064" s="55"/>
      <c r="E2064" s="55"/>
      <c r="F2064" s="55"/>
      <c r="G2064" s="55"/>
      <c r="H2064" s="55"/>
      <c r="I2064" s="56" t="s">
        <v>2075</v>
      </c>
      <c r="J2064" s="56" t="s">
        <v>2076</v>
      </c>
      <c r="K2064" s="56" t="s">
        <v>1577</v>
      </c>
      <c r="L2064" s="59" t="s">
        <v>20</v>
      </c>
      <c r="M2064" s="57"/>
      <c r="N2064" s="57"/>
      <c r="O2064" s="57"/>
      <c r="P2064" s="58">
        <v>54557</v>
      </c>
      <c r="Q2064" s="87">
        <f t="shared" si="84"/>
        <v>0</v>
      </c>
      <c r="R2064" s="57"/>
      <c r="S2064" s="57"/>
      <c r="T2064" s="57"/>
      <c r="U2064" s="57"/>
      <c r="V2064" s="73">
        <f t="shared" si="86"/>
        <v>0</v>
      </c>
      <c r="W2064" s="106"/>
      <c r="X2064" s="64"/>
    </row>
    <row r="2065" spans="1:24" s="66" customFormat="1" ht="12" hidden="1" customHeight="1">
      <c r="A2065" s="55" t="s">
        <v>2716</v>
      </c>
      <c r="B2065" s="55"/>
      <c r="C2065" s="55"/>
      <c r="D2065" s="55"/>
      <c r="E2065" s="55"/>
      <c r="F2065" s="55"/>
      <c r="G2065" s="55"/>
      <c r="H2065" s="55"/>
      <c r="I2065" s="56" t="s">
        <v>2717</v>
      </c>
      <c r="J2065" s="56" t="s">
        <v>2718</v>
      </c>
      <c r="K2065" s="56" t="s">
        <v>1579</v>
      </c>
      <c r="L2065" s="59" t="s">
        <v>20</v>
      </c>
      <c r="M2065" s="57"/>
      <c r="N2065" s="57"/>
      <c r="O2065" s="57"/>
      <c r="P2065" s="58">
        <v>56532</v>
      </c>
      <c r="Q2065" s="87">
        <f t="shared" si="84"/>
        <v>0</v>
      </c>
      <c r="R2065" s="57"/>
      <c r="S2065" s="57"/>
      <c r="T2065" s="57"/>
      <c r="U2065" s="57"/>
      <c r="V2065" s="73">
        <f t="shared" si="86"/>
        <v>0</v>
      </c>
      <c r="W2065" s="106"/>
      <c r="X2065" s="64"/>
    </row>
    <row r="2066" spans="1:24" s="66" customFormat="1" ht="12" hidden="1" customHeight="1">
      <c r="A2066" s="55" t="s">
        <v>2719</v>
      </c>
      <c r="B2066" s="55"/>
      <c r="C2066" s="55"/>
      <c r="D2066" s="55"/>
      <c r="E2066" s="55"/>
      <c r="F2066" s="55"/>
      <c r="G2066" s="55"/>
      <c r="H2066" s="55"/>
      <c r="I2066" s="56" t="s">
        <v>1825</v>
      </c>
      <c r="J2066" s="56" t="s">
        <v>2720</v>
      </c>
      <c r="K2066" s="56" t="s">
        <v>2721</v>
      </c>
      <c r="L2066" s="59" t="s">
        <v>0</v>
      </c>
      <c r="M2066" s="57"/>
      <c r="N2066" s="57"/>
      <c r="O2066" s="57"/>
      <c r="P2066" s="58">
        <v>37030</v>
      </c>
      <c r="Q2066" s="87">
        <f t="shared" si="84"/>
        <v>0</v>
      </c>
      <c r="R2066" s="57"/>
      <c r="S2066" s="57"/>
      <c r="T2066" s="57"/>
      <c r="U2066" s="57"/>
      <c r="V2066" s="73">
        <f t="shared" si="86"/>
        <v>0</v>
      </c>
      <c r="W2066" s="106"/>
      <c r="X2066" s="64"/>
    </row>
    <row r="2067" spans="1:24" s="66" customFormat="1" ht="12" hidden="1" customHeight="1">
      <c r="A2067" s="55" t="s">
        <v>2722</v>
      </c>
      <c r="B2067" s="55"/>
      <c r="C2067" s="55"/>
      <c r="D2067" s="55"/>
      <c r="E2067" s="55"/>
      <c r="F2067" s="55"/>
      <c r="G2067" s="55"/>
      <c r="H2067" s="55"/>
      <c r="I2067" s="56" t="s">
        <v>1826</v>
      </c>
      <c r="J2067" s="56" t="s">
        <v>2723</v>
      </c>
      <c r="K2067" s="56" t="s">
        <v>2724</v>
      </c>
      <c r="L2067" s="59" t="s">
        <v>0</v>
      </c>
      <c r="M2067" s="57"/>
      <c r="N2067" s="57"/>
      <c r="O2067" s="57"/>
      <c r="P2067" s="58">
        <v>49373</v>
      </c>
      <c r="Q2067" s="87">
        <f t="shared" si="84"/>
        <v>0</v>
      </c>
      <c r="R2067" s="57"/>
      <c r="S2067" s="57"/>
      <c r="T2067" s="57"/>
      <c r="U2067" s="57"/>
      <c r="V2067" s="73">
        <f t="shared" si="86"/>
        <v>0</v>
      </c>
      <c r="W2067" s="106"/>
      <c r="X2067" s="64"/>
    </row>
    <row r="2068" spans="1:24" s="66" customFormat="1" ht="12" hidden="1" customHeight="1">
      <c r="A2068" s="55" t="s">
        <v>2725</v>
      </c>
      <c r="B2068" s="55"/>
      <c r="C2068" s="55"/>
      <c r="D2068" s="55"/>
      <c r="E2068" s="55"/>
      <c r="F2068" s="55"/>
      <c r="G2068" s="55"/>
      <c r="H2068" s="55"/>
      <c r="I2068" s="56" t="s">
        <v>1823</v>
      </c>
      <c r="J2068" s="56" t="s">
        <v>2726</v>
      </c>
      <c r="K2068" s="56" t="s">
        <v>2727</v>
      </c>
      <c r="L2068" s="59" t="s">
        <v>0</v>
      </c>
      <c r="M2068" s="57"/>
      <c r="N2068" s="57"/>
      <c r="O2068" s="57"/>
      <c r="P2068" s="58">
        <v>74060</v>
      </c>
      <c r="Q2068" s="87">
        <f t="shared" si="84"/>
        <v>0</v>
      </c>
      <c r="R2068" s="57"/>
      <c r="S2068" s="57"/>
      <c r="T2068" s="57"/>
      <c r="U2068" s="57"/>
      <c r="V2068" s="73">
        <f t="shared" si="86"/>
        <v>0</v>
      </c>
      <c r="W2068" s="106"/>
      <c r="X2068" s="64"/>
    </row>
    <row r="2069" spans="1:24" s="66" customFormat="1" ht="12" hidden="1" customHeight="1">
      <c r="A2069" s="102" t="s">
        <v>3724</v>
      </c>
      <c r="B2069" s="102"/>
      <c r="C2069" s="102"/>
      <c r="D2069" s="102"/>
      <c r="E2069" s="102"/>
      <c r="F2069" s="102"/>
      <c r="G2069" s="102"/>
      <c r="H2069" s="102"/>
      <c r="I2069" s="101" t="s">
        <v>3725</v>
      </c>
      <c r="J2069" s="101" t="s">
        <v>3726</v>
      </c>
      <c r="K2069" s="103" t="s">
        <v>3745</v>
      </c>
      <c r="L2069" s="103" t="s">
        <v>0</v>
      </c>
      <c r="M2069" s="104"/>
      <c r="N2069" s="104"/>
      <c r="O2069" s="104"/>
      <c r="P2069" s="104">
        <v>10363.56</v>
      </c>
      <c r="Q2069" s="87">
        <f t="shared" si="84"/>
        <v>0</v>
      </c>
      <c r="R2069" s="105"/>
      <c r="S2069" s="105"/>
      <c r="T2069" s="105"/>
      <c r="U2069" s="105"/>
      <c r="V2069" s="73">
        <f t="shared" si="86"/>
        <v>0</v>
      </c>
      <c r="W2069" s="106"/>
      <c r="X2069" s="64"/>
    </row>
    <row r="2070" spans="1:24" s="66" customFormat="1" ht="12" hidden="1" customHeight="1">
      <c r="A2070" s="102" t="s">
        <v>2385</v>
      </c>
      <c r="B2070" s="102"/>
      <c r="C2070" s="102"/>
      <c r="D2070" s="102"/>
      <c r="E2070" s="102"/>
      <c r="F2070" s="102"/>
      <c r="G2070" s="102"/>
      <c r="H2070" s="102"/>
      <c r="I2070" s="101" t="s">
        <v>1920</v>
      </c>
      <c r="J2070" s="101" t="s">
        <v>1522</v>
      </c>
      <c r="K2070" s="103" t="s">
        <v>3746</v>
      </c>
      <c r="L2070" s="103" t="s">
        <v>0</v>
      </c>
      <c r="M2070" s="104"/>
      <c r="N2070" s="104"/>
      <c r="O2070" s="104"/>
      <c r="P2070" s="104">
        <v>12954.45</v>
      </c>
      <c r="Q2070" s="87">
        <f t="shared" si="84"/>
        <v>0</v>
      </c>
      <c r="R2070" s="105"/>
      <c r="S2070" s="105"/>
      <c r="T2070" s="105"/>
      <c r="U2070" s="105"/>
      <c r="V2070" s="73">
        <f t="shared" si="86"/>
        <v>0</v>
      </c>
      <c r="W2070" s="106"/>
      <c r="X2070" s="64"/>
    </row>
    <row r="2071" spans="1:24" s="66" customFormat="1" ht="12" hidden="1" customHeight="1">
      <c r="A2071" s="102" t="s">
        <v>2386</v>
      </c>
      <c r="B2071" s="102"/>
      <c r="C2071" s="102"/>
      <c r="D2071" s="102"/>
      <c r="E2071" s="102"/>
      <c r="F2071" s="102"/>
      <c r="G2071" s="102"/>
      <c r="H2071" s="102"/>
      <c r="I2071" s="101" t="s">
        <v>1921</v>
      </c>
      <c r="J2071" s="101" t="s">
        <v>1523</v>
      </c>
      <c r="K2071" s="103" t="s">
        <v>3747</v>
      </c>
      <c r="L2071" s="103" t="s">
        <v>0</v>
      </c>
      <c r="M2071" s="104"/>
      <c r="N2071" s="104"/>
      <c r="O2071" s="104"/>
      <c r="P2071" s="104">
        <v>15545.34</v>
      </c>
      <c r="Q2071" s="87">
        <f t="shared" si="84"/>
        <v>0</v>
      </c>
      <c r="R2071" s="105"/>
      <c r="S2071" s="105"/>
      <c r="T2071" s="105"/>
      <c r="U2071" s="105"/>
      <c r="V2071" s="73">
        <f t="shared" si="86"/>
        <v>0</v>
      </c>
      <c r="W2071" s="106"/>
      <c r="X2071" s="64"/>
    </row>
    <row r="2072" spans="1:24" s="66" customFormat="1" ht="12" hidden="1" customHeight="1">
      <c r="A2072" s="102" t="s">
        <v>2387</v>
      </c>
      <c r="B2072" s="102"/>
      <c r="C2072" s="102"/>
      <c r="D2072" s="102"/>
      <c r="E2072" s="102"/>
      <c r="F2072" s="102"/>
      <c r="G2072" s="102"/>
      <c r="H2072" s="102"/>
      <c r="I2072" s="101" t="s">
        <v>1922</v>
      </c>
      <c r="J2072" s="101" t="s">
        <v>1524</v>
      </c>
      <c r="K2072" s="103" t="s">
        <v>3748</v>
      </c>
      <c r="L2072" s="103" t="s">
        <v>0</v>
      </c>
      <c r="M2072" s="104"/>
      <c r="N2072" s="104"/>
      <c r="O2072" s="104"/>
      <c r="P2072" s="104">
        <v>20727.12</v>
      </c>
      <c r="Q2072" s="87">
        <f t="shared" si="84"/>
        <v>0</v>
      </c>
      <c r="R2072" s="105"/>
      <c r="S2072" s="105"/>
      <c r="T2072" s="105"/>
      <c r="U2072" s="105"/>
      <c r="V2072" s="73">
        <f t="shared" si="86"/>
        <v>0</v>
      </c>
      <c r="W2072" s="106"/>
      <c r="X2072" s="64"/>
    </row>
    <row r="2073" spans="1:24" s="66" customFormat="1" ht="12" hidden="1" customHeight="1">
      <c r="A2073" s="102" t="s">
        <v>3727</v>
      </c>
      <c r="B2073" s="102"/>
      <c r="C2073" s="102"/>
      <c r="D2073" s="102"/>
      <c r="E2073" s="102"/>
      <c r="F2073" s="102"/>
      <c r="G2073" s="102"/>
      <c r="H2073" s="102"/>
      <c r="I2073" s="101" t="s">
        <v>1923</v>
      </c>
      <c r="J2073" s="101" t="s">
        <v>3728</v>
      </c>
      <c r="K2073" s="103" t="s">
        <v>3749</v>
      </c>
      <c r="L2073" s="103" t="s">
        <v>0</v>
      </c>
      <c r="M2073" s="104"/>
      <c r="N2073" s="104"/>
      <c r="O2073" s="104"/>
      <c r="P2073" s="104">
        <v>25908.9</v>
      </c>
      <c r="Q2073" s="87">
        <f t="shared" si="84"/>
        <v>0</v>
      </c>
      <c r="R2073" s="105"/>
      <c r="S2073" s="105"/>
      <c r="T2073" s="105"/>
      <c r="U2073" s="105"/>
      <c r="V2073" s="73">
        <f t="shared" si="86"/>
        <v>0</v>
      </c>
      <c r="W2073" s="106"/>
      <c r="X2073" s="64"/>
    </row>
    <row r="2074" spans="1:24" s="66" customFormat="1" ht="12" hidden="1" customHeight="1">
      <c r="A2074" s="102" t="s">
        <v>3729</v>
      </c>
      <c r="B2074" s="102"/>
      <c r="C2074" s="102"/>
      <c r="D2074" s="102"/>
      <c r="E2074" s="102"/>
      <c r="F2074" s="102"/>
      <c r="G2074" s="102"/>
      <c r="H2074" s="102"/>
      <c r="I2074" s="101" t="s">
        <v>1924</v>
      </c>
      <c r="J2074" s="101" t="s">
        <v>3730</v>
      </c>
      <c r="K2074" s="103" t="s">
        <v>3750</v>
      </c>
      <c r="L2074" s="103" t="s">
        <v>0</v>
      </c>
      <c r="M2074" s="104"/>
      <c r="N2074" s="104"/>
      <c r="O2074" s="104"/>
      <c r="P2074" s="104">
        <v>33681.57</v>
      </c>
      <c r="Q2074" s="87">
        <f t="shared" si="84"/>
        <v>0</v>
      </c>
      <c r="R2074" s="105"/>
      <c r="S2074" s="105"/>
      <c r="T2074" s="105"/>
      <c r="U2074" s="105"/>
      <c r="V2074" s="73">
        <f t="shared" si="86"/>
        <v>0</v>
      </c>
      <c r="W2074" s="106"/>
      <c r="X2074" s="64"/>
    </row>
    <row r="2075" spans="1:24" s="66" customFormat="1" ht="12" hidden="1" customHeight="1">
      <c r="A2075" s="102" t="s">
        <v>3731</v>
      </c>
      <c r="B2075" s="102"/>
      <c r="C2075" s="102"/>
      <c r="D2075" s="102"/>
      <c r="E2075" s="102"/>
      <c r="F2075" s="102"/>
      <c r="G2075" s="102"/>
      <c r="H2075" s="102"/>
      <c r="I2075" s="101" t="s">
        <v>1925</v>
      </c>
      <c r="J2075" s="101" t="s">
        <v>3732</v>
      </c>
      <c r="K2075" s="103" t="s">
        <v>3751</v>
      </c>
      <c r="L2075" s="103" t="s">
        <v>0</v>
      </c>
      <c r="M2075" s="104"/>
      <c r="N2075" s="104"/>
      <c r="O2075" s="104"/>
      <c r="P2075" s="104">
        <v>49226.91</v>
      </c>
      <c r="Q2075" s="87">
        <f t="shared" si="84"/>
        <v>0</v>
      </c>
      <c r="R2075" s="105"/>
      <c r="S2075" s="105"/>
      <c r="T2075" s="105"/>
      <c r="U2075" s="105"/>
      <c r="V2075" s="73">
        <f t="shared" si="86"/>
        <v>0</v>
      </c>
      <c r="W2075" s="106"/>
      <c r="X2075" s="64"/>
    </row>
    <row r="2076" spans="1:24" s="66" customFormat="1" ht="12" hidden="1" customHeight="1">
      <c r="A2076" s="102" t="s">
        <v>3733</v>
      </c>
      <c r="B2076" s="102"/>
      <c r="C2076" s="102"/>
      <c r="D2076" s="102"/>
      <c r="E2076" s="102"/>
      <c r="F2076" s="102"/>
      <c r="G2076" s="102"/>
      <c r="H2076" s="102"/>
      <c r="I2076" s="101" t="s">
        <v>1926</v>
      </c>
      <c r="J2076" s="101" t="s">
        <v>3734</v>
      </c>
      <c r="K2076" s="103" t="s">
        <v>3752</v>
      </c>
      <c r="L2076" s="103" t="s">
        <v>0</v>
      </c>
      <c r="M2076" s="104"/>
      <c r="N2076" s="104"/>
      <c r="O2076" s="104"/>
      <c r="P2076" s="104">
        <v>72544.92</v>
      </c>
      <c r="Q2076" s="87">
        <f t="shared" si="84"/>
        <v>0</v>
      </c>
      <c r="R2076" s="105"/>
      <c r="S2076" s="105"/>
      <c r="T2076" s="105"/>
      <c r="U2076" s="105"/>
      <c r="V2076" s="73">
        <f t="shared" ref="V2076:V2097" si="87">SUM(O2076+Q2076)+S2076+U2076</f>
        <v>0</v>
      </c>
      <c r="W2076" s="106"/>
      <c r="X2076" s="64"/>
    </row>
    <row r="2077" spans="1:24" s="66" customFormat="1" ht="12" hidden="1" customHeight="1">
      <c r="A2077" s="102" t="s">
        <v>3735</v>
      </c>
      <c r="B2077" s="102"/>
      <c r="C2077" s="102"/>
      <c r="D2077" s="102"/>
      <c r="E2077" s="102"/>
      <c r="F2077" s="102"/>
      <c r="G2077" s="102"/>
      <c r="H2077" s="102"/>
      <c r="I2077" s="101" t="s">
        <v>1927</v>
      </c>
      <c r="J2077" s="101" t="s">
        <v>3736</v>
      </c>
      <c r="K2077" s="103" t="s">
        <v>3753</v>
      </c>
      <c r="L2077" s="103" t="s">
        <v>0</v>
      </c>
      <c r="M2077" s="104"/>
      <c r="N2077" s="104"/>
      <c r="O2077" s="104"/>
      <c r="P2077" s="104">
        <v>95862.93</v>
      </c>
      <c r="Q2077" s="87">
        <f t="shared" si="84"/>
        <v>0</v>
      </c>
      <c r="R2077" s="105"/>
      <c r="S2077" s="105"/>
      <c r="T2077" s="105"/>
      <c r="U2077" s="105"/>
      <c r="V2077" s="73">
        <f t="shared" si="87"/>
        <v>0</v>
      </c>
      <c r="W2077" s="106"/>
      <c r="X2077" s="64"/>
    </row>
    <row r="2078" spans="1:24" s="66" customFormat="1" ht="12" hidden="1" customHeight="1">
      <c r="A2078" s="102" t="s">
        <v>3737</v>
      </c>
      <c r="B2078" s="102"/>
      <c r="C2078" s="102"/>
      <c r="D2078" s="102"/>
      <c r="E2078" s="102"/>
      <c r="F2078" s="102"/>
      <c r="G2078" s="102"/>
      <c r="H2078" s="102"/>
      <c r="I2078" s="101" t="s">
        <v>3738</v>
      </c>
      <c r="J2078" s="101" t="s">
        <v>3739</v>
      </c>
      <c r="K2078" s="103" t="s">
        <v>3754</v>
      </c>
      <c r="L2078" s="103" t="s">
        <v>0</v>
      </c>
      <c r="M2078" s="104"/>
      <c r="N2078" s="104"/>
      <c r="O2078" s="104"/>
      <c r="P2078" s="104">
        <v>116590.05</v>
      </c>
      <c r="Q2078" s="87">
        <f t="shared" si="84"/>
        <v>0</v>
      </c>
      <c r="R2078" s="105"/>
      <c r="S2078" s="105"/>
      <c r="T2078" s="105"/>
      <c r="U2078" s="105"/>
      <c r="V2078" s="73">
        <f t="shared" si="87"/>
        <v>0</v>
      </c>
      <c r="W2078" s="106"/>
      <c r="X2078" s="64"/>
    </row>
    <row r="2079" spans="1:24" s="66" customFormat="1" ht="12" hidden="1" customHeight="1">
      <c r="A2079" s="102" t="s">
        <v>3740</v>
      </c>
      <c r="B2079" s="102"/>
      <c r="C2079" s="102"/>
      <c r="D2079" s="102"/>
      <c r="E2079" s="102"/>
      <c r="F2079" s="102"/>
      <c r="G2079" s="102"/>
      <c r="H2079" s="102"/>
      <c r="I2079" s="101" t="s">
        <v>1928</v>
      </c>
      <c r="J2079" s="101" t="s">
        <v>3741</v>
      </c>
      <c r="K2079" s="103" t="s">
        <v>3755</v>
      </c>
      <c r="L2079" s="103" t="s">
        <v>0</v>
      </c>
      <c r="M2079" s="104"/>
      <c r="N2079" s="104"/>
      <c r="O2079" s="104"/>
      <c r="P2079" s="104">
        <v>119180.94</v>
      </c>
      <c r="Q2079" s="87">
        <f t="shared" si="84"/>
        <v>0</v>
      </c>
      <c r="R2079" s="105"/>
      <c r="S2079" s="105"/>
      <c r="T2079" s="105"/>
      <c r="U2079" s="105"/>
      <c r="V2079" s="73">
        <f t="shared" si="87"/>
        <v>0</v>
      </c>
      <c r="W2079" s="106"/>
      <c r="X2079" s="64"/>
    </row>
    <row r="2080" spans="1:24" s="66" customFormat="1" ht="12" hidden="1" customHeight="1">
      <c r="A2080" s="102" t="s">
        <v>3742</v>
      </c>
      <c r="B2080" s="102"/>
      <c r="C2080" s="102"/>
      <c r="D2080" s="102"/>
      <c r="E2080" s="102"/>
      <c r="F2080" s="102"/>
      <c r="G2080" s="102"/>
      <c r="H2080" s="102"/>
      <c r="I2080" s="101" t="s">
        <v>3743</v>
      </c>
      <c r="J2080" s="101" t="s">
        <v>3744</v>
      </c>
      <c r="K2080" s="103" t="s">
        <v>3756</v>
      </c>
      <c r="L2080" s="103" t="s">
        <v>0</v>
      </c>
      <c r="M2080" s="104"/>
      <c r="N2080" s="104"/>
      <c r="O2080" s="104"/>
      <c r="P2080" s="104">
        <v>132135.39000000001</v>
      </c>
      <c r="Q2080" s="87">
        <f t="shared" si="84"/>
        <v>0</v>
      </c>
      <c r="R2080" s="105"/>
      <c r="S2080" s="105"/>
      <c r="T2080" s="105"/>
      <c r="U2080" s="105"/>
      <c r="V2080" s="73">
        <f t="shared" si="87"/>
        <v>0</v>
      </c>
      <c r="W2080" s="106"/>
      <c r="X2080" s="64"/>
    </row>
    <row r="2081" spans="1:24" s="66" customFormat="1" ht="12" hidden="1" customHeight="1">
      <c r="A2081" s="102" t="s">
        <v>2388</v>
      </c>
      <c r="B2081" s="102"/>
      <c r="C2081" s="102"/>
      <c r="D2081" s="102"/>
      <c r="E2081" s="102"/>
      <c r="F2081" s="102"/>
      <c r="G2081" s="102"/>
      <c r="H2081" s="102"/>
      <c r="I2081" s="101" t="s">
        <v>1929</v>
      </c>
      <c r="J2081" s="101" t="s">
        <v>2389</v>
      </c>
      <c r="K2081" s="103" t="s">
        <v>3746</v>
      </c>
      <c r="L2081" s="103" t="s">
        <v>0</v>
      </c>
      <c r="M2081" s="104"/>
      <c r="N2081" s="104"/>
      <c r="O2081" s="104"/>
      <c r="P2081" s="104">
        <v>20727.12</v>
      </c>
      <c r="Q2081" s="87">
        <f t="shared" si="84"/>
        <v>0</v>
      </c>
      <c r="R2081" s="105"/>
      <c r="S2081" s="105"/>
      <c r="T2081" s="105"/>
      <c r="U2081" s="105"/>
      <c r="V2081" s="73">
        <f t="shared" si="87"/>
        <v>0</v>
      </c>
      <c r="W2081" s="106"/>
      <c r="X2081" s="64"/>
    </row>
    <row r="2082" spans="1:24" s="66" customFormat="1" ht="12" hidden="1" customHeight="1">
      <c r="A2082" s="102" t="s">
        <v>2390</v>
      </c>
      <c r="B2082" s="102"/>
      <c r="C2082" s="102"/>
      <c r="D2082" s="102"/>
      <c r="E2082" s="102"/>
      <c r="F2082" s="102"/>
      <c r="G2082" s="102"/>
      <c r="H2082" s="102"/>
      <c r="I2082" s="101" t="s">
        <v>1930</v>
      </c>
      <c r="J2082" s="101" t="s">
        <v>2391</v>
      </c>
      <c r="K2082" s="103" t="s">
        <v>3747</v>
      </c>
      <c r="L2082" s="103" t="s">
        <v>0</v>
      </c>
      <c r="M2082" s="104"/>
      <c r="N2082" s="104"/>
      <c r="O2082" s="104"/>
      <c r="P2082" s="104">
        <v>28499.79</v>
      </c>
      <c r="Q2082" s="87">
        <f t="shared" si="84"/>
        <v>0</v>
      </c>
      <c r="R2082" s="105"/>
      <c r="S2082" s="105"/>
      <c r="T2082" s="105"/>
      <c r="U2082" s="105"/>
      <c r="V2082" s="73">
        <f t="shared" si="87"/>
        <v>0</v>
      </c>
      <c r="W2082" s="106"/>
      <c r="X2082" s="64"/>
    </row>
    <row r="2083" spans="1:24" s="66" customFormat="1" ht="12" hidden="1" customHeight="1">
      <c r="A2083" s="102" t="s">
        <v>2392</v>
      </c>
      <c r="B2083" s="102"/>
      <c r="C2083" s="102"/>
      <c r="D2083" s="102"/>
      <c r="E2083" s="102"/>
      <c r="F2083" s="102"/>
      <c r="G2083" s="102"/>
      <c r="H2083" s="102"/>
      <c r="I2083" s="101" t="s">
        <v>1931</v>
      </c>
      <c r="J2083" s="101" t="s">
        <v>2393</v>
      </c>
      <c r="K2083" s="103" t="s">
        <v>3748</v>
      </c>
      <c r="L2083" s="103" t="s">
        <v>0</v>
      </c>
      <c r="M2083" s="104"/>
      <c r="N2083" s="104"/>
      <c r="O2083" s="104"/>
      <c r="P2083" s="104">
        <v>36272.46</v>
      </c>
      <c r="Q2083" s="87">
        <f t="shared" si="84"/>
        <v>0</v>
      </c>
      <c r="R2083" s="105"/>
      <c r="S2083" s="105"/>
      <c r="T2083" s="105"/>
      <c r="U2083" s="105"/>
      <c r="V2083" s="73">
        <f t="shared" si="87"/>
        <v>0</v>
      </c>
      <c r="W2083" s="106"/>
      <c r="X2083" s="64"/>
    </row>
    <row r="2084" spans="1:24" s="66" customFormat="1" ht="12" hidden="1" customHeight="1">
      <c r="A2084" s="102" t="s">
        <v>2394</v>
      </c>
      <c r="B2084" s="102"/>
      <c r="C2084" s="102"/>
      <c r="D2084" s="102"/>
      <c r="E2084" s="102"/>
      <c r="F2084" s="102"/>
      <c r="G2084" s="102"/>
      <c r="H2084" s="102"/>
      <c r="I2084" s="101" t="s">
        <v>1932</v>
      </c>
      <c r="J2084" s="101" t="s">
        <v>2395</v>
      </c>
      <c r="K2084" s="103" t="s">
        <v>3749</v>
      </c>
      <c r="L2084" s="103" t="s">
        <v>0</v>
      </c>
      <c r="M2084" s="104"/>
      <c r="N2084" s="104"/>
      <c r="O2084" s="104"/>
      <c r="P2084" s="104">
        <v>51817.8</v>
      </c>
      <c r="Q2084" s="87">
        <f t="shared" ref="Q2084:Q2147" si="88">IF(W2084="",M2084*P2084*$Q$3*$W$3,M2084*P2084*$Q$3*W2084)</f>
        <v>0</v>
      </c>
      <c r="R2084" s="105"/>
      <c r="S2084" s="105"/>
      <c r="T2084" s="105"/>
      <c r="U2084" s="105"/>
      <c r="V2084" s="73">
        <f t="shared" si="87"/>
        <v>0</v>
      </c>
      <c r="W2084" s="106"/>
      <c r="X2084" s="64"/>
    </row>
    <row r="2085" spans="1:24" s="66" customFormat="1" ht="12" hidden="1" customHeight="1">
      <c r="A2085" s="102" t="s">
        <v>2396</v>
      </c>
      <c r="B2085" s="102"/>
      <c r="C2085" s="102"/>
      <c r="D2085" s="102"/>
      <c r="E2085" s="102"/>
      <c r="F2085" s="102"/>
      <c r="G2085" s="102"/>
      <c r="H2085" s="102"/>
      <c r="I2085" s="101" t="s">
        <v>1933</v>
      </c>
      <c r="J2085" s="101" t="s">
        <v>2397</v>
      </c>
      <c r="K2085" s="103" t="s">
        <v>3750</v>
      </c>
      <c r="L2085" s="103" t="s">
        <v>0</v>
      </c>
      <c r="M2085" s="104"/>
      <c r="N2085" s="104"/>
      <c r="O2085" s="104"/>
      <c r="P2085" s="104">
        <v>64772.25</v>
      </c>
      <c r="Q2085" s="87">
        <f t="shared" si="88"/>
        <v>0</v>
      </c>
      <c r="R2085" s="105"/>
      <c r="S2085" s="105"/>
      <c r="T2085" s="105"/>
      <c r="U2085" s="105"/>
      <c r="V2085" s="73">
        <f t="shared" si="87"/>
        <v>0</v>
      </c>
      <c r="W2085" s="106"/>
      <c r="X2085" s="64"/>
    </row>
    <row r="2086" spans="1:24" s="66" customFormat="1" ht="12" hidden="1" customHeight="1">
      <c r="A2086" s="102" t="s">
        <v>2398</v>
      </c>
      <c r="B2086" s="102"/>
      <c r="C2086" s="102"/>
      <c r="D2086" s="102"/>
      <c r="E2086" s="102"/>
      <c r="F2086" s="102"/>
      <c r="G2086" s="102"/>
      <c r="H2086" s="102"/>
      <c r="I2086" s="101" t="s">
        <v>1934</v>
      </c>
      <c r="J2086" s="101" t="s">
        <v>2399</v>
      </c>
      <c r="K2086" s="103" t="s">
        <v>3751</v>
      </c>
      <c r="L2086" s="103" t="s">
        <v>0</v>
      </c>
      <c r="M2086" s="104"/>
      <c r="N2086" s="104"/>
      <c r="O2086" s="104"/>
      <c r="P2086" s="104">
        <v>88090.26</v>
      </c>
      <c r="Q2086" s="87">
        <f t="shared" si="88"/>
        <v>0</v>
      </c>
      <c r="R2086" s="105"/>
      <c r="S2086" s="105"/>
      <c r="T2086" s="105"/>
      <c r="U2086" s="105"/>
      <c r="V2086" s="73">
        <f t="shared" si="87"/>
        <v>0</v>
      </c>
      <c r="W2086" s="106"/>
      <c r="X2086" s="64"/>
    </row>
    <row r="2087" spans="1:24" s="66" customFormat="1" ht="12" hidden="1" customHeight="1">
      <c r="A2087" s="102" t="s">
        <v>2400</v>
      </c>
      <c r="B2087" s="102"/>
      <c r="C2087" s="102"/>
      <c r="D2087" s="102"/>
      <c r="E2087" s="102"/>
      <c r="F2087" s="102"/>
      <c r="G2087" s="102"/>
      <c r="H2087" s="102"/>
      <c r="I2087" s="101" t="s">
        <v>1935</v>
      </c>
      <c r="J2087" s="101" t="s">
        <v>2401</v>
      </c>
      <c r="K2087" s="103" t="s">
        <v>3752</v>
      </c>
      <c r="L2087" s="103" t="s">
        <v>0</v>
      </c>
      <c r="M2087" s="104"/>
      <c r="N2087" s="104"/>
      <c r="O2087" s="104"/>
      <c r="P2087" s="104">
        <v>113999.16</v>
      </c>
      <c r="Q2087" s="87">
        <f t="shared" si="88"/>
        <v>0</v>
      </c>
      <c r="R2087" s="105"/>
      <c r="S2087" s="105"/>
      <c r="T2087" s="105"/>
      <c r="U2087" s="105"/>
      <c r="V2087" s="73">
        <f t="shared" si="87"/>
        <v>0</v>
      </c>
      <c r="W2087" s="106"/>
      <c r="X2087" s="64"/>
    </row>
    <row r="2088" spans="1:24" s="66" customFormat="1" ht="12" hidden="1" customHeight="1">
      <c r="A2088" s="102" t="s">
        <v>2402</v>
      </c>
      <c r="B2088" s="102"/>
      <c r="C2088" s="102"/>
      <c r="D2088" s="102"/>
      <c r="E2088" s="102"/>
      <c r="F2088" s="102"/>
      <c r="G2088" s="102"/>
      <c r="H2088" s="102"/>
      <c r="I2088" s="101" t="s">
        <v>1936</v>
      </c>
      <c r="J2088" s="101" t="s">
        <v>2403</v>
      </c>
      <c r="K2088" s="103" t="s">
        <v>3753</v>
      </c>
      <c r="L2088" s="103" t="s">
        <v>0</v>
      </c>
      <c r="M2088" s="104"/>
      <c r="N2088" s="104"/>
      <c r="O2088" s="104"/>
      <c r="P2088" s="104">
        <v>139908.06</v>
      </c>
      <c r="Q2088" s="87">
        <f t="shared" si="88"/>
        <v>0</v>
      </c>
      <c r="R2088" s="105"/>
      <c r="S2088" s="105"/>
      <c r="T2088" s="105"/>
      <c r="U2088" s="105"/>
      <c r="V2088" s="73">
        <f t="shared" si="87"/>
        <v>0</v>
      </c>
      <c r="W2088" s="106"/>
      <c r="X2088" s="64"/>
    </row>
    <row r="2089" spans="1:24" s="66" customFormat="1" ht="12" hidden="1" customHeight="1">
      <c r="A2089" s="102" t="s">
        <v>2404</v>
      </c>
      <c r="B2089" s="102"/>
      <c r="C2089" s="102"/>
      <c r="D2089" s="102"/>
      <c r="E2089" s="102"/>
      <c r="F2089" s="102"/>
      <c r="G2089" s="102"/>
      <c r="H2089" s="102"/>
      <c r="I2089" s="101" t="s">
        <v>2405</v>
      </c>
      <c r="J2089" s="101" t="s">
        <v>2406</v>
      </c>
      <c r="K2089" s="103" t="s">
        <v>3754</v>
      </c>
      <c r="L2089" s="103" t="s">
        <v>0</v>
      </c>
      <c r="M2089" s="104"/>
      <c r="N2089" s="104"/>
      <c r="O2089" s="104"/>
      <c r="P2089" s="104">
        <v>155453.4</v>
      </c>
      <c r="Q2089" s="87">
        <f t="shared" si="88"/>
        <v>0</v>
      </c>
      <c r="R2089" s="105"/>
      <c r="S2089" s="105"/>
      <c r="T2089" s="105"/>
      <c r="U2089" s="105"/>
      <c r="V2089" s="73">
        <f t="shared" si="87"/>
        <v>0</v>
      </c>
      <c r="W2089" s="106"/>
      <c r="X2089" s="64"/>
    </row>
    <row r="2090" spans="1:24" s="66" customFormat="1" ht="12" hidden="1" customHeight="1">
      <c r="A2090" s="102" t="s">
        <v>2407</v>
      </c>
      <c r="B2090" s="102"/>
      <c r="C2090" s="102"/>
      <c r="D2090" s="102"/>
      <c r="E2090" s="102"/>
      <c r="F2090" s="102"/>
      <c r="G2090" s="102"/>
      <c r="H2090" s="102"/>
      <c r="I2090" s="101" t="s">
        <v>1937</v>
      </c>
      <c r="J2090" s="101" t="s">
        <v>2408</v>
      </c>
      <c r="K2090" s="103" t="s">
        <v>3755</v>
      </c>
      <c r="L2090" s="103" t="s">
        <v>0</v>
      </c>
      <c r="M2090" s="104"/>
      <c r="N2090" s="104"/>
      <c r="O2090" s="104"/>
      <c r="P2090" s="104">
        <v>183953.19</v>
      </c>
      <c r="Q2090" s="87">
        <f t="shared" si="88"/>
        <v>0</v>
      </c>
      <c r="R2090" s="105"/>
      <c r="S2090" s="105"/>
      <c r="T2090" s="105"/>
      <c r="U2090" s="105"/>
      <c r="V2090" s="73">
        <f t="shared" si="87"/>
        <v>0</v>
      </c>
      <c r="W2090" s="106"/>
      <c r="X2090" s="64"/>
    </row>
    <row r="2091" spans="1:24" s="66" customFormat="1" ht="12" hidden="1" customHeight="1">
      <c r="A2091" s="102" t="s">
        <v>2409</v>
      </c>
      <c r="B2091" s="102"/>
      <c r="C2091" s="102"/>
      <c r="D2091" s="102"/>
      <c r="E2091" s="102"/>
      <c r="F2091" s="102"/>
      <c r="G2091" s="102"/>
      <c r="H2091" s="102"/>
      <c r="I2091" s="101" t="s">
        <v>1938</v>
      </c>
      <c r="J2091" s="101" t="s">
        <v>2410</v>
      </c>
      <c r="K2091" s="103" t="s">
        <v>3746</v>
      </c>
      <c r="L2091" s="103" t="s">
        <v>0</v>
      </c>
      <c r="M2091" s="104"/>
      <c r="N2091" s="104"/>
      <c r="O2091" s="104"/>
      <c r="P2091" s="104">
        <v>11399.915999999999</v>
      </c>
      <c r="Q2091" s="87">
        <f t="shared" si="88"/>
        <v>0</v>
      </c>
      <c r="R2091" s="105"/>
      <c r="S2091" s="105"/>
      <c r="T2091" s="105"/>
      <c r="U2091" s="105"/>
      <c r="V2091" s="73">
        <f t="shared" si="87"/>
        <v>0</v>
      </c>
      <c r="W2091" s="106"/>
      <c r="X2091" s="64"/>
    </row>
    <row r="2092" spans="1:24" s="66" customFormat="1" ht="12" hidden="1" customHeight="1">
      <c r="A2092" s="102" t="s">
        <v>2411</v>
      </c>
      <c r="B2092" s="102"/>
      <c r="C2092" s="102"/>
      <c r="D2092" s="102"/>
      <c r="E2092" s="102"/>
      <c r="F2092" s="102"/>
      <c r="G2092" s="102"/>
      <c r="H2092" s="102"/>
      <c r="I2092" s="101" t="s">
        <v>1939</v>
      </c>
      <c r="J2092" s="101" t="s">
        <v>2412</v>
      </c>
      <c r="K2092" s="103" t="s">
        <v>3747</v>
      </c>
      <c r="L2092" s="103" t="s">
        <v>0</v>
      </c>
      <c r="M2092" s="104"/>
      <c r="N2092" s="104"/>
      <c r="O2092" s="104"/>
      <c r="P2092" s="104">
        <v>15286.251</v>
      </c>
      <c r="Q2092" s="87">
        <f t="shared" si="88"/>
        <v>0</v>
      </c>
      <c r="R2092" s="105"/>
      <c r="S2092" s="105"/>
      <c r="T2092" s="105"/>
      <c r="U2092" s="105"/>
      <c r="V2092" s="73">
        <f t="shared" si="87"/>
        <v>0</v>
      </c>
      <c r="W2092" s="106"/>
      <c r="X2092" s="64"/>
    </row>
    <row r="2093" spans="1:24" s="66" customFormat="1" ht="12" hidden="1" customHeight="1">
      <c r="A2093" s="102" t="s">
        <v>2413</v>
      </c>
      <c r="B2093" s="102"/>
      <c r="C2093" s="102"/>
      <c r="D2093" s="102"/>
      <c r="E2093" s="102"/>
      <c r="F2093" s="102"/>
      <c r="G2093" s="102"/>
      <c r="H2093" s="102"/>
      <c r="I2093" s="101" t="s">
        <v>1940</v>
      </c>
      <c r="J2093" s="101" t="s">
        <v>2414</v>
      </c>
      <c r="K2093" s="103" t="s">
        <v>3748</v>
      </c>
      <c r="L2093" s="103" t="s">
        <v>0</v>
      </c>
      <c r="M2093" s="104"/>
      <c r="N2093" s="104"/>
      <c r="O2093" s="104"/>
      <c r="P2093" s="104">
        <v>18654.407999999999</v>
      </c>
      <c r="Q2093" s="87">
        <f t="shared" si="88"/>
        <v>0</v>
      </c>
      <c r="R2093" s="105"/>
      <c r="S2093" s="105"/>
      <c r="T2093" s="105"/>
      <c r="U2093" s="105"/>
      <c r="V2093" s="73">
        <f t="shared" si="87"/>
        <v>0</v>
      </c>
      <c r="W2093" s="106"/>
      <c r="X2093" s="64"/>
    </row>
    <row r="2094" spans="1:24" s="66" customFormat="1" ht="12" hidden="1" customHeight="1">
      <c r="A2094" s="102" t="s">
        <v>2415</v>
      </c>
      <c r="B2094" s="102"/>
      <c r="C2094" s="102"/>
      <c r="D2094" s="102"/>
      <c r="E2094" s="102"/>
      <c r="F2094" s="102"/>
      <c r="G2094" s="102"/>
      <c r="H2094" s="102"/>
      <c r="I2094" s="101" t="s">
        <v>1941</v>
      </c>
      <c r="J2094" s="101" t="s">
        <v>2416</v>
      </c>
      <c r="K2094" s="103" t="s">
        <v>3749</v>
      </c>
      <c r="L2094" s="103" t="s">
        <v>0</v>
      </c>
      <c r="M2094" s="104"/>
      <c r="N2094" s="104"/>
      <c r="O2094" s="104"/>
      <c r="P2094" s="104">
        <v>22540.742999999999</v>
      </c>
      <c r="Q2094" s="87">
        <f t="shared" si="88"/>
        <v>0</v>
      </c>
      <c r="R2094" s="105"/>
      <c r="S2094" s="105"/>
      <c r="T2094" s="105"/>
      <c r="U2094" s="105"/>
      <c r="V2094" s="73">
        <f t="shared" si="87"/>
        <v>0</v>
      </c>
      <c r="W2094" s="106"/>
      <c r="X2094" s="64"/>
    </row>
    <row r="2095" spans="1:24" s="66" customFormat="1" ht="12" hidden="1" customHeight="1">
      <c r="A2095" s="102" t="s">
        <v>2417</v>
      </c>
      <c r="B2095" s="102"/>
      <c r="C2095" s="102"/>
      <c r="D2095" s="102"/>
      <c r="E2095" s="102"/>
      <c r="F2095" s="102"/>
      <c r="G2095" s="102"/>
      <c r="H2095" s="102"/>
      <c r="I2095" s="101" t="s">
        <v>1942</v>
      </c>
      <c r="J2095" s="101" t="s">
        <v>2418</v>
      </c>
      <c r="K2095" s="103" t="s">
        <v>3750</v>
      </c>
      <c r="L2095" s="103" t="s">
        <v>0</v>
      </c>
      <c r="M2095" s="104"/>
      <c r="N2095" s="104"/>
      <c r="O2095" s="104"/>
      <c r="P2095" s="104">
        <v>26945.256000000001</v>
      </c>
      <c r="Q2095" s="87">
        <f t="shared" si="88"/>
        <v>0</v>
      </c>
      <c r="R2095" s="105"/>
      <c r="S2095" s="105"/>
      <c r="T2095" s="105"/>
      <c r="U2095" s="105"/>
      <c r="V2095" s="73">
        <f t="shared" si="87"/>
        <v>0</v>
      </c>
      <c r="W2095" s="106"/>
      <c r="X2095" s="64"/>
    </row>
    <row r="2096" spans="1:24" s="66" customFormat="1" ht="12" hidden="1" customHeight="1">
      <c r="A2096" s="102" t="s">
        <v>2419</v>
      </c>
      <c r="B2096" s="102"/>
      <c r="C2096" s="102"/>
      <c r="D2096" s="102"/>
      <c r="E2096" s="102"/>
      <c r="F2096" s="102"/>
      <c r="G2096" s="102"/>
      <c r="H2096" s="102"/>
      <c r="I2096" s="101" t="s">
        <v>1943</v>
      </c>
      <c r="J2096" s="101" t="s">
        <v>2420</v>
      </c>
      <c r="K2096" s="103" t="s">
        <v>3751</v>
      </c>
      <c r="L2096" s="103" t="s">
        <v>0</v>
      </c>
      <c r="M2096" s="104"/>
      <c r="N2096" s="104"/>
      <c r="O2096" s="104"/>
      <c r="P2096" s="104">
        <v>35236.103999999999</v>
      </c>
      <c r="Q2096" s="87">
        <f t="shared" si="88"/>
        <v>0</v>
      </c>
      <c r="R2096" s="105"/>
      <c r="S2096" s="105"/>
      <c r="T2096" s="105"/>
      <c r="U2096" s="105"/>
      <c r="V2096" s="73">
        <f t="shared" si="87"/>
        <v>0</v>
      </c>
      <c r="W2096" s="106"/>
      <c r="X2096" s="64"/>
    </row>
    <row r="2097" spans="1:24" s="66" customFormat="1" ht="12" hidden="1" customHeight="1">
      <c r="A2097" s="102" t="s">
        <v>2421</v>
      </c>
      <c r="B2097" s="102"/>
      <c r="C2097" s="102"/>
      <c r="D2097" s="102"/>
      <c r="E2097" s="102"/>
      <c r="F2097" s="102"/>
      <c r="G2097" s="102"/>
      <c r="H2097" s="102"/>
      <c r="I2097" s="101" t="s">
        <v>1944</v>
      </c>
      <c r="J2097" s="101" t="s">
        <v>2422</v>
      </c>
      <c r="K2097" s="103" t="s">
        <v>3752</v>
      </c>
      <c r="L2097" s="103" t="s">
        <v>0</v>
      </c>
      <c r="M2097" s="104"/>
      <c r="N2097" s="104"/>
      <c r="O2097" s="104"/>
      <c r="P2097" s="104">
        <v>40417.883999999998</v>
      </c>
      <c r="Q2097" s="87">
        <f t="shared" si="88"/>
        <v>0</v>
      </c>
      <c r="R2097" s="105"/>
      <c r="S2097" s="105"/>
      <c r="T2097" s="105"/>
      <c r="U2097" s="105"/>
      <c r="V2097" s="73">
        <f t="shared" si="87"/>
        <v>0</v>
      </c>
      <c r="W2097" s="106"/>
      <c r="X2097" s="64"/>
    </row>
    <row r="2098" spans="1:24" s="66" customFormat="1" ht="12" hidden="1" customHeight="1">
      <c r="A2098" s="102" t="s">
        <v>2423</v>
      </c>
      <c r="B2098" s="102"/>
      <c r="C2098" s="102"/>
      <c r="D2098" s="102"/>
      <c r="E2098" s="102"/>
      <c r="F2098" s="102"/>
      <c r="G2098" s="102"/>
      <c r="H2098" s="102"/>
      <c r="I2098" s="101" t="s">
        <v>1945</v>
      </c>
      <c r="J2098" s="101" t="s">
        <v>2424</v>
      </c>
      <c r="K2098" s="103" t="s">
        <v>3753</v>
      </c>
      <c r="L2098" s="103" t="s">
        <v>0</v>
      </c>
      <c r="M2098" s="104"/>
      <c r="N2098" s="104"/>
      <c r="O2098" s="104"/>
      <c r="P2098" s="104">
        <v>45599.663999999997</v>
      </c>
      <c r="Q2098" s="87">
        <f t="shared" si="88"/>
        <v>0</v>
      </c>
      <c r="R2098" s="105"/>
      <c r="S2098" s="105"/>
      <c r="T2098" s="105"/>
      <c r="U2098" s="105"/>
      <c r="V2098" s="73">
        <f t="shared" ref="V2098:V2161" si="89">SUM(O2098+Q2098)+S2098+U2098</f>
        <v>0</v>
      </c>
      <c r="W2098" s="106"/>
      <c r="X2098" s="64"/>
    </row>
    <row r="2099" spans="1:24" s="66" customFormat="1" ht="12" hidden="1" customHeight="1">
      <c r="A2099" s="102" t="s">
        <v>2425</v>
      </c>
      <c r="B2099" s="102"/>
      <c r="C2099" s="102"/>
      <c r="D2099" s="102"/>
      <c r="E2099" s="102"/>
      <c r="F2099" s="102"/>
      <c r="G2099" s="102"/>
      <c r="H2099" s="102"/>
      <c r="I2099" s="101" t="s">
        <v>2426</v>
      </c>
      <c r="J2099" s="101" t="s">
        <v>2427</v>
      </c>
      <c r="K2099" s="103" t="s">
        <v>3754</v>
      </c>
      <c r="L2099" s="103" t="s">
        <v>0</v>
      </c>
      <c r="M2099" s="104"/>
      <c r="N2099" s="104"/>
      <c r="O2099" s="104"/>
      <c r="P2099" s="104">
        <v>50781.444000000003</v>
      </c>
      <c r="Q2099" s="87">
        <f t="shared" si="88"/>
        <v>0</v>
      </c>
      <c r="R2099" s="105"/>
      <c r="S2099" s="105"/>
      <c r="T2099" s="105"/>
      <c r="U2099" s="105"/>
      <c r="V2099" s="73">
        <f t="shared" si="89"/>
        <v>0</v>
      </c>
      <c r="W2099" s="106"/>
      <c r="X2099" s="64"/>
    </row>
    <row r="2100" spans="1:24" s="66" customFormat="1" ht="12" hidden="1" customHeight="1">
      <c r="A2100" s="102" t="s">
        <v>2428</v>
      </c>
      <c r="B2100" s="102"/>
      <c r="C2100" s="102"/>
      <c r="D2100" s="102"/>
      <c r="E2100" s="102"/>
      <c r="F2100" s="102"/>
      <c r="G2100" s="102"/>
      <c r="H2100" s="102"/>
      <c r="I2100" s="101" t="s">
        <v>1946</v>
      </c>
      <c r="J2100" s="101" t="s">
        <v>2429</v>
      </c>
      <c r="K2100" s="103" t="s">
        <v>3755</v>
      </c>
      <c r="L2100" s="103" t="s">
        <v>0</v>
      </c>
      <c r="M2100" s="104"/>
      <c r="N2100" s="104"/>
      <c r="O2100" s="104"/>
      <c r="P2100" s="104">
        <v>55963.224000000002</v>
      </c>
      <c r="Q2100" s="87">
        <f t="shared" si="88"/>
        <v>0</v>
      </c>
      <c r="R2100" s="104"/>
      <c r="S2100" s="104"/>
      <c r="T2100" s="104"/>
      <c r="U2100" s="104"/>
      <c r="V2100" s="87">
        <f t="shared" si="89"/>
        <v>0</v>
      </c>
      <c r="W2100" s="106"/>
      <c r="X2100" s="64"/>
    </row>
    <row r="2101" spans="1:24" s="66" customFormat="1" ht="12" hidden="1" customHeight="1">
      <c r="A2101" s="83" t="s">
        <v>4061</v>
      </c>
      <c r="B2101" s="83"/>
      <c r="C2101" s="83"/>
      <c r="D2101" s="83"/>
      <c r="E2101" s="83"/>
      <c r="F2101" s="83"/>
      <c r="G2101" s="83"/>
      <c r="H2101" s="83"/>
      <c r="I2101" s="84" t="s">
        <v>4062</v>
      </c>
      <c r="J2101" s="84" t="s">
        <v>4063</v>
      </c>
      <c r="K2101" s="85" t="s">
        <v>4074</v>
      </c>
      <c r="L2101" s="85" t="s">
        <v>0</v>
      </c>
      <c r="M2101" s="104"/>
      <c r="N2101" s="104"/>
      <c r="O2101" s="104"/>
      <c r="P2101" s="91">
        <v>46636.02</v>
      </c>
      <c r="Q2101" s="87">
        <f t="shared" si="88"/>
        <v>0</v>
      </c>
      <c r="R2101" s="104"/>
      <c r="S2101" s="104"/>
      <c r="T2101" s="104"/>
      <c r="U2101" s="104"/>
      <c r="V2101" s="87">
        <f t="shared" si="89"/>
        <v>0</v>
      </c>
      <c r="W2101" s="106"/>
      <c r="X2101" s="64"/>
    </row>
    <row r="2102" spans="1:24" s="66" customFormat="1" ht="12" hidden="1" customHeight="1">
      <c r="A2102" s="83" t="s">
        <v>4064</v>
      </c>
      <c r="B2102" s="83"/>
      <c r="C2102" s="83"/>
      <c r="D2102" s="83"/>
      <c r="E2102" s="83"/>
      <c r="F2102" s="83"/>
      <c r="G2102" s="83"/>
      <c r="H2102" s="83"/>
      <c r="I2102" s="84" t="s">
        <v>1827</v>
      </c>
      <c r="J2102" s="84" t="s">
        <v>4065</v>
      </c>
      <c r="K2102" s="85" t="s">
        <v>4075</v>
      </c>
      <c r="L2102" s="85" t="s">
        <v>0</v>
      </c>
      <c r="M2102" s="104"/>
      <c r="N2102" s="104"/>
      <c r="O2102" s="104"/>
      <c r="P2102" s="91">
        <v>59590.47</v>
      </c>
      <c r="Q2102" s="87">
        <f t="shared" si="88"/>
        <v>0</v>
      </c>
      <c r="R2102" s="104"/>
      <c r="S2102" s="104"/>
      <c r="T2102" s="104"/>
      <c r="U2102" s="104"/>
      <c r="V2102" s="87">
        <f t="shared" si="89"/>
        <v>0</v>
      </c>
      <c r="W2102" s="106"/>
      <c r="X2102" s="64"/>
    </row>
    <row r="2103" spans="1:24" s="66" customFormat="1" ht="12" hidden="1" customHeight="1">
      <c r="A2103" s="83" t="s">
        <v>4066</v>
      </c>
      <c r="B2103" s="83"/>
      <c r="C2103" s="83"/>
      <c r="D2103" s="83"/>
      <c r="E2103" s="83"/>
      <c r="F2103" s="83"/>
      <c r="G2103" s="83"/>
      <c r="H2103" s="83"/>
      <c r="I2103" s="84" t="s">
        <v>1828</v>
      </c>
      <c r="J2103" s="84" t="s">
        <v>4067</v>
      </c>
      <c r="K2103" s="85" t="s">
        <v>4076</v>
      </c>
      <c r="L2103" s="85" t="s">
        <v>0</v>
      </c>
      <c r="M2103" s="104"/>
      <c r="N2103" s="104"/>
      <c r="O2103" s="104"/>
      <c r="P2103" s="91">
        <v>77726.7</v>
      </c>
      <c r="Q2103" s="87">
        <f t="shared" si="88"/>
        <v>0</v>
      </c>
      <c r="R2103" s="104"/>
      <c r="S2103" s="104"/>
      <c r="T2103" s="104"/>
      <c r="U2103" s="104"/>
      <c r="V2103" s="87">
        <f t="shared" si="89"/>
        <v>0</v>
      </c>
      <c r="W2103" s="106"/>
      <c r="X2103" s="64"/>
    </row>
    <row r="2104" spans="1:24" s="66" customFormat="1" ht="12" hidden="1" customHeight="1">
      <c r="A2104" s="83" t="s">
        <v>4068</v>
      </c>
      <c r="B2104" s="83"/>
      <c r="C2104" s="83"/>
      <c r="D2104" s="83"/>
      <c r="E2104" s="83"/>
      <c r="F2104" s="83"/>
      <c r="G2104" s="83"/>
      <c r="H2104" s="83"/>
      <c r="I2104" s="84" t="s">
        <v>1829</v>
      </c>
      <c r="J2104" s="84" t="s">
        <v>4069</v>
      </c>
      <c r="K2104" s="85" t="s">
        <v>4077</v>
      </c>
      <c r="L2104" s="85" t="s">
        <v>0</v>
      </c>
      <c r="M2104" s="104"/>
      <c r="N2104" s="104"/>
      <c r="O2104" s="104"/>
      <c r="P2104" s="91">
        <v>93272.04</v>
      </c>
      <c r="Q2104" s="87">
        <f t="shared" si="88"/>
        <v>0</v>
      </c>
      <c r="R2104" s="104"/>
      <c r="S2104" s="104"/>
      <c r="T2104" s="104"/>
      <c r="U2104" s="104"/>
      <c r="V2104" s="87">
        <f t="shared" si="89"/>
        <v>0</v>
      </c>
      <c r="W2104" s="106"/>
      <c r="X2104" s="64"/>
    </row>
    <row r="2105" spans="1:24" s="66" customFormat="1" ht="12" hidden="1" customHeight="1">
      <c r="A2105" s="83" t="s">
        <v>4070</v>
      </c>
      <c r="B2105" s="83"/>
      <c r="C2105" s="83"/>
      <c r="D2105" s="83"/>
      <c r="E2105" s="83"/>
      <c r="F2105" s="83"/>
      <c r="G2105" s="83"/>
      <c r="H2105" s="83"/>
      <c r="I2105" s="84" t="s">
        <v>1830</v>
      </c>
      <c r="J2105" s="84" t="s">
        <v>4071</v>
      </c>
      <c r="K2105" s="85" t="s">
        <v>4078</v>
      </c>
      <c r="L2105" s="85" t="s">
        <v>0</v>
      </c>
      <c r="M2105" s="104"/>
      <c r="N2105" s="104"/>
      <c r="O2105" s="104"/>
      <c r="P2105" s="91">
        <v>124362.72</v>
      </c>
      <c r="Q2105" s="87">
        <f t="shared" si="88"/>
        <v>0</v>
      </c>
      <c r="R2105" s="104"/>
      <c r="S2105" s="104"/>
      <c r="T2105" s="104"/>
      <c r="U2105" s="104"/>
      <c r="V2105" s="87">
        <f t="shared" si="89"/>
        <v>0</v>
      </c>
      <c r="W2105" s="106"/>
      <c r="X2105" s="64"/>
    </row>
    <row r="2106" spans="1:24" s="66" customFormat="1" ht="12" hidden="1" customHeight="1">
      <c r="A2106" s="92" t="s">
        <v>4072</v>
      </c>
      <c r="B2106" s="92"/>
      <c r="C2106" s="92"/>
      <c r="D2106" s="92"/>
      <c r="E2106" s="92"/>
      <c r="F2106" s="92"/>
      <c r="G2106" s="92"/>
      <c r="H2106" s="92"/>
      <c r="I2106" s="93" t="s">
        <v>1831</v>
      </c>
      <c r="J2106" s="93" t="s">
        <v>4073</v>
      </c>
      <c r="K2106" s="94" t="s">
        <v>4079</v>
      </c>
      <c r="L2106" s="94" t="s">
        <v>0</v>
      </c>
      <c r="M2106" s="104"/>
      <c r="N2106" s="104"/>
      <c r="O2106" s="104"/>
      <c r="P2106" s="95">
        <v>139908.06</v>
      </c>
      <c r="Q2106" s="87">
        <f t="shared" si="88"/>
        <v>0</v>
      </c>
      <c r="R2106" s="104"/>
      <c r="S2106" s="104"/>
      <c r="T2106" s="104"/>
      <c r="U2106" s="104"/>
      <c r="V2106" s="87">
        <f t="shared" si="89"/>
        <v>0</v>
      </c>
      <c r="W2106" s="106"/>
      <c r="X2106" s="64"/>
    </row>
    <row r="2107" spans="1:24" s="66" customFormat="1" ht="12" hidden="1" customHeight="1">
      <c r="A2107" s="92" t="s">
        <v>2430</v>
      </c>
      <c r="B2107" s="92"/>
      <c r="C2107" s="92"/>
      <c r="D2107" s="92"/>
      <c r="E2107" s="92"/>
      <c r="F2107" s="92"/>
      <c r="G2107" s="92"/>
      <c r="H2107" s="92"/>
      <c r="I2107" s="93" t="s">
        <v>2193</v>
      </c>
      <c r="J2107" s="93" t="s">
        <v>3550</v>
      </c>
      <c r="K2107" s="93" t="s">
        <v>3551</v>
      </c>
      <c r="L2107" s="93" t="s">
        <v>977</v>
      </c>
      <c r="M2107" s="104"/>
      <c r="N2107" s="104"/>
      <c r="O2107" s="104"/>
      <c r="P2107" s="95">
        <v>1428992.4</v>
      </c>
      <c r="Q2107" s="87">
        <f t="shared" si="88"/>
        <v>0</v>
      </c>
      <c r="R2107" s="105"/>
      <c r="S2107" s="105"/>
      <c r="T2107" s="105"/>
      <c r="U2107" s="105"/>
      <c r="V2107" s="87">
        <f t="shared" si="89"/>
        <v>0</v>
      </c>
      <c r="W2107" s="106"/>
      <c r="X2107" s="64"/>
    </row>
    <row r="2108" spans="1:24" s="66" customFormat="1" ht="12" hidden="1" customHeight="1">
      <c r="A2108" s="92" t="s">
        <v>2431</v>
      </c>
      <c r="B2108" s="92"/>
      <c r="C2108" s="92"/>
      <c r="D2108" s="92"/>
      <c r="E2108" s="92"/>
      <c r="F2108" s="92"/>
      <c r="G2108" s="92"/>
      <c r="H2108" s="92"/>
      <c r="I2108" s="93" t="s">
        <v>2432</v>
      </c>
      <c r="J2108" s="93" t="s">
        <v>2433</v>
      </c>
      <c r="K2108" s="93" t="s">
        <v>2434</v>
      </c>
      <c r="L2108" s="93" t="s">
        <v>977</v>
      </c>
      <c r="M2108" s="104"/>
      <c r="N2108" s="104"/>
      <c r="O2108" s="104"/>
      <c r="P2108" s="95">
        <v>1818428.1</v>
      </c>
      <c r="Q2108" s="87">
        <f t="shared" si="88"/>
        <v>0</v>
      </c>
      <c r="R2108" s="105"/>
      <c r="S2108" s="105"/>
      <c r="T2108" s="105"/>
      <c r="U2108" s="105"/>
      <c r="V2108" s="87">
        <f t="shared" si="89"/>
        <v>0</v>
      </c>
      <c r="W2108" s="106"/>
      <c r="X2108" s="64"/>
    </row>
    <row r="2109" spans="1:24" s="66" customFormat="1" ht="12" hidden="1" customHeight="1">
      <c r="A2109" s="92" t="s">
        <v>4080</v>
      </c>
      <c r="B2109" s="92"/>
      <c r="C2109" s="92"/>
      <c r="D2109" s="92"/>
      <c r="E2109" s="92"/>
      <c r="F2109" s="92"/>
      <c r="G2109" s="92"/>
      <c r="H2109" s="92"/>
      <c r="I2109" s="93" t="s">
        <v>4081</v>
      </c>
      <c r="J2109" s="93" t="s">
        <v>4082</v>
      </c>
      <c r="K2109" s="94" t="s">
        <v>4202</v>
      </c>
      <c r="L2109" s="103"/>
      <c r="M2109" s="104"/>
      <c r="N2109" s="104"/>
      <c r="O2109" s="104"/>
      <c r="P2109" s="95">
        <v>1558277</v>
      </c>
      <c r="Q2109" s="87">
        <f t="shared" si="88"/>
        <v>0</v>
      </c>
      <c r="R2109" s="105"/>
      <c r="S2109" s="105"/>
      <c r="T2109" s="105"/>
      <c r="U2109" s="105"/>
      <c r="V2109" s="87">
        <f t="shared" si="89"/>
        <v>0</v>
      </c>
      <c r="W2109" s="106"/>
      <c r="X2109" s="64"/>
    </row>
    <row r="2110" spans="1:24" s="66" customFormat="1" ht="12" hidden="1" customHeight="1">
      <c r="A2110" s="92" t="s">
        <v>4083</v>
      </c>
      <c r="B2110" s="92"/>
      <c r="C2110" s="92"/>
      <c r="D2110" s="92"/>
      <c r="E2110" s="92"/>
      <c r="F2110" s="92"/>
      <c r="G2110" s="92"/>
      <c r="H2110" s="92"/>
      <c r="I2110" s="93" t="s">
        <v>4084</v>
      </c>
      <c r="J2110" s="93" t="s">
        <v>4085</v>
      </c>
      <c r="K2110" s="93" t="s">
        <v>4086</v>
      </c>
      <c r="L2110" s="93" t="s">
        <v>4087</v>
      </c>
      <c r="M2110" s="104"/>
      <c r="N2110" s="104"/>
      <c r="O2110" s="104"/>
      <c r="P2110" s="95">
        <v>5738771.1500000004</v>
      </c>
      <c r="Q2110" s="87">
        <f t="shared" si="88"/>
        <v>0</v>
      </c>
      <c r="R2110" s="105"/>
      <c r="S2110" s="105"/>
      <c r="T2110" s="105"/>
      <c r="U2110" s="105"/>
      <c r="V2110" s="87">
        <f t="shared" si="89"/>
        <v>0</v>
      </c>
      <c r="W2110" s="106"/>
      <c r="X2110" s="64"/>
    </row>
    <row r="2111" spans="1:24" s="66" customFormat="1" ht="12" hidden="1" customHeight="1">
      <c r="A2111" s="92" t="s">
        <v>4088</v>
      </c>
      <c r="B2111" s="92"/>
      <c r="C2111" s="92"/>
      <c r="D2111" s="92"/>
      <c r="E2111" s="92"/>
      <c r="F2111" s="92"/>
      <c r="G2111" s="92"/>
      <c r="H2111" s="92"/>
      <c r="I2111" s="93" t="s">
        <v>4089</v>
      </c>
      <c r="J2111" s="93" t="s">
        <v>4090</v>
      </c>
      <c r="K2111" s="93" t="s">
        <v>4086</v>
      </c>
      <c r="L2111" s="93" t="s">
        <v>4087</v>
      </c>
      <c r="M2111" s="104"/>
      <c r="N2111" s="104"/>
      <c r="O2111" s="104"/>
      <c r="P2111" s="95">
        <v>4821097.0999999996</v>
      </c>
      <c r="Q2111" s="87">
        <f t="shared" si="88"/>
        <v>0</v>
      </c>
      <c r="R2111" s="105"/>
      <c r="S2111" s="105"/>
      <c r="T2111" s="105"/>
      <c r="U2111" s="105"/>
      <c r="V2111" s="87">
        <f t="shared" si="89"/>
        <v>0</v>
      </c>
      <c r="W2111" s="106"/>
      <c r="X2111" s="64"/>
    </row>
    <row r="2112" spans="1:24" s="66" customFormat="1" ht="12" hidden="1" customHeight="1">
      <c r="A2112" s="92" t="s">
        <v>4191</v>
      </c>
      <c r="B2112" s="92"/>
      <c r="C2112" s="92"/>
      <c r="D2112" s="92"/>
      <c r="E2112" s="92"/>
      <c r="F2112" s="92"/>
      <c r="G2112" s="92"/>
      <c r="H2112" s="92"/>
      <c r="I2112" s="93" t="s">
        <v>4192</v>
      </c>
      <c r="J2112" s="93" t="s">
        <v>4193</v>
      </c>
      <c r="K2112" s="93" t="s">
        <v>4194</v>
      </c>
      <c r="L2112" s="93" t="s">
        <v>4195</v>
      </c>
      <c r="M2112" s="104"/>
      <c r="N2112" s="104"/>
      <c r="O2112" s="104"/>
      <c r="P2112" s="95">
        <v>7772.67</v>
      </c>
      <c r="Q2112" s="87">
        <f t="shared" si="88"/>
        <v>0</v>
      </c>
      <c r="R2112" s="105"/>
      <c r="S2112" s="105"/>
      <c r="T2112" s="105"/>
      <c r="U2112" s="105"/>
      <c r="V2112" s="87">
        <f t="shared" si="89"/>
        <v>0</v>
      </c>
      <c r="W2112" s="106"/>
      <c r="X2112" s="64"/>
    </row>
    <row r="2113" spans="1:24" s="66" customFormat="1" ht="12" hidden="1" customHeight="1">
      <c r="A2113" s="92" t="s">
        <v>4196</v>
      </c>
      <c r="B2113" s="92"/>
      <c r="C2113" s="92"/>
      <c r="D2113" s="92"/>
      <c r="E2113" s="92"/>
      <c r="F2113" s="92"/>
      <c r="G2113" s="92"/>
      <c r="H2113" s="92"/>
      <c r="I2113" s="93" t="s">
        <v>4197</v>
      </c>
      <c r="J2113" s="93" t="s">
        <v>4198</v>
      </c>
      <c r="K2113" s="93" t="s">
        <v>4204</v>
      </c>
      <c r="L2113" s="93" t="s">
        <v>20</v>
      </c>
      <c r="M2113" s="104"/>
      <c r="N2113" s="104"/>
      <c r="O2113" s="104"/>
      <c r="P2113" s="95">
        <v>31090.68</v>
      </c>
      <c r="Q2113" s="87">
        <f t="shared" si="88"/>
        <v>0</v>
      </c>
      <c r="R2113" s="105"/>
      <c r="S2113" s="105"/>
      <c r="T2113" s="105"/>
      <c r="U2113" s="105"/>
      <c r="V2113" s="87">
        <f t="shared" si="89"/>
        <v>0</v>
      </c>
      <c r="W2113" s="106"/>
      <c r="X2113" s="64"/>
    </row>
    <row r="2114" spans="1:24" s="66" customFormat="1" ht="12" hidden="1" customHeight="1">
      <c r="A2114" s="92" t="s">
        <v>4199</v>
      </c>
      <c r="B2114" s="92"/>
      <c r="C2114" s="92"/>
      <c r="D2114" s="92"/>
      <c r="E2114" s="92"/>
      <c r="F2114" s="92"/>
      <c r="G2114" s="92"/>
      <c r="H2114" s="92"/>
      <c r="I2114" s="93" t="s">
        <v>4200</v>
      </c>
      <c r="J2114" s="93" t="s">
        <v>4185</v>
      </c>
      <c r="K2114" s="93" t="s">
        <v>4201</v>
      </c>
      <c r="L2114" s="93" t="s">
        <v>20</v>
      </c>
      <c r="M2114" s="104"/>
      <c r="N2114" s="104"/>
      <c r="O2114" s="104"/>
      <c r="P2114" s="95">
        <v>10622.648999999999</v>
      </c>
      <c r="Q2114" s="87">
        <f t="shared" si="88"/>
        <v>0</v>
      </c>
      <c r="R2114" s="105"/>
      <c r="S2114" s="105"/>
      <c r="T2114" s="105"/>
      <c r="U2114" s="105"/>
      <c r="V2114" s="87">
        <f t="shared" si="89"/>
        <v>0</v>
      </c>
      <c r="W2114" s="106"/>
      <c r="X2114" s="64"/>
    </row>
    <row r="2115" spans="1:24" s="66" customFormat="1" ht="12" hidden="1" customHeight="1">
      <c r="A2115" s="92" t="s">
        <v>4091</v>
      </c>
      <c r="B2115" s="92"/>
      <c r="C2115" s="92"/>
      <c r="D2115" s="92"/>
      <c r="E2115" s="92"/>
      <c r="F2115" s="92"/>
      <c r="G2115" s="92"/>
      <c r="H2115" s="92"/>
      <c r="I2115" s="93" t="s">
        <v>1948</v>
      </c>
      <c r="J2115" s="93" t="s">
        <v>4092</v>
      </c>
      <c r="K2115" s="94" t="s">
        <v>4093</v>
      </c>
      <c r="L2115" s="93" t="s">
        <v>20</v>
      </c>
      <c r="M2115" s="104"/>
      <c r="N2115" s="104"/>
      <c r="O2115" s="104"/>
      <c r="P2115" s="95">
        <v>31090.68</v>
      </c>
      <c r="Q2115" s="87">
        <f t="shared" si="88"/>
        <v>0</v>
      </c>
      <c r="R2115" s="105"/>
      <c r="S2115" s="105"/>
      <c r="T2115" s="105"/>
      <c r="U2115" s="105"/>
      <c r="V2115" s="87">
        <f t="shared" si="89"/>
        <v>0</v>
      </c>
      <c r="W2115" s="106"/>
      <c r="X2115" s="64"/>
    </row>
    <row r="2116" spans="1:24" s="66" customFormat="1" ht="12" hidden="1" customHeight="1">
      <c r="A2116" s="92" t="s">
        <v>4094</v>
      </c>
      <c r="B2116" s="92"/>
      <c r="C2116" s="92"/>
      <c r="D2116" s="92"/>
      <c r="E2116" s="92"/>
      <c r="F2116" s="92"/>
      <c r="G2116" s="92"/>
      <c r="H2116" s="92"/>
      <c r="I2116" s="93" t="s">
        <v>1949</v>
      </c>
      <c r="J2116" s="93" t="s">
        <v>4095</v>
      </c>
      <c r="K2116" s="93" t="s">
        <v>4096</v>
      </c>
      <c r="L2116" s="93" t="s">
        <v>20</v>
      </c>
      <c r="M2116" s="104"/>
      <c r="N2116" s="104"/>
      <c r="O2116" s="104"/>
      <c r="P2116" s="95">
        <v>51817.8</v>
      </c>
      <c r="Q2116" s="87">
        <f t="shared" si="88"/>
        <v>0</v>
      </c>
      <c r="R2116" s="105"/>
      <c r="S2116" s="105"/>
      <c r="T2116" s="105"/>
      <c r="U2116" s="105"/>
      <c r="V2116" s="87">
        <f t="shared" si="89"/>
        <v>0</v>
      </c>
      <c r="W2116" s="106"/>
      <c r="X2116" s="64"/>
    </row>
    <row r="2117" spans="1:24" s="66" customFormat="1" ht="12" hidden="1" customHeight="1">
      <c r="A2117" s="92" t="s">
        <v>4097</v>
      </c>
      <c r="B2117" s="92"/>
      <c r="C2117" s="92"/>
      <c r="D2117" s="92"/>
      <c r="E2117" s="92"/>
      <c r="F2117" s="92"/>
      <c r="G2117" s="92"/>
      <c r="H2117" s="92"/>
      <c r="I2117" s="93" t="s">
        <v>1947</v>
      </c>
      <c r="J2117" s="93" t="s">
        <v>4098</v>
      </c>
      <c r="K2117" s="93" t="s">
        <v>4099</v>
      </c>
      <c r="L2117" s="93" t="s">
        <v>20</v>
      </c>
      <c r="M2117" s="104"/>
      <c r="N2117" s="104"/>
      <c r="O2117" s="104"/>
      <c r="P2117" s="95">
        <v>51817.8</v>
      </c>
      <c r="Q2117" s="87">
        <f t="shared" si="88"/>
        <v>0</v>
      </c>
      <c r="R2117" s="105"/>
      <c r="S2117" s="105"/>
      <c r="T2117" s="105"/>
      <c r="U2117" s="105"/>
      <c r="V2117" s="87">
        <f t="shared" si="89"/>
        <v>0</v>
      </c>
      <c r="W2117" s="106"/>
      <c r="X2117" s="64"/>
    </row>
    <row r="2118" spans="1:24" s="66" customFormat="1" ht="12" hidden="1" customHeight="1">
      <c r="A2118" s="92" t="s">
        <v>4100</v>
      </c>
      <c r="B2118" s="92"/>
      <c r="C2118" s="92"/>
      <c r="D2118" s="92"/>
      <c r="E2118" s="92"/>
      <c r="F2118" s="92"/>
      <c r="G2118" s="92"/>
      <c r="H2118" s="92"/>
      <c r="I2118" s="93" t="s">
        <v>4101</v>
      </c>
      <c r="J2118" s="93" t="s">
        <v>4102</v>
      </c>
      <c r="K2118" s="93" t="s">
        <v>4103</v>
      </c>
      <c r="L2118" s="93" t="s">
        <v>20</v>
      </c>
      <c r="M2118" s="104"/>
      <c r="N2118" s="104"/>
      <c r="O2118" s="104"/>
      <c r="P2118" s="95">
        <v>64772.25</v>
      </c>
      <c r="Q2118" s="87">
        <f t="shared" si="88"/>
        <v>0</v>
      </c>
      <c r="R2118" s="105"/>
      <c r="S2118" s="105"/>
      <c r="T2118" s="105"/>
      <c r="U2118" s="105"/>
      <c r="V2118" s="87">
        <f t="shared" si="89"/>
        <v>0</v>
      </c>
      <c r="W2118" s="106"/>
      <c r="X2118" s="64"/>
    </row>
    <row r="2119" spans="1:24" s="66" customFormat="1" ht="12" hidden="1" customHeight="1">
      <c r="A2119" s="92" t="s">
        <v>4104</v>
      </c>
      <c r="B2119" s="92"/>
      <c r="C2119" s="92"/>
      <c r="D2119" s="92"/>
      <c r="E2119" s="92"/>
      <c r="F2119" s="92"/>
      <c r="G2119" s="92"/>
      <c r="H2119" s="92"/>
      <c r="I2119" s="93" t="s">
        <v>1950</v>
      </c>
      <c r="J2119" s="93" t="s">
        <v>4105</v>
      </c>
      <c r="K2119" s="93" t="s">
        <v>4205</v>
      </c>
      <c r="L2119" s="93" t="s">
        <v>20</v>
      </c>
      <c r="M2119" s="104"/>
      <c r="N2119" s="104"/>
      <c r="O2119" s="104"/>
      <c r="P2119" s="95">
        <v>75135.81</v>
      </c>
      <c r="Q2119" s="87">
        <f t="shared" si="88"/>
        <v>0</v>
      </c>
      <c r="R2119" s="105"/>
      <c r="S2119" s="105"/>
      <c r="T2119" s="105"/>
      <c r="U2119" s="105"/>
      <c r="V2119" s="87">
        <f t="shared" si="89"/>
        <v>0</v>
      </c>
      <c r="W2119" s="106"/>
      <c r="X2119" s="64"/>
    </row>
    <row r="2120" spans="1:24" s="66" customFormat="1" ht="12" hidden="1" customHeight="1">
      <c r="A2120" s="92" t="s">
        <v>4106</v>
      </c>
      <c r="B2120" s="92"/>
      <c r="C2120" s="92"/>
      <c r="D2120" s="92"/>
      <c r="E2120" s="92"/>
      <c r="F2120" s="92"/>
      <c r="G2120" s="92"/>
      <c r="H2120" s="92"/>
      <c r="I2120" s="93" t="s">
        <v>4107</v>
      </c>
      <c r="J2120" s="93" t="s">
        <v>4108</v>
      </c>
      <c r="K2120" s="93" t="s">
        <v>4109</v>
      </c>
      <c r="L2120" s="93" t="s">
        <v>20</v>
      </c>
      <c r="M2120" s="104"/>
      <c r="N2120" s="104"/>
      <c r="O2120" s="104"/>
      <c r="P2120" s="95">
        <v>51817.8</v>
      </c>
      <c r="Q2120" s="87">
        <f t="shared" si="88"/>
        <v>0</v>
      </c>
      <c r="R2120" s="105"/>
      <c r="S2120" s="105"/>
      <c r="T2120" s="105"/>
      <c r="U2120" s="105"/>
      <c r="V2120" s="87">
        <f t="shared" si="89"/>
        <v>0</v>
      </c>
      <c r="W2120" s="106"/>
      <c r="X2120" s="64"/>
    </row>
    <row r="2121" spans="1:24" s="66" customFormat="1" ht="12" hidden="1" customHeight="1">
      <c r="A2121" s="92" t="s">
        <v>4110</v>
      </c>
      <c r="B2121" s="92"/>
      <c r="C2121" s="92"/>
      <c r="D2121" s="92"/>
      <c r="E2121" s="92"/>
      <c r="F2121" s="92"/>
      <c r="G2121" s="92"/>
      <c r="H2121" s="92"/>
      <c r="I2121" s="93" t="s">
        <v>2001</v>
      </c>
      <c r="J2121" s="93" t="s">
        <v>4111</v>
      </c>
      <c r="K2121" s="93" t="s">
        <v>4112</v>
      </c>
      <c r="L2121" s="93" t="s">
        <v>20</v>
      </c>
      <c r="M2121" s="104"/>
      <c r="N2121" s="104"/>
      <c r="O2121" s="104"/>
      <c r="P2121" s="95">
        <v>10363.56</v>
      </c>
      <c r="Q2121" s="87">
        <f t="shared" si="88"/>
        <v>0</v>
      </c>
      <c r="R2121" s="105"/>
      <c r="S2121" s="105"/>
      <c r="T2121" s="105"/>
      <c r="U2121" s="105"/>
      <c r="V2121" s="87">
        <f t="shared" si="89"/>
        <v>0</v>
      </c>
      <c r="W2121" s="106"/>
      <c r="X2121" s="64"/>
    </row>
    <row r="2122" spans="1:24" s="66" customFormat="1" ht="12" hidden="1" customHeight="1">
      <c r="A2122" s="92" t="s">
        <v>4113</v>
      </c>
      <c r="B2122" s="92"/>
      <c r="C2122" s="92"/>
      <c r="D2122" s="92"/>
      <c r="E2122" s="92"/>
      <c r="F2122" s="92"/>
      <c r="G2122" s="92"/>
      <c r="H2122" s="92"/>
      <c r="I2122" s="93" t="s">
        <v>4114</v>
      </c>
      <c r="J2122" s="93" t="s">
        <v>4115</v>
      </c>
      <c r="K2122" s="94" t="s">
        <v>4206</v>
      </c>
      <c r="L2122" s="93" t="s">
        <v>20</v>
      </c>
      <c r="M2122" s="104"/>
      <c r="N2122" s="104"/>
      <c r="O2122" s="104"/>
      <c r="P2122" s="95">
        <v>10363.56</v>
      </c>
      <c r="Q2122" s="87">
        <f t="shared" si="88"/>
        <v>0</v>
      </c>
      <c r="R2122" s="105"/>
      <c r="S2122" s="105"/>
      <c r="T2122" s="105"/>
      <c r="U2122" s="105"/>
      <c r="V2122" s="87">
        <f t="shared" si="89"/>
        <v>0</v>
      </c>
      <c r="W2122" s="106"/>
      <c r="X2122" s="64"/>
    </row>
    <row r="2123" spans="1:24" s="66" customFormat="1" ht="12" hidden="1" customHeight="1">
      <c r="A2123" s="92" t="s">
        <v>4116</v>
      </c>
      <c r="B2123" s="92"/>
      <c r="C2123" s="92"/>
      <c r="D2123" s="92"/>
      <c r="E2123" s="92"/>
      <c r="F2123" s="92"/>
      <c r="G2123" s="92"/>
      <c r="H2123" s="92"/>
      <c r="I2123" s="93" t="s">
        <v>4117</v>
      </c>
      <c r="J2123" s="93" t="s">
        <v>4118</v>
      </c>
      <c r="K2123" s="94" t="s">
        <v>4207</v>
      </c>
      <c r="L2123" s="93" t="s">
        <v>20</v>
      </c>
      <c r="M2123" s="104"/>
      <c r="N2123" s="104"/>
      <c r="O2123" s="104"/>
      <c r="P2123" s="95">
        <v>56999.58</v>
      </c>
      <c r="Q2123" s="87">
        <f t="shared" si="88"/>
        <v>0</v>
      </c>
      <c r="R2123" s="105"/>
      <c r="S2123" s="105"/>
      <c r="T2123" s="105"/>
      <c r="U2123" s="105"/>
      <c r="V2123" s="87">
        <f t="shared" si="89"/>
        <v>0</v>
      </c>
      <c r="W2123" s="106"/>
      <c r="X2123" s="64"/>
    </row>
    <row r="2124" spans="1:24" s="66" customFormat="1" ht="12" hidden="1" customHeight="1">
      <c r="A2124" s="92" t="s">
        <v>4119</v>
      </c>
      <c r="B2124" s="92"/>
      <c r="C2124" s="92"/>
      <c r="D2124" s="92"/>
      <c r="E2124" s="92"/>
      <c r="F2124" s="92"/>
      <c r="G2124" s="92"/>
      <c r="H2124" s="92"/>
      <c r="I2124" s="93" t="s">
        <v>4120</v>
      </c>
      <c r="J2124" s="93" t="s">
        <v>4121</v>
      </c>
      <c r="K2124" s="94" t="s">
        <v>4208</v>
      </c>
      <c r="L2124" s="93" t="s">
        <v>20</v>
      </c>
      <c r="M2124" s="104"/>
      <c r="N2124" s="104"/>
      <c r="O2124" s="104"/>
      <c r="P2124" s="95">
        <v>90681.15</v>
      </c>
      <c r="Q2124" s="87">
        <f t="shared" si="88"/>
        <v>0</v>
      </c>
      <c r="R2124" s="105"/>
      <c r="S2124" s="105"/>
      <c r="T2124" s="105"/>
      <c r="U2124" s="105"/>
      <c r="V2124" s="87">
        <f t="shared" si="89"/>
        <v>0</v>
      </c>
      <c r="W2124" s="106"/>
      <c r="X2124" s="64"/>
    </row>
    <row r="2125" spans="1:24" s="66" customFormat="1" ht="12" hidden="1" customHeight="1">
      <c r="A2125" s="92" t="s">
        <v>4122</v>
      </c>
      <c r="B2125" s="92"/>
      <c r="C2125" s="92"/>
      <c r="D2125" s="92"/>
      <c r="E2125" s="92"/>
      <c r="F2125" s="92"/>
      <c r="G2125" s="92"/>
      <c r="H2125" s="92"/>
      <c r="I2125" s="93" t="s">
        <v>4123</v>
      </c>
      <c r="J2125" s="93" t="s">
        <v>4124</v>
      </c>
      <c r="K2125" s="94" t="s">
        <v>4209</v>
      </c>
      <c r="L2125" s="93" t="s">
        <v>20</v>
      </c>
      <c r="M2125" s="104"/>
      <c r="N2125" s="104"/>
      <c r="O2125" s="104"/>
      <c r="P2125" s="95">
        <v>170998.74</v>
      </c>
      <c r="Q2125" s="87">
        <f t="shared" si="88"/>
        <v>0</v>
      </c>
      <c r="R2125" s="105"/>
      <c r="S2125" s="105"/>
      <c r="T2125" s="105"/>
      <c r="U2125" s="105"/>
      <c r="V2125" s="87">
        <f t="shared" si="89"/>
        <v>0</v>
      </c>
      <c r="W2125" s="106"/>
      <c r="X2125" s="64"/>
    </row>
    <row r="2126" spans="1:24" s="66" customFormat="1" ht="12" hidden="1" customHeight="1">
      <c r="A2126" s="92" t="s">
        <v>4125</v>
      </c>
      <c r="B2126" s="92"/>
      <c r="C2126" s="92"/>
      <c r="D2126" s="92"/>
      <c r="E2126" s="92"/>
      <c r="F2126" s="92"/>
      <c r="G2126" s="92"/>
      <c r="H2126" s="92"/>
      <c r="I2126" s="93" t="s">
        <v>4126</v>
      </c>
      <c r="J2126" s="93" t="s">
        <v>4127</v>
      </c>
      <c r="K2126" s="94" t="s">
        <v>4210</v>
      </c>
      <c r="L2126" s="93" t="s">
        <v>20</v>
      </c>
      <c r="M2126" s="104"/>
      <c r="N2126" s="104"/>
      <c r="O2126" s="104"/>
      <c r="P2126" s="95">
        <v>246134.55</v>
      </c>
      <c r="Q2126" s="87">
        <f t="shared" si="88"/>
        <v>0</v>
      </c>
      <c r="R2126" s="105"/>
      <c r="S2126" s="105"/>
      <c r="T2126" s="105"/>
      <c r="U2126" s="105"/>
      <c r="V2126" s="87">
        <f t="shared" si="89"/>
        <v>0</v>
      </c>
      <c r="W2126" s="106"/>
      <c r="X2126" s="64"/>
    </row>
    <row r="2127" spans="1:24" s="66" customFormat="1" ht="12" hidden="1" customHeight="1">
      <c r="A2127" s="92" t="s">
        <v>4128</v>
      </c>
      <c r="B2127" s="92"/>
      <c r="C2127" s="92"/>
      <c r="D2127" s="92"/>
      <c r="E2127" s="92"/>
      <c r="F2127" s="92"/>
      <c r="G2127" s="92"/>
      <c r="H2127" s="92"/>
      <c r="I2127" s="93" t="s">
        <v>4129</v>
      </c>
      <c r="J2127" s="93" t="s">
        <v>4130</v>
      </c>
      <c r="K2127" s="94" t="s">
        <v>4211</v>
      </c>
      <c r="L2127" s="93" t="s">
        <v>20</v>
      </c>
      <c r="M2127" s="104"/>
      <c r="N2127" s="104"/>
      <c r="O2127" s="104"/>
      <c r="P2127" s="95">
        <v>336815.7</v>
      </c>
      <c r="Q2127" s="87">
        <f t="shared" si="88"/>
        <v>0</v>
      </c>
      <c r="R2127" s="105"/>
      <c r="S2127" s="105"/>
      <c r="T2127" s="105"/>
      <c r="U2127" s="105"/>
      <c r="V2127" s="87">
        <f t="shared" si="89"/>
        <v>0</v>
      </c>
      <c r="W2127" s="106"/>
      <c r="X2127" s="64"/>
    </row>
    <row r="2128" spans="1:24" s="66" customFormat="1" ht="12" hidden="1" customHeight="1">
      <c r="A2128" s="92" t="s">
        <v>4131</v>
      </c>
      <c r="B2128" s="92"/>
      <c r="C2128" s="92"/>
      <c r="D2128" s="92"/>
      <c r="E2128" s="92"/>
      <c r="F2128" s="92"/>
      <c r="G2128" s="92"/>
      <c r="H2128" s="92"/>
      <c r="I2128" s="93" t="s">
        <v>4132</v>
      </c>
      <c r="J2128" s="93" t="s">
        <v>4133</v>
      </c>
      <c r="K2128" s="94" t="s">
        <v>4212</v>
      </c>
      <c r="L2128" s="93" t="s">
        <v>20</v>
      </c>
      <c r="M2128" s="104"/>
      <c r="N2128" s="104"/>
      <c r="O2128" s="104"/>
      <c r="P2128" s="95">
        <v>647722.5</v>
      </c>
      <c r="Q2128" s="87">
        <f t="shared" si="88"/>
        <v>0</v>
      </c>
      <c r="R2128" s="105"/>
      <c r="S2128" s="105"/>
      <c r="T2128" s="105"/>
      <c r="U2128" s="105"/>
      <c r="V2128" s="87">
        <f t="shared" si="89"/>
        <v>0</v>
      </c>
      <c r="W2128" s="106"/>
      <c r="X2128" s="64"/>
    </row>
    <row r="2129" spans="1:24" s="66" customFormat="1" ht="12" hidden="1" customHeight="1">
      <c r="A2129" s="92" t="s">
        <v>4134</v>
      </c>
      <c r="B2129" s="92"/>
      <c r="C2129" s="92"/>
      <c r="D2129" s="92"/>
      <c r="E2129" s="92"/>
      <c r="F2129" s="92"/>
      <c r="G2129" s="92"/>
      <c r="H2129" s="92"/>
      <c r="I2129" s="93" t="s">
        <v>4135</v>
      </c>
      <c r="J2129" s="93" t="s">
        <v>4136</v>
      </c>
      <c r="K2129" s="94" t="s">
        <v>4213</v>
      </c>
      <c r="L2129" s="93" t="s">
        <v>20</v>
      </c>
      <c r="M2129" s="104"/>
      <c r="N2129" s="104"/>
      <c r="O2129" s="104"/>
      <c r="P2129" s="95">
        <v>1217718.3</v>
      </c>
      <c r="Q2129" s="87">
        <f t="shared" si="88"/>
        <v>0</v>
      </c>
      <c r="R2129" s="105"/>
      <c r="S2129" s="105"/>
      <c r="T2129" s="105"/>
      <c r="U2129" s="105"/>
      <c r="V2129" s="87">
        <f t="shared" si="89"/>
        <v>0</v>
      </c>
      <c r="W2129" s="106"/>
      <c r="X2129" s="64"/>
    </row>
    <row r="2130" spans="1:24" s="66" customFormat="1" ht="12" hidden="1" customHeight="1">
      <c r="A2130" s="92" t="s">
        <v>4137</v>
      </c>
      <c r="B2130" s="92"/>
      <c r="C2130" s="92"/>
      <c r="D2130" s="92"/>
      <c r="E2130" s="92"/>
      <c r="F2130" s="92"/>
      <c r="G2130" s="92"/>
      <c r="H2130" s="92"/>
      <c r="I2130" s="93" t="s">
        <v>1951</v>
      </c>
      <c r="J2130" s="93" t="s">
        <v>4138</v>
      </c>
      <c r="K2130" s="94" t="s">
        <v>4206</v>
      </c>
      <c r="L2130" s="93" t="s">
        <v>20</v>
      </c>
      <c r="M2130" s="104"/>
      <c r="N2130" s="104"/>
      <c r="O2130" s="104"/>
      <c r="P2130" s="95">
        <v>44045.13</v>
      </c>
      <c r="Q2130" s="87">
        <f t="shared" si="88"/>
        <v>0</v>
      </c>
      <c r="R2130" s="105"/>
      <c r="S2130" s="105"/>
      <c r="T2130" s="105"/>
      <c r="U2130" s="105"/>
      <c r="V2130" s="87">
        <f t="shared" si="89"/>
        <v>0</v>
      </c>
      <c r="W2130" s="106"/>
      <c r="X2130" s="64"/>
    </row>
    <row r="2131" spans="1:24" s="66" customFormat="1" ht="12" hidden="1" customHeight="1">
      <c r="A2131" s="92" t="s">
        <v>4139</v>
      </c>
      <c r="B2131" s="92"/>
      <c r="C2131" s="92"/>
      <c r="D2131" s="92"/>
      <c r="E2131" s="92"/>
      <c r="F2131" s="92"/>
      <c r="G2131" s="92"/>
      <c r="H2131" s="92"/>
      <c r="I2131" s="93" t="s">
        <v>1952</v>
      </c>
      <c r="J2131" s="93" t="s">
        <v>4140</v>
      </c>
      <c r="K2131" s="94" t="s">
        <v>4207</v>
      </c>
      <c r="L2131" s="93" t="s">
        <v>20</v>
      </c>
      <c r="M2131" s="104"/>
      <c r="N2131" s="104"/>
      <c r="O2131" s="104"/>
      <c r="P2131" s="95">
        <v>142498.95000000001</v>
      </c>
      <c r="Q2131" s="87">
        <f t="shared" si="88"/>
        <v>0</v>
      </c>
      <c r="R2131" s="105"/>
      <c r="S2131" s="105"/>
      <c r="T2131" s="105"/>
      <c r="U2131" s="105"/>
      <c r="V2131" s="87">
        <f t="shared" si="89"/>
        <v>0</v>
      </c>
      <c r="W2131" s="106"/>
      <c r="X2131" s="64"/>
    </row>
    <row r="2132" spans="1:24" s="66" customFormat="1" ht="12" hidden="1" customHeight="1">
      <c r="A2132" s="92" t="s">
        <v>4141</v>
      </c>
      <c r="B2132" s="92"/>
      <c r="C2132" s="92"/>
      <c r="D2132" s="92"/>
      <c r="E2132" s="92"/>
      <c r="F2132" s="92"/>
      <c r="G2132" s="92"/>
      <c r="H2132" s="92"/>
      <c r="I2132" s="93" t="s">
        <v>1953</v>
      </c>
      <c r="J2132" s="93" t="s">
        <v>4142</v>
      </c>
      <c r="K2132" s="94" t="s">
        <v>4208</v>
      </c>
      <c r="L2132" s="93" t="s">
        <v>20</v>
      </c>
      <c r="M2132" s="104"/>
      <c r="N2132" s="104"/>
      <c r="O2132" s="104"/>
      <c r="P2132" s="95">
        <v>170998.74</v>
      </c>
      <c r="Q2132" s="87">
        <f t="shared" si="88"/>
        <v>0</v>
      </c>
      <c r="R2132" s="105"/>
      <c r="S2132" s="105"/>
      <c r="T2132" s="105"/>
      <c r="U2132" s="105"/>
      <c r="V2132" s="87">
        <f t="shared" si="89"/>
        <v>0</v>
      </c>
      <c r="W2132" s="106"/>
      <c r="X2132" s="64"/>
    </row>
    <row r="2133" spans="1:24" s="66" customFormat="1" ht="12" hidden="1" customHeight="1">
      <c r="A2133" s="92" t="s">
        <v>4143</v>
      </c>
      <c r="B2133" s="92"/>
      <c r="C2133" s="92"/>
      <c r="D2133" s="92"/>
      <c r="E2133" s="92"/>
      <c r="F2133" s="92"/>
      <c r="G2133" s="92"/>
      <c r="H2133" s="92"/>
      <c r="I2133" s="93" t="s">
        <v>1954</v>
      </c>
      <c r="J2133" s="93" t="s">
        <v>4144</v>
      </c>
      <c r="K2133" s="94" t="s">
        <v>4209</v>
      </c>
      <c r="L2133" s="93" t="s">
        <v>20</v>
      </c>
      <c r="M2133" s="104"/>
      <c r="N2133" s="104"/>
      <c r="O2133" s="104"/>
      <c r="P2133" s="95">
        <v>246134.55</v>
      </c>
      <c r="Q2133" s="87">
        <f t="shared" si="88"/>
        <v>0</v>
      </c>
      <c r="R2133" s="105"/>
      <c r="S2133" s="105"/>
      <c r="T2133" s="105"/>
      <c r="U2133" s="105"/>
      <c r="V2133" s="87">
        <f t="shared" si="89"/>
        <v>0</v>
      </c>
      <c r="W2133" s="106"/>
      <c r="X2133" s="64"/>
    </row>
    <row r="2134" spans="1:24" s="66" customFormat="1" ht="12" hidden="1" customHeight="1">
      <c r="A2134" s="92" t="s">
        <v>4145</v>
      </c>
      <c r="B2134" s="92"/>
      <c r="C2134" s="92"/>
      <c r="D2134" s="92"/>
      <c r="E2134" s="92"/>
      <c r="F2134" s="92"/>
      <c r="G2134" s="92"/>
      <c r="H2134" s="92"/>
      <c r="I2134" s="93" t="s">
        <v>4146</v>
      </c>
      <c r="J2134" s="93" t="s">
        <v>4147</v>
      </c>
      <c r="K2134" s="94" t="s">
        <v>4210</v>
      </c>
      <c r="L2134" s="93" t="s">
        <v>20</v>
      </c>
      <c r="M2134" s="104"/>
      <c r="N2134" s="104"/>
      <c r="O2134" s="104"/>
      <c r="P2134" s="95">
        <v>318679.46999999997</v>
      </c>
      <c r="Q2134" s="87">
        <f t="shared" si="88"/>
        <v>0</v>
      </c>
      <c r="R2134" s="105"/>
      <c r="S2134" s="105"/>
      <c r="T2134" s="105"/>
      <c r="U2134" s="105"/>
      <c r="V2134" s="87">
        <f t="shared" si="89"/>
        <v>0</v>
      </c>
      <c r="W2134" s="106"/>
      <c r="X2134" s="64"/>
    </row>
    <row r="2135" spans="1:24" s="66" customFormat="1" ht="12" hidden="1" customHeight="1">
      <c r="A2135" s="92" t="s">
        <v>4148</v>
      </c>
      <c r="B2135" s="92"/>
      <c r="C2135" s="92"/>
      <c r="D2135" s="92"/>
      <c r="E2135" s="92"/>
      <c r="F2135" s="92"/>
      <c r="G2135" s="92"/>
      <c r="H2135" s="92"/>
      <c r="I2135" s="93" t="s">
        <v>4149</v>
      </c>
      <c r="J2135" s="93" t="s">
        <v>4150</v>
      </c>
      <c r="K2135" s="94" t="s">
        <v>4211</v>
      </c>
      <c r="L2135" s="93" t="s">
        <v>20</v>
      </c>
      <c r="M2135" s="104"/>
      <c r="N2135" s="104"/>
      <c r="O2135" s="104"/>
      <c r="P2135" s="95">
        <v>404178.84</v>
      </c>
      <c r="Q2135" s="87">
        <f t="shared" si="88"/>
        <v>0</v>
      </c>
      <c r="R2135" s="105"/>
      <c r="S2135" s="105"/>
      <c r="T2135" s="105"/>
      <c r="U2135" s="105"/>
      <c r="V2135" s="87">
        <f t="shared" si="89"/>
        <v>0</v>
      </c>
      <c r="W2135" s="106"/>
      <c r="X2135" s="64"/>
    </row>
    <row r="2136" spans="1:24" s="66" customFormat="1" ht="12" hidden="1" customHeight="1">
      <c r="A2136" s="92" t="s">
        <v>4151</v>
      </c>
      <c r="B2136" s="92"/>
      <c r="C2136" s="92"/>
      <c r="D2136" s="92"/>
      <c r="E2136" s="92"/>
      <c r="F2136" s="92"/>
      <c r="G2136" s="92"/>
      <c r="H2136" s="92"/>
      <c r="I2136" s="93" t="s">
        <v>4152</v>
      </c>
      <c r="J2136" s="93" t="s">
        <v>4153</v>
      </c>
      <c r="K2136" s="94" t="s">
        <v>4212</v>
      </c>
      <c r="L2136" s="93" t="s">
        <v>20</v>
      </c>
      <c r="M2136" s="104"/>
      <c r="N2136" s="104"/>
      <c r="O2136" s="104"/>
      <c r="P2136" s="95">
        <v>777267</v>
      </c>
      <c r="Q2136" s="87">
        <f t="shared" si="88"/>
        <v>0</v>
      </c>
      <c r="R2136" s="105"/>
      <c r="S2136" s="105"/>
      <c r="T2136" s="105"/>
      <c r="U2136" s="105"/>
      <c r="V2136" s="87">
        <f t="shared" si="89"/>
        <v>0</v>
      </c>
      <c r="W2136" s="106"/>
      <c r="X2136" s="64"/>
    </row>
    <row r="2137" spans="1:24" s="66" customFormat="1" ht="12" hidden="1" customHeight="1">
      <c r="A2137" s="92" t="s">
        <v>4154</v>
      </c>
      <c r="B2137" s="92"/>
      <c r="C2137" s="92"/>
      <c r="D2137" s="92"/>
      <c r="E2137" s="92"/>
      <c r="F2137" s="92"/>
      <c r="G2137" s="92"/>
      <c r="H2137" s="92"/>
      <c r="I2137" s="93" t="s">
        <v>4155</v>
      </c>
      <c r="J2137" s="93" t="s">
        <v>4156</v>
      </c>
      <c r="K2137" s="94" t="s">
        <v>4213</v>
      </c>
      <c r="L2137" s="93" t="s">
        <v>20</v>
      </c>
      <c r="M2137" s="104"/>
      <c r="N2137" s="104"/>
      <c r="O2137" s="104"/>
      <c r="P2137" s="95">
        <v>1461261.96</v>
      </c>
      <c r="Q2137" s="87">
        <f t="shared" si="88"/>
        <v>0</v>
      </c>
      <c r="R2137" s="105"/>
      <c r="S2137" s="105"/>
      <c r="T2137" s="105"/>
      <c r="U2137" s="105"/>
      <c r="V2137" s="87">
        <f t="shared" si="89"/>
        <v>0</v>
      </c>
      <c r="W2137" s="106"/>
      <c r="X2137" s="64"/>
    </row>
    <row r="2138" spans="1:24" s="66" customFormat="1" ht="12" hidden="1" customHeight="1">
      <c r="A2138" s="92" t="s">
        <v>4157</v>
      </c>
      <c r="B2138" s="92"/>
      <c r="C2138" s="92"/>
      <c r="D2138" s="92"/>
      <c r="E2138" s="92"/>
      <c r="F2138" s="92"/>
      <c r="G2138" s="92"/>
      <c r="H2138" s="92"/>
      <c r="I2138" s="93" t="s">
        <v>1955</v>
      </c>
      <c r="J2138" s="93" t="s">
        <v>1624</v>
      </c>
      <c r="K2138" s="93" t="s">
        <v>4214</v>
      </c>
      <c r="L2138" s="93" t="s">
        <v>20</v>
      </c>
      <c r="M2138" s="104"/>
      <c r="N2138" s="104"/>
      <c r="O2138" s="104"/>
      <c r="P2138" s="95">
        <v>163226.07</v>
      </c>
      <c r="Q2138" s="87">
        <f t="shared" si="88"/>
        <v>0</v>
      </c>
      <c r="R2138" s="105"/>
      <c r="S2138" s="105"/>
      <c r="T2138" s="105"/>
      <c r="U2138" s="105"/>
      <c r="V2138" s="87">
        <f t="shared" si="89"/>
        <v>0</v>
      </c>
      <c r="W2138" s="106"/>
      <c r="X2138" s="64"/>
    </row>
    <row r="2139" spans="1:24" s="66" customFormat="1" ht="12" hidden="1" customHeight="1">
      <c r="A2139" s="92" t="s">
        <v>4158</v>
      </c>
      <c r="B2139" s="92"/>
      <c r="C2139" s="92"/>
      <c r="D2139" s="92"/>
      <c r="E2139" s="92"/>
      <c r="F2139" s="92"/>
      <c r="G2139" s="92"/>
      <c r="H2139" s="92"/>
      <c r="I2139" s="93" t="s">
        <v>4159</v>
      </c>
      <c r="J2139" s="93" t="s">
        <v>4160</v>
      </c>
      <c r="K2139" s="93" t="s">
        <v>4215</v>
      </c>
      <c r="L2139" s="93" t="s">
        <v>20</v>
      </c>
      <c r="M2139" s="104"/>
      <c r="N2139" s="104"/>
      <c r="O2139" s="104"/>
      <c r="P2139" s="95">
        <v>106226.49</v>
      </c>
      <c r="Q2139" s="87">
        <f t="shared" si="88"/>
        <v>0</v>
      </c>
      <c r="R2139" s="105"/>
      <c r="S2139" s="105"/>
      <c r="T2139" s="105"/>
      <c r="U2139" s="105"/>
      <c r="V2139" s="87">
        <f t="shared" si="89"/>
        <v>0</v>
      </c>
      <c r="W2139" s="106"/>
      <c r="X2139" s="64"/>
    </row>
    <row r="2140" spans="1:24" s="66" customFormat="1" ht="12" hidden="1" customHeight="1">
      <c r="A2140" s="92" t="s">
        <v>4161</v>
      </c>
      <c r="B2140" s="92"/>
      <c r="C2140" s="92"/>
      <c r="D2140" s="92"/>
      <c r="E2140" s="92"/>
      <c r="F2140" s="92"/>
      <c r="G2140" s="92"/>
      <c r="H2140" s="92"/>
      <c r="I2140" s="93" t="s">
        <v>1956</v>
      </c>
      <c r="J2140" s="93" t="s">
        <v>1626</v>
      </c>
      <c r="K2140" s="93" t="s">
        <v>4216</v>
      </c>
      <c r="L2140" s="93" t="s">
        <v>20</v>
      </c>
      <c r="M2140" s="104"/>
      <c r="N2140" s="104"/>
      <c r="O2140" s="104"/>
      <c r="P2140" s="95">
        <v>64772.25</v>
      </c>
      <c r="Q2140" s="87">
        <f t="shared" si="88"/>
        <v>0</v>
      </c>
      <c r="R2140" s="105"/>
      <c r="S2140" s="105"/>
      <c r="T2140" s="105"/>
      <c r="U2140" s="105"/>
      <c r="V2140" s="87">
        <f t="shared" si="89"/>
        <v>0</v>
      </c>
      <c r="W2140" s="106"/>
      <c r="X2140" s="64"/>
    </row>
    <row r="2141" spans="1:24" s="66" customFormat="1" ht="12" hidden="1" customHeight="1">
      <c r="A2141" s="92" t="s">
        <v>4162</v>
      </c>
      <c r="B2141" s="92"/>
      <c r="C2141" s="92"/>
      <c r="D2141" s="92"/>
      <c r="E2141" s="92"/>
      <c r="F2141" s="92"/>
      <c r="G2141" s="92"/>
      <c r="H2141" s="92"/>
      <c r="I2141" s="93" t="s">
        <v>4163</v>
      </c>
      <c r="J2141" s="93" t="s">
        <v>4164</v>
      </c>
      <c r="K2141" s="94" t="s">
        <v>4093</v>
      </c>
      <c r="L2141" s="93" t="s">
        <v>20</v>
      </c>
      <c r="M2141" s="104"/>
      <c r="N2141" s="104"/>
      <c r="O2141" s="104"/>
      <c r="P2141" s="95">
        <v>26726.04</v>
      </c>
      <c r="Q2141" s="87">
        <f t="shared" si="88"/>
        <v>0</v>
      </c>
      <c r="R2141" s="105"/>
      <c r="S2141" s="105"/>
      <c r="T2141" s="105"/>
      <c r="U2141" s="105"/>
      <c r="V2141" s="87">
        <f t="shared" si="89"/>
        <v>0</v>
      </c>
      <c r="W2141" s="106"/>
      <c r="X2141" s="64"/>
    </row>
    <row r="2142" spans="1:24" s="66" customFormat="1" ht="12" hidden="1" customHeight="1">
      <c r="A2142" s="92" t="s">
        <v>4165</v>
      </c>
      <c r="B2142" s="92"/>
      <c r="C2142" s="92"/>
      <c r="D2142" s="92"/>
      <c r="E2142" s="92"/>
      <c r="F2142" s="92"/>
      <c r="G2142" s="92"/>
      <c r="H2142" s="92"/>
      <c r="I2142" s="93" t="s">
        <v>4166</v>
      </c>
      <c r="J2142" s="93" t="s">
        <v>4167</v>
      </c>
      <c r="K2142" s="93" t="s">
        <v>4096</v>
      </c>
      <c r="L2142" s="93" t="s">
        <v>20</v>
      </c>
      <c r="M2142" s="104"/>
      <c r="N2142" s="104"/>
      <c r="O2142" s="104"/>
      <c r="P2142" s="95">
        <v>43733.52</v>
      </c>
      <c r="Q2142" s="87">
        <f t="shared" si="88"/>
        <v>0</v>
      </c>
      <c r="R2142" s="105"/>
      <c r="S2142" s="105"/>
      <c r="T2142" s="105"/>
      <c r="U2142" s="105"/>
      <c r="V2142" s="87">
        <f t="shared" si="89"/>
        <v>0</v>
      </c>
      <c r="W2142" s="106"/>
      <c r="X2142" s="64"/>
    </row>
    <row r="2143" spans="1:24" s="66" customFormat="1" ht="12" hidden="1" customHeight="1">
      <c r="A2143" s="92" t="s">
        <v>4168</v>
      </c>
      <c r="B2143" s="92"/>
      <c r="C2143" s="92"/>
      <c r="D2143" s="92"/>
      <c r="E2143" s="92"/>
      <c r="F2143" s="92"/>
      <c r="G2143" s="92"/>
      <c r="H2143" s="92"/>
      <c r="I2143" s="93" t="s">
        <v>4169</v>
      </c>
      <c r="J2143" s="93" t="s">
        <v>4170</v>
      </c>
      <c r="K2143" s="93" t="s">
        <v>4171</v>
      </c>
      <c r="L2143" s="93" t="s">
        <v>20</v>
      </c>
      <c r="M2143" s="104"/>
      <c r="N2143" s="104"/>
      <c r="O2143" s="104"/>
      <c r="P2143" s="95">
        <v>43733.52</v>
      </c>
      <c r="Q2143" s="87">
        <f t="shared" si="88"/>
        <v>0</v>
      </c>
      <c r="R2143" s="105"/>
      <c r="S2143" s="105"/>
      <c r="T2143" s="105"/>
      <c r="U2143" s="105"/>
      <c r="V2143" s="87">
        <f t="shared" si="89"/>
        <v>0</v>
      </c>
      <c r="W2143" s="106"/>
      <c r="X2143" s="64"/>
    </row>
    <row r="2144" spans="1:24" s="66" customFormat="1" ht="12" hidden="1" customHeight="1">
      <c r="A2144" s="92" t="s">
        <v>4172</v>
      </c>
      <c r="B2144" s="92"/>
      <c r="C2144" s="92"/>
      <c r="D2144" s="92"/>
      <c r="E2144" s="92"/>
      <c r="F2144" s="92"/>
      <c r="G2144" s="92"/>
      <c r="H2144" s="92"/>
      <c r="I2144" s="93" t="s">
        <v>4173</v>
      </c>
      <c r="J2144" s="93" t="s">
        <v>4174</v>
      </c>
      <c r="K2144" s="93" t="s">
        <v>4175</v>
      </c>
      <c r="L2144" s="93" t="s">
        <v>20</v>
      </c>
      <c r="M2144" s="104"/>
      <c r="N2144" s="104"/>
      <c r="O2144" s="104"/>
      <c r="P2144" s="95">
        <v>60741</v>
      </c>
      <c r="Q2144" s="87">
        <f t="shared" si="88"/>
        <v>0</v>
      </c>
      <c r="R2144" s="105"/>
      <c r="S2144" s="105"/>
      <c r="T2144" s="105"/>
      <c r="U2144" s="105"/>
      <c r="V2144" s="87">
        <f t="shared" si="89"/>
        <v>0</v>
      </c>
      <c r="W2144" s="106"/>
      <c r="X2144" s="64"/>
    </row>
    <row r="2145" spans="1:24" s="66" customFormat="1" ht="12" hidden="1" customHeight="1">
      <c r="A2145" s="92" t="s">
        <v>4176</v>
      </c>
      <c r="B2145" s="92"/>
      <c r="C2145" s="92"/>
      <c r="D2145" s="92"/>
      <c r="E2145" s="92"/>
      <c r="F2145" s="92"/>
      <c r="G2145" s="92"/>
      <c r="H2145" s="92"/>
      <c r="I2145" s="93" t="s">
        <v>4177</v>
      </c>
      <c r="J2145" s="93" t="s">
        <v>4178</v>
      </c>
      <c r="K2145" s="93" t="s">
        <v>4112</v>
      </c>
      <c r="L2145" s="93" t="s">
        <v>20</v>
      </c>
      <c r="M2145" s="104"/>
      <c r="N2145" s="104"/>
      <c r="O2145" s="104"/>
      <c r="P2145" s="95">
        <v>9718.56</v>
      </c>
      <c r="Q2145" s="87">
        <f t="shared" si="88"/>
        <v>0</v>
      </c>
      <c r="R2145" s="105"/>
      <c r="S2145" s="105"/>
      <c r="T2145" s="105"/>
      <c r="U2145" s="105"/>
      <c r="V2145" s="87">
        <f t="shared" si="89"/>
        <v>0</v>
      </c>
      <c r="W2145" s="106"/>
      <c r="X2145" s="64"/>
    </row>
    <row r="2146" spans="1:24" s="66" customFormat="1" ht="12" hidden="1" customHeight="1">
      <c r="A2146" s="92" t="s">
        <v>4179</v>
      </c>
      <c r="B2146" s="92"/>
      <c r="C2146" s="92"/>
      <c r="D2146" s="92"/>
      <c r="E2146" s="92"/>
      <c r="F2146" s="92"/>
      <c r="G2146" s="92"/>
      <c r="H2146" s="92"/>
      <c r="I2146" s="93" t="s">
        <v>4180</v>
      </c>
      <c r="J2146" s="93" t="s">
        <v>4181</v>
      </c>
      <c r="K2146" s="93" t="s">
        <v>4182</v>
      </c>
      <c r="L2146" s="93" t="s">
        <v>20</v>
      </c>
      <c r="M2146" s="104"/>
      <c r="N2146" s="104"/>
      <c r="O2146" s="104"/>
      <c r="P2146" s="95">
        <v>43733.52</v>
      </c>
      <c r="Q2146" s="87">
        <f t="shared" si="88"/>
        <v>0</v>
      </c>
      <c r="R2146" s="105"/>
      <c r="S2146" s="105"/>
      <c r="T2146" s="105"/>
      <c r="U2146" s="105"/>
      <c r="V2146" s="87">
        <f t="shared" si="89"/>
        <v>0</v>
      </c>
      <c r="W2146" s="106"/>
      <c r="X2146" s="64"/>
    </row>
    <row r="2147" spans="1:24" s="66" customFormat="1" ht="12" hidden="1" customHeight="1">
      <c r="A2147" s="92" t="s">
        <v>4183</v>
      </c>
      <c r="B2147" s="92"/>
      <c r="C2147" s="92"/>
      <c r="D2147" s="92"/>
      <c r="E2147" s="92"/>
      <c r="F2147" s="92"/>
      <c r="G2147" s="92"/>
      <c r="H2147" s="92"/>
      <c r="I2147" s="93" t="s">
        <v>4184</v>
      </c>
      <c r="J2147" s="93" t="s">
        <v>4185</v>
      </c>
      <c r="K2147" s="94" t="s">
        <v>4203</v>
      </c>
      <c r="L2147" s="93" t="s">
        <v>4186</v>
      </c>
      <c r="M2147" s="104"/>
      <c r="N2147" s="104"/>
      <c r="O2147" s="104"/>
      <c r="P2147" s="95">
        <v>99615.24</v>
      </c>
      <c r="Q2147" s="87">
        <f t="shared" si="88"/>
        <v>0</v>
      </c>
      <c r="R2147" s="105"/>
      <c r="S2147" s="105"/>
      <c r="T2147" s="105"/>
      <c r="U2147" s="105"/>
      <c r="V2147" s="87">
        <f t="shared" si="89"/>
        <v>0</v>
      </c>
      <c r="W2147" s="106"/>
      <c r="X2147" s="64"/>
    </row>
    <row r="2148" spans="1:24" s="66" customFormat="1" ht="12" hidden="1" customHeight="1">
      <c r="A2148" s="92" t="s">
        <v>4187</v>
      </c>
      <c r="B2148" s="92"/>
      <c r="C2148" s="92"/>
      <c r="D2148" s="92"/>
      <c r="E2148" s="92"/>
      <c r="F2148" s="92"/>
      <c r="G2148" s="92"/>
      <c r="H2148" s="92"/>
      <c r="I2148" s="93" t="s">
        <v>4188</v>
      </c>
      <c r="J2148" s="93" t="s">
        <v>4189</v>
      </c>
      <c r="K2148" s="93" t="s">
        <v>4190</v>
      </c>
      <c r="L2148" s="93" t="s">
        <v>20</v>
      </c>
      <c r="M2148" s="104"/>
      <c r="N2148" s="104"/>
      <c r="O2148" s="104"/>
      <c r="P2148" s="95">
        <v>29155.68</v>
      </c>
      <c r="Q2148" s="87">
        <f t="shared" ref="Q2148:Q2211" si="90">IF(W2148="",M2148*P2148*$Q$3*$W$3,M2148*P2148*$Q$3*W2148)</f>
        <v>0</v>
      </c>
      <c r="R2148" s="105"/>
      <c r="S2148" s="105"/>
      <c r="T2148" s="105"/>
      <c r="U2148" s="105"/>
      <c r="V2148" s="87">
        <f t="shared" si="89"/>
        <v>0</v>
      </c>
      <c r="W2148" s="106"/>
      <c r="X2148" s="64"/>
    </row>
    <row r="2149" spans="1:24" s="66" customFormat="1" ht="12" hidden="1" customHeight="1">
      <c r="A2149" s="151" t="s">
        <v>4719</v>
      </c>
      <c r="B2149" s="151"/>
      <c r="C2149" s="151"/>
      <c r="D2149" s="151"/>
      <c r="E2149" s="151"/>
      <c r="F2149" s="151"/>
      <c r="G2149" s="151"/>
      <c r="H2149" s="151"/>
      <c r="I2149" s="101" t="s">
        <v>4731</v>
      </c>
      <c r="J2149" s="101" t="s">
        <v>4732</v>
      </c>
      <c r="K2149" s="101" t="s">
        <v>4733</v>
      </c>
      <c r="L2149" s="101" t="s">
        <v>1505</v>
      </c>
      <c r="M2149" s="104"/>
      <c r="N2149" s="104"/>
      <c r="O2149" s="104"/>
      <c r="P2149" s="152">
        <v>87592.47</v>
      </c>
      <c r="Q2149" s="87">
        <f t="shared" si="90"/>
        <v>0</v>
      </c>
      <c r="R2149" s="105"/>
      <c r="S2149" s="105"/>
      <c r="T2149" s="105"/>
      <c r="U2149" s="105"/>
      <c r="V2149" s="87">
        <f t="shared" si="89"/>
        <v>0</v>
      </c>
      <c r="W2149" s="106"/>
      <c r="X2149" s="64"/>
    </row>
    <row r="2150" spans="1:24" s="66" customFormat="1" ht="12" hidden="1" customHeight="1">
      <c r="A2150" s="151" t="s">
        <v>4720</v>
      </c>
      <c r="B2150" s="151"/>
      <c r="C2150" s="151"/>
      <c r="D2150" s="151"/>
      <c r="E2150" s="151"/>
      <c r="F2150" s="151"/>
      <c r="G2150" s="151"/>
      <c r="H2150" s="151"/>
      <c r="I2150" s="101" t="s">
        <v>2151</v>
      </c>
      <c r="J2150" s="101" t="s">
        <v>1510</v>
      </c>
      <c r="K2150" s="101" t="s">
        <v>1507</v>
      </c>
      <c r="L2150" s="101" t="s">
        <v>1505</v>
      </c>
      <c r="M2150" s="104"/>
      <c r="N2150" s="104"/>
      <c r="O2150" s="104"/>
      <c r="P2150" s="152">
        <v>118326.67</v>
      </c>
      <c r="Q2150" s="87">
        <f t="shared" si="90"/>
        <v>0</v>
      </c>
      <c r="R2150" s="105"/>
      <c r="S2150" s="105"/>
      <c r="T2150" s="105"/>
      <c r="U2150" s="105"/>
      <c r="V2150" s="87">
        <f t="shared" si="89"/>
        <v>0</v>
      </c>
      <c r="W2150" s="106"/>
      <c r="X2150" s="64"/>
    </row>
    <row r="2151" spans="1:24" s="66" customFormat="1" ht="12" hidden="1" customHeight="1">
      <c r="A2151" s="151" t="s">
        <v>4721</v>
      </c>
      <c r="B2151" s="151"/>
      <c r="C2151" s="151"/>
      <c r="D2151" s="151"/>
      <c r="E2151" s="151"/>
      <c r="F2151" s="151"/>
      <c r="G2151" s="151"/>
      <c r="H2151" s="151"/>
      <c r="I2151" s="101" t="s">
        <v>4734</v>
      </c>
      <c r="J2151" s="101" t="s">
        <v>4735</v>
      </c>
      <c r="K2151" s="101" t="s">
        <v>4736</v>
      </c>
      <c r="L2151" s="101" t="s">
        <v>1505</v>
      </c>
      <c r="M2151" s="104"/>
      <c r="N2151" s="104"/>
      <c r="O2151" s="104"/>
      <c r="P2151" s="152">
        <v>149060.87</v>
      </c>
      <c r="Q2151" s="87">
        <f t="shared" si="90"/>
        <v>0</v>
      </c>
      <c r="R2151" s="105"/>
      <c r="S2151" s="105"/>
      <c r="T2151" s="105"/>
      <c r="U2151" s="105"/>
      <c r="V2151" s="87">
        <f t="shared" si="89"/>
        <v>0</v>
      </c>
      <c r="W2151" s="106"/>
      <c r="X2151" s="64"/>
    </row>
    <row r="2152" spans="1:24" s="66" customFormat="1" ht="12" hidden="1" customHeight="1">
      <c r="A2152" s="151" t="s">
        <v>4722</v>
      </c>
      <c r="B2152" s="151"/>
      <c r="C2152" s="151"/>
      <c r="D2152" s="151"/>
      <c r="E2152" s="151"/>
      <c r="F2152" s="151"/>
      <c r="G2152" s="151"/>
      <c r="H2152" s="151"/>
      <c r="I2152" s="101" t="s">
        <v>4737</v>
      </c>
      <c r="J2152" s="101" t="s">
        <v>4738</v>
      </c>
      <c r="K2152" s="101" t="s">
        <v>4733</v>
      </c>
      <c r="L2152" s="101" t="s">
        <v>1505</v>
      </c>
      <c r="M2152" s="104"/>
      <c r="N2152" s="104"/>
      <c r="O2152" s="104"/>
      <c r="P2152" s="152">
        <v>430736.8</v>
      </c>
      <c r="Q2152" s="87">
        <f t="shared" si="90"/>
        <v>0</v>
      </c>
      <c r="R2152" s="105"/>
      <c r="S2152" s="105"/>
      <c r="T2152" s="105"/>
      <c r="U2152" s="105"/>
      <c r="V2152" s="87">
        <f t="shared" si="89"/>
        <v>0</v>
      </c>
      <c r="W2152" s="106"/>
      <c r="X2152" s="64"/>
    </row>
    <row r="2153" spans="1:24" s="66" customFormat="1" ht="12" hidden="1" customHeight="1">
      <c r="A2153" s="151" t="s">
        <v>4723</v>
      </c>
      <c r="B2153" s="151"/>
      <c r="C2153" s="151"/>
      <c r="D2153" s="151"/>
      <c r="E2153" s="151"/>
      <c r="F2153" s="151"/>
      <c r="G2153" s="151"/>
      <c r="H2153" s="151"/>
      <c r="I2153" s="101" t="s">
        <v>2152</v>
      </c>
      <c r="J2153" s="101" t="s">
        <v>1511</v>
      </c>
      <c r="K2153" s="101" t="s">
        <v>1507</v>
      </c>
      <c r="L2153" s="101" t="s">
        <v>1505</v>
      </c>
      <c r="M2153" s="104"/>
      <c r="N2153" s="104"/>
      <c r="O2153" s="104"/>
      <c r="P2153" s="152">
        <v>484578.9</v>
      </c>
      <c r="Q2153" s="87">
        <f t="shared" si="90"/>
        <v>0</v>
      </c>
      <c r="R2153" s="105"/>
      <c r="S2153" s="105"/>
      <c r="T2153" s="105"/>
      <c r="U2153" s="105"/>
      <c r="V2153" s="87">
        <f t="shared" si="89"/>
        <v>0</v>
      </c>
      <c r="W2153" s="106"/>
      <c r="X2153" s="64"/>
    </row>
    <row r="2154" spans="1:24" s="66" customFormat="1" ht="12" hidden="1" customHeight="1">
      <c r="A2154" s="151" t="s">
        <v>4724</v>
      </c>
      <c r="B2154" s="151"/>
      <c r="C2154" s="151"/>
      <c r="D2154" s="151"/>
      <c r="E2154" s="151"/>
      <c r="F2154" s="151"/>
      <c r="G2154" s="151"/>
      <c r="H2154" s="151"/>
      <c r="I2154" s="101" t="s">
        <v>4739</v>
      </c>
      <c r="J2154" s="101" t="s">
        <v>4740</v>
      </c>
      <c r="K2154" s="101" t="s">
        <v>4736</v>
      </c>
      <c r="L2154" s="101" t="s">
        <v>1505</v>
      </c>
      <c r="M2154" s="104"/>
      <c r="N2154" s="104"/>
      <c r="O2154" s="104"/>
      <c r="P2154" s="152">
        <v>538421</v>
      </c>
      <c r="Q2154" s="87">
        <f t="shared" si="90"/>
        <v>0</v>
      </c>
      <c r="R2154" s="105"/>
      <c r="S2154" s="105"/>
      <c r="T2154" s="105"/>
      <c r="U2154" s="105"/>
      <c r="V2154" s="87">
        <f t="shared" si="89"/>
        <v>0</v>
      </c>
      <c r="W2154" s="106"/>
      <c r="X2154" s="64"/>
    </row>
    <row r="2155" spans="1:24" s="66" customFormat="1" ht="12" hidden="1" customHeight="1">
      <c r="A2155" s="151" t="s">
        <v>4725</v>
      </c>
      <c r="B2155" s="151"/>
      <c r="C2155" s="151"/>
      <c r="D2155" s="151"/>
      <c r="E2155" s="151"/>
      <c r="F2155" s="151"/>
      <c r="G2155" s="151"/>
      <c r="H2155" s="151"/>
      <c r="I2155" s="101" t="s">
        <v>4741</v>
      </c>
      <c r="J2155" s="101" t="s">
        <v>4742</v>
      </c>
      <c r="K2155" s="101" t="s">
        <v>4733</v>
      </c>
      <c r="L2155" s="101" t="s">
        <v>1505</v>
      </c>
      <c r="M2155" s="104"/>
      <c r="N2155" s="104"/>
      <c r="O2155" s="104"/>
      <c r="P2155" s="152">
        <v>646105.19999999995</v>
      </c>
      <c r="Q2155" s="87">
        <f t="shared" si="90"/>
        <v>0</v>
      </c>
      <c r="R2155" s="105"/>
      <c r="S2155" s="105"/>
      <c r="T2155" s="105"/>
      <c r="U2155" s="105"/>
      <c r="V2155" s="87">
        <f t="shared" si="89"/>
        <v>0</v>
      </c>
      <c r="W2155" s="106"/>
      <c r="X2155" s="64"/>
    </row>
    <row r="2156" spans="1:24" s="66" customFormat="1" ht="12" hidden="1" customHeight="1">
      <c r="A2156" s="151" t="s">
        <v>4726</v>
      </c>
      <c r="B2156" s="151"/>
      <c r="C2156" s="151"/>
      <c r="D2156" s="151"/>
      <c r="E2156" s="151"/>
      <c r="F2156" s="151"/>
      <c r="G2156" s="151"/>
      <c r="H2156" s="151"/>
      <c r="I2156" s="101" t="s">
        <v>2153</v>
      </c>
      <c r="J2156" s="101" t="s">
        <v>1512</v>
      </c>
      <c r="K2156" s="101" t="s">
        <v>1507</v>
      </c>
      <c r="L2156" s="101" t="s">
        <v>1505</v>
      </c>
      <c r="M2156" s="104"/>
      <c r="N2156" s="104"/>
      <c r="O2156" s="104"/>
      <c r="P2156" s="152">
        <v>699947.3</v>
      </c>
      <c r="Q2156" s="87">
        <f t="shared" si="90"/>
        <v>0</v>
      </c>
      <c r="R2156" s="105"/>
      <c r="S2156" s="105"/>
      <c r="T2156" s="105"/>
      <c r="U2156" s="105"/>
      <c r="V2156" s="87">
        <f t="shared" si="89"/>
        <v>0</v>
      </c>
      <c r="W2156" s="106"/>
      <c r="X2156" s="64"/>
    </row>
    <row r="2157" spans="1:24" s="66" customFormat="1" ht="12" hidden="1" customHeight="1">
      <c r="A2157" s="151" t="s">
        <v>4727</v>
      </c>
      <c r="B2157" s="151"/>
      <c r="C2157" s="151"/>
      <c r="D2157" s="151"/>
      <c r="E2157" s="151"/>
      <c r="F2157" s="151"/>
      <c r="G2157" s="151"/>
      <c r="H2157" s="151"/>
      <c r="I2157" s="101" t="s">
        <v>4743</v>
      </c>
      <c r="J2157" s="101" t="s">
        <v>4744</v>
      </c>
      <c r="K2157" s="101" t="s">
        <v>4736</v>
      </c>
      <c r="L2157" s="101" t="s">
        <v>1505</v>
      </c>
      <c r="M2157" s="104"/>
      <c r="N2157" s="104"/>
      <c r="O2157" s="104"/>
      <c r="P2157" s="152">
        <v>753789.4</v>
      </c>
      <c r="Q2157" s="87">
        <f t="shared" si="90"/>
        <v>0</v>
      </c>
      <c r="R2157" s="105"/>
      <c r="S2157" s="105"/>
      <c r="T2157" s="105"/>
      <c r="U2157" s="105"/>
      <c r="V2157" s="87">
        <f t="shared" si="89"/>
        <v>0</v>
      </c>
      <c r="W2157" s="106"/>
      <c r="X2157" s="64"/>
    </row>
    <row r="2158" spans="1:24" s="66" customFormat="1" ht="12" hidden="1" customHeight="1">
      <c r="A2158" s="151" t="s">
        <v>4728</v>
      </c>
      <c r="B2158" s="151"/>
      <c r="C2158" s="151"/>
      <c r="D2158" s="151"/>
      <c r="E2158" s="151"/>
      <c r="F2158" s="151"/>
      <c r="G2158" s="151"/>
      <c r="H2158" s="151"/>
      <c r="I2158" s="101" t="s">
        <v>4745</v>
      </c>
      <c r="J2158" s="101" t="s">
        <v>4746</v>
      </c>
      <c r="K2158" s="101" t="s">
        <v>4733</v>
      </c>
      <c r="L2158" s="101" t="s">
        <v>1505</v>
      </c>
      <c r="M2158" s="104"/>
      <c r="N2158" s="104"/>
      <c r="O2158" s="104"/>
      <c r="P2158" s="152">
        <v>1123057.8</v>
      </c>
      <c r="Q2158" s="87">
        <f t="shared" si="90"/>
        <v>0</v>
      </c>
      <c r="R2158" s="105"/>
      <c r="S2158" s="105"/>
      <c r="T2158" s="105"/>
      <c r="U2158" s="105"/>
      <c r="V2158" s="87">
        <f t="shared" si="89"/>
        <v>0</v>
      </c>
      <c r="W2158" s="106"/>
      <c r="X2158" s="64"/>
    </row>
    <row r="2159" spans="1:24" s="66" customFormat="1" ht="12" hidden="1" customHeight="1">
      <c r="A2159" s="151" t="s">
        <v>4729</v>
      </c>
      <c r="B2159" s="151"/>
      <c r="C2159" s="151"/>
      <c r="D2159" s="151"/>
      <c r="E2159" s="151"/>
      <c r="F2159" s="151"/>
      <c r="G2159" s="151"/>
      <c r="H2159" s="151"/>
      <c r="I2159" s="101" t="s">
        <v>2154</v>
      </c>
      <c r="J2159" s="101" t="s">
        <v>1513</v>
      </c>
      <c r="K2159" s="101" t="s">
        <v>1507</v>
      </c>
      <c r="L2159" s="101" t="s">
        <v>1505</v>
      </c>
      <c r="M2159" s="104"/>
      <c r="N2159" s="104"/>
      <c r="O2159" s="104"/>
      <c r="P2159" s="152">
        <v>1557665</v>
      </c>
      <c r="Q2159" s="87">
        <f t="shared" si="90"/>
        <v>0</v>
      </c>
      <c r="R2159" s="105"/>
      <c r="S2159" s="105"/>
      <c r="T2159" s="105"/>
      <c r="U2159" s="105"/>
      <c r="V2159" s="87">
        <f t="shared" si="89"/>
        <v>0</v>
      </c>
      <c r="W2159" s="106"/>
      <c r="X2159" s="64"/>
    </row>
    <row r="2160" spans="1:24" s="66" customFormat="1" ht="12" hidden="1" customHeight="1">
      <c r="A2160" s="151" t="s">
        <v>4730</v>
      </c>
      <c r="B2160" s="151"/>
      <c r="C2160" s="151"/>
      <c r="D2160" s="151"/>
      <c r="E2160" s="151"/>
      <c r="F2160" s="151"/>
      <c r="G2160" s="151"/>
      <c r="H2160" s="151"/>
      <c r="I2160" s="101" t="s">
        <v>4747</v>
      </c>
      <c r="J2160" s="101" t="s">
        <v>4748</v>
      </c>
      <c r="K2160" s="101" t="s">
        <v>4736</v>
      </c>
      <c r="L2160" s="101" t="s">
        <v>1505</v>
      </c>
      <c r="M2160" s="104"/>
      <c r="N2160" s="104"/>
      <c r="O2160" s="104"/>
      <c r="P2160" s="152">
        <v>1992272.2</v>
      </c>
      <c r="Q2160" s="87">
        <f t="shared" si="90"/>
        <v>0</v>
      </c>
      <c r="R2160" s="105"/>
      <c r="S2160" s="105"/>
      <c r="T2160" s="105"/>
      <c r="U2160" s="105"/>
      <c r="V2160" s="87">
        <f t="shared" si="89"/>
        <v>0</v>
      </c>
      <c r="W2160" s="106"/>
      <c r="X2160" s="64"/>
    </row>
    <row r="2161" spans="1:24" s="66" customFormat="1" ht="12" hidden="1" customHeight="1">
      <c r="A2161" s="151" t="s">
        <v>4749</v>
      </c>
      <c r="B2161" s="151"/>
      <c r="C2161" s="151"/>
      <c r="D2161" s="151"/>
      <c r="E2161" s="151"/>
      <c r="F2161" s="151"/>
      <c r="G2161" s="151"/>
      <c r="H2161" s="151"/>
      <c r="I2161" s="101" t="s">
        <v>4753</v>
      </c>
      <c r="J2161" s="101" t="s">
        <v>4754</v>
      </c>
      <c r="K2161" s="101" t="s">
        <v>4755</v>
      </c>
      <c r="L2161" s="101" t="s">
        <v>1505</v>
      </c>
      <c r="M2161" s="104"/>
      <c r="N2161" s="104"/>
      <c r="O2161" s="104"/>
      <c r="P2161" s="152">
        <v>26932.5</v>
      </c>
      <c r="Q2161" s="87">
        <f t="shared" si="90"/>
        <v>0</v>
      </c>
      <c r="R2161" s="105"/>
      <c r="S2161" s="105"/>
      <c r="T2161" s="105"/>
      <c r="U2161" s="105"/>
      <c r="V2161" s="87">
        <f t="shared" si="89"/>
        <v>0</v>
      </c>
      <c r="W2161" s="106"/>
      <c r="X2161" s="64"/>
    </row>
    <row r="2162" spans="1:24" s="66" customFormat="1" ht="12" hidden="1" customHeight="1">
      <c r="A2162" s="151" t="s">
        <v>4750</v>
      </c>
      <c r="B2162" s="151"/>
      <c r="C2162" s="151"/>
      <c r="D2162" s="151"/>
      <c r="E2162" s="151"/>
      <c r="F2162" s="151"/>
      <c r="G2162" s="151"/>
      <c r="H2162" s="151"/>
      <c r="I2162" s="101" t="s">
        <v>4756</v>
      </c>
      <c r="J2162" s="101" t="s">
        <v>4757</v>
      </c>
      <c r="K2162" s="101" t="s">
        <v>4758</v>
      </c>
      <c r="L2162" s="101" t="s">
        <v>1505</v>
      </c>
      <c r="M2162" s="104"/>
      <c r="N2162" s="104"/>
      <c r="O2162" s="104"/>
      <c r="P2162" s="152">
        <v>21161.25</v>
      </c>
      <c r="Q2162" s="87">
        <f t="shared" si="90"/>
        <v>0</v>
      </c>
      <c r="R2162" s="105"/>
      <c r="S2162" s="105"/>
      <c r="T2162" s="105"/>
      <c r="U2162" s="105"/>
      <c r="V2162" s="87">
        <f t="shared" ref="V2162:V2225" si="91">SUM(O2162+Q2162)+S2162+U2162</f>
        <v>0</v>
      </c>
      <c r="W2162" s="106"/>
      <c r="X2162" s="64"/>
    </row>
    <row r="2163" spans="1:24" s="66" customFormat="1" ht="12" hidden="1" customHeight="1">
      <c r="A2163" s="151" t="s">
        <v>4751</v>
      </c>
      <c r="B2163" s="151"/>
      <c r="C2163" s="151"/>
      <c r="D2163" s="151"/>
      <c r="E2163" s="151"/>
      <c r="F2163" s="151"/>
      <c r="G2163" s="151"/>
      <c r="H2163" s="151"/>
      <c r="I2163" s="101" t="s">
        <v>4759</v>
      </c>
      <c r="J2163" s="101" t="s">
        <v>4760</v>
      </c>
      <c r="K2163" s="101" t="s">
        <v>4755</v>
      </c>
      <c r="L2163" s="101" t="s">
        <v>1505</v>
      </c>
      <c r="M2163" s="104"/>
      <c r="N2163" s="104"/>
      <c r="O2163" s="104"/>
      <c r="P2163" s="152">
        <v>48093.75</v>
      </c>
      <c r="Q2163" s="87">
        <f t="shared" si="90"/>
        <v>0</v>
      </c>
      <c r="R2163" s="105"/>
      <c r="S2163" s="105"/>
      <c r="T2163" s="105"/>
      <c r="U2163" s="105"/>
      <c r="V2163" s="87">
        <f t="shared" si="91"/>
        <v>0</v>
      </c>
      <c r="W2163" s="106"/>
      <c r="X2163" s="64"/>
    </row>
    <row r="2164" spans="1:24" s="66" customFormat="1" ht="12" hidden="1" customHeight="1">
      <c r="A2164" s="151" t="s">
        <v>4752</v>
      </c>
      <c r="B2164" s="151"/>
      <c r="C2164" s="151"/>
      <c r="D2164" s="151"/>
      <c r="E2164" s="151"/>
      <c r="F2164" s="151"/>
      <c r="G2164" s="151"/>
      <c r="H2164" s="151"/>
      <c r="I2164" s="101" t="s">
        <v>4761</v>
      </c>
      <c r="J2164" s="101" t="s">
        <v>4762</v>
      </c>
      <c r="K2164" s="101" t="s">
        <v>4758</v>
      </c>
      <c r="L2164" s="101" t="s">
        <v>1505</v>
      </c>
      <c r="M2164" s="104"/>
      <c r="N2164" s="104"/>
      <c r="O2164" s="104"/>
      <c r="P2164" s="152">
        <v>36551.25</v>
      </c>
      <c r="Q2164" s="87">
        <f t="shared" si="90"/>
        <v>0</v>
      </c>
      <c r="R2164" s="105"/>
      <c r="S2164" s="105"/>
      <c r="T2164" s="105"/>
      <c r="U2164" s="105"/>
      <c r="V2164" s="87">
        <f t="shared" si="91"/>
        <v>0</v>
      </c>
      <c r="W2164" s="106"/>
      <c r="X2164" s="64"/>
    </row>
    <row r="2165" spans="1:24" s="66" customFormat="1" ht="12" hidden="1" customHeight="1">
      <c r="A2165" s="151" t="s">
        <v>4763</v>
      </c>
      <c r="B2165" s="151"/>
      <c r="C2165" s="151"/>
      <c r="D2165" s="151"/>
      <c r="E2165" s="151"/>
      <c r="F2165" s="151"/>
      <c r="G2165" s="151"/>
      <c r="H2165" s="151"/>
      <c r="I2165" s="101" t="s">
        <v>4765</v>
      </c>
      <c r="J2165" s="101" t="s">
        <v>4766</v>
      </c>
      <c r="K2165" s="101" t="s">
        <v>4767</v>
      </c>
      <c r="L2165" s="101" t="s">
        <v>20</v>
      </c>
      <c r="M2165" s="104"/>
      <c r="N2165" s="104"/>
      <c r="O2165" s="104"/>
      <c r="P2165" s="152">
        <v>7254.4920000000002</v>
      </c>
      <c r="Q2165" s="87">
        <f t="shared" si="90"/>
        <v>0</v>
      </c>
      <c r="R2165" s="105"/>
      <c r="S2165" s="105"/>
      <c r="T2165" s="105"/>
      <c r="U2165" s="105"/>
      <c r="V2165" s="87">
        <f t="shared" si="91"/>
        <v>0</v>
      </c>
      <c r="W2165" s="106"/>
      <c r="X2165" s="64"/>
    </row>
    <row r="2166" spans="1:24" s="66" customFormat="1" ht="12" hidden="1" customHeight="1">
      <c r="A2166" s="151" t="s">
        <v>4764</v>
      </c>
      <c r="B2166" s="151"/>
      <c r="C2166" s="151"/>
      <c r="D2166" s="151"/>
      <c r="E2166" s="151"/>
      <c r="F2166" s="151"/>
      <c r="G2166" s="151"/>
      <c r="H2166" s="151"/>
      <c r="I2166" s="101" t="s">
        <v>4768</v>
      </c>
      <c r="J2166" s="101" t="s">
        <v>4769</v>
      </c>
      <c r="K2166" s="101" t="s">
        <v>4770</v>
      </c>
      <c r="L2166" s="101" t="s">
        <v>20</v>
      </c>
      <c r="M2166" s="104"/>
      <c r="N2166" s="104"/>
      <c r="O2166" s="104"/>
      <c r="P2166" s="152">
        <v>9327.2039999999997</v>
      </c>
      <c r="Q2166" s="87">
        <f t="shared" si="90"/>
        <v>0</v>
      </c>
      <c r="R2166" s="105"/>
      <c r="S2166" s="105"/>
      <c r="T2166" s="105"/>
      <c r="U2166" s="105"/>
      <c r="V2166" s="87">
        <f t="shared" si="91"/>
        <v>0</v>
      </c>
      <c r="W2166" s="106"/>
      <c r="X2166" s="64"/>
    </row>
    <row r="2167" spans="1:24" s="66" customFormat="1" ht="12" hidden="1" customHeight="1">
      <c r="A2167" s="151" t="s">
        <v>4771</v>
      </c>
      <c r="B2167" s="151"/>
      <c r="C2167" s="151"/>
      <c r="D2167" s="151"/>
      <c r="E2167" s="151"/>
      <c r="F2167" s="151"/>
      <c r="G2167" s="151"/>
      <c r="H2167" s="151"/>
      <c r="I2167" s="101" t="s">
        <v>2091</v>
      </c>
      <c r="J2167" s="101" t="s">
        <v>1590</v>
      </c>
      <c r="K2167" s="101" t="s">
        <v>1591</v>
      </c>
      <c r="L2167" s="101" t="s">
        <v>0</v>
      </c>
      <c r="M2167" s="104"/>
      <c r="N2167" s="104"/>
      <c r="O2167" s="104"/>
      <c r="P2167" s="152">
        <v>12293.68</v>
      </c>
      <c r="Q2167" s="87">
        <f t="shared" si="90"/>
        <v>0</v>
      </c>
      <c r="R2167" s="105"/>
      <c r="S2167" s="105"/>
      <c r="T2167" s="105"/>
      <c r="U2167" s="105"/>
      <c r="V2167" s="87">
        <f t="shared" si="91"/>
        <v>0</v>
      </c>
      <c r="W2167" s="106"/>
      <c r="X2167" s="64"/>
    </row>
    <row r="2168" spans="1:24" s="66" customFormat="1" ht="12" hidden="1" customHeight="1">
      <c r="A2168" s="151" t="s">
        <v>4772</v>
      </c>
      <c r="B2168" s="151"/>
      <c r="C2168" s="151"/>
      <c r="D2168" s="151"/>
      <c r="E2168" s="151"/>
      <c r="F2168" s="151"/>
      <c r="G2168" s="151"/>
      <c r="H2168" s="151"/>
      <c r="I2168" s="101" t="s">
        <v>2092</v>
      </c>
      <c r="J2168" s="101" t="s">
        <v>1592</v>
      </c>
      <c r="K2168" s="101" t="s">
        <v>1593</v>
      </c>
      <c r="L2168" s="101" t="s">
        <v>0</v>
      </c>
      <c r="M2168" s="104"/>
      <c r="N2168" s="104"/>
      <c r="O2168" s="104"/>
      <c r="P2168" s="152">
        <v>18440.52</v>
      </c>
      <c r="Q2168" s="87">
        <f t="shared" si="90"/>
        <v>0</v>
      </c>
      <c r="R2168" s="105"/>
      <c r="S2168" s="105"/>
      <c r="T2168" s="105"/>
      <c r="U2168" s="105"/>
      <c r="V2168" s="87">
        <f t="shared" si="91"/>
        <v>0</v>
      </c>
      <c r="W2168" s="106"/>
      <c r="X2168" s="64"/>
    </row>
    <row r="2169" spans="1:24" s="66" customFormat="1" ht="12" hidden="1" customHeight="1">
      <c r="A2169" s="151" t="s">
        <v>4773</v>
      </c>
      <c r="B2169" s="151"/>
      <c r="C2169" s="151"/>
      <c r="D2169" s="151"/>
      <c r="E2169" s="151"/>
      <c r="F2169" s="151"/>
      <c r="G2169" s="151"/>
      <c r="H2169" s="151"/>
      <c r="I2169" s="101" t="s">
        <v>2093</v>
      </c>
      <c r="J2169" s="101" t="s">
        <v>1594</v>
      </c>
      <c r="K2169" s="101" t="s">
        <v>1595</v>
      </c>
      <c r="L2169" s="101" t="s">
        <v>0</v>
      </c>
      <c r="M2169" s="104"/>
      <c r="N2169" s="104"/>
      <c r="O2169" s="104"/>
      <c r="P2169" s="152">
        <v>24587.360000000001</v>
      </c>
      <c r="Q2169" s="87">
        <f t="shared" si="90"/>
        <v>0</v>
      </c>
      <c r="R2169" s="105"/>
      <c r="S2169" s="105"/>
      <c r="T2169" s="105"/>
      <c r="U2169" s="105"/>
      <c r="V2169" s="87">
        <f t="shared" si="91"/>
        <v>0</v>
      </c>
      <c r="W2169" s="106"/>
      <c r="X2169" s="64"/>
    </row>
    <row r="2170" spans="1:24" s="66" customFormat="1" ht="12" hidden="1" customHeight="1">
      <c r="A2170" s="151" t="s">
        <v>4774</v>
      </c>
      <c r="B2170" s="151"/>
      <c r="C2170" s="151"/>
      <c r="D2170" s="151"/>
      <c r="E2170" s="151"/>
      <c r="F2170" s="151"/>
      <c r="G2170" s="151"/>
      <c r="H2170" s="151"/>
      <c r="I2170" s="101" t="s">
        <v>2094</v>
      </c>
      <c r="J2170" s="101" t="s">
        <v>1596</v>
      </c>
      <c r="K2170" s="101" t="s">
        <v>1597</v>
      </c>
      <c r="L2170" s="101" t="s">
        <v>0</v>
      </c>
      <c r="M2170" s="104"/>
      <c r="N2170" s="104"/>
      <c r="O2170" s="104"/>
      <c r="P2170" s="152">
        <v>30734.2</v>
      </c>
      <c r="Q2170" s="87">
        <f t="shared" si="90"/>
        <v>0</v>
      </c>
      <c r="R2170" s="105"/>
      <c r="S2170" s="105"/>
      <c r="T2170" s="105"/>
      <c r="U2170" s="105"/>
      <c r="V2170" s="87">
        <f t="shared" si="91"/>
        <v>0</v>
      </c>
      <c r="W2170" s="106"/>
      <c r="X2170" s="64"/>
    </row>
    <row r="2171" spans="1:24" s="66" customFormat="1" ht="12" hidden="1" customHeight="1">
      <c r="A2171" s="151" t="s">
        <v>4775</v>
      </c>
      <c r="B2171" s="151"/>
      <c r="C2171" s="151"/>
      <c r="D2171" s="151"/>
      <c r="E2171" s="151"/>
      <c r="F2171" s="151"/>
      <c r="G2171" s="151"/>
      <c r="H2171" s="151"/>
      <c r="I2171" s="101" t="s">
        <v>2095</v>
      </c>
      <c r="J2171" s="101" t="s">
        <v>1598</v>
      </c>
      <c r="K2171" s="101" t="s">
        <v>1599</v>
      </c>
      <c r="L2171" s="101" t="s">
        <v>0</v>
      </c>
      <c r="M2171" s="104"/>
      <c r="N2171" s="104"/>
      <c r="O2171" s="104"/>
      <c r="P2171" s="152">
        <v>46101.3</v>
      </c>
      <c r="Q2171" s="87">
        <f t="shared" si="90"/>
        <v>0</v>
      </c>
      <c r="R2171" s="105"/>
      <c r="S2171" s="105"/>
      <c r="T2171" s="105"/>
      <c r="U2171" s="105"/>
      <c r="V2171" s="87">
        <f t="shared" si="91"/>
        <v>0</v>
      </c>
      <c r="W2171" s="106"/>
      <c r="X2171" s="64"/>
    </row>
    <row r="2172" spans="1:24" s="66" customFormat="1" ht="12" hidden="1" customHeight="1">
      <c r="A2172" s="151" t="s">
        <v>4776</v>
      </c>
      <c r="B2172" s="151"/>
      <c r="C2172" s="151"/>
      <c r="D2172" s="151"/>
      <c r="E2172" s="151"/>
      <c r="F2172" s="151"/>
      <c r="G2172" s="151"/>
      <c r="H2172" s="151"/>
      <c r="I2172" s="101" t="s">
        <v>2096</v>
      </c>
      <c r="J2172" s="101" t="s">
        <v>1600</v>
      </c>
      <c r="K2172" s="101" t="s">
        <v>1601</v>
      </c>
      <c r="L2172" s="101" t="s">
        <v>0</v>
      </c>
      <c r="M2172" s="104"/>
      <c r="N2172" s="104"/>
      <c r="O2172" s="104"/>
      <c r="P2172" s="152">
        <v>69151.95</v>
      </c>
      <c r="Q2172" s="87">
        <f t="shared" si="90"/>
        <v>0</v>
      </c>
      <c r="R2172" s="105"/>
      <c r="S2172" s="105"/>
      <c r="T2172" s="105"/>
      <c r="U2172" s="105"/>
      <c r="V2172" s="87">
        <f t="shared" si="91"/>
        <v>0</v>
      </c>
      <c r="W2172" s="106"/>
      <c r="X2172" s="64"/>
    </row>
    <row r="2173" spans="1:24" s="66" customFormat="1" ht="12" hidden="1" customHeight="1">
      <c r="A2173" s="151" t="s">
        <v>4777</v>
      </c>
      <c r="B2173" s="151"/>
      <c r="C2173" s="151"/>
      <c r="D2173" s="151"/>
      <c r="E2173" s="151"/>
      <c r="F2173" s="151"/>
      <c r="G2173" s="151"/>
      <c r="H2173" s="151"/>
      <c r="I2173" s="101" t="s">
        <v>2097</v>
      </c>
      <c r="J2173" s="101" t="s">
        <v>1602</v>
      </c>
      <c r="K2173" s="101" t="s">
        <v>1603</v>
      </c>
      <c r="L2173" s="101" t="s">
        <v>0</v>
      </c>
      <c r="M2173" s="104"/>
      <c r="N2173" s="104"/>
      <c r="O2173" s="104"/>
      <c r="P2173" s="152">
        <v>84519.05</v>
      </c>
      <c r="Q2173" s="87">
        <f t="shared" si="90"/>
        <v>0</v>
      </c>
      <c r="R2173" s="105"/>
      <c r="S2173" s="105"/>
      <c r="T2173" s="105"/>
      <c r="U2173" s="105"/>
      <c r="V2173" s="87">
        <f t="shared" si="91"/>
        <v>0</v>
      </c>
      <c r="W2173" s="106"/>
      <c r="X2173" s="64"/>
    </row>
    <row r="2174" spans="1:24" s="66" customFormat="1" ht="12" hidden="1" customHeight="1">
      <c r="A2174" s="151" t="s">
        <v>4778</v>
      </c>
      <c r="B2174" s="151"/>
      <c r="C2174" s="151"/>
      <c r="D2174" s="151"/>
      <c r="E2174" s="151"/>
      <c r="F2174" s="151"/>
      <c r="G2174" s="151"/>
      <c r="H2174" s="151"/>
      <c r="I2174" s="101" t="s">
        <v>4783</v>
      </c>
      <c r="J2174" s="101" t="s">
        <v>4784</v>
      </c>
      <c r="K2174" s="101" t="s">
        <v>4785</v>
      </c>
      <c r="L2174" s="101" t="s">
        <v>20</v>
      </c>
      <c r="M2174" s="104"/>
      <c r="N2174" s="104"/>
      <c r="O2174" s="104"/>
      <c r="P2174" s="152">
        <v>9327.2039999999997</v>
      </c>
      <c r="Q2174" s="87">
        <f t="shared" si="90"/>
        <v>0</v>
      </c>
      <c r="R2174" s="105"/>
      <c r="S2174" s="105"/>
      <c r="T2174" s="105"/>
      <c r="U2174" s="105"/>
      <c r="V2174" s="87">
        <f t="shared" si="91"/>
        <v>0</v>
      </c>
      <c r="W2174" s="106"/>
      <c r="X2174" s="64"/>
    </row>
    <row r="2175" spans="1:24" s="66" customFormat="1" ht="12" hidden="1" customHeight="1">
      <c r="A2175" s="151" t="s">
        <v>4779</v>
      </c>
      <c r="B2175" s="151"/>
      <c r="C2175" s="151"/>
      <c r="D2175" s="151"/>
      <c r="E2175" s="151"/>
      <c r="F2175" s="151"/>
      <c r="G2175" s="151"/>
      <c r="H2175" s="151"/>
      <c r="I2175" s="101" t="s">
        <v>4786</v>
      </c>
      <c r="J2175" s="101" t="s">
        <v>4787</v>
      </c>
      <c r="K2175" s="101" t="s">
        <v>4788</v>
      </c>
      <c r="L2175" s="101" t="s">
        <v>20</v>
      </c>
      <c r="M2175" s="104"/>
      <c r="N2175" s="104"/>
      <c r="O2175" s="104"/>
      <c r="P2175" s="152">
        <v>20727.12</v>
      </c>
      <c r="Q2175" s="87">
        <f t="shared" si="90"/>
        <v>0</v>
      </c>
      <c r="R2175" s="105"/>
      <c r="S2175" s="105"/>
      <c r="T2175" s="105"/>
      <c r="U2175" s="105"/>
      <c r="V2175" s="87">
        <f t="shared" si="91"/>
        <v>0</v>
      </c>
      <c r="W2175" s="106"/>
      <c r="X2175" s="64"/>
    </row>
    <row r="2176" spans="1:24" s="66" customFormat="1" ht="12" hidden="1" customHeight="1">
      <c r="A2176" s="151" t="s">
        <v>4780</v>
      </c>
      <c r="B2176" s="151"/>
      <c r="C2176" s="151"/>
      <c r="D2176" s="151"/>
      <c r="E2176" s="151"/>
      <c r="F2176" s="151"/>
      <c r="G2176" s="151"/>
      <c r="H2176" s="151"/>
      <c r="I2176" s="101" t="s">
        <v>4789</v>
      </c>
      <c r="J2176" s="101" t="s">
        <v>4790</v>
      </c>
      <c r="K2176" s="101" t="s">
        <v>4791</v>
      </c>
      <c r="L2176" s="101" t="s">
        <v>20</v>
      </c>
      <c r="M2176" s="104"/>
      <c r="N2176" s="104"/>
      <c r="O2176" s="104"/>
      <c r="P2176" s="152">
        <v>31090.68</v>
      </c>
      <c r="Q2176" s="87">
        <f t="shared" si="90"/>
        <v>0</v>
      </c>
      <c r="R2176" s="105"/>
      <c r="S2176" s="105"/>
      <c r="T2176" s="105"/>
      <c r="U2176" s="105"/>
      <c r="V2176" s="87">
        <f t="shared" si="91"/>
        <v>0</v>
      </c>
      <c r="W2176" s="106"/>
      <c r="X2176" s="64"/>
    </row>
    <row r="2177" spans="1:24" s="66" customFormat="1" ht="12" hidden="1" customHeight="1">
      <c r="A2177" s="151" t="s">
        <v>4781</v>
      </c>
      <c r="B2177" s="151"/>
      <c r="C2177" s="151"/>
      <c r="D2177" s="151"/>
      <c r="E2177" s="151"/>
      <c r="F2177" s="151"/>
      <c r="G2177" s="151"/>
      <c r="H2177" s="151"/>
      <c r="I2177" s="101" t="s">
        <v>4792</v>
      </c>
      <c r="J2177" s="101" t="s">
        <v>4793</v>
      </c>
      <c r="K2177" s="101" t="s">
        <v>4794</v>
      </c>
      <c r="L2177" s="101" t="s">
        <v>20</v>
      </c>
      <c r="M2177" s="104"/>
      <c r="N2177" s="104"/>
      <c r="O2177" s="104"/>
      <c r="P2177" s="152">
        <v>59590.47</v>
      </c>
      <c r="Q2177" s="87">
        <f t="shared" si="90"/>
        <v>0</v>
      </c>
      <c r="R2177" s="105"/>
      <c r="S2177" s="105"/>
      <c r="T2177" s="105"/>
      <c r="U2177" s="105"/>
      <c r="V2177" s="87">
        <f t="shared" si="91"/>
        <v>0</v>
      </c>
      <c r="W2177" s="106"/>
      <c r="X2177" s="64"/>
    </row>
    <row r="2178" spans="1:24" s="66" customFormat="1" ht="12" hidden="1" customHeight="1">
      <c r="A2178" s="151" t="s">
        <v>4782</v>
      </c>
      <c r="B2178" s="151"/>
      <c r="C2178" s="151"/>
      <c r="D2178" s="151"/>
      <c r="E2178" s="151"/>
      <c r="F2178" s="151"/>
      <c r="G2178" s="151"/>
      <c r="H2178" s="151"/>
      <c r="I2178" s="101" t="s">
        <v>4795</v>
      </c>
      <c r="J2178" s="101" t="s">
        <v>4796</v>
      </c>
      <c r="K2178" s="101" t="s">
        <v>4797</v>
      </c>
      <c r="L2178" s="101" t="s">
        <v>20</v>
      </c>
      <c r="M2178" s="104"/>
      <c r="N2178" s="104"/>
      <c r="O2178" s="104"/>
      <c r="P2178" s="152">
        <v>77726.7</v>
      </c>
      <c r="Q2178" s="87">
        <f t="shared" si="90"/>
        <v>0</v>
      </c>
      <c r="R2178" s="105"/>
      <c r="S2178" s="105"/>
      <c r="T2178" s="105"/>
      <c r="U2178" s="105"/>
      <c r="V2178" s="87">
        <f t="shared" si="91"/>
        <v>0</v>
      </c>
      <c r="W2178" s="106"/>
      <c r="X2178" s="64"/>
    </row>
    <row r="2179" spans="1:24" s="66" customFormat="1" ht="12" hidden="1" customHeight="1">
      <c r="A2179" s="151" t="s">
        <v>4798</v>
      </c>
      <c r="B2179" s="151"/>
      <c r="C2179" s="151"/>
      <c r="D2179" s="151"/>
      <c r="E2179" s="151"/>
      <c r="F2179" s="151"/>
      <c r="G2179" s="151"/>
      <c r="H2179" s="151"/>
      <c r="I2179" s="101" t="s">
        <v>4809</v>
      </c>
      <c r="J2179" s="101" t="s">
        <v>4810</v>
      </c>
      <c r="K2179" s="101" t="s">
        <v>1604</v>
      </c>
      <c r="L2179" s="101" t="s">
        <v>1135</v>
      </c>
      <c r="M2179" s="104"/>
      <c r="N2179" s="104"/>
      <c r="O2179" s="104"/>
      <c r="P2179" s="152">
        <v>25008.75</v>
      </c>
      <c r="Q2179" s="87">
        <f t="shared" si="90"/>
        <v>0</v>
      </c>
      <c r="R2179" s="105"/>
      <c r="S2179" s="105"/>
      <c r="T2179" s="105"/>
      <c r="U2179" s="105"/>
      <c r="V2179" s="87">
        <f t="shared" si="91"/>
        <v>0</v>
      </c>
      <c r="W2179" s="106"/>
      <c r="X2179" s="64"/>
    </row>
    <row r="2180" spans="1:24" s="66" customFormat="1" ht="12" hidden="1" customHeight="1">
      <c r="A2180" s="151" t="s">
        <v>4799</v>
      </c>
      <c r="B2180" s="151"/>
      <c r="C2180" s="151"/>
      <c r="D2180" s="151"/>
      <c r="E2180" s="151"/>
      <c r="F2180" s="151"/>
      <c r="G2180" s="151"/>
      <c r="H2180" s="151"/>
      <c r="I2180" s="101" t="s">
        <v>4811</v>
      </c>
      <c r="J2180" s="101" t="s">
        <v>4812</v>
      </c>
      <c r="K2180" s="101" t="s">
        <v>1605</v>
      </c>
      <c r="L2180" s="101" t="s">
        <v>1135</v>
      </c>
      <c r="M2180" s="104"/>
      <c r="N2180" s="104"/>
      <c r="O2180" s="104"/>
      <c r="P2180" s="152">
        <v>28856.25</v>
      </c>
      <c r="Q2180" s="87">
        <f t="shared" si="90"/>
        <v>0</v>
      </c>
      <c r="R2180" s="105"/>
      <c r="S2180" s="105"/>
      <c r="T2180" s="105"/>
      <c r="U2180" s="105"/>
      <c r="V2180" s="87">
        <f t="shared" si="91"/>
        <v>0</v>
      </c>
      <c r="W2180" s="106"/>
      <c r="X2180" s="64"/>
    </row>
    <row r="2181" spans="1:24" s="66" customFormat="1" ht="12" hidden="1" customHeight="1">
      <c r="A2181" s="151" t="s">
        <v>4800</v>
      </c>
      <c r="B2181" s="151"/>
      <c r="C2181" s="151"/>
      <c r="D2181" s="151"/>
      <c r="E2181" s="151"/>
      <c r="F2181" s="151"/>
      <c r="G2181" s="151"/>
      <c r="H2181" s="151"/>
      <c r="I2181" s="101" t="s">
        <v>4813</v>
      </c>
      <c r="J2181" s="101" t="s">
        <v>4814</v>
      </c>
      <c r="K2181" s="101" t="s">
        <v>1606</v>
      </c>
      <c r="L2181" s="101" t="s">
        <v>1135</v>
      </c>
      <c r="M2181" s="104"/>
      <c r="N2181" s="104"/>
      <c r="O2181" s="104"/>
      <c r="P2181" s="152">
        <v>34627.5</v>
      </c>
      <c r="Q2181" s="87">
        <f t="shared" si="90"/>
        <v>0</v>
      </c>
      <c r="R2181" s="105"/>
      <c r="S2181" s="105"/>
      <c r="T2181" s="105"/>
      <c r="U2181" s="105"/>
      <c r="V2181" s="87">
        <f t="shared" si="91"/>
        <v>0</v>
      </c>
      <c r="W2181" s="106"/>
      <c r="X2181" s="64"/>
    </row>
    <row r="2182" spans="1:24" s="66" customFormat="1" ht="12" hidden="1" customHeight="1">
      <c r="A2182" s="151" t="s">
        <v>4801</v>
      </c>
      <c r="B2182" s="151"/>
      <c r="C2182" s="151"/>
      <c r="D2182" s="151"/>
      <c r="E2182" s="151"/>
      <c r="F2182" s="151"/>
      <c r="G2182" s="151"/>
      <c r="H2182" s="151"/>
      <c r="I2182" s="101" t="s">
        <v>4815</v>
      </c>
      <c r="J2182" s="101" t="s">
        <v>4816</v>
      </c>
      <c r="K2182" s="101" t="s">
        <v>1607</v>
      </c>
      <c r="L2182" s="101" t="s">
        <v>1135</v>
      </c>
      <c r="M2182" s="104"/>
      <c r="N2182" s="104"/>
      <c r="O2182" s="104"/>
      <c r="P2182" s="152">
        <v>38475</v>
      </c>
      <c r="Q2182" s="87">
        <f t="shared" si="90"/>
        <v>0</v>
      </c>
      <c r="R2182" s="105"/>
      <c r="S2182" s="105"/>
      <c r="T2182" s="105"/>
      <c r="U2182" s="105"/>
      <c r="V2182" s="87">
        <f t="shared" si="91"/>
        <v>0</v>
      </c>
      <c r="W2182" s="106"/>
      <c r="X2182" s="64"/>
    </row>
    <row r="2183" spans="1:24" s="66" customFormat="1" ht="12" hidden="1" customHeight="1">
      <c r="A2183" s="151" t="s">
        <v>4802</v>
      </c>
      <c r="B2183" s="151"/>
      <c r="C2183" s="151"/>
      <c r="D2183" s="151"/>
      <c r="E2183" s="151"/>
      <c r="F2183" s="151"/>
      <c r="G2183" s="151"/>
      <c r="H2183" s="151"/>
      <c r="I2183" s="101" t="s">
        <v>4817</v>
      </c>
      <c r="J2183" s="101" t="s">
        <v>4818</v>
      </c>
      <c r="K2183" s="101" t="s">
        <v>1608</v>
      </c>
      <c r="L2183" s="101" t="s">
        <v>1135</v>
      </c>
      <c r="M2183" s="104"/>
      <c r="N2183" s="104"/>
      <c r="O2183" s="104"/>
      <c r="P2183" s="152">
        <v>46170</v>
      </c>
      <c r="Q2183" s="87">
        <f t="shared" si="90"/>
        <v>0</v>
      </c>
      <c r="R2183" s="105"/>
      <c r="S2183" s="105"/>
      <c r="T2183" s="105"/>
      <c r="U2183" s="105"/>
      <c r="V2183" s="87">
        <f t="shared" si="91"/>
        <v>0</v>
      </c>
      <c r="W2183" s="106"/>
      <c r="X2183" s="64"/>
    </row>
    <row r="2184" spans="1:24" s="66" customFormat="1" ht="12" hidden="1" customHeight="1">
      <c r="A2184" s="151" t="s">
        <v>4803</v>
      </c>
      <c r="B2184" s="151"/>
      <c r="C2184" s="151"/>
      <c r="D2184" s="151"/>
      <c r="E2184" s="151"/>
      <c r="F2184" s="151"/>
      <c r="G2184" s="151"/>
      <c r="H2184" s="151"/>
      <c r="I2184" s="101" t="s">
        <v>4819</v>
      </c>
      <c r="J2184" s="101" t="s">
        <v>4820</v>
      </c>
      <c r="K2184" s="101" t="s">
        <v>1609</v>
      </c>
      <c r="L2184" s="101" t="s">
        <v>1135</v>
      </c>
      <c r="M2184" s="104"/>
      <c r="N2184" s="104"/>
      <c r="O2184" s="104"/>
      <c r="P2184" s="152">
        <v>50017.5</v>
      </c>
      <c r="Q2184" s="87">
        <f t="shared" si="90"/>
        <v>0</v>
      </c>
      <c r="R2184" s="105"/>
      <c r="S2184" s="105"/>
      <c r="T2184" s="105"/>
      <c r="U2184" s="105"/>
      <c r="V2184" s="87">
        <f t="shared" si="91"/>
        <v>0</v>
      </c>
      <c r="W2184" s="106"/>
      <c r="X2184" s="64"/>
    </row>
    <row r="2185" spans="1:24" s="66" customFormat="1" ht="12" hidden="1" customHeight="1">
      <c r="A2185" s="151" t="s">
        <v>4804</v>
      </c>
      <c r="B2185" s="151"/>
      <c r="C2185" s="151"/>
      <c r="D2185" s="151"/>
      <c r="E2185" s="151"/>
      <c r="F2185" s="151"/>
      <c r="G2185" s="151"/>
      <c r="H2185" s="151"/>
      <c r="I2185" s="101" t="s">
        <v>4821</v>
      </c>
      <c r="J2185" s="101" t="s">
        <v>4822</v>
      </c>
      <c r="K2185" s="101" t="s">
        <v>1610</v>
      </c>
      <c r="L2185" s="101" t="s">
        <v>1135</v>
      </c>
      <c r="M2185" s="104"/>
      <c r="N2185" s="104"/>
      <c r="O2185" s="104"/>
      <c r="P2185" s="152">
        <v>59636.25</v>
      </c>
      <c r="Q2185" s="87">
        <f t="shared" si="90"/>
        <v>0</v>
      </c>
      <c r="R2185" s="105"/>
      <c r="S2185" s="105"/>
      <c r="T2185" s="105"/>
      <c r="U2185" s="105"/>
      <c r="V2185" s="87">
        <f t="shared" si="91"/>
        <v>0</v>
      </c>
      <c r="W2185" s="106"/>
      <c r="X2185" s="64"/>
    </row>
    <row r="2186" spans="1:24" s="66" customFormat="1" ht="12" hidden="1" customHeight="1">
      <c r="A2186" s="151" t="s">
        <v>4805</v>
      </c>
      <c r="B2186" s="151"/>
      <c r="C2186" s="151"/>
      <c r="D2186" s="151"/>
      <c r="E2186" s="151"/>
      <c r="F2186" s="151"/>
      <c r="G2186" s="151"/>
      <c r="H2186" s="151"/>
      <c r="I2186" s="101" t="s">
        <v>4823</v>
      </c>
      <c r="J2186" s="101" t="s">
        <v>4824</v>
      </c>
      <c r="K2186" s="101" t="s">
        <v>1611</v>
      </c>
      <c r="L2186" s="101" t="s">
        <v>1135</v>
      </c>
      <c r="M2186" s="104"/>
      <c r="N2186" s="104"/>
      <c r="O2186" s="104"/>
      <c r="P2186" s="152">
        <v>69255</v>
      </c>
      <c r="Q2186" s="87">
        <f t="shared" si="90"/>
        <v>0</v>
      </c>
      <c r="R2186" s="105"/>
      <c r="S2186" s="105"/>
      <c r="T2186" s="105"/>
      <c r="U2186" s="105"/>
      <c r="V2186" s="87">
        <f t="shared" si="91"/>
        <v>0</v>
      </c>
      <c r="W2186" s="106"/>
      <c r="X2186" s="64"/>
    </row>
    <row r="2187" spans="1:24" s="66" customFormat="1" ht="12" hidden="1" customHeight="1">
      <c r="A2187" s="151" t="s">
        <v>4806</v>
      </c>
      <c r="B2187" s="151"/>
      <c r="C2187" s="151"/>
      <c r="D2187" s="151"/>
      <c r="E2187" s="151"/>
      <c r="F2187" s="151"/>
      <c r="G2187" s="151"/>
      <c r="H2187" s="151"/>
      <c r="I2187" s="101" t="s">
        <v>4825</v>
      </c>
      <c r="J2187" s="101" t="s">
        <v>4826</v>
      </c>
      <c r="K2187" s="101" t="s">
        <v>1612</v>
      </c>
      <c r="L2187" s="101" t="s">
        <v>1135</v>
      </c>
      <c r="M2187" s="104"/>
      <c r="N2187" s="104"/>
      <c r="O2187" s="104"/>
      <c r="P2187" s="152">
        <v>78873.75</v>
      </c>
      <c r="Q2187" s="87">
        <f t="shared" si="90"/>
        <v>0</v>
      </c>
      <c r="R2187" s="105"/>
      <c r="S2187" s="105"/>
      <c r="T2187" s="105"/>
      <c r="U2187" s="105"/>
      <c r="V2187" s="87">
        <f t="shared" si="91"/>
        <v>0</v>
      </c>
      <c r="W2187" s="106"/>
      <c r="X2187" s="64"/>
    </row>
    <row r="2188" spans="1:24" s="66" customFormat="1" ht="12" hidden="1" customHeight="1">
      <c r="A2188" s="151" t="s">
        <v>4807</v>
      </c>
      <c r="B2188" s="151"/>
      <c r="C2188" s="151"/>
      <c r="D2188" s="151"/>
      <c r="E2188" s="151"/>
      <c r="F2188" s="151"/>
      <c r="G2188" s="151"/>
      <c r="H2188" s="151"/>
      <c r="I2188" s="101" t="s">
        <v>4827</v>
      </c>
      <c r="J2188" s="101" t="s">
        <v>4828</v>
      </c>
      <c r="K2188" s="101" t="s">
        <v>4829</v>
      </c>
      <c r="L2188" s="101" t="s">
        <v>1135</v>
      </c>
      <c r="M2188" s="104"/>
      <c r="N2188" s="104"/>
      <c r="O2188" s="104"/>
      <c r="P2188" s="152">
        <v>92340</v>
      </c>
      <c r="Q2188" s="87">
        <f t="shared" si="90"/>
        <v>0</v>
      </c>
      <c r="R2188" s="105"/>
      <c r="S2188" s="105"/>
      <c r="T2188" s="105"/>
      <c r="U2188" s="105"/>
      <c r="V2188" s="87">
        <f t="shared" si="91"/>
        <v>0</v>
      </c>
      <c r="W2188" s="106"/>
      <c r="X2188" s="64"/>
    </row>
    <row r="2189" spans="1:24" s="66" customFormat="1" ht="12" hidden="1" customHeight="1">
      <c r="A2189" s="151" t="s">
        <v>4808</v>
      </c>
      <c r="B2189" s="151"/>
      <c r="C2189" s="151"/>
      <c r="D2189" s="151"/>
      <c r="E2189" s="151"/>
      <c r="F2189" s="151"/>
      <c r="G2189" s="151"/>
      <c r="H2189" s="151"/>
      <c r="I2189" s="101" t="s">
        <v>4830</v>
      </c>
      <c r="J2189" s="101" t="s">
        <v>4831</v>
      </c>
      <c r="K2189" s="101" t="s">
        <v>4832</v>
      </c>
      <c r="L2189" s="101" t="s">
        <v>1135</v>
      </c>
      <c r="M2189" s="104"/>
      <c r="N2189" s="104"/>
      <c r="O2189" s="104"/>
      <c r="P2189" s="152">
        <v>105806.25</v>
      </c>
      <c r="Q2189" s="87">
        <f t="shared" si="90"/>
        <v>0</v>
      </c>
      <c r="R2189" s="105"/>
      <c r="S2189" s="105"/>
      <c r="T2189" s="105"/>
      <c r="U2189" s="105"/>
      <c r="V2189" s="87">
        <f t="shared" si="91"/>
        <v>0</v>
      </c>
      <c r="W2189" s="106"/>
      <c r="X2189" s="64"/>
    </row>
    <row r="2190" spans="1:24" s="66" customFormat="1" ht="12" hidden="1" customHeight="1">
      <c r="A2190" s="151" t="s">
        <v>4833</v>
      </c>
      <c r="B2190" s="151"/>
      <c r="C2190" s="151"/>
      <c r="D2190" s="151"/>
      <c r="E2190" s="151"/>
      <c r="F2190" s="151"/>
      <c r="G2190" s="151"/>
      <c r="H2190" s="151"/>
      <c r="I2190" s="101" t="s">
        <v>4843</v>
      </c>
      <c r="J2190" s="101" t="s">
        <v>4844</v>
      </c>
      <c r="K2190" s="101" t="s">
        <v>1614</v>
      </c>
      <c r="L2190" s="101" t="s">
        <v>1135</v>
      </c>
      <c r="M2190" s="104"/>
      <c r="N2190" s="104"/>
      <c r="O2190" s="104"/>
      <c r="P2190" s="152">
        <v>42152.345999999998</v>
      </c>
      <c r="Q2190" s="87">
        <f t="shared" si="90"/>
        <v>0</v>
      </c>
      <c r="R2190" s="105"/>
      <c r="S2190" s="105"/>
      <c r="T2190" s="105"/>
      <c r="U2190" s="105"/>
      <c r="V2190" s="87">
        <f t="shared" si="91"/>
        <v>0</v>
      </c>
      <c r="W2190" s="106"/>
      <c r="X2190" s="64"/>
    </row>
    <row r="2191" spans="1:24" s="66" customFormat="1" ht="12" hidden="1" customHeight="1">
      <c r="A2191" s="151" t="s">
        <v>4834</v>
      </c>
      <c r="B2191" s="151"/>
      <c r="C2191" s="151"/>
      <c r="D2191" s="151"/>
      <c r="E2191" s="151"/>
      <c r="F2191" s="151"/>
      <c r="G2191" s="151"/>
      <c r="H2191" s="151"/>
      <c r="I2191" s="101" t="s">
        <v>4845</v>
      </c>
      <c r="J2191" s="101" t="s">
        <v>4846</v>
      </c>
      <c r="K2191" s="101" t="s">
        <v>1604</v>
      </c>
      <c r="L2191" s="101" t="s">
        <v>1135</v>
      </c>
      <c r="M2191" s="104"/>
      <c r="N2191" s="104"/>
      <c r="O2191" s="104"/>
      <c r="P2191" s="152">
        <v>52090.703999999998</v>
      </c>
      <c r="Q2191" s="87">
        <f t="shared" si="90"/>
        <v>0</v>
      </c>
      <c r="R2191" s="105"/>
      <c r="S2191" s="105"/>
      <c r="T2191" s="105"/>
      <c r="U2191" s="105"/>
      <c r="V2191" s="87">
        <f t="shared" si="91"/>
        <v>0</v>
      </c>
      <c r="W2191" s="106"/>
      <c r="X2191" s="64"/>
    </row>
    <row r="2192" spans="1:24" s="66" customFormat="1" ht="12" hidden="1" customHeight="1">
      <c r="A2192" s="151" t="s">
        <v>4835</v>
      </c>
      <c r="B2192" s="151"/>
      <c r="C2192" s="151"/>
      <c r="D2192" s="151"/>
      <c r="E2192" s="151"/>
      <c r="F2192" s="151"/>
      <c r="G2192" s="151"/>
      <c r="H2192" s="151"/>
      <c r="I2192" s="101" t="s">
        <v>4847</v>
      </c>
      <c r="J2192" s="101" t="s">
        <v>4848</v>
      </c>
      <c r="K2192" s="101" t="s">
        <v>1605</v>
      </c>
      <c r="L2192" s="101" t="s">
        <v>1135</v>
      </c>
      <c r="M2192" s="104"/>
      <c r="N2192" s="104"/>
      <c r="O2192" s="104"/>
      <c r="P2192" s="152">
        <v>62029.061999999998</v>
      </c>
      <c r="Q2192" s="87">
        <f t="shared" si="90"/>
        <v>0</v>
      </c>
      <c r="R2192" s="105"/>
      <c r="S2192" s="105"/>
      <c r="T2192" s="105"/>
      <c r="U2192" s="105"/>
      <c r="V2192" s="87">
        <f t="shared" si="91"/>
        <v>0</v>
      </c>
      <c r="W2192" s="106"/>
      <c r="X2192" s="64"/>
    </row>
    <row r="2193" spans="1:24" s="66" customFormat="1" ht="12" hidden="1" customHeight="1">
      <c r="A2193" s="151" t="s">
        <v>4836</v>
      </c>
      <c r="B2193" s="151"/>
      <c r="C2193" s="151"/>
      <c r="D2193" s="151"/>
      <c r="E2193" s="151"/>
      <c r="F2193" s="151"/>
      <c r="G2193" s="151"/>
      <c r="H2193" s="151"/>
      <c r="I2193" s="101" t="s">
        <v>4849</v>
      </c>
      <c r="J2193" s="101" t="s">
        <v>4850</v>
      </c>
      <c r="K2193" s="101" t="s">
        <v>1606</v>
      </c>
      <c r="L2193" s="101" t="s">
        <v>1135</v>
      </c>
      <c r="M2193" s="104"/>
      <c r="N2193" s="104"/>
      <c r="O2193" s="104"/>
      <c r="P2193" s="152">
        <v>72310.122000000003</v>
      </c>
      <c r="Q2193" s="87">
        <f t="shared" si="90"/>
        <v>0</v>
      </c>
      <c r="R2193" s="105"/>
      <c r="S2193" s="105"/>
      <c r="T2193" s="105"/>
      <c r="U2193" s="105"/>
      <c r="V2193" s="87">
        <f t="shared" si="91"/>
        <v>0</v>
      </c>
      <c r="W2193" s="106"/>
      <c r="X2193" s="64"/>
    </row>
    <row r="2194" spans="1:24" s="66" customFormat="1" ht="12" hidden="1" customHeight="1">
      <c r="A2194" s="151" t="s">
        <v>4837</v>
      </c>
      <c r="B2194" s="151"/>
      <c r="C2194" s="151"/>
      <c r="D2194" s="151"/>
      <c r="E2194" s="151"/>
      <c r="F2194" s="151"/>
      <c r="G2194" s="151"/>
      <c r="H2194" s="151"/>
      <c r="I2194" s="101" t="s">
        <v>4851</v>
      </c>
      <c r="J2194" s="101" t="s">
        <v>4852</v>
      </c>
      <c r="K2194" s="101" t="s">
        <v>1607</v>
      </c>
      <c r="L2194" s="101" t="s">
        <v>1135</v>
      </c>
      <c r="M2194" s="104"/>
      <c r="N2194" s="104"/>
      <c r="O2194" s="104"/>
      <c r="P2194" s="152">
        <v>91844.135999999999</v>
      </c>
      <c r="Q2194" s="87">
        <f t="shared" si="90"/>
        <v>0</v>
      </c>
      <c r="R2194" s="105"/>
      <c r="S2194" s="105"/>
      <c r="T2194" s="105"/>
      <c r="U2194" s="105"/>
      <c r="V2194" s="87">
        <f t="shared" si="91"/>
        <v>0</v>
      </c>
      <c r="W2194" s="106"/>
      <c r="X2194" s="64"/>
    </row>
    <row r="2195" spans="1:24" s="66" customFormat="1" ht="12" hidden="1" customHeight="1">
      <c r="A2195" s="151" t="s">
        <v>4838</v>
      </c>
      <c r="B2195" s="151"/>
      <c r="C2195" s="151"/>
      <c r="D2195" s="151"/>
      <c r="E2195" s="151"/>
      <c r="F2195" s="151"/>
      <c r="G2195" s="151"/>
      <c r="H2195" s="151"/>
      <c r="I2195" s="101" t="s">
        <v>4853</v>
      </c>
      <c r="J2195" s="101" t="s">
        <v>4854</v>
      </c>
      <c r="K2195" s="101" t="s">
        <v>1608</v>
      </c>
      <c r="L2195" s="101" t="s">
        <v>1135</v>
      </c>
      <c r="M2195" s="104"/>
      <c r="N2195" s="104"/>
      <c r="O2195" s="104"/>
      <c r="P2195" s="152">
        <v>110350.04399999999</v>
      </c>
      <c r="Q2195" s="87">
        <f t="shared" si="90"/>
        <v>0</v>
      </c>
      <c r="R2195" s="105"/>
      <c r="S2195" s="105"/>
      <c r="T2195" s="105"/>
      <c r="U2195" s="105"/>
      <c r="V2195" s="87">
        <f t="shared" si="91"/>
        <v>0</v>
      </c>
      <c r="W2195" s="106"/>
      <c r="X2195" s="64"/>
    </row>
    <row r="2196" spans="1:24" s="66" customFormat="1" ht="12" hidden="1" customHeight="1">
      <c r="A2196" s="151" t="s">
        <v>4839</v>
      </c>
      <c r="B2196" s="151"/>
      <c r="C2196" s="151"/>
      <c r="D2196" s="151"/>
      <c r="E2196" s="151"/>
      <c r="F2196" s="151"/>
      <c r="G2196" s="151"/>
      <c r="H2196" s="151"/>
      <c r="I2196" s="101" t="s">
        <v>4855</v>
      </c>
      <c r="J2196" s="101" t="s">
        <v>4856</v>
      </c>
      <c r="K2196" s="101" t="s">
        <v>1609</v>
      </c>
      <c r="L2196" s="101" t="s">
        <v>1135</v>
      </c>
      <c r="M2196" s="104"/>
      <c r="N2196" s="104"/>
      <c r="O2196" s="104"/>
      <c r="P2196" s="152">
        <v>129198.65399999999</v>
      </c>
      <c r="Q2196" s="87">
        <f t="shared" si="90"/>
        <v>0</v>
      </c>
      <c r="R2196" s="105"/>
      <c r="S2196" s="105"/>
      <c r="T2196" s="105"/>
      <c r="U2196" s="105"/>
      <c r="V2196" s="87">
        <f t="shared" si="91"/>
        <v>0</v>
      </c>
      <c r="W2196" s="106"/>
      <c r="X2196" s="64"/>
    </row>
    <row r="2197" spans="1:24" s="66" customFormat="1" ht="12" hidden="1" customHeight="1">
      <c r="A2197" s="151" t="s">
        <v>4840</v>
      </c>
      <c r="B2197" s="151"/>
      <c r="C2197" s="151"/>
      <c r="D2197" s="151"/>
      <c r="E2197" s="151"/>
      <c r="F2197" s="151"/>
      <c r="G2197" s="151"/>
      <c r="H2197" s="151"/>
      <c r="I2197" s="101" t="s">
        <v>4857</v>
      </c>
      <c r="J2197" s="101" t="s">
        <v>4858</v>
      </c>
      <c r="K2197" s="101" t="s">
        <v>1610</v>
      </c>
      <c r="L2197" s="101" t="s">
        <v>1135</v>
      </c>
      <c r="M2197" s="104"/>
      <c r="N2197" s="104"/>
      <c r="O2197" s="104"/>
      <c r="P2197" s="152">
        <v>148732.66800000001</v>
      </c>
      <c r="Q2197" s="87">
        <f t="shared" si="90"/>
        <v>0</v>
      </c>
      <c r="R2197" s="105"/>
      <c r="S2197" s="105"/>
      <c r="T2197" s="105"/>
      <c r="U2197" s="105"/>
      <c r="V2197" s="87">
        <f t="shared" si="91"/>
        <v>0</v>
      </c>
      <c r="W2197" s="106"/>
      <c r="X2197" s="64"/>
    </row>
    <row r="2198" spans="1:24" s="66" customFormat="1" ht="12" hidden="1" customHeight="1">
      <c r="A2198" s="151" t="s">
        <v>4841</v>
      </c>
      <c r="B2198" s="151"/>
      <c r="C2198" s="151"/>
      <c r="D2198" s="151"/>
      <c r="E2198" s="151"/>
      <c r="F2198" s="151"/>
      <c r="G2198" s="151"/>
      <c r="H2198" s="151"/>
      <c r="I2198" s="101" t="s">
        <v>4859</v>
      </c>
      <c r="J2198" s="101" t="s">
        <v>4860</v>
      </c>
      <c r="K2198" s="101" t="s">
        <v>1611</v>
      </c>
      <c r="L2198" s="101" t="s">
        <v>1135</v>
      </c>
      <c r="M2198" s="104"/>
      <c r="N2198" s="104"/>
      <c r="O2198" s="104"/>
      <c r="P2198" s="152">
        <v>168266.682</v>
      </c>
      <c r="Q2198" s="87">
        <f t="shared" si="90"/>
        <v>0</v>
      </c>
      <c r="R2198" s="105"/>
      <c r="S2198" s="105"/>
      <c r="T2198" s="105"/>
      <c r="U2198" s="105"/>
      <c r="V2198" s="87">
        <f t="shared" si="91"/>
        <v>0</v>
      </c>
      <c r="W2198" s="106"/>
      <c r="X2198" s="64"/>
    </row>
    <row r="2199" spans="1:24" s="66" customFormat="1" ht="12" hidden="1" customHeight="1">
      <c r="A2199" s="151" t="s">
        <v>4842</v>
      </c>
      <c r="B2199" s="151"/>
      <c r="C2199" s="151"/>
      <c r="D2199" s="151"/>
      <c r="E2199" s="151"/>
      <c r="F2199" s="151"/>
      <c r="G2199" s="151"/>
      <c r="H2199" s="151"/>
      <c r="I2199" s="101" t="s">
        <v>4861</v>
      </c>
      <c r="J2199" s="101" t="s">
        <v>4862</v>
      </c>
      <c r="K2199" s="101" t="s">
        <v>1612</v>
      </c>
      <c r="L2199" s="101" t="s">
        <v>1135</v>
      </c>
      <c r="M2199" s="104"/>
      <c r="N2199" s="104"/>
      <c r="O2199" s="104"/>
      <c r="P2199" s="152">
        <v>186429.88800000001</v>
      </c>
      <c r="Q2199" s="87">
        <f t="shared" si="90"/>
        <v>0</v>
      </c>
      <c r="R2199" s="105"/>
      <c r="S2199" s="105"/>
      <c r="T2199" s="105"/>
      <c r="U2199" s="105"/>
      <c r="V2199" s="87">
        <f t="shared" si="91"/>
        <v>0</v>
      </c>
      <c r="W2199" s="106"/>
      <c r="X2199" s="64"/>
    </row>
    <row r="2200" spans="1:24" s="66" customFormat="1" ht="12" hidden="1" customHeight="1">
      <c r="A2200" s="151" t="s">
        <v>4863</v>
      </c>
      <c r="B2200" s="151"/>
      <c r="C2200" s="151"/>
      <c r="D2200" s="151"/>
      <c r="E2200" s="151"/>
      <c r="F2200" s="151"/>
      <c r="G2200" s="151"/>
      <c r="H2200" s="151"/>
      <c r="I2200" s="101" t="s">
        <v>4879</v>
      </c>
      <c r="J2200" s="101" t="s">
        <v>4880</v>
      </c>
      <c r="K2200" s="101" t="s">
        <v>4881</v>
      </c>
      <c r="L2200" s="101" t="s">
        <v>974</v>
      </c>
      <c r="M2200" s="104"/>
      <c r="N2200" s="104"/>
      <c r="O2200" s="104"/>
      <c r="P2200" s="152">
        <v>446338.4</v>
      </c>
      <c r="Q2200" s="87">
        <f t="shared" si="90"/>
        <v>0</v>
      </c>
      <c r="R2200" s="105"/>
      <c r="S2200" s="105"/>
      <c r="T2200" s="105"/>
      <c r="U2200" s="105"/>
      <c r="V2200" s="87">
        <f t="shared" si="91"/>
        <v>0</v>
      </c>
      <c r="W2200" s="106"/>
      <c r="X2200" s="64"/>
    </row>
    <row r="2201" spans="1:24" s="66" customFormat="1" ht="12" hidden="1" customHeight="1">
      <c r="A2201" s="151" t="s">
        <v>4864</v>
      </c>
      <c r="B2201" s="151"/>
      <c r="C2201" s="151"/>
      <c r="D2201" s="151"/>
      <c r="E2201" s="151"/>
      <c r="F2201" s="151"/>
      <c r="G2201" s="151"/>
      <c r="H2201" s="151"/>
      <c r="I2201" s="101" t="s">
        <v>4882</v>
      </c>
      <c r="J2201" s="101" t="s">
        <v>4883</v>
      </c>
      <c r="K2201" s="101" t="s">
        <v>4884</v>
      </c>
      <c r="L2201" s="101" t="s">
        <v>974</v>
      </c>
      <c r="M2201" s="104"/>
      <c r="N2201" s="104"/>
      <c r="O2201" s="104"/>
      <c r="P2201" s="152">
        <v>494591.2</v>
      </c>
      <c r="Q2201" s="87">
        <f t="shared" si="90"/>
        <v>0</v>
      </c>
      <c r="R2201" s="105"/>
      <c r="S2201" s="105"/>
      <c r="T2201" s="105"/>
      <c r="U2201" s="105"/>
      <c r="V2201" s="87">
        <f t="shared" si="91"/>
        <v>0</v>
      </c>
      <c r="W2201" s="106"/>
      <c r="X2201" s="64"/>
    </row>
    <row r="2202" spans="1:24" s="66" customFormat="1" ht="12" hidden="1" customHeight="1">
      <c r="A2202" s="151" t="s">
        <v>4865</v>
      </c>
      <c r="B2202" s="151"/>
      <c r="C2202" s="151"/>
      <c r="D2202" s="151"/>
      <c r="E2202" s="151"/>
      <c r="F2202" s="151"/>
      <c r="G2202" s="151"/>
      <c r="H2202" s="151"/>
      <c r="I2202" s="101" t="s">
        <v>4885</v>
      </c>
      <c r="J2202" s="101" t="s">
        <v>4886</v>
      </c>
      <c r="K2202" s="101" t="s">
        <v>4887</v>
      </c>
      <c r="L2202" s="101" t="s">
        <v>974</v>
      </c>
      <c r="M2202" s="104"/>
      <c r="N2202" s="104"/>
      <c r="O2202" s="104"/>
      <c r="P2202" s="152">
        <v>542844</v>
      </c>
      <c r="Q2202" s="87">
        <f t="shared" si="90"/>
        <v>0</v>
      </c>
      <c r="R2202" s="105"/>
      <c r="S2202" s="105"/>
      <c r="T2202" s="105"/>
      <c r="U2202" s="105"/>
      <c r="V2202" s="87">
        <f t="shared" si="91"/>
        <v>0</v>
      </c>
      <c r="W2202" s="106"/>
      <c r="X2202" s="64"/>
    </row>
    <row r="2203" spans="1:24" s="66" customFormat="1" ht="12" hidden="1" customHeight="1">
      <c r="A2203" s="151" t="s">
        <v>4866</v>
      </c>
      <c r="B2203" s="151"/>
      <c r="C2203" s="151"/>
      <c r="D2203" s="151"/>
      <c r="E2203" s="151"/>
      <c r="F2203" s="151"/>
      <c r="G2203" s="151"/>
      <c r="H2203" s="151"/>
      <c r="I2203" s="101" t="s">
        <v>4888</v>
      </c>
      <c r="J2203" s="101" t="s">
        <v>4889</v>
      </c>
      <c r="K2203" s="101" t="s">
        <v>4890</v>
      </c>
      <c r="L2203" s="101" t="s">
        <v>974</v>
      </c>
      <c r="M2203" s="104"/>
      <c r="N2203" s="104"/>
      <c r="O2203" s="104"/>
      <c r="P2203" s="152">
        <v>562145.12</v>
      </c>
      <c r="Q2203" s="87">
        <f t="shared" si="90"/>
        <v>0</v>
      </c>
      <c r="R2203" s="105"/>
      <c r="S2203" s="105"/>
      <c r="T2203" s="105"/>
      <c r="U2203" s="105"/>
      <c r="V2203" s="87">
        <f t="shared" si="91"/>
        <v>0</v>
      </c>
      <c r="W2203" s="106"/>
      <c r="X2203" s="64"/>
    </row>
    <row r="2204" spans="1:24" s="66" customFormat="1" ht="12" hidden="1" customHeight="1">
      <c r="A2204" s="151" t="s">
        <v>4867</v>
      </c>
      <c r="B2204" s="151"/>
      <c r="C2204" s="151"/>
      <c r="D2204" s="151"/>
      <c r="E2204" s="151"/>
      <c r="F2204" s="151"/>
      <c r="G2204" s="151"/>
      <c r="H2204" s="151"/>
      <c r="I2204" s="101" t="s">
        <v>4891</v>
      </c>
      <c r="J2204" s="101" t="s">
        <v>4892</v>
      </c>
      <c r="K2204" s="101" t="s">
        <v>4893</v>
      </c>
      <c r="L2204" s="101" t="s">
        <v>974</v>
      </c>
      <c r="M2204" s="104"/>
      <c r="N2204" s="104"/>
      <c r="O2204" s="104"/>
      <c r="P2204" s="152">
        <v>711728.8</v>
      </c>
      <c r="Q2204" s="87">
        <f t="shared" si="90"/>
        <v>0</v>
      </c>
      <c r="R2204" s="105"/>
      <c r="S2204" s="105"/>
      <c r="T2204" s="105"/>
      <c r="U2204" s="105"/>
      <c r="V2204" s="87">
        <f t="shared" si="91"/>
        <v>0</v>
      </c>
      <c r="W2204" s="106"/>
      <c r="X2204" s="64"/>
    </row>
    <row r="2205" spans="1:24" s="66" customFormat="1" ht="12" hidden="1" customHeight="1">
      <c r="A2205" s="151" t="s">
        <v>4868</v>
      </c>
      <c r="B2205" s="151"/>
      <c r="C2205" s="151"/>
      <c r="D2205" s="151"/>
      <c r="E2205" s="151"/>
      <c r="F2205" s="151"/>
      <c r="G2205" s="151"/>
      <c r="H2205" s="151"/>
      <c r="I2205" s="101" t="s">
        <v>4894</v>
      </c>
      <c r="J2205" s="101" t="s">
        <v>4895</v>
      </c>
      <c r="K2205" s="101" t="s">
        <v>4896</v>
      </c>
      <c r="L2205" s="101" t="s">
        <v>974</v>
      </c>
      <c r="M2205" s="104"/>
      <c r="N2205" s="104"/>
      <c r="O2205" s="104"/>
      <c r="P2205" s="152">
        <v>743093.12</v>
      </c>
      <c r="Q2205" s="87">
        <f t="shared" si="90"/>
        <v>0</v>
      </c>
      <c r="R2205" s="105"/>
      <c r="S2205" s="105"/>
      <c r="T2205" s="105"/>
      <c r="U2205" s="105"/>
      <c r="V2205" s="87">
        <f t="shared" si="91"/>
        <v>0</v>
      </c>
      <c r="W2205" s="106"/>
      <c r="X2205" s="64"/>
    </row>
    <row r="2206" spans="1:24" s="66" customFormat="1" ht="12" hidden="1" customHeight="1">
      <c r="A2206" s="151" t="s">
        <v>4869</v>
      </c>
      <c r="B2206" s="151"/>
      <c r="C2206" s="151"/>
      <c r="D2206" s="151"/>
      <c r="E2206" s="151"/>
      <c r="F2206" s="151"/>
      <c r="G2206" s="151"/>
      <c r="H2206" s="151"/>
      <c r="I2206" s="101" t="s">
        <v>4897</v>
      </c>
      <c r="J2206" s="101" t="s">
        <v>4898</v>
      </c>
      <c r="K2206" s="101" t="s">
        <v>4899</v>
      </c>
      <c r="L2206" s="101" t="s">
        <v>974</v>
      </c>
      <c r="M2206" s="104"/>
      <c r="N2206" s="104"/>
      <c r="O2206" s="104"/>
      <c r="P2206" s="152">
        <v>820297.6</v>
      </c>
      <c r="Q2206" s="87">
        <f t="shared" si="90"/>
        <v>0</v>
      </c>
      <c r="R2206" s="105"/>
      <c r="S2206" s="105"/>
      <c r="T2206" s="105"/>
      <c r="U2206" s="105"/>
      <c r="V2206" s="87">
        <f t="shared" si="91"/>
        <v>0</v>
      </c>
      <c r="W2206" s="106"/>
      <c r="X2206" s="64"/>
    </row>
    <row r="2207" spans="1:24" s="66" customFormat="1" ht="12" hidden="1" customHeight="1">
      <c r="A2207" s="151" t="s">
        <v>4870</v>
      </c>
      <c r="B2207" s="151"/>
      <c r="C2207" s="151"/>
      <c r="D2207" s="151"/>
      <c r="E2207" s="151"/>
      <c r="F2207" s="151"/>
      <c r="G2207" s="151"/>
      <c r="H2207" s="151"/>
      <c r="I2207" s="101" t="s">
        <v>4900</v>
      </c>
      <c r="J2207" s="101" t="s">
        <v>4901</v>
      </c>
      <c r="K2207" s="101" t="s">
        <v>4902</v>
      </c>
      <c r="L2207" s="101" t="s">
        <v>974</v>
      </c>
      <c r="M2207" s="104"/>
      <c r="N2207" s="104"/>
      <c r="O2207" s="104"/>
      <c r="P2207" s="152">
        <v>844424</v>
      </c>
      <c r="Q2207" s="87">
        <f t="shared" si="90"/>
        <v>0</v>
      </c>
      <c r="R2207" s="105"/>
      <c r="S2207" s="105"/>
      <c r="T2207" s="105"/>
      <c r="U2207" s="105"/>
      <c r="V2207" s="87">
        <f t="shared" si="91"/>
        <v>0</v>
      </c>
      <c r="W2207" s="106"/>
      <c r="X2207" s="64"/>
    </row>
    <row r="2208" spans="1:24" s="66" customFormat="1" ht="12" hidden="1" customHeight="1">
      <c r="A2208" s="151" t="s">
        <v>4871</v>
      </c>
      <c r="B2208" s="151"/>
      <c r="C2208" s="151"/>
      <c r="D2208" s="151"/>
      <c r="E2208" s="151"/>
      <c r="F2208" s="151"/>
      <c r="G2208" s="151"/>
      <c r="H2208" s="151"/>
      <c r="I2208" s="101" t="s">
        <v>4903</v>
      </c>
      <c r="J2208" s="101" t="s">
        <v>4904</v>
      </c>
      <c r="K2208" s="101" t="s">
        <v>4905</v>
      </c>
      <c r="L2208" s="101" t="s">
        <v>974</v>
      </c>
      <c r="M2208" s="104"/>
      <c r="N2208" s="104"/>
      <c r="O2208" s="104"/>
      <c r="P2208" s="152">
        <v>880613.6</v>
      </c>
      <c r="Q2208" s="87">
        <f t="shared" si="90"/>
        <v>0</v>
      </c>
      <c r="R2208" s="105"/>
      <c r="S2208" s="105"/>
      <c r="T2208" s="105"/>
      <c r="U2208" s="105"/>
      <c r="V2208" s="87">
        <f t="shared" si="91"/>
        <v>0</v>
      </c>
      <c r="W2208" s="106"/>
      <c r="X2208" s="64"/>
    </row>
    <row r="2209" spans="1:24" s="66" customFormat="1" ht="12" hidden="1" customHeight="1">
      <c r="A2209" s="151" t="s">
        <v>4872</v>
      </c>
      <c r="B2209" s="151"/>
      <c r="C2209" s="151"/>
      <c r="D2209" s="151"/>
      <c r="E2209" s="151"/>
      <c r="F2209" s="151"/>
      <c r="G2209" s="151"/>
      <c r="H2209" s="151"/>
      <c r="I2209" s="101" t="s">
        <v>4906</v>
      </c>
      <c r="J2209" s="101" t="s">
        <v>4907</v>
      </c>
      <c r="K2209" s="101" t="s">
        <v>4908</v>
      </c>
      <c r="L2209" s="101" t="s">
        <v>974</v>
      </c>
      <c r="M2209" s="104"/>
      <c r="N2209" s="104"/>
      <c r="O2209" s="104"/>
      <c r="P2209" s="152">
        <v>885438.88</v>
      </c>
      <c r="Q2209" s="87">
        <f t="shared" si="90"/>
        <v>0</v>
      </c>
      <c r="R2209" s="105"/>
      <c r="S2209" s="105"/>
      <c r="T2209" s="105"/>
      <c r="U2209" s="105"/>
      <c r="V2209" s="87">
        <f t="shared" si="91"/>
        <v>0</v>
      </c>
      <c r="W2209" s="106"/>
      <c r="X2209" s="64"/>
    </row>
    <row r="2210" spans="1:24" s="66" customFormat="1" ht="12" hidden="1" customHeight="1">
      <c r="A2210" s="151" t="s">
        <v>4873</v>
      </c>
      <c r="B2210" s="151"/>
      <c r="C2210" s="151"/>
      <c r="D2210" s="151"/>
      <c r="E2210" s="151"/>
      <c r="F2210" s="151"/>
      <c r="G2210" s="151"/>
      <c r="H2210" s="151"/>
      <c r="I2210" s="101" t="s">
        <v>4909</v>
      </c>
      <c r="J2210" s="101" t="s">
        <v>4910</v>
      </c>
      <c r="K2210" s="101" t="s">
        <v>4893</v>
      </c>
      <c r="L2210" s="101" t="s">
        <v>974</v>
      </c>
      <c r="M2210" s="104"/>
      <c r="N2210" s="104"/>
      <c r="O2210" s="104"/>
      <c r="P2210" s="152">
        <v>733442.56000000006</v>
      </c>
      <c r="Q2210" s="87">
        <f t="shared" si="90"/>
        <v>0</v>
      </c>
      <c r="R2210" s="105"/>
      <c r="S2210" s="105"/>
      <c r="T2210" s="105"/>
      <c r="U2210" s="105"/>
      <c r="V2210" s="87">
        <f t="shared" si="91"/>
        <v>0</v>
      </c>
      <c r="W2210" s="106"/>
      <c r="X2210" s="64"/>
    </row>
    <row r="2211" spans="1:24" s="66" customFormat="1" ht="12" hidden="1" customHeight="1">
      <c r="A2211" s="151" t="s">
        <v>4874</v>
      </c>
      <c r="B2211" s="151"/>
      <c r="C2211" s="151"/>
      <c r="D2211" s="151"/>
      <c r="E2211" s="151"/>
      <c r="F2211" s="151"/>
      <c r="G2211" s="151"/>
      <c r="H2211" s="151"/>
      <c r="I2211" s="101" t="s">
        <v>4911</v>
      </c>
      <c r="J2211" s="101" t="s">
        <v>4912</v>
      </c>
      <c r="K2211" s="101" t="s">
        <v>4896</v>
      </c>
      <c r="L2211" s="101" t="s">
        <v>974</v>
      </c>
      <c r="M2211" s="104"/>
      <c r="N2211" s="104"/>
      <c r="O2211" s="104"/>
      <c r="P2211" s="152">
        <v>772044.80000000005</v>
      </c>
      <c r="Q2211" s="87">
        <f t="shared" si="90"/>
        <v>0</v>
      </c>
      <c r="R2211" s="105"/>
      <c r="S2211" s="105"/>
      <c r="T2211" s="105"/>
      <c r="U2211" s="105"/>
      <c r="V2211" s="87">
        <f t="shared" si="91"/>
        <v>0</v>
      </c>
      <c r="W2211" s="106"/>
      <c r="X2211" s="64"/>
    </row>
    <row r="2212" spans="1:24" s="66" customFormat="1" ht="12" hidden="1" customHeight="1">
      <c r="A2212" s="151" t="s">
        <v>4875</v>
      </c>
      <c r="B2212" s="151"/>
      <c r="C2212" s="151"/>
      <c r="D2212" s="151"/>
      <c r="E2212" s="151"/>
      <c r="F2212" s="151"/>
      <c r="G2212" s="151"/>
      <c r="H2212" s="151"/>
      <c r="I2212" s="101" t="s">
        <v>4913</v>
      </c>
      <c r="J2212" s="101" t="s">
        <v>4914</v>
      </c>
      <c r="K2212" s="101" t="s">
        <v>4899</v>
      </c>
      <c r="L2212" s="101" t="s">
        <v>974</v>
      </c>
      <c r="M2212" s="104"/>
      <c r="N2212" s="104"/>
      <c r="O2212" s="104"/>
      <c r="P2212" s="152">
        <v>851661.92</v>
      </c>
      <c r="Q2212" s="87">
        <f t="shared" ref="Q2212:Q2265" si="92">IF(W2212="",M2212*P2212*$Q$3*$W$3,M2212*P2212*$Q$3*W2212)</f>
        <v>0</v>
      </c>
      <c r="R2212" s="105"/>
      <c r="S2212" s="105"/>
      <c r="T2212" s="105"/>
      <c r="U2212" s="105"/>
      <c r="V2212" s="87">
        <f t="shared" si="91"/>
        <v>0</v>
      </c>
      <c r="W2212" s="106"/>
      <c r="X2212" s="64"/>
    </row>
    <row r="2213" spans="1:24" s="66" customFormat="1" ht="12" hidden="1" customHeight="1">
      <c r="A2213" s="151" t="s">
        <v>4876</v>
      </c>
      <c r="B2213" s="151"/>
      <c r="C2213" s="151"/>
      <c r="D2213" s="151"/>
      <c r="E2213" s="151"/>
      <c r="F2213" s="151"/>
      <c r="G2213" s="151"/>
      <c r="H2213" s="151"/>
      <c r="I2213" s="101" t="s">
        <v>4915</v>
      </c>
      <c r="J2213" s="101" t="s">
        <v>4916</v>
      </c>
      <c r="K2213" s="101" t="s">
        <v>4902</v>
      </c>
      <c r="L2213" s="101" t="s">
        <v>974</v>
      </c>
      <c r="M2213" s="104"/>
      <c r="N2213" s="104"/>
      <c r="O2213" s="104"/>
      <c r="P2213" s="152">
        <v>887851.52000000002</v>
      </c>
      <c r="Q2213" s="87">
        <f t="shared" si="92"/>
        <v>0</v>
      </c>
      <c r="R2213" s="105"/>
      <c r="S2213" s="105"/>
      <c r="T2213" s="105"/>
      <c r="U2213" s="105"/>
      <c r="V2213" s="87">
        <f t="shared" si="91"/>
        <v>0</v>
      </c>
      <c r="W2213" s="106"/>
      <c r="X2213" s="64"/>
    </row>
    <row r="2214" spans="1:24" s="66" customFormat="1" ht="12" hidden="1" customHeight="1">
      <c r="A2214" s="151" t="s">
        <v>4877</v>
      </c>
      <c r="B2214" s="151"/>
      <c r="C2214" s="151"/>
      <c r="D2214" s="151"/>
      <c r="E2214" s="151"/>
      <c r="F2214" s="151"/>
      <c r="G2214" s="151"/>
      <c r="H2214" s="151"/>
      <c r="I2214" s="101" t="s">
        <v>4917</v>
      </c>
      <c r="J2214" s="101" t="s">
        <v>4918</v>
      </c>
      <c r="K2214" s="101" t="s">
        <v>4905</v>
      </c>
      <c r="L2214" s="101" t="s">
        <v>974</v>
      </c>
      <c r="M2214" s="104"/>
      <c r="N2214" s="104"/>
      <c r="O2214" s="104"/>
      <c r="P2214" s="152">
        <v>911977.92</v>
      </c>
      <c r="Q2214" s="87">
        <f t="shared" si="92"/>
        <v>0</v>
      </c>
      <c r="R2214" s="105"/>
      <c r="S2214" s="105"/>
      <c r="T2214" s="105"/>
      <c r="U2214" s="105"/>
      <c r="V2214" s="87">
        <f t="shared" si="91"/>
        <v>0</v>
      </c>
      <c r="W2214" s="106"/>
      <c r="X2214" s="64"/>
    </row>
    <row r="2215" spans="1:24" s="66" customFormat="1" ht="12" hidden="1" customHeight="1">
      <c r="A2215" s="151" t="s">
        <v>4878</v>
      </c>
      <c r="B2215" s="151"/>
      <c r="C2215" s="151"/>
      <c r="D2215" s="151"/>
      <c r="E2215" s="151"/>
      <c r="F2215" s="151"/>
      <c r="G2215" s="151"/>
      <c r="H2215" s="151"/>
      <c r="I2215" s="101" t="s">
        <v>4919</v>
      </c>
      <c r="J2215" s="101" t="s">
        <v>4920</v>
      </c>
      <c r="K2215" s="101" t="s">
        <v>4908</v>
      </c>
      <c r="L2215" s="101" t="s">
        <v>974</v>
      </c>
      <c r="M2215" s="104"/>
      <c r="N2215" s="104"/>
      <c r="O2215" s="104"/>
      <c r="P2215" s="152">
        <v>936104.32</v>
      </c>
      <c r="Q2215" s="87">
        <f t="shared" si="92"/>
        <v>0</v>
      </c>
      <c r="R2215" s="105"/>
      <c r="S2215" s="105"/>
      <c r="T2215" s="105"/>
      <c r="U2215" s="105"/>
      <c r="V2215" s="87">
        <f t="shared" si="91"/>
        <v>0</v>
      </c>
      <c r="W2215" s="106"/>
      <c r="X2215" s="64"/>
    </row>
    <row r="2216" spans="1:24" s="66" customFormat="1" ht="12" hidden="1" customHeight="1">
      <c r="A2216" s="151" t="s">
        <v>4921</v>
      </c>
      <c r="B2216" s="151"/>
      <c r="C2216" s="151"/>
      <c r="D2216" s="151"/>
      <c r="E2216" s="151"/>
      <c r="F2216" s="151"/>
      <c r="G2216" s="151"/>
      <c r="H2216" s="151"/>
      <c r="I2216" s="101" t="s">
        <v>4927</v>
      </c>
      <c r="J2216" s="101" t="s">
        <v>4928</v>
      </c>
      <c r="K2216" s="101" t="s">
        <v>4929</v>
      </c>
      <c r="L2216" s="101" t="s">
        <v>974</v>
      </c>
      <c r="M2216" s="104"/>
      <c r="N2216" s="104"/>
      <c r="O2216" s="104"/>
      <c r="P2216" s="152">
        <v>207872.7</v>
      </c>
      <c r="Q2216" s="87">
        <f t="shared" si="92"/>
        <v>0</v>
      </c>
      <c r="R2216" s="105"/>
      <c r="S2216" s="105"/>
      <c r="T2216" s="105"/>
      <c r="U2216" s="105"/>
      <c r="V2216" s="87">
        <f t="shared" si="91"/>
        <v>0</v>
      </c>
      <c r="W2216" s="106"/>
      <c r="X2216" s="64"/>
    </row>
    <row r="2217" spans="1:24" s="66" customFormat="1" ht="12" hidden="1" customHeight="1">
      <c r="A2217" s="151" t="s">
        <v>4922</v>
      </c>
      <c r="B2217" s="151"/>
      <c r="C2217" s="151"/>
      <c r="D2217" s="151"/>
      <c r="E2217" s="151"/>
      <c r="F2217" s="151"/>
      <c r="G2217" s="151"/>
      <c r="H2217" s="151"/>
      <c r="I2217" s="101" t="s">
        <v>4930</v>
      </c>
      <c r="J2217" s="101" t="s">
        <v>4931</v>
      </c>
      <c r="K2217" s="101" t="s">
        <v>4932</v>
      </c>
      <c r="L2217" s="101" t="s">
        <v>974</v>
      </c>
      <c r="M2217" s="104"/>
      <c r="N2217" s="104"/>
      <c r="O2217" s="104"/>
      <c r="P2217" s="152">
        <v>122060.55</v>
      </c>
      <c r="Q2217" s="87">
        <f t="shared" si="92"/>
        <v>0</v>
      </c>
      <c r="R2217" s="105"/>
      <c r="S2217" s="105"/>
      <c r="T2217" s="105"/>
      <c r="U2217" s="105"/>
      <c r="V2217" s="87">
        <f t="shared" si="91"/>
        <v>0</v>
      </c>
      <c r="W2217" s="106"/>
      <c r="X2217" s="64"/>
    </row>
    <row r="2218" spans="1:24" s="66" customFormat="1" ht="12" hidden="1" customHeight="1">
      <c r="A2218" s="151" t="s">
        <v>4923</v>
      </c>
      <c r="B2218" s="151"/>
      <c r="C2218" s="151"/>
      <c r="D2218" s="151"/>
      <c r="E2218" s="151"/>
      <c r="F2218" s="151"/>
      <c r="G2218" s="151"/>
      <c r="H2218" s="151"/>
      <c r="I2218" s="101" t="s">
        <v>4933</v>
      </c>
      <c r="J2218" s="101" t="s">
        <v>4934</v>
      </c>
      <c r="K2218" s="101" t="s">
        <v>4929</v>
      </c>
      <c r="L2218" s="101" t="s">
        <v>974</v>
      </c>
      <c r="M2218" s="104"/>
      <c r="N2218" s="104"/>
      <c r="O2218" s="104"/>
      <c r="P2218" s="152">
        <v>297187.20000000001</v>
      </c>
      <c r="Q2218" s="87">
        <f t="shared" si="92"/>
        <v>0</v>
      </c>
      <c r="R2218" s="105"/>
      <c r="S2218" s="105"/>
      <c r="T2218" s="105"/>
      <c r="U2218" s="105"/>
      <c r="V2218" s="87">
        <f t="shared" si="91"/>
        <v>0</v>
      </c>
      <c r="W2218" s="106"/>
      <c r="X2218" s="64"/>
    </row>
    <row r="2219" spans="1:24" s="66" customFormat="1" ht="12" hidden="1" customHeight="1">
      <c r="A2219" s="151" t="s">
        <v>4924</v>
      </c>
      <c r="B2219" s="151"/>
      <c r="C2219" s="151"/>
      <c r="D2219" s="151"/>
      <c r="E2219" s="151"/>
      <c r="F2219" s="151"/>
      <c r="G2219" s="151"/>
      <c r="H2219" s="151"/>
      <c r="I2219" s="101" t="s">
        <v>4935</v>
      </c>
      <c r="J2219" s="101" t="s">
        <v>4936</v>
      </c>
      <c r="K2219" s="101" t="s">
        <v>4932</v>
      </c>
      <c r="L2219" s="101" t="s">
        <v>974</v>
      </c>
      <c r="M2219" s="104"/>
      <c r="N2219" s="104"/>
      <c r="O2219" s="104"/>
      <c r="P2219" s="152">
        <v>78424.399999999994</v>
      </c>
      <c r="Q2219" s="87">
        <f t="shared" si="92"/>
        <v>0</v>
      </c>
      <c r="R2219" s="105"/>
      <c r="S2219" s="105"/>
      <c r="T2219" s="105"/>
      <c r="U2219" s="105"/>
      <c r="V2219" s="87">
        <f t="shared" si="91"/>
        <v>0</v>
      </c>
      <c r="W2219" s="106"/>
      <c r="X2219" s="64"/>
    </row>
    <row r="2220" spans="1:24" s="66" customFormat="1" ht="12" hidden="1" customHeight="1">
      <c r="A2220" s="151" t="s">
        <v>4925</v>
      </c>
      <c r="B2220" s="151"/>
      <c r="C2220" s="151"/>
      <c r="D2220" s="151"/>
      <c r="E2220" s="151"/>
      <c r="F2220" s="151"/>
      <c r="G2220" s="151"/>
      <c r="H2220" s="151"/>
      <c r="I2220" s="101" t="s">
        <v>4937</v>
      </c>
      <c r="J2220" s="101" t="s">
        <v>4938</v>
      </c>
      <c r="K2220" s="101" t="s">
        <v>4929</v>
      </c>
      <c r="L2220" s="101" t="s">
        <v>974</v>
      </c>
      <c r="M2220" s="104"/>
      <c r="N2220" s="104"/>
      <c r="O2220" s="104"/>
      <c r="P2220" s="152">
        <v>94934.8</v>
      </c>
      <c r="Q2220" s="87">
        <f t="shared" si="92"/>
        <v>0</v>
      </c>
      <c r="R2220" s="105"/>
      <c r="S2220" s="105"/>
      <c r="T2220" s="105"/>
      <c r="U2220" s="105"/>
      <c r="V2220" s="87">
        <f t="shared" si="91"/>
        <v>0</v>
      </c>
      <c r="W2220" s="106"/>
      <c r="X2220" s="64"/>
    </row>
    <row r="2221" spans="1:24" s="66" customFormat="1" ht="12" hidden="1" customHeight="1">
      <c r="A2221" s="151" t="s">
        <v>4926</v>
      </c>
      <c r="B2221" s="151"/>
      <c r="C2221" s="151"/>
      <c r="D2221" s="151"/>
      <c r="E2221" s="151"/>
      <c r="F2221" s="151"/>
      <c r="G2221" s="151"/>
      <c r="H2221" s="151"/>
      <c r="I2221" s="101" t="s">
        <v>4939</v>
      </c>
      <c r="J2221" s="101" t="s">
        <v>4940</v>
      </c>
      <c r="K2221" s="101" t="s">
        <v>4941</v>
      </c>
      <c r="L2221" s="101" t="s">
        <v>974</v>
      </c>
      <c r="M2221" s="104"/>
      <c r="N2221" s="104"/>
      <c r="O2221" s="104"/>
      <c r="P2221" s="152">
        <v>156848.79999999999</v>
      </c>
      <c r="Q2221" s="87">
        <f t="shared" si="92"/>
        <v>0</v>
      </c>
      <c r="R2221" s="105"/>
      <c r="S2221" s="105"/>
      <c r="T2221" s="105"/>
      <c r="U2221" s="105"/>
      <c r="V2221" s="87">
        <f t="shared" si="91"/>
        <v>0</v>
      </c>
      <c r="W2221" s="106"/>
      <c r="X2221" s="64"/>
    </row>
    <row r="2222" spans="1:24" s="66" customFormat="1" ht="12" hidden="1" customHeight="1">
      <c r="A2222" s="151" t="s">
        <v>4942</v>
      </c>
      <c r="B2222" s="151"/>
      <c r="C2222" s="151"/>
      <c r="D2222" s="151"/>
      <c r="E2222" s="151"/>
      <c r="F2222" s="151"/>
      <c r="G2222" s="151"/>
      <c r="H2222" s="151"/>
      <c r="I2222" s="101" t="s">
        <v>4944</v>
      </c>
      <c r="J2222" s="101" t="s">
        <v>4945</v>
      </c>
      <c r="K2222" s="101" t="s">
        <v>1503</v>
      </c>
      <c r="L2222" s="101" t="s">
        <v>4946</v>
      </c>
      <c r="M2222" s="104"/>
      <c r="N2222" s="104"/>
      <c r="O2222" s="104"/>
      <c r="P2222" s="152">
        <v>303759.69</v>
      </c>
      <c r="Q2222" s="87">
        <f t="shared" si="92"/>
        <v>0</v>
      </c>
      <c r="R2222" s="105"/>
      <c r="S2222" s="105"/>
      <c r="T2222" s="105"/>
      <c r="U2222" s="105"/>
      <c r="V2222" s="87">
        <f t="shared" si="91"/>
        <v>0</v>
      </c>
      <c r="W2222" s="106"/>
      <c r="X2222" s="64"/>
    </row>
    <row r="2223" spans="1:24" s="66" customFormat="1" ht="12" hidden="1" customHeight="1">
      <c r="A2223" s="151" t="s">
        <v>4943</v>
      </c>
      <c r="B2223" s="151"/>
      <c r="C2223" s="151"/>
      <c r="D2223" s="151"/>
      <c r="E2223" s="151"/>
      <c r="F2223" s="151"/>
      <c r="G2223" s="151"/>
      <c r="H2223" s="151"/>
      <c r="I2223" s="101" t="s">
        <v>4947</v>
      </c>
      <c r="J2223" s="101" t="s">
        <v>4948</v>
      </c>
      <c r="K2223" s="101" t="s">
        <v>1503</v>
      </c>
      <c r="L2223" s="101" t="s">
        <v>4946</v>
      </c>
      <c r="M2223" s="104"/>
      <c r="N2223" s="104"/>
      <c r="O2223" s="104"/>
      <c r="P2223" s="152">
        <v>259690.5</v>
      </c>
      <c r="Q2223" s="87">
        <f t="shared" si="92"/>
        <v>0</v>
      </c>
      <c r="R2223" s="105"/>
      <c r="S2223" s="105"/>
      <c r="T2223" s="105"/>
      <c r="U2223" s="105"/>
      <c r="V2223" s="87">
        <f t="shared" si="91"/>
        <v>0</v>
      </c>
      <c r="W2223" s="106"/>
      <c r="X2223" s="64"/>
    </row>
    <row r="2224" spans="1:24" s="66" customFormat="1" ht="12" hidden="1" customHeight="1">
      <c r="A2224" s="151" t="s">
        <v>4949</v>
      </c>
      <c r="B2224" s="151"/>
      <c r="C2224" s="151"/>
      <c r="D2224" s="151"/>
      <c r="E2224" s="151"/>
      <c r="F2224" s="151"/>
      <c r="G2224" s="151"/>
      <c r="H2224" s="151"/>
      <c r="I2224" s="101" t="s">
        <v>2131</v>
      </c>
      <c r="J2224" s="101" t="s">
        <v>1647</v>
      </c>
      <c r="K2224" s="101" t="s">
        <v>1648</v>
      </c>
      <c r="L2224" s="101" t="s">
        <v>1135</v>
      </c>
      <c r="M2224" s="104"/>
      <c r="N2224" s="104"/>
      <c r="O2224" s="104"/>
      <c r="P2224" s="152">
        <v>129957.36</v>
      </c>
      <c r="Q2224" s="87">
        <f t="shared" si="92"/>
        <v>0</v>
      </c>
      <c r="R2224" s="105"/>
      <c r="S2224" s="105"/>
      <c r="T2224" s="105"/>
      <c r="U2224" s="105"/>
      <c r="V2224" s="87">
        <f t="shared" si="91"/>
        <v>0</v>
      </c>
      <c r="W2224" s="106"/>
      <c r="X2224" s="64"/>
    </row>
    <row r="2225" spans="1:24" s="66" customFormat="1" ht="12" hidden="1" customHeight="1">
      <c r="A2225" s="151" t="s">
        <v>4950</v>
      </c>
      <c r="B2225" s="151"/>
      <c r="C2225" s="151"/>
      <c r="D2225" s="151"/>
      <c r="E2225" s="151"/>
      <c r="F2225" s="151"/>
      <c r="G2225" s="151"/>
      <c r="H2225" s="151"/>
      <c r="I2225" s="101" t="s">
        <v>2130</v>
      </c>
      <c r="J2225" s="101" t="s">
        <v>1645</v>
      </c>
      <c r="K2225" s="101" t="s">
        <v>1646</v>
      </c>
      <c r="L2225" s="101" t="s">
        <v>974</v>
      </c>
      <c r="M2225" s="104"/>
      <c r="N2225" s="104"/>
      <c r="O2225" s="104"/>
      <c r="P2225" s="152">
        <v>263235.55</v>
      </c>
      <c r="Q2225" s="87">
        <f t="shared" si="92"/>
        <v>0</v>
      </c>
      <c r="R2225" s="105"/>
      <c r="S2225" s="105"/>
      <c r="T2225" s="105"/>
      <c r="U2225" s="105"/>
      <c r="V2225" s="87">
        <f t="shared" si="91"/>
        <v>0</v>
      </c>
      <c r="W2225" s="106"/>
      <c r="X2225" s="64"/>
    </row>
    <row r="2226" spans="1:24" s="66" customFormat="1" ht="12" hidden="1" customHeight="1">
      <c r="A2226" s="151" t="s">
        <v>4951</v>
      </c>
      <c r="B2226" s="151"/>
      <c r="C2226" s="151"/>
      <c r="D2226" s="151"/>
      <c r="E2226" s="151"/>
      <c r="F2226" s="151"/>
      <c r="G2226" s="151"/>
      <c r="H2226" s="151"/>
      <c r="I2226" s="101" t="s">
        <v>4960</v>
      </c>
      <c r="J2226" s="101" t="s">
        <v>4961</v>
      </c>
      <c r="K2226" s="101" t="s">
        <v>4962</v>
      </c>
      <c r="L2226" s="101" t="s">
        <v>3841</v>
      </c>
      <c r="M2226" s="104"/>
      <c r="N2226" s="104"/>
      <c r="O2226" s="104"/>
      <c r="P2226" s="152">
        <v>60966.559999999998</v>
      </c>
      <c r="Q2226" s="87">
        <f t="shared" si="92"/>
        <v>0</v>
      </c>
      <c r="R2226" s="105"/>
      <c r="S2226" s="105"/>
      <c r="T2226" s="105"/>
      <c r="U2226" s="105"/>
      <c r="V2226" s="87">
        <f t="shared" ref="V2226:V2265" si="93">SUM(O2226+Q2226)+S2226+U2226</f>
        <v>0</v>
      </c>
      <c r="W2226" s="106"/>
      <c r="X2226" s="64"/>
    </row>
    <row r="2227" spans="1:24" s="66" customFormat="1" ht="12" hidden="1" customHeight="1">
      <c r="A2227" s="151" t="s">
        <v>4952</v>
      </c>
      <c r="B2227" s="151"/>
      <c r="C2227" s="151"/>
      <c r="D2227" s="151"/>
      <c r="E2227" s="151"/>
      <c r="F2227" s="151"/>
      <c r="G2227" s="151"/>
      <c r="H2227" s="151"/>
      <c r="I2227" s="101" t="s">
        <v>4963</v>
      </c>
      <c r="J2227" s="101" t="s">
        <v>4964</v>
      </c>
      <c r="K2227" s="101" t="s">
        <v>4965</v>
      </c>
      <c r="L2227" s="101" t="s">
        <v>3841</v>
      </c>
      <c r="M2227" s="104"/>
      <c r="N2227" s="104"/>
      <c r="O2227" s="104"/>
      <c r="P2227" s="152">
        <v>72397.789999999994</v>
      </c>
      <c r="Q2227" s="87">
        <f t="shared" si="92"/>
        <v>0</v>
      </c>
      <c r="R2227" s="105"/>
      <c r="S2227" s="105"/>
      <c r="T2227" s="105"/>
      <c r="U2227" s="105"/>
      <c r="V2227" s="87">
        <f t="shared" si="93"/>
        <v>0</v>
      </c>
      <c r="W2227" s="106"/>
      <c r="X2227" s="64"/>
    </row>
    <row r="2228" spans="1:24" s="66" customFormat="1" ht="12" hidden="1" customHeight="1">
      <c r="A2228" s="151" t="s">
        <v>4953</v>
      </c>
      <c r="B2228" s="151"/>
      <c r="C2228" s="151"/>
      <c r="D2228" s="151"/>
      <c r="E2228" s="151"/>
      <c r="F2228" s="151"/>
      <c r="G2228" s="151"/>
      <c r="H2228" s="151"/>
      <c r="I2228" s="101" t="s">
        <v>4966</v>
      </c>
      <c r="J2228" s="101" t="s">
        <v>4967</v>
      </c>
      <c r="K2228" s="101" t="s">
        <v>4968</v>
      </c>
      <c r="L2228" s="101" t="s">
        <v>3841</v>
      </c>
      <c r="M2228" s="104"/>
      <c r="N2228" s="104"/>
      <c r="O2228" s="104"/>
      <c r="P2228" s="152">
        <v>80018.61</v>
      </c>
      <c r="Q2228" s="87">
        <f t="shared" si="92"/>
        <v>0</v>
      </c>
      <c r="R2228" s="105"/>
      <c r="S2228" s="105"/>
      <c r="T2228" s="105"/>
      <c r="U2228" s="105"/>
      <c r="V2228" s="87">
        <f t="shared" si="93"/>
        <v>0</v>
      </c>
      <c r="W2228" s="106"/>
      <c r="X2228" s="64"/>
    </row>
    <row r="2229" spans="1:24" s="66" customFormat="1" ht="12" hidden="1" customHeight="1">
      <c r="A2229" s="151" t="s">
        <v>3840</v>
      </c>
      <c r="B2229" s="151"/>
      <c r="C2229" s="151"/>
      <c r="D2229" s="151"/>
      <c r="E2229" s="151"/>
      <c r="F2229" s="151"/>
      <c r="G2229" s="151"/>
      <c r="H2229" s="151"/>
      <c r="I2229" s="101" t="s">
        <v>4969</v>
      </c>
      <c r="J2229" s="101" t="s">
        <v>4970</v>
      </c>
      <c r="K2229" s="101" t="s">
        <v>1503</v>
      </c>
      <c r="L2229" s="101" t="s">
        <v>3841</v>
      </c>
      <c r="M2229" s="104"/>
      <c r="N2229" s="104"/>
      <c r="O2229" s="104"/>
      <c r="P2229" s="152">
        <v>60966.559999999998</v>
      </c>
      <c r="Q2229" s="87">
        <f t="shared" si="92"/>
        <v>0</v>
      </c>
      <c r="R2229" s="105"/>
      <c r="S2229" s="105"/>
      <c r="T2229" s="105"/>
      <c r="U2229" s="105"/>
      <c r="V2229" s="87">
        <f t="shared" si="93"/>
        <v>0</v>
      </c>
      <c r="W2229" s="106"/>
      <c r="X2229" s="64"/>
    </row>
    <row r="2230" spans="1:24" s="66" customFormat="1" ht="12" hidden="1" customHeight="1">
      <c r="A2230" s="151" t="s">
        <v>3842</v>
      </c>
      <c r="B2230" s="151"/>
      <c r="C2230" s="151"/>
      <c r="D2230" s="151"/>
      <c r="E2230" s="151"/>
      <c r="F2230" s="151"/>
      <c r="G2230" s="151"/>
      <c r="H2230" s="151"/>
      <c r="I2230" s="101" t="s">
        <v>4971</v>
      </c>
      <c r="J2230" s="101" t="s">
        <v>4972</v>
      </c>
      <c r="K2230" s="101" t="s">
        <v>4973</v>
      </c>
      <c r="L2230" s="101" t="s">
        <v>3841</v>
      </c>
      <c r="M2230" s="104"/>
      <c r="N2230" s="104"/>
      <c r="O2230" s="104"/>
      <c r="P2230" s="152">
        <v>34014.959999999999</v>
      </c>
      <c r="Q2230" s="87">
        <f t="shared" si="92"/>
        <v>0</v>
      </c>
      <c r="R2230" s="105"/>
      <c r="S2230" s="105"/>
      <c r="T2230" s="105"/>
      <c r="U2230" s="105"/>
      <c r="V2230" s="87">
        <f t="shared" si="93"/>
        <v>0</v>
      </c>
      <c r="W2230" s="106"/>
      <c r="X2230" s="64"/>
    </row>
    <row r="2231" spans="1:24" s="66" customFormat="1" ht="12" hidden="1" customHeight="1">
      <c r="A2231" s="151" t="s">
        <v>3843</v>
      </c>
      <c r="B2231" s="151"/>
      <c r="C2231" s="151"/>
      <c r="D2231" s="151"/>
      <c r="E2231" s="151"/>
      <c r="F2231" s="151"/>
      <c r="G2231" s="151"/>
      <c r="H2231" s="151"/>
      <c r="I2231" s="101" t="s">
        <v>4974</v>
      </c>
      <c r="J2231" s="101" t="s">
        <v>4972</v>
      </c>
      <c r="K2231" s="101" t="s">
        <v>4975</v>
      </c>
      <c r="L2231" s="101" t="s">
        <v>3841</v>
      </c>
      <c r="M2231" s="104"/>
      <c r="N2231" s="104"/>
      <c r="O2231" s="104"/>
      <c r="P2231" s="152">
        <v>68587.38</v>
      </c>
      <c r="Q2231" s="87">
        <f t="shared" si="92"/>
        <v>0</v>
      </c>
      <c r="R2231" s="105"/>
      <c r="S2231" s="105"/>
      <c r="T2231" s="105"/>
      <c r="U2231" s="105"/>
      <c r="V2231" s="87">
        <f t="shared" si="93"/>
        <v>0</v>
      </c>
      <c r="W2231" s="106"/>
      <c r="X2231" s="64"/>
    </row>
    <row r="2232" spans="1:24" s="66" customFormat="1" ht="12" hidden="1" customHeight="1">
      <c r="A2232" s="151" t="s">
        <v>3844</v>
      </c>
      <c r="B2232" s="151"/>
      <c r="C2232" s="151"/>
      <c r="D2232" s="151"/>
      <c r="E2232" s="151"/>
      <c r="F2232" s="151"/>
      <c r="G2232" s="151"/>
      <c r="H2232" s="151"/>
      <c r="I2232" s="101" t="s">
        <v>4976</v>
      </c>
      <c r="J2232" s="101" t="s">
        <v>4977</v>
      </c>
      <c r="K2232" s="101" t="s">
        <v>4978</v>
      </c>
      <c r="L2232" s="101" t="s">
        <v>3841</v>
      </c>
      <c r="M2232" s="104"/>
      <c r="N2232" s="104"/>
      <c r="O2232" s="104"/>
      <c r="P2232" s="152">
        <v>87639.43</v>
      </c>
      <c r="Q2232" s="87">
        <f t="shared" si="92"/>
        <v>0</v>
      </c>
      <c r="R2232" s="105"/>
      <c r="S2232" s="105"/>
      <c r="T2232" s="105"/>
      <c r="U2232" s="105"/>
      <c r="V2232" s="87">
        <f t="shared" si="93"/>
        <v>0</v>
      </c>
      <c r="W2232" s="106"/>
      <c r="X2232" s="64"/>
    </row>
    <row r="2233" spans="1:24" s="66" customFormat="1" ht="12" hidden="1" customHeight="1">
      <c r="A2233" s="151" t="s">
        <v>3845</v>
      </c>
      <c r="B2233" s="151"/>
      <c r="C2233" s="151"/>
      <c r="D2233" s="151"/>
      <c r="E2233" s="151"/>
      <c r="F2233" s="151"/>
      <c r="G2233" s="151"/>
      <c r="H2233" s="151"/>
      <c r="I2233" s="101" t="s">
        <v>4979</v>
      </c>
      <c r="J2233" s="101" t="s">
        <v>4980</v>
      </c>
      <c r="K2233" s="101" t="s">
        <v>3846</v>
      </c>
      <c r="L2233" s="101" t="s">
        <v>3841</v>
      </c>
      <c r="M2233" s="104"/>
      <c r="N2233" s="104"/>
      <c r="O2233" s="104"/>
      <c r="P2233" s="152">
        <v>87639.43</v>
      </c>
      <c r="Q2233" s="87">
        <f t="shared" si="92"/>
        <v>0</v>
      </c>
      <c r="R2233" s="105"/>
      <c r="S2233" s="105"/>
      <c r="T2233" s="105"/>
      <c r="U2233" s="105"/>
      <c r="V2233" s="87">
        <f t="shared" si="93"/>
        <v>0</v>
      </c>
      <c r="W2233" s="106"/>
      <c r="X2233" s="64"/>
    </row>
    <row r="2234" spans="1:24" s="66" customFormat="1" ht="12" hidden="1" customHeight="1">
      <c r="A2234" s="151" t="s">
        <v>3847</v>
      </c>
      <c r="B2234" s="151"/>
      <c r="C2234" s="151"/>
      <c r="D2234" s="151"/>
      <c r="E2234" s="151"/>
      <c r="F2234" s="151"/>
      <c r="G2234" s="151"/>
      <c r="H2234" s="151"/>
      <c r="I2234" s="101" t="s">
        <v>4981</v>
      </c>
      <c r="J2234" s="101" t="s">
        <v>4982</v>
      </c>
      <c r="K2234" s="101" t="s">
        <v>4983</v>
      </c>
      <c r="L2234" s="101" t="s">
        <v>3841</v>
      </c>
      <c r="M2234" s="104"/>
      <c r="N2234" s="104"/>
      <c r="O2234" s="104"/>
      <c r="P2234" s="152">
        <v>91449.84</v>
      </c>
      <c r="Q2234" s="87">
        <f t="shared" si="92"/>
        <v>0</v>
      </c>
      <c r="R2234" s="105"/>
      <c r="S2234" s="105"/>
      <c r="T2234" s="105"/>
      <c r="U2234" s="105"/>
      <c r="V2234" s="87">
        <f t="shared" si="93"/>
        <v>0</v>
      </c>
      <c r="W2234" s="106"/>
      <c r="X2234" s="64"/>
    </row>
    <row r="2235" spans="1:24" s="66" customFormat="1" ht="12" hidden="1" customHeight="1">
      <c r="A2235" s="151" t="s">
        <v>3848</v>
      </c>
      <c r="B2235" s="151"/>
      <c r="C2235" s="151"/>
      <c r="D2235" s="151"/>
      <c r="E2235" s="151"/>
      <c r="F2235" s="151"/>
      <c r="G2235" s="151"/>
      <c r="H2235" s="151"/>
      <c r="I2235" s="101" t="s">
        <v>4984</v>
      </c>
      <c r="J2235" s="101" t="s">
        <v>4985</v>
      </c>
      <c r="K2235" s="101" t="s">
        <v>4986</v>
      </c>
      <c r="L2235" s="101" t="s">
        <v>3841</v>
      </c>
      <c r="M2235" s="104"/>
      <c r="N2235" s="104"/>
      <c r="O2235" s="104"/>
      <c r="P2235" s="152">
        <v>106691.48</v>
      </c>
      <c r="Q2235" s="87">
        <f t="shared" si="92"/>
        <v>0</v>
      </c>
      <c r="R2235" s="105"/>
      <c r="S2235" s="105"/>
      <c r="T2235" s="105"/>
      <c r="U2235" s="105"/>
      <c r="V2235" s="87">
        <f t="shared" si="93"/>
        <v>0</v>
      </c>
      <c r="W2235" s="106"/>
      <c r="X2235" s="64"/>
    </row>
    <row r="2236" spans="1:24" s="66" customFormat="1" ht="12" hidden="1" customHeight="1">
      <c r="A2236" s="151" t="s">
        <v>3849</v>
      </c>
      <c r="B2236" s="151"/>
      <c r="C2236" s="151"/>
      <c r="D2236" s="151"/>
      <c r="E2236" s="151"/>
      <c r="F2236" s="151"/>
      <c r="G2236" s="151"/>
      <c r="H2236" s="151"/>
      <c r="I2236" s="101" t="s">
        <v>4987</v>
      </c>
      <c r="J2236" s="101" t="s">
        <v>4988</v>
      </c>
      <c r="K2236" s="101" t="s">
        <v>4989</v>
      </c>
      <c r="L2236" s="101" t="s">
        <v>3841</v>
      </c>
      <c r="M2236" s="104"/>
      <c r="N2236" s="104"/>
      <c r="O2236" s="104"/>
      <c r="P2236" s="152">
        <v>114312.3</v>
      </c>
      <c r="Q2236" s="87">
        <f t="shared" si="92"/>
        <v>0</v>
      </c>
      <c r="R2236" s="105"/>
      <c r="S2236" s="105"/>
      <c r="T2236" s="105"/>
      <c r="U2236" s="105"/>
      <c r="V2236" s="87">
        <f t="shared" si="93"/>
        <v>0</v>
      </c>
      <c r="W2236" s="106"/>
      <c r="X2236" s="64"/>
    </row>
    <row r="2237" spans="1:24" s="66" customFormat="1" ht="12" hidden="1" customHeight="1">
      <c r="A2237" s="151" t="s">
        <v>3850</v>
      </c>
      <c r="B2237" s="151"/>
      <c r="C2237" s="151"/>
      <c r="D2237" s="151"/>
      <c r="E2237" s="151"/>
      <c r="F2237" s="151"/>
      <c r="G2237" s="151"/>
      <c r="H2237" s="151"/>
      <c r="I2237" s="101" t="s">
        <v>4990</v>
      </c>
      <c r="J2237" s="101" t="s">
        <v>4991</v>
      </c>
      <c r="K2237" s="101" t="s">
        <v>4992</v>
      </c>
      <c r="L2237" s="101" t="s">
        <v>3841</v>
      </c>
      <c r="M2237" s="104"/>
      <c r="N2237" s="104"/>
      <c r="O2237" s="104"/>
      <c r="P2237" s="152">
        <v>121933.12</v>
      </c>
      <c r="Q2237" s="87">
        <f t="shared" si="92"/>
        <v>0</v>
      </c>
      <c r="R2237" s="105"/>
      <c r="S2237" s="105"/>
      <c r="T2237" s="105"/>
      <c r="U2237" s="105"/>
      <c r="V2237" s="87">
        <f t="shared" si="93"/>
        <v>0</v>
      </c>
      <c r="W2237" s="106"/>
      <c r="X2237" s="64"/>
    </row>
    <row r="2238" spans="1:24" s="66" customFormat="1" ht="12" hidden="1" customHeight="1">
      <c r="A2238" s="151" t="s">
        <v>3851</v>
      </c>
      <c r="B2238" s="151"/>
      <c r="C2238" s="151"/>
      <c r="D2238" s="151"/>
      <c r="E2238" s="151"/>
      <c r="F2238" s="151"/>
      <c r="G2238" s="151"/>
      <c r="H2238" s="151"/>
      <c r="I2238" s="101" t="s">
        <v>4993</v>
      </c>
      <c r="J2238" s="101" t="s">
        <v>4994</v>
      </c>
      <c r="K2238" s="101" t="s">
        <v>4995</v>
      </c>
      <c r="L2238" s="101" t="s">
        <v>3841</v>
      </c>
      <c r="M2238" s="104"/>
      <c r="N2238" s="104"/>
      <c r="O2238" s="104"/>
      <c r="P2238" s="152">
        <v>144795.57999999999</v>
      </c>
      <c r="Q2238" s="87">
        <f t="shared" si="92"/>
        <v>0</v>
      </c>
      <c r="R2238" s="105"/>
      <c r="S2238" s="105"/>
      <c r="T2238" s="105"/>
      <c r="U2238" s="105"/>
      <c r="V2238" s="87">
        <f t="shared" si="93"/>
        <v>0</v>
      </c>
      <c r="W2238" s="106"/>
      <c r="X2238" s="64"/>
    </row>
    <row r="2239" spans="1:24" s="66" customFormat="1" ht="12" hidden="1" customHeight="1">
      <c r="A2239" s="151" t="s">
        <v>3852</v>
      </c>
      <c r="B2239" s="151"/>
      <c r="C2239" s="151"/>
      <c r="D2239" s="151"/>
      <c r="E2239" s="151"/>
      <c r="F2239" s="151"/>
      <c r="G2239" s="151"/>
      <c r="H2239" s="151"/>
      <c r="I2239" s="101" t="s">
        <v>4996</v>
      </c>
      <c r="J2239" s="101" t="s">
        <v>4997</v>
      </c>
      <c r="K2239" s="101" t="s">
        <v>4998</v>
      </c>
      <c r="L2239" s="101" t="s">
        <v>3841</v>
      </c>
      <c r="M2239" s="104"/>
      <c r="N2239" s="104"/>
      <c r="O2239" s="104"/>
      <c r="P2239" s="152">
        <v>171468.45</v>
      </c>
      <c r="Q2239" s="87">
        <f t="shared" si="92"/>
        <v>0</v>
      </c>
      <c r="R2239" s="105"/>
      <c r="S2239" s="105"/>
      <c r="T2239" s="105"/>
      <c r="U2239" s="105"/>
      <c r="V2239" s="87">
        <f t="shared" si="93"/>
        <v>0</v>
      </c>
      <c r="W2239" s="106"/>
      <c r="X2239" s="64"/>
    </row>
    <row r="2240" spans="1:24" s="66" customFormat="1" ht="12" hidden="1" customHeight="1">
      <c r="A2240" s="151" t="s">
        <v>4954</v>
      </c>
      <c r="B2240" s="151"/>
      <c r="C2240" s="151"/>
      <c r="D2240" s="151"/>
      <c r="E2240" s="151"/>
      <c r="F2240" s="151"/>
      <c r="G2240" s="151"/>
      <c r="H2240" s="151"/>
      <c r="I2240" s="101" t="s">
        <v>4999</v>
      </c>
      <c r="J2240" s="101" t="s">
        <v>5000</v>
      </c>
      <c r="K2240" s="101" t="s">
        <v>5001</v>
      </c>
      <c r="L2240" s="101" t="s">
        <v>4186</v>
      </c>
      <c r="M2240" s="104"/>
      <c r="N2240" s="104"/>
      <c r="O2240" s="104"/>
      <c r="P2240" s="152">
        <v>391172.04</v>
      </c>
      <c r="Q2240" s="87">
        <f t="shared" si="92"/>
        <v>0</v>
      </c>
      <c r="R2240" s="105"/>
      <c r="S2240" s="105"/>
      <c r="T2240" s="105"/>
      <c r="U2240" s="105"/>
      <c r="V2240" s="87">
        <f t="shared" si="93"/>
        <v>0</v>
      </c>
      <c r="W2240" s="106"/>
      <c r="X2240" s="64"/>
    </row>
    <row r="2241" spans="1:24" s="66" customFormat="1" ht="12" hidden="1" customHeight="1">
      <c r="A2241" s="151" t="s">
        <v>4955</v>
      </c>
      <c r="B2241" s="151"/>
      <c r="C2241" s="151"/>
      <c r="D2241" s="151"/>
      <c r="E2241" s="151"/>
      <c r="F2241" s="151"/>
      <c r="G2241" s="151"/>
      <c r="H2241" s="151"/>
      <c r="I2241" s="101" t="s">
        <v>5002</v>
      </c>
      <c r="J2241" s="101" t="s">
        <v>5003</v>
      </c>
      <c r="K2241" s="101" t="s">
        <v>5004</v>
      </c>
      <c r="L2241" s="101" t="s">
        <v>4186</v>
      </c>
      <c r="M2241" s="104"/>
      <c r="N2241" s="104"/>
      <c r="O2241" s="104"/>
      <c r="P2241" s="152">
        <v>41303.879999999997</v>
      </c>
      <c r="Q2241" s="87">
        <f t="shared" si="92"/>
        <v>0</v>
      </c>
      <c r="R2241" s="105"/>
      <c r="S2241" s="105"/>
      <c r="T2241" s="105"/>
      <c r="U2241" s="105"/>
      <c r="V2241" s="87">
        <f t="shared" si="93"/>
        <v>0</v>
      </c>
      <c r="W2241" s="106"/>
      <c r="X2241" s="64"/>
    </row>
    <row r="2242" spans="1:24" s="66" customFormat="1" ht="12" hidden="1" customHeight="1">
      <c r="A2242" s="151" t="s">
        <v>4956</v>
      </c>
      <c r="B2242" s="151"/>
      <c r="C2242" s="151"/>
      <c r="D2242" s="151"/>
      <c r="E2242" s="151"/>
      <c r="F2242" s="151"/>
      <c r="G2242" s="151"/>
      <c r="H2242" s="151"/>
      <c r="I2242" s="101" t="s">
        <v>5005</v>
      </c>
      <c r="J2242" s="101" t="s">
        <v>5006</v>
      </c>
      <c r="K2242" s="101" t="s">
        <v>5007</v>
      </c>
      <c r="L2242" s="101" t="s">
        <v>4186</v>
      </c>
      <c r="M2242" s="104"/>
      <c r="N2242" s="104"/>
      <c r="O2242" s="104"/>
      <c r="P2242" s="152">
        <v>170074.8</v>
      </c>
      <c r="Q2242" s="87">
        <f t="shared" si="92"/>
        <v>0</v>
      </c>
      <c r="R2242" s="105"/>
      <c r="S2242" s="105"/>
      <c r="T2242" s="105"/>
      <c r="U2242" s="105"/>
      <c r="V2242" s="87">
        <f t="shared" si="93"/>
        <v>0</v>
      </c>
      <c r="W2242" s="106"/>
      <c r="X2242" s="64"/>
    </row>
    <row r="2243" spans="1:24" s="66" customFormat="1" ht="12" hidden="1" customHeight="1">
      <c r="A2243" s="151" t="s">
        <v>4957</v>
      </c>
      <c r="B2243" s="151"/>
      <c r="C2243" s="151"/>
      <c r="D2243" s="151"/>
      <c r="E2243" s="151"/>
      <c r="F2243" s="151"/>
      <c r="G2243" s="151"/>
      <c r="H2243" s="151"/>
      <c r="I2243" s="101" t="s">
        <v>5008</v>
      </c>
      <c r="J2243" s="101" t="s">
        <v>5009</v>
      </c>
      <c r="K2243" s="101" t="s">
        <v>1503</v>
      </c>
      <c r="L2243" s="101" t="s">
        <v>976</v>
      </c>
      <c r="M2243" s="104"/>
      <c r="N2243" s="104"/>
      <c r="O2243" s="104"/>
      <c r="P2243" s="152">
        <v>189660.9</v>
      </c>
      <c r="Q2243" s="87">
        <f t="shared" si="92"/>
        <v>0</v>
      </c>
      <c r="R2243" s="105"/>
      <c r="S2243" s="105"/>
      <c r="T2243" s="105"/>
      <c r="U2243" s="105"/>
      <c r="V2243" s="87">
        <f t="shared" si="93"/>
        <v>0</v>
      </c>
      <c r="W2243" s="106"/>
      <c r="X2243" s="64"/>
    </row>
    <row r="2244" spans="1:24" s="66" customFormat="1" ht="12" hidden="1" customHeight="1">
      <c r="A2244" s="151" t="s">
        <v>4958</v>
      </c>
      <c r="B2244" s="151"/>
      <c r="C2244" s="151"/>
      <c r="D2244" s="151"/>
      <c r="E2244" s="151"/>
      <c r="F2244" s="151"/>
      <c r="G2244" s="151"/>
      <c r="H2244" s="151"/>
      <c r="I2244" s="101" t="s">
        <v>5010</v>
      </c>
      <c r="J2244" s="101" t="s">
        <v>5011</v>
      </c>
      <c r="K2244" s="101" t="s">
        <v>1503</v>
      </c>
      <c r="L2244" s="101" t="s">
        <v>5012</v>
      </c>
      <c r="M2244" s="104"/>
      <c r="N2244" s="104"/>
      <c r="O2244" s="104"/>
      <c r="P2244" s="152">
        <v>89896.68</v>
      </c>
      <c r="Q2244" s="87">
        <f t="shared" si="92"/>
        <v>0</v>
      </c>
      <c r="R2244" s="105"/>
      <c r="S2244" s="105"/>
      <c r="T2244" s="105"/>
      <c r="U2244" s="105"/>
      <c r="V2244" s="87">
        <f t="shared" si="93"/>
        <v>0</v>
      </c>
      <c r="W2244" s="106"/>
      <c r="X2244" s="64"/>
    </row>
    <row r="2245" spans="1:24" s="66" customFormat="1" ht="12" hidden="1" customHeight="1">
      <c r="A2245" s="151" t="s">
        <v>4959</v>
      </c>
      <c r="B2245" s="151"/>
      <c r="C2245" s="151"/>
      <c r="D2245" s="151"/>
      <c r="E2245" s="151"/>
      <c r="F2245" s="151"/>
      <c r="G2245" s="151"/>
      <c r="H2245" s="151"/>
      <c r="I2245" s="101" t="s">
        <v>5013</v>
      </c>
      <c r="J2245" s="101" t="s">
        <v>5014</v>
      </c>
      <c r="K2245" s="101" t="s">
        <v>1503</v>
      </c>
      <c r="L2245" s="101" t="s">
        <v>976</v>
      </c>
      <c r="M2245" s="104"/>
      <c r="N2245" s="104"/>
      <c r="O2245" s="104"/>
      <c r="P2245" s="152">
        <v>81200.350000000006</v>
      </c>
      <c r="Q2245" s="87">
        <f t="shared" si="92"/>
        <v>0</v>
      </c>
      <c r="R2245" s="105"/>
      <c r="S2245" s="105"/>
      <c r="T2245" s="105"/>
      <c r="U2245" s="105"/>
      <c r="V2245" s="87">
        <f t="shared" si="93"/>
        <v>0</v>
      </c>
      <c r="W2245" s="106"/>
      <c r="X2245" s="64"/>
    </row>
    <row r="2246" spans="1:24" s="66" customFormat="1" ht="12" hidden="1" customHeight="1">
      <c r="A2246" s="151" t="s">
        <v>5015</v>
      </c>
      <c r="B2246" s="151"/>
      <c r="C2246" s="151"/>
      <c r="D2246" s="151"/>
      <c r="E2246" s="151"/>
      <c r="F2246" s="151"/>
      <c r="G2246" s="151"/>
      <c r="H2246" s="151"/>
      <c r="I2246" s="101" t="s">
        <v>5018</v>
      </c>
      <c r="J2246" s="101" t="s">
        <v>5019</v>
      </c>
      <c r="K2246" s="101" t="s">
        <v>1503</v>
      </c>
      <c r="L2246" s="101" t="s">
        <v>5020</v>
      </c>
      <c r="M2246" s="104"/>
      <c r="N2246" s="104"/>
      <c r="O2246" s="104"/>
      <c r="P2246" s="152">
        <v>82404.960000000006</v>
      </c>
      <c r="Q2246" s="87">
        <f t="shared" si="92"/>
        <v>0</v>
      </c>
      <c r="R2246" s="105"/>
      <c r="S2246" s="105"/>
      <c r="T2246" s="105"/>
      <c r="U2246" s="105"/>
      <c r="V2246" s="87">
        <f t="shared" si="93"/>
        <v>0</v>
      </c>
      <c r="W2246" s="106"/>
      <c r="X2246" s="64"/>
    </row>
    <row r="2247" spans="1:24" s="66" customFormat="1" ht="12" hidden="1" customHeight="1">
      <c r="A2247" s="151" t="s">
        <v>5016</v>
      </c>
      <c r="B2247" s="151"/>
      <c r="C2247" s="151"/>
      <c r="D2247" s="151"/>
      <c r="E2247" s="151"/>
      <c r="F2247" s="151"/>
      <c r="G2247" s="151"/>
      <c r="H2247" s="151"/>
      <c r="I2247" s="101" t="s">
        <v>5021</v>
      </c>
      <c r="J2247" s="101" t="s">
        <v>5022</v>
      </c>
      <c r="K2247" s="101" t="s">
        <v>1503</v>
      </c>
      <c r="L2247" s="101" t="s">
        <v>1135</v>
      </c>
      <c r="M2247" s="104"/>
      <c r="N2247" s="104"/>
      <c r="O2247" s="104"/>
      <c r="P2247" s="152">
        <v>149358.99</v>
      </c>
      <c r="Q2247" s="87">
        <f t="shared" si="92"/>
        <v>0</v>
      </c>
      <c r="R2247" s="105"/>
      <c r="S2247" s="105"/>
      <c r="T2247" s="105"/>
      <c r="U2247" s="105"/>
      <c r="V2247" s="87">
        <f t="shared" si="93"/>
        <v>0</v>
      </c>
      <c r="W2247" s="106"/>
      <c r="X2247" s="64"/>
    </row>
    <row r="2248" spans="1:24" s="66" customFormat="1" ht="12" hidden="1" customHeight="1">
      <c r="A2248" s="151" t="s">
        <v>5017</v>
      </c>
      <c r="B2248" s="151"/>
      <c r="C2248" s="151"/>
      <c r="D2248" s="151"/>
      <c r="E2248" s="151"/>
      <c r="F2248" s="151"/>
      <c r="G2248" s="151"/>
      <c r="H2248" s="151"/>
      <c r="I2248" s="101" t="s">
        <v>5023</v>
      </c>
      <c r="J2248" s="101" t="s">
        <v>5024</v>
      </c>
      <c r="K2248" s="101" t="s">
        <v>1503</v>
      </c>
      <c r="L2248" s="101" t="s">
        <v>5025</v>
      </c>
      <c r="M2248" s="104"/>
      <c r="N2248" s="104"/>
      <c r="O2248" s="104"/>
      <c r="P2248" s="152">
        <v>154238.94</v>
      </c>
      <c r="Q2248" s="87">
        <f t="shared" si="92"/>
        <v>0</v>
      </c>
      <c r="R2248" s="105"/>
      <c r="S2248" s="105"/>
      <c r="T2248" s="105"/>
      <c r="U2248" s="105"/>
      <c r="V2248" s="87">
        <f t="shared" si="93"/>
        <v>0</v>
      </c>
      <c r="W2248" s="106"/>
      <c r="X2248" s="64"/>
    </row>
    <row r="2249" spans="1:24" s="66" customFormat="1" ht="12" hidden="1" customHeight="1">
      <c r="A2249" s="151" t="s">
        <v>5026</v>
      </c>
      <c r="B2249" s="151"/>
      <c r="C2249" s="151"/>
      <c r="D2249" s="151"/>
      <c r="E2249" s="151"/>
      <c r="F2249" s="151"/>
      <c r="G2249" s="151"/>
      <c r="H2249" s="151"/>
      <c r="I2249" s="101" t="s">
        <v>5027</v>
      </c>
      <c r="J2249" s="101" t="s">
        <v>5028</v>
      </c>
      <c r="K2249" s="101" t="s">
        <v>5029</v>
      </c>
      <c r="L2249" s="101" t="s">
        <v>5030</v>
      </c>
      <c r="M2249" s="104"/>
      <c r="N2249" s="104"/>
      <c r="O2249" s="104"/>
      <c r="P2249" s="152">
        <v>206706.15</v>
      </c>
      <c r="Q2249" s="87">
        <f t="shared" si="92"/>
        <v>0</v>
      </c>
      <c r="R2249" s="105"/>
      <c r="S2249" s="105"/>
      <c r="T2249" s="105"/>
      <c r="U2249" s="105"/>
      <c r="V2249" s="87">
        <f t="shared" si="93"/>
        <v>0</v>
      </c>
      <c r="W2249" s="106"/>
      <c r="X2249" s="64"/>
    </row>
    <row r="2250" spans="1:24" s="66" customFormat="1" ht="12" hidden="1" customHeight="1">
      <c r="A2250" s="151" t="s">
        <v>5031</v>
      </c>
      <c r="B2250" s="151"/>
      <c r="C2250" s="151"/>
      <c r="D2250" s="151"/>
      <c r="E2250" s="151"/>
      <c r="F2250" s="151"/>
      <c r="G2250" s="151"/>
      <c r="H2250" s="151"/>
      <c r="I2250" s="101" t="s">
        <v>5034</v>
      </c>
      <c r="J2250" s="101" t="s">
        <v>5035</v>
      </c>
      <c r="K2250" s="101" t="s">
        <v>5036</v>
      </c>
      <c r="L2250" s="101" t="s">
        <v>5030</v>
      </c>
      <c r="M2250" s="104"/>
      <c r="N2250" s="104"/>
      <c r="O2250" s="104"/>
      <c r="P2250" s="152">
        <v>84740.85</v>
      </c>
      <c r="Q2250" s="87">
        <f t="shared" si="92"/>
        <v>0</v>
      </c>
      <c r="R2250" s="105"/>
      <c r="S2250" s="105"/>
      <c r="T2250" s="105"/>
      <c r="U2250" s="105"/>
      <c r="V2250" s="87">
        <f t="shared" si="93"/>
        <v>0</v>
      </c>
      <c r="W2250" s="106"/>
      <c r="X2250" s="64"/>
    </row>
    <row r="2251" spans="1:24" s="66" customFormat="1" ht="12" hidden="1" customHeight="1">
      <c r="A2251" s="151" t="s">
        <v>5032</v>
      </c>
      <c r="B2251" s="151"/>
      <c r="C2251" s="151"/>
      <c r="D2251" s="151"/>
      <c r="E2251" s="151"/>
      <c r="F2251" s="151"/>
      <c r="G2251" s="151"/>
      <c r="H2251" s="151"/>
      <c r="I2251" s="101" t="s">
        <v>5037</v>
      </c>
      <c r="J2251" s="101" t="s">
        <v>5038</v>
      </c>
      <c r="K2251" s="101" t="s">
        <v>5039</v>
      </c>
      <c r="L2251" s="101" t="s">
        <v>5030</v>
      </c>
      <c r="M2251" s="104"/>
      <c r="N2251" s="104"/>
      <c r="O2251" s="104"/>
      <c r="P2251" s="152">
        <v>64964.79</v>
      </c>
      <c r="Q2251" s="87">
        <f t="shared" si="92"/>
        <v>0</v>
      </c>
      <c r="R2251" s="105"/>
      <c r="S2251" s="105"/>
      <c r="T2251" s="105"/>
      <c r="U2251" s="105"/>
      <c r="V2251" s="87">
        <f t="shared" si="93"/>
        <v>0</v>
      </c>
      <c r="W2251" s="106"/>
      <c r="X2251" s="64"/>
    </row>
    <row r="2252" spans="1:24" s="66" customFormat="1" ht="12" hidden="1" customHeight="1">
      <c r="A2252" s="151" t="s">
        <v>5033</v>
      </c>
      <c r="B2252" s="151"/>
      <c r="C2252" s="151"/>
      <c r="D2252" s="151"/>
      <c r="E2252" s="151"/>
      <c r="F2252" s="151"/>
      <c r="G2252" s="151"/>
      <c r="H2252" s="151"/>
      <c r="I2252" s="101" t="s">
        <v>5040</v>
      </c>
      <c r="J2252" s="101" t="s">
        <v>5041</v>
      </c>
      <c r="K2252" s="101" t="s">
        <v>5042</v>
      </c>
      <c r="L2252" s="101" t="s">
        <v>5030</v>
      </c>
      <c r="M2252" s="104"/>
      <c r="N2252" s="104"/>
      <c r="O2252" s="104"/>
      <c r="P2252" s="152">
        <v>129929.58</v>
      </c>
      <c r="Q2252" s="87">
        <f t="shared" si="92"/>
        <v>0</v>
      </c>
      <c r="R2252" s="105"/>
      <c r="S2252" s="105"/>
      <c r="T2252" s="105"/>
      <c r="U2252" s="105"/>
      <c r="V2252" s="87">
        <f t="shared" si="93"/>
        <v>0</v>
      </c>
      <c r="W2252" s="106"/>
      <c r="X2252" s="64"/>
    </row>
    <row r="2253" spans="1:24" s="66" customFormat="1" ht="12" hidden="1" customHeight="1">
      <c r="A2253" s="151" t="s">
        <v>5043</v>
      </c>
      <c r="B2253" s="151"/>
      <c r="C2253" s="151"/>
      <c r="D2253" s="151"/>
      <c r="E2253" s="151"/>
      <c r="F2253" s="151"/>
      <c r="G2253" s="151"/>
      <c r="H2253" s="151"/>
      <c r="I2253" s="101" t="s">
        <v>5046</v>
      </c>
      <c r="J2253" s="101" t="s">
        <v>5047</v>
      </c>
      <c r="K2253" s="101" t="s">
        <v>5048</v>
      </c>
      <c r="L2253" s="101" t="s">
        <v>3841</v>
      </c>
      <c r="M2253" s="104"/>
      <c r="N2253" s="104"/>
      <c r="O2253" s="104"/>
      <c r="P2253" s="152">
        <v>64776.97</v>
      </c>
      <c r="Q2253" s="87">
        <f t="shared" si="92"/>
        <v>0</v>
      </c>
      <c r="R2253" s="105"/>
      <c r="S2253" s="105"/>
      <c r="T2253" s="105"/>
      <c r="U2253" s="105"/>
      <c r="V2253" s="87">
        <f t="shared" si="93"/>
        <v>0</v>
      </c>
      <c r="W2253" s="106"/>
      <c r="X2253" s="64"/>
    </row>
    <row r="2254" spans="1:24" s="66" customFormat="1" ht="12" hidden="1" customHeight="1">
      <c r="A2254" s="151" t="s">
        <v>5044</v>
      </c>
      <c r="B2254" s="151"/>
      <c r="C2254" s="151"/>
      <c r="D2254" s="151"/>
      <c r="E2254" s="151"/>
      <c r="F2254" s="151"/>
      <c r="G2254" s="151"/>
      <c r="H2254" s="151"/>
      <c r="I2254" s="101" t="s">
        <v>5049</v>
      </c>
      <c r="J2254" s="101" t="s">
        <v>5050</v>
      </c>
      <c r="K2254" s="101" t="s">
        <v>5051</v>
      </c>
      <c r="L2254" s="101" t="s">
        <v>3841</v>
      </c>
      <c r="M2254" s="104"/>
      <c r="N2254" s="104"/>
      <c r="O2254" s="104"/>
      <c r="P2254" s="152">
        <v>83829.02</v>
      </c>
      <c r="Q2254" s="87">
        <f t="shared" si="92"/>
        <v>0</v>
      </c>
      <c r="R2254" s="105"/>
      <c r="S2254" s="105"/>
      <c r="T2254" s="105"/>
      <c r="U2254" s="105"/>
      <c r="V2254" s="87">
        <f t="shared" si="93"/>
        <v>0</v>
      </c>
      <c r="W2254" s="106"/>
      <c r="X2254" s="64"/>
    </row>
    <row r="2255" spans="1:24" s="66" customFormat="1" ht="12" hidden="1" customHeight="1">
      <c r="A2255" s="151" t="s">
        <v>5045</v>
      </c>
      <c r="B2255" s="151"/>
      <c r="C2255" s="151"/>
      <c r="D2255" s="151"/>
      <c r="E2255" s="151"/>
      <c r="F2255" s="151"/>
      <c r="G2255" s="151"/>
      <c r="H2255" s="151"/>
      <c r="I2255" s="101" t="s">
        <v>5052</v>
      </c>
      <c r="J2255" s="101" t="s">
        <v>5053</v>
      </c>
      <c r="K2255" s="101" t="s">
        <v>5054</v>
      </c>
      <c r="L2255" s="101" t="s">
        <v>3841</v>
      </c>
      <c r="M2255" s="104"/>
      <c r="N2255" s="104"/>
      <c r="O2255" s="104"/>
      <c r="P2255" s="152">
        <v>121933.12</v>
      </c>
      <c r="Q2255" s="87">
        <f t="shared" si="92"/>
        <v>0</v>
      </c>
      <c r="R2255" s="105"/>
      <c r="S2255" s="105"/>
      <c r="T2255" s="105"/>
      <c r="U2255" s="105"/>
      <c r="V2255" s="87">
        <f t="shared" si="93"/>
        <v>0</v>
      </c>
      <c r="W2255" s="106"/>
      <c r="X2255" s="64"/>
    </row>
    <row r="2256" spans="1:24" s="66" customFormat="1" ht="12" hidden="1" customHeight="1">
      <c r="A2256" s="151" t="s">
        <v>5055</v>
      </c>
      <c r="B2256" s="151"/>
      <c r="C2256" s="151"/>
      <c r="D2256" s="151"/>
      <c r="E2256" s="151"/>
      <c r="F2256" s="151"/>
      <c r="G2256" s="151"/>
      <c r="H2256" s="151"/>
      <c r="I2256" s="101" t="s">
        <v>5059</v>
      </c>
      <c r="J2256" s="101" t="s">
        <v>5060</v>
      </c>
      <c r="K2256" s="101" t="s">
        <v>5061</v>
      </c>
      <c r="L2256" s="101" t="s">
        <v>20</v>
      </c>
      <c r="M2256" s="104"/>
      <c r="N2256" s="104"/>
      <c r="O2256" s="104"/>
      <c r="P2256" s="152">
        <v>7288.92</v>
      </c>
      <c r="Q2256" s="87">
        <f t="shared" si="92"/>
        <v>0</v>
      </c>
      <c r="R2256" s="105"/>
      <c r="S2256" s="105"/>
      <c r="T2256" s="105"/>
      <c r="U2256" s="105"/>
      <c r="V2256" s="87">
        <f t="shared" si="93"/>
        <v>0</v>
      </c>
      <c r="W2256" s="106"/>
      <c r="X2256" s="64"/>
    </row>
    <row r="2257" spans="1:24" s="66" customFormat="1" ht="12" hidden="1" customHeight="1">
      <c r="A2257" s="151" t="s">
        <v>5056</v>
      </c>
      <c r="B2257" s="151"/>
      <c r="C2257" s="151"/>
      <c r="D2257" s="151"/>
      <c r="E2257" s="151"/>
      <c r="F2257" s="151"/>
      <c r="G2257" s="151"/>
      <c r="H2257" s="151"/>
      <c r="I2257" s="101" t="s">
        <v>5062</v>
      </c>
      <c r="J2257" s="101" t="s">
        <v>5063</v>
      </c>
      <c r="K2257" s="101" t="s">
        <v>5064</v>
      </c>
      <c r="L2257" s="101" t="s">
        <v>20</v>
      </c>
      <c r="M2257" s="104"/>
      <c r="N2257" s="104"/>
      <c r="O2257" s="104"/>
      <c r="P2257" s="152">
        <v>12148.2</v>
      </c>
      <c r="Q2257" s="87">
        <f t="shared" si="92"/>
        <v>0</v>
      </c>
      <c r="R2257" s="105"/>
      <c r="S2257" s="105"/>
      <c r="T2257" s="105"/>
      <c r="U2257" s="105"/>
      <c r="V2257" s="87">
        <f t="shared" si="93"/>
        <v>0</v>
      </c>
      <c r="W2257" s="106"/>
      <c r="X2257" s="64"/>
    </row>
    <row r="2258" spans="1:24" s="66" customFormat="1" ht="12" hidden="1" customHeight="1">
      <c r="A2258" s="151" t="s">
        <v>5057</v>
      </c>
      <c r="B2258" s="151"/>
      <c r="C2258" s="151"/>
      <c r="D2258" s="151"/>
      <c r="E2258" s="151"/>
      <c r="F2258" s="151"/>
      <c r="G2258" s="151"/>
      <c r="H2258" s="151"/>
      <c r="I2258" s="101" t="s">
        <v>5065</v>
      </c>
      <c r="J2258" s="101" t="s">
        <v>5066</v>
      </c>
      <c r="K2258" s="101" t="s">
        <v>5067</v>
      </c>
      <c r="L2258" s="101" t="s">
        <v>20</v>
      </c>
      <c r="M2258" s="104"/>
      <c r="N2258" s="104"/>
      <c r="O2258" s="104"/>
      <c r="P2258" s="152">
        <v>14577.84</v>
      </c>
      <c r="Q2258" s="87">
        <f t="shared" si="92"/>
        <v>0</v>
      </c>
      <c r="R2258" s="105"/>
      <c r="S2258" s="105"/>
      <c r="T2258" s="105"/>
      <c r="U2258" s="105"/>
      <c r="V2258" s="87">
        <f t="shared" si="93"/>
        <v>0</v>
      </c>
      <c r="W2258" s="106"/>
      <c r="X2258" s="64"/>
    </row>
    <row r="2259" spans="1:24" s="66" customFormat="1" ht="12" hidden="1" customHeight="1">
      <c r="A2259" s="151" t="s">
        <v>5058</v>
      </c>
      <c r="B2259" s="151"/>
      <c r="C2259" s="151"/>
      <c r="D2259" s="151"/>
      <c r="E2259" s="151"/>
      <c r="F2259" s="151"/>
      <c r="G2259" s="151"/>
      <c r="H2259" s="151"/>
      <c r="I2259" s="101" t="s">
        <v>5068</v>
      </c>
      <c r="J2259" s="101" t="s">
        <v>5069</v>
      </c>
      <c r="K2259" s="101" t="s">
        <v>5070</v>
      </c>
      <c r="L2259" s="101" t="s">
        <v>20</v>
      </c>
      <c r="M2259" s="104"/>
      <c r="N2259" s="104"/>
      <c r="O2259" s="104"/>
      <c r="P2259" s="152">
        <v>17007.48</v>
      </c>
      <c r="Q2259" s="87">
        <f t="shared" si="92"/>
        <v>0</v>
      </c>
      <c r="R2259" s="105"/>
      <c r="S2259" s="105"/>
      <c r="T2259" s="105"/>
      <c r="U2259" s="105"/>
      <c r="V2259" s="87">
        <f t="shared" si="93"/>
        <v>0</v>
      </c>
      <c r="W2259" s="106"/>
      <c r="X2259" s="64"/>
    </row>
    <row r="2260" spans="1:24" s="66" customFormat="1" ht="12" hidden="1" customHeight="1">
      <c r="A2260" s="151" t="s">
        <v>5071</v>
      </c>
      <c r="B2260" s="151"/>
      <c r="C2260" s="151"/>
      <c r="D2260" s="151"/>
      <c r="E2260" s="151"/>
      <c r="F2260" s="151"/>
      <c r="G2260" s="151"/>
      <c r="H2260" s="151"/>
      <c r="I2260" s="101" t="s">
        <v>5076</v>
      </c>
      <c r="J2260" s="101" t="s">
        <v>5077</v>
      </c>
      <c r="K2260" s="101" t="s">
        <v>5078</v>
      </c>
      <c r="L2260" s="101" t="s">
        <v>3841</v>
      </c>
      <c r="M2260" s="104"/>
      <c r="N2260" s="104"/>
      <c r="O2260" s="104"/>
      <c r="P2260" s="152">
        <v>57156.15</v>
      </c>
      <c r="Q2260" s="87">
        <f t="shared" si="92"/>
        <v>0</v>
      </c>
      <c r="R2260" s="105"/>
      <c r="S2260" s="105"/>
      <c r="T2260" s="105"/>
      <c r="U2260" s="105"/>
      <c r="V2260" s="87">
        <f t="shared" si="93"/>
        <v>0</v>
      </c>
      <c r="W2260" s="106"/>
      <c r="X2260" s="64"/>
    </row>
    <row r="2261" spans="1:24" s="66" customFormat="1" ht="12" hidden="1" customHeight="1">
      <c r="A2261" s="151" t="s">
        <v>5072</v>
      </c>
      <c r="B2261" s="151"/>
      <c r="C2261" s="151"/>
      <c r="D2261" s="151"/>
      <c r="E2261" s="151"/>
      <c r="F2261" s="151"/>
      <c r="G2261" s="151"/>
      <c r="H2261" s="151"/>
      <c r="I2261" s="101" t="s">
        <v>5079</v>
      </c>
      <c r="J2261" s="101" t="s">
        <v>5080</v>
      </c>
      <c r="K2261" s="101" t="s">
        <v>5081</v>
      </c>
      <c r="L2261" s="101" t="s">
        <v>3841</v>
      </c>
      <c r="M2261" s="104"/>
      <c r="N2261" s="104"/>
      <c r="O2261" s="104"/>
      <c r="P2261" s="152">
        <v>91449.84</v>
      </c>
      <c r="Q2261" s="87">
        <f t="shared" si="92"/>
        <v>0</v>
      </c>
      <c r="R2261" s="105"/>
      <c r="S2261" s="105"/>
      <c r="T2261" s="105"/>
      <c r="U2261" s="105"/>
      <c r="V2261" s="87">
        <f t="shared" si="93"/>
        <v>0</v>
      </c>
      <c r="W2261" s="106"/>
      <c r="X2261" s="64"/>
    </row>
    <row r="2262" spans="1:24" s="66" customFormat="1" ht="12" hidden="1" customHeight="1">
      <c r="A2262" s="151" t="s">
        <v>5073</v>
      </c>
      <c r="B2262" s="151"/>
      <c r="C2262" s="151"/>
      <c r="D2262" s="151"/>
      <c r="E2262" s="151"/>
      <c r="F2262" s="151"/>
      <c r="G2262" s="151"/>
      <c r="H2262" s="151"/>
      <c r="I2262" s="101" t="s">
        <v>5082</v>
      </c>
      <c r="J2262" s="101" t="s">
        <v>5083</v>
      </c>
      <c r="K2262" s="101" t="s">
        <v>5084</v>
      </c>
      <c r="L2262" s="101" t="s">
        <v>3841</v>
      </c>
      <c r="M2262" s="104"/>
      <c r="N2262" s="104"/>
      <c r="O2262" s="104"/>
      <c r="P2262" s="152">
        <v>133364.35</v>
      </c>
      <c r="Q2262" s="87">
        <f t="shared" si="92"/>
        <v>0</v>
      </c>
      <c r="R2262" s="105"/>
      <c r="S2262" s="105"/>
      <c r="T2262" s="105"/>
      <c r="U2262" s="105"/>
      <c r="V2262" s="87">
        <f t="shared" si="93"/>
        <v>0</v>
      </c>
      <c r="W2262" s="106"/>
      <c r="X2262" s="64"/>
    </row>
    <row r="2263" spans="1:24" s="66" customFormat="1" ht="12" hidden="1" customHeight="1">
      <c r="A2263" s="151" t="s">
        <v>5074</v>
      </c>
      <c r="B2263" s="151"/>
      <c r="C2263" s="151"/>
      <c r="D2263" s="151"/>
      <c r="E2263" s="151"/>
      <c r="F2263" s="151"/>
      <c r="G2263" s="151"/>
      <c r="H2263" s="151"/>
      <c r="I2263" s="101" t="s">
        <v>5085</v>
      </c>
      <c r="J2263" s="101" t="s">
        <v>5086</v>
      </c>
      <c r="K2263" s="101" t="s">
        <v>5087</v>
      </c>
      <c r="L2263" s="101" t="s">
        <v>3841</v>
      </c>
      <c r="M2263" s="104"/>
      <c r="N2263" s="104"/>
      <c r="O2263" s="104"/>
      <c r="P2263" s="152">
        <v>190520.5</v>
      </c>
      <c r="Q2263" s="87">
        <f t="shared" si="92"/>
        <v>0</v>
      </c>
      <c r="R2263" s="105"/>
      <c r="S2263" s="105"/>
      <c r="T2263" s="105"/>
      <c r="U2263" s="105"/>
      <c r="V2263" s="87">
        <f t="shared" si="93"/>
        <v>0</v>
      </c>
      <c r="W2263" s="106"/>
      <c r="X2263" s="64"/>
    </row>
    <row r="2264" spans="1:24" s="66" customFormat="1" ht="12" hidden="1" customHeight="1">
      <c r="A2264" s="151" t="s">
        <v>5075</v>
      </c>
      <c r="B2264" s="151"/>
      <c r="C2264" s="151"/>
      <c r="D2264" s="151"/>
      <c r="E2264" s="151"/>
      <c r="F2264" s="151"/>
      <c r="G2264" s="151"/>
      <c r="H2264" s="151"/>
      <c r="I2264" s="101" t="s">
        <v>5088</v>
      </c>
      <c r="J2264" s="101" t="s">
        <v>5089</v>
      </c>
      <c r="K2264" s="101" t="s">
        <v>5090</v>
      </c>
      <c r="L2264" s="101" t="s">
        <v>3841</v>
      </c>
      <c r="M2264" s="104"/>
      <c r="N2264" s="104"/>
      <c r="O2264" s="104"/>
      <c r="P2264" s="152">
        <v>19052.05</v>
      </c>
      <c r="Q2264" s="87">
        <f t="shared" si="92"/>
        <v>0</v>
      </c>
      <c r="R2264" s="105"/>
      <c r="S2264" s="105"/>
      <c r="T2264" s="105"/>
      <c r="U2264" s="105"/>
      <c r="V2264" s="87">
        <f t="shared" si="93"/>
        <v>0</v>
      </c>
      <c r="W2264" s="106"/>
      <c r="X2264" s="64"/>
    </row>
    <row r="2265" spans="1:24" s="66" customFormat="1" ht="12" hidden="1" customHeight="1">
      <c r="A2265" s="153" t="s">
        <v>5091</v>
      </c>
      <c r="B2265" s="153"/>
      <c r="C2265" s="153"/>
      <c r="D2265" s="153"/>
      <c r="E2265" s="153"/>
      <c r="F2265" s="153"/>
      <c r="G2265" s="153"/>
      <c r="H2265" s="153"/>
      <c r="I2265" s="149" t="s">
        <v>5092</v>
      </c>
      <c r="J2265" s="149" t="s">
        <v>5093</v>
      </c>
      <c r="K2265" s="149" t="s">
        <v>5094</v>
      </c>
      <c r="L2265" s="149" t="s">
        <v>4186</v>
      </c>
      <c r="M2265" s="104"/>
      <c r="N2265" s="104"/>
      <c r="O2265" s="104"/>
      <c r="P2265" s="154">
        <v>41303.879999999997</v>
      </c>
      <c r="Q2265" s="87">
        <f t="shared" si="92"/>
        <v>0</v>
      </c>
      <c r="R2265" s="105"/>
      <c r="S2265" s="105"/>
      <c r="T2265" s="105"/>
      <c r="U2265" s="105"/>
      <c r="V2265" s="87">
        <f t="shared" si="93"/>
        <v>0</v>
      </c>
      <c r="W2265" s="106"/>
      <c r="X2265" s="64"/>
    </row>
    <row r="2266" spans="1:24" s="66" customFormat="1" ht="12" hidden="1" customHeight="1">
      <c r="A2266" s="61" t="s">
        <v>3217</v>
      </c>
      <c r="B2266" s="61"/>
      <c r="C2266" s="61"/>
      <c r="D2266" s="61"/>
      <c r="E2266" s="61"/>
      <c r="F2266" s="61"/>
      <c r="G2266" s="61"/>
      <c r="H2266" s="61"/>
      <c r="I2266" s="61"/>
      <c r="J2266" s="64" t="s">
        <v>3218</v>
      </c>
      <c r="K2266" s="64" t="s">
        <v>3221</v>
      </c>
      <c r="L2266" s="147" t="s">
        <v>4217</v>
      </c>
      <c r="M2266" s="57"/>
      <c r="N2266" s="57"/>
      <c r="O2266" s="57"/>
      <c r="P2266" s="57">
        <v>153671</v>
      </c>
      <c r="Q2266" s="73">
        <f>IF(W2266="",M2266*P2266*$W$3,M2266*P2266*W2266)</f>
        <v>0</v>
      </c>
      <c r="R2266" s="57"/>
      <c r="S2266" s="57"/>
      <c r="T2266" s="57"/>
      <c r="U2266" s="57"/>
      <c r="V2266" s="73">
        <f t="shared" ref="V2266:V2271" si="94">SUM(O2266+Q2266)+S2266+U2266</f>
        <v>0</v>
      </c>
      <c r="W2266" s="106"/>
      <c r="X2266" s="64"/>
    </row>
    <row r="2267" spans="1:24" s="66" customFormat="1" ht="12" hidden="1" customHeight="1">
      <c r="A2267" s="61" t="s">
        <v>3220</v>
      </c>
      <c r="B2267" s="61"/>
      <c r="C2267" s="61"/>
      <c r="D2267" s="61"/>
      <c r="E2267" s="61"/>
      <c r="F2267" s="61"/>
      <c r="G2267" s="61"/>
      <c r="H2267" s="61"/>
      <c r="I2267" s="61"/>
      <c r="J2267" s="64" t="s">
        <v>3219</v>
      </c>
      <c r="K2267" s="64"/>
      <c r="L2267" s="147" t="s">
        <v>4217</v>
      </c>
      <c r="M2267" s="57"/>
      <c r="N2267" s="57"/>
      <c r="O2267" s="57">
        <f>M2267*N2267*$O$3</f>
        <v>0</v>
      </c>
      <c r="P2267" s="57">
        <v>162860</v>
      </c>
      <c r="Q2267" s="73">
        <f>IF(W2267="",M2267*P2267*$Q$3*$W$3,M2267*P2267*$Q$3*W2267)</f>
        <v>0</v>
      </c>
      <c r="R2267" s="57"/>
      <c r="S2267" s="57"/>
      <c r="T2267" s="57"/>
      <c r="U2267" s="57"/>
      <c r="V2267" s="73">
        <f t="shared" si="94"/>
        <v>0</v>
      </c>
      <c r="W2267" s="106"/>
      <c r="X2267" s="64"/>
    </row>
    <row r="2268" spans="1:24" s="66" customFormat="1" ht="12" customHeight="1">
      <c r="A2268" s="60" t="s">
        <v>3217</v>
      </c>
      <c r="B2268" s="60"/>
      <c r="C2268" s="60"/>
      <c r="D2268" s="60"/>
      <c r="E2268" s="60"/>
      <c r="F2268" s="60"/>
      <c r="G2268" s="60"/>
      <c r="H2268" s="60"/>
      <c r="I2268" s="61"/>
      <c r="J2268" s="132" t="s">
        <v>2207</v>
      </c>
      <c r="K2268" s="132" t="s">
        <v>3054</v>
      </c>
      <c r="L2268" s="132" t="s">
        <v>4217</v>
      </c>
      <c r="M2268" s="73">
        <v>1</v>
      </c>
      <c r="N2268" s="57"/>
      <c r="O2268" s="57"/>
      <c r="P2268" s="57">
        <v>153671</v>
      </c>
      <c r="Q2268" s="73">
        <f>IF(W2268="",M2268*P2268*$W$3,M2268*P2268*W2268)</f>
        <v>153671</v>
      </c>
      <c r="R2268" s="57"/>
      <c r="S2268" s="57"/>
      <c r="T2268" s="57"/>
      <c r="U2268" s="57"/>
      <c r="V2268" s="73">
        <f>SUM(O2268+Q2268+S2268+U2268)</f>
        <v>153671</v>
      </c>
      <c r="W2268" s="106"/>
      <c r="X2268" s="64"/>
    </row>
    <row r="2269" spans="1:24" s="66" customFormat="1" ht="12" customHeight="1">
      <c r="A2269" s="60" t="s">
        <v>2210</v>
      </c>
      <c r="B2269" s="60"/>
      <c r="C2269" s="60"/>
      <c r="D2269" s="60"/>
      <c r="E2269" s="60"/>
      <c r="F2269" s="60"/>
      <c r="G2269" s="60"/>
      <c r="H2269" s="60"/>
      <c r="I2269" s="61"/>
      <c r="J2269" s="132" t="s">
        <v>2211</v>
      </c>
      <c r="K2269" s="132" t="s">
        <v>3054</v>
      </c>
      <c r="L2269" s="132" t="s">
        <v>4217</v>
      </c>
      <c r="M2269" s="73">
        <v>1</v>
      </c>
      <c r="N2269" s="57"/>
      <c r="O2269" s="57"/>
      <c r="P2269" s="57">
        <v>259085</v>
      </c>
      <c r="Q2269" s="73">
        <f>IF(W2269="",M2269*P2269*$W$3,M2269*P2269*W2269)</f>
        <v>259085</v>
      </c>
      <c r="R2269" s="57"/>
      <c r="S2269" s="57"/>
      <c r="T2269" s="57"/>
      <c r="U2269" s="57"/>
      <c r="V2269" s="73">
        <f>SUM(O2269+Q2269+S2269+U2269)</f>
        <v>259085</v>
      </c>
      <c r="W2269" s="106"/>
      <c r="X2269" s="64"/>
    </row>
    <row r="2270" spans="1:24" s="66" customFormat="1" ht="12" hidden="1" customHeight="1">
      <c r="A2270" s="61" t="s">
        <v>2208</v>
      </c>
      <c r="B2270" s="61"/>
      <c r="C2270" s="61"/>
      <c r="D2270" s="61"/>
      <c r="E2270" s="61"/>
      <c r="F2270" s="61"/>
      <c r="G2270" s="61"/>
      <c r="H2270" s="61"/>
      <c r="I2270" s="61"/>
      <c r="J2270" s="64" t="s">
        <v>2209</v>
      </c>
      <c r="K2270" s="64" t="s">
        <v>3177</v>
      </c>
      <c r="L2270" s="147" t="s">
        <v>4217</v>
      </c>
      <c r="M2270" s="57"/>
      <c r="N2270" s="57"/>
      <c r="O2270" s="57"/>
      <c r="P2270" s="57">
        <v>192375</v>
      </c>
      <c r="Q2270" s="73">
        <f>IF(W2270="",M2270*P2270*$W$3,M2270*P2270*W2270)</f>
        <v>0</v>
      </c>
      <c r="R2270" s="57"/>
      <c r="S2270" s="57"/>
      <c r="T2270" s="57"/>
      <c r="U2270" s="57"/>
      <c r="V2270" s="73">
        <f t="shared" si="94"/>
        <v>0</v>
      </c>
      <c r="W2270" s="106"/>
      <c r="X2270" s="64"/>
    </row>
    <row r="2271" spans="1:24" s="66" customFormat="1" ht="12" hidden="1" customHeight="1">
      <c r="A2271" s="61" t="s">
        <v>2206</v>
      </c>
      <c r="B2271" s="61"/>
      <c r="C2271" s="61"/>
      <c r="D2271" s="61"/>
      <c r="E2271" s="61"/>
      <c r="F2271" s="61"/>
      <c r="G2271" s="61"/>
      <c r="H2271" s="61"/>
      <c r="I2271" s="61"/>
      <c r="J2271" s="64" t="s">
        <v>2207</v>
      </c>
      <c r="K2271" s="64" t="s">
        <v>3176</v>
      </c>
      <c r="L2271" s="147" t="s">
        <v>4217</v>
      </c>
      <c r="M2271" s="57"/>
      <c r="N2271" s="57"/>
      <c r="O2271" s="57"/>
      <c r="P2271" s="57">
        <v>153671</v>
      </c>
      <c r="Q2271" s="73">
        <f>IF(W2271="",M2271*P2271*$W$3,M2271*P2271*W2271)</f>
        <v>0</v>
      </c>
      <c r="R2271" s="57"/>
      <c r="S2271" s="57"/>
      <c r="T2271" s="57"/>
      <c r="U2271" s="57"/>
      <c r="V2271" s="73">
        <f t="shared" si="94"/>
        <v>0</v>
      </c>
      <c r="W2271" s="106"/>
      <c r="X2271" s="64"/>
    </row>
    <row r="2272" spans="1:24" s="66" customFormat="1" ht="12" hidden="1" customHeight="1">
      <c r="A2272" s="61"/>
      <c r="B2272" s="61"/>
      <c r="C2272" s="61"/>
      <c r="D2272" s="61"/>
      <c r="E2272" s="61"/>
      <c r="F2272" s="61"/>
      <c r="G2272" s="61"/>
      <c r="H2272" s="61"/>
      <c r="I2272" s="61"/>
      <c r="J2272" s="64"/>
      <c r="K2272" s="64"/>
      <c r="L2272" s="132"/>
      <c r="M2272" s="57"/>
      <c r="N2272" s="57"/>
      <c r="O2272" s="57"/>
      <c r="P2272" s="57"/>
      <c r="Q2272" s="73"/>
      <c r="R2272" s="57"/>
      <c r="S2272" s="57"/>
      <c r="T2272" s="57"/>
      <c r="U2272" s="57"/>
      <c r="V2272" s="73"/>
      <c r="W2272" s="106"/>
      <c r="X2272" s="64"/>
    </row>
    <row r="2273" spans="1:24" s="66" customFormat="1" ht="12" customHeight="1">
      <c r="A2273" s="60"/>
      <c r="B2273" s="60"/>
      <c r="C2273" s="60"/>
      <c r="D2273" s="60"/>
      <c r="E2273" s="60"/>
      <c r="F2273" s="60"/>
      <c r="G2273" s="60"/>
      <c r="H2273" s="60"/>
      <c r="I2273" s="60"/>
      <c r="J2273" s="64"/>
      <c r="K2273" s="64"/>
      <c r="L2273" s="132"/>
      <c r="M2273" s="73" t="s">
        <v>1650</v>
      </c>
      <c r="N2273" s="57"/>
      <c r="O2273" s="57"/>
      <c r="P2273" s="57"/>
      <c r="Q2273" s="60"/>
      <c r="R2273" s="133"/>
      <c r="S2273" s="133"/>
      <c r="T2273" s="133"/>
      <c r="U2273" s="133"/>
      <c r="V2273" s="60"/>
      <c r="W2273" s="106"/>
      <c r="X2273" s="64"/>
    </row>
    <row r="2274" spans="1:24" ht="12" customHeight="1">
      <c r="A2274" s="134"/>
      <c r="B2274" s="134"/>
      <c r="C2274" s="134"/>
      <c r="D2274" s="134"/>
      <c r="E2274" s="134"/>
      <c r="F2274" s="134"/>
      <c r="G2274" s="134"/>
      <c r="H2274" s="134"/>
      <c r="I2274" s="134"/>
      <c r="J2274" s="135"/>
      <c r="K2274" s="136" t="s">
        <v>1651</v>
      </c>
      <c r="L2274" s="137"/>
      <c r="M2274" s="138" t="s">
        <v>1650</v>
      </c>
      <c r="N2274" s="139" t="s">
        <v>1653</v>
      </c>
      <c r="O2274" s="139">
        <f>SUM(O6:O2272)</f>
        <v>554400</v>
      </c>
      <c r="P2274" s="139" t="s">
        <v>1654</v>
      </c>
      <c r="Q2274" s="139">
        <f>SUM(Q6:Q2272)</f>
        <v>412756</v>
      </c>
      <c r="V2274" s="139">
        <f>SUM(O2274,Q2274)</f>
        <v>967156</v>
      </c>
      <c r="W2274" s="141"/>
      <c r="X2274" s="135"/>
    </row>
    <row r="2275" spans="1:24" ht="12" customHeight="1">
      <c r="M2275" s="144" t="s">
        <v>1655</v>
      </c>
      <c r="N2275" s="144"/>
      <c r="V2275" s="145" t="e">
        <f>#REF!</f>
        <v>#REF!</v>
      </c>
    </row>
    <row r="2276" spans="1:24" ht="12" customHeight="1">
      <c r="N2276" s="144"/>
    </row>
    <row r="2277" spans="1:24" ht="12" customHeight="1">
      <c r="N2277" s="144"/>
    </row>
    <row r="2278" spans="1:24" ht="12" customHeight="1">
      <c r="N2278" s="144"/>
    </row>
    <row r="2279" spans="1:24" ht="12" customHeight="1">
      <c r="N2279" s="144"/>
    </row>
    <row r="2280" spans="1:24" ht="12" customHeight="1">
      <c r="N2280" s="144"/>
    </row>
    <row r="2281" spans="1:24" ht="12" customHeight="1">
      <c r="N2281" s="144"/>
    </row>
    <row r="2282" spans="1:24" ht="12" customHeight="1">
      <c r="N2282" s="144"/>
    </row>
    <row r="2283" spans="1:24" ht="12" customHeight="1">
      <c r="N2283" s="144"/>
    </row>
    <row r="2284" spans="1:24" ht="12" customHeight="1">
      <c r="N2284" s="144"/>
    </row>
    <row r="2285" spans="1:24" ht="12" customHeight="1">
      <c r="N2285" s="144"/>
    </row>
    <row r="2286" spans="1:24" ht="12" customHeight="1">
      <c r="N2286" s="144"/>
    </row>
    <row r="2287" spans="1:24" ht="12" customHeight="1">
      <c r="N2287" s="144"/>
    </row>
    <row r="2288" spans="1:24" ht="12" customHeight="1">
      <c r="N2288" s="144"/>
    </row>
    <row r="2289" spans="14:14" ht="12" customHeight="1">
      <c r="N2289" s="144"/>
    </row>
    <row r="2290" spans="14:14" ht="12" customHeight="1">
      <c r="N2290" s="144"/>
    </row>
    <row r="2291" spans="14:14" ht="12" customHeight="1">
      <c r="N2291" s="144"/>
    </row>
    <row r="2292" spans="14:14" ht="12" customHeight="1">
      <c r="N2292" s="144"/>
    </row>
    <row r="2293" spans="14:14" ht="12" customHeight="1">
      <c r="N2293" s="144"/>
    </row>
    <row r="2294" spans="14:14" ht="12" customHeight="1">
      <c r="N2294" s="144"/>
    </row>
    <row r="2295" spans="14:14" ht="12" customHeight="1">
      <c r="N2295" s="144"/>
    </row>
    <row r="2296" spans="14:14" ht="12" customHeight="1">
      <c r="N2296" s="144"/>
    </row>
    <row r="2297" spans="14:14" ht="12" customHeight="1">
      <c r="N2297" s="144"/>
    </row>
    <row r="2298" spans="14:14" ht="12" customHeight="1">
      <c r="N2298" s="144"/>
    </row>
    <row r="2299" spans="14:14" ht="12" customHeight="1">
      <c r="N2299" s="144"/>
    </row>
    <row r="2300" spans="14:14" ht="12" customHeight="1">
      <c r="N2300" s="144"/>
    </row>
    <row r="2301" spans="14:14" ht="12" customHeight="1">
      <c r="N2301" s="144"/>
    </row>
    <row r="2302" spans="14:14" ht="12" customHeight="1">
      <c r="N2302" s="144"/>
    </row>
    <row r="2303" spans="14:14" ht="12" customHeight="1">
      <c r="N2303" s="144"/>
    </row>
    <row r="2304" spans="14:14" ht="12" customHeight="1">
      <c r="N2304" s="144"/>
    </row>
    <row r="2305" spans="14:14" ht="12" customHeight="1">
      <c r="N2305" s="144"/>
    </row>
    <row r="2306" spans="14:14" ht="12" customHeight="1">
      <c r="N2306" s="144"/>
    </row>
    <row r="2307" spans="14:14" ht="12" customHeight="1">
      <c r="N2307" s="144"/>
    </row>
    <row r="2308" spans="14:14" ht="12" customHeight="1">
      <c r="N2308" s="144"/>
    </row>
    <row r="2309" spans="14:14" ht="12" customHeight="1">
      <c r="N2309" s="144"/>
    </row>
    <row r="2310" spans="14:14" ht="12" customHeight="1">
      <c r="N2310" s="144"/>
    </row>
    <row r="2311" spans="14:14" ht="12" customHeight="1">
      <c r="N2311" s="144"/>
    </row>
    <row r="2312" spans="14:14" ht="12" customHeight="1">
      <c r="N2312" s="144"/>
    </row>
    <row r="2313" spans="14:14" ht="12" customHeight="1">
      <c r="N2313" s="144"/>
    </row>
    <row r="2314" spans="14:14" ht="12" customHeight="1">
      <c r="N2314" s="144"/>
    </row>
    <row r="2315" spans="14:14" ht="12" customHeight="1">
      <c r="N2315" s="144"/>
    </row>
    <row r="2316" spans="14:14" ht="12" customHeight="1">
      <c r="N2316" s="144"/>
    </row>
    <row r="2317" spans="14:14" ht="12" customHeight="1">
      <c r="N2317" s="144"/>
    </row>
    <row r="2318" spans="14:14" ht="12" customHeight="1">
      <c r="N2318" s="144"/>
    </row>
    <row r="2319" spans="14:14" ht="12" customHeight="1">
      <c r="N2319" s="144"/>
    </row>
    <row r="2320" spans="14:14" ht="12" customHeight="1">
      <c r="N2320" s="144"/>
    </row>
    <row r="2321" spans="14:14" ht="12" customHeight="1">
      <c r="N2321" s="144"/>
    </row>
    <row r="2322" spans="14:14" ht="12" customHeight="1">
      <c r="N2322" s="144"/>
    </row>
    <row r="2323" spans="14:14" ht="12" customHeight="1">
      <c r="N2323" s="144"/>
    </row>
    <row r="2324" spans="14:14" ht="12" customHeight="1">
      <c r="N2324" s="144"/>
    </row>
    <row r="2325" spans="14:14" ht="12" customHeight="1">
      <c r="N2325" s="144"/>
    </row>
    <row r="2326" spans="14:14" ht="12" customHeight="1">
      <c r="N2326" s="144"/>
    </row>
    <row r="2327" spans="14:14" ht="12" customHeight="1">
      <c r="N2327" s="144"/>
    </row>
    <row r="2328" spans="14:14" ht="12" customHeight="1">
      <c r="N2328" s="144"/>
    </row>
    <row r="2329" spans="14:14" ht="12" customHeight="1">
      <c r="N2329" s="144"/>
    </row>
    <row r="2330" spans="14:14" ht="12" customHeight="1">
      <c r="N2330" s="144"/>
    </row>
    <row r="2331" spans="14:14" ht="12" customHeight="1">
      <c r="N2331" s="144"/>
    </row>
    <row r="2332" spans="14:14" ht="12" customHeight="1">
      <c r="N2332" s="144"/>
    </row>
    <row r="2333" spans="14:14" ht="12" customHeight="1">
      <c r="N2333" s="144"/>
    </row>
    <row r="2334" spans="14:14" ht="12" customHeight="1">
      <c r="N2334" s="144"/>
    </row>
    <row r="2335" spans="14:14" ht="12" customHeight="1">
      <c r="N2335" s="144"/>
    </row>
    <row r="2336" spans="14:14" ht="12" customHeight="1">
      <c r="N2336" s="144"/>
    </row>
    <row r="2337" spans="14:14" ht="12" customHeight="1">
      <c r="N2337" s="144"/>
    </row>
    <row r="2338" spans="14:14" ht="12" customHeight="1">
      <c r="N2338" s="144"/>
    </row>
    <row r="2339" spans="14:14" ht="12" customHeight="1">
      <c r="N2339" s="144"/>
    </row>
    <row r="2340" spans="14:14" ht="12" customHeight="1">
      <c r="N2340" s="144"/>
    </row>
    <row r="2341" spans="14:14" ht="12" customHeight="1">
      <c r="N2341" s="144"/>
    </row>
    <row r="2342" spans="14:14" ht="12" customHeight="1">
      <c r="N2342" s="144"/>
    </row>
    <row r="2343" spans="14:14" ht="12" customHeight="1">
      <c r="N2343" s="144"/>
    </row>
    <row r="2344" spans="14:14" ht="12" customHeight="1">
      <c r="N2344" s="144"/>
    </row>
    <row r="2345" spans="14:14" ht="12" customHeight="1">
      <c r="N2345" s="144"/>
    </row>
    <row r="2346" spans="14:14" ht="12" customHeight="1">
      <c r="N2346" s="144"/>
    </row>
    <row r="2347" spans="14:14" ht="12" customHeight="1">
      <c r="N2347" s="144"/>
    </row>
    <row r="2348" spans="14:14" ht="12" customHeight="1">
      <c r="N2348" s="144"/>
    </row>
    <row r="2349" spans="14:14" ht="12" customHeight="1">
      <c r="N2349" s="144"/>
    </row>
    <row r="2350" spans="14:14" ht="12" customHeight="1">
      <c r="N2350" s="144"/>
    </row>
    <row r="2351" spans="14:14" ht="12" customHeight="1">
      <c r="N2351" s="144"/>
    </row>
    <row r="2352" spans="14:14" ht="12" customHeight="1">
      <c r="N2352" s="144"/>
    </row>
    <row r="2353" spans="14:14" ht="12" customHeight="1">
      <c r="N2353" s="144"/>
    </row>
    <row r="2354" spans="14:14" ht="12" customHeight="1">
      <c r="N2354" s="144"/>
    </row>
    <row r="2355" spans="14:14" ht="12" customHeight="1">
      <c r="N2355" s="144"/>
    </row>
    <row r="2356" spans="14:14" ht="12" customHeight="1">
      <c r="N2356" s="144"/>
    </row>
    <row r="2357" spans="14:14" ht="12" customHeight="1">
      <c r="N2357" s="144"/>
    </row>
    <row r="2358" spans="14:14" ht="12" customHeight="1">
      <c r="N2358" s="144"/>
    </row>
    <row r="2359" spans="14:14" ht="12" customHeight="1">
      <c r="N2359" s="144"/>
    </row>
    <row r="2360" spans="14:14" ht="12" customHeight="1">
      <c r="N2360" s="144"/>
    </row>
    <row r="2361" spans="14:14" ht="12" customHeight="1">
      <c r="N2361" s="144"/>
    </row>
    <row r="2362" spans="14:14" ht="12" customHeight="1">
      <c r="N2362" s="144"/>
    </row>
    <row r="2363" spans="14:14" ht="12" customHeight="1">
      <c r="N2363" s="144"/>
    </row>
    <row r="2364" spans="14:14" ht="12" customHeight="1">
      <c r="N2364" s="144"/>
    </row>
    <row r="2365" spans="14:14" ht="12" customHeight="1">
      <c r="N2365" s="144"/>
    </row>
    <row r="2366" spans="14:14" ht="12" customHeight="1">
      <c r="N2366" s="144"/>
    </row>
    <row r="2367" spans="14:14" ht="12" customHeight="1">
      <c r="N2367" s="144"/>
    </row>
    <row r="2368" spans="14:14" ht="12" customHeight="1">
      <c r="N2368" s="144"/>
    </row>
    <row r="2369" spans="14:14" ht="12" customHeight="1">
      <c r="N2369" s="144"/>
    </row>
    <row r="2370" spans="14:14" ht="12" customHeight="1">
      <c r="N2370" s="144"/>
    </row>
    <row r="2371" spans="14:14" ht="12" customHeight="1">
      <c r="N2371" s="144"/>
    </row>
    <row r="2372" spans="14:14" ht="12" customHeight="1">
      <c r="N2372" s="144"/>
    </row>
    <row r="2373" spans="14:14" ht="12" customHeight="1">
      <c r="N2373" s="144"/>
    </row>
    <row r="2374" spans="14:14" ht="12" customHeight="1">
      <c r="N2374" s="144"/>
    </row>
    <row r="2375" spans="14:14" ht="12" customHeight="1">
      <c r="N2375" s="144"/>
    </row>
    <row r="2376" spans="14:14" ht="12" customHeight="1">
      <c r="N2376" s="144"/>
    </row>
    <row r="2377" spans="14:14" ht="12" customHeight="1">
      <c r="N2377" s="144"/>
    </row>
    <row r="2378" spans="14:14" ht="12" customHeight="1">
      <c r="N2378" s="144"/>
    </row>
    <row r="2379" spans="14:14" ht="12" customHeight="1">
      <c r="N2379" s="144"/>
    </row>
    <row r="2380" spans="14:14" ht="12" customHeight="1">
      <c r="N2380" s="144"/>
    </row>
    <row r="2381" spans="14:14" ht="12" customHeight="1">
      <c r="N2381" s="144"/>
    </row>
    <row r="2382" spans="14:14" ht="12" customHeight="1">
      <c r="N2382" s="144"/>
    </row>
    <row r="2383" spans="14:14" ht="12" customHeight="1">
      <c r="N2383" s="144"/>
    </row>
    <row r="2384" spans="14:14" ht="12" customHeight="1">
      <c r="N2384" s="144"/>
    </row>
    <row r="2385" spans="14:14" ht="12" customHeight="1">
      <c r="N2385" s="144"/>
    </row>
    <row r="2386" spans="14:14" ht="12" customHeight="1">
      <c r="N2386" s="144"/>
    </row>
    <row r="2387" spans="14:14" ht="12" customHeight="1">
      <c r="N2387" s="144"/>
    </row>
    <row r="2388" spans="14:14" ht="12" customHeight="1">
      <c r="N2388" s="144"/>
    </row>
    <row r="2389" spans="14:14" ht="12" customHeight="1">
      <c r="N2389" s="144"/>
    </row>
    <row r="2390" spans="14:14" ht="12" customHeight="1">
      <c r="N2390" s="144"/>
    </row>
    <row r="2391" spans="14:14" ht="12" customHeight="1">
      <c r="N2391" s="144"/>
    </row>
    <row r="2392" spans="14:14" ht="12" customHeight="1">
      <c r="N2392" s="144"/>
    </row>
    <row r="2393" spans="14:14" ht="12" customHeight="1">
      <c r="N2393" s="144"/>
    </row>
    <row r="2394" spans="14:14" ht="12" customHeight="1">
      <c r="N2394" s="144"/>
    </row>
    <row r="2395" spans="14:14" ht="12" customHeight="1">
      <c r="N2395" s="144"/>
    </row>
    <row r="2396" spans="14:14" ht="12" customHeight="1">
      <c r="N2396" s="144"/>
    </row>
    <row r="2397" spans="14:14" ht="12" customHeight="1">
      <c r="N2397" s="144"/>
    </row>
    <row r="2398" spans="14:14" ht="12" customHeight="1">
      <c r="N2398" s="144"/>
    </row>
    <row r="2399" spans="14:14" ht="12" customHeight="1">
      <c r="N2399" s="144"/>
    </row>
    <row r="2400" spans="14:14" ht="12" customHeight="1">
      <c r="N2400" s="144"/>
    </row>
    <row r="2401" spans="14:14" ht="12" customHeight="1">
      <c r="N2401" s="144"/>
    </row>
    <row r="2402" spans="14:14" ht="12" customHeight="1">
      <c r="N2402" s="144"/>
    </row>
    <row r="2403" spans="14:14" ht="12" customHeight="1">
      <c r="N2403" s="144"/>
    </row>
    <row r="2404" spans="14:14" ht="12" customHeight="1">
      <c r="N2404" s="144"/>
    </row>
    <row r="2405" spans="14:14" ht="12" customHeight="1">
      <c r="N2405" s="144"/>
    </row>
    <row r="2406" spans="14:14" ht="12" customHeight="1">
      <c r="N2406" s="144"/>
    </row>
    <row r="2407" spans="14:14" ht="12" customHeight="1">
      <c r="N2407" s="144"/>
    </row>
    <row r="2408" spans="14:14" ht="12" customHeight="1">
      <c r="N2408" s="144"/>
    </row>
    <row r="2409" spans="14:14" ht="12" customHeight="1">
      <c r="N2409" s="144"/>
    </row>
    <row r="2410" spans="14:14" ht="12" customHeight="1">
      <c r="N2410" s="144"/>
    </row>
    <row r="2411" spans="14:14" ht="12" customHeight="1">
      <c r="N2411" s="144"/>
    </row>
    <row r="2412" spans="14:14" ht="12" customHeight="1">
      <c r="N2412" s="144"/>
    </row>
    <row r="2413" spans="14:14" ht="12" customHeight="1">
      <c r="N2413" s="144"/>
    </row>
    <row r="2414" spans="14:14" ht="12" customHeight="1">
      <c r="N2414" s="144"/>
    </row>
    <row r="2415" spans="14:14" ht="12" customHeight="1">
      <c r="N2415" s="144"/>
    </row>
    <row r="2416" spans="14:14" ht="12" customHeight="1">
      <c r="N2416" s="144"/>
    </row>
    <row r="2417" spans="14:14" ht="12" customHeight="1">
      <c r="N2417" s="144"/>
    </row>
    <row r="2418" spans="14:14" ht="12" customHeight="1">
      <c r="N2418" s="144"/>
    </row>
    <row r="2419" spans="14:14" ht="12" customHeight="1">
      <c r="N2419" s="144"/>
    </row>
    <row r="2420" spans="14:14" ht="12" customHeight="1">
      <c r="N2420" s="144"/>
    </row>
    <row r="2421" spans="14:14" ht="12" customHeight="1">
      <c r="N2421" s="144"/>
    </row>
    <row r="2422" spans="14:14" ht="12" customHeight="1">
      <c r="N2422" s="144"/>
    </row>
    <row r="2423" spans="14:14" ht="12" customHeight="1">
      <c r="N2423" s="144"/>
    </row>
    <row r="2424" spans="14:14" ht="12" customHeight="1">
      <c r="N2424" s="144"/>
    </row>
    <row r="2425" spans="14:14" ht="12" customHeight="1">
      <c r="N2425" s="144"/>
    </row>
    <row r="2426" spans="14:14" ht="12" customHeight="1">
      <c r="N2426" s="144"/>
    </row>
    <row r="2427" spans="14:14" ht="12" customHeight="1">
      <c r="N2427" s="144"/>
    </row>
    <row r="2428" spans="14:14" ht="12" customHeight="1">
      <c r="N2428" s="144"/>
    </row>
    <row r="2429" spans="14:14" ht="12" customHeight="1">
      <c r="N2429" s="144"/>
    </row>
    <row r="2430" spans="14:14" ht="12" customHeight="1">
      <c r="N2430" s="144"/>
    </row>
    <row r="2431" spans="14:14" ht="12" customHeight="1">
      <c r="N2431" s="144"/>
    </row>
    <row r="2432" spans="14:14" ht="12" customHeight="1">
      <c r="N2432" s="144"/>
    </row>
    <row r="2433" spans="14:14" ht="12" customHeight="1">
      <c r="N2433" s="144"/>
    </row>
    <row r="2434" spans="14:14" ht="12" customHeight="1">
      <c r="N2434" s="144"/>
    </row>
    <row r="2435" spans="14:14" ht="12" customHeight="1">
      <c r="N2435" s="144"/>
    </row>
    <row r="2436" spans="14:14" ht="12" customHeight="1">
      <c r="N2436" s="144"/>
    </row>
    <row r="2437" spans="14:14" ht="12" customHeight="1">
      <c r="N2437" s="144"/>
    </row>
    <row r="2438" spans="14:14" ht="12" customHeight="1">
      <c r="N2438" s="144"/>
    </row>
    <row r="2439" spans="14:14" ht="12" customHeight="1">
      <c r="N2439" s="144"/>
    </row>
    <row r="2440" spans="14:14" ht="12" customHeight="1">
      <c r="N2440" s="144"/>
    </row>
    <row r="2441" spans="14:14" ht="12" customHeight="1">
      <c r="N2441" s="144"/>
    </row>
    <row r="2442" spans="14:14" ht="12" customHeight="1">
      <c r="N2442" s="144"/>
    </row>
    <row r="2443" spans="14:14" ht="12" customHeight="1">
      <c r="N2443" s="144"/>
    </row>
    <row r="2444" spans="14:14" ht="12" customHeight="1">
      <c r="N2444" s="144"/>
    </row>
    <row r="2445" spans="14:14" ht="12" customHeight="1">
      <c r="N2445" s="144"/>
    </row>
    <row r="2446" spans="14:14" ht="12" customHeight="1">
      <c r="N2446" s="144"/>
    </row>
    <row r="2447" spans="14:14" ht="12" customHeight="1">
      <c r="N2447" s="144"/>
    </row>
    <row r="2448" spans="14:14" ht="12" customHeight="1">
      <c r="N2448" s="144"/>
    </row>
    <row r="2449" spans="14:14" ht="12" customHeight="1">
      <c r="N2449" s="144"/>
    </row>
    <row r="2450" spans="14:14" ht="12" customHeight="1">
      <c r="N2450" s="144"/>
    </row>
    <row r="2451" spans="14:14" ht="12" customHeight="1">
      <c r="N2451" s="144"/>
    </row>
    <row r="2452" spans="14:14" ht="12" customHeight="1">
      <c r="N2452" s="144"/>
    </row>
    <row r="2453" spans="14:14" ht="12" customHeight="1">
      <c r="N2453" s="144"/>
    </row>
    <row r="2454" spans="14:14" ht="12" customHeight="1">
      <c r="N2454" s="144"/>
    </row>
    <row r="2455" spans="14:14" ht="12" customHeight="1">
      <c r="N2455" s="144"/>
    </row>
    <row r="2456" spans="14:14" ht="12" customHeight="1">
      <c r="N2456" s="144"/>
    </row>
    <row r="2457" spans="14:14" ht="12" customHeight="1">
      <c r="N2457" s="144"/>
    </row>
    <row r="2458" spans="14:14" ht="12" customHeight="1">
      <c r="N2458" s="144"/>
    </row>
    <row r="2459" spans="14:14" ht="12" customHeight="1">
      <c r="N2459" s="144"/>
    </row>
    <row r="2460" spans="14:14" ht="12" customHeight="1">
      <c r="N2460" s="144"/>
    </row>
    <row r="2461" spans="14:14" ht="12" customHeight="1">
      <c r="N2461" s="144"/>
    </row>
    <row r="2462" spans="14:14" ht="12" customHeight="1">
      <c r="N2462" s="144"/>
    </row>
    <row r="2463" spans="14:14" ht="12" customHeight="1">
      <c r="N2463" s="144"/>
    </row>
    <row r="2464" spans="14:14" ht="12" customHeight="1">
      <c r="N2464" s="144"/>
    </row>
    <row r="2465" spans="14:14" ht="12" customHeight="1">
      <c r="N2465" s="144"/>
    </row>
    <row r="2466" spans="14:14" ht="12" customHeight="1">
      <c r="N2466" s="144"/>
    </row>
    <row r="2467" spans="14:14" ht="12" customHeight="1">
      <c r="N2467" s="144"/>
    </row>
    <row r="2468" spans="14:14" ht="12" customHeight="1">
      <c r="N2468" s="144"/>
    </row>
    <row r="2469" spans="14:14" ht="12" customHeight="1">
      <c r="N2469" s="144"/>
    </row>
    <row r="2470" spans="14:14" ht="12" customHeight="1">
      <c r="N2470" s="144"/>
    </row>
    <row r="2471" spans="14:14" ht="12" customHeight="1">
      <c r="N2471" s="144"/>
    </row>
    <row r="2472" spans="14:14" ht="12" customHeight="1">
      <c r="N2472" s="144"/>
    </row>
    <row r="2473" spans="14:14" ht="12" customHeight="1">
      <c r="N2473" s="144"/>
    </row>
    <row r="2474" spans="14:14" ht="12" customHeight="1">
      <c r="N2474" s="144"/>
    </row>
    <row r="2475" spans="14:14" ht="12" customHeight="1">
      <c r="N2475" s="144"/>
    </row>
    <row r="2476" spans="14:14" ht="12" customHeight="1">
      <c r="N2476" s="144"/>
    </row>
    <row r="2477" spans="14:14" ht="12" customHeight="1">
      <c r="N2477" s="144"/>
    </row>
    <row r="2478" spans="14:14" ht="12" customHeight="1">
      <c r="N2478" s="144"/>
    </row>
    <row r="2479" spans="14:14" ht="12" customHeight="1">
      <c r="N2479" s="144"/>
    </row>
    <row r="2480" spans="14:14" ht="12" customHeight="1">
      <c r="N2480" s="144"/>
    </row>
    <row r="2481" spans="14:14" ht="12" customHeight="1">
      <c r="N2481" s="144"/>
    </row>
    <row r="2482" spans="14:14" ht="12" customHeight="1">
      <c r="N2482" s="144"/>
    </row>
    <row r="2483" spans="14:14" ht="12" customHeight="1">
      <c r="N2483" s="144"/>
    </row>
    <row r="2484" spans="14:14" ht="12" customHeight="1">
      <c r="N2484" s="144"/>
    </row>
    <row r="2485" spans="14:14" ht="12" customHeight="1">
      <c r="N2485" s="144"/>
    </row>
    <row r="2486" spans="14:14" ht="12" customHeight="1">
      <c r="N2486" s="144"/>
    </row>
    <row r="2487" spans="14:14" ht="12" customHeight="1">
      <c r="N2487" s="144"/>
    </row>
    <row r="2488" spans="14:14" ht="12" customHeight="1">
      <c r="N2488" s="144"/>
    </row>
    <row r="2489" spans="14:14" ht="12" customHeight="1">
      <c r="N2489" s="144"/>
    </row>
    <row r="2490" spans="14:14" ht="12" customHeight="1">
      <c r="N2490" s="144"/>
    </row>
    <row r="2491" spans="14:14" ht="12" customHeight="1">
      <c r="N2491" s="144"/>
    </row>
    <row r="2492" spans="14:14" ht="12" customHeight="1">
      <c r="N2492" s="144"/>
    </row>
    <row r="2493" spans="14:14" ht="12" customHeight="1">
      <c r="N2493" s="144"/>
    </row>
    <row r="2494" spans="14:14" ht="12" customHeight="1">
      <c r="N2494" s="144"/>
    </row>
    <row r="2495" spans="14:14" ht="12" customHeight="1">
      <c r="N2495" s="144"/>
    </row>
    <row r="2496" spans="14:14" ht="12" customHeight="1">
      <c r="N2496" s="144"/>
    </row>
    <row r="2497" spans="14:14" ht="12" customHeight="1">
      <c r="N2497" s="144"/>
    </row>
    <row r="2498" spans="14:14" ht="12" customHeight="1">
      <c r="N2498" s="144"/>
    </row>
    <row r="2499" spans="14:14" ht="12" customHeight="1">
      <c r="N2499" s="144"/>
    </row>
    <row r="2500" spans="14:14" ht="12" customHeight="1">
      <c r="N2500" s="144"/>
    </row>
    <row r="2501" spans="14:14" ht="12" customHeight="1">
      <c r="N2501" s="144"/>
    </row>
    <row r="2502" spans="14:14" ht="12" customHeight="1">
      <c r="N2502" s="144"/>
    </row>
    <row r="2503" spans="14:14" ht="12" customHeight="1">
      <c r="N2503" s="144"/>
    </row>
    <row r="2504" spans="14:14" ht="12" customHeight="1">
      <c r="N2504" s="144"/>
    </row>
    <row r="2505" spans="14:14" ht="12" customHeight="1">
      <c r="N2505" s="144"/>
    </row>
    <row r="2506" spans="14:14" ht="12" customHeight="1">
      <c r="N2506" s="144"/>
    </row>
    <row r="2507" spans="14:14" ht="12" customHeight="1">
      <c r="N2507" s="144"/>
    </row>
    <row r="2508" spans="14:14" ht="12" customHeight="1">
      <c r="N2508" s="144"/>
    </row>
    <row r="2509" spans="14:14" ht="12" customHeight="1">
      <c r="N2509" s="144"/>
    </row>
    <row r="2510" spans="14:14" ht="12" customHeight="1">
      <c r="N2510" s="144"/>
    </row>
    <row r="2511" spans="14:14" ht="12" customHeight="1">
      <c r="N2511" s="144"/>
    </row>
    <row r="2512" spans="14:14" ht="12" customHeight="1">
      <c r="N2512" s="144"/>
    </row>
    <row r="2513" spans="14:14" ht="12" customHeight="1">
      <c r="N2513" s="144"/>
    </row>
    <row r="2514" spans="14:14" ht="12" customHeight="1">
      <c r="N2514" s="144"/>
    </row>
    <row r="2515" spans="14:14" ht="12" customHeight="1">
      <c r="N2515" s="144"/>
    </row>
    <row r="2516" spans="14:14" ht="12" customHeight="1">
      <c r="N2516" s="144"/>
    </row>
    <row r="2517" spans="14:14" ht="12" customHeight="1">
      <c r="N2517" s="144"/>
    </row>
    <row r="2518" spans="14:14" ht="12" customHeight="1">
      <c r="N2518" s="144"/>
    </row>
    <row r="2519" spans="14:14" ht="12" customHeight="1">
      <c r="N2519" s="144"/>
    </row>
    <row r="2520" spans="14:14" ht="12" customHeight="1">
      <c r="N2520" s="144"/>
    </row>
    <row r="2521" spans="14:14" ht="12" customHeight="1">
      <c r="N2521" s="144"/>
    </row>
    <row r="2522" spans="14:14" ht="12" customHeight="1">
      <c r="N2522" s="144"/>
    </row>
    <row r="2523" spans="14:14" ht="12" customHeight="1">
      <c r="N2523" s="144"/>
    </row>
    <row r="2524" spans="14:14" ht="12" customHeight="1">
      <c r="N2524" s="144"/>
    </row>
    <row r="2525" spans="14:14" ht="12" customHeight="1">
      <c r="N2525" s="144"/>
    </row>
    <row r="2526" spans="14:14" ht="12" customHeight="1">
      <c r="N2526" s="144"/>
    </row>
    <row r="2527" spans="14:14" ht="12" customHeight="1">
      <c r="N2527" s="144"/>
    </row>
    <row r="2528" spans="14:14" ht="12" customHeight="1">
      <c r="N2528" s="144"/>
    </row>
    <row r="2529" spans="14:14" ht="12" customHeight="1">
      <c r="N2529" s="144"/>
    </row>
    <row r="2530" spans="14:14" ht="12" customHeight="1">
      <c r="N2530" s="144"/>
    </row>
    <row r="2531" spans="14:14" ht="12" customHeight="1">
      <c r="N2531" s="144"/>
    </row>
    <row r="2532" spans="14:14" ht="12" customHeight="1">
      <c r="N2532" s="144"/>
    </row>
    <row r="2533" spans="14:14" ht="12" customHeight="1">
      <c r="N2533" s="144"/>
    </row>
    <row r="2534" spans="14:14" ht="12" customHeight="1">
      <c r="N2534" s="144"/>
    </row>
    <row r="2535" spans="14:14" ht="12" customHeight="1">
      <c r="N2535" s="144"/>
    </row>
    <row r="2536" spans="14:14" ht="12" customHeight="1">
      <c r="N2536" s="144"/>
    </row>
    <row r="2537" spans="14:14" ht="12" customHeight="1">
      <c r="N2537" s="144"/>
    </row>
    <row r="2538" spans="14:14" ht="12" customHeight="1">
      <c r="N2538" s="144"/>
    </row>
    <row r="2539" spans="14:14" ht="12" customHeight="1">
      <c r="N2539" s="144"/>
    </row>
    <row r="2540" spans="14:14" ht="12" customHeight="1">
      <c r="N2540" s="144"/>
    </row>
    <row r="2541" spans="14:14" ht="12" customHeight="1">
      <c r="N2541" s="144"/>
    </row>
    <row r="2542" spans="14:14" ht="12" customHeight="1">
      <c r="N2542" s="144"/>
    </row>
    <row r="2543" spans="14:14" ht="12" customHeight="1">
      <c r="N2543" s="144"/>
    </row>
    <row r="2544" spans="14:14" ht="12" customHeight="1">
      <c r="N2544" s="144"/>
    </row>
    <row r="2545" spans="14:14" ht="12" customHeight="1">
      <c r="N2545" s="144"/>
    </row>
    <row r="2546" spans="14:14" ht="12" customHeight="1">
      <c r="N2546" s="144"/>
    </row>
    <row r="2547" spans="14:14" ht="12" customHeight="1">
      <c r="N2547" s="144"/>
    </row>
    <row r="2548" spans="14:14" ht="12" customHeight="1">
      <c r="N2548" s="144"/>
    </row>
    <row r="2549" spans="14:14" ht="12" customHeight="1">
      <c r="N2549" s="144"/>
    </row>
    <row r="2550" spans="14:14" ht="12" customHeight="1">
      <c r="N2550" s="144"/>
    </row>
    <row r="2551" spans="14:14" ht="12" customHeight="1">
      <c r="N2551" s="144"/>
    </row>
    <row r="2552" spans="14:14" ht="12" customHeight="1">
      <c r="N2552" s="144"/>
    </row>
    <row r="2553" spans="14:14" ht="12" customHeight="1">
      <c r="N2553" s="144"/>
    </row>
    <row r="2554" spans="14:14" ht="12" customHeight="1">
      <c r="N2554" s="144"/>
    </row>
    <row r="2555" spans="14:14" ht="12" customHeight="1">
      <c r="N2555" s="144"/>
    </row>
    <row r="2556" spans="14:14" ht="12" customHeight="1">
      <c r="N2556" s="144"/>
    </row>
    <row r="2557" spans="14:14" ht="12" customHeight="1">
      <c r="N2557" s="144"/>
    </row>
    <row r="2558" spans="14:14" ht="12" customHeight="1">
      <c r="N2558" s="144"/>
    </row>
    <row r="2559" spans="14:14" ht="12" customHeight="1">
      <c r="N2559" s="144"/>
    </row>
    <row r="2560" spans="14:14" ht="12" customHeight="1">
      <c r="N2560" s="144"/>
    </row>
    <row r="2561" spans="14:14" ht="12" customHeight="1">
      <c r="N2561" s="144"/>
    </row>
    <row r="2562" spans="14:14" ht="12" customHeight="1">
      <c r="N2562" s="144"/>
    </row>
    <row r="2563" spans="14:14" ht="12" customHeight="1">
      <c r="N2563" s="144"/>
    </row>
    <row r="2564" spans="14:14" ht="12" customHeight="1">
      <c r="N2564" s="144"/>
    </row>
    <row r="2565" spans="14:14" ht="12" customHeight="1">
      <c r="N2565" s="144"/>
    </row>
    <row r="2566" spans="14:14" ht="12" customHeight="1">
      <c r="N2566" s="144"/>
    </row>
    <row r="2567" spans="14:14" ht="12" customHeight="1">
      <c r="N2567" s="144"/>
    </row>
    <row r="2568" spans="14:14" ht="12" customHeight="1">
      <c r="N2568" s="144"/>
    </row>
    <row r="2569" spans="14:14" ht="12" customHeight="1">
      <c r="N2569" s="144"/>
    </row>
    <row r="2570" spans="14:14" ht="12" customHeight="1">
      <c r="N2570" s="144"/>
    </row>
    <row r="2571" spans="14:14" ht="12" customHeight="1">
      <c r="N2571" s="144"/>
    </row>
    <row r="2572" spans="14:14" ht="12" customHeight="1">
      <c r="N2572" s="144"/>
    </row>
    <row r="2573" spans="14:14" ht="12" customHeight="1">
      <c r="N2573" s="144"/>
    </row>
    <row r="2574" spans="14:14" ht="12" customHeight="1">
      <c r="N2574" s="144"/>
    </row>
    <row r="2575" spans="14:14" ht="12" customHeight="1">
      <c r="N2575" s="144"/>
    </row>
    <row r="2576" spans="14:14" ht="12" customHeight="1">
      <c r="N2576" s="144"/>
    </row>
    <row r="2577" spans="14:14" ht="12" customHeight="1">
      <c r="N2577" s="144"/>
    </row>
    <row r="2578" spans="14:14" ht="12" customHeight="1">
      <c r="N2578" s="144"/>
    </row>
    <row r="2579" spans="14:14" ht="12" customHeight="1">
      <c r="N2579" s="144"/>
    </row>
    <row r="2580" spans="14:14" ht="12" customHeight="1">
      <c r="N2580" s="144"/>
    </row>
    <row r="2581" spans="14:14" ht="12" customHeight="1">
      <c r="N2581" s="144"/>
    </row>
    <row r="2582" spans="14:14" ht="12" customHeight="1">
      <c r="N2582" s="144"/>
    </row>
    <row r="2583" spans="14:14" ht="12" customHeight="1">
      <c r="N2583" s="144"/>
    </row>
    <row r="2584" spans="14:14" ht="12" customHeight="1">
      <c r="N2584" s="144"/>
    </row>
    <row r="2585" spans="14:14" ht="12" customHeight="1">
      <c r="N2585" s="144"/>
    </row>
    <row r="2586" spans="14:14" ht="12" customHeight="1">
      <c r="N2586" s="144"/>
    </row>
    <row r="2587" spans="14:14" ht="12" customHeight="1">
      <c r="N2587" s="144"/>
    </row>
    <row r="2588" spans="14:14" ht="12" customHeight="1">
      <c r="N2588" s="144"/>
    </row>
    <row r="2589" spans="14:14" ht="12" customHeight="1">
      <c r="N2589" s="144"/>
    </row>
    <row r="2590" spans="14:14" ht="12" customHeight="1">
      <c r="N2590" s="144"/>
    </row>
    <row r="2591" spans="14:14" ht="12" customHeight="1">
      <c r="N2591" s="144"/>
    </row>
    <row r="2592" spans="14:14" ht="12" customHeight="1">
      <c r="N2592" s="144"/>
    </row>
    <row r="2593" spans="14:14" ht="12" customHeight="1">
      <c r="N2593" s="144"/>
    </row>
    <row r="2594" spans="14:14" ht="12" customHeight="1">
      <c r="N2594" s="144"/>
    </row>
    <row r="2595" spans="14:14" ht="12" customHeight="1">
      <c r="N2595" s="144"/>
    </row>
    <row r="2596" spans="14:14" ht="12" customHeight="1">
      <c r="N2596" s="144"/>
    </row>
    <row r="2597" spans="14:14" ht="12" customHeight="1">
      <c r="N2597" s="144"/>
    </row>
    <row r="2598" spans="14:14" ht="12" customHeight="1">
      <c r="N2598" s="144"/>
    </row>
    <row r="2599" spans="14:14" ht="12" customHeight="1">
      <c r="N2599" s="144"/>
    </row>
    <row r="2600" spans="14:14" ht="12" customHeight="1">
      <c r="N2600" s="144"/>
    </row>
    <row r="2601" spans="14:14" ht="12" customHeight="1">
      <c r="N2601" s="144"/>
    </row>
    <row r="2602" spans="14:14" ht="12" customHeight="1">
      <c r="N2602" s="144"/>
    </row>
    <row r="2603" spans="14:14" ht="12" customHeight="1">
      <c r="N2603" s="144"/>
    </row>
    <row r="2604" spans="14:14" ht="12" customHeight="1">
      <c r="N2604" s="144"/>
    </row>
    <row r="2605" spans="14:14" ht="12" customHeight="1">
      <c r="N2605" s="144"/>
    </row>
    <row r="2606" spans="14:14" ht="12" customHeight="1">
      <c r="N2606" s="144"/>
    </row>
    <row r="2607" spans="14:14" ht="12" customHeight="1">
      <c r="N2607" s="144"/>
    </row>
    <row r="2608" spans="14:14" ht="12" customHeight="1">
      <c r="N2608" s="144"/>
    </row>
    <row r="2609" spans="14:14" ht="12" customHeight="1">
      <c r="N2609" s="144"/>
    </row>
    <row r="2610" spans="14:14" ht="12" customHeight="1">
      <c r="N2610" s="144"/>
    </row>
    <row r="2611" spans="14:14" ht="12" customHeight="1">
      <c r="N2611" s="144"/>
    </row>
    <row r="2612" spans="14:14" ht="12" customHeight="1">
      <c r="N2612" s="144"/>
    </row>
    <row r="2613" spans="14:14" ht="12" customHeight="1">
      <c r="N2613" s="144"/>
    </row>
    <row r="2614" spans="14:14" ht="12" customHeight="1">
      <c r="N2614" s="144"/>
    </row>
    <row r="2615" spans="14:14" ht="12" customHeight="1">
      <c r="N2615" s="144"/>
    </row>
    <row r="2616" spans="14:14" ht="12" customHeight="1">
      <c r="N2616" s="144"/>
    </row>
    <row r="2617" spans="14:14" ht="12" customHeight="1">
      <c r="N2617" s="144"/>
    </row>
    <row r="2618" spans="14:14" ht="12" customHeight="1">
      <c r="N2618" s="144"/>
    </row>
    <row r="2619" spans="14:14" ht="12" customHeight="1">
      <c r="N2619" s="144"/>
    </row>
    <row r="2620" spans="14:14" ht="12" customHeight="1">
      <c r="N2620" s="144"/>
    </row>
    <row r="2621" spans="14:14" ht="12" customHeight="1">
      <c r="N2621" s="144"/>
    </row>
    <row r="2622" spans="14:14" ht="12" customHeight="1">
      <c r="N2622" s="144"/>
    </row>
    <row r="2623" spans="14:14" ht="12" customHeight="1">
      <c r="N2623" s="144"/>
    </row>
    <row r="2624" spans="14:14" ht="12" customHeight="1">
      <c r="N2624" s="144"/>
    </row>
    <row r="2625" spans="14:14" ht="12" customHeight="1">
      <c r="N2625" s="144"/>
    </row>
    <row r="2626" spans="14:14" ht="12" customHeight="1">
      <c r="N2626" s="144"/>
    </row>
    <row r="2627" spans="14:14" ht="12" customHeight="1">
      <c r="N2627" s="144"/>
    </row>
    <row r="2628" spans="14:14" ht="12" customHeight="1">
      <c r="N2628" s="144"/>
    </row>
    <row r="2629" spans="14:14" ht="12" customHeight="1">
      <c r="N2629" s="144"/>
    </row>
    <row r="2630" spans="14:14" ht="12" customHeight="1">
      <c r="N2630" s="144"/>
    </row>
    <row r="2631" spans="14:14" ht="12" customHeight="1">
      <c r="N2631" s="144"/>
    </row>
    <row r="2632" spans="14:14" ht="12" customHeight="1">
      <c r="N2632" s="144"/>
    </row>
    <row r="2633" spans="14:14" ht="12" customHeight="1">
      <c r="N2633" s="144"/>
    </row>
    <row r="2634" spans="14:14" ht="12" customHeight="1">
      <c r="N2634" s="144"/>
    </row>
    <row r="2635" spans="14:14" ht="12" customHeight="1">
      <c r="N2635" s="144"/>
    </row>
    <row r="2636" spans="14:14" ht="12" customHeight="1">
      <c r="N2636" s="144"/>
    </row>
    <row r="2637" spans="14:14" ht="12" customHeight="1">
      <c r="N2637" s="144"/>
    </row>
    <row r="2638" spans="14:14" ht="12" customHeight="1">
      <c r="N2638" s="144"/>
    </row>
    <row r="2639" spans="14:14" ht="12" customHeight="1">
      <c r="N2639" s="144"/>
    </row>
    <row r="2640" spans="14:14" ht="12" customHeight="1">
      <c r="N2640" s="144"/>
    </row>
    <row r="2641" spans="14:14" ht="12" customHeight="1">
      <c r="N2641" s="144"/>
    </row>
    <row r="2642" spans="14:14" ht="12" customHeight="1">
      <c r="N2642" s="144"/>
    </row>
    <row r="2643" spans="14:14" ht="12" customHeight="1">
      <c r="N2643" s="144"/>
    </row>
    <row r="2644" spans="14:14" ht="12" customHeight="1">
      <c r="N2644" s="144"/>
    </row>
    <row r="2645" spans="14:14" ht="12" customHeight="1">
      <c r="N2645" s="144"/>
    </row>
    <row r="2646" spans="14:14" ht="12" customHeight="1">
      <c r="N2646" s="144"/>
    </row>
    <row r="2647" spans="14:14" ht="12" customHeight="1">
      <c r="N2647" s="144"/>
    </row>
    <row r="2648" spans="14:14" ht="12" customHeight="1">
      <c r="N2648" s="144"/>
    </row>
    <row r="2649" spans="14:14" ht="12" customHeight="1">
      <c r="N2649" s="144"/>
    </row>
    <row r="2650" spans="14:14" ht="12" customHeight="1">
      <c r="N2650" s="144"/>
    </row>
    <row r="2651" spans="14:14" ht="12" customHeight="1">
      <c r="N2651" s="144"/>
    </row>
    <row r="2652" spans="14:14" ht="12" customHeight="1">
      <c r="N2652" s="144"/>
    </row>
    <row r="2653" spans="14:14" ht="12" customHeight="1">
      <c r="N2653" s="144"/>
    </row>
    <row r="2654" spans="14:14" ht="12" customHeight="1">
      <c r="N2654" s="144"/>
    </row>
    <row r="2655" spans="14:14" ht="12" customHeight="1">
      <c r="N2655" s="144"/>
    </row>
    <row r="2656" spans="14:14" ht="12" customHeight="1">
      <c r="N2656" s="144"/>
    </row>
    <row r="2657" spans="14:14" ht="12" customHeight="1">
      <c r="N2657" s="144"/>
    </row>
    <row r="2658" spans="14:14" ht="12" customHeight="1">
      <c r="N2658" s="144"/>
    </row>
    <row r="2659" spans="14:14" ht="12" customHeight="1">
      <c r="N2659" s="144"/>
    </row>
    <row r="2660" spans="14:14" ht="12" customHeight="1">
      <c r="N2660" s="144"/>
    </row>
    <row r="2661" spans="14:14" ht="12" customHeight="1">
      <c r="N2661" s="144"/>
    </row>
    <row r="2662" spans="14:14" ht="12" customHeight="1">
      <c r="N2662" s="144"/>
    </row>
    <row r="2663" spans="14:14" ht="12" customHeight="1">
      <c r="N2663" s="144"/>
    </row>
    <row r="2664" spans="14:14" ht="12" customHeight="1">
      <c r="N2664" s="144"/>
    </row>
    <row r="2665" spans="14:14" ht="12" customHeight="1">
      <c r="N2665" s="144"/>
    </row>
    <row r="2666" spans="14:14" ht="12" customHeight="1">
      <c r="N2666" s="144"/>
    </row>
    <row r="2667" spans="14:14" ht="12" customHeight="1">
      <c r="N2667" s="144"/>
    </row>
    <row r="2668" spans="14:14" ht="12" customHeight="1">
      <c r="N2668" s="144"/>
    </row>
    <row r="2669" spans="14:14" ht="12" customHeight="1">
      <c r="N2669" s="144"/>
    </row>
    <row r="2670" spans="14:14" ht="12" customHeight="1">
      <c r="N2670" s="144"/>
    </row>
    <row r="2671" spans="14:14" ht="12" customHeight="1">
      <c r="N2671" s="144"/>
    </row>
    <row r="2672" spans="14:14" ht="12" customHeight="1">
      <c r="N2672" s="144"/>
    </row>
    <row r="2673" spans="14:14" ht="12" customHeight="1">
      <c r="N2673" s="144"/>
    </row>
    <row r="2674" spans="14:14" ht="12" customHeight="1">
      <c r="N2674" s="144"/>
    </row>
    <row r="2675" spans="14:14" ht="12" customHeight="1">
      <c r="N2675" s="144"/>
    </row>
    <row r="2676" spans="14:14" ht="12" customHeight="1">
      <c r="N2676" s="144"/>
    </row>
    <row r="2677" spans="14:14" ht="12" customHeight="1">
      <c r="N2677" s="144"/>
    </row>
    <row r="2678" spans="14:14" ht="12" customHeight="1">
      <c r="N2678" s="144"/>
    </row>
    <row r="2679" spans="14:14" ht="12" customHeight="1">
      <c r="N2679" s="144"/>
    </row>
    <row r="2680" spans="14:14" ht="12" customHeight="1">
      <c r="N2680" s="144"/>
    </row>
    <row r="2681" spans="14:14" ht="12" customHeight="1">
      <c r="N2681" s="144"/>
    </row>
    <row r="2682" spans="14:14" ht="12" customHeight="1">
      <c r="N2682" s="144"/>
    </row>
    <row r="2683" spans="14:14" ht="12" customHeight="1">
      <c r="N2683" s="144"/>
    </row>
    <row r="2684" spans="14:14" ht="12" customHeight="1">
      <c r="N2684" s="144"/>
    </row>
    <row r="2685" spans="14:14" ht="12" customHeight="1">
      <c r="N2685" s="144"/>
    </row>
    <row r="2686" spans="14:14" ht="12" customHeight="1">
      <c r="N2686" s="144"/>
    </row>
    <row r="2687" spans="14:14" ht="12" customHeight="1">
      <c r="N2687" s="144"/>
    </row>
    <row r="2688" spans="14:14" ht="12" customHeight="1">
      <c r="N2688" s="144"/>
    </row>
    <row r="2689" spans="14:14" ht="12" customHeight="1">
      <c r="N2689" s="144"/>
    </row>
    <row r="2690" spans="14:14" ht="12" customHeight="1">
      <c r="N2690" s="144"/>
    </row>
    <row r="2691" spans="14:14" ht="12" customHeight="1">
      <c r="N2691" s="144"/>
    </row>
    <row r="2692" spans="14:14" ht="12" customHeight="1">
      <c r="N2692" s="144"/>
    </row>
    <row r="2693" spans="14:14" ht="12" customHeight="1">
      <c r="N2693" s="144"/>
    </row>
    <row r="2694" spans="14:14" ht="12" customHeight="1">
      <c r="N2694" s="144"/>
    </row>
    <row r="2695" spans="14:14" ht="12" customHeight="1">
      <c r="N2695" s="144"/>
    </row>
    <row r="2696" spans="14:14" ht="12" customHeight="1">
      <c r="N2696" s="144"/>
    </row>
    <row r="2697" spans="14:14" ht="12" customHeight="1">
      <c r="N2697" s="144"/>
    </row>
    <row r="2698" spans="14:14" ht="12" customHeight="1">
      <c r="N2698" s="144"/>
    </row>
    <row r="2699" spans="14:14" ht="12" customHeight="1">
      <c r="N2699" s="144"/>
    </row>
    <row r="2700" spans="14:14" ht="12" customHeight="1">
      <c r="N2700" s="144"/>
    </row>
    <row r="2701" spans="14:14" ht="12" customHeight="1">
      <c r="N2701" s="144"/>
    </row>
    <row r="2702" spans="14:14" ht="12" customHeight="1">
      <c r="N2702" s="144"/>
    </row>
    <row r="2703" spans="14:14" ht="12" customHeight="1">
      <c r="N2703" s="144"/>
    </row>
    <row r="2704" spans="14:14" ht="12" customHeight="1">
      <c r="N2704" s="144"/>
    </row>
    <row r="2705" spans="14:14" ht="12" customHeight="1">
      <c r="N2705" s="144"/>
    </row>
    <row r="2706" spans="14:14" ht="12" customHeight="1">
      <c r="N2706" s="144"/>
    </row>
    <row r="2707" spans="14:14" ht="12" customHeight="1">
      <c r="N2707" s="144"/>
    </row>
    <row r="2708" spans="14:14" ht="12" customHeight="1">
      <c r="N2708" s="144"/>
    </row>
    <row r="2709" spans="14:14" ht="12" customHeight="1">
      <c r="N2709" s="144"/>
    </row>
    <row r="2710" spans="14:14" ht="12" customHeight="1">
      <c r="N2710" s="144"/>
    </row>
    <row r="2711" spans="14:14" ht="12" customHeight="1">
      <c r="N2711" s="144"/>
    </row>
    <row r="2712" spans="14:14" ht="12" customHeight="1">
      <c r="N2712" s="144"/>
    </row>
    <row r="2713" spans="14:14" ht="12" customHeight="1">
      <c r="N2713" s="144"/>
    </row>
    <row r="2714" spans="14:14" ht="12" customHeight="1">
      <c r="N2714" s="144"/>
    </row>
    <row r="2715" spans="14:14" ht="12" customHeight="1">
      <c r="N2715" s="144"/>
    </row>
    <row r="2716" spans="14:14" ht="12" customHeight="1">
      <c r="N2716" s="144"/>
    </row>
    <row r="2717" spans="14:14" ht="12" customHeight="1">
      <c r="N2717" s="144"/>
    </row>
    <row r="2718" spans="14:14" ht="12" customHeight="1">
      <c r="N2718" s="144"/>
    </row>
    <row r="2719" spans="14:14" ht="12" customHeight="1">
      <c r="N2719" s="144"/>
    </row>
    <row r="2720" spans="14:14" ht="12" customHeight="1">
      <c r="N2720" s="144"/>
    </row>
    <row r="2721" spans="14:14" ht="12" customHeight="1">
      <c r="N2721" s="144"/>
    </row>
    <row r="2722" spans="14:14" ht="12" customHeight="1">
      <c r="N2722" s="144"/>
    </row>
    <row r="2723" spans="14:14" ht="12" customHeight="1">
      <c r="N2723" s="144"/>
    </row>
    <row r="2724" spans="14:14" ht="12" customHeight="1">
      <c r="N2724" s="144"/>
    </row>
    <row r="2725" spans="14:14" ht="12" customHeight="1">
      <c r="N2725" s="144"/>
    </row>
    <row r="2726" spans="14:14" ht="12" customHeight="1">
      <c r="N2726" s="144"/>
    </row>
    <row r="2727" spans="14:14" ht="12" customHeight="1">
      <c r="N2727" s="144"/>
    </row>
    <row r="2728" spans="14:14" ht="12" customHeight="1">
      <c r="N2728" s="144"/>
    </row>
    <row r="2729" spans="14:14" ht="12" customHeight="1">
      <c r="N2729" s="144"/>
    </row>
    <row r="2730" spans="14:14" ht="12" customHeight="1">
      <c r="N2730" s="144"/>
    </row>
    <row r="2731" spans="14:14" ht="12" customHeight="1">
      <c r="N2731" s="144"/>
    </row>
    <row r="2732" spans="14:14" ht="12" customHeight="1">
      <c r="N2732" s="144"/>
    </row>
    <row r="2733" spans="14:14" ht="12" customHeight="1">
      <c r="N2733" s="144"/>
    </row>
    <row r="2734" spans="14:14" ht="12" customHeight="1">
      <c r="N2734" s="144"/>
    </row>
    <row r="2735" spans="14:14" ht="12" customHeight="1">
      <c r="N2735" s="144"/>
    </row>
    <row r="2736" spans="14:14" ht="12" customHeight="1">
      <c r="N2736" s="144"/>
    </row>
    <row r="2737" spans="14:14" ht="12" customHeight="1">
      <c r="N2737" s="144"/>
    </row>
    <row r="2738" spans="14:14" ht="12" customHeight="1">
      <c r="N2738" s="144"/>
    </row>
    <row r="2739" spans="14:14" ht="12" customHeight="1">
      <c r="N2739" s="144"/>
    </row>
    <row r="2740" spans="14:14" ht="12" customHeight="1">
      <c r="N2740" s="144"/>
    </row>
    <row r="2741" spans="14:14" ht="12" customHeight="1">
      <c r="N2741" s="144"/>
    </row>
    <row r="2742" spans="14:14" ht="12" customHeight="1">
      <c r="N2742" s="144"/>
    </row>
    <row r="2743" spans="14:14" ht="12" customHeight="1">
      <c r="N2743" s="144"/>
    </row>
    <row r="2744" spans="14:14" ht="12" customHeight="1">
      <c r="N2744" s="144"/>
    </row>
    <row r="2745" spans="14:14" ht="12" customHeight="1">
      <c r="N2745" s="144"/>
    </row>
    <row r="2746" spans="14:14" ht="12" customHeight="1">
      <c r="N2746" s="144"/>
    </row>
    <row r="2747" spans="14:14" ht="12" customHeight="1">
      <c r="N2747" s="144"/>
    </row>
    <row r="2748" spans="14:14" ht="12" customHeight="1">
      <c r="N2748" s="144"/>
    </row>
    <row r="2749" spans="14:14" ht="12" customHeight="1">
      <c r="N2749" s="144"/>
    </row>
    <row r="2750" spans="14:14" ht="12" customHeight="1">
      <c r="N2750" s="144"/>
    </row>
    <row r="2751" spans="14:14" ht="12" customHeight="1">
      <c r="N2751" s="144"/>
    </row>
    <row r="2752" spans="14:14" ht="12" customHeight="1">
      <c r="N2752" s="144"/>
    </row>
    <row r="2753" spans="14:14" ht="12" customHeight="1">
      <c r="N2753" s="144"/>
    </row>
    <row r="2754" spans="14:14" ht="12" customHeight="1">
      <c r="N2754" s="144"/>
    </row>
    <row r="2755" spans="14:14" ht="12" customHeight="1">
      <c r="N2755" s="144"/>
    </row>
    <row r="2756" spans="14:14" ht="12" customHeight="1">
      <c r="N2756" s="144"/>
    </row>
    <row r="2757" spans="14:14" ht="12" customHeight="1">
      <c r="N2757" s="144"/>
    </row>
    <row r="2758" spans="14:14" ht="12" customHeight="1">
      <c r="N2758" s="144"/>
    </row>
    <row r="2759" spans="14:14" ht="12" customHeight="1">
      <c r="N2759" s="144"/>
    </row>
    <row r="2760" spans="14:14" ht="12" customHeight="1">
      <c r="N2760" s="144"/>
    </row>
    <row r="2761" spans="14:14" ht="12" customHeight="1">
      <c r="N2761" s="144"/>
    </row>
    <row r="2762" spans="14:14" ht="12" customHeight="1">
      <c r="N2762" s="144"/>
    </row>
    <row r="2763" spans="14:14" ht="12" customHeight="1">
      <c r="N2763" s="144"/>
    </row>
    <row r="2764" spans="14:14" ht="12" customHeight="1">
      <c r="N2764" s="144"/>
    </row>
    <row r="2765" spans="14:14" ht="12" customHeight="1">
      <c r="N2765" s="144"/>
    </row>
    <row r="2766" spans="14:14" ht="12" customHeight="1">
      <c r="N2766" s="144"/>
    </row>
    <row r="2767" spans="14:14" ht="12" customHeight="1">
      <c r="N2767" s="144"/>
    </row>
    <row r="2768" spans="14:14" ht="12" customHeight="1">
      <c r="N2768" s="144"/>
    </row>
    <row r="2769" spans="14:14" ht="12" customHeight="1">
      <c r="N2769" s="144"/>
    </row>
    <row r="2770" spans="14:14" ht="12" customHeight="1">
      <c r="N2770" s="144"/>
    </row>
    <row r="2771" spans="14:14" ht="12" customHeight="1">
      <c r="N2771" s="144"/>
    </row>
    <row r="2772" spans="14:14" ht="12" customHeight="1">
      <c r="N2772" s="144"/>
    </row>
    <row r="2773" spans="14:14" ht="12" customHeight="1">
      <c r="N2773" s="144"/>
    </row>
    <row r="2774" spans="14:14" ht="12" customHeight="1">
      <c r="N2774" s="144"/>
    </row>
    <row r="2775" spans="14:14" ht="12" customHeight="1">
      <c r="N2775" s="144"/>
    </row>
    <row r="2776" spans="14:14" ht="12" customHeight="1">
      <c r="N2776" s="144"/>
    </row>
    <row r="2777" spans="14:14" ht="12" customHeight="1">
      <c r="N2777" s="144"/>
    </row>
    <row r="2778" spans="14:14" ht="12" customHeight="1">
      <c r="N2778" s="144"/>
    </row>
    <row r="2779" spans="14:14" ht="12" customHeight="1">
      <c r="N2779" s="144"/>
    </row>
    <row r="2780" spans="14:14" ht="12" customHeight="1">
      <c r="N2780" s="144"/>
    </row>
    <row r="2781" spans="14:14" ht="12" customHeight="1">
      <c r="N2781" s="144"/>
    </row>
    <row r="2782" spans="14:14" ht="12" customHeight="1">
      <c r="N2782" s="144"/>
    </row>
    <row r="2783" spans="14:14" ht="12" customHeight="1">
      <c r="N2783" s="144"/>
    </row>
    <row r="2784" spans="14:14" ht="12" customHeight="1">
      <c r="N2784" s="144"/>
    </row>
    <row r="2785" spans="14:14" ht="12" customHeight="1">
      <c r="N2785" s="144"/>
    </row>
    <row r="2786" spans="14:14" ht="12" customHeight="1">
      <c r="N2786" s="144"/>
    </row>
    <row r="2787" spans="14:14" ht="12" customHeight="1">
      <c r="N2787" s="144"/>
    </row>
    <row r="2788" spans="14:14" ht="12" customHeight="1">
      <c r="N2788" s="144"/>
    </row>
    <row r="2789" spans="14:14" ht="12" customHeight="1">
      <c r="N2789" s="144"/>
    </row>
    <row r="2790" spans="14:14" ht="12" customHeight="1">
      <c r="N2790" s="144"/>
    </row>
    <row r="2791" spans="14:14" ht="12" customHeight="1">
      <c r="N2791" s="144"/>
    </row>
    <row r="2792" spans="14:14" ht="12" customHeight="1">
      <c r="N2792" s="144"/>
    </row>
    <row r="2793" spans="14:14" ht="12" customHeight="1">
      <c r="N2793" s="144"/>
    </row>
    <row r="2794" spans="14:14" ht="12" customHeight="1">
      <c r="N2794" s="144"/>
    </row>
    <row r="2795" spans="14:14" ht="12" customHeight="1">
      <c r="N2795" s="144"/>
    </row>
    <row r="2796" spans="14:14" ht="12" customHeight="1">
      <c r="N2796" s="144"/>
    </row>
    <row r="2797" spans="14:14" ht="12" customHeight="1">
      <c r="N2797" s="144"/>
    </row>
    <row r="2798" spans="14:14" ht="12" customHeight="1">
      <c r="N2798" s="144"/>
    </row>
    <row r="2799" spans="14:14" ht="12" customHeight="1">
      <c r="N2799" s="144"/>
    </row>
    <row r="2800" spans="14:14" ht="12" customHeight="1">
      <c r="N2800" s="144"/>
    </row>
    <row r="2801" spans="14:14" ht="12" customHeight="1">
      <c r="N2801" s="144"/>
    </row>
    <row r="2802" spans="14:14" ht="12" customHeight="1">
      <c r="N2802" s="144"/>
    </row>
    <row r="2803" spans="14:14" ht="12" customHeight="1">
      <c r="N2803" s="144"/>
    </row>
    <row r="2804" spans="14:14" ht="12" customHeight="1">
      <c r="N2804" s="144"/>
    </row>
    <row r="2805" spans="14:14" ht="12" customHeight="1">
      <c r="N2805" s="144"/>
    </row>
    <row r="2806" spans="14:14" ht="12" customHeight="1">
      <c r="N2806" s="144"/>
    </row>
    <row r="2807" spans="14:14" ht="12" customHeight="1">
      <c r="N2807" s="144"/>
    </row>
    <row r="2808" spans="14:14" ht="12" customHeight="1">
      <c r="N2808" s="144"/>
    </row>
    <row r="2809" spans="14:14" ht="12" customHeight="1">
      <c r="N2809" s="144"/>
    </row>
    <row r="2810" spans="14:14" ht="12" customHeight="1">
      <c r="N2810" s="144"/>
    </row>
    <row r="2811" spans="14:14" ht="12" customHeight="1">
      <c r="N2811" s="144"/>
    </row>
    <row r="2812" spans="14:14" ht="12" customHeight="1">
      <c r="N2812" s="144"/>
    </row>
    <row r="2813" spans="14:14" ht="12" customHeight="1">
      <c r="N2813" s="144"/>
    </row>
    <row r="2814" spans="14:14" ht="12" customHeight="1">
      <c r="N2814" s="144"/>
    </row>
    <row r="2815" spans="14:14" ht="12" customHeight="1">
      <c r="N2815" s="144"/>
    </row>
    <row r="2816" spans="14:14" ht="12" customHeight="1">
      <c r="N2816" s="144"/>
    </row>
    <row r="2817" spans="14:14" ht="12" customHeight="1">
      <c r="N2817" s="144"/>
    </row>
    <row r="2818" spans="14:14" ht="12" customHeight="1">
      <c r="N2818" s="144"/>
    </row>
    <row r="2819" spans="14:14" ht="12" customHeight="1">
      <c r="N2819" s="144"/>
    </row>
    <row r="2820" spans="14:14" ht="12" customHeight="1">
      <c r="N2820" s="144"/>
    </row>
    <row r="2821" spans="14:14" ht="12" customHeight="1">
      <c r="N2821" s="144"/>
    </row>
    <row r="2822" spans="14:14" ht="12" customHeight="1">
      <c r="N2822" s="144"/>
    </row>
    <row r="2823" spans="14:14" ht="12" customHeight="1">
      <c r="N2823" s="144"/>
    </row>
    <row r="2824" spans="14:14" ht="12" customHeight="1">
      <c r="N2824" s="144"/>
    </row>
    <row r="2825" spans="14:14" ht="12" customHeight="1">
      <c r="N2825" s="144"/>
    </row>
    <row r="2826" spans="14:14" ht="12" customHeight="1">
      <c r="N2826" s="144"/>
    </row>
    <row r="2827" spans="14:14" ht="12" customHeight="1">
      <c r="N2827" s="144"/>
    </row>
    <row r="2828" spans="14:14" ht="12" customHeight="1">
      <c r="N2828" s="144"/>
    </row>
    <row r="2829" spans="14:14" ht="12" customHeight="1">
      <c r="N2829" s="144"/>
    </row>
    <row r="2830" spans="14:14" ht="12" customHeight="1">
      <c r="N2830" s="144"/>
    </row>
    <row r="2831" spans="14:14" ht="12" customHeight="1">
      <c r="N2831" s="144"/>
    </row>
    <row r="2832" spans="14:14" ht="12" customHeight="1">
      <c r="N2832" s="144"/>
    </row>
    <row r="2833" spans="14:14" ht="12" customHeight="1">
      <c r="N2833" s="144"/>
    </row>
    <row r="2834" spans="14:14" ht="12" customHeight="1">
      <c r="N2834" s="144"/>
    </row>
    <row r="2835" spans="14:14" ht="12" customHeight="1">
      <c r="N2835" s="144"/>
    </row>
    <row r="2836" spans="14:14" ht="12" customHeight="1">
      <c r="N2836" s="144"/>
    </row>
    <row r="2837" spans="14:14" ht="12" customHeight="1">
      <c r="N2837" s="144"/>
    </row>
    <row r="2838" spans="14:14" ht="12" customHeight="1">
      <c r="N2838" s="144"/>
    </row>
    <row r="2839" spans="14:14" ht="12" customHeight="1">
      <c r="N2839" s="144"/>
    </row>
    <row r="2840" spans="14:14" ht="12" customHeight="1">
      <c r="N2840" s="144"/>
    </row>
    <row r="2841" spans="14:14" ht="12" customHeight="1">
      <c r="N2841" s="144"/>
    </row>
    <row r="2842" spans="14:14" ht="12" customHeight="1">
      <c r="N2842" s="144"/>
    </row>
    <row r="2843" spans="14:14" ht="12" customHeight="1">
      <c r="N2843" s="144"/>
    </row>
    <row r="2844" spans="14:14" ht="12" customHeight="1">
      <c r="N2844" s="144"/>
    </row>
    <row r="2845" spans="14:14" ht="12" customHeight="1">
      <c r="N2845" s="144"/>
    </row>
    <row r="2846" spans="14:14" ht="12" customHeight="1">
      <c r="N2846" s="144"/>
    </row>
    <row r="2847" spans="14:14" ht="12" customHeight="1">
      <c r="N2847" s="144"/>
    </row>
    <row r="2848" spans="14:14" ht="12" customHeight="1">
      <c r="N2848" s="144"/>
    </row>
    <row r="2849" spans="14:14" ht="12" customHeight="1">
      <c r="N2849" s="144"/>
    </row>
    <row r="2850" spans="14:14" ht="12" customHeight="1">
      <c r="N2850" s="144"/>
    </row>
    <row r="2851" spans="14:14" ht="12" customHeight="1">
      <c r="N2851" s="144"/>
    </row>
    <row r="2852" spans="14:14" ht="12" customHeight="1">
      <c r="N2852" s="144"/>
    </row>
    <row r="2853" spans="14:14" ht="12" customHeight="1">
      <c r="N2853" s="144"/>
    </row>
    <row r="2854" spans="14:14" ht="12" customHeight="1">
      <c r="N2854" s="144"/>
    </row>
    <row r="2855" spans="14:14" ht="12" customHeight="1">
      <c r="N2855" s="144"/>
    </row>
    <row r="2856" spans="14:14" ht="12" customHeight="1">
      <c r="N2856" s="144"/>
    </row>
    <row r="2857" spans="14:14" ht="12" customHeight="1">
      <c r="N2857" s="144"/>
    </row>
    <row r="2858" spans="14:14" ht="12" customHeight="1">
      <c r="N2858" s="144"/>
    </row>
    <row r="2859" spans="14:14" ht="12" customHeight="1">
      <c r="N2859" s="144"/>
    </row>
    <row r="2860" spans="14:14" ht="12" customHeight="1">
      <c r="N2860" s="144"/>
    </row>
    <row r="2861" spans="14:14" ht="12" customHeight="1">
      <c r="N2861" s="144"/>
    </row>
    <row r="2862" spans="14:14" ht="12" customHeight="1">
      <c r="N2862" s="144"/>
    </row>
    <row r="2863" spans="14:14" ht="12" customHeight="1">
      <c r="N2863" s="144"/>
    </row>
    <row r="2864" spans="14:14" ht="12" customHeight="1">
      <c r="N2864" s="144"/>
    </row>
    <row r="2865" spans="14:14" ht="12" customHeight="1">
      <c r="N2865" s="144"/>
    </row>
    <row r="2866" spans="14:14" ht="12" customHeight="1">
      <c r="N2866" s="144"/>
    </row>
    <row r="2867" spans="14:14" ht="12" customHeight="1">
      <c r="N2867" s="144"/>
    </row>
    <row r="2868" spans="14:14" ht="12" customHeight="1">
      <c r="N2868" s="144"/>
    </row>
    <row r="2869" spans="14:14" ht="12" customHeight="1">
      <c r="N2869" s="144"/>
    </row>
    <row r="2870" spans="14:14" ht="12" customHeight="1">
      <c r="N2870" s="144"/>
    </row>
    <row r="2871" spans="14:14" ht="12" customHeight="1">
      <c r="N2871" s="144"/>
    </row>
    <row r="2872" spans="14:14" ht="12" customHeight="1">
      <c r="N2872" s="144"/>
    </row>
    <row r="2873" spans="14:14" ht="12" customHeight="1">
      <c r="N2873" s="144"/>
    </row>
    <row r="2874" spans="14:14" ht="12" customHeight="1">
      <c r="N2874" s="144"/>
    </row>
    <row r="2875" spans="14:14" ht="12" customHeight="1">
      <c r="N2875" s="144"/>
    </row>
    <row r="2876" spans="14:14" ht="12" customHeight="1">
      <c r="N2876" s="144"/>
    </row>
    <row r="2877" spans="14:14" ht="12" customHeight="1">
      <c r="N2877" s="144"/>
    </row>
    <row r="2878" spans="14:14" ht="12" customHeight="1">
      <c r="N2878" s="144"/>
    </row>
    <row r="2879" spans="14:14" ht="12" customHeight="1">
      <c r="N2879" s="144"/>
    </row>
    <row r="2880" spans="14:14" ht="12" customHeight="1">
      <c r="N2880" s="144"/>
    </row>
    <row r="2881" spans="14:14" ht="12" customHeight="1">
      <c r="N2881" s="144"/>
    </row>
    <row r="2882" spans="14:14" ht="12" customHeight="1">
      <c r="N2882" s="144"/>
    </row>
    <row r="2883" spans="14:14" ht="12" customHeight="1">
      <c r="N2883" s="144"/>
    </row>
    <row r="2884" spans="14:14" ht="12" customHeight="1">
      <c r="N2884" s="144"/>
    </row>
    <row r="2885" spans="14:14" ht="12" customHeight="1">
      <c r="N2885" s="144"/>
    </row>
    <row r="2886" spans="14:14" ht="12" customHeight="1">
      <c r="N2886" s="144"/>
    </row>
    <row r="2887" spans="14:14" ht="12" customHeight="1">
      <c r="N2887" s="144"/>
    </row>
    <row r="2888" spans="14:14" ht="12" customHeight="1">
      <c r="N2888" s="144"/>
    </row>
    <row r="2889" spans="14:14" ht="12" customHeight="1">
      <c r="N2889" s="144"/>
    </row>
    <row r="2890" spans="14:14" ht="12" customHeight="1">
      <c r="N2890" s="144"/>
    </row>
    <row r="2891" spans="14:14" ht="12" customHeight="1">
      <c r="N2891" s="144"/>
    </row>
    <row r="2892" spans="14:14" ht="12" customHeight="1">
      <c r="N2892" s="144"/>
    </row>
    <row r="2893" spans="14:14" ht="12" customHeight="1">
      <c r="N2893" s="144"/>
    </row>
    <row r="2894" spans="14:14" ht="12" customHeight="1">
      <c r="N2894" s="144"/>
    </row>
    <row r="2895" spans="14:14" ht="12" customHeight="1">
      <c r="N2895" s="144"/>
    </row>
    <row r="2896" spans="14:14" ht="12" customHeight="1">
      <c r="N2896" s="144"/>
    </row>
    <row r="2897" spans="14:14" ht="12" customHeight="1">
      <c r="N2897" s="144"/>
    </row>
    <row r="2898" spans="14:14" ht="12" customHeight="1">
      <c r="N2898" s="144"/>
    </row>
    <row r="2899" spans="14:14" ht="12" customHeight="1">
      <c r="N2899" s="144"/>
    </row>
    <row r="2900" spans="14:14" ht="12" customHeight="1">
      <c r="N2900" s="144"/>
    </row>
    <row r="2901" spans="14:14" ht="12" customHeight="1">
      <c r="N2901" s="144"/>
    </row>
    <row r="2902" spans="14:14" ht="12" customHeight="1">
      <c r="N2902" s="144"/>
    </row>
    <row r="2903" spans="14:14" ht="12" customHeight="1">
      <c r="N2903" s="144"/>
    </row>
    <row r="2904" spans="14:14" ht="12" customHeight="1">
      <c r="N2904" s="144"/>
    </row>
    <row r="2905" spans="14:14" ht="12" customHeight="1">
      <c r="N2905" s="144"/>
    </row>
    <row r="2906" spans="14:14" ht="12" customHeight="1">
      <c r="N2906" s="144"/>
    </row>
    <row r="2907" spans="14:14" ht="12" customHeight="1">
      <c r="N2907" s="144"/>
    </row>
    <row r="2908" spans="14:14" ht="12" customHeight="1">
      <c r="N2908" s="144"/>
    </row>
    <row r="2909" spans="14:14" ht="12" customHeight="1">
      <c r="N2909" s="144"/>
    </row>
    <row r="2910" spans="14:14" ht="12" customHeight="1">
      <c r="N2910" s="144"/>
    </row>
    <row r="2911" spans="14:14" ht="12" customHeight="1">
      <c r="N2911" s="144"/>
    </row>
    <row r="2912" spans="14:14" ht="12" customHeight="1">
      <c r="N2912" s="144"/>
    </row>
    <row r="2913" spans="14:14" ht="12" customHeight="1">
      <c r="N2913" s="144"/>
    </row>
    <row r="2914" spans="14:14" ht="12" customHeight="1">
      <c r="N2914" s="144"/>
    </row>
    <row r="2915" spans="14:14" ht="12" customHeight="1">
      <c r="N2915" s="144"/>
    </row>
    <row r="2916" spans="14:14" ht="12" customHeight="1">
      <c r="N2916" s="144"/>
    </row>
    <row r="2917" spans="14:14" ht="12" customHeight="1">
      <c r="N2917" s="144"/>
    </row>
    <row r="2918" spans="14:14" ht="12" customHeight="1">
      <c r="N2918" s="144"/>
    </row>
    <row r="2919" spans="14:14" ht="12" customHeight="1">
      <c r="N2919" s="144"/>
    </row>
    <row r="2920" spans="14:14" ht="12" customHeight="1">
      <c r="N2920" s="144"/>
    </row>
    <row r="2921" spans="14:14" ht="12" customHeight="1">
      <c r="N2921" s="144"/>
    </row>
    <row r="2922" spans="14:14" ht="12" customHeight="1">
      <c r="N2922" s="144"/>
    </row>
    <row r="2923" spans="14:14" ht="12" customHeight="1">
      <c r="N2923" s="144"/>
    </row>
    <row r="2924" spans="14:14" ht="12" customHeight="1">
      <c r="N2924" s="144"/>
    </row>
    <row r="2925" spans="14:14" ht="12" customHeight="1">
      <c r="N2925" s="144"/>
    </row>
    <row r="2926" spans="14:14" ht="12" customHeight="1">
      <c r="N2926" s="144"/>
    </row>
    <row r="2927" spans="14:14" ht="12" customHeight="1">
      <c r="N2927" s="144"/>
    </row>
    <row r="2928" spans="14:14" ht="12" customHeight="1">
      <c r="N2928" s="144"/>
    </row>
    <row r="2929" spans="14:14" ht="12" customHeight="1">
      <c r="N2929" s="144"/>
    </row>
    <row r="2930" spans="14:14" ht="12" customHeight="1">
      <c r="N2930" s="144"/>
    </row>
    <row r="2931" spans="14:14" ht="12" customHeight="1">
      <c r="N2931" s="144"/>
    </row>
    <row r="2932" spans="14:14" ht="12" customHeight="1">
      <c r="N2932" s="144"/>
    </row>
    <row r="2933" spans="14:14" ht="12" customHeight="1">
      <c r="N2933" s="144"/>
    </row>
    <row r="2934" spans="14:14" ht="12" customHeight="1">
      <c r="N2934" s="144"/>
    </row>
    <row r="2935" spans="14:14" ht="12" customHeight="1">
      <c r="N2935" s="144"/>
    </row>
    <row r="2936" spans="14:14" ht="12" customHeight="1">
      <c r="N2936" s="144"/>
    </row>
    <row r="2937" spans="14:14" ht="12" customHeight="1">
      <c r="N2937" s="144"/>
    </row>
    <row r="2938" spans="14:14" ht="12" customHeight="1">
      <c r="N2938" s="144"/>
    </row>
    <row r="2939" spans="14:14" ht="12" customHeight="1">
      <c r="N2939" s="144"/>
    </row>
    <row r="2940" spans="14:14" ht="12" customHeight="1">
      <c r="N2940" s="144"/>
    </row>
    <row r="2941" spans="14:14" ht="12" customHeight="1">
      <c r="N2941" s="144"/>
    </row>
    <row r="2942" spans="14:14" ht="12" customHeight="1">
      <c r="N2942" s="144"/>
    </row>
    <row r="2943" spans="14:14" ht="12" customHeight="1">
      <c r="N2943" s="144"/>
    </row>
    <row r="2944" spans="14:14" ht="12" customHeight="1">
      <c r="N2944" s="144"/>
    </row>
    <row r="2945" spans="14:14" ht="12" customHeight="1">
      <c r="N2945" s="144"/>
    </row>
    <row r="2946" spans="14:14" ht="12" customHeight="1">
      <c r="N2946" s="144"/>
    </row>
    <row r="2947" spans="14:14" ht="12" customHeight="1">
      <c r="N2947" s="144"/>
    </row>
    <row r="2948" spans="14:14" ht="12" customHeight="1">
      <c r="N2948" s="144"/>
    </row>
    <row r="2949" spans="14:14" ht="12" customHeight="1">
      <c r="N2949" s="144"/>
    </row>
    <row r="2950" spans="14:14" ht="12" customHeight="1">
      <c r="N2950" s="144"/>
    </row>
    <row r="2951" spans="14:14" ht="12" customHeight="1">
      <c r="N2951" s="144"/>
    </row>
    <row r="2952" spans="14:14" ht="12" customHeight="1">
      <c r="N2952" s="144"/>
    </row>
    <row r="2953" spans="14:14" ht="12" customHeight="1">
      <c r="N2953" s="144"/>
    </row>
    <row r="2954" spans="14:14" ht="12" customHeight="1">
      <c r="N2954" s="144"/>
    </row>
    <row r="2955" spans="14:14" ht="12" customHeight="1">
      <c r="N2955" s="144"/>
    </row>
    <row r="2956" spans="14:14" ht="12" customHeight="1">
      <c r="N2956" s="144"/>
    </row>
    <row r="2957" spans="14:14" ht="12" customHeight="1">
      <c r="N2957" s="144"/>
    </row>
    <row r="2958" spans="14:14" ht="12" customHeight="1">
      <c r="N2958" s="144"/>
    </row>
    <row r="2959" spans="14:14" ht="12" customHeight="1">
      <c r="N2959" s="144"/>
    </row>
    <row r="2960" spans="14:14" ht="12" customHeight="1">
      <c r="N2960" s="144"/>
    </row>
    <row r="2961" spans="14:14" ht="12" customHeight="1">
      <c r="N2961" s="144"/>
    </row>
    <row r="2962" spans="14:14" ht="12" customHeight="1">
      <c r="N2962" s="144"/>
    </row>
    <row r="2963" spans="14:14" ht="12" customHeight="1">
      <c r="N2963" s="144"/>
    </row>
    <row r="2964" spans="14:14" ht="12" customHeight="1">
      <c r="N2964" s="144"/>
    </row>
    <row r="2965" spans="14:14" ht="12" customHeight="1">
      <c r="N2965" s="144"/>
    </row>
    <row r="2966" spans="14:14" ht="12" customHeight="1">
      <c r="N2966" s="144"/>
    </row>
    <row r="2967" spans="14:14" ht="12" customHeight="1">
      <c r="N2967" s="144"/>
    </row>
    <row r="2968" spans="14:14" ht="12" customHeight="1">
      <c r="N2968" s="144"/>
    </row>
    <row r="2969" spans="14:14" ht="12" customHeight="1">
      <c r="N2969" s="144"/>
    </row>
    <row r="2970" spans="14:14" ht="12" customHeight="1">
      <c r="N2970" s="144"/>
    </row>
    <row r="2971" spans="14:14" ht="12" customHeight="1">
      <c r="N2971" s="144"/>
    </row>
    <row r="2972" spans="14:14" ht="12" customHeight="1">
      <c r="N2972" s="144"/>
    </row>
    <row r="2973" spans="14:14" ht="12" customHeight="1">
      <c r="N2973" s="144"/>
    </row>
    <row r="2974" spans="14:14" ht="12" customHeight="1">
      <c r="N2974" s="144"/>
    </row>
    <row r="2975" spans="14:14" ht="12" customHeight="1">
      <c r="N2975" s="144"/>
    </row>
    <row r="2976" spans="14:14" ht="12" customHeight="1">
      <c r="N2976" s="144"/>
    </row>
    <row r="2977" spans="14:14" ht="12" customHeight="1">
      <c r="N2977" s="144"/>
    </row>
    <row r="2978" spans="14:14" ht="12" customHeight="1">
      <c r="N2978" s="144"/>
    </row>
    <row r="2979" spans="14:14" ht="12" customHeight="1">
      <c r="N2979" s="144"/>
    </row>
    <row r="2980" spans="14:14" ht="12" customHeight="1">
      <c r="N2980" s="144"/>
    </row>
    <row r="2981" spans="14:14" ht="12" customHeight="1">
      <c r="N2981" s="144"/>
    </row>
    <row r="2982" spans="14:14" ht="12" customHeight="1">
      <c r="N2982" s="144"/>
    </row>
    <row r="2983" spans="14:14" ht="12" customHeight="1">
      <c r="N2983" s="144"/>
    </row>
    <row r="2984" spans="14:14" ht="12" customHeight="1">
      <c r="N2984" s="144"/>
    </row>
    <row r="2985" spans="14:14" ht="12" customHeight="1">
      <c r="N2985" s="144"/>
    </row>
    <row r="2986" spans="14:14" ht="12" customHeight="1">
      <c r="N2986" s="144"/>
    </row>
    <row r="2987" spans="14:14" ht="12" customHeight="1">
      <c r="N2987" s="144"/>
    </row>
    <row r="2988" spans="14:14" ht="12" customHeight="1">
      <c r="N2988" s="144"/>
    </row>
    <row r="2989" spans="14:14" ht="12" customHeight="1">
      <c r="N2989" s="144"/>
    </row>
    <row r="2990" spans="14:14" ht="12" customHeight="1">
      <c r="N2990" s="144"/>
    </row>
    <row r="2991" spans="14:14" ht="12" customHeight="1">
      <c r="N2991" s="144"/>
    </row>
    <row r="2992" spans="14:14" ht="12" customHeight="1">
      <c r="N2992" s="144"/>
    </row>
    <row r="2993" spans="14:14" ht="12" customHeight="1">
      <c r="N2993" s="144"/>
    </row>
    <row r="2994" spans="14:14" ht="12" customHeight="1">
      <c r="N2994" s="144"/>
    </row>
    <row r="2995" spans="14:14" ht="12" customHeight="1">
      <c r="N2995" s="144"/>
    </row>
    <row r="2996" spans="14:14" ht="12" customHeight="1">
      <c r="N2996" s="144"/>
    </row>
    <row r="2997" spans="14:14" ht="12" customHeight="1">
      <c r="N2997" s="144"/>
    </row>
    <row r="2998" spans="14:14" ht="12" customHeight="1">
      <c r="N2998" s="144"/>
    </row>
    <row r="2999" spans="14:14" ht="12" customHeight="1">
      <c r="N2999" s="144"/>
    </row>
    <row r="3000" spans="14:14" ht="12" customHeight="1">
      <c r="N3000" s="144"/>
    </row>
    <row r="3001" spans="14:14" ht="12" customHeight="1">
      <c r="N3001" s="144"/>
    </row>
    <row r="3002" spans="14:14" ht="12" customHeight="1">
      <c r="N3002" s="144"/>
    </row>
    <row r="3003" spans="14:14" ht="12" customHeight="1">
      <c r="N3003" s="144"/>
    </row>
    <row r="3004" spans="14:14" ht="12" customHeight="1">
      <c r="N3004" s="144"/>
    </row>
    <row r="3005" spans="14:14" ht="12" customHeight="1">
      <c r="N3005" s="144"/>
    </row>
    <row r="3006" spans="14:14" ht="12" customHeight="1">
      <c r="N3006" s="144"/>
    </row>
    <row r="3007" spans="14:14" ht="12" customHeight="1">
      <c r="N3007" s="144"/>
    </row>
    <row r="3008" spans="14:14" ht="12" customHeight="1">
      <c r="N3008" s="144"/>
    </row>
    <row r="3009" spans="14:14" ht="12" customHeight="1">
      <c r="N3009" s="144"/>
    </row>
    <row r="3010" spans="14:14" ht="12" customHeight="1">
      <c r="N3010" s="144"/>
    </row>
    <row r="3011" spans="14:14" ht="12" customHeight="1">
      <c r="N3011" s="144"/>
    </row>
    <row r="3012" spans="14:14" ht="12" customHeight="1">
      <c r="N3012" s="144"/>
    </row>
    <row r="3013" spans="14:14" ht="12" customHeight="1">
      <c r="N3013" s="144"/>
    </row>
    <row r="3014" spans="14:14" ht="12" customHeight="1">
      <c r="N3014" s="144"/>
    </row>
    <row r="3015" spans="14:14" ht="12" customHeight="1">
      <c r="N3015" s="144"/>
    </row>
    <row r="3016" spans="14:14" ht="12" customHeight="1">
      <c r="N3016" s="144"/>
    </row>
    <row r="3017" spans="14:14" ht="12" customHeight="1">
      <c r="N3017" s="144"/>
    </row>
    <row r="3018" spans="14:14" ht="12" customHeight="1">
      <c r="N3018" s="144"/>
    </row>
    <row r="3019" spans="14:14" ht="12" customHeight="1">
      <c r="N3019" s="144"/>
    </row>
    <row r="3020" spans="14:14" ht="12" customHeight="1">
      <c r="N3020" s="144"/>
    </row>
    <row r="3021" spans="14:14" ht="12" customHeight="1">
      <c r="N3021" s="144"/>
    </row>
    <row r="3022" spans="14:14" ht="12" customHeight="1">
      <c r="N3022" s="144"/>
    </row>
    <row r="3023" spans="14:14" ht="12" customHeight="1">
      <c r="N3023" s="144"/>
    </row>
    <row r="3024" spans="14:14" ht="12" customHeight="1">
      <c r="N3024" s="144"/>
    </row>
    <row r="3025" spans="14:14" ht="12" customHeight="1">
      <c r="N3025" s="144"/>
    </row>
    <row r="3026" spans="14:14" ht="12" customHeight="1">
      <c r="N3026" s="144"/>
    </row>
    <row r="3027" spans="14:14" ht="12" customHeight="1">
      <c r="N3027" s="144"/>
    </row>
    <row r="3028" spans="14:14" ht="12" customHeight="1">
      <c r="N3028" s="144"/>
    </row>
    <row r="3029" spans="14:14" ht="12" customHeight="1">
      <c r="N3029" s="144"/>
    </row>
    <row r="3030" spans="14:14" ht="12" customHeight="1">
      <c r="N3030" s="144"/>
    </row>
    <row r="3031" spans="14:14" ht="12" customHeight="1">
      <c r="N3031" s="144"/>
    </row>
    <row r="3032" spans="14:14" ht="12" customHeight="1">
      <c r="N3032" s="144"/>
    </row>
    <row r="3033" spans="14:14" ht="12" customHeight="1">
      <c r="N3033" s="144"/>
    </row>
    <row r="3034" spans="14:14" ht="12" customHeight="1">
      <c r="N3034" s="144"/>
    </row>
    <row r="3035" spans="14:14" ht="12" customHeight="1">
      <c r="N3035" s="144"/>
    </row>
    <row r="3036" spans="14:14" ht="12" customHeight="1">
      <c r="N3036" s="144"/>
    </row>
    <row r="3037" spans="14:14" ht="12" customHeight="1">
      <c r="N3037" s="144"/>
    </row>
    <row r="3038" spans="14:14" ht="12" customHeight="1">
      <c r="N3038" s="144"/>
    </row>
    <row r="3039" spans="14:14" ht="12" customHeight="1">
      <c r="N3039" s="144"/>
    </row>
    <row r="3040" spans="14:14" ht="12" customHeight="1">
      <c r="N3040" s="144"/>
    </row>
    <row r="3041" spans="14:14" ht="12" customHeight="1">
      <c r="N3041" s="144"/>
    </row>
    <row r="3042" spans="14:14" ht="12" customHeight="1">
      <c r="N3042" s="144"/>
    </row>
    <row r="3043" spans="14:14" ht="12" customHeight="1">
      <c r="N3043" s="144"/>
    </row>
    <row r="3044" spans="14:14" ht="12" customHeight="1">
      <c r="N3044" s="144"/>
    </row>
    <row r="3045" spans="14:14" ht="12" customHeight="1">
      <c r="N3045" s="144"/>
    </row>
    <row r="3046" spans="14:14" ht="12" customHeight="1">
      <c r="N3046" s="144"/>
    </row>
    <row r="3047" spans="14:14" ht="12" customHeight="1">
      <c r="N3047" s="144"/>
    </row>
    <row r="3048" spans="14:14" ht="12" customHeight="1">
      <c r="N3048" s="144"/>
    </row>
    <row r="3049" spans="14:14" ht="12" customHeight="1">
      <c r="N3049" s="144"/>
    </row>
    <row r="3050" spans="14:14" ht="12" customHeight="1">
      <c r="N3050" s="144"/>
    </row>
    <row r="3051" spans="14:14" ht="12" customHeight="1">
      <c r="N3051" s="144"/>
    </row>
    <row r="3052" spans="14:14" ht="12" customHeight="1">
      <c r="N3052" s="144"/>
    </row>
    <row r="3053" spans="14:14" ht="12" customHeight="1">
      <c r="N3053" s="144"/>
    </row>
    <row r="3054" spans="14:14" ht="12" customHeight="1">
      <c r="N3054" s="144"/>
    </row>
    <row r="3055" spans="14:14" ht="12" customHeight="1">
      <c r="N3055" s="144"/>
    </row>
    <row r="3056" spans="14:14" ht="12" customHeight="1">
      <c r="N3056" s="144"/>
    </row>
    <row r="3057" spans="14:14" ht="12" customHeight="1">
      <c r="N3057" s="144"/>
    </row>
    <row r="3058" spans="14:14" ht="12" customHeight="1">
      <c r="N3058" s="144"/>
    </row>
    <row r="3059" spans="14:14" ht="12" customHeight="1">
      <c r="N3059" s="144"/>
    </row>
    <row r="3060" spans="14:14" ht="12" customHeight="1">
      <c r="N3060" s="144"/>
    </row>
    <row r="3061" spans="14:14" ht="12" customHeight="1">
      <c r="N3061" s="144"/>
    </row>
    <row r="3062" spans="14:14" ht="12" customHeight="1">
      <c r="N3062" s="144"/>
    </row>
    <row r="3063" spans="14:14" ht="12" customHeight="1">
      <c r="N3063" s="144"/>
    </row>
    <row r="3064" spans="14:14" ht="12" customHeight="1">
      <c r="N3064" s="144"/>
    </row>
    <row r="3065" spans="14:14" ht="12" customHeight="1">
      <c r="N3065" s="144"/>
    </row>
    <row r="3066" spans="14:14" ht="12" customHeight="1">
      <c r="N3066" s="144"/>
    </row>
    <row r="3067" spans="14:14" ht="12" customHeight="1">
      <c r="N3067" s="144"/>
    </row>
    <row r="3068" spans="14:14" ht="12" customHeight="1">
      <c r="N3068" s="144"/>
    </row>
    <row r="3069" spans="14:14" ht="12" customHeight="1">
      <c r="N3069" s="144"/>
    </row>
    <row r="3070" spans="14:14" ht="12" customHeight="1">
      <c r="N3070" s="144"/>
    </row>
    <row r="3071" spans="14:14" ht="12" customHeight="1">
      <c r="N3071" s="144"/>
    </row>
    <row r="3072" spans="14:14" ht="12" customHeight="1">
      <c r="N3072" s="144"/>
    </row>
    <row r="3073" spans="14:14" ht="12" customHeight="1">
      <c r="N3073" s="144"/>
    </row>
    <row r="3074" spans="14:14" ht="12" customHeight="1">
      <c r="N3074" s="144"/>
    </row>
    <row r="3075" spans="14:14" ht="12" customHeight="1">
      <c r="N3075" s="144"/>
    </row>
    <row r="3076" spans="14:14" ht="12" customHeight="1">
      <c r="N3076" s="144"/>
    </row>
    <row r="3077" spans="14:14" ht="12" customHeight="1">
      <c r="N3077" s="144"/>
    </row>
    <row r="3078" spans="14:14" ht="12" customHeight="1">
      <c r="N3078" s="144"/>
    </row>
    <row r="3079" spans="14:14" ht="12" customHeight="1">
      <c r="N3079" s="144"/>
    </row>
    <row r="3080" spans="14:14" ht="12" customHeight="1">
      <c r="N3080" s="144"/>
    </row>
    <row r="3081" spans="14:14" ht="12" customHeight="1">
      <c r="N3081" s="144"/>
    </row>
    <row r="3082" spans="14:14" ht="12" customHeight="1">
      <c r="N3082" s="144"/>
    </row>
    <row r="3083" spans="14:14" ht="12" customHeight="1">
      <c r="N3083" s="144"/>
    </row>
    <row r="3084" spans="14:14" ht="12" customHeight="1">
      <c r="N3084" s="144"/>
    </row>
    <row r="3085" spans="14:14" ht="12" customHeight="1">
      <c r="N3085" s="144"/>
    </row>
    <row r="3086" spans="14:14" ht="12" customHeight="1">
      <c r="N3086" s="144"/>
    </row>
    <row r="3087" spans="14:14" ht="12" customHeight="1">
      <c r="N3087" s="144"/>
    </row>
    <row r="3088" spans="14:14" ht="12" customHeight="1">
      <c r="N3088" s="144"/>
    </row>
    <row r="3089" spans="14:14" ht="12" customHeight="1">
      <c r="N3089" s="144"/>
    </row>
    <row r="3090" spans="14:14" ht="12" customHeight="1">
      <c r="N3090" s="144"/>
    </row>
    <row r="3091" spans="14:14" ht="12" customHeight="1">
      <c r="N3091" s="144"/>
    </row>
    <row r="3092" spans="14:14" ht="12" customHeight="1">
      <c r="N3092" s="144"/>
    </row>
    <row r="3093" spans="14:14" ht="12" customHeight="1">
      <c r="N3093" s="144"/>
    </row>
    <row r="3094" spans="14:14" ht="12" customHeight="1">
      <c r="N3094" s="144"/>
    </row>
    <row r="3095" spans="14:14" ht="12" customHeight="1">
      <c r="N3095" s="144"/>
    </row>
    <row r="3096" spans="14:14" ht="12" customHeight="1">
      <c r="N3096" s="144"/>
    </row>
    <row r="3097" spans="14:14" ht="12" customHeight="1">
      <c r="N3097" s="144"/>
    </row>
    <row r="3098" spans="14:14" ht="12" customHeight="1">
      <c r="N3098" s="144"/>
    </row>
    <row r="3099" spans="14:14" ht="12" customHeight="1">
      <c r="N3099" s="144"/>
    </row>
    <row r="3100" spans="14:14" ht="12" customHeight="1">
      <c r="N3100" s="144"/>
    </row>
    <row r="3101" spans="14:14" ht="12" customHeight="1">
      <c r="N3101" s="144"/>
    </row>
    <row r="3102" spans="14:14" ht="12" customHeight="1">
      <c r="N3102" s="144"/>
    </row>
    <row r="3103" spans="14:14" ht="12" customHeight="1">
      <c r="N3103" s="144"/>
    </row>
    <row r="3104" spans="14:14" ht="12" customHeight="1">
      <c r="N3104" s="144"/>
    </row>
    <row r="3105" spans="14:14" ht="12" customHeight="1">
      <c r="N3105" s="144"/>
    </row>
    <row r="3106" spans="14:14" ht="12" customHeight="1">
      <c r="N3106" s="144"/>
    </row>
    <row r="3107" spans="14:14" ht="12" customHeight="1">
      <c r="N3107" s="144"/>
    </row>
    <row r="3108" spans="14:14" ht="12" customHeight="1">
      <c r="N3108" s="144"/>
    </row>
    <row r="3109" spans="14:14" ht="12" customHeight="1">
      <c r="N3109" s="144"/>
    </row>
    <row r="3110" spans="14:14" ht="12" customHeight="1">
      <c r="N3110" s="144"/>
    </row>
    <row r="3111" spans="14:14" ht="12" customHeight="1">
      <c r="N3111" s="144"/>
    </row>
    <row r="3112" spans="14:14" ht="12" customHeight="1">
      <c r="N3112" s="144"/>
    </row>
    <row r="3113" spans="14:14" ht="12" customHeight="1">
      <c r="N3113" s="144"/>
    </row>
    <row r="3114" spans="14:14" ht="12" customHeight="1">
      <c r="N3114" s="144"/>
    </row>
    <row r="3115" spans="14:14" ht="12" customHeight="1">
      <c r="N3115" s="144"/>
    </row>
    <row r="3116" spans="14:14" ht="12" customHeight="1">
      <c r="N3116" s="144"/>
    </row>
    <row r="3117" spans="14:14" ht="12" customHeight="1">
      <c r="N3117" s="144"/>
    </row>
    <row r="3118" spans="14:14" ht="12" customHeight="1">
      <c r="N3118" s="144"/>
    </row>
    <row r="3119" spans="14:14" ht="12" customHeight="1">
      <c r="N3119" s="144"/>
    </row>
    <row r="3120" spans="14:14" ht="12" customHeight="1">
      <c r="N3120" s="144"/>
    </row>
    <row r="3121" spans="14:14" ht="12" customHeight="1">
      <c r="N3121" s="144"/>
    </row>
    <row r="3122" spans="14:14" ht="12" customHeight="1">
      <c r="N3122" s="144"/>
    </row>
    <row r="3123" spans="14:14" ht="12" customHeight="1">
      <c r="N3123" s="144"/>
    </row>
    <row r="3124" spans="14:14" ht="12" customHeight="1">
      <c r="N3124" s="144"/>
    </row>
    <row r="3125" spans="14:14" ht="12" customHeight="1">
      <c r="N3125" s="144"/>
    </row>
    <row r="3126" spans="14:14" ht="12" customHeight="1">
      <c r="N3126" s="144"/>
    </row>
    <row r="3127" spans="14:14" ht="12" customHeight="1">
      <c r="N3127" s="144"/>
    </row>
    <row r="3128" spans="14:14" ht="12" customHeight="1">
      <c r="N3128" s="144"/>
    </row>
    <row r="3129" spans="14:14" ht="12" customHeight="1">
      <c r="N3129" s="144"/>
    </row>
    <row r="3130" spans="14:14" ht="12" customHeight="1">
      <c r="N3130" s="144"/>
    </row>
    <row r="3131" spans="14:14" ht="12" customHeight="1">
      <c r="N3131" s="144"/>
    </row>
    <row r="3132" spans="14:14" ht="12" customHeight="1">
      <c r="N3132" s="144"/>
    </row>
    <row r="3133" spans="14:14" ht="12" customHeight="1">
      <c r="N3133" s="144"/>
    </row>
    <row r="3134" spans="14:14" ht="12" customHeight="1">
      <c r="N3134" s="144"/>
    </row>
    <row r="3135" spans="14:14" ht="12" customHeight="1">
      <c r="N3135" s="144"/>
    </row>
    <row r="3136" spans="14:14" ht="12" customHeight="1">
      <c r="N3136" s="144"/>
    </row>
    <row r="3137" spans="14:14" ht="12" customHeight="1">
      <c r="N3137" s="144"/>
    </row>
    <row r="3138" spans="14:14" ht="12" customHeight="1">
      <c r="N3138" s="144"/>
    </row>
    <row r="3139" spans="14:14" ht="12" customHeight="1">
      <c r="N3139" s="144"/>
    </row>
    <row r="3140" spans="14:14" ht="12" customHeight="1">
      <c r="N3140" s="144"/>
    </row>
    <row r="3141" spans="14:14" ht="12" customHeight="1">
      <c r="N3141" s="144"/>
    </row>
    <row r="3142" spans="14:14" ht="12" customHeight="1">
      <c r="N3142" s="144"/>
    </row>
    <row r="3143" spans="14:14" ht="12" customHeight="1">
      <c r="N3143" s="144"/>
    </row>
    <row r="3144" spans="14:14" ht="12" customHeight="1">
      <c r="N3144" s="144"/>
    </row>
    <row r="3145" spans="14:14" ht="12" customHeight="1">
      <c r="N3145" s="144"/>
    </row>
    <row r="3146" spans="14:14" ht="12" customHeight="1">
      <c r="N3146" s="144"/>
    </row>
    <row r="3147" spans="14:14" ht="12" customHeight="1">
      <c r="N3147" s="144"/>
    </row>
    <row r="3148" spans="14:14" ht="12" customHeight="1">
      <c r="N3148" s="144"/>
    </row>
    <row r="3149" spans="14:14" ht="12" customHeight="1">
      <c r="N3149" s="144"/>
    </row>
    <row r="3150" spans="14:14" ht="12" customHeight="1">
      <c r="N3150" s="144"/>
    </row>
    <row r="3151" spans="14:14" ht="12" customHeight="1">
      <c r="N3151" s="144"/>
    </row>
    <row r="3152" spans="14:14" ht="12" customHeight="1">
      <c r="N3152" s="144"/>
    </row>
    <row r="3153" spans="14:14" ht="12" customHeight="1">
      <c r="N3153" s="144"/>
    </row>
    <row r="3154" spans="14:14" ht="12" customHeight="1">
      <c r="N3154" s="144"/>
    </row>
    <row r="3155" spans="14:14" ht="12" customHeight="1">
      <c r="N3155" s="144"/>
    </row>
    <row r="3156" spans="14:14" ht="12" customHeight="1">
      <c r="N3156" s="144"/>
    </row>
    <row r="3157" spans="14:14" ht="12" customHeight="1">
      <c r="N3157" s="144"/>
    </row>
    <row r="3158" spans="14:14" ht="12" customHeight="1">
      <c r="N3158" s="144"/>
    </row>
    <row r="3159" spans="14:14" ht="12" customHeight="1">
      <c r="N3159" s="144"/>
    </row>
    <row r="3160" spans="14:14" ht="12" customHeight="1">
      <c r="N3160" s="144"/>
    </row>
    <row r="3161" spans="14:14" ht="12" customHeight="1">
      <c r="N3161" s="144"/>
    </row>
    <row r="3162" spans="14:14" ht="12" customHeight="1">
      <c r="N3162" s="144"/>
    </row>
    <row r="3163" spans="14:14" ht="12" customHeight="1">
      <c r="N3163" s="144"/>
    </row>
    <row r="3164" spans="14:14" ht="12" customHeight="1">
      <c r="N3164" s="144"/>
    </row>
    <row r="3165" spans="14:14" ht="12" customHeight="1">
      <c r="N3165" s="144"/>
    </row>
    <row r="3166" spans="14:14" ht="12" customHeight="1">
      <c r="N3166" s="144"/>
    </row>
    <row r="3167" spans="14:14" ht="12" customHeight="1">
      <c r="N3167" s="144"/>
    </row>
    <row r="3168" spans="14:14" ht="12" customHeight="1">
      <c r="N3168" s="144"/>
    </row>
    <row r="3169" spans="14:14" ht="12" customHeight="1">
      <c r="N3169" s="144"/>
    </row>
    <row r="3170" spans="14:14" ht="12" customHeight="1">
      <c r="N3170" s="144"/>
    </row>
    <row r="3171" spans="14:14" ht="12" customHeight="1">
      <c r="N3171" s="144"/>
    </row>
    <row r="3172" spans="14:14" ht="12" customHeight="1">
      <c r="N3172" s="144"/>
    </row>
    <row r="3173" spans="14:14" ht="12" customHeight="1">
      <c r="N3173" s="144"/>
    </row>
    <row r="3174" spans="14:14" ht="12" customHeight="1">
      <c r="N3174" s="144"/>
    </row>
    <row r="3175" spans="14:14" ht="12" customHeight="1">
      <c r="N3175" s="144"/>
    </row>
    <row r="3176" spans="14:14" ht="12" customHeight="1">
      <c r="N3176" s="144"/>
    </row>
    <row r="3177" spans="14:14" ht="12" customHeight="1">
      <c r="N3177" s="144"/>
    </row>
    <row r="3178" spans="14:14" ht="12" customHeight="1">
      <c r="N3178" s="144"/>
    </row>
    <row r="3179" spans="14:14" ht="12" customHeight="1">
      <c r="N3179" s="144"/>
    </row>
    <row r="3180" spans="14:14" ht="12" customHeight="1">
      <c r="N3180" s="144"/>
    </row>
    <row r="3181" spans="14:14" ht="12" customHeight="1">
      <c r="N3181" s="144"/>
    </row>
    <row r="3182" spans="14:14" ht="12" customHeight="1">
      <c r="N3182" s="144"/>
    </row>
    <row r="3183" spans="14:14" ht="12" customHeight="1">
      <c r="N3183" s="144"/>
    </row>
    <row r="3184" spans="14:14" ht="12" customHeight="1">
      <c r="N3184" s="144"/>
    </row>
    <row r="3185" spans="14:14" ht="12" customHeight="1">
      <c r="N3185" s="144"/>
    </row>
    <row r="3186" spans="14:14" ht="12" customHeight="1">
      <c r="N3186" s="144"/>
    </row>
    <row r="3187" spans="14:14" ht="12" customHeight="1">
      <c r="N3187" s="144"/>
    </row>
    <row r="3188" spans="14:14" ht="12" customHeight="1">
      <c r="N3188" s="144"/>
    </row>
    <row r="3189" spans="14:14" ht="12" customHeight="1">
      <c r="N3189" s="144"/>
    </row>
    <row r="3190" spans="14:14" ht="12" customHeight="1">
      <c r="N3190" s="144"/>
    </row>
    <row r="3191" spans="14:14" ht="12" customHeight="1">
      <c r="N3191" s="144"/>
    </row>
    <row r="3192" spans="14:14" ht="12" customHeight="1">
      <c r="N3192" s="144"/>
    </row>
    <row r="3193" spans="14:14" ht="12" customHeight="1">
      <c r="N3193" s="144"/>
    </row>
    <row r="3194" spans="14:14" ht="12" customHeight="1">
      <c r="N3194" s="144"/>
    </row>
    <row r="3195" spans="14:14" ht="12" customHeight="1">
      <c r="N3195" s="144"/>
    </row>
    <row r="3196" spans="14:14" ht="12" customHeight="1">
      <c r="N3196" s="144"/>
    </row>
    <row r="3197" spans="14:14" ht="12" customHeight="1">
      <c r="N3197" s="144"/>
    </row>
    <row r="3198" spans="14:14" ht="12" customHeight="1">
      <c r="N3198" s="144"/>
    </row>
    <row r="3199" spans="14:14" ht="12" customHeight="1">
      <c r="N3199" s="144"/>
    </row>
    <row r="3200" spans="14:14" ht="12" customHeight="1">
      <c r="N3200" s="144"/>
    </row>
    <row r="3201" spans="14:14" ht="12" customHeight="1">
      <c r="N3201" s="144"/>
    </row>
    <row r="3202" spans="14:14" ht="12" customHeight="1">
      <c r="N3202" s="144"/>
    </row>
    <row r="3203" spans="14:14" ht="12" customHeight="1">
      <c r="N3203" s="144"/>
    </row>
    <row r="3204" spans="14:14" ht="12" customHeight="1">
      <c r="N3204" s="144"/>
    </row>
    <row r="3205" spans="14:14" ht="12" customHeight="1">
      <c r="N3205" s="144"/>
    </row>
    <row r="3206" spans="14:14" ht="12" customHeight="1">
      <c r="N3206" s="144"/>
    </row>
    <row r="3207" spans="14:14" ht="12" customHeight="1">
      <c r="N3207" s="144"/>
    </row>
    <row r="3208" spans="14:14" ht="12" customHeight="1">
      <c r="N3208" s="144"/>
    </row>
    <row r="3209" spans="14:14" ht="12" customHeight="1">
      <c r="N3209" s="144"/>
    </row>
    <row r="3210" spans="14:14" ht="12" customHeight="1">
      <c r="N3210" s="144"/>
    </row>
    <row r="3211" spans="14:14" ht="12" customHeight="1">
      <c r="N3211" s="144"/>
    </row>
    <row r="3212" spans="14:14" ht="12" customHeight="1">
      <c r="N3212" s="144"/>
    </row>
    <row r="3213" spans="14:14" ht="12" customHeight="1">
      <c r="N3213" s="144"/>
    </row>
    <row r="3214" spans="14:14" ht="12" customHeight="1">
      <c r="N3214" s="144"/>
    </row>
    <row r="3215" spans="14:14" ht="12" customHeight="1">
      <c r="N3215" s="144"/>
    </row>
    <row r="3216" spans="14:14" ht="12" customHeight="1">
      <c r="N3216" s="144"/>
    </row>
    <row r="3217" spans="14:14" ht="12" customHeight="1">
      <c r="N3217" s="144"/>
    </row>
    <row r="3218" spans="14:14" ht="12" customHeight="1">
      <c r="N3218" s="144"/>
    </row>
    <row r="3219" spans="14:14" ht="12" customHeight="1">
      <c r="N3219" s="144"/>
    </row>
    <row r="3220" spans="14:14" ht="12" customHeight="1">
      <c r="N3220" s="144"/>
    </row>
    <row r="3221" spans="14:14" ht="12" customHeight="1">
      <c r="N3221" s="144"/>
    </row>
    <row r="3222" spans="14:14" ht="12" customHeight="1">
      <c r="N3222" s="144"/>
    </row>
    <row r="3223" spans="14:14" ht="12" customHeight="1">
      <c r="N3223" s="144"/>
    </row>
    <row r="3224" spans="14:14" ht="12" customHeight="1">
      <c r="N3224" s="144"/>
    </row>
    <row r="3225" spans="14:14" ht="12" customHeight="1">
      <c r="N3225" s="144"/>
    </row>
    <row r="3226" spans="14:14" ht="12" customHeight="1">
      <c r="N3226" s="144"/>
    </row>
    <row r="3227" spans="14:14" ht="12" customHeight="1">
      <c r="N3227" s="144"/>
    </row>
    <row r="3228" spans="14:14" ht="12" customHeight="1">
      <c r="N3228" s="144"/>
    </row>
    <row r="3229" spans="14:14" ht="12" customHeight="1">
      <c r="N3229" s="144"/>
    </row>
    <row r="3230" spans="14:14" ht="12" customHeight="1">
      <c r="N3230" s="144"/>
    </row>
    <row r="3231" spans="14:14" ht="12" customHeight="1">
      <c r="N3231" s="144"/>
    </row>
    <row r="3232" spans="14:14" ht="12" customHeight="1">
      <c r="N3232" s="144"/>
    </row>
    <row r="3233" spans="14:14" ht="12" customHeight="1">
      <c r="N3233" s="144"/>
    </row>
    <row r="3234" spans="14:14" ht="12" customHeight="1">
      <c r="N3234" s="144"/>
    </row>
    <row r="3235" spans="14:14" ht="12" customHeight="1">
      <c r="N3235" s="144"/>
    </row>
    <row r="3236" spans="14:14" ht="12" customHeight="1">
      <c r="N3236" s="144"/>
    </row>
    <row r="3237" spans="14:14" ht="12" customHeight="1">
      <c r="N3237" s="144"/>
    </row>
    <row r="3238" spans="14:14" ht="12" customHeight="1">
      <c r="N3238" s="144"/>
    </row>
    <row r="3239" spans="14:14" ht="12" customHeight="1">
      <c r="N3239" s="144"/>
    </row>
    <row r="3240" spans="14:14" ht="12" customHeight="1">
      <c r="N3240" s="144"/>
    </row>
    <row r="3241" spans="14:14" ht="12" customHeight="1">
      <c r="N3241" s="144"/>
    </row>
    <row r="3242" spans="14:14" ht="12" customHeight="1">
      <c r="N3242" s="144"/>
    </row>
    <row r="3243" spans="14:14" ht="12" customHeight="1">
      <c r="N3243" s="144"/>
    </row>
    <row r="3244" spans="14:14" ht="12" customHeight="1">
      <c r="N3244" s="144"/>
    </row>
    <row r="3245" spans="14:14" ht="12" customHeight="1">
      <c r="N3245" s="144"/>
    </row>
    <row r="3246" spans="14:14" ht="12" customHeight="1">
      <c r="N3246" s="144"/>
    </row>
    <row r="3247" spans="14:14" ht="12" customHeight="1">
      <c r="N3247" s="144"/>
    </row>
    <row r="3248" spans="14:14" ht="12" customHeight="1">
      <c r="N3248" s="144"/>
    </row>
    <row r="3249" spans="14:14" ht="12" customHeight="1">
      <c r="N3249" s="144"/>
    </row>
    <row r="3250" spans="14:14" ht="12" customHeight="1">
      <c r="N3250" s="144"/>
    </row>
    <row r="3251" spans="14:14" ht="12" customHeight="1">
      <c r="N3251" s="144"/>
    </row>
    <row r="3252" spans="14:14" ht="12" customHeight="1">
      <c r="N3252" s="144"/>
    </row>
    <row r="3253" spans="14:14" ht="12" customHeight="1">
      <c r="N3253" s="144"/>
    </row>
    <row r="3254" spans="14:14" ht="12" customHeight="1">
      <c r="N3254" s="144"/>
    </row>
    <row r="3255" spans="14:14" ht="12" customHeight="1">
      <c r="N3255" s="144"/>
    </row>
    <row r="3256" spans="14:14" ht="12" customHeight="1">
      <c r="N3256" s="144"/>
    </row>
    <row r="3257" spans="14:14" ht="12" customHeight="1">
      <c r="N3257" s="144"/>
    </row>
    <row r="3258" spans="14:14" ht="12" customHeight="1">
      <c r="N3258" s="144"/>
    </row>
    <row r="3259" spans="14:14" ht="12" customHeight="1">
      <c r="N3259" s="144"/>
    </row>
    <row r="3260" spans="14:14" ht="12" customHeight="1">
      <c r="N3260" s="144"/>
    </row>
    <row r="3261" spans="14:14" ht="12" customHeight="1">
      <c r="N3261" s="144"/>
    </row>
    <row r="3262" spans="14:14" ht="12" customHeight="1">
      <c r="N3262" s="144"/>
    </row>
    <row r="3263" spans="14:14" ht="12" customHeight="1">
      <c r="N3263" s="144"/>
    </row>
    <row r="3264" spans="14:14" ht="12" customHeight="1">
      <c r="N3264" s="144"/>
    </row>
    <row r="3265" spans="14:14" ht="12" customHeight="1">
      <c r="N3265" s="144"/>
    </row>
    <row r="3266" spans="14:14" ht="12" customHeight="1">
      <c r="N3266" s="144"/>
    </row>
    <row r="3267" spans="14:14" ht="12" customHeight="1">
      <c r="N3267" s="144"/>
    </row>
    <row r="3268" spans="14:14" ht="12" customHeight="1">
      <c r="N3268" s="144"/>
    </row>
    <row r="3269" spans="14:14" ht="12" customHeight="1">
      <c r="N3269" s="144"/>
    </row>
    <row r="3270" spans="14:14" ht="12" customHeight="1">
      <c r="N3270" s="144"/>
    </row>
    <row r="3271" spans="14:14" ht="12" customHeight="1">
      <c r="N3271" s="144"/>
    </row>
    <row r="3272" spans="14:14" ht="12" customHeight="1">
      <c r="N3272" s="144"/>
    </row>
    <row r="3273" spans="14:14" ht="12" customHeight="1">
      <c r="N3273" s="144"/>
    </row>
    <row r="3274" spans="14:14" ht="12" customHeight="1">
      <c r="N3274" s="144"/>
    </row>
    <row r="3275" spans="14:14" ht="12" customHeight="1">
      <c r="N3275" s="144"/>
    </row>
    <row r="3276" spans="14:14" ht="12" customHeight="1">
      <c r="N3276" s="144"/>
    </row>
    <row r="3277" spans="14:14" ht="12" customHeight="1">
      <c r="N3277" s="144"/>
    </row>
    <row r="3278" spans="14:14" ht="12" customHeight="1">
      <c r="N3278" s="144"/>
    </row>
    <row r="3279" spans="14:14" ht="12" customHeight="1">
      <c r="N3279" s="144"/>
    </row>
    <row r="3280" spans="14:14" ht="12" customHeight="1">
      <c r="N3280" s="144"/>
    </row>
    <row r="3281" spans="14:14" ht="12" customHeight="1">
      <c r="N3281" s="144"/>
    </row>
    <row r="3282" spans="14:14" ht="12" customHeight="1">
      <c r="N3282" s="144"/>
    </row>
    <row r="3283" spans="14:14" ht="12" customHeight="1">
      <c r="N3283" s="144"/>
    </row>
    <row r="3284" spans="14:14" ht="12" customHeight="1">
      <c r="N3284" s="144"/>
    </row>
    <row r="3285" spans="14:14" ht="12" customHeight="1">
      <c r="N3285" s="144"/>
    </row>
    <row r="3286" spans="14:14" ht="12" customHeight="1">
      <c r="N3286" s="144"/>
    </row>
    <row r="3287" spans="14:14" ht="12" customHeight="1">
      <c r="N3287" s="144"/>
    </row>
    <row r="3288" spans="14:14" ht="12" customHeight="1">
      <c r="N3288" s="144"/>
    </row>
    <row r="3289" spans="14:14" ht="12" customHeight="1">
      <c r="N3289" s="144"/>
    </row>
    <row r="3290" spans="14:14" ht="12" customHeight="1">
      <c r="N3290" s="144"/>
    </row>
    <row r="3291" spans="14:14" ht="12" customHeight="1">
      <c r="N3291" s="144"/>
    </row>
    <row r="3292" spans="14:14" ht="12" customHeight="1">
      <c r="N3292" s="144"/>
    </row>
    <row r="3293" spans="14:14" ht="12" customHeight="1">
      <c r="N3293" s="144"/>
    </row>
    <row r="3294" spans="14:14" ht="12" customHeight="1">
      <c r="N3294" s="144"/>
    </row>
    <row r="3295" spans="14:14" ht="12" customHeight="1">
      <c r="N3295" s="144"/>
    </row>
    <row r="3296" spans="14:14" ht="12" customHeight="1">
      <c r="N3296" s="144"/>
    </row>
    <row r="3297" spans="14:14" ht="12" customHeight="1">
      <c r="N3297" s="144"/>
    </row>
    <row r="3298" spans="14:14" ht="12" customHeight="1">
      <c r="N3298" s="144"/>
    </row>
    <row r="3299" spans="14:14" ht="12" customHeight="1">
      <c r="N3299" s="144"/>
    </row>
    <row r="3300" spans="14:14" ht="12" customHeight="1">
      <c r="N3300" s="144"/>
    </row>
    <row r="3301" spans="14:14" ht="12" customHeight="1">
      <c r="N3301" s="144"/>
    </row>
    <row r="3302" spans="14:14" ht="12" customHeight="1">
      <c r="N3302" s="144"/>
    </row>
    <row r="3303" spans="14:14" ht="12" customHeight="1">
      <c r="N3303" s="144"/>
    </row>
    <row r="3304" spans="14:14" ht="12" customHeight="1">
      <c r="N3304" s="144"/>
    </row>
    <row r="3305" spans="14:14" ht="12" customHeight="1">
      <c r="N3305" s="144"/>
    </row>
    <row r="3306" spans="14:14" ht="12" customHeight="1">
      <c r="N3306" s="144"/>
    </row>
    <row r="3307" spans="14:14" ht="12" customHeight="1">
      <c r="N3307" s="144"/>
    </row>
    <row r="3308" spans="14:14" ht="12" customHeight="1">
      <c r="N3308" s="144"/>
    </row>
    <row r="3309" spans="14:14" ht="12" customHeight="1">
      <c r="N3309" s="144"/>
    </row>
    <row r="3310" spans="14:14" ht="12" customHeight="1">
      <c r="N3310" s="144"/>
    </row>
    <row r="3311" spans="14:14" ht="12" customHeight="1">
      <c r="N3311" s="144"/>
    </row>
    <row r="3312" spans="14:14" ht="12" customHeight="1">
      <c r="N3312" s="144"/>
    </row>
    <row r="3313" spans="14:14" ht="12" customHeight="1">
      <c r="N3313" s="144"/>
    </row>
    <row r="3314" spans="14:14" ht="12" customHeight="1">
      <c r="N3314" s="144"/>
    </row>
    <row r="3315" spans="14:14" ht="12" customHeight="1">
      <c r="N3315" s="144"/>
    </row>
    <row r="3316" spans="14:14" ht="12" customHeight="1">
      <c r="N3316" s="144"/>
    </row>
    <row r="3317" spans="14:14" ht="12" customHeight="1">
      <c r="N3317" s="144"/>
    </row>
    <row r="3318" spans="14:14" ht="12" customHeight="1">
      <c r="N3318" s="144"/>
    </row>
    <row r="3319" spans="14:14" ht="12" customHeight="1">
      <c r="N3319" s="144"/>
    </row>
    <row r="3320" spans="14:14" ht="12" customHeight="1">
      <c r="N3320" s="144"/>
    </row>
    <row r="3321" spans="14:14" ht="12" customHeight="1">
      <c r="N3321" s="144"/>
    </row>
    <row r="3322" spans="14:14" ht="12" customHeight="1">
      <c r="N3322" s="144"/>
    </row>
    <row r="3323" spans="14:14" ht="12" customHeight="1">
      <c r="N3323" s="144"/>
    </row>
    <row r="3324" spans="14:14" ht="12" customHeight="1">
      <c r="N3324" s="144"/>
    </row>
    <row r="3325" spans="14:14" ht="12" customHeight="1">
      <c r="N3325" s="144"/>
    </row>
    <row r="3326" spans="14:14" ht="12" customHeight="1">
      <c r="N3326" s="144"/>
    </row>
    <row r="3327" spans="14:14" ht="12" customHeight="1">
      <c r="N3327" s="144"/>
    </row>
    <row r="3328" spans="14:14" ht="12" customHeight="1">
      <c r="N3328" s="144"/>
    </row>
    <row r="3329" spans="14:14" ht="12" customHeight="1">
      <c r="N3329" s="144"/>
    </row>
    <row r="3330" spans="14:14" ht="12" customHeight="1">
      <c r="N3330" s="144"/>
    </row>
    <row r="3331" spans="14:14" ht="12" customHeight="1">
      <c r="N3331" s="144"/>
    </row>
    <row r="3332" spans="14:14" ht="12" customHeight="1">
      <c r="N3332" s="144"/>
    </row>
    <row r="3333" spans="14:14" ht="12" customHeight="1">
      <c r="N3333" s="144"/>
    </row>
    <row r="3334" spans="14:14" ht="12" customHeight="1">
      <c r="N3334" s="144"/>
    </row>
    <row r="3335" spans="14:14" ht="12" customHeight="1">
      <c r="N3335" s="144"/>
    </row>
    <row r="3336" spans="14:14" ht="12" customHeight="1">
      <c r="N3336" s="144"/>
    </row>
    <row r="3337" spans="14:14" ht="12" customHeight="1">
      <c r="N3337" s="144"/>
    </row>
    <row r="3338" spans="14:14" ht="12" customHeight="1">
      <c r="N3338" s="144"/>
    </row>
    <row r="3339" spans="14:14" ht="12" customHeight="1">
      <c r="N3339" s="144"/>
    </row>
    <row r="3340" spans="14:14" ht="12" customHeight="1">
      <c r="N3340" s="144"/>
    </row>
    <row r="3341" spans="14:14" ht="12" customHeight="1">
      <c r="N3341" s="144"/>
    </row>
    <row r="3342" spans="14:14" ht="12" customHeight="1">
      <c r="N3342" s="144"/>
    </row>
    <row r="3343" spans="14:14" ht="12" customHeight="1">
      <c r="N3343" s="144"/>
    </row>
    <row r="3344" spans="14:14" ht="12" customHeight="1">
      <c r="N3344" s="144"/>
    </row>
    <row r="3345" spans="14:14" ht="12" customHeight="1">
      <c r="N3345" s="144"/>
    </row>
    <row r="3346" spans="14:14" ht="12" customHeight="1">
      <c r="N3346" s="144"/>
    </row>
    <row r="3347" spans="14:14" ht="12" customHeight="1">
      <c r="N3347" s="144"/>
    </row>
    <row r="3348" spans="14:14" ht="12" customHeight="1">
      <c r="N3348" s="144"/>
    </row>
    <row r="3349" spans="14:14" ht="12" customHeight="1">
      <c r="N3349" s="144"/>
    </row>
    <row r="3350" spans="14:14" ht="12" customHeight="1">
      <c r="N3350" s="144"/>
    </row>
    <row r="3351" spans="14:14" ht="12" customHeight="1">
      <c r="N3351" s="144"/>
    </row>
    <row r="3352" spans="14:14" ht="12" customHeight="1">
      <c r="N3352" s="144"/>
    </row>
    <row r="3353" spans="14:14" ht="12" customHeight="1">
      <c r="N3353" s="144"/>
    </row>
    <row r="3354" spans="14:14" ht="12" customHeight="1">
      <c r="N3354" s="144"/>
    </row>
    <row r="3355" spans="14:14" ht="12" customHeight="1">
      <c r="N3355" s="144"/>
    </row>
    <row r="3356" spans="14:14" ht="12" customHeight="1">
      <c r="N3356" s="144"/>
    </row>
    <row r="3357" spans="14:14" ht="12" customHeight="1">
      <c r="N3357" s="144"/>
    </row>
    <row r="3358" spans="14:14" ht="12" customHeight="1">
      <c r="N3358" s="144"/>
    </row>
    <row r="3359" spans="14:14" ht="12" customHeight="1">
      <c r="N3359" s="144"/>
    </row>
    <row r="3360" spans="14:14" ht="12" customHeight="1">
      <c r="N3360" s="144"/>
    </row>
    <row r="3361" spans="14:14" ht="12" customHeight="1">
      <c r="N3361" s="144"/>
    </row>
    <row r="3362" spans="14:14" ht="12" customHeight="1">
      <c r="N3362" s="144"/>
    </row>
    <row r="3363" spans="14:14" ht="12" customHeight="1">
      <c r="N3363" s="144"/>
    </row>
    <row r="3364" spans="14:14" ht="12" customHeight="1">
      <c r="N3364" s="144"/>
    </row>
    <row r="3365" spans="14:14" ht="12" customHeight="1">
      <c r="N3365" s="144"/>
    </row>
    <row r="3366" spans="14:14" ht="12" customHeight="1">
      <c r="N3366" s="144"/>
    </row>
    <row r="3367" spans="14:14" ht="12" customHeight="1">
      <c r="N3367" s="144"/>
    </row>
    <row r="3368" spans="14:14" ht="12" customHeight="1">
      <c r="N3368" s="144"/>
    </row>
    <row r="3369" spans="14:14" ht="12" customHeight="1">
      <c r="N3369" s="144"/>
    </row>
    <row r="3370" spans="14:14" ht="12" customHeight="1">
      <c r="N3370" s="144"/>
    </row>
    <row r="3371" spans="14:14" ht="12" customHeight="1">
      <c r="N3371" s="144"/>
    </row>
    <row r="3372" spans="14:14" ht="12" customHeight="1">
      <c r="N3372" s="144"/>
    </row>
    <row r="3373" spans="14:14" ht="12" customHeight="1">
      <c r="N3373" s="144"/>
    </row>
    <row r="3374" spans="14:14" ht="12" customHeight="1">
      <c r="N3374" s="144"/>
    </row>
    <row r="3375" spans="14:14" ht="12" customHeight="1">
      <c r="N3375" s="144"/>
    </row>
    <row r="3376" spans="14:14" ht="12" customHeight="1">
      <c r="N3376" s="144"/>
    </row>
    <row r="3377" spans="14:14" ht="12" customHeight="1">
      <c r="N3377" s="144"/>
    </row>
    <row r="3378" spans="14:14" ht="12" customHeight="1">
      <c r="N3378" s="144"/>
    </row>
    <row r="3379" spans="14:14" ht="12" customHeight="1">
      <c r="N3379" s="144"/>
    </row>
    <row r="3380" spans="14:14" ht="12" customHeight="1">
      <c r="N3380" s="144"/>
    </row>
    <row r="3381" spans="14:14" ht="12" customHeight="1">
      <c r="N3381" s="144"/>
    </row>
    <row r="3382" spans="14:14" ht="12" customHeight="1">
      <c r="N3382" s="144"/>
    </row>
    <row r="3383" spans="14:14" ht="12" customHeight="1">
      <c r="N3383" s="144"/>
    </row>
    <row r="3384" spans="14:14" ht="12" customHeight="1">
      <c r="N3384" s="144"/>
    </row>
    <row r="3385" spans="14:14" ht="12" customHeight="1">
      <c r="N3385" s="144"/>
    </row>
    <row r="3386" spans="14:14" ht="12" customHeight="1">
      <c r="N3386" s="144"/>
    </row>
    <row r="3387" spans="14:14" ht="12" customHeight="1">
      <c r="N3387" s="144"/>
    </row>
    <row r="3388" spans="14:14" ht="12" customHeight="1">
      <c r="N3388" s="144"/>
    </row>
    <row r="3389" spans="14:14" ht="12" customHeight="1">
      <c r="N3389" s="144"/>
    </row>
    <row r="3390" spans="14:14" ht="12" customHeight="1">
      <c r="N3390" s="144"/>
    </row>
    <row r="3391" spans="14:14" ht="12" customHeight="1">
      <c r="N3391" s="144"/>
    </row>
    <row r="3392" spans="14:14" ht="12" customHeight="1">
      <c r="N3392" s="144"/>
    </row>
    <row r="3393" spans="14:14" ht="12" customHeight="1">
      <c r="N3393" s="144"/>
    </row>
    <row r="3394" spans="14:14" ht="12" customHeight="1">
      <c r="N3394" s="144"/>
    </row>
    <row r="3395" spans="14:14" ht="12" customHeight="1">
      <c r="N3395" s="144"/>
    </row>
    <row r="3396" spans="14:14" ht="12" customHeight="1">
      <c r="N3396" s="144"/>
    </row>
    <row r="3397" spans="14:14" ht="12" customHeight="1">
      <c r="N3397" s="144"/>
    </row>
    <row r="3398" spans="14:14" ht="12" customHeight="1">
      <c r="N3398" s="144"/>
    </row>
    <row r="3399" spans="14:14" ht="12" customHeight="1">
      <c r="N3399" s="144"/>
    </row>
    <row r="3400" spans="14:14" ht="12" customHeight="1">
      <c r="N3400" s="144"/>
    </row>
    <row r="3401" spans="14:14" ht="12" customHeight="1">
      <c r="N3401" s="144"/>
    </row>
    <row r="3402" spans="14:14" ht="12" customHeight="1">
      <c r="N3402" s="144"/>
    </row>
    <row r="3403" spans="14:14" ht="12" customHeight="1">
      <c r="N3403" s="144"/>
    </row>
    <row r="3404" spans="14:14" ht="12" customHeight="1">
      <c r="N3404" s="144"/>
    </row>
    <row r="3405" spans="14:14" ht="12" customHeight="1">
      <c r="N3405" s="144"/>
    </row>
    <row r="3406" spans="14:14" ht="12" customHeight="1">
      <c r="N3406" s="144"/>
    </row>
    <row r="3407" spans="14:14" ht="12" customHeight="1">
      <c r="N3407" s="144"/>
    </row>
    <row r="3408" spans="14:14" ht="12" customHeight="1">
      <c r="N3408" s="144"/>
    </row>
    <row r="3409" spans="14:14" ht="12" customHeight="1">
      <c r="N3409" s="144"/>
    </row>
    <row r="3410" spans="14:14" ht="12" customHeight="1">
      <c r="N3410" s="144"/>
    </row>
    <row r="3411" spans="14:14" ht="12" customHeight="1">
      <c r="N3411" s="144"/>
    </row>
    <row r="3412" spans="14:14" ht="12" customHeight="1">
      <c r="N3412" s="144"/>
    </row>
  </sheetData>
  <autoFilter ref="A5:X2274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dimension ref="A1"/>
  <sheetViews>
    <sheetView zoomScale="40" zoomScaleNormal="40" workbookViewId="0">
      <selection activeCell="A85" sqref="A85"/>
    </sheetView>
  </sheetViews>
  <sheetFormatPr defaultRowHeight="16.5"/>
  <sheetData/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filterMode="1"/>
  <dimension ref="A1:P101"/>
  <sheetViews>
    <sheetView workbookViewId="0">
      <pane ySplit="5" topLeftCell="A6" activePane="bottomLeft" state="frozen"/>
      <selection activeCell="D31" sqref="D31"/>
      <selection pane="bottomLeft" activeCell="D119" sqref="D119"/>
    </sheetView>
  </sheetViews>
  <sheetFormatPr defaultRowHeight="13.5"/>
  <cols>
    <col min="1" max="1" width="18.25" style="10" customWidth="1"/>
    <col min="2" max="2" width="20.5" style="23" customWidth="1"/>
    <col min="3" max="3" width="22.125" style="23" customWidth="1"/>
    <col min="4" max="4" width="7.375" style="23" customWidth="1"/>
    <col min="5" max="5" width="6.75" style="24" customWidth="1"/>
    <col min="6" max="8" width="11.75" style="24" customWidth="1"/>
    <col min="9" max="9" width="9.75" style="24" customWidth="1"/>
    <col min="10" max="13" width="11.75" style="10" hidden="1" customWidth="1"/>
    <col min="14" max="14" width="11.75" style="10" customWidth="1"/>
    <col min="15" max="15" width="11.75" style="26" customWidth="1"/>
    <col min="16" max="16" width="11.75" style="23" customWidth="1"/>
    <col min="17" max="16384" width="9" style="10"/>
  </cols>
  <sheetData>
    <row r="1" spans="1:16">
      <c r="A1" s="27"/>
    </row>
    <row r="2" spans="1:16" s="1" customFormat="1" ht="12.75">
      <c r="A2" s="28"/>
      <c r="B2" s="17"/>
      <c r="C2" s="17"/>
      <c r="D2" s="17"/>
      <c r="E2" s="19"/>
      <c r="F2" s="20"/>
      <c r="G2" s="3" t="s">
        <v>2</v>
      </c>
      <c r="I2" s="3" t="s">
        <v>2</v>
      </c>
      <c r="K2" s="3" t="s">
        <v>2</v>
      </c>
      <c r="M2" s="3" t="s">
        <v>2</v>
      </c>
      <c r="O2" s="2"/>
    </row>
    <row r="3" spans="1:16" s="1" customFormat="1" ht="16.5" customHeight="1">
      <c r="A3" s="15"/>
      <c r="B3" s="29" t="e">
        <f>"공사명"&amp;" "&amp;":"&amp;" "&amp;#REF!</f>
        <v>#REF!</v>
      </c>
      <c r="C3" s="17"/>
      <c r="D3" s="17"/>
      <c r="E3" s="19"/>
      <c r="F3" s="21"/>
      <c r="G3" s="14" t="s">
        <v>1652</v>
      </c>
      <c r="I3" s="14" t="s">
        <v>1652</v>
      </c>
      <c r="K3" s="14">
        <v>0.86</v>
      </c>
      <c r="M3" s="14">
        <v>0.8</v>
      </c>
      <c r="O3" s="2"/>
    </row>
    <row r="4" spans="1:16" s="1" customFormat="1" ht="16.5" customHeight="1">
      <c r="A4" s="348" t="s">
        <v>4</v>
      </c>
      <c r="B4" s="350" t="s">
        <v>15</v>
      </c>
      <c r="C4" s="350"/>
      <c r="D4" s="350" t="s">
        <v>7</v>
      </c>
      <c r="E4" s="351" t="s">
        <v>8</v>
      </c>
      <c r="F4" s="352" t="s">
        <v>9</v>
      </c>
      <c r="G4" s="352"/>
      <c r="H4" s="352" t="s">
        <v>16</v>
      </c>
      <c r="I4" s="352"/>
      <c r="J4" s="347" t="s">
        <v>10</v>
      </c>
      <c r="K4" s="347"/>
      <c r="L4" s="347" t="s">
        <v>11</v>
      </c>
      <c r="M4" s="347"/>
      <c r="N4" s="348" t="s">
        <v>3</v>
      </c>
      <c r="O4" s="349" t="s">
        <v>6</v>
      </c>
      <c r="P4" s="348"/>
    </row>
    <row r="5" spans="1:16" s="1" customFormat="1" ht="16.5" customHeight="1">
      <c r="A5" s="348"/>
      <c r="B5" s="18" t="s">
        <v>12</v>
      </c>
      <c r="C5" s="18" t="s">
        <v>17</v>
      </c>
      <c r="D5" s="350"/>
      <c r="E5" s="351"/>
      <c r="F5" s="7" t="s">
        <v>18</v>
      </c>
      <c r="G5" s="13" t="s">
        <v>13</v>
      </c>
      <c r="H5" s="7" t="s">
        <v>19</v>
      </c>
      <c r="I5" s="13" t="s">
        <v>13</v>
      </c>
      <c r="J5" s="4" t="s">
        <v>14</v>
      </c>
      <c r="K5" s="12" t="s">
        <v>13</v>
      </c>
      <c r="L5" s="4" t="s">
        <v>14</v>
      </c>
      <c r="M5" s="12" t="s">
        <v>13</v>
      </c>
      <c r="N5" s="348"/>
      <c r="O5" s="5" t="s">
        <v>5218</v>
      </c>
      <c r="P5" s="6" t="s">
        <v>5</v>
      </c>
    </row>
    <row r="6" spans="1:16">
      <c r="A6" s="52"/>
      <c r="B6" s="53"/>
      <c r="C6" s="53"/>
      <c r="D6" s="48"/>
      <c r="E6" s="51"/>
      <c r="F6" s="51"/>
      <c r="G6" s="51"/>
      <c r="H6" s="51"/>
      <c r="I6" s="49"/>
      <c r="J6" s="47">
        <v>197736</v>
      </c>
      <c r="K6" s="11"/>
      <c r="L6" s="9"/>
      <c r="M6" s="11"/>
      <c r="N6" s="49"/>
      <c r="O6" s="54"/>
      <c r="P6" s="53"/>
    </row>
    <row r="7" spans="1:16">
      <c r="A7" s="79" t="s">
        <v>5144</v>
      </c>
      <c r="B7" s="79" t="s">
        <v>5145</v>
      </c>
      <c r="C7" s="79" t="s">
        <v>5147</v>
      </c>
      <c r="D7" s="79" t="s">
        <v>20</v>
      </c>
      <c r="E7" s="80">
        <v>3</v>
      </c>
      <c r="F7" s="46"/>
      <c r="G7" s="46"/>
      <c r="H7" s="46"/>
      <c r="I7" s="47"/>
      <c r="J7" s="47">
        <v>295464.15000000002</v>
      </c>
      <c r="K7" s="11"/>
      <c r="L7" s="9"/>
      <c r="M7" s="11"/>
      <c r="N7" s="9"/>
      <c r="O7" s="22"/>
      <c r="P7" s="16"/>
    </row>
    <row r="8" spans="1:16">
      <c r="A8" s="81" t="s">
        <v>5144</v>
      </c>
      <c r="B8" s="81" t="s">
        <v>5145</v>
      </c>
      <c r="C8" s="81" t="s">
        <v>5146</v>
      </c>
      <c r="D8" s="81" t="s">
        <v>20</v>
      </c>
      <c r="E8" s="73">
        <v>1</v>
      </c>
      <c r="F8" s="46"/>
      <c r="G8" s="46"/>
      <c r="H8" s="46"/>
      <c r="I8" s="47"/>
      <c r="J8" s="47">
        <v>131653</v>
      </c>
      <c r="K8" s="11"/>
      <c r="L8" s="9"/>
      <c r="M8" s="11"/>
      <c r="N8" s="9"/>
      <c r="O8" s="22"/>
      <c r="P8" s="16"/>
    </row>
    <row r="9" spans="1:16">
      <c r="A9" s="156" t="s">
        <v>3217</v>
      </c>
      <c r="B9" s="132" t="s">
        <v>3218</v>
      </c>
      <c r="C9" s="132" t="s">
        <v>3054</v>
      </c>
      <c r="D9" s="132" t="s">
        <v>4217</v>
      </c>
      <c r="E9" s="73">
        <v>1</v>
      </c>
      <c r="F9" s="46"/>
      <c r="G9" s="46"/>
      <c r="H9" s="46"/>
      <c r="I9" s="47"/>
      <c r="J9" s="47">
        <v>1909218</v>
      </c>
      <c r="K9" s="11"/>
      <c r="L9" s="9"/>
      <c r="M9" s="11"/>
      <c r="N9" s="9"/>
      <c r="O9" s="22"/>
      <c r="P9" s="16"/>
    </row>
    <row r="10" spans="1:16">
      <c r="A10" s="156" t="s">
        <v>2210</v>
      </c>
      <c r="B10" s="132" t="s">
        <v>2211</v>
      </c>
      <c r="C10" s="132" t="s">
        <v>3054</v>
      </c>
      <c r="D10" s="132" t="s">
        <v>4217</v>
      </c>
      <c r="E10" s="73">
        <v>1</v>
      </c>
      <c r="F10" s="46"/>
      <c r="G10" s="46"/>
      <c r="H10" s="46"/>
      <c r="I10" s="47"/>
      <c r="J10" s="47">
        <v>-1044.4000000000001</v>
      </c>
      <c r="K10" s="11"/>
      <c r="L10" s="9"/>
      <c r="M10" s="11"/>
      <c r="N10" s="9"/>
      <c r="O10" s="22"/>
      <c r="P10" s="16"/>
    </row>
    <row r="11" spans="1:16">
      <c r="A11" s="157"/>
      <c r="B11" s="158"/>
      <c r="C11" s="158"/>
      <c r="D11" s="159"/>
      <c r="E11" s="160"/>
      <c r="F11" s="46"/>
      <c r="G11" s="46"/>
      <c r="H11" s="46"/>
      <c r="I11" s="47"/>
      <c r="J11" s="47">
        <v>-178344</v>
      </c>
      <c r="K11" s="11"/>
      <c r="L11" s="9"/>
      <c r="M11" s="11"/>
      <c r="N11" s="46"/>
      <c r="O11" s="22"/>
      <c r="P11" s="16"/>
    </row>
    <row r="12" spans="1:16">
      <c r="A12" s="157"/>
      <c r="B12" s="158"/>
      <c r="C12" s="158"/>
      <c r="D12" s="159"/>
      <c r="E12" s="160"/>
      <c r="F12" s="46"/>
      <c r="G12" s="46"/>
      <c r="H12" s="46"/>
      <c r="I12" s="47"/>
      <c r="J12" s="47">
        <v>276580</v>
      </c>
      <c r="K12" s="11"/>
      <c r="L12" s="9"/>
      <c r="M12" s="11"/>
      <c r="N12" s="46"/>
      <c r="O12" s="22"/>
      <c r="P12" s="16"/>
    </row>
    <row r="13" spans="1:16">
      <c r="A13" s="161"/>
      <c r="B13" s="158"/>
      <c r="C13" s="158"/>
      <c r="D13" s="159"/>
      <c r="E13" s="160"/>
      <c r="F13" s="46"/>
      <c r="G13" s="46"/>
      <c r="H13" s="46"/>
      <c r="I13" s="8"/>
      <c r="J13" s="8"/>
      <c r="K13" s="11"/>
      <c r="L13" s="9"/>
      <c r="M13" s="11"/>
      <c r="N13" s="46"/>
      <c r="O13" s="22"/>
      <c r="P13" s="16"/>
    </row>
    <row r="14" spans="1:16">
      <c r="A14" s="8"/>
      <c r="B14" s="16"/>
      <c r="C14" s="162"/>
      <c r="D14" s="162"/>
      <c r="E14" s="46"/>
      <c r="F14" s="47"/>
      <c r="G14" s="47"/>
      <c r="H14" s="47"/>
      <c r="I14" s="47"/>
      <c r="J14" s="49">
        <v>2631262.75</v>
      </c>
      <c r="K14" s="11"/>
      <c r="L14" s="9"/>
      <c r="M14" s="11"/>
      <c r="N14" s="46"/>
      <c r="O14" s="22"/>
      <c r="P14" s="16"/>
    </row>
    <row r="15" spans="1:16">
      <c r="A15" s="8"/>
      <c r="B15" s="16"/>
      <c r="C15" s="16"/>
      <c r="D15" s="162"/>
      <c r="E15" s="46"/>
      <c r="F15" s="47"/>
      <c r="G15" s="47"/>
      <c r="H15" s="47"/>
      <c r="I15" s="47"/>
      <c r="J15" s="50">
        <v>2917000</v>
      </c>
      <c r="K15" s="11"/>
      <c r="L15" s="9"/>
      <c r="M15" s="11"/>
      <c r="N15" s="46"/>
      <c r="O15" s="22"/>
      <c r="P15" s="16"/>
    </row>
    <row r="16" spans="1:16">
      <c r="A16" s="8"/>
      <c r="B16" s="16"/>
      <c r="C16" s="16"/>
      <c r="D16" s="16"/>
      <c r="E16" s="46"/>
      <c r="F16" s="46"/>
      <c r="G16" s="46"/>
      <c r="H16" s="46"/>
      <c r="I16" s="46"/>
      <c r="J16" s="9">
        <v>20750</v>
      </c>
      <c r="K16" s="11"/>
      <c r="L16" s="9"/>
      <c r="M16" s="11"/>
      <c r="N16" s="46"/>
      <c r="O16" s="22"/>
      <c r="P16" s="16"/>
    </row>
    <row r="17" spans="1:16">
      <c r="A17" s="8"/>
      <c r="B17" s="16"/>
      <c r="C17" s="16"/>
      <c r="D17" s="16"/>
      <c r="E17" s="46"/>
      <c r="F17" s="46"/>
      <c r="G17" s="46"/>
      <c r="H17" s="46"/>
      <c r="I17" s="46"/>
      <c r="J17" s="9">
        <v>175081</v>
      </c>
      <c r="K17" s="11"/>
      <c r="L17" s="9"/>
      <c r="M17" s="11"/>
      <c r="N17" s="46"/>
      <c r="O17" s="22"/>
      <c r="P17" s="16"/>
    </row>
    <row r="18" spans="1:16">
      <c r="A18" s="8"/>
      <c r="B18" s="16"/>
      <c r="C18" s="16"/>
      <c r="D18" s="16"/>
      <c r="E18" s="46"/>
      <c r="F18" s="46"/>
      <c r="G18" s="46"/>
      <c r="H18" s="46"/>
      <c r="I18" s="46"/>
      <c r="J18" s="9">
        <v>153960</v>
      </c>
      <c r="K18" s="11"/>
      <c r="L18" s="9"/>
      <c r="M18" s="11"/>
      <c r="N18" s="46"/>
      <c r="O18" s="22"/>
      <c r="P18" s="16"/>
    </row>
    <row r="19" spans="1:16">
      <c r="A19" s="8"/>
      <c r="B19" s="16"/>
      <c r="C19" s="16"/>
      <c r="D19" s="16"/>
      <c r="E19" s="46"/>
      <c r="F19" s="46"/>
      <c r="G19" s="46"/>
      <c r="H19" s="46"/>
      <c r="I19" s="46"/>
      <c r="J19" s="9">
        <v>142201</v>
      </c>
      <c r="K19" s="11"/>
      <c r="L19" s="9"/>
      <c r="M19" s="11"/>
      <c r="N19" s="46"/>
      <c r="O19" s="22"/>
      <c r="P19" s="16"/>
    </row>
    <row r="20" spans="1:16">
      <c r="A20" s="8"/>
      <c r="B20" s="16"/>
      <c r="C20" s="16"/>
      <c r="D20" s="16"/>
      <c r="E20" s="46"/>
      <c r="F20" s="46"/>
      <c r="G20" s="46"/>
      <c r="H20" s="46"/>
      <c r="I20" s="46"/>
      <c r="J20" s="9">
        <v>285813</v>
      </c>
      <c r="K20" s="11"/>
      <c r="L20" s="9"/>
      <c r="M20" s="11"/>
      <c r="N20" s="46"/>
      <c r="O20" s="22"/>
      <c r="P20" s="16"/>
    </row>
    <row r="21" spans="1:16">
      <c r="A21" s="8"/>
      <c r="B21" s="16"/>
      <c r="C21" s="16"/>
      <c r="D21" s="16"/>
      <c r="E21" s="46"/>
      <c r="F21" s="46"/>
      <c r="G21" s="46"/>
      <c r="H21" s="46"/>
      <c r="I21" s="46"/>
      <c r="J21" s="9">
        <v>218105</v>
      </c>
      <c r="K21" s="11"/>
      <c r="L21" s="9"/>
      <c r="M21" s="11"/>
      <c r="N21" s="46"/>
      <c r="O21" s="22"/>
      <c r="P21" s="16"/>
    </row>
    <row r="22" spans="1:16" hidden="1">
      <c r="A22" s="8"/>
      <c r="B22" s="16"/>
      <c r="C22" s="16"/>
      <c r="D22" s="16"/>
      <c r="E22" s="11"/>
      <c r="F22" s="9"/>
      <c r="G22" s="11"/>
      <c r="H22" s="9"/>
      <c r="I22" s="11"/>
      <c r="J22" s="9"/>
      <c r="K22" s="11"/>
      <c r="L22" s="9"/>
      <c r="M22" s="11"/>
      <c r="N22" s="9"/>
      <c r="O22" s="22"/>
      <c r="P22" s="16"/>
    </row>
    <row r="23" spans="1:16" hidden="1">
      <c r="A23" s="8"/>
      <c r="B23" s="16"/>
      <c r="C23" s="16"/>
      <c r="D23" s="16"/>
      <c r="E23" s="11"/>
      <c r="F23" s="9"/>
      <c r="G23" s="11"/>
      <c r="H23" s="9"/>
      <c r="I23" s="11"/>
      <c r="J23" s="9"/>
      <c r="K23" s="11"/>
      <c r="L23" s="9"/>
      <c r="M23" s="11"/>
      <c r="N23" s="9"/>
      <c r="O23" s="22"/>
      <c r="P23" s="16"/>
    </row>
    <row r="24" spans="1:16" hidden="1">
      <c r="A24" s="8"/>
      <c r="B24" s="16"/>
      <c r="C24" s="16"/>
      <c r="D24" s="16"/>
      <c r="E24" s="11"/>
      <c r="F24" s="9"/>
      <c r="G24" s="11"/>
      <c r="H24" s="9"/>
      <c r="I24" s="11"/>
      <c r="J24" s="9"/>
      <c r="K24" s="11"/>
      <c r="L24" s="9"/>
      <c r="M24" s="11"/>
      <c r="N24" s="9"/>
      <c r="O24" s="22"/>
      <c r="P24" s="16"/>
    </row>
    <row r="25" spans="1:16" hidden="1">
      <c r="A25" s="8"/>
      <c r="B25" s="16"/>
      <c r="C25" s="16"/>
      <c r="D25" s="16"/>
      <c r="E25" s="11"/>
      <c r="F25" s="9"/>
      <c r="G25" s="11"/>
      <c r="H25" s="9"/>
      <c r="I25" s="11"/>
      <c r="J25" s="9"/>
      <c r="K25" s="11"/>
      <c r="L25" s="9"/>
      <c r="M25" s="11"/>
      <c r="N25" s="9"/>
      <c r="O25" s="22"/>
      <c r="P25" s="16"/>
    </row>
    <row r="26" spans="1:16" hidden="1">
      <c r="A26" s="8"/>
      <c r="B26" s="16"/>
      <c r="C26" s="16"/>
      <c r="D26" s="16"/>
      <c r="E26" s="11"/>
      <c r="F26" s="9"/>
      <c r="G26" s="11"/>
      <c r="H26" s="9"/>
      <c r="I26" s="11"/>
      <c r="J26" s="9"/>
      <c r="K26" s="11"/>
      <c r="L26" s="9"/>
      <c r="M26" s="11"/>
      <c r="N26" s="9"/>
      <c r="O26" s="22"/>
      <c r="P26" s="16"/>
    </row>
    <row r="27" spans="1:16" hidden="1">
      <c r="A27" s="8"/>
      <c r="B27" s="16"/>
      <c r="C27" s="16"/>
      <c r="D27" s="16"/>
      <c r="E27" s="11"/>
      <c r="F27" s="9"/>
      <c r="G27" s="11"/>
      <c r="H27" s="9"/>
      <c r="I27" s="11"/>
      <c r="J27" s="9"/>
      <c r="K27" s="11"/>
      <c r="L27" s="9"/>
      <c r="M27" s="11"/>
      <c r="N27" s="9"/>
      <c r="O27" s="22"/>
      <c r="P27" s="16"/>
    </row>
    <row r="28" spans="1:16" hidden="1">
      <c r="A28" s="8"/>
      <c r="B28" s="16"/>
      <c r="C28" s="16"/>
      <c r="D28" s="16"/>
      <c r="E28" s="11"/>
      <c r="F28" s="9"/>
      <c r="G28" s="11"/>
      <c r="H28" s="9"/>
      <c r="I28" s="11"/>
      <c r="J28" s="9"/>
      <c r="K28" s="11"/>
      <c r="L28" s="9"/>
      <c r="M28" s="11"/>
      <c r="N28" s="9"/>
      <c r="O28" s="22"/>
      <c r="P28" s="16"/>
    </row>
    <row r="29" spans="1:16" hidden="1">
      <c r="A29" s="8"/>
      <c r="B29" s="16"/>
      <c r="C29" s="16"/>
      <c r="D29" s="16"/>
      <c r="E29" s="11"/>
      <c r="F29" s="9"/>
      <c r="G29" s="11"/>
      <c r="H29" s="9"/>
      <c r="I29" s="11"/>
      <c r="J29" s="9"/>
      <c r="K29" s="11"/>
      <c r="L29" s="9"/>
      <c r="M29" s="11"/>
      <c r="N29" s="9"/>
      <c r="O29" s="22"/>
      <c r="P29" s="16"/>
    </row>
    <row r="30" spans="1:16" hidden="1">
      <c r="A30" s="8"/>
      <c r="B30" s="16"/>
      <c r="C30" s="16"/>
      <c r="D30" s="16"/>
      <c r="E30" s="11"/>
      <c r="F30" s="9"/>
      <c r="G30" s="11"/>
      <c r="H30" s="9"/>
      <c r="I30" s="11"/>
      <c r="J30" s="9"/>
      <c r="K30" s="11"/>
      <c r="L30" s="9"/>
      <c r="M30" s="11"/>
      <c r="N30" s="9"/>
      <c r="O30" s="22"/>
      <c r="P30" s="16"/>
    </row>
    <row r="31" spans="1:16" hidden="1">
      <c r="A31" s="8"/>
      <c r="B31" s="16"/>
      <c r="C31" s="16"/>
      <c r="D31" s="16"/>
      <c r="E31" s="11"/>
      <c r="F31" s="9"/>
      <c r="G31" s="11"/>
      <c r="H31" s="9"/>
      <c r="I31" s="11"/>
      <c r="J31" s="9"/>
      <c r="K31" s="11"/>
      <c r="L31" s="9"/>
      <c r="M31" s="11"/>
      <c r="N31" s="9"/>
      <c r="O31" s="22"/>
      <c r="P31" s="16"/>
    </row>
    <row r="32" spans="1:16" hidden="1">
      <c r="A32" s="8"/>
      <c r="B32" s="16"/>
      <c r="C32" s="16"/>
      <c r="D32" s="16"/>
      <c r="E32" s="11"/>
      <c r="F32" s="9"/>
      <c r="G32" s="11"/>
      <c r="H32" s="9"/>
      <c r="I32" s="11"/>
      <c r="J32" s="9"/>
      <c r="K32" s="11"/>
      <c r="L32" s="9"/>
      <c r="M32" s="11"/>
      <c r="N32" s="9"/>
      <c r="O32" s="22"/>
      <c r="P32" s="16"/>
    </row>
    <row r="33" spans="1:16" hidden="1">
      <c r="A33" s="8"/>
      <c r="B33" s="16"/>
      <c r="C33" s="16"/>
      <c r="D33" s="16"/>
      <c r="E33" s="11"/>
      <c r="F33" s="9"/>
      <c r="G33" s="11"/>
      <c r="H33" s="9"/>
      <c r="I33" s="11"/>
      <c r="J33" s="9"/>
      <c r="K33" s="11"/>
      <c r="L33" s="9"/>
      <c r="M33" s="11"/>
      <c r="N33" s="9"/>
      <c r="O33" s="22"/>
      <c r="P33" s="16"/>
    </row>
    <row r="34" spans="1:16" hidden="1">
      <c r="A34" s="8"/>
      <c r="B34" s="16"/>
      <c r="C34" s="16"/>
      <c r="D34" s="16"/>
      <c r="E34" s="11"/>
      <c r="F34" s="9"/>
      <c r="G34" s="11"/>
      <c r="H34" s="9"/>
      <c r="I34" s="11"/>
      <c r="J34" s="9"/>
      <c r="K34" s="11"/>
      <c r="L34" s="9"/>
      <c r="M34" s="11"/>
      <c r="N34" s="9"/>
      <c r="O34" s="22"/>
      <c r="P34" s="16"/>
    </row>
    <row r="35" spans="1:16" hidden="1">
      <c r="A35" s="8"/>
      <c r="B35" s="16"/>
      <c r="C35" s="16"/>
      <c r="D35" s="16"/>
      <c r="E35" s="11"/>
      <c r="F35" s="9"/>
      <c r="G35" s="11"/>
      <c r="H35" s="9"/>
      <c r="I35" s="11"/>
      <c r="J35" s="9"/>
      <c r="K35" s="11"/>
      <c r="L35" s="9"/>
      <c r="M35" s="11"/>
      <c r="N35" s="9"/>
      <c r="O35" s="22"/>
      <c r="P35" s="16"/>
    </row>
    <row r="36" spans="1:16" hidden="1">
      <c r="A36" s="8"/>
      <c r="B36" s="16"/>
      <c r="C36" s="16"/>
      <c r="D36" s="16"/>
      <c r="E36" s="11"/>
      <c r="F36" s="9"/>
      <c r="G36" s="11"/>
      <c r="H36" s="9"/>
      <c r="I36" s="11"/>
      <c r="J36" s="9"/>
      <c r="K36" s="11"/>
      <c r="L36" s="9"/>
      <c r="M36" s="11"/>
      <c r="N36" s="9"/>
      <c r="O36" s="22"/>
      <c r="P36" s="16"/>
    </row>
    <row r="37" spans="1:16" hidden="1">
      <c r="A37" s="8"/>
      <c r="B37" s="16"/>
      <c r="C37" s="16"/>
      <c r="D37" s="16"/>
      <c r="E37" s="11"/>
      <c r="F37" s="9"/>
      <c r="G37" s="11"/>
      <c r="H37" s="9"/>
      <c r="I37" s="11"/>
      <c r="J37" s="9"/>
      <c r="K37" s="11"/>
      <c r="L37" s="9"/>
      <c r="M37" s="11"/>
      <c r="N37" s="9"/>
      <c r="O37" s="22"/>
      <c r="P37" s="16"/>
    </row>
    <row r="38" spans="1:16" hidden="1">
      <c r="A38" s="8"/>
      <c r="B38" s="16"/>
      <c r="C38" s="16"/>
      <c r="D38" s="16"/>
      <c r="E38" s="11"/>
      <c r="F38" s="9"/>
      <c r="G38" s="11"/>
      <c r="H38" s="9"/>
      <c r="I38" s="11"/>
      <c r="J38" s="9"/>
      <c r="K38" s="11"/>
      <c r="L38" s="9"/>
      <c r="M38" s="11"/>
      <c r="N38" s="9"/>
      <c r="O38" s="22"/>
      <c r="P38" s="16"/>
    </row>
    <row r="39" spans="1:16" hidden="1">
      <c r="A39" s="8"/>
      <c r="B39" s="16"/>
      <c r="C39" s="16"/>
      <c r="D39" s="16"/>
      <c r="E39" s="11"/>
      <c r="F39" s="9"/>
      <c r="G39" s="11"/>
      <c r="H39" s="9"/>
      <c r="I39" s="11"/>
      <c r="J39" s="9"/>
      <c r="K39" s="11"/>
      <c r="L39" s="9"/>
      <c r="M39" s="11"/>
      <c r="N39" s="9"/>
      <c r="O39" s="22"/>
      <c r="P39" s="16"/>
    </row>
    <row r="40" spans="1:16" hidden="1">
      <c r="A40" s="8"/>
      <c r="B40" s="16"/>
      <c r="C40" s="16"/>
      <c r="D40" s="16"/>
      <c r="E40" s="11"/>
      <c r="F40" s="9"/>
      <c r="G40" s="11"/>
      <c r="H40" s="9"/>
      <c r="I40" s="11"/>
      <c r="J40" s="9"/>
      <c r="K40" s="11"/>
      <c r="L40" s="9"/>
      <c r="M40" s="11"/>
      <c r="N40" s="9"/>
      <c r="O40" s="22"/>
      <c r="P40" s="16"/>
    </row>
    <row r="41" spans="1:16" hidden="1">
      <c r="A41" s="8"/>
      <c r="B41" s="16"/>
      <c r="C41" s="16"/>
      <c r="D41" s="16"/>
      <c r="E41" s="11"/>
      <c r="F41" s="9"/>
      <c r="G41" s="11"/>
      <c r="H41" s="9"/>
      <c r="I41" s="11"/>
      <c r="J41" s="9"/>
      <c r="K41" s="11"/>
      <c r="L41" s="9"/>
      <c r="M41" s="11"/>
      <c r="N41" s="9"/>
      <c r="O41" s="22"/>
      <c r="P41" s="16"/>
    </row>
    <row r="42" spans="1:16" hidden="1">
      <c r="A42" s="8"/>
      <c r="B42" s="16"/>
      <c r="C42" s="16"/>
      <c r="D42" s="16"/>
      <c r="E42" s="11"/>
      <c r="F42" s="9"/>
      <c r="G42" s="11"/>
      <c r="H42" s="9"/>
      <c r="I42" s="11"/>
      <c r="J42" s="9"/>
      <c r="K42" s="11"/>
      <c r="L42" s="9"/>
      <c r="M42" s="11"/>
      <c r="N42" s="9"/>
      <c r="O42" s="22"/>
      <c r="P42" s="16"/>
    </row>
    <row r="43" spans="1:16" hidden="1">
      <c r="A43" s="8"/>
      <c r="B43" s="16"/>
      <c r="C43" s="16"/>
      <c r="D43" s="16"/>
      <c r="E43" s="11"/>
      <c r="F43" s="9"/>
      <c r="G43" s="11"/>
      <c r="H43" s="9"/>
      <c r="I43" s="11"/>
      <c r="J43" s="9"/>
      <c r="K43" s="11"/>
      <c r="L43" s="9"/>
      <c r="M43" s="11"/>
      <c r="N43" s="9"/>
      <c r="O43" s="22"/>
      <c r="P43" s="16"/>
    </row>
    <row r="44" spans="1:16" hidden="1">
      <c r="A44" s="8"/>
      <c r="B44" s="16"/>
      <c r="C44" s="16"/>
      <c r="D44" s="16"/>
      <c r="E44" s="11"/>
      <c r="F44" s="9"/>
      <c r="G44" s="11"/>
      <c r="H44" s="9"/>
      <c r="I44" s="11"/>
      <c r="J44" s="9"/>
      <c r="K44" s="11"/>
      <c r="L44" s="9"/>
      <c r="M44" s="11"/>
      <c r="N44" s="9"/>
      <c r="O44" s="22"/>
      <c r="P44" s="16"/>
    </row>
    <row r="45" spans="1:16" hidden="1">
      <c r="A45" s="8"/>
      <c r="B45" s="16"/>
      <c r="C45" s="16"/>
      <c r="D45" s="16"/>
      <c r="E45" s="11"/>
      <c r="F45" s="9"/>
      <c r="G45" s="11"/>
      <c r="H45" s="9"/>
      <c r="I45" s="11"/>
      <c r="J45" s="9"/>
      <c r="K45" s="11"/>
      <c r="L45" s="9"/>
      <c r="M45" s="11"/>
      <c r="N45" s="9"/>
      <c r="O45" s="22"/>
      <c r="P45" s="16"/>
    </row>
    <row r="46" spans="1:16" hidden="1">
      <c r="A46" s="8"/>
      <c r="B46" s="16"/>
      <c r="C46" s="16"/>
      <c r="D46" s="16"/>
      <c r="E46" s="11"/>
      <c r="F46" s="9"/>
      <c r="G46" s="11"/>
      <c r="H46" s="9"/>
      <c r="I46" s="11"/>
      <c r="J46" s="9"/>
      <c r="K46" s="11"/>
      <c r="L46" s="9"/>
      <c r="M46" s="11"/>
      <c r="N46" s="9"/>
      <c r="O46" s="22"/>
      <c r="P46" s="16"/>
    </row>
    <row r="47" spans="1:16" hidden="1">
      <c r="A47" s="8"/>
      <c r="B47" s="16"/>
      <c r="C47" s="16"/>
      <c r="D47" s="16"/>
      <c r="E47" s="11"/>
      <c r="F47" s="9"/>
      <c r="G47" s="11"/>
      <c r="H47" s="9"/>
      <c r="I47" s="11"/>
      <c r="J47" s="9"/>
      <c r="K47" s="11"/>
      <c r="L47" s="9"/>
      <c r="M47" s="11"/>
      <c r="N47" s="9"/>
      <c r="O47" s="22"/>
      <c r="P47" s="16"/>
    </row>
    <row r="48" spans="1:16" hidden="1">
      <c r="A48" s="8"/>
      <c r="B48" s="16"/>
      <c r="C48" s="16"/>
      <c r="D48" s="16"/>
      <c r="E48" s="11"/>
      <c r="F48" s="9"/>
      <c r="G48" s="11"/>
      <c r="H48" s="9"/>
      <c r="I48" s="11"/>
      <c r="J48" s="9"/>
      <c r="K48" s="11"/>
      <c r="L48" s="9"/>
      <c r="M48" s="11"/>
      <c r="N48" s="9"/>
      <c r="O48" s="22"/>
      <c r="P48" s="16"/>
    </row>
    <row r="49" spans="1:16" hidden="1">
      <c r="A49" s="8"/>
      <c r="B49" s="16"/>
      <c r="C49" s="16"/>
      <c r="D49" s="16"/>
      <c r="E49" s="11"/>
      <c r="F49" s="9"/>
      <c r="G49" s="11"/>
      <c r="H49" s="9"/>
      <c r="I49" s="11"/>
      <c r="J49" s="9"/>
      <c r="K49" s="11"/>
      <c r="L49" s="9"/>
      <c r="M49" s="11"/>
      <c r="N49" s="9"/>
      <c r="O49" s="22"/>
      <c r="P49" s="16"/>
    </row>
    <row r="50" spans="1:16" hidden="1">
      <c r="A50" s="8"/>
      <c r="B50" s="16"/>
      <c r="C50" s="16"/>
      <c r="D50" s="16"/>
      <c r="E50" s="11"/>
      <c r="F50" s="9"/>
      <c r="G50" s="11"/>
      <c r="H50" s="9"/>
      <c r="I50" s="11"/>
      <c r="J50" s="9"/>
      <c r="K50" s="11"/>
      <c r="L50" s="9"/>
      <c r="M50" s="11"/>
      <c r="N50" s="9"/>
      <c r="O50" s="22"/>
      <c r="P50" s="16"/>
    </row>
    <row r="51" spans="1:16" hidden="1">
      <c r="A51" s="8"/>
      <c r="B51" s="16"/>
      <c r="C51" s="16"/>
      <c r="D51" s="16"/>
      <c r="E51" s="11"/>
      <c r="F51" s="9"/>
      <c r="G51" s="11"/>
      <c r="H51" s="9"/>
      <c r="I51" s="11"/>
      <c r="J51" s="9"/>
      <c r="K51" s="11"/>
      <c r="L51" s="9"/>
      <c r="M51" s="11"/>
      <c r="N51" s="9"/>
      <c r="O51" s="22"/>
      <c r="P51" s="16"/>
    </row>
    <row r="52" spans="1:16" hidden="1">
      <c r="A52" s="8"/>
      <c r="B52" s="16"/>
      <c r="C52" s="16"/>
      <c r="D52" s="16"/>
      <c r="E52" s="11"/>
      <c r="F52" s="9"/>
      <c r="G52" s="11"/>
      <c r="H52" s="9"/>
      <c r="I52" s="11"/>
      <c r="J52" s="9"/>
      <c r="K52" s="11"/>
      <c r="L52" s="9"/>
      <c r="M52" s="11"/>
      <c r="N52" s="9"/>
      <c r="O52" s="22"/>
      <c r="P52" s="16"/>
    </row>
    <row r="53" spans="1:16" hidden="1">
      <c r="A53" s="8"/>
      <c r="B53" s="16"/>
      <c r="C53" s="16"/>
      <c r="D53" s="16"/>
      <c r="E53" s="11"/>
      <c r="F53" s="9"/>
      <c r="G53" s="11"/>
      <c r="H53" s="9"/>
      <c r="I53" s="11"/>
      <c r="J53" s="9"/>
      <c r="K53" s="11"/>
      <c r="L53" s="9"/>
      <c r="M53" s="11"/>
      <c r="N53" s="9"/>
      <c r="O53" s="22"/>
      <c r="P53" s="16"/>
    </row>
    <row r="54" spans="1:16" hidden="1">
      <c r="A54" s="8"/>
      <c r="B54" s="16"/>
      <c r="C54" s="16"/>
      <c r="D54" s="16"/>
      <c r="E54" s="11"/>
      <c r="F54" s="9"/>
      <c r="G54" s="11"/>
      <c r="H54" s="9"/>
      <c r="I54" s="11"/>
      <c r="J54" s="9"/>
      <c r="K54" s="11"/>
      <c r="L54" s="9"/>
      <c r="M54" s="11"/>
      <c r="N54" s="9"/>
      <c r="O54" s="22"/>
      <c r="P54" s="16"/>
    </row>
    <row r="55" spans="1:16" hidden="1">
      <c r="A55" s="8"/>
      <c r="B55" s="16"/>
      <c r="C55" s="16"/>
      <c r="D55" s="16"/>
      <c r="E55" s="11"/>
      <c r="F55" s="9"/>
      <c r="G55" s="11"/>
      <c r="H55" s="9"/>
      <c r="I55" s="11"/>
      <c r="J55" s="9"/>
      <c r="K55" s="11"/>
      <c r="L55" s="9"/>
      <c r="M55" s="11"/>
      <c r="N55" s="9"/>
      <c r="O55" s="22"/>
      <c r="P55" s="16"/>
    </row>
    <row r="56" spans="1:16" hidden="1">
      <c r="A56" s="8"/>
      <c r="B56" s="16"/>
      <c r="C56" s="16"/>
      <c r="D56" s="16"/>
      <c r="E56" s="11"/>
      <c r="F56" s="9"/>
      <c r="G56" s="11"/>
      <c r="H56" s="9"/>
      <c r="I56" s="11"/>
      <c r="J56" s="9"/>
      <c r="K56" s="11"/>
      <c r="L56" s="9"/>
      <c r="M56" s="11"/>
      <c r="N56" s="9"/>
      <c r="O56" s="22"/>
      <c r="P56" s="16"/>
    </row>
    <row r="57" spans="1:16" hidden="1">
      <c r="A57" s="8"/>
      <c r="B57" s="16"/>
      <c r="C57" s="16"/>
      <c r="D57" s="16"/>
      <c r="E57" s="11"/>
      <c r="F57" s="9"/>
      <c r="G57" s="11"/>
      <c r="H57" s="9"/>
      <c r="I57" s="11"/>
      <c r="J57" s="9"/>
      <c r="K57" s="11"/>
      <c r="L57" s="9"/>
      <c r="M57" s="11"/>
      <c r="N57" s="9"/>
      <c r="O57" s="22"/>
      <c r="P57" s="16"/>
    </row>
    <row r="58" spans="1:16" hidden="1">
      <c r="A58" s="8"/>
      <c r="B58" s="16"/>
      <c r="C58" s="16"/>
      <c r="D58" s="16"/>
      <c r="E58" s="11"/>
      <c r="F58" s="9"/>
      <c r="G58" s="11"/>
      <c r="H58" s="9"/>
      <c r="I58" s="11"/>
      <c r="J58" s="9"/>
      <c r="K58" s="11"/>
      <c r="L58" s="9"/>
      <c r="M58" s="11"/>
      <c r="N58" s="9"/>
      <c r="O58" s="22"/>
      <c r="P58" s="16"/>
    </row>
    <row r="59" spans="1:16" hidden="1">
      <c r="A59" s="8"/>
      <c r="B59" s="16"/>
      <c r="C59" s="16"/>
      <c r="D59" s="16"/>
      <c r="E59" s="11"/>
      <c r="F59" s="9"/>
      <c r="G59" s="11"/>
      <c r="H59" s="9"/>
      <c r="I59" s="11"/>
      <c r="J59" s="9"/>
      <c r="K59" s="11"/>
      <c r="L59" s="9"/>
      <c r="M59" s="11"/>
      <c r="N59" s="9"/>
      <c r="O59" s="22"/>
      <c r="P59" s="16"/>
    </row>
    <row r="60" spans="1:16" hidden="1">
      <c r="A60" s="8"/>
      <c r="B60" s="16"/>
      <c r="C60" s="16"/>
      <c r="D60" s="16"/>
      <c r="E60" s="11"/>
      <c r="F60" s="9"/>
      <c r="G60" s="11"/>
      <c r="H60" s="9"/>
      <c r="I60" s="11"/>
      <c r="J60" s="9"/>
      <c r="K60" s="11"/>
      <c r="L60" s="9"/>
      <c r="M60" s="11"/>
      <c r="N60" s="9"/>
      <c r="O60" s="22"/>
      <c r="P60" s="16"/>
    </row>
    <row r="61" spans="1:16" hidden="1">
      <c r="A61" s="8"/>
      <c r="B61" s="16"/>
      <c r="C61" s="16"/>
      <c r="D61" s="16"/>
      <c r="E61" s="11"/>
      <c r="F61" s="9"/>
      <c r="G61" s="11"/>
      <c r="H61" s="9"/>
      <c r="I61" s="11"/>
      <c r="J61" s="9"/>
      <c r="K61" s="11"/>
      <c r="L61" s="9"/>
      <c r="M61" s="11"/>
      <c r="N61" s="9"/>
      <c r="O61" s="22"/>
      <c r="P61" s="16"/>
    </row>
    <row r="62" spans="1:16" hidden="1">
      <c r="A62" s="8"/>
      <c r="B62" s="16"/>
      <c r="C62" s="16"/>
      <c r="D62" s="16"/>
      <c r="E62" s="11"/>
      <c r="F62" s="9"/>
      <c r="G62" s="11"/>
      <c r="H62" s="9"/>
      <c r="I62" s="11"/>
      <c r="J62" s="9"/>
      <c r="K62" s="11"/>
      <c r="L62" s="9"/>
      <c r="M62" s="11"/>
      <c r="N62" s="9"/>
      <c r="O62" s="22"/>
      <c r="P62" s="16"/>
    </row>
    <row r="63" spans="1:16" hidden="1">
      <c r="A63" s="8"/>
      <c r="B63" s="16"/>
      <c r="C63" s="16"/>
      <c r="D63" s="16"/>
      <c r="E63" s="11"/>
      <c r="F63" s="9"/>
      <c r="G63" s="11"/>
      <c r="H63" s="9"/>
      <c r="I63" s="11"/>
      <c r="J63" s="9"/>
      <c r="K63" s="11"/>
      <c r="L63" s="9"/>
      <c r="M63" s="11"/>
      <c r="N63" s="9"/>
      <c r="O63" s="22"/>
      <c r="P63" s="16"/>
    </row>
    <row r="64" spans="1:16" hidden="1">
      <c r="A64" s="8"/>
      <c r="B64" s="16"/>
      <c r="C64" s="16"/>
      <c r="D64" s="16"/>
      <c r="E64" s="11"/>
      <c r="F64" s="9"/>
      <c r="G64" s="11"/>
      <c r="H64" s="9"/>
      <c r="I64" s="11"/>
      <c r="J64" s="9"/>
      <c r="K64" s="11"/>
      <c r="L64" s="9"/>
      <c r="M64" s="11"/>
      <c r="N64" s="9"/>
      <c r="O64" s="22"/>
      <c r="P64" s="16"/>
    </row>
    <row r="65" spans="1:16" hidden="1">
      <c r="A65" s="8"/>
      <c r="B65" s="16"/>
      <c r="C65" s="16"/>
      <c r="D65" s="16"/>
      <c r="E65" s="11"/>
      <c r="F65" s="9"/>
      <c r="G65" s="11"/>
      <c r="H65" s="9"/>
      <c r="I65" s="11"/>
      <c r="J65" s="9"/>
      <c r="K65" s="11"/>
      <c r="L65" s="9"/>
      <c r="M65" s="11"/>
      <c r="N65" s="9"/>
      <c r="O65" s="22"/>
      <c r="P65" s="16"/>
    </row>
    <row r="66" spans="1:16" hidden="1">
      <c r="A66" s="8"/>
      <c r="B66" s="16"/>
      <c r="C66" s="16"/>
      <c r="D66" s="16"/>
      <c r="E66" s="11"/>
      <c r="F66" s="9"/>
      <c r="G66" s="11"/>
      <c r="H66" s="9"/>
      <c r="I66" s="11"/>
      <c r="J66" s="9"/>
      <c r="K66" s="11"/>
      <c r="L66" s="9"/>
      <c r="M66" s="11"/>
      <c r="N66" s="9"/>
      <c r="O66" s="22"/>
      <c r="P66" s="16"/>
    </row>
    <row r="67" spans="1:16" hidden="1">
      <c r="A67" s="8"/>
      <c r="B67" s="16"/>
      <c r="C67" s="16"/>
      <c r="D67" s="16"/>
      <c r="E67" s="11"/>
      <c r="F67" s="9"/>
      <c r="G67" s="11"/>
      <c r="H67" s="9"/>
      <c r="I67" s="11"/>
      <c r="J67" s="9"/>
      <c r="K67" s="11"/>
      <c r="L67" s="9"/>
      <c r="M67" s="11"/>
      <c r="N67" s="9"/>
      <c r="O67" s="22"/>
      <c r="P67" s="16"/>
    </row>
    <row r="68" spans="1:16" hidden="1">
      <c r="A68" s="8"/>
      <c r="B68" s="16"/>
      <c r="C68" s="16"/>
      <c r="D68" s="16"/>
      <c r="E68" s="11"/>
      <c r="F68" s="9"/>
      <c r="G68" s="11"/>
      <c r="H68" s="9"/>
      <c r="I68" s="11"/>
      <c r="J68" s="9"/>
      <c r="K68" s="11"/>
      <c r="L68" s="9"/>
      <c r="M68" s="11"/>
      <c r="N68" s="9"/>
      <c r="O68" s="22"/>
      <c r="P68" s="16"/>
    </row>
    <row r="69" spans="1:16" hidden="1">
      <c r="A69" s="8"/>
      <c r="B69" s="16"/>
      <c r="C69" s="16"/>
      <c r="D69" s="16"/>
      <c r="E69" s="11"/>
      <c r="F69" s="9"/>
      <c r="G69" s="11"/>
      <c r="H69" s="9"/>
      <c r="I69" s="11"/>
      <c r="J69" s="9"/>
      <c r="K69" s="11"/>
      <c r="L69" s="9"/>
      <c r="M69" s="11"/>
      <c r="N69" s="9"/>
      <c r="O69" s="22"/>
      <c r="P69" s="16"/>
    </row>
    <row r="70" spans="1:16" hidden="1">
      <c r="A70" s="8"/>
      <c r="B70" s="16"/>
      <c r="C70" s="16"/>
      <c r="D70" s="16"/>
      <c r="E70" s="11"/>
      <c r="F70" s="9"/>
      <c r="G70" s="11"/>
      <c r="H70" s="9"/>
      <c r="I70" s="11"/>
      <c r="J70" s="9"/>
      <c r="K70" s="11"/>
      <c r="L70" s="9"/>
      <c r="M70" s="11"/>
      <c r="N70" s="9"/>
      <c r="O70" s="22"/>
      <c r="P70" s="16"/>
    </row>
    <row r="71" spans="1:16" hidden="1">
      <c r="A71" s="8"/>
      <c r="B71" s="16"/>
      <c r="C71" s="16"/>
      <c r="D71" s="16"/>
      <c r="E71" s="11"/>
      <c r="F71" s="9"/>
      <c r="G71" s="11"/>
      <c r="H71" s="9"/>
      <c r="I71" s="11"/>
      <c r="J71" s="9"/>
      <c r="K71" s="11"/>
      <c r="L71" s="9"/>
      <c r="M71" s="11"/>
      <c r="N71" s="9"/>
      <c r="O71" s="22"/>
      <c r="P71" s="16"/>
    </row>
    <row r="72" spans="1:16" hidden="1">
      <c r="A72" s="8"/>
      <c r="B72" s="16"/>
      <c r="C72" s="16"/>
      <c r="D72" s="16"/>
      <c r="E72" s="11"/>
      <c r="F72" s="9"/>
      <c r="G72" s="11"/>
      <c r="H72" s="9"/>
      <c r="I72" s="11"/>
      <c r="J72" s="9"/>
      <c r="K72" s="11"/>
      <c r="L72" s="9"/>
      <c r="M72" s="11"/>
      <c r="N72" s="9"/>
      <c r="O72" s="22"/>
      <c r="P72" s="16"/>
    </row>
    <row r="73" spans="1:16" hidden="1">
      <c r="A73" s="8"/>
      <c r="B73" s="16"/>
      <c r="C73" s="16"/>
      <c r="D73" s="16"/>
      <c r="E73" s="11"/>
      <c r="F73" s="9"/>
      <c r="G73" s="11"/>
      <c r="H73" s="9"/>
      <c r="I73" s="11"/>
      <c r="J73" s="9"/>
      <c r="K73" s="11"/>
      <c r="L73" s="9"/>
      <c r="M73" s="11"/>
      <c r="N73" s="9"/>
      <c r="O73" s="22"/>
      <c r="P73" s="16"/>
    </row>
    <row r="74" spans="1:16" hidden="1">
      <c r="A74" s="8"/>
      <c r="B74" s="16"/>
      <c r="C74" s="16"/>
      <c r="D74" s="16"/>
      <c r="E74" s="11"/>
      <c r="F74" s="9"/>
      <c r="G74" s="11"/>
      <c r="H74" s="9"/>
      <c r="I74" s="11"/>
      <c r="J74" s="9"/>
      <c r="K74" s="11"/>
      <c r="L74" s="9"/>
      <c r="M74" s="11"/>
      <c r="N74" s="9"/>
      <c r="O74" s="22"/>
      <c r="P74" s="16"/>
    </row>
    <row r="75" spans="1:16" hidden="1">
      <c r="A75" s="8"/>
      <c r="B75" s="16"/>
      <c r="C75" s="16"/>
      <c r="D75" s="16"/>
      <c r="E75" s="11"/>
      <c r="F75" s="9"/>
      <c r="G75" s="11"/>
      <c r="H75" s="9"/>
      <c r="I75" s="11"/>
      <c r="J75" s="9"/>
      <c r="K75" s="11"/>
      <c r="L75" s="9"/>
      <c r="M75" s="11"/>
      <c r="N75" s="9"/>
      <c r="O75" s="22"/>
      <c r="P75" s="16"/>
    </row>
    <row r="76" spans="1:16" hidden="1">
      <c r="A76" s="8"/>
      <c r="B76" s="16"/>
      <c r="C76" s="16"/>
      <c r="D76" s="16"/>
      <c r="E76" s="11"/>
      <c r="F76" s="9"/>
      <c r="G76" s="11"/>
      <c r="H76" s="9"/>
      <c r="I76" s="11"/>
      <c r="J76" s="9"/>
      <c r="K76" s="11"/>
      <c r="L76" s="9"/>
      <c r="M76" s="11"/>
      <c r="N76" s="9"/>
      <c r="O76" s="22"/>
      <c r="P76" s="16"/>
    </row>
    <row r="77" spans="1:16" hidden="1">
      <c r="A77" s="8"/>
      <c r="B77" s="16"/>
      <c r="C77" s="16"/>
      <c r="D77" s="16"/>
      <c r="E77" s="11"/>
      <c r="F77" s="9"/>
      <c r="G77" s="11"/>
      <c r="H77" s="9"/>
      <c r="I77" s="11"/>
      <c r="J77" s="9"/>
      <c r="K77" s="11"/>
      <c r="L77" s="9"/>
      <c r="M77" s="11"/>
      <c r="N77" s="9"/>
      <c r="O77" s="22"/>
      <c r="P77" s="16"/>
    </row>
    <row r="78" spans="1:16" hidden="1">
      <c r="A78" s="8"/>
      <c r="B78" s="16"/>
      <c r="C78" s="16"/>
      <c r="D78" s="16"/>
      <c r="E78" s="11"/>
      <c r="F78" s="9"/>
      <c r="G78" s="11"/>
      <c r="H78" s="9"/>
      <c r="I78" s="11"/>
      <c r="J78" s="9"/>
      <c r="K78" s="11"/>
      <c r="L78" s="9"/>
      <c r="M78" s="11"/>
      <c r="N78" s="9"/>
      <c r="O78" s="22"/>
      <c r="P78" s="16"/>
    </row>
    <row r="79" spans="1:16" hidden="1">
      <c r="A79" s="8"/>
      <c r="B79" s="16"/>
      <c r="C79" s="16"/>
      <c r="D79" s="16"/>
      <c r="E79" s="11"/>
      <c r="F79" s="9"/>
      <c r="G79" s="11"/>
      <c r="H79" s="9"/>
      <c r="I79" s="11"/>
      <c r="J79" s="9"/>
      <c r="K79" s="11"/>
      <c r="L79" s="9"/>
      <c r="M79" s="11"/>
      <c r="N79" s="9"/>
      <c r="O79" s="22"/>
      <c r="P79" s="16"/>
    </row>
    <row r="80" spans="1:16" hidden="1">
      <c r="A80" s="8"/>
      <c r="B80" s="16"/>
      <c r="C80" s="16"/>
      <c r="D80" s="16"/>
      <c r="E80" s="11"/>
      <c r="F80" s="9"/>
      <c r="G80" s="11"/>
      <c r="H80" s="9"/>
      <c r="I80" s="11"/>
      <c r="J80" s="9"/>
      <c r="K80" s="11"/>
      <c r="L80" s="9"/>
      <c r="M80" s="11"/>
      <c r="N80" s="9"/>
      <c r="O80" s="22"/>
      <c r="P80" s="16"/>
    </row>
    <row r="81" spans="1:16" hidden="1">
      <c r="A81" s="8"/>
      <c r="B81" s="16"/>
      <c r="C81" s="16"/>
      <c r="D81" s="16"/>
      <c r="E81" s="11"/>
      <c r="F81" s="9"/>
      <c r="G81" s="11"/>
      <c r="H81" s="9"/>
      <c r="I81" s="11"/>
      <c r="J81" s="9"/>
      <c r="K81" s="11"/>
      <c r="L81" s="9"/>
      <c r="M81" s="11"/>
      <c r="N81" s="9"/>
      <c r="O81" s="22"/>
      <c r="P81" s="16"/>
    </row>
    <row r="82" spans="1:16" hidden="1">
      <c r="A82" s="8"/>
      <c r="B82" s="16"/>
      <c r="C82" s="16"/>
      <c r="D82" s="16"/>
      <c r="E82" s="11"/>
      <c r="F82" s="9"/>
      <c r="G82" s="11"/>
      <c r="H82" s="9"/>
      <c r="I82" s="11"/>
      <c r="J82" s="9"/>
      <c r="K82" s="11"/>
      <c r="L82" s="9"/>
      <c r="M82" s="11"/>
      <c r="N82" s="9"/>
      <c r="O82" s="22"/>
      <c r="P82" s="16"/>
    </row>
    <row r="83" spans="1:16" hidden="1">
      <c r="A83" s="8"/>
      <c r="B83" s="16"/>
      <c r="C83" s="16"/>
      <c r="D83" s="16"/>
      <c r="E83" s="11"/>
      <c r="F83" s="9"/>
      <c r="G83" s="11"/>
      <c r="H83" s="9"/>
      <c r="I83" s="11"/>
      <c r="J83" s="9"/>
      <c r="K83" s="11"/>
      <c r="L83" s="9"/>
      <c r="M83" s="11"/>
      <c r="N83" s="9"/>
      <c r="O83" s="22"/>
      <c r="P83" s="16"/>
    </row>
    <row r="84" spans="1:16" hidden="1">
      <c r="A84" s="8"/>
      <c r="B84" s="16"/>
      <c r="C84" s="16"/>
      <c r="D84" s="16"/>
      <c r="E84" s="11"/>
      <c r="F84" s="9"/>
      <c r="G84" s="11"/>
      <c r="H84" s="9"/>
      <c r="I84" s="11"/>
      <c r="J84" s="9"/>
      <c r="K84" s="11"/>
      <c r="L84" s="9"/>
      <c r="M84" s="11"/>
      <c r="N84" s="9"/>
      <c r="O84" s="22"/>
      <c r="P84" s="16"/>
    </row>
    <row r="85" spans="1:16" hidden="1">
      <c r="A85" s="8"/>
      <c r="B85" s="16"/>
      <c r="C85" s="16"/>
      <c r="D85" s="16"/>
      <c r="E85" s="11"/>
      <c r="F85" s="9"/>
      <c r="G85" s="11"/>
      <c r="H85" s="9"/>
      <c r="I85" s="11"/>
      <c r="J85" s="9"/>
      <c r="K85" s="11"/>
      <c r="L85" s="9"/>
      <c r="M85" s="11"/>
      <c r="N85" s="9"/>
      <c r="O85" s="22"/>
      <c r="P85" s="16"/>
    </row>
    <row r="86" spans="1:16" hidden="1">
      <c r="A86" s="8"/>
      <c r="B86" s="16"/>
      <c r="C86" s="16"/>
      <c r="D86" s="16"/>
      <c r="E86" s="11"/>
      <c r="F86" s="9"/>
      <c r="G86" s="11"/>
      <c r="H86" s="9"/>
      <c r="I86" s="11"/>
      <c r="J86" s="9"/>
      <c r="K86" s="11"/>
      <c r="L86" s="9"/>
      <c r="M86" s="11"/>
      <c r="N86" s="9"/>
      <c r="O86" s="22"/>
      <c r="P86" s="16"/>
    </row>
    <row r="87" spans="1:16" hidden="1">
      <c r="A87" s="8"/>
      <c r="B87" s="16"/>
      <c r="C87" s="16"/>
      <c r="D87" s="16"/>
      <c r="E87" s="11"/>
      <c r="F87" s="9"/>
      <c r="G87" s="11"/>
      <c r="H87" s="9"/>
      <c r="I87" s="11"/>
      <c r="J87" s="9"/>
      <c r="K87" s="11"/>
      <c r="L87" s="9"/>
      <c r="M87" s="11"/>
      <c r="N87" s="9"/>
      <c r="O87" s="22"/>
      <c r="P87" s="16"/>
    </row>
    <row r="88" spans="1:16" hidden="1">
      <c r="A88" s="8"/>
      <c r="B88" s="16"/>
      <c r="C88" s="16"/>
      <c r="D88" s="16"/>
      <c r="E88" s="11"/>
      <c r="F88" s="9"/>
      <c r="G88" s="11"/>
      <c r="H88" s="9"/>
      <c r="I88" s="11"/>
      <c r="J88" s="9"/>
      <c r="K88" s="11"/>
      <c r="L88" s="9"/>
      <c r="M88" s="11"/>
      <c r="N88" s="9"/>
      <c r="O88" s="22"/>
      <c r="P88" s="16"/>
    </row>
    <row r="89" spans="1:16" hidden="1">
      <c r="A89" s="8"/>
      <c r="B89" s="16"/>
      <c r="C89" s="16"/>
      <c r="D89" s="16"/>
      <c r="E89" s="11"/>
      <c r="F89" s="9"/>
      <c r="G89" s="11"/>
      <c r="H89" s="9"/>
      <c r="I89" s="11"/>
      <c r="J89" s="9"/>
      <c r="K89" s="11"/>
      <c r="L89" s="9"/>
      <c r="M89" s="11"/>
      <c r="N89" s="9"/>
      <c r="O89" s="22"/>
      <c r="P89" s="16"/>
    </row>
    <row r="90" spans="1:16" hidden="1">
      <c r="A90" s="8"/>
      <c r="B90" s="16"/>
      <c r="C90" s="16"/>
      <c r="D90" s="16"/>
      <c r="E90" s="11"/>
      <c r="F90" s="9"/>
      <c r="G90" s="11"/>
      <c r="H90" s="9"/>
      <c r="I90" s="11"/>
      <c r="J90" s="9"/>
      <c r="K90" s="11"/>
      <c r="L90" s="9"/>
      <c r="M90" s="11"/>
      <c r="N90" s="9"/>
      <c r="O90" s="22"/>
      <c r="P90" s="16"/>
    </row>
    <row r="91" spans="1:16" hidden="1">
      <c r="A91" s="8"/>
      <c r="B91" s="16"/>
      <c r="C91" s="16"/>
      <c r="D91" s="16"/>
      <c r="E91" s="11"/>
      <c r="F91" s="9"/>
      <c r="G91" s="11"/>
      <c r="H91" s="9"/>
      <c r="I91" s="11"/>
      <c r="J91" s="9"/>
      <c r="K91" s="11"/>
      <c r="L91" s="9"/>
      <c r="M91" s="11"/>
      <c r="N91" s="9"/>
      <c r="O91" s="22"/>
      <c r="P91" s="16"/>
    </row>
    <row r="92" spans="1:16" hidden="1">
      <c r="A92" s="8"/>
      <c r="B92" s="16"/>
      <c r="C92" s="16"/>
      <c r="D92" s="16"/>
      <c r="E92" s="11"/>
      <c r="F92" s="9"/>
      <c r="G92" s="11"/>
      <c r="H92" s="9"/>
      <c r="I92" s="11"/>
      <c r="J92" s="9"/>
      <c r="K92" s="11"/>
      <c r="L92" s="9"/>
      <c r="M92" s="11"/>
      <c r="N92" s="9"/>
      <c r="O92" s="22"/>
      <c r="P92" s="16"/>
    </row>
    <row r="93" spans="1:16" hidden="1">
      <c r="A93" s="8"/>
      <c r="B93" s="16"/>
      <c r="C93" s="16"/>
      <c r="D93" s="16"/>
      <c r="E93" s="11"/>
      <c r="F93" s="9"/>
      <c r="G93" s="11"/>
      <c r="H93" s="9"/>
      <c r="I93" s="11"/>
      <c r="J93" s="9"/>
      <c r="K93" s="11"/>
      <c r="L93" s="9"/>
      <c r="M93" s="11"/>
      <c r="N93" s="9"/>
      <c r="O93" s="22"/>
      <c r="P93" s="16"/>
    </row>
    <row r="94" spans="1:16" hidden="1">
      <c r="A94" s="8"/>
      <c r="B94" s="16"/>
      <c r="C94" s="16"/>
      <c r="D94" s="16"/>
      <c r="E94" s="11"/>
      <c r="F94" s="9"/>
      <c r="G94" s="11"/>
      <c r="H94" s="9"/>
      <c r="I94" s="11"/>
      <c r="J94" s="9"/>
      <c r="K94" s="11"/>
      <c r="L94" s="9"/>
      <c r="M94" s="11"/>
      <c r="N94" s="9"/>
      <c r="O94" s="22"/>
      <c r="P94" s="16"/>
    </row>
    <row r="95" spans="1:16" hidden="1">
      <c r="A95" s="8"/>
      <c r="B95" s="16"/>
      <c r="C95" s="16"/>
      <c r="D95" s="16"/>
      <c r="E95" s="11"/>
      <c r="F95" s="9"/>
      <c r="G95" s="11"/>
      <c r="H95" s="9"/>
      <c r="I95" s="11"/>
      <c r="J95" s="9"/>
      <c r="K95" s="11"/>
      <c r="L95" s="9"/>
      <c r="M95" s="11"/>
      <c r="N95" s="9"/>
      <c r="O95" s="22"/>
      <c r="P95" s="16"/>
    </row>
    <row r="96" spans="1:16" hidden="1">
      <c r="A96" s="8"/>
      <c r="B96" s="16"/>
      <c r="C96" s="16"/>
      <c r="D96" s="16"/>
      <c r="E96" s="11"/>
      <c r="F96" s="9"/>
      <c r="G96" s="11"/>
      <c r="H96" s="9"/>
      <c r="I96" s="11"/>
      <c r="J96" s="9"/>
      <c r="K96" s="11"/>
      <c r="L96" s="9"/>
      <c r="M96" s="11"/>
      <c r="N96" s="9"/>
      <c r="O96" s="22"/>
      <c r="P96" s="16"/>
    </row>
    <row r="97" spans="1:16" hidden="1">
      <c r="A97" s="8"/>
      <c r="B97" s="16"/>
      <c r="C97" s="16"/>
      <c r="D97" s="16"/>
      <c r="E97" s="11"/>
      <c r="F97" s="9"/>
      <c r="G97" s="11"/>
      <c r="H97" s="9"/>
      <c r="I97" s="11"/>
      <c r="J97" s="9"/>
      <c r="K97" s="11"/>
      <c r="L97" s="9"/>
      <c r="M97" s="11"/>
      <c r="N97" s="9"/>
      <c r="O97" s="22"/>
      <c r="P97" s="16"/>
    </row>
    <row r="98" spans="1:16" hidden="1">
      <c r="A98" s="8"/>
      <c r="B98" s="16"/>
      <c r="C98" s="16"/>
      <c r="D98" s="16"/>
      <c r="E98" s="11"/>
      <c r="F98" s="9"/>
      <c r="G98" s="11"/>
      <c r="H98" s="9"/>
      <c r="I98" s="11"/>
      <c r="J98" s="9"/>
      <c r="K98" s="11"/>
      <c r="L98" s="9"/>
      <c r="M98" s="11"/>
      <c r="N98" s="9"/>
      <c r="O98" s="22"/>
      <c r="P98" s="16"/>
    </row>
    <row r="99" spans="1:16" hidden="1">
      <c r="A99" s="8"/>
      <c r="B99" s="16"/>
      <c r="C99" s="16"/>
      <c r="D99" s="16"/>
      <c r="E99" s="11"/>
      <c r="F99" s="9"/>
      <c r="G99" s="11"/>
      <c r="H99" s="9"/>
      <c r="I99" s="11"/>
      <c r="J99" s="9"/>
      <c r="K99" s="11"/>
      <c r="L99" s="9"/>
      <c r="M99" s="11"/>
      <c r="N99" s="9"/>
      <c r="O99" s="22"/>
      <c r="P99" s="16"/>
    </row>
    <row r="100" spans="1:16" hidden="1">
      <c r="A100" s="8"/>
      <c r="B100" s="16"/>
      <c r="C100" s="16"/>
      <c r="D100" s="16"/>
      <c r="E100" s="11"/>
      <c r="F100" s="9"/>
      <c r="G100" s="11"/>
      <c r="H100" s="9"/>
      <c r="I100" s="11"/>
      <c r="J100" s="9"/>
      <c r="K100" s="11"/>
      <c r="L100" s="9"/>
      <c r="M100" s="11"/>
      <c r="N100" s="9"/>
      <c r="O100" s="22"/>
      <c r="P100" s="16"/>
    </row>
    <row r="101" spans="1:16" s="42" customFormat="1" hidden="1">
      <c r="B101" s="43"/>
      <c r="C101" s="43"/>
      <c r="D101" s="43"/>
      <c r="E101" s="25"/>
      <c r="F101" s="25"/>
      <c r="G101" s="25">
        <f>SUM(G6:G100)</f>
        <v>0</v>
      </c>
      <c r="H101" s="25"/>
      <c r="I101" s="25">
        <f>SUM(I6:I100)</f>
        <v>0</v>
      </c>
      <c r="K101" s="45">
        <f>SUM(K6:K100)</f>
        <v>0</v>
      </c>
      <c r="M101" s="45">
        <f>SUM(M6:M100)</f>
        <v>0</v>
      </c>
      <c r="O101" s="44"/>
      <c r="P101" s="43"/>
    </row>
  </sheetData>
  <autoFilter ref="A5:P101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topLeftCell="A2" zoomScaleNormal="100" zoomScaleSheetLayoutView="100" workbookViewId="0">
      <selection activeCell="C24" sqref="C23:F24"/>
    </sheetView>
  </sheetViews>
  <sheetFormatPr defaultColWidth="9" defaultRowHeight="13.5"/>
  <cols>
    <col min="1" max="1" width="3.125" style="30" customWidth="1"/>
    <col min="2" max="2" width="18.25" style="40" customWidth="1"/>
    <col min="3" max="3" width="32.375" style="40" customWidth="1"/>
    <col min="4" max="4" width="10" style="41" customWidth="1"/>
    <col min="5" max="5" width="16.625" style="40" customWidth="1"/>
    <col min="6" max="6" width="16.625" style="31" customWidth="1"/>
    <col min="7" max="7" width="3.125" style="31" customWidth="1"/>
    <col min="8" max="16384" width="9" style="31"/>
  </cols>
  <sheetData>
    <row r="1" spans="1:6" ht="16.5" customHeight="1">
      <c r="B1" s="368" t="s">
        <v>1485</v>
      </c>
      <c r="C1" s="369"/>
      <c r="D1" s="369"/>
      <c r="E1" s="369"/>
      <c r="F1" s="369"/>
    </row>
    <row r="2" spans="1:6" ht="25.5" customHeight="1">
      <c r="B2" s="369"/>
      <c r="C2" s="369"/>
      <c r="D2" s="369"/>
      <c r="E2" s="369"/>
      <c r="F2" s="369"/>
    </row>
    <row r="3" spans="1:6" ht="10.5" customHeight="1" thickBot="1">
      <c r="A3" s="370"/>
      <c r="B3" s="370"/>
      <c r="C3" s="370"/>
      <c r="D3" s="370"/>
      <c r="E3" s="370"/>
      <c r="F3" s="370"/>
    </row>
    <row r="4" spans="1:6" ht="31.5" customHeight="1">
      <c r="A4" s="32"/>
      <c r="B4" s="33" t="s">
        <v>1486</v>
      </c>
      <c r="C4" s="34" t="s">
        <v>1487</v>
      </c>
      <c r="D4" s="35" t="s">
        <v>1488</v>
      </c>
      <c r="E4" s="371" t="e">
        <f>#REF!</f>
        <v>#REF!</v>
      </c>
      <c r="F4" s="372"/>
    </row>
    <row r="5" spans="1:6" s="38" customFormat="1" ht="31.5" customHeight="1">
      <c r="A5" s="36"/>
      <c r="B5" s="37" t="s">
        <v>1489</v>
      </c>
      <c r="C5" s="373" t="e">
        <f>#REF!</f>
        <v>#REF!</v>
      </c>
      <c r="D5" s="374"/>
      <c r="E5" s="374"/>
      <c r="F5" s="375"/>
    </row>
    <row r="6" spans="1:6" ht="21.95" customHeight="1">
      <c r="A6" s="36"/>
      <c r="B6" s="376" t="s">
        <v>1490</v>
      </c>
      <c r="C6" s="379" t="s">
        <v>1491</v>
      </c>
      <c r="D6" s="380"/>
      <c r="E6" s="380"/>
      <c r="F6" s="381"/>
    </row>
    <row r="7" spans="1:6" ht="21.95" customHeight="1">
      <c r="A7" s="36"/>
      <c r="B7" s="377"/>
      <c r="C7" s="382" t="s">
        <v>5219</v>
      </c>
      <c r="D7" s="383"/>
      <c r="E7" s="383"/>
      <c r="F7" s="384"/>
    </row>
    <row r="8" spans="1:6" ht="21.95" customHeight="1">
      <c r="A8" s="36"/>
      <c r="B8" s="377"/>
      <c r="C8" s="382" t="s">
        <v>1492</v>
      </c>
      <c r="D8" s="383"/>
      <c r="E8" s="383"/>
      <c r="F8" s="384"/>
    </row>
    <row r="9" spans="1:6" ht="21.95" customHeight="1">
      <c r="A9" s="36"/>
      <c r="B9" s="377"/>
      <c r="C9" s="358" t="s">
        <v>5142</v>
      </c>
      <c r="D9" s="366"/>
      <c r="E9" s="366"/>
      <c r="F9" s="367"/>
    </row>
    <row r="10" spans="1:6" ht="21.95" customHeight="1">
      <c r="A10" s="36"/>
      <c r="B10" s="377"/>
      <c r="C10" s="358" t="s">
        <v>5143</v>
      </c>
      <c r="D10" s="366"/>
      <c r="E10" s="366"/>
      <c r="F10" s="367"/>
    </row>
    <row r="11" spans="1:6" ht="21.95" customHeight="1">
      <c r="A11" s="36"/>
      <c r="B11" s="377"/>
      <c r="C11" s="358"/>
      <c r="D11" s="366"/>
      <c r="E11" s="366"/>
      <c r="F11" s="367"/>
    </row>
    <row r="12" spans="1:6" ht="21.95" customHeight="1">
      <c r="A12" s="36"/>
      <c r="B12" s="377"/>
      <c r="C12" s="358"/>
      <c r="D12" s="366"/>
      <c r="E12" s="366"/>
      <c r="F12" s="367"/>
    </row>
    <row r="13" spans="1:6" ht="21.95" customHeight="1">
      <c r="A13" s="36"/>
      <c r="B13" s="377"/>
      <c r="C13" s="358"/>
      <c r="D13" s="366"/>
      <c r="E13" s="366"/>
      <c r="F13" s="367"/>
    </row>
    <row r="14" spans="1:6" ht="21.95" customHeight="1">
      <c r="A14" s="36"/>
      <c r="B14" s="377"/>
      <c r="C14" s="358"/>
      <c r="D14" s="366"/>
      <c r="E14" s="366"/>
      <c r="F14" s="367"/>
    </row>
    <row r="15" spans="1:6" ht="21.95" customHeight="1">
      <c r="A15" s="36"/>
      <c r="B15" s="377"/>
      <c r="C15" s="358"/>
      <c r="D15" s="366"/>
      <c r="E15" s="366"/>
      <c r="F15" s="367"/>
    </row>
    <row r="16" spans="1:6" ht="21.95" customHeight="1">
      <c r="A16" s="36"/>
      <c r="B16" s="377"/>
      <c r="C16" s="358"/>
      <c r="D16" s="366"/>
      <c r="E16" s="366"/>
      <c r="F16" s="367"/>
    </row>
    <row r="17" spans="1:6" ht="21.95" customHeight="1">
      <c r="A17" s="36"/>
      <c r="B17" s="377"/>
      <c r="C17" s="358"/>
      <c r="D17" s="366"/>
      <c r="E17" s="366"/>
      <c r="F17" s="367"/>
    </row>
    <row r="18" spans="1:6" ht="21.95" customHeight="1">
      <c r="A18" s="36"/>
      <c r="B18" s="377"/>
      <c r="C18" s="358"/>
      <c r="D18" s="359"/>
      <c r="E18" s="359"/>
      <c r="F18" s="360"/>
    </row>
    <row r="19" spans="1:6" ht="19.899999999999999" customHeight="1">
      <c r="A19" s="36"/>
      <c r="B19" s="377"/>
      <c r="C19" s="358"/>
      <c r="D19" s="359"/>
      <c r="E19" s="359"/>
      <c r="F19" s="360"/>
    </row>
    <row r="20" spans="1:6" ht="21.95" customHeight="1">
      <c r="A20" s="36"/>
      <c r="B20" s="377"/>
      <c r="C20" s="353" t="s">
        <v>1493</v>
      </c>
      <c r="D20" s="354"/>
      <c r="E20" s="354"/>
      <c r="F20" s="355"/>
    </row>
    <row r="21" spans="1:6" ht="21.95" customHeight="1">
      <c r="A21" s="36"/>
      <c r="B21" s="377"/>
      <c r="C21" s="353" t="s">
        <v>1494</v>
      </c>
      <c r="D21" s="354"/>
      <c r="E21" s="354"/>
      <c r="F21" s="355"/>
    </row>
    <row r="22" spans="1:6" ht="21.95" customHeight="1">
      <c r="A22" s="36"/>
      <c r="B22" s="377"/>
      <c r="C22" s="358" t="s">
        <v>1495</v>
      </c>
      <c r="D22" s="359"/>
      <c r="E22" s="359"/>
      <c r="F22" s="360"/>
    </row>
    <row r="23" spans="1:6" ht="21.95" customHeight="1">
      <c r="A23" s="36"/>
      <c r="B23" s="377"/>
      <c r="C23" s="358" t="s">
        <v>1496</v>
      </c>
      <c r="D23" s="359"/>
      <c r="E23" s="359"/>
      <c r="F23" s="360"/>
    </row>
    <row r="24" spans="1:6" ht="21.95" customHeight="1">
      <c r="A24" s="36"/>
      <c r="B24" s="377"/>
      <c r="C24" s="358" t="s">
        <v>1497</v>
      </c>
      <c r="D24" s="359"/>
      <c r="E24" s="359"/>
      <c r="F24" s="360"/>
    </row>
    <row r="25" spans="1:6" ht="21.95" customHeight="1">
      <c r="A25" s="36"/>
      <c r="B25" s="377"/>
      <c r="C25" s="353" t="s">
        <v>1498</v>
      </c>
      <c r="D25" s="361"/>
      <c r="E25" s="361"/>
      <c r="F25" s="362"/>
    </row>
    <row r="26" spans="1:6" ht="21.95" customHeight="1">
      <c r="A26" s="36"/>
      <c r="B26" s="377"/>
      <c r="C26" s="353"/>
      <c r="D26" s="361"/>
      <c r="E26" s="361"/>
      <c r="F26" s="362"/>
    </row>
    <row r="27" spans="1:6" ht="21.95" customHeight="1">
      <c r="A27" s="36"/>
      <c r="B27" s="377"/>
      <c r="C27" s="353"/>
      <c r="D27" s="361"/>
      <c r="E27" s="361"/>
      <c r="F27" s="362"/>
    </row>
    <row r="28" spans="1:6" ht="21.95" customHeight="1">
      <c r="A28" s="36"/>
      <c r="B28" s="378"/>
      <c r="C28" s="363"/>
      <c r="D28" s="364"/>
      <c r="E28" s="364"/>
      <c r="F28" s="365"/>
    </row>
    <row r="29" spans="1:6" ht="50.1" customHeight="1">
      <c r="A29" s="36"/>
      <c r="B29" s="37" t="s">
        <v>1499</v>
      </c>
      <c r="C29" s="39" t="s">
        <v>1500</v>
      </c>
      <c r="D29" s="356" t="s">
        <v>5220</v>
      </c>
      <c r="E29" s="356"/>
      <c r="F29" s="357"/>
    </row>
    <row r="30" spans="1:6" ht="50.1" customHeight="1">
      <c r="A30" s="36"/>
      <c r="B30" s="37" t="s">
        <v>1501</v>
      </c>
      <c r="C30" s="39" t="s">
        <v>5148</v>
      </c>
      <c r="D30" s="356" t="s">
        <v>1502</v>
      </c>
      <c r="E30" s="356"/>
      <c r="F30" s="357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6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증빙</vt:lpstr>
      <vt:lpstr>내역서업로드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2024-12-12T02:57:09Z</dcterms:modified>
</cp:coreProperties>
</file>
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2 화학\250925\06 작업폴더\04 사택 1-304 수장공사 및 기타보수\"/>
    </mc:Choice>
  </mc:AlternateContent>
  <xr:revisionPtr revIDLastSave="0" documentId="13_ncr:1_{F28CE105-EA6A-40A4-9A57-E684A2ED87D0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" r:id="rId4"/>
    <sheet name="1,2,7동 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" l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D11" i="9" l="1"/>
  <c r="U14" i="4" l="1"/>
  <c r="S14" i="4"/>
  <c r="Q14" i="4"/>
  <c r="O14" i="4"/>
  <c r="A14" i="4"/>
  <c r="A11" i="1" s="1"/>
  <c r="U13" i="4"/>
  <c r="S13" i="4"/>
  <c r="Q13" i="4"/>
  <c r="O13" i="4"/>
  <c r="A13" i="4"/>
  <c r="A10" i="1" s="1"/>
  <c r="U12" i="4"/>
  <c r="S12" i="4"/>
  <c r="Q12" i="4"/>
  <c r="O12" i="4"/>
  <c r="A12" i="4"/>
  <c r="A9" i="1" s="1"/>
  <c r="U11" i="4"/>
  <c r="S11" i="4"/>
  <c r="Q11" i="4"/>
  <c r="O11" i="4"/>
  <c r="A11" i="4"/>
  <c r="A8" i="1" s="1"/>
  <c r="O10" i="4"/>
  <c r="V10" i="4" s="1"/>
  <c r="A10" i="4"/>
  <c r="A7" i="1" s="1"/>
  <c r="U9" i="4"/>
  <c r="S9" i="4"/>
  <c r="Q9" i="4"/>
  <c r="O9" i="4"/>
  <c r="A9" i="4"/>
  <c r="A6" i="1" s="1"/>
  <c r="U8" i="4"/>
  <c r="S8" i="4"/>
  <c r="Q8" i="4"/>
  <c r="O8" i="4"/>
  <c r="A8" i="4"/>
  <c r="A5" i="1" s="1"/>
  <c r="U7" i="4"/>
  <c r="S7" i="4"/>
  <c r="Q7" i="4"/>
  <c r="O7" i="4"/>
  <c r="A7" i="4"/>
  <c r="A4" i="1" s="1"/>
  <c r="U6" i="4"/>
  <c r="S6" i="4"/>
  <c r="Q6" i="4"/>
  <c r="O6" i="4"/>
  <c r="A6" i="4"/>
  <c r="A3" i="1" s="1"/>
  <c r="U5" i="4"/>
  <c r="S5" i="4"/>
  <c r="Q5" i="4"/>
  <c r="O5" i="4"/>
  <c r="A5" i="4"/>
  <c r="L32" i="9"/>
  <c r="J32" i="9"/>
  <c r="H31" i="9"/>
  <c r="N31" i="9" s="1"/>
  <c r="H32" i="9"/>
  <c r="N32" i="9"/>
  <c r="L29" i="9"/>
  <c r="J29" i="9"/>
  <c r="H29" i="9"/>
  <c r="H28" i="9"/>
  <c r="N28" i="9" s="1"/>
  <c r="N29" i="9" s="1"/>
  <c r="L27" i="9"/>
  <c r="J27" i="9"/>
  <c r="H20" i="9"/>
  <c r="N20" i="9" s="1"/>
  <c r="F20" i="9"/>
  <c r="H19" i="9"/>
  <c r="F19" i="9"/>
  <c r="N19" i="9" s="1"/>
  <c r="F17" i="9"/>
  <c r="N17" i="9" s="1"/>
  <c r="L15" i="9"/>
  <c r="J15" i="9"/>
  <c r="D15" i="9"/>
  <c r="H14" i="9"/>
  <c r="F14" i="9"/>
  <c r="H13" i="9"/>
  <c r="F13" i="9"/>
  <c r="N13" i="9" s="1"/>
  <c r="H12" i="9"/>
  <c r="F12" i="9"/>
  <c r="L11" i="9"/>
  <c r="J11" i="9"/>
  <c r="H10" i="9"/>
  <c r="F10" i="9"/>
  <c r="H9" i="9"/>
  <c r="F9" i="9"/>
  <c r="N9" i="9" s="1"/>
  <c r="H8" i="9"/>
  <c r="F8" i="9"/>
  <c r="N8" i="9" s="1"/>
  <c r="H7" i="9"/>
  <c r="F7" i="9"/>
  <c r="H6" i="9"/>
  <c r="F6" i="9"/>
  <c r="H5" i="9"/>
  <c r="F5" i="9"/>
  <c r="H11" i="9" l="1"/>
  <c r="H33" i="9" s="1"/>
  <c r="N27" i="9"/>
  <c r="J33" i="9"/>
  <c r="N7" i="9"/>
  <c r="V14" i="4"/>
  <c r="V8" i="4"/>
  <c r="V11" i="4"/>
  <c r="H27" i="9"/>
  <c r="L33" i="9"/>
  <c r="N6" i="9"/>
  <c r="F15" i="9"/>
  <c r="F11" i="9"/>
  <c r="N10" i="9"/>
  <c r="H15" i="9"/>
  <c r="N14" i="9"/>
  <c r="V12" i="4"/>
  <c r="V6" i="4"/>
  <c r="V13" i="4"/>
  <c r="V5" i="4"/>
  <c r="V9" i="4"/>
  <c r="V7" i="4"/>
  <c r="N12" i="9"/>
  <c r="N15" i="9" s="1"/>
  <c r="N5" i="9"/>
  <c r="F27" i="9"/>
  <c r="F32" i="9"/>
  <c r="F33" i="9" l="1"/>
  <c r="N11" i="9"/>
  <c r="N33" i="9" s="1"/>
  <c r="F2" i="1"/>
  <c r="E2" i="1"/>
  <c r="D2" i="1"/>
  <c r="C2" i="1"/>
  <c r="B2" i="1"/>
  <c r="A2" i="1" l="1"/>
  <c r="Q15" i="4" l="1"/>
  <c r="F17" i="5" s="1"/>
  <c r="U15" i="4" l="1"/>
  <c r="O15" i="4"/>
  <c r="F16" i="5" s="1"/>
  <c r="F26" i="5" s="1"/>
  <c r="S15" i="4"/>
  <c r="F18" i="5" l="1"/>
  <c r="V15" i="4"/>
  <c r="F19" i="5" l="1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<sst xmlns="http://schemas.openxmlformats.org/spreadsheetml/2006/main" count="222" uniqueCount="166">
  <si>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</si>
  <si>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</si>
  <si>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</si>
  <si>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</si>
  <si>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</si>
  <si>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</si>
  <si>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</si>
  <si>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</si>
  <si>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</si>
  <si>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</si>
  <si>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</si>
  <si>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</si>
  <si>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</si>
  <si>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</si>
  <si>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</si>
  <si>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</si>
  <si>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</si>
  <si>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</si>
  <si>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</si>
  <si>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</si>
  <si>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</si>
  <si>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</si>
  <si>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</si>
  <si>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</si>
  <si>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</si>
  <si>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</si>
  <si>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</si>
  <si>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</si>
  <si>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</si>
  <si>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</si>
  <si>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</si>
  <si>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</si>
  <si>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</si>
  <si>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</si>
  <si>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</si>
  <si>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</si>
  <si>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</si>
  <si>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</si>
  <si>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</si>
  <si>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</si>
  <si>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</si>
  <si>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</si>
  <si>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</si>
  <si>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</si>
  <si>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</si>
  <si>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</si>
  <si>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</si>
  <si>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</si>
  <si>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</si>
  <si>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</si>
  <si>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</si>
  <si>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</si>
  <si>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</si>
  <si>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</si>
  <si>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</si>
  <si>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</si>
  <si>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</si>
  <si>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</si>
  <si>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</si>
  <si>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</si>
  <si>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</si>
  <si>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</si>
  <si>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</si>
  <si>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</si>
  <si>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</si>
  <si>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</si>
  <si>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</si>
  <si>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</si>
  <si>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</si>
  <si>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</si>
  <si>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</si>
  <si>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</si>
  <si>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</si>
  <si>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</si>
  <si>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</si>
  <si>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</si>
  <si>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</si>
  <si>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</si>
  <si>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</si>
  <si>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</si>
  <si>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</si>
  <si>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</si>
  <si>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</si>
  <si>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</si>
  <si>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</si>
  <si>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</si>
  <si>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</si>
  <si>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</si>
  <si>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</si>
  <si>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내부(문,틀,몰딩,기타)</t>
    <phoneticPr fontId="5" type="noConversion"/>
  </si>
  <si>
    <t>철재면 청소(휘발유사용)</t>
    <phoneticPr fontId="5" type="noConversion"/>
  </si>
  <si>
    <t>유성페인트 롤러칠(석고보드면)</t>
    <phoneticPr fontId="5" type="noConversion"/>
  </si>
  <si>
    <t>방화도어 내부</t>
    <phoneticPr fontId="5" type="noConversion"/>
  </si>
  <si>
    <t>유성페인트 롤러칠(철재면)</t>
    <phoneticPr fontId="5" type="noConversion"/>
  </si>
  <si>
    <t>4.청소</t>
    <phoneticPr fontId="7" type="noConversion"/>
  </si>
  <si>
    <t>준공청소(특별인부)</t>
    <phoneticPr fontId="13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</si>
  <si>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</si>
  <si>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</si>
  <si>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</si>
  <si>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</si>
  <si>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</si>
  <si>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</si>
  <si>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</si>
  <si>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</si>
  <si>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</si>
  <si>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</si>
  <si>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</si>
  <si>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</si>
  <si>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</si>
  <si>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</si>
  <si>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</si>
  <si>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</si>
  <si>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</si>
  <si>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</si>
  <si>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</si>
  <si>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</si>
  <si>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</si>
  <si>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</si>
  <si>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</si>
  <si>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도배 교체(천장)</t>
    <phoneticPr fontId="5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</si>
  <si>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</si>
  <si>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</si>
  <si>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</si>
  <si>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</si>
  <si>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</si>
  <si>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</si>
  <si>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</si>
  <si>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</si>
  <si>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</si>
  <si>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(㎡ 당)</t>
    <phoneticPr fontId="5" type="noConversion"/>
  </si>
  <si>
    <t>합 계</t>
    <phoneticPr fontId="5" type="noConversion"/>
  </si>
  <si>
    <t>18ℓ</t>
  </si>
  <si>
    <t>KSM-6010 내부용, 2급, 백색</t>
  </si>
  <si>
    <t>조합페인트</t>
  </si>
  <si>
    <t>백색 무광</t>
  </si>
  <si>
    <t>수성페인트</t>
    <phoneticPr fontId="5" type="noConversion"/>
  </si>
  <si>
    <t>합성수지에멀션페인트</t>
    <phoneticPr fontId="5" type="noConversion"/>
  </si>
  <si>
    <t>M020412614110102</t>
    <phoneticPr fontId="5" type="noConversion"/>
  </si>
  <si>
    <t>2.바닥재</t>
    <phoneticPr fontId="5" type="noConversion"/>
  </si>
  <si>
    <t> (재료비+노무비)*3.11%</t>
    <phoneticPr fontId="13" type="noConversion"/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</si>
  <si>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</si>
  <si>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</si>
  <si>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</si>
  <si>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</si>
  <si>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</si>
  <si>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</si>
  <si>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>준공청소</t>
  </si>
  <si>
    <t>(연면적 ㎡당)</t>
  </si>
  <si>
    <t>E00000801011510701</t>
  </si>
  <si>
    <t>R/L</t>
  </si>
  <si>
    <t>5.기타작업</t>
    <phoneticPr fontId="7" type="noConversion"/>
  </si>
  <si>
    <t>인</t>
    <phoneticPr fontId="7" type="noConversion"/>
  </si>
  <si>
    <t>합지벽지 1R/L=93㎝(고정)×17.75m=16.51㎡, 소요량166/16.51=10.054R/L</t>
    <phoneticPr fontId="5" type="noConversion"/>
  </si>
  <si>
    <t xml:space="preserve">일당 시공량-벽 46㎡, 적산정보 500p 참조,시공총량105/일당46=2.283, </t>
    <phoneticPr fontId="5" type="noConversion"/>
  </si>
  <si>
    <t>일당 시공량-천장 35㎡ 적산정보 500p 참조, 시공총량61/일당35=1.743</t>
    <phoneticPr fontId="5" type="noConversion"/>
  </si>
  <si>
    <t xml:space="preserve">일당 시공량-61㎡ 적산정보 500p 참조,시공총량39.6/일당61=0.887 </t>
    <phoneticPr fontId="5" type="noConversion"/>
  </si>
  <si>
    <t>전체면적</t>
    <phoneticPr fontId="5" type="noConversion"/>
  </si>
  <si>
    <t>인</t>
    <phoneticPr fontId="5" type="noConversion"/>
  </si>
  <si>
    <t xml:space="preserve"> 공사명 : 사택 1-304 수장공사</t>
    <phoneticPr fontId="11" type="noConversion"/>
  </si>
  <si>
    <t xml:space="preserve"> 견적일 : 2025 년  09월  22일</t>
    <phoneticPr fontId="11" type="noConversion"/>
  </si>
  <si>
    <t xml:space="preserve"> 사택 1-304 수장공사</t>
    <phoneticPr fontId="5" type="noConversion"/>
  </si>
  <si>
    <t>도색(앞,뒤베란다 걸레받이 보수, 뒤베란다 벽면 크랙 전체보수)</t>
    <phoneticPr fontId="5" type="noConversion"/>
  </si>
  <si>
    <t xml:space="preserve">문끌림-1개(화장실좌측방문), </t>
    <phoneticPr fontId="5" type="noConversion"/>
  </si>
  <si>
    <t>특별인부</t>
    <phoneticPr fontId="5" type="noConversion"/>
  </si>
  <si>
    <r>
      <rPr>
        <sz val="10"/>
        <rFont val="맑은 고딕"/>
        <family val="1"/>
        <charset val="129"/>
      </rPr>
      <t>문끌림</t>
    </r>
    <r>
      <rPr>
        <sz val="10"/>
        <rFont val="Arial"/>
        <family val="1"/>
      </rPr>
      <t>-1</t>
    </r>
    <r>
      <rPr>
        <sz val="10"/>
        <rFont val="맑은 고딕"/>
        <family val="1"/>
        <charset val="129"/>
      </rPr>
      <t>개</t>
    </r>
    <r>
      <rPr>
        <sz val="10"/>
        <rFont val="Arial"/>
        <family val="1"/>
      </rPr>
      <t>(</t>
    </r>
    <r>
      <rPr>
        <sz val="10"/>
        <rFont val="맑은 고딕"/>
        <family val="1"/>
        <charset val="129"/>
      </rPr>
      <t>화장실좌측방문</t>
    </r>
    <r>
      <rPr>
        <sz val="10"/>
        <rFont val="Arial"/>
        <family val="1"/>
      </rPr>
      <t>)</t>
    </r>
    <r>
      <rPr>
        <sz val="10"/>
        <rFont val="맑은 고딕"/>
        <family val="1"/>
        <charset val="129"/>
      </rPr>
      <t>보수</t>
    </r>
    <phoneticPr fontId="5" type="noConversion"/>
  </si>
  <si>
    <t>L003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</si>
</sst>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&quot;₩&quot;#,##0"/>
    <numFmt numFmtId="186" formatCode="0_);[Red]\(0\)"/>
    <numFmt numFmtId="187" formatCode="#,##0.000_ "/>
    <numFmt numFmtId="188" formatCode="#,##0.0_);[Red]\(#,##0.0\)"/>
    <numFmt numFmtId="189" formatCode="0.000_ "/>
    <numFmt numFmtId="190" formatCode="0.0_);[Red]\(0.0\)"/>
    <numFmt numFmtId="191" formatCode="#,##0;\-#,##0;"/>
    <numFmt numFmtId="192" formatCode="0.000"/>
    <numFmt numFmtId="193" formatCode="#,###,###,###"/>
  </numFmts>
  <fonts count="33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9"/>
      <color rgb="FFFF0000"/>
      <name val="LG스마트체 Regular"/>
      <family val="3"/>
      <charset val="129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name val="Arial"/>
      <family val="1"/>
      <charset val="129"/>
    </font>
    <font>
      <sz val="10"/>
      <name val="맑은 고딕"/>
      <family val="1"/>
      <charset val="129"/>
    </font>
    <font>
      <sz val="10"/>
      <name val="Arial"/>
      <family val="1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16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21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20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21" fillId="0" borderId="7" xfId="6" applyFont="1" applyBorder="1" applyAlignment="1">
      <alignment vertical="center"/>
    </xf>
    <xf numFmtId="179" fontId="20" fillId="0" borderId="7" xfId="6" applyNumberFormat="1" applyFont="1" applyBorder="1" applyAlignment="1">
      <alignment vertical="center"/>
    </xf>
    <xf numFmtId="0" fontId="20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22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22" fillId="0" borderId="12" xfId="6" applyFont="1" applyBorder="1" applyAlignment="1">
      <alignment vertical="center"/>
    </xf>
    <xf numFmtId="1" fontId="22" fillId="0" borderId="12" xfId="6" applyNumberFormat="1" applyFont="1" applyBorder="1" applyAlignment="1">
      <alignment horizontal="center" vertical="center"/>
    </xf>
    <xf numFmtId="180" fontId="22" fillId="0" borderId="12" xfId="7" applyFont="1" applyBorder="1" applyAlignment="1">
      <alignment horizontal="right" vertical="center"/>
    </xf>
    <xf numFmtId="0" fontId="22" fillId="0" borderId="13" xfId="6" applyFont="1" applyBorder="1" applyAlignment="1">
      <alignment vertical="center"/>
    </xf>
    <xf numFmtId="0" fontId="22" fillId="0" borderId="14" xfId="6" applyFont="1" applyBorder="1" applyAlignment="1">
      <alignment horizontal="center" vertical="center"/>
    </xf>
    <xf numFmtId="0" fontId="22" fillId="0" borderId="15" xfId="6" applyFont="1" applyBorder="1" applyAlignment="1">
      <alignment horizontal="center" vertical="center"/>
    </xf>
    <xf numFmtId="0" fontId="22" fillId="0" borderId="15" xfId="3" applyFont="1" applyBorder="1" applyAlignment="1">
      <alignment horizontal="center" vertical="center"/>
    </xf>
    <xf numFmtId="1" fontId="22" fillId="0" borderId="15" xfId="6" applyNumberFormat="1" applyFont="1" applyBorder="1" applyAlignment="1">
      <alignment horizontal="center" vertical="center"/>
    </xf>
    <xf numFmtId="180" fontId="22" fillId="0" borderId="15" xfId="7" applyFont="1" applyBorder="1" applyAlignment="1">
      <alignment horizontal="right" vertical="center"/>
    </xf>
    <xf numFmtId="0" fontId="22" fillId="0" borderId="16" xfId="6" quotePrefix="1" applyFont="1" applyBorder="1" applyAlignment="1">
      <alignment vertical="center"/>
    </xf>
    <xf numFmtId="0" fontId="22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22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22" fillId="0" borderId="15" xfId="8" applyFont="1" applyBorder="1" applyAlignment="1">
      <alignment horizontal="center" vertical="center"/>
    </xf>
    <xf numFmtId="178" fontId="22" fillId="0" borderId="15" xfId="5" applyFont="1" applyFill="1" applyBorder="1" applyAlignment="1">
      <alignment horizontal="right" vertical="center"/>
    </xf>
    <xf numFmtId="0" fontId="22" fillId="5" borderId="15" xfId="8" applyFont="1" applyFill="1" applyBorder="1" applyAlignment="1">
      <alignment horizontal="center" vertical="center"/>
    </xf>
    <xf numFmtId="0" fontId="22" fillId="5" borderId="15" xfId="6" applyFont="1" applyFill="1" applyBorder="1" applyAlignment="1">
      <alignment vertical="center"/>
    </xf>
    <xf numFmtId="0" fontId="22" fillId="5" borderId="15" xfId="6" applyFont="1" applyFill="1" applyBorder="1" applyAlignment="1">
      <alignment horizontal="center" vertical="center"/>
    </xf>
    <xf numFmtId="178" fontId="22" fillId="5" borderId="15" xfId="5" applyFont="1" applyFill="1" applyBorder="1" applyAlignment="1">
      <alignment horizontal="right" vertical="center"/>
    </xf>
    <xf numFmtId="0" fontId="22" fillId="5" borderId="16" xfId="6" applyFont="1" applyFill="1" applyBorder="1" applyAlignment="1">
      <alignment vertical="center"/>
    </xf>
    <xf numFmtId="0" fontId="22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22" fillId="0" borderId="15" xfId="3" applyNumberFormat="1" applyFont="1" applyBorder="1" applyAlignment="1">
      <alignment horizontal="right" vertical="center"/>
    </xf>
    <xf numFmtId="1" fontId="22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22" fillId="0" borderId="15" xfId="3" applyFont="1" applyBorder="1" applyAlignment="1">
      <alignment vertical="center"/>
    </xf>
    <xf numFmtId="180" fontId="22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22" fillId="0" borderId="19" xfId="6" applyFont="1" applyBorder="1" applyAlignment="1">
      <alignment vertical="center"/>
    </xf>
    <xf numFmtId="0" fontId="22" fillId="0" borderId="19" xfId="6" applyFont="1" applyBorder="1" applyAlignment="1">
      <alignment horizontal="right" vertical="center"/>
    </xf>
    <xf numFmtId="0" fontId="22" fillId="0" borderId="20" xfId="6" applyFont="1" applyBorder="1" applyAlignment="1">
      <alignment vertical="center"/>
    </xf>
    <xf numFmtId="0" fontId="12" fillId="0" borderId="0" xfId="10" applyFont="1"/>
    <xf numFmtId="181" fontId="20" fillId="0" borderId="0" xfId="1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182" fontId="23" fillId="3" borderId="0" xfId="2" applyNumberFormat="1" applyFont="1" applyFill="1" applyAlignment="1">
      <alignment horizontal="center" vertical="center"/>
    </xf>
    <xf numFmtId="0" fontId="23" fillId="4" borderId="22" xfId="0" applyFont="1" applyFill="1" applyBorder="1" applyAlignment="1">
      <alignment horizontal="center" vertical="center"/>
    </xf>
    <xf numFmtId="0" fontId="23" fillId="7" borderId="3" xfId="0" applyFont="1" applyFill="1" applyBorder="1" applyAlignment="1">
      <alignment horizontal="center" vertical="center"/>
    </xf>
    <xf numFmtId="177" fontId="23" fillId="4" borderId="3" xfId="4" applyFont="1" applyFill="1" applyBorder="1" applyAlignment="1">
      <alignment horizontal="center" vertical="center"/>
    </xf>
    <xf numFmtId="178" fontId="23" fillId="4" borderId="3" xfId="5" applyFont="1" applyFill="1" applyBorder="1" applyAlignment="1">
      <alignment horizontal="center" vertical="center"/>
    </xf>
    <xf numFmtId="0" fontId="19" fillId="6" borderId="22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/>
    </xf>
    <xf numFmtId="49" fontId="19" fillId="5" borderId="3" xfId="0" applyNumberFormat="1" applyFont="1" applyFill="1" applyBorder="1" applyAlignment="1">
      <alignment horizontal="center" vertical="center" wrapText="1"/>
    </xf>
    <xf numFmtId="177" fontId="19" fillId="0" borderId="3" xfId="1" applyFont="1" applyFill="1" applyBorder="1" applyAlignment="1">
      <alignment horizontal="center" vertical="center" wrapText="1"/>
    </xf>
    <xf numFmtId="0" fontId="24" fillId="0" borderId="23" xfId="0" applyFont="1" applyBorder="1" applyAlignment="1">
      <alignment horizontal="center" vertical="center"/>
    </xf>
    <xf numFmtId="0" fontId="20" fillId="0" borderId="0" xfId="0" applyFont="1">
      <alignment vertical="center"/>
    </xf>
    <xf numFmtId="183" fontId="25" fillId="0" borderId="31" xfId="15" quotePrefix="1" applyNumberFormat="1" applyFont="1" applyBorder="1" applyAlignment="1">
      <alignment horizontal="center" vertical="center"/>
    </xf>
    <xf numFmtId="177" fontId="24" fillId="0" borderId="31" xfId="13" applyFont="1" applyBorder="1" applyAlignment="1">
      <alignment vertical="center"/>
    </xf>
    <xf numFmtId="185" fontId="24" fillId="0" borderId="31" xfId="13" applyNumberFormat="1" applyFont="1" applyBorder="1" applyAlignment="1">
      <alignment horizontal="center" vertical="center"/>
    </xf>
    <xf numFmtId="177" fontId="24" fillId="0" borderId="31" xfId="13" applyFont="1" applyBorder="1" applyAlignment="1">
      <alignment horizontal="center" vertical="center"/>
    </xf>
    <xf numFmtId="183" fontId="24" fillId="5" borderId="31" xfId="13" applyNumberFormat="1" applyFont="1" applyFill="1" applyBorder="1" applyAlignment="1">
      <alignment horizontal="right" vertical="center" wrapText="1"/>
    </xf>
    <xf numFmtId="185" fontId="24" fillId="11" borderId="31" xfId="13" applyNumberFormat="1" applyFont="1" applyFill="1" applyBorder="1" applyAlignment="1">
      <alignment horizontal="center" vertical="center"/>
    </xf>
    <xf numFmtId="177" fontId="24" fillId="11" borderId="31" xfId="13" applyFont="1" applyFill="1" applyBorder="1" applyAlignment="1">
      <alignment horizontal="center" vertical="center"/>
    </xf>
    <xf numFmtId="186" fontId="25" fillId="11" borderId="31" xfId="13" applyNumberFormat="1" applyFont="1" applyFill="1" applyBorder="1" applyAlignment="1">
      <alignment horizontal="center" vertical="center"/>
    </xf>
    <xf numFmtId="183" fontId="25" fillId="11" borderId="31" xfId="13" applyNumberFormat="1" applyFont="1" applyFill="1" applyBorder="1" applyAlignment="1">
      <alignment horizontal="right" vertical="center" wrapText="1"/>
    </xf>
    <xf numFmtId="183" fontId="25" fillId="11" borderId="31" xfId="13" applyNumberFormat="1" applyFont="1" applyFill="1" applyBorder="1" applyAlignment="1">
      <alignment horizontal="center" vertical="center" wrapText="1"/>
    </xf>
    <xf numFmtId="185" fontId="24" fillId="5" borderId="31" xfId="13" applyNumberFormat="1" applyFont="1" applyFill="1" applyBorder="1" applyAlignment="1">
      <alignment horizontal="center" vertical="center"/>
    </xf>
    <xf numFmtId="177" fontId="24" fillId="5" borderId="31" xfId="13" applyFont="1" applyFill="1" applyBorder="1" applyAlignment="1">
      <alignment horizontal="center" vertical="center"/>
    </xf>
    <xf numFmtId="183" fontId="24" fillId="5" borderId="31" xfId="13" applyNumberFormat="1" applyFont="1" applyFill="1" applyBorder="1" applyAlignment="1">
      <alignment horizontal="center" vertical="center" wrapText="1"/>
    </xf>
    <xf numFmtId="185" fontId="25" fillId="11" borderId="31" xfId="13" applyNumberFormat="1" applyFont="1" applyFill="1" applyBorder="1" applyAlignment="1">
      <alignment horizontal="center" vertical="center"/>
    </xf>
    <xf numFmtId="177" fontId="25" fillId="11" borderId="31" xfId="13" applyFont="1" applyFill="1" applyBorder="1" applyAlignment="1">
      <alignment horizontal="center" vertical="center"/>
    </xf>
    <xf numFmtId="183" fontId="19" fillId="5" borderId="31" xfId="13" applyNumberFormat="1" applyFont="1" applyFill="1" applyBorder="1" applyAlignment="1">
      <alignment horizontal="center" vertical="center" wrapText="1"/>
    </xf>
    <xf numFmtId="186" fontId="24" fillId="11" borderId="31" xfId="13" applyNumberFormat="1" applyFont="1" applyFill="1" applyBorder="1" applyAlignment="1">
      <alignment horizontal="center" vertical="center"/>
    </xf>
    <xf numFmtId="183" fontId="24" fillId="11" borderId="31" xfId="13" applyNumberFormat="1" applyFont="1" applyFill="1" applyBorder="1" applyAlignment="1">
      <alignment horizontal="right" vertical="center" wrapText="1"/>
    </xf>
    <xf numFmtId="183" fontId="24" fillId="11" borderId="31" xfId="13" applyNumberFormat="1" applyFont="1" applyFill="1" applyBorder="1" applyAlignment="1">
      <alignment vertical="center" wrapText="1"/>
    </xf>
    <xf numFmtId="183" fontId="25" fillId="11" borderId="31" xfId="13" applyNumberFormat="1" applyFont="1" applyFill="1" applyBorder="1" applyAlignment="1">
      <alignment vertical="center" wrapText="1"/>
    </xf>
    <xf numFmtId="0" fontId="20" fillId="0" borderId="0" xfId="15" applyFont="1">
      <alignment vertical="center"/>
    </xf>
    <xf numFmtId="49" fontId="19" fillId="7" borderId="3" xfId="0" applyNumberFormat="1" applyFont="1" applyFill="1" applyBorder="1" applyAlignment="1">
      <alignment horizontal="center" vertical="center"/>
    </xf>
    <xf numFmtId="0" fontId="23" fillId="11" borderId="31" xfId="13" applyNumberFormat="1" applyFont="1" applyFill="1" applyBorder="1" applyAlignment="1">
      <alignment horizontal="center" vertical="center"/>
    </xf>
    <xf numFmtId="0" fontId="23" fillId="11" borderId="36" xfId="13" applyNumberFormat="1" applyFont="1" applyFill="1" applyBorder="1" applyAlignment="1">
      <alignment horizontal="center" vertical="center"/>
    </xf>
    <xf numFmtId="49" fontId="19" fillId="2" borderId="1" xfId="0" applyNumberFormat="1" applyFont="1" applyFill="1" applyBorder="1" applyAlignment="1">
      <alignment horizontal="center" vertical="center" wrapText="1"/>
    </xf>
    <xf numFmtId="181" fontId="19" fillId="7" borderId="1" xfId="1" applyNumberFormat="1" applyFont="1" applyFill="1" applyBorder="1" applyAlignment="1">
      <alignment horizontal="center" vertical="center"/>
    </xf>
    <xf numFmtId="181" fontId="19" fillId="0" borderId="1" xfId="1" applyNumberFormat="1" applyFont="1" applyBorder="1" applyAlignment="1">
      <alignment horizontal="center" vertical="center"/>
    </xf>
    <xf numFmtId="0" fontId="19" fillId="6" borderId="3" xfId="0" applyFont="1" applyFill="1" applyBorder="1" applyAlignment="1">
      <alignment horizontal="center" vertical="center"/>
    </xf>
    <xf numFmtId="0" fontId="23" fillId="0" borderId="32" xfId="13" applyNumberFormat="1" applyFont="1" applyBorder="1" applyAlignment="1">
      <alignment vertical="center"/>
    </xf>
    <xf numFmtId="0" fontId="23" fillId="0" borderId="35" xfId="13" applyNumberFormat="1" applyFont="1" applyBorder="1" applyAlignment="1">
      <alignment vertical="center"/>
    </xf>
    <xf numFmtId="0" fontId="22" fillId="5" borderId="0" xfId="0" applyFont="1" applyFill="1" applyAlignment="1">
      <alignment horizontal="center" vertical="center"/>
    </xf>
    <xf numFmtId="0" fontId="23" fillId="8" borderId="31" xfId="13" applyNumberFormat="1" applyFont="1" applyFill="1" applyBorder="1" applyAlignment="1">
      <alignment horizontal="center" vertical="center"/>
    </xf>
    <xf numFmtId="185" fontId="24" fillId="8" borderId="31" xfId="13" applyNumberFormat="1" applyFont="1" applyFill="1" applyBorder="1" applyAlignment="1">
      <alignment horizontal="center" vertical="center"/>
    </xf>
    <xf numFmtId="177" fontId="24" fillId="8" borderId="31" xfId="13" applyFont="1" applyFill="1" applyBorder="1" applyAlignment="1">
      <alignment horizontal="center" vertical="center"/>
    </xf>
    <xf numFmtId="183" fontId="25" fillId="8" borderId="31" xfId="13" applyNumberFormat="1" applyFont="1" applyFill="1" applyBorder="1" applyAlignment="1">
      <alignment horizontal="right" vertical="center" wrapText="1"/>
    </xf>
    <xf numFmtId="188" fontId="24" fillId="5" borderId="31" xfId="13" applyNumberFormat="1" applyFont="1" applyFill="1" applyBorder="1" applyAlignment="1">
      <alignment horizontal="center" vertical="center" wrapText="1"/>
    </xf>
    <xf numFmtId="189" fontId="19" fillId="0" borderId="1" xfId="1" applyNumberFormat="1" applyFont="1" applyBorder="1" applyAlignment="1">
      <alignment horizontal="center" vertical="center"/>
    </xf>
    <xf numFmtId="187" fontId="19" fillId="0" borderId="3" xfId="1" applyNumberFormat="1" applyFont="1" applyFill="1" applyBorder="1" applyAlignment="1">
      <alignment horizontal="center" vertical="center"/>
    </xf>
    <xf numFmtId="49" fontId="19" fillId="5" borderId="3" xfId="0" applyNumberFormat="1" applyFont="1" applyFill="1" applyBorder="1" applyAlignment="1">
      <alignment horizontal="center" vertical="center"/>
    </xf>
    <xf numFmtId="183" fontId="24" fillId="0" borderId="31" xfId="13" applyNumberFormat="1" applyFont="1" applyBorder="1" applyAlignment="1">
      <alignment horizontal="right" vertical="center" wrapText="1"/>
    </xf>
    <xf numFmtId="183" fontId="24" fillId="0" borderId="31" xfId="13" applyNumberFormat="1" applyFont="1" applyFill="1" applyBorder="1" applyAlignment="1">
      <alignment horizontal="right" vertical="center" wrapText="1"/>
    </xf>
    <xf numFmtId="186" fontId="25" fillId="5" borderId="31" xfId="13" applyNumberFormat="1" applyFont="1" applyFill="1" applyBorder="1" applyAlignment="1">
      <alignment horizontal="center" vertical="center"/>
    </xf>
    <xf numFmtId="0" fontId="20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5" fillId="0" borderId="31" xfId="15" quotePrefix="1" applyFont="1" applyBorder="1" applyAlignment="1">
      <alignment horizontal="center" vertical="center"/>
    </xf>
    <xf numFmtId="49" fontId="24" fillId="5" borderId="3" xfId="0" applyNumberFormat="1" applyFont="1" applyFill="1" applyBorder="1" applyAlignment="1">
      <alignment horizontal="center" vertical="center"/>
    </xf>
    <xf numFmtId="49" fontId="24" fillId="5" borderId="31" xfId="0" applyNumberFormat="1" applyFont="1" applyFill="1" applyBorder="1" applyAlignment="1">
      <alignment horizontal="center" vertical="center"/>
    </xf>
    <xf numFmtId="49" fontId="24" fillId="5" borderId="31" xfId="0" applyNumberFormat="1" applyFont="1" applyFill="1" applyBorder="1">
      <alignment vertical="center"/>
    </xf>
    <xf numFmtId="191" fontId="19" fillId="5" borderId="3" xfId="0" applyNumberFormat="1" applyFont="1" applyFill="1" applyBorder="1" applyAlignment="1">
      <alignment horizontal="right" vertical="center" wrapText="1"/>
    </xf>
    <xf numFmtId="191" fontId="19" fillId="6" borderId="3" xfId="1" applyNumberFormat="1" applyFont="1" applyFill="1" applyBorder="1" applyAlignment="1">
      <alignment horizontal="right" vertical="center" wrapText="1"/>
    </xf>
    <xf numFmtId="191" fontId="19" fillId="0" borderId="3" xfId="1" applyNumberFormat="1" applyFont="1" applyFill="1" applyBorder="1" applyAlignment="1">
      <alignment horizontal="right" vertical="center" wrapText="1"/>
    </xf>
    <xf numFmtId="191" fontId="19" fillId="5" borderId="3" xfId="0" applyNumberFormat="1" applyFont="1" applyFill="1" applyBorder="1" applyAlignment="1">
      <alignment horizontal="right" vertical="center"/>
    </xf>
    <xf numFmtId="191" fontId="19" fillId="5" borderId="3" xfId="1" applyNumberFormat="1" applyFont="1" applyFill="1" applyBorder="1" applyAlignment="1">
      <alignment horizontal="right" vertical="center" wrapText="1"/>
    </xf>
    <xf numFmtId="192" fontId="19" fillId="5" borderId="3" xfId="1" applyNumberFormat="1" applyFont="1" applyFill="1" applyBorder="1" applyAlignment="1">
      <alignment horizontal="center" vertical="center"/>
    </xf>
    <xf numFmtId="49" fontId="19" fillId="0" borderId="3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23" fillId="4" borderId="3" xfId="3" applyFont="1" applyFill="1" applyBorder="1" applyAlignment="1">
      <alignment horizontal="center" vertical="center" wrapText="1"/>
    </xf>
    <xf numFmtId="0" fontId="22" fillId="5" borderId="0" xfId="0" applyFont="1" applyFill="1" applyAlignment="1">
      <alignment vertical="center" wrapText="1"/>
    </xf>
    <xf numFmtId="0" fontId="23" fillId="0" borderId="0" xfId="0" applyFont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23" fillId="9" borderId="24" xfId="0" applyFont="1" applyFill="1" applyBorder="1">
      <alignment vertical="center"/>
    </xf>
    <xf numFmtId="0" fontId="23" fillId="9" borderId="21" xfId="0" applyFont="1" applyFill="1" applyBorder="1">
      <alignment vertical="center"/>
    </xf>
    <xf numFmtId="0" fontId="24" fillId="0" borderId="0" xfId="0" applyFont="1">
      <alignment vertical="center"/>
    </xf>
    <xf numFmtId="49" fontId="20" fillId="0" borderId="3" xfId="0" applyNumberFormat="1" applyFont="1" applyBorder="1" applyAlignment="1">
      <alignment horizontal="center" vertical="center" wrapText="1"/>
    </xf>
    <xf numFmtId="49" fontId="20" fillId="5" borderId="3" xfId="0" applyNumberFormat="1" applyFont="1" applyFill="1" applyBorder="1" applyAlignment="1">
      <alignment horizontal="center" vertical="center"/>
    </xf>
    <xf numFmtId="0" fontId="22" fillId="12" borderId="0" xfId="0" applyFont="1" applyFill="1">
      <alignment vertical="center"/>
    </xf>
    <xf numFmtId="0" fontId="22" fillId="5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6" fillId="0" borderId="0" xfId="0" applyFont="1">
      <alignment vertical="center"/>
    </xf>
    <xf numFmtId="177" fontId="26" fillId="0" borderId="0" xfId="0" applyNumberFormat="1" applyFont="1">
      <alignment vertical="center"/>
    </xf>
    <xf numFmtId="0" fontId="22" fillId="0" borderId="0" xfId="0" applyFont="1">
      <alignment vertical="center"/>
    </xf>
    <xf numFmtId="0" fontId="23" fillId="5" borderId="0" xfId="0" applyFont="1" applyFill="1">
      <alignment vertical="center"/>
    </xf>
    <xf numFmtId="191" fontId="19" fillId="5" borderId="3" xfId="1" applyNumberFormat="1" applyFont="1" applyFill="1" applyBorder="1" applyAlignment="1">
      <alignment horizontal="right" vertical="center"/>
    </xf>
    <xf numFmtId="0" fontId="24" fillId="7" borderId="3" xfId="0" applyFont="1" applyFill="1" applyBorder="1" applyAlignment="1">
      <alignment horizontal="center" vertical="center"/>
    </xf>
    <xf numFmtId="49" fontId="24" fillId="0" borderId="3" xfId="0" applyNumberFormat="1" applyFont="1" applyBorder="1" applyAlignment="1">
      <alignment horizontal="center" vertical="center" wrapText="1"/>
    </xf>
    <xf numFmtId="191" fontId="24" fillId="5" borderId="3" xfId="1" applyNumberFormat="1" applyFont="1" applyFill="1" applyBorder="1" applyAlignment="1">
      <alignment horizontal="right" vertical="center" wrapText="1"/>
    </xf>
    <xf numFmtId="180" fontId="22" fillId="0" borderId="16" xfId="6" applyNumberFormat="1" applyFont="1" applyBorder="1" applyAlignment="1">
      <alignment vertical="center"/>
    </xf>
    <xf numFmtId="190" fontId="24" fillId="10" borderId="31" xfId="13" applyNumberFormat="1" applyFont="1" applyFill="1" applyBorder="1" applyAlignment="1">
      <alignment horizontal="center" vertical="center"/>
    </xf>
    <xf numFmtId="190" fontId="24" fillId="0" borderId="31" xfId="13" applyNumberFormat="1" applyFont="1" applyBorder="1" applyAlignment="1">
      <alignment horizontal="center" vertical="center" wrapText="1"/>
    </xf>
    <xf numFmtId="186" fontId="24" fillId="0" borderId="31" xfId="13" applyNumberFormat="1" applyFont="1" applyBorder="1" applyAlignment="1">
      <alignment horizontal="center" vertical="center"/>
    </xf>
    <xf numFmtId="186" fontId="25" fillId="8" borderId="31" xfId="13" applyNumberFormat="1" applyFont="1" applyFill="1" applyBorder="1" applyAlignment="1">
      <alignment horizontal="center" vertical="center"/>
    </xf>
    <xf numFmtId="188" fontId="24" fillId="11" borderId="31" xfId="13" applyNumberFormat="1" applyFont="1" applyFill="1" applyBorder="1" applyAlignment="1">
      <alignment horizontal="center" vertical="center" wrapText="1"/>
    </xf>
    <xf numFmtId="0" fontId="19" fillId="5" borderId="31" xfId="13" applyNumberFormat="1" applyFont="1" applyFill="1" applyBorder="1" applyAlignment="1">
      <alignment vertical="center"/>
    </xf>
    <xf numFmtId="185" fontId="24" fillId="7" borderId="31" xfId="13" applyNumberFormat="1" applyFont="1" applyFill="1" applyBorder="1" applyAlignment="1">
      <alignment horizontal="center" vertical="center"/>
    </xf>
    <xf numFmtId="177" fontId="24" fillId="7" borderId="31" xfId="13" applyFont="1" applyFill="1" applyBorder="1" applyAlignment="1">
      <alignment horizontal="center" vertical="center"/>
    </xf>
    <xf numFmtId="183" fontId="24" fillId="7" borderId="31" xfId="13" applyNumberFormat="1" applyFont="1" applyFill="1" applyBorder="1" applyAlignment="1">
      <alignment horizontal="center" vertical="center" wrapText="1"/>
    </xf>
    <xf numFmtId="183" fontId="24" fillId="7" borderId="31" xfId="13" applyNumberFormat="1" applyFont="1" applyFill="1" applyBorder="1" applyAlignment="1">
      <alignment horizontal="right" vertical="center" wrapText="1"/>
    </xf>
    <xf numFmtId="49" fontId="24" fillId="7" borderId="31" xfId="0" applyNumberFormat="1" applyFont="1" applyFill="1" applyBorder="1" applyAlignment="1">
      <alignment horizontal="center" vertical="center"/>
    </xf>
    <xf numFmtId="188" fontId="24" fillId="7" borderId="31" xfId="13" applyNumberFormat="1" applyFont="1" applyFill="1" applyBorder="1" applyAlignment="1">
      <alignment horizontal="center" vertical="center" wrapText="1"/>
    </xf>
    <xf numFmtId="0" fontId="23" fillId="5" borderId="31" xfId="15" applyFont="1" applyFill="1" applyBorder="1">
      <alignment vertical="center"/>
    </xf>
    <xf numFmtId="0" fontId="24" fillId="5" borderId="31" xfId="15" applyFont="1" applyFill="1" applyBorder="1" applyAlignment="1">
      <alignment horizontal="center" vertical="center"/>
    </xf>
    <xf numFmtId="183" fontId="24" fillId="5" borderId="31" xfId="16" applyNumberFormat="1" applyFont="1" applyFill="1" applyBorder="1" applyAlignment="1">
      <alignment vertical="center"/>
    </xf>
    <xf numFmtId="183" fontId="24" fillId="0" borderId="31" xfId="13" applyNumberFormat="1" applyFont="1" applyBorder="1" applyAlignment="1">
      <alignment vertical="center"/>
    </xf>
    <xf numFmtId="193" fontId="24" fillId="5" borderId="31" xfId="0" applyNumberFormat="1" applyFont="1" applyFill="1" applyBorder="1" applyAlignment="1">
      <alignment horizontal="right" vertical="center" wrapText="1"/>
    </xf>
    <xf numFmtId="49" fontId="28" fillId="7" borderId="3" xfId="0" applyNumberFormat="1" applyFont="1" applyFill="1" applyBorder="1" applyAlignment="1">
      <alignment horizontal="center" vertical="center" wrapText="1"/>
    </xf>
    <xf numFmtId="0" fontId="29" fillId="7" borderId="3" xfId="0" applyFont="1" applyFill="1" applyBorder="1" applyAlignment="1">
      <alignment horizontal="center" vertical="center"/>
    </xf>
    <xf numFmtId="49" fontId="30" fillId="5" borderId="3" xfId="0" applyNumberFormat="1" applyFont="1" applyFill="1" applyBorder="1" applyAlignment="1">
      <alignment horizontal="center" vertical="center" wrapText="1"/>
    </xf>
    <xf numFmtId="0" fontId="19" fillId="5" borderId="32" xfId="15" applyFont="1" applyFill="1" applyBorder="1" applyAlignment="1">
      <alignment vertical="center" wrapText="1"/>
    </xf>
    <xf numFmtId="0" fontId="18" fillId="0" borderId="0" xfId="6" applyFont="1" applyAlignment="1">
      <alignment horizontal="center" vertical="center"/>
    </xf>
    <xf numFmtId="0" fontId="21" fillId="0" borderId="0" xfId="6" applyFont="1" applyAlignment="1">
      <alignment vertical="center"/>
    </xf>
    <xf numFmtId="0" fontId="20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3" fillId="0" borderId="0" xfId="0" applyFont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9" borderId="3" xfId="0" applyFont="1" applyFill="1" applyBorder="1" applyAlignment="1">
      <alignment horizontal="center" vertical="center"/>
    </xf>
    <xf numFmtId="177" fontId="23" fillId="4" borderId="21" xfId="4" applyFont="1" applyFill="1" applyBorder="1" applyAlignment="1">
      <alignment horizontal="center" vertical="center"/>
    </xf>
    <xf numFmtId="178" fontId="23" fillId="4" borderId="21" xfId="5" applyFont="1" applyFill="1" applyBorder="1" applyAlignment="1">
      <alignment horizontal="center" vertical="center"/>
    </xf>
    <xf numFmtId="0" fontId="23" fillId="4" borderId="21" xfId="0" applyFont="1" applyFill="1" applyBorder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23" fillId="4" borderId="21" xfId="3" applyFont="1" applyFill="1" applyBorder="1" applyAlignment="1">
      <alignment horizontal="center" vertical="center"/>
    </xf>
    <xf numFmtId="0" fontId="23" fillId="4" borderId="3" xfId="3" applyFont="1" applyFill="1" applyBorder="1" applyAlignment="1">
      <alignment horizontal="center" vertical="center"/>
    </xf>
    <xf numFmtId="0" fontId="23" fillId="4" borderId="21" xfId="3" applyFont="1" applyFill="1" applyBorder="1" applyAlignment="1">
      <alignment horizontal="center" vertical="center" wrapText="1"/>
    </xf>
    <xf numFmtId="0" fontId="19" fillId="0" borderId="31" xfId="13" applyNumberFormat="1" applyFont="1" applyBorder="1" applyAlignment="1">
      <alignment vertical="center"/>
    </xf>
    <xf numFmtId="0" fontId="19" fillId="0" borderId="32" xfId="13" applyNumberFormat="1" applyFont="1" applyBorder="1" applyAlignment="1">
      <alignment vertical="center"/>
    </xf>
    <xf numFmtId="0" fontId="19" fillId="0" borderId="36" xfId="13" applyNumberFormat="1" applyFont="1" applyBorder="1" applyAlignment="1">
      <alignment vertical="center"/>
    </xf>
    <xf numFmtId="183" fontId="19" fillId="0" borderId="32" xfId="13" applyNumberFormat="1" applyFont="1" applyBorder="1" applyAlignment="1">
      <alignment horizontal="center" vertical="center" wrapText="1"/>
    </xf>
    <xf numFmtId="183" fontId="19" fillId="0" borderId="36" xfId="13" applyNumberFormat="1" applyFont="1" applyBorder="1" applyAlignment="1">
      <alignment horizontal="center" vertical="center" wrapText="1"/>
    </xf>
    <xf numFmtId="0" fontId="19" fillId="10" borderId="36" xfId="13" applyNumberFormat="1" applyFont="1" applyFill="1" applyBorder="1" applyAlignment="1">
      <alignment vertical="center"/>
    </xf>
    <xf numFmtId="183" fontId="27" fillId="5" borderId="32" xfId="13" applyNumberFormat="1" applyFont="1" applyFill="1" applyBorder="1" applyAlignment="1">
      <alignment horizontal="center" vertical="center" wrapText="1"/>
    </xf>
    <xf numFmtId="183" fontId="27" fillId="5" borderId="36" xfId="13" applyNumberFormat="1" applyFont="1" applyFill="1" applyBorder="1" applyAlignment="1">
      <alignment horizontal="center" vertical="center" wrapText="1"/>
    </xf>
    <xf numFmtId="184" fontId="23" fillId="11" borderId="33" xfId="13" applyNumberFormat="1" applyFont="1" applyFill="1" applyBorder="1" applyAlignment="1">
      <alignment vertical="center"/>
    </xf>
    <xf numFmtId="184" fontId="25" fillId="11" borderId="34" xfId="13" applyNumberFormat="1" applyFont="1" applyFill="1" applyBorder="1" applyAlignment="1">
      <alignment vertical="center"/>
    </xf>
    <xf numFmtId="0" fontId="21" fillId="0" borderId="30" xfId="15" applyFont="1" applyBorder="1" applyAlignment="1">
      <alignment horizontal="center" vertical="center"/>
    </xf>
    <xf numFmtId="0" fontId="23" fillId="0" borderId="31" xfId="15" quotePrefix="1" applyFont="1" applyBorder="1" applyAlignment="1">
      <alignment horizontal="center" vertical="center"/>
    </xf>
    <xf numFmtId="0" fontId="25" fillId="0" borderId="31" xfId="15" quotePrefix="1" applyFont="1" applyBorder="1" applyAlignment="1">
      <alignment horizontal="center" vertical="center"/>
    </xf>
    <xf numFmtId="0" fontId="25" fillId="0" borderId="32" xfId="15" quotePrefix="1" applyFont="1" applyBorder="1" applyAlignment="1">
      <alignment horizontal="center" vertical="center"/>
    </xf>
    <xf numFmtId="0" fontId="25" fillId="0" borderId="35" xfId="15" quotePrefix="1" applyFont="1" applyBorder="1" applyAlignment="1">
      <alignment horizontal="center" vertical="center"/>
    </xf>
    <xf numFmtId="0" fontId="25" fillId="0" borderId="31" xfId="15" applyFont="1" applyBorder="1" applyAlignment="1">
      <alignment horizontal="center" vertical="center"/>
    </xf>
    <xf numFmtId="0" fontId="25" fillId="0" borderId="33" xfId="15" quotePrefix="1" applyFont="1" applyBorder="1" applyAlignment="1">
      <alignment horizontal="center" vertical="center"/>
    </xf>
    <xf numFmtId="0" fontId="25" fillId="0" borderId="34" xfId="15" quotePrefix="1" applyFont="1" applyBorder="1" applyAlignment="1">
      <alignment horizontal="center" vertical="center"/>
    </xf>
    <xf numFmtId="0" fontId="25" fillId="0" borderId="32" xfId="15" applyFont="1" applyBorder="1" applyAlignment="1">
      <alignment horizontal="center" vertical="center"/>
    </xf>
    <xf numFmtId="0" fontId="25" fillId="0" borderId="35" xfId="15" applyFont="1" applyBorder="1" applyAlignment="1">
      <alignment horizontal="center"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</xdr:rowOff>
    </xdr:from>
    <xdr:to>
      <xdr:col>8</xdr:col>
      <xdr:colOff>399314</xdr:colOff>
      <xdr:row>41</xdr:row>
      <xdr:rowOff>113382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6392417-1157-405A-A30F-1B426B9F7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9075"/>
          <a:ext cx="5885714" cy="7342857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476250</xdr:colOff>
      <xdr:row>1</xdr:row>
      <xdr:rowOff>0</xdr:rowOff>
    </xdr:from>
    <xdr:to>
      <xdr:col>17</xdr:col>
      <xdr:colOff>237383</xdr:colOff>
      <xdr:row>42</xdr:row>
      <xdr:rowOff>46692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E8F5512-BC38-4453-8912-866F21BCE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2650" y="209550"/>
          <a:ext cx="5933333" cy="7466667"/>
        </a:xfrm>
        <a:prstGeom prst="rect">
          <a:avLst/>
        </a:prstGeom>
      </xdr:spPr>
    </xdr:pic>
    <xdr:clientData/>
  </xdr:twoCellAnchor>
  <xdr:twoCellAnchor editAs="oneCell">
    <xdr:from>
      <xdr:col>17</xdr:col>
      <xdr:colOff>400050</xdr:colOff>
      <xdr:row>1</xdr:row>
      <xdr:rowOff>0</xdr:rowOff>
    </xdr:from>
    <xdr:to>
      <xdr:col>25</xdr:col>
      <xdr:colOff>532698</xdr:colOff>
      <xdr:row>38</xdr:row>
      <xdr:rowOff>170592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E5F3308F-7E20-469B-8C87-FFB546BE6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58650" y="209550"/>
          <a:ext cx="5619048" cy="68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topLeftCell="A7" zoomScale="85" zoomScaleNormal="85" workbookViewId="0">
      <selection activeCell="N22" sqref="N22"/>
    </sheetView>
  </sheetViews>
  <sheetFormatPr defaultColWidth="9" defaultRowHeight="12.75" x14ac:dyDescent="0.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 x14ac:dyDescent="0.2">
      <c r="A2" s="178" t="s">
        <v>6</v>
      </c>
      <c r="B2" s="178"/>
      <c r="C2" s="178"/>
      <c r="D2" s="178"/>
      <c r="E2" s="178"/>
      <c r="F2" s="178"/>
      <c r="G2" s="178"/>
      <c r="H2" s="2"/>
    </row>
    <row r="3" spans="1:9" ht="14.25" x14ac:dyDescent="0.2">
      <c r="A3" s="121"/>
      <c r="B3" s="121"/>
      <c r="C3" s="121"/>
      <c r="D3" s="121"/>
      <c r="E3" s="121"/>
      <c r="F3" s="121"/>
      <c r="G3" s="121"/>
      <c r="H3" s="121"/>
    </row>
    <row r="4" spans="1:9" ht="14.25" x14ac:dyDescent="0.2">
      <c r="A4" s="121"/>
      <c r="B4" s="121"/>
      <c r="C4" s="121"/>
      <c r="D4" s="121"/>
      <c r="E4" s="121"/>
      <c r="H4" s="121"/>
    </row>
    <row r="5" spans="1:9" ht="27" customHeight="1" x14ac:dyDescent="0.2">
      <c r="A5" s="122" t="s">
        <v>48</v>
      </c>
      <c r="B5" s="4"/>
      <c r="C5" s="5"/>
      <c r="D5" s="121"/>
      <c r="E5" s="121"/>
      <c r="F5" s="6" t="s">
        <v>38</v>
      </c>
      <c r="G5" s="7" t="s">
        <v>52</v>
      </c>
      <c r="H5" s="121"/>
    </row>
    <row r="6" spans="1:9" ht="27" customHeight="1" x14ac:dyDescent="0.2">
      <c r="A6" s="121"/>
      <c r="B6" s="121"/>
      <c r="C6" s="121"/>
      <c r="D6" s="121"/>
      <c r="E6" s="121"/>
      <c r="F6" s="8" t="s">
        <v>41</v>
      </c>
      <c r="G6" s="9" t="s">
        <v>53</v>
      </c>
      <c r="H6" s="121"/>
    </row>
    <row r="7" spans="1:9" ht="27" customHeight="1" x14ac:dyDescent="0.2">
      <c r="A7" s="181" t="s">
        <v>158</v>
      </c>
      <c r="B7" s="182"/>
      <c r="C7" s="183"/>
      <c r="D7" s="121"/>
      <c r="E7" s="10"/>
      <c r="F7" s="11" t="s">
        <v>42</v>
      </c>
      <c r="G7" s="9" t="s">
        <v>54</v>
      </c>
      <c r="H7" s="121"/>
    </row>
    <row r="8" spans="1:9" ht="27" customHeight="1" x14ac:dyDescent="0.2">
      <c r="A8" s="121"/>
      <c r="B8" s="121"/>
      <c r="C8" s="121"/>
      <c r="D8" s="121"/>
      <c r="E8" s="121"/>
      <c r="F8" s="8" t="s">
        <v>43</v>
      </c>
      <c r="G8" s="9" t="s">
        <v>55</v>
      </c>
      <c r="H8" s="121"/>
    </row>
    <row r="9" spans="1:9" ht="27" customHeight="1" x14ac:dyDescent="0.2">
      <c r="A9" s="181" t="s">
        <v>159</v>
      </c>
      <c r="B9" s="182"/>
      <c r="C9" s="183"/>
      <c r="D9" s="121"/>
      <c r="E9" s="121"/>
      <c r="F9" s="8" t="s">
        <v>44</v>
      </c>
      <c r="G9" s="9" t="s">
        <v>56</v>
      </c>
      <c r="H9" s="121"/>
    </row>
    <row r="10" spans="1:9" ht="27" customHeight="1" x14ac:dyDescent="0.2">
      <c r="A10" s="121"/>
      <c r="B10" s="121"/>
      <c r="C10" s="121"/>
      <c r="D10" s="121"/>
      <c r="E10" s="121"/>
      <c r="F10" s="12" t="s">
        <v>39</v>
      </c>
      <c r="G10" s="13" t="s">
        <v>57</v>
      </c>
      <c r="H10" s="121"/>
      <c r="I10" s="121"/>
    </row>
    <row r="11" spans="1:9" ht="27" customHeight="1" x14ac:dyDescent="0.2">
      <c r="A11" s="179"/>
      <c r="B11" s="180"/>
      <c r="C11" s="180"/>
      <c r="D11" s="121"/>
      <c r="E11" s="14"/>
      <c r="F11" s="15" t="s">
        <v>40</v>
      </c>
      <c r="G11" s="16" t="s">
        <v>58</v>
      </c>
      <c r="H11" s="14"/>
    </row>
    <row r="12" spans="1:9" ht="18.75" thickBot="1" x14ac:dyDescent="0.25">
      <c r="A12" s="17" t="s">
        <v>7</v>
      </c>
      <c r="B12" s="17" t="str">
        <f>NUMBERSTRING(F31,1)</f>
        <v>삼백팔십이만칠천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 x14ac:dyDescent="0.25">
      <c r="A13" s="121"/>
      <c r="B13" s="121"/>
      <c r="C13" s="121"/>
      <c r="D13" s="121"/>
      <c r="E13" s="121"/>
      <c r="F13" s="121"/>
      <c r="G13" s="121"/>
      <c r="H13" s="19"/>
    </row>
    <row r="14" spans="1:9" ht="33" customHeight="1" thickBot="1" x14ac:dyDescent="0.25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 x14ac:dyDescent="0.2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 x14ac:dyDescent="0.2">
      <c r="A16" s="29"/>
      <c r="B16" s="30" t="s">
        <v>18</v>
      </c>
      <c r="C16" s="31"/>
      <c r="D16" s="32"/>
      <c r="E16" s="32"/>
      <c r="F16" s="33">
        <f>'내역서(표준단가)'!O15</f>
        <v>616253.88100000005</v>
      </c>
      <c r="G16" s="34"/>
    </row>
    <row r="17" spans="1:7" ht="33" customHeight="1" x14ac:dyDescent="0.2">
      <c r="A17" s="29"/>
      <c r="B17" s="30" t="s">
        <v>19</v>
      </c>
      <c r="C17" s="31"/>
      <c r="D17" s="32"/>
      <c r="E17" s="32"/>
      <c r="F17" s="33">
        <f>'내역서(표준단가)'!Q15</f>
        <v>2616008.4404999996</v>
      </c>
      <c r="G17" s="35"/>
    </row>
    <row r="18" spans="1:7" ht="33" customHeight="1" x14ac:dyDescent="0.2">
      <c r="A18" s="29"/>
      <c r="B18" s="30" t="s">
        <v>20</v>
      </c>
      <c r="C18" s="31"/>
      <c r="D18" s="32"/>
      <c r="E18" s="32"/>
      <c r="F18" s="33">
        <f>'내역서(표준단가)'!S15+'내역서(표준단가)'!U15</f>
        <v>0</v>
      </c>
      <c r="G18" s="35"/>
    </row>
    <row r="19" spans="1:7" ht="33" customHeight="1" x14ac:dyDescent="0.2">
      <c r="A19" s="29"/>
      <c r="B19" s="36" t="s">
        <v>21</v>
      </c>
      <c r="C19" s="36"/>
      <c r="D19" s="37"/>
      <c r="E19" s="37"/>
      <c r="F19" s="38">
        <f>F16+F17+F18</f>
        <v>3232262.3214999996</v>
      </c>
      <c r="G19" s="35"/>
    </row>
    <row r="20" spans="1:7" ht="33" customHeight="1" x14ac:dyDescent="0.2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 x14ac:dyDescent="0.2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117720.37982249998</v>
      </c>
      <c r="G21" s="35" t="s">
        <v>26</v>
      </c>
    </row>
    <row r="22" spans="1:7" ht="33" customHeight="1" x14ac:dyDescent="0.2">
      <c r="A22" s="29"/>
      <c r="B22" s="44" t="s">
        <v>27</v>
      </c>
      <c r="C22" s="45" t="s">
        <v>49</v>
      </c>
      <c r="D22" s="46">
        <v>1</v>
      </c>
      <c r="E22" s="46" t="s">
        <v>25</v>
      </c>
      <c r="F22" s="47">
        <f>F17*3.545%</f>
        <v>92737.499215724994</v>
      </c>
      <c r="G22" s="48" t="s">
        <v>28</v>
      </c>
    </row>
    <row r="23" spans="1:7" ht="33" customHeight="1" x14ac:dyDescent="0.2">
      <c r="A23" s="29"/>
      <c r="B23" s="42" t="s">
        <v>29</v>
      </c>
      <c r="C23" s="40" t="s">
        <v>50</v>
      </c>
      <c r="D23" s="30">
        <v>1</v>
      </c>
      <c r="E23" s="30" t="s">
        <v>25</v>
      </c>
      <c r="F23" s="43">
        <f>F22*12.95%</f>
        <v>12009.506148436387</v>
      </c>
      <c r="G23" s="35" t="s">
        <v>28</v>
      </c>
    </row>
    <row r="24" spans="1:7" ht="33" customHeight="1" x14ac:dyDescent="0.2">
      <c r="A24" s="29"/>
      <c r="B24" s="42" t="s">
        <v>30</v>
      </c>
      <c r="C24" s="40" t="s">
        <v>46</v>
      </c>
      <c r="D24" s="30">
        <v>1</v>
      </c>
      <c r="E24" s="30" t="s">
        <v>25</v>
      </c>
      <c r="F24" s="43">
        <f>F17*1.01%</f>
        <v>26421.685249049995</v>
      </c>
      <c r="G24" s="35" t="s">
        <v>28</v>
      </c>
    </row>
    <row r="25" spans="1:7" ht="33" customHeight="1" x14ac:dyDescent="0.2">
      <c r="A25" s="29"/>
      <c r="B25" s="42" t="s">
        <v>31</v>
      </c>
      <c r="C25" s="40" t="s">
        <v>51</v>
      </c>
      <c r="D25" s="30">
        <v>1</v>
      </c>
      <c r="E25" s="30" t="s">
        <v>25</v>
      </c>
      <c r="F25" s="43">
        <f>F17*3.56%</f>
        <v>93129.900481799981</v>
      </c>
      <c r="G25" s="35" t="s">
        <v>28</v>
      </c>
    </row>
    <row r="26" spans="1:7" ht="33" customHeight="1" x14ac:dyDescent="0.2">
      <c r="A26" s="29"/>
      <c r="B26" s="42" t="s">
        <v>32</v>
      </c>
      <c r="C26" s="49" t="s">
        <v>139</v>
      </c>
      <c r="D26" s="30">
        <v>1</v>
      </c>
      <c r="E26" s="30" t="s">
        <v>25</v>
      </c>
      <c r="F26" s="43">
        <f>(F16+F17)*3.11%</f>
        <v>100523.35819864999</v>
      </c>
      <c r="G26" s="35" t="s">
        <v>26</v>
      </c>
    </row>
    <row r="27" spans="1:7" ht="33" customHeight="1" x14ac:dyDescent="0.2">
      <c r="A27" s="29"/>
      <c r="B27" s="42" t="s">
        <v>36</v>
      </c>
      <c r="C27" s="49" t="s">
        <v>37</v>
      </c>
      <c r="D27" s="30">
        <v>1</v>
      </c>
      <c r="E27" s="30" t="s">
        <v>25</v>
      </c>
      <c r="F27" s="43">
        <f>SUM(F17+F21+F22+F23+F24+F25+F26)*5%</f>
        <v>152927.53848080809</v>
      </c>
      <c r="G27" s="35"/>
    </row>
    <row r="28" spans="1:7" ht="33" customHeight="1" x14ac:dyDescent="0.2">
      <c r="A28" s="29"/>
      <c r="B28" s="36" t="s">
        <v>33</v>
      </c>
      <c r="C28" s="50"/>
      <c r="D28" s="51"/>
      <c r="E28" s="37"/>
      <c r="F28" s="52">
        <f>F21+F22+F23+F24+F25+F26+F27</f>
        <v>595469.86759696947</v>
      </c>
      <c r="G28" s="35"/>
    </row>
    <row r="29" spans="1:7" ht="33" customHeight="1" x14ac:dyDescent="0.2">
      <c r="A29" s="29"/>
      <c r="B29" s="40"/>
      <c r="C29" s="53"/>
      <c r="D29" s="54"/>
      <c r="E29" s="32"/>
      <c r="F29" s="55"/>
      <c r="G29" s="35"/>
    </row>
    <row r="30" spans="1:7" ht="33" customHeight="1" x14ac:dyDescent="0.2">
      <c r="A30" s="29"/>
      <c r="B30" s="56"/>
      <c r="C30" s="53"/>
      <c r="D30" s="54"/>
      <c r="E30" s="32"/>
      <c r="F30" s="57">
        <f>F19+F28+F29</f>
        <v>3827732.1890969691</v>
      </c>
      <c r="G30" s="35"/>
    </row>
    <row r="31" spans="1:7" ht="33" customHeight="1" x14ac:dyDescent="0.2">
      <c r="A31" s="29"/>
      <c r="B31" s="36" t="s">
        <v>34</v>
      </c>
      <c r="C31" s="36"/>
      <c r="D31" s="37"/>
      <c r="E31" s="37"/>
      <c r="F31" s="58">
        <f>ROUNDDOWN(F30,-3)</f>
        <v>3827000</v>
      </c>
      <c r="G31" s="156"/>
    </row>
    <row r="32" spans="1:7" ht="33" customHeight="1" thickBot="1" x14ac:dyDescent="0.25">
      <c r="A32" s="59"/>
      <c r="B32" s="60" t="s">
        <v>35</v>
      </c>
      <c r="C32" s="61"/>
      <c r="D32" s="61"/>
      <c r="E32" s="61"/>
      <c r="F32" s="62"/>
      <c r="G32" s="63"/>
    </row>
    <row r="33" spans="2:2" ht="15.75" x14ac:dyDescent="0.25">
      <c r="B33" s="64"/>
    </row>
    <row r="34" spans="2:2" ht="15.75" x14ac:dyDescent="0.25">
      <c r="B34" s="64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5"/>
  <sheetViews>
    <sheetView showGridLines="0" zoomScale="80" zoomScaleNormal="80" workbookViewId="0">
      <pane ySplit="4" topLeftCell="A5" activePane="bottomLeft" state="frozen"/>
      <selection pane="bottomLeft" activeCell="K19" sqref="K19"/>
    </sheetView>
  </sheetViews>
  <sheetFormatPr defaultColWidth="9" defaultRowHeight="38.1" customHeight="1" x14ac:dyDescent="0.3"/>
  <cols>
    <col min="1" max="1" width="22.625" style="151" bestFit="1" customWidth="1"/>
    <col min="2" max="5" width="4.625" style="151" hidden="1" customWidth="1"/>
    <col min="6" max="6" width="9" style="139" hidden="1" customWidth="1"/>
    <col min="7" max="9" width="12.625" style="139" hidden="1" customWidth="1"/>
    <col min="10" max="11" width="30.625" style="134" customWidth="1"/>
    <col min="12" max="12" width="12.375" style="139" bestFit="1" customWidth="1"/>
    <col min="13" max="13" width="8.25" style="139" customWidth="1"/>
    <col min="14" max="14" width="10.625" style="139" bestFit="1" customWidth="1"/>
    <col min="15" max="15" width="13.25" style="139" bestFit="1" customWidth="1"/>
    <col min="16" max="16" width="12" style="139" bestFit="1" customWidth="1"/>
    <col min="17" max="17" width="15.625" style="139" bestFit="1" customWidth="1"/>
    <col min="18" max="18" width="9" style="139" customWidth="1"/>
    <col min="19" max="19" width="8.75" style="139" bestFit="1" customWidth="1"/>
    <col min="20" max="20" width="10.5" style="139" customWidth="1"/>
    <col min="21" max="21" width="8.75" style="139" bestFit="1" customWidth="1"/>
    <col min="22" max="22" width="15.625" style="139" bestFit="1" customWidth="1"/>
    <col min="23" max="23" width="10.625" style="66" bestFit="1" customWidth="1"/>
    <col min="24" max="24" width="8.5" style="139" bestFit="1" customWidth="1"/>
    <col min="25" max="16384" width="9" style="139"/>
  </cols>
  <sheetData>
    <row r="1" spans="1:24" ht="19.899999999999999" customHeight="1" x14ac:dyDescent="0.3">
      <c r="A1" s="184"/>
      <c r="B1" s="184"/>
      <c r="C1" s="184"/>
      <c r="D1" s="184"/>
      <c r="E1" s="184"/>
      <c r="F1" s="184"/>
      <c r="G1" s="184"/>
      <c r="H1" s="184"/>
      <c r="I1" s="184"/>
      <c r="N1" s="66"/>
      <c r="O1" s="137" t="s">
        <v>96</v>
      </c>
      <c r="Q1" s="137" t="s">
        <v>96</v>
      </c>
      <c r="S1" s="137" t="s">
        <v>96</v>
      </c>
      <c r="U1" s="137" t="s">
        <v>96</v>
      </c>
    </row>
    <row r="2" spans="1:24" ht="19.899999999999999" customHeight="1" thickBot="1" x14ac:dyDescent="0.35">
      <c r="A2" s="184"/>
      <c r="B2" s="184"/>
      <c r="C2" s="184"/>
      <c r="D2" s="184"/>
      <c r="E2" s="184"/>
      <c r="F2" s="184"/>
      <c r="G2" s="184"/>
      <c r="H2" s="184"/>
      <c r="I2" s="184"/>
      <c r="N2" s="67"/>
      <c r="O2" s="68">
        <v>0.83499999999999996</v>
      </c>
      <c r="Q2" s="68">
        <v>0.83499999999999996</v>
      </c>
      <c r="S2" s="68">
        <v>0.83499999999999996</v>
      </c>
      <c r="U2" s="68">
        <v>0.83499999999999996</v>
      </c>
    </row>
    <row r="3" spans="1:24" ht="19.899999999999999" customHeight="1" x14ac:dyDescent="0.3">
      <c r="A3" s="140"/>
      <c r="B3" s="141"/>
      <c r="C3" s="141"/>
      <c r="D3" s="141"/>
      <c r="E3" s="141"/>
      <c r="F3" s="141" t="s">
        <v>97</v>
      </c>
      <c r="G3" s="141"/>
      <c r="H3" s="141"/>
      <c r="I3" s="141"/>
      <c r="J3" s="195" t="s">
        <v>98</v>
      </c>
      <c r="K3" s="195"/>
      <c r="L3" s="193" t="s">
        <v>47</v>
      </c>
      <c r="M3" s="193" t="s">
        <v>5</v>
      </c>
      <c r="N3" s="189" t="s">
        <v>99</v>
      </c>
      <c r="O3" s="189"/>
      <c r="P3" s="189" t="s">
        <v>100</v>
      </c>
      <c r="Q3" s="189"/>
      <c r="R3" s="190" t="s">
        <v>101</v>
      </c>
      <c r="S3" s="190"/>
      <c r="T3" s="190" t="s">
        <v>102</v>
      </c>
      <c r="U3" s="190"/>
      <c r="V3" s="191" t="s">
        <v>103</v>
      </c>
      <c r="W3" s="187" t="s">
        <v>104</v>
      </c>
      <c r="X3" s="185" t="s">
        <v>45</v>
      </c>
    </row>
    <row r="4" spans="1:24" ht="19.899999999999999" customHeight="1" x14ac:dyDescent="0.3">
      <c r="A4" s="69" t="s">
        <v>105</v>
      </c>
      <c r="B4" s="138"/>
      <c r="C4" s="138"/>
      <c r="D4" s="138"/>
      <c r="E4" s="138"/>
      <c r="F4" s="70" t="s">
        <v>106</v>
      </c>
      <c r="G4" s="70" t="s">
        <v>107</v>
      </c>
      <c r="H4" s="70" t="s">
        <v>108</v>
      </c>
      <c r="I4" s="70" t="s">
        <v>109</v>
      </c>
      <c r="J4" s="135" t="s">
        <v>110</v>
      </c>
      <c r="K4" s="135" t="s">
        <v>111</v>
      </c>
      <c r="L4" s="194"/>
      <c r="M4" s="194"/>
      <c r="N4" s="71" t="s">
        <v>112</v>
      </c>
      <c r="O4" s="72" t="s">
        <v>113</v>
      </c>
      <c r="P4" s="71" t="s">
        <v>114</v>
      </c>
      <c r="Q4" s="72" t="s">
        <v>113</v>
      </c>
      <c r="R4" s="72" t="s">
        <v>115</v>
      </c>
      <c r="S4" s="72" t="s">
        <v>113</v>
      </c>
      <c r="T4" s="72" t="s">
        <v>115</v>
      </c>
      <c r="U4" s="72" t="s">
        <v>113</v>
      </c>
      <c r="V4" s="192"/>
      <c r="W4" s="188"/>
      <c r="X4" s="186"/>
    </row>
    <row r="5" spans="1:24" s="142" customFormat="1" ht="38.1" customHeight="1" x14ac:dyDescent="0.3">
      <c r="A5" s="73" t="str">
        <f t="shared" ref="A5:A14" si="0">F5&amp;G5&amp;H5&amp;I5</f>
        <v>M020853710050101</v>
      </c>
      <c r="B5" s="106"/>
      <c r="C5" s="106"/>
      <c r="D5" s="106"/>
      <c r="E5" s="106"/>
      <c r="F5" s="100"/>
      <c r="G5" s="74"/>
      <c r="H5" s="74" t="s">
        <v>140</v>
      </c>
      <c r="I5" s="100"/>
      <c r="J5" s="133" t="s">
        <v>141</v>
      </c>
      <c r="K5" s="133" t="s">
        <v>152</v>
      </c>
      <c r="L5" s="117" t="s">
        <v>149</v>
      </c>
      <c r="M5" s="132">
        <v>10.054</v>
      </c>
      <c r="N5" s="152">
        <v>20900</v>
      </c>
      <c r="O5" s="128">
        <f t="shared" ref="O5:O13" si="1">SUM(N5:N5)*M5*$O$2</f>
        <v>175457.38099999999</v>
      </c>
      <c r="P5" s="127"/>
      <c r="Q5" s="128">
        <f t="shared" ref="Q5:Q13" si="2">(P5*M5)*$Q$2</f>
        <v>0</v>
      </c>
      <c r="R5" s="129"/>
      <c r="S5" s="128">
        <f t="shared" ref="S5:S14" si="3">R5*M5*$S$2</f>
        <v>0</v>
      </c>
      <c r="T5" s="129"/>
      <c r="U5" s="128">
        <f t="shared" ref="U5:U14" si="4">T5*M5*$U$2</f>
        <v>0</v>
      </c>
      <c r="V5" s="76">
        <f t="shared" ref="V5:V14" si="5">SUM(O5+Q5)+S5+U5</f>
        <v>175457.38099999999</v>
      </c>
      <c r="W5" s="116"/>
      <c r="X5" s="77"/>
    </row>
    <row r="6" spans="1:24" s="142" customFormat="1" ht="38.1" customHeight="1" x14ac:dyDescent="0.3">
      <c r="A6" s="73" t="str">
        <f t="shared" si="0"/>
        <v>E00000803071260301</v>
      </c>
      <c r="B6" s="106"/>
      <c r="C6" s="106"/>
      <c r="D6" s="106"/>
      <c r="E6" s="106"/>
      <c r="F6" s="100"/>
      <c r="G6" s="74" t="s">
        <v>116</v>
      </c>
      <c r="H6" s="74"/>
      <c r="I6" s="100"/>
      <c r="J6" s="133" t="s">
        <v>118</v>
      </c>
      <c r="K6" s="133" t="s">
        <v>153</v>
      </c>
      <c r="L6" s="75" t="s">
        <v>117</v>
      </c>
      <c r="M6" s="132">
        <v>2.2829999999999999</v>
      </c>
      <c r="N6" s="130"/>
      <c r="O6" s="128">
        <f t="shared" si="1"/>
        <v>0</v>
      </c>
      <c r="P6" s="127">
        <v>487076</v>
      </c>
      <c r="Q6" s="128">
        <f t="shared" si="2"/>
        <v>928515.41417999985</v>
      </c>
      <c r="R6" s="129"/>
      <c r="S6" s="128">
        <f t="shared" si="3"/>
        <v>0</v>
      </c>
      <c r="T6" s="129"/>
      <c r="U6" s="128">
        <f t="shared" si="4"/>
        <v>0</v>
      </c>
      <c r="V6" s="76">
        <f t="shared" si="5"/>
        <v>928515.41417999985</v>
      </c>
      <c r="W6" s="116"/>
      <c r="X6" s="77"/>
    </row>
    <row r="7" spans="1:24" s="142" customFormat="1" ht="38.1" customHeight="1" x14ac:dyDescent="0.3">
      <c r="A7" s="73" t="str">
        <f t="shared" si="0"/>
        <v>E00000803071260301</v>
      </c>
      <c r="B7" s="106"/>
      <c r="C7" s="106"/>
      <c r="D7" s="106"/>
      <c r="E7" s="106"/>
      <c r="F7" s="100"/>
      <c r="G7" s="74" t="s">
        <v>116</v>
      </c>
      <c r="H7" s="74"/>
      <c r="I7" s="100"/>
      <c r="J7" s="133" t="s">
        <v>119</v>
      </c>
      <c r="K7" s="133" t="s">
        <v>154</v>
      </c>
      <c r="L7" s="75" t="s">
        <v>117</v>
      </c>
      <c r="M7" s="132">
        <v>1.7430000000000001</v>
      </c>
      <c r="N7" s="130"/>
      <c r="O7" s="128">
        <f t="shared" si="1"/>
        <v>0</v>
      </c>
      <c r="P7" s="127">
        <v>487076</v>
      </c>
      <c r="Q7" s="128">
        <f t="shared" si="2"/>
        <v>708892.84577999997</v>
      </c>
      <c r="R7" s="129"/>
      <c r="S7" s="128">
        <f t="shared" si="3"/>
        <v>0</v>
      </c>
      <c r="T7" s="129"/>
      <c r="U7" s="128">
        <f t="shared" si="4"/>
        <v>0</v>
      </c>
      <c r="V7" s="76">
        <f t="shared" si="5"/>
        <v>708892.84577999997</v>
      </c>
      <c r="W7" s="116"/>
      <c r="X7" s="77"/>
    </row>
    <row r="8" spans="1:24" s="142" customFormat="1" ht="38.1" customHeight="1" x14ac:dyDescent="0.3">
      <c r="A8" s="73" t="str">
        <f t="shared" si="0"/>
        <v>M020809012520101</v>
      </c>
      <c r="B8" s="106"/>
      <c r="C8" s="106"/>
      <c r="D8" s="106"/>
      <c r="E8" s="106"/>
      <c r="F8" s="100"/>
      <c r="G8" s="74"/>
      <c r="H8" s="74" t="s">
        <v>143</v>
      </c>
      <c r="I8" s="100"/>
      <c r="J8" s="133" t="s">
        <v>144</v>
      </c>
      <c r="K8" s="133" t="s">
        <v>145</v>
      </c>
      <c r="L8" s="117" t="s">
        <v>142</v>
      </c>
      <c r="M8" s="132">
        <v>39.6</v>
      </c>
      <c r="N8" s="131">
        <v>13000</v>
      </c>
      <c r="O8" s="128">
        <f t="shared" si="1"/>
        <v>429858</v>
      </c>
      <c r="P8" s="127"/>
      <c r="Q8" s="128">
        <f t="shared" si="2"/>
        <v>0</v>
      </c>
      <c r="R8" s="129"/>
      <c r="S8" s="128">
        <f t="shared" si="3"/>
        <v>0</v>
      </c>
      <c r="T8" s="129"/>
      <c r="U8" s="128">
        <f t="shared" si="4"/>
        <v>0</v>
      </c>
      <c r="V8" s="76">
        <f t="shared" si="5"/>
        <v>429858</v>
      </c>
      <c r="W8" s="116"/>
      <c r="X8" s="77"/>
    </row>
    <row r="9" spans="1:24" s="142" customFormat="1" ht="38.1" customHeight="1" x14ac:dyDescent="0.3">
      <c r="A9" s="73" t="str">
        <f t="shared" si="0"/>
        <v>E00000803071260401</v>
      </c>
      <c r="B9" s="106"/>
      <c r="C9" s="106"/>
      <c r="D9" s="106"/>
      <c r="E9" s="106"/>
      <c r="F9" s="100"/>
      <c r="G9" s="74" t="s">
        <v>120</v>
      </c>
      <c r="H9" s="74"/>
      <c r="I9" s="100"/>
      <c r="J9" s="133" t="s">
        <v>121</v>
      </c>
      <c r="K9" s="133" t="s">
        <v>155</v>
      </c>
      <c r="L9" s="75" t="s">
        <v>117</v>
      </c>
      <c r="M9" s="132">
        <v>0.64900000000000002</v>
      </c>
      <c r="N9" s="130"/>
      <c r="O9" s="128">
        <f t="shared" si="1"/>
        <v>0</v>
      </c>
      <c r="P9" s="127">
        <v>487076</v>
      </c>
      <c r="Q9" s="128">
        <f t="shared" si="2"/>
        <v>263953.79054000002</v>
      </c>
      <c r="R9" s="129"/>
      <c r="S9" s="128">
        <f t="shared" si="3"/>
        <v>0</v>
      </c>
      <c r="T9" s="129"/>
      <c r="U9" s="128">
        <f t="shared" si="4"/>
        <v>0</v>
      </c>
      <c r="V9" s="76">
        <f t="shared" si="5"/>
        <v>263953.79054000002</v>
      </c>
      <c r="W9" s="116"/>
      <c r="X9" s="77"/>
    </row>
    <row r="10" spans="1:24" s="142" customFormat="1" ht="38.1" customHeight="1" x14ac:dyDescent="0.3">
      <c r="A10" s="73" t="str">
        <f t="shared" si="0"/>
        <v>M020412614110102</v>
      </c>
      <c r="B10" s="106"/>
      <c r="C10" s="106"/>
      <c r="D10" s="106"/>
      <c r="E10" s="106"/>
      <c r="F10" s="100"/>
      <c r="G10" s="74"/>
      <c r="H10" s="153" t="s">
        <v>137</v>
      </c>
      <c r="I10" s="100"/>
      <c r="J10" s="154" t="s">
        <v>136</v>
      </c>
      <c r="K10" s="154" t="s">
        <v>132</v>
      </c>
      <c r="L10" s="124" t="s">
        <v>131</v>
      </c>
      <c r="M10" s="132">
        <v>0.2</v>
      </c>
      <c r="N10" s="155">
        <v>65500</v>
      </c>
      <c r="O10" s="128">
        <f t="shared" si="1"/>
        <v>10938.5</v>
      </c>
      <c r="P10" s="127"/>
      <c r="Q10" s="128"/>
      <c r="R10" s="129"/>
      <c r="S10" s="128"/>
      <c r="T10" s="129"/>
      <c r="U10" s="128"/>
      <c r="V10" s="76">
        <f t="shared" si="5"/>
        <v>10938.5</v>
      </c>
      <c r="W10" s="116"/>
      <c r="X10" s="77"/>
    </row>
    <row r="11" spans="1:24" s="142" customFormat="1" ht="38.1" customHeight="1" x14ac:dyDescent="0.3">
      <c r="A11" s="73" t="str">
        <f t="shared" si="0"/>
        <v>E00000803061120402</v>
      </c>
      <c r="B11" s="106"/>
      <c r="C11" s="106"/>
      <c r="D11" s="106"/>
      <c r="E11" s="106"/>
      <c r="F11" s="100"/>
      <c r="G11" s="74" t="s">
        <v>122</v>
      </c>
      <c r="H11" s="74"/>
      <c r="I11" s="100"/>
      <c r="J11" s="133" t="s">
        <v>123</v>
      </c>
      <c r="K11" s="133" t="s">
        <v>124</v>
      </c>
      <c r="L11" s="117" t="s">
        <v>129</v>
      </c>
      <c r="M11" s="132">
        <v>20</v>
      </c>
      <c r="N11" s="127"/>
      <c r="O11" s="128">
        <f t="shared" si="1"/>
        <v>0</v>
      </c>
      <c r="P11" s="127">
        <v>10432</v>
      </c>
      <c r="Q11" s="128">
        <f t="shared" si="2"/>
        <v>174214.39999999999</v>
      </c>
      <c r="R11" s="129"/>
      <c r="S11" s="128">
        <f t="shared" si="3"/>
        <v>0</v>
      </c>
      <c r="T11" s="129"/>
      <c r="U11" s="128">
        <f t="shared" si="4"/>
        <v>0</v>
      </c>
      <c r="V11" s="76">
        <f t="shared" si="5"/>
        <v>174214.39999999999</v>
      </c>
      <c r="W11" s="116"/>
      <c r="X11" s="77"/>
    </row>
    <row r="12" spans="1:24" s="142" customFormat="1" ht="38.1" customHeight="1" x14ac:dyDescent="0.3">
      <c r="A12" s="73" t="str">
        <f t="shared" si="0"/>
        <v>E00000803061300201</v>
      </c>
      <c r="B12" s="106"/>
      <c r="C12" s="106"/>
      <c r="D12" s="106"/>
      <c r="E12" s="106"/>
      <c r="F12" s="100"/>
      <c r="G12" s="74" t="s">
        <v>126</v>
      </c>
      <c r="H12" s="74"/>
      <c r="I12" s="100"/>
      <c r="J12" s="133" t="s">
        <v>127</v>
      </c>
      <c r="K12" s="133" t="s">
        <v>128</v>
      </c>
      <c r="L12" s="117" t="s">
        <v>125</v>
      </c>
      <c r="M12" s="132">
        <v>20</v>
      </c>
      <c r="N12" s="127"/>
      <c r="O12" s="128">
        <f t="shared" si="1"/>
        <v>0</v>
      </c>
      <c r="P12" s="127">
        <v>6179</v>
      </c>
      <c r="Q12" s="128">
        <f t="shared" si="2"/>
        <v>103189.29999999999</v>
      </c>
      <c r="R12" s="129"/>
      <c r="S12" s="128">
        <f t="shared" si="3"/>
        <v>0</v>
      </c>
      <c r="T12" s="129"/>
      <c r="U12" s="128">
        <f t="shared" si="4"/>
        <v>0</v>
      </c>
      <c r="V12" s="76">
        <f t="shared" si="5"/>
        <v>103189.29999999999</v>
      </c>
      <c r="W12" s="116"/>
      <c r="X12" s="77"/>
    </row>
    <row r="13" spans="1:24" s="142" customFormat="1" ht="38.1" customHeight="1" x14ac:dyDescent="0.3">
      <c r="A13" s="73" t="str">
        <f t="shared" si="0"/>
        <v>E00000801011510701</v>
      </c>
      <c r="B13" s="106"/>
      <c r="C13" s="106"/>
      <c r="D13" s="106"/>
      <c r="E13" s="106"/>
      <c r="F13" s="100"/>
      <c r="G13" s="74" t="s">
        <v>148</v>
      </c>
      <c r="H13" s="74"/>
      <c r="I13" s="100"/>
      <c r="J13" s="143" t="s">
        <v>146</v>
      </c>
      <c r="K13" s="143" t="s">
        <v>156</v>
      </c>
      <c r="L13" s="144" t="s">
        <v>147</v>
      </c>
      <c r="M13" s="132">
        <v>79</v>
      </c>
      <c r="N13" s="130"/>
      <c r="O13" s="128">
        <f t="shared" si="1"/>
        <v>0</v>
      </c>
      <c r="P13" s="152">
        <v>4966</v>
      </c>
      <c r="Q13" s="128">
        <f t="shared" si="2"/>
        <v>327582.19</v>
      </c>
      <c r="R13" s="129"/>
      <c r="S13" s="128">
        <f t="shared" si="3"/>
        <v>0</v>
      </c>
      <c r="T13" s="129"/>
      <c r="U13" s="128">
        <f t="shared" si="4"/>
        <v>0</v>
      </c>
      <c r="V13" s="76">
        <f t="shared" si="5"/>
        <v>327582.19</v>
      </c>
      <c r="W13" s="116"/>
      <c r="X13" s="77"/>
    </row>
    <row r="14" spans="1:24" s="142" customFormat="1" ht="38.1" customHeight="1" x14ac:dyDescent="0.3">
      <c r="A14" s="73" t="str">
        <f t="shared" si="0"/>
        <v>L003</v>
      </c>
      <c r="B14" s="106"/>
      <c r="C14" s="106"/>
      <c r="D14" s="106"/>
      <c r="E14" s="106"/>
      <c r="F14" s="174"/>
      <c r="G14" s="175"/>
      <c r="H14" s="175"/>
      <c r="I14" s="100" t="s">
        <v>165</v>
      </c>
      <c r="J14" s="176" t="s">
        <v>164</v>
      </c>
      <c r="K14" s="133" t="s">
        <v>163</v>
      </c>
      <c r="L14" s="117" t="s">
        <v>157</v>
      </c>
      <c r="M14" s="132">
        <v>0.5</v>
      </c>
      <c r="N14" s="130"/>
      <c r="O14" s="128">
        <f t="shared" ref="O14" si="6">SUM(N14:N14)*M14*$O$2</f>
        <v>0</v>
      </c>
      <c r="P14" s="127">
        <v>219321</v>
      </c>
      <c r="Q14" s="128">
        <f t="shared" ref="Q14" si="7">M14*P14</f>
        <v>109660.5</v>
      </c>
      <c r="R14" s="129"/>
      <c r="S14" s="128">
        <f t="shared" si="3"/>
        <v>0</v>
      </c>
      <c r="T14" s="129"/>
      <c r="U14" s="128">
        <f t="shared" si="4"/>
        <v>0</v>
      </c>
      <c r="V14" s="76">
        <f t="shared" si="5"/>
        <v>109660.5</v>
      </c>
      <c r="W14" s="116"/>
      <c r="X14" s="77"/>
    </row>
    <row r="15" spans="1:24" s="150" customFormat="1" ht="38.1" customHeight="1" x14ac:dyDescent="0.3">
      <c r="A15" s="145"/>
      <c r="B15" s="146"/>
      <c r="C15" s="146"/>
      <c r="D15" s="146"/>
      <c r="E15" s="146"/>
      <c r="F15" s="146"/>
      <c r="G15" s="146"/>
      <c r="H15" s="146"/>
      <c r="I15" s="146"/>
      <c r="J15" s="136"/>
      <c r="K15" s="136"/>
      <c r="L15" s="146"/>
      <c r="M15" s="146"/>
      <c r="N15" s="146"/>
      <c r="O15" s="147">
        <f>SUM(O5:O14)</f>
        <v>616253.88100000005</v>
      </c>
      <c r="P15" s="148"/>
      <c r="Q15" s="147">
        <f>SUM(Q5:Q14)</f>
        <v>2616008.4404999996</v>
      </c>
      <c r="R15" s="148"/>
      <c r="S15" s="147">
        <f>SUM(S5:S14)</f>
        <v>0</v>
      </c>
      <c r="T15" s="148"/>
      <c r="U15" s="147">
        <f>SUM(U5:U14)</f>
        <v>0</v>
      </c>
      <c r="V15" s="149">
        <f>SUM(V5:V14)</f>
        <v>3232262.3214999996</v>
      </c>
      <c r="W15" s="109"/>
      <c r="X15" s="146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O33"/>
  <sheetViews>
    <sheetView zoomScaleNormal="100" workbookViewId="0">
      <selection activeCell="A31" sqref="A31"/>
    </sheetView>
  </sheetViews>
  <sheetFormatPr defaultColWidth="9" defaultRowHeight="14.25" x14ac:dyDescent="0.3"/>
  <cols>
    <col min="1" max="1" width="22.625" style="99" customWidth="1"/>
    <col min="2" max="2" width="27.625" style="99" customWidth="1"/>
    <col min="3" max="3" width="5.75" style="99" customWidth="1"/>
    <col min="4" max="4" width="6.375" style="99" bestFit="1" customWidth="1"/>
    <col min="5" max="8" width="20.625" style="99" customWidth="1"/>
    <col min="9" max="12" width="20.625" style="99" hidden="1" customWidth="1"/>
    <col min="13" max="14" width="20.625" style="99" customWidth="1"/>
    <col min="15" max="15" width="32.75" style="99" customWidth="1"/>
    <col min="16" max="16384" width="9" style="78"/>
  </cols>
  <sheetData>
    <row r="1" spans="1:15" ht="27" customHeight="1" x14ac:dyDescent="0.3">
      <c r="A1" s="206" t="s">
        <v>59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</row>
    <row r="2" spans="1:15" ht="15" customHeight="1" x14ac:dyDescent="0.3">
      <c r="A2" s="207" t="s">
        <v>60</v>
      </c>
      <c r="B2" s="208" t="s">
        <v>61</v>
      </c>
      <c r="C2" s="209" t="s">
        <v>47</v>
      </c>
      <c r="D2" s="209" t="s">
        <v>62</v>
      </c>
      <c r="E2" s="211" t="s">
        <v>63</v>
      </c>
      <c r="F2" s="208"/>
      <c r="G2" s="208" t="s">
        <v>64</v>
      </c>
      <c r="H2" s="208"/>
      <c r="I2" s="212" t="s">
        <v>65</v>
      </c>
      <c r="J2" s="213"/>
      <c r="K2" s="212" t="s">
        <v>66</v>
      </c>
      <c r="L2" s="213"/>
      <c r="M2" s="211" t="s">
        <v>67</v>
      </c>
      <c r="N2" s="208"/>
      <c r="O2" s="214" t="s">
        <v>68</v>
      </c>
    </row>
    <row r="3" spans="1:15" ht="15" customHeight="1" x14ac:dyDescent="0.3">
      <c r="A3" s="207"/>
      <c r="B3" s="208"/>
      <c r="C3" s="210"/>
      <c r="D3" s="210"/>
      <c r="E3" s="123" t="s">
        <v>69</v>
      </c>
      <c r="F3" s="123" t="s">
        <v>70</v>
      </c>
      <c r="G3" s="79" t="s">
        <v>69</v>
      </c>
      <c r="H3" s="123" t="s">
        <v>71</v>
      </c>
      <c r="I3" s="123"/>
      <c r="J3" s="123"/>
      <c r="K3" s="79" t="s">
        <v>69</v>
      </c>
      <c r="L3" s="123" t="s">
        <v>71</v>
      </c>
      <c r="M3" s="79" t="s">
        <v>69</v>
      </c>
      <c r="N3" s="123" t="s">
        <v>71</v>
      </c>
      <c r="O3" s="215"/>
    </row>
    <row r="4" spans="1:15" ht="15" customHeight="1" x14ac:dyDescent="0.3">
      <c r="A4" s="204" t="s">
        <v>160</v>
      </c>
      <c r="B4" s="205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</row>
    <row r="5" spans="1:15" ht="15" customHeight="1" x14ac:dyDescent="0.3">
      <c r="A5" s="197" t="s">
        <v>72</v>
      </c>
      <c r="B5" s="81" t="s">
        <v>73</v>
      </c>
      <c r="C5" s="82" t="s">
        <v>74</v>
      </c>
      <c r="D5" s="159">
        <v>55</v>
      </c>
      <c r="E5" s="83">
        <v>1057</v>
      </c>
      <c r="F5" s="83">
        <f t="shared" ref="F5:F10" si="0">D5*E5</f>
        <v>58135</v>
      </c>
      <c r="G5" s="83">
        <v>8839.9</v>
      </c>
      <c r="H5" s="83">
        <f t="shared" ref="H5:H10" si="1">D5*G5</f>
        <v>486194.5</v>
      </c>
      <c r="I5" s="83"/>
      <c r="J5" s="83"/>
      <c r="K5" s="83"/>
      <c r="L5" s="83"/>
      <c r="M5" s="83"/>
      <c r="N5" s="83">
        <f>F5+H5+J5+L5</f>
        <v>544329.5</v>
      </c>
      <c r="O5" s="199"/>
    </row>
    <row r="6" spans="1:15" ht="15" customHeight="1" x14ac:dyDescent="0.3">
      <c r="A6" s="198"/>
      <c r="B6" s="81" t="s">
        <v>75</v>
      </c>
      <c r="C6" s="82" t="s">
        <v>74</v>
      </c>
      <c r="D6" s="159">
        <v>37</v>
      </c>
      <c r="E6" s="83">
        <v>1057</v>
      </c>
      <c r="F6" s="83">
        <f t="shared" si="0"/>
        <v>39109</v>
      </c>
      <c r="G6" s="83">
        <v>11617.4</v>
      </c>
      <c r="H6" s="83">
        <f t="shared" si="1"/>
        <v>429843.8</v>
      </c>
      <c r="I6" s="83"/>
      <c r="J6" s="83"/>
      <c r="K6" s="83"/>
      <c r="L6" s="83"/>
      <c r="M6" s="83"/>
      <c r="N6" s="83">
        <f t="shared" ref="N6:N10" si="2">F6+H6+J6+L6</f>
        <v>468952.8</v>
      </c>
      <c r="O6" s="200"/>
    </row>
    <row r="7" spans="1:15" ht="15" customHeight="1" x14ac:dyDescent="0.3">
      <c r="A7" s="198"/>
      <c r="B7" s="81" t="s">
        <v>76</v>
      </c>
      <c r="C7" s="82" t="s">
        <v>74</v>
      </c>
      <c r="D7" s="159">
        <v>30</v>
      </c>
      <c r="E7" s="83">
        <v>1057</v>
      </c>
      <c r="F7" s="83">
        <f t="shared" si="0"/>
        <v>31710</v>
      </c>
      <c r="G7" s="83">
        <v>8839.9</v>
      </c>
      <c r="H7" s="83">
        <f t="shared" si="1"/>
        <v>265197</v>
      </c>
      <c r="I7" s="83"/>
      <c r="J7" s="83"/>
      <c r="K7" s="83"/>
      <c r="L7" s="83"/>
      <c r="M7" s="83"/>
      <c r="N7" s="83">
        <f t="shared" si="2"/>
        <v>296907</v>
      </c>
      <c r="O7" s="200"/>
    </row>
    <row r="8" spans="1:15" ht="15" customHeight="1" x14ac:dyDescent="0.3">
      <c r="A8" s="198"/>
      <c r="B8" s="81" t="s">
        <v>77</v>
      </c>
      <c r="C8" s="82" t="s">
        <v>74</v>
      </c>
      <c r="D8" s="159">
        <v>12</v>
      </c>
      <c r="E8" s="83">
        <v>1057</v>
      </c>
      <c r="F8" s="83">
        <f t="shared" si="0"/>
        <v>12684</v>
      </c>
      <c r="G8" s="83">
        <v>11617.4</v>
      </c>
      <c r="H8" s="83">
        <f t="shared" si="1"/>
        <v>139408.79999999999</v>
      </c>
      <c r="I8" s="83"/>
      <c r="J8" s="83"/>
      <c r="K8" s="83"/>
      <c r="L8" s="83"/>
      <c r="M8" s="83"/>
      <c r="N8" s="83">
        <f t="shared" si="2"/>
        <v>152092.79999999999</v>
      </c>
      <c r="O8" s="200"/>
    </row>
    <row r="9" spans="1:15" ht="15" customHeight="1" x14ac:dyDescent="0.3">
      <c r="A9" s="198"/>
      <c r="B9" s="81" t="s">
        <v>78</v>
      </c>
      <c r="C9" s="82" t="s">
        <v>74</v>
      </c>
      <c r="D9" s="159">
        <v>20</v>
      </c>
      <c r="E9" s="83">
        <v>1057</v>
      </c>
      <c r="F9" s="83">
        <f t="shared" si="0"/>
        <v>21140</v>
      </c>
      <c r="G9" s="83">
        <v>8839.9</v>
      </c>
      <c r="H9" s="83">
        <f t="shared" si="1"/>
        <v>176798</v>
      </c>
      <c r="I9" s="83"/>
      <c r="J9" s="83"/>
      <c r="K9" s="83"/>
      <c r="L9" s="83"/>
      <c r="M9" s="83"/>
      <c r="N9" s="83">
        <f t="shared" si="2"/>
        <v>197938</v>
      </c>
      <c r="O9" s="200"/>
    </row>
    <row r="10" spans="1:15" ht="15" customHeight="1" x14ac:dyDescent="0.3">
      <c r="A10" s="198"/>
      <c r="B10" s="81" t="s">
        <v>79</v>
      </c>
      <c r="C10" s="82" t="s">
        <v>74</v>
      </c>
      <c r="D10" s="159">
        <v>12</v>
      </c>
      <c r="E10" s="83">
        <v>1057</v>
      </c>
      <c r="F10" s="83">
        <f t="shared" si="0"/>
        <v>12684</v>
      </c>
      <c r="G10" s="83">
        <v>11617.4</v>
      </c>
      <c r="H10" s="83">
        <f t="shared" si="1"/>
        <v>139408.79999999999</v>
      </c>
      <c r="I10" s="83"/>
      <c r="J10" s="83"/>
      <c r="K10" s="83"/>
      <c r="L10" s="83"/>
      <c r="M10" s="83"/>
      <c r="N10" s="83">
        <f t="shared" si="2"/>
        <v>152092.79999999999</v>
      </c>
      <c r="O10" s="200"/>
    </row>
    <row r="11" spans="1:15" ht="15" customHeight="1" x14ac:dyDescent="0.3">
      <c r="A11" s="110" t="s">
        <v>80</v>
      </c>
      <c r="B11" s="111"/>
      <c r="C11" s="112"/>
      <c r="D11" s="160">
        <f>SUM(D5:D10)</f>
        <v>166</v>
      </c>
      <c r="E11" s="113"/>
      <c r="F11" s="113">
        <f>SUM(F5:F10)</f>
        <v>175462</v>
      </c>
      <c r="G11" s="113"/>
      <c r="H11" s="113">
        <f>SUM(H5:H10)</f>
        <v>1636850.9000000001</v>
      </c>
      <c r="I11" s="113"/>
      <c r="J11" s="113">
        <f>SUM(J5:J10)</f>
        <v>0</v>
      </c>
      <c r="K11" s="113"/>
      <c r="L11" s="113">
        <f>SUM(L5:L10)</f>
        <v>0</v>
      </c>
      <c r="M11" s="113"/>
      <c r="N11" s="113">
        <f>SUM(N5:N10)</f>
        <v>1812312.9000000001</v>
      </c>
      <c r="O11" s="113"/>
    </row>
    <row r="12" spans="1:15" ht="15" customHeight="1" x14ac:dyDescent="0.3">
      <c r="A12" s="201" t="s">
        <v>138</v>
      </c>
      <c r="B12" s="81" t="s">
        <v>81</v>
      </c>
      <c r="C12" s="82" t="s">
        <v>74</v>
      </c>
      <c r="D12" s="157">
        <v>20.7</v>
      </c>
      <c r="E12" s="118">
        <v>10855</v>
      </c>
      <c r="F12" s="118">
        <f>D12*E12</f>
        <v>224698.5</v>
      </c>
      <c r="G12" s="83">
        <v>6668.1</v>
      </c>
      <c r="H12" s="118">
        <f>D12*G12</f>
        <v>138029.67000000001</v>
      </c>
      <c r="I12" s="118"/>
      <c r="J12" s="118"/>
      <c r="K12" s="83"/>
      <c r="L12" s="118"/>
      <c r="M12" s="83"/>
      <c r="N12" s="118">
        <f t="shared" ref="N12:N14" si="3">F12+H12+J12+L12</f>
        <v>362728.17000000004</v>
      </c>
      <c r="O12" s="200"/>
    </row>
    <row r="13" spans="1:15" ht="15" customHeight="1" x14ac:dyDescent="0.3">
      <c r="A13" s="201"/>
      <c r="B13" s="81" t="s">
        <v>82</v>
      </c>
      <c r="C13" s="82" t="s">
        <v>74</v>
      </c>
      <c r="D13" s="158">
        <v>11.2</v>
      </c>
      <c r="E13" s="118">
        <v>10855</v>
      </c>
      <c r="F13" s="118">
        <f>D13*E13</f>
        <v>121575.99999999999</v>
      </c>
      <c r="G13" s="83">
        <v>6668.1</v>
      </c>
      <c r="H13" s="118">
        <f>D13*G13</f>
        <v>74682.720000000001</v>
      </c>
      <c r="I13" s="118"/>
      <c r="J13" s="118"/>
      <c r="K13" s="83"/>
      <c r="L13" s="118"/>
      <c r="M13" s="83"/>
      <c r="N13" s="118">
        <f t="shared" si="3"/>
        <v>196258.71999999997</v>
      </c>
      <c r="O13" s="200"/>
    </row>
    <row r="14" spans="1:15" ht="15" customHeight="1" x14ac:dyDescent="0.3">
      <c r="A14" s="201"/>
      <c r="B14" s="81" t="s">
        <v>83</v>
      </c>
      <c r="C14" s="82" t="s">
        <v>74</v>
      </c>
      <c r="D14" s="158">
        <v>7.8</v>
      </c>
      <c r="E14" s="118">
        <v>10855</v>
      </c>
      <c r="F14" s="118">
        <f>D14*E14</f>
        <v>84669</v>
      </c>
      <c r="G14" s="83">
        <v>6668.1</v>
      </c>
      <c r="H14" s="118">
        <f>D14*G14</f>
        <v>52011.18</v>
      </c>
      <c r="I14" s="118"/>
      <c r="J14" s="118"/>
      <c r="K14" s="83"/>
      <c r="L14" s="118"/>
      <c r="M14" s="83"/>
      <c r="N14" s="118">
        <f t="shared" si="3"/>
        <v>136680.18</v>
      </c>
      <c r="O14" s="200"/>
    </row>
    <row r="15" spans="1:15" ht="15" customHeight="1" x14ac:dyDescent="0.3">
      <c r="A15" s="101" t="s">
        <v>80</v>
      </c>
      <c r="B15" s="84"/>
      <c r="C15" s="88"/>
      <c r="D15" s="161">
        <f>SUM(D12:D14)</f>
        <v>39.699999999999996</v>
      </c>
      <c r="E15" s="87"/>
      <c r="F15" s="87">
        <f>SUM(F12:F14)</f>
        <v>430943.5</v>
      </c>
      <c r="G15" s="87"/>
      <c r="H15" s="87">
        <f>SUM(H12:H14)</f>
        <v>264723.57</v>
      </c>
      <c r="I15" s="87"/>
      <c r="J15" s="87">
        <f>SUM(J12:J14)</f>
        <v>0</v>
      </c>
      <c r="K15" s="87"/>
      <c r="L15" s="87">
        <f>SUM(L12:L14)</f>
        <v>0</v>
      </c>
      <c r="M15" s="87"/>
      <c r="N15" s="87">
        <f>SUM(N12:N14)</f>
        <v>695667.07000000007</v>
      </c>
      <c r="O15" s="87"/>
    </row>
    <row r="16" spans="1:15" ht="15" customHeight="1" x14ac:dyDescent="0.3">
      <c r="A16" s="107" t="s">
        <v>84</v>
      </c>
      <c r="B16" s="89"/>
      <c r="C16" s="90"/>
      <c r="D16" s="91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</row>
    <row r="17" spans="1:15" ht="15" customHeight="1" x14ac:dyDescent="0.3">
      <c r="A17" s="162" t="s">
        <v>135</v>
      </c>
      <c r="B17" s="125" t="s">
        <v>132</v>
      </c>
      <c r="C17" s="125" t="s">
        <v>131</v>
      </c>
      <c r="D17" s="114">
        <v>0.2</v>
      </c>
      <c r="E17" s="83">
        <v>54693</v>
      </c>
      <c r="F17" s="118">
        <f>D17*E17</f>
        <v>10938.6</v>
      </c>
      <c r="G17" s="83"/>
      <c r="H17" s="83"/>
      <c r="I17" s="83"/>
      <c r="J17" s="83"/>
      <c r="K17" s="83"/>
      <c r="L17" s="83"/>
      <c r="M17" s="83"/>
      <c r="N17" s="119">
        <f t="shared" ref="N17:N20" si="4">F17+H17+J17+L17</f>
        <v>10938.6</v>
      </c>
      <c r="O17" s="83"/>
    </row>
    <row r="18" spans="1:15" ht="15" customHeight="1" x14ac:dyDescent="0.3">
      <c r="A18" s="196" t="s">
        <v>85</v>
      </c>
      <c r="B18" s="163" t="s">
        <v>86</v>
      </c>
      <c r="C18" s="164" t="s">
        <v>74</v>
      </c>
      <c r="D18" s="165">
        <v>20</v>
      </c>
      <c r="E18" s="166"/>
      <c r="F18" s="166"/>
      <c r="G18" s="166"/>
      <c r="H18" s="166"/>
      <c r="I18" s="166"/>
      <c r="J18" s="166"/>
      <c r="K18" s="166"/>
      <c r="L18" s="166"/>
      <c r="M18" s="166"/>
      <c r="N18" s="166"/>
      <c r="O18" s="83"/>
    </row>
    <row r="19" spans="1:15" ht="15" customHeight="1" x14ac:dyDescent="0.3">
      <c r="A19" s="196"/>
      <c r="B19" s="89" t="s">
        <v>87</v>
      </c>
      <c r="C19" s="90" t="s">
        <v>74</v>
      </c>
      <c r="D19" s="91">
        <v>20</v>
      </c>
      <c r="E19" s="119"/>
      <c r="F19" s="119">
        <f t="shared" ref="F19" si="5">D19*E19</f>
        <v>0</v>
      </c>
      <c r="G19" s="119">
        <v>5159</v>
      </c>
      <c r="H19" s="119">
        <f t="shared" ref="H19:H20" si="6">D19*G19</f>
        <v>103180</v>
      </c>
      <c r="I19" s="119"/>
      <c r="J19" s="119"/>
      <c r="K19" s="119"/>
      <c r="L19" s="119"/>
      <c r="M19" s="119"/>
      <c r="N19" s="119">
        <f t="shared" si="4"/>
        <v>103180</v>
      </c>
      <c r="O19" s="202" t="s">
        <v>161</v>
      </c>
    </row>
    <row r="20" spans="1:15" ht="15" customHeight="1" x14ac:dyDescent="0.3">
      <c r="A20" s="196" t="s">
        <v>88</v>
      </c>
      <c r="B20" s="89" t="s">
        <v>86</v>
      </c>
      <c r="C20" s="90" t="s">
        <v>74</v>
      </c>
      <c r="D20" s="91">
        <v>20</v>
      </c>
      <c r="E20" s="119"/>
      <c r="F20" s="119">
        <f>D20*E20</f>
        <v>0</v>
      </c>
      <c r="G20" s="119">
        <v>8711</v>
      </c>
      <c r="H20" s="119">
        <f t="shared" si="6"/>
        <v>174220</v>
      </c>
      <c r="I20" s="119"/>
      <c r="J20" s="119"/>
      <c r="K20" s="119"/>
      <c r="L20" s="119"/>
      <c r="M20" s="119"/>
      <c r="N20" s="119">
        <f t="shared" si="4"/>
        <v>174220</v>
      </c>
      <c r="O20" s="203"/>
    </row>
    <row r="21" spans="1:15" ht="15" customHeight="1" x14ac:dyDescent="0.3">
      <c r="A21" s="196"/>
      <c r="B21" s="163" t="s">
        <v>87</v>
      </c>
      <c r="C21" s="164" t="s">
        <v>74</v>
      </c>
      <c r="D21" s="165">
        <v>20</v>
      </c>
      <c r="E21" s="166"/>
      <c r="F21" s="166"/>
      <c r="G21" s="166"/>
      <c r="H21" s="166"/>
      <c r="I21" s="166"/>
      <c r="J21" s="166"/>
      <c r="K21" s="166"/>
      <c r="L21" s="166"/>
      <c r="M21" s="166"/>
      <c r="N21" s="166"/>
      <c r="O21" s="83"/>
    </row>
    <row r="22" spans="1:15" ht="15" customHeight="1" x14ac:dyDescent="0.3">
      <c r="A22" s="126" t="s">
        <v>133</v>
      </c>
      <c r="B22" s="167" t="s">
        <v>134</v>
      </c>
      <c r="C22" s="167" t="s">
        <v>131</v>
      </c>
      <c r="D22" s="168">
        <v>0.2</v>
      </c>
      <c r="E22" s="166"/>
      <c r="F22" s="166"/>
      <c r="G22" s="166"/>
      <c r="H22" s="166"/>
      <c r="I22" s="166"/>
      <c r="J22" s="166"/>
      <c r="K22" s="166"/>
      <c r="L22" s="166"/>
      <c r="M22" s="166"/>
      <c r="N22" s="166"/>
      <c r="O22" s="83"/>
    </row>
    <row r="23" spans="1:15" ht="15" customHeight="1" x14ac:dyDescent="0.3">
      <c r="A23" s="196" t="s">
        <v>89</v>
      </c>
      <c r="B23" s="163" t="s">
        <v>90</v>
      </c>
      <c r="C23" s="164" t="s">
        <v>74</v>
      </c>
      <c r="D23" s="165">
        <v>10</v>
      </c>
      <c r="E23" s="166"/>
      <c r="F23" s="166"/>
      <c r="G23" s="166"/>
      <c r="H23" s="166"/>
      <c r="I23" s="166"/>
      <c r="J23" s="166"/>
      <c r="K23" s="166"/>
      <c r="L23" s="166"/>
      <c r="M23" s="166"/>
      <c r="N23" s="166"/>
      <c r="O23" s="83"/>
    </row>
    <row r="24" spans="1:15" ht="15" customHeight="1" x14ac:dyDescent="0.3">
      <c r="A24" s="196"/>
      <c r="B24" s="163" t="s">
        <v>91</v>
      </c>
      <c r="C24" s="164" t="s">
        <v>74</v>
      </c>
      <c r="D24" s="165">
        <v>10</v>
      </c>
      <c r="E24" s="166"/>
      <c r="F24" s="166"/>
      <c r="G24" s="166"/>
      <c r="H24" s="166"/>
      <c r="I24" s="166"/>
      <c r="J24" s="166"/>
      <c r="K24" s="166"/>
      <c r="L24" s="166"/>
      <c r="M24" s="166"/>
      <c r="N24" s="166"/>
      <c r="O24" s="83"/>
    </row>
    <row r="25" spans="1:15" ht="15" customHeight="1" x14ac:dyDescent="0.3">
      <c r="A25" s="196" t="s">
        <v>92</v>
      </c>
      <c r="B25" s="163" t="s">
        <v>90</v>
      </c>
      <c r="C25" s="164" t="s">
        <v>74</v>
      </c>
      <c r="D25" s="165">
        <v>2</v>
      </c>
      <c r="E25" s="166"/>
      <c r="F25" s="166"/>
      <c r="G25" s="166"/>
      <c r="H25" s="166"/>
      <c r="I25" s="166"/>
      <c r="J25" s="166"/>
      <c r="K25" s="166"/>
      <c r="L25" s="166"/>
      <c r="M25" s="166"/>
      <c r="N25" s="166"/>
      <c r="O25" s="83"/>
    </row>
    <row r="26" spans="1:15" ht="15" customHeight="1" x14ac:dyDescent="0.3">
      <c r="A26" s="196"/>
      <c r="B26" s="163" t="s">
        <v>93</v>
      </c>
      <c r="C26" s="164" t="s">
        <v>74</v>
      </c>
      <c r="D26" s="165">
        <v>2</v>
      </c>
      <c r="E26" s="166"/>
      <c r="F26" s="166"/>
      <c r="G26" s="166"/>
      <c r="H26" s="166"/>
      <c r="I26" s="166"/>
      <c r="J26" s="166"/>
      <c r="K26" s="166"/>
      <c r="L26" s="166"/>
      <c r="M26" s="166"/>
      <c r="N26" s="166"/>
      <c r="O26" s="83"/>
    </row>
    <row r="27" spans="1:15" ht="15" customHeight="1" x14ac:dyDescent="0.3">
      <c r="A27" s="101" t="s">
        <v>80</v>
      </c>
      <c r="B27" s="92"/>
      <c r="C27" s="93"/>
      <c r="D27" s="86"/>
      <c r="E27" s="87"/>
      <c r="F27" s="87">
        <f>SUM(F16:F26)</f>
        <v>10938.6</v>
      </c>
      <c r="G27" s="87"/>
      <c r="H27" s="87">
        <f>SUM(H16:H26)</f>
        <v>277400</v>
      </c>
      <c r="I27" s="87"/>
      <c r="J27" s="87">
        <f>SUM(J16:J26)</f>
        <v>0</v>
      </c>
      <c r="K27" s="87"/>
      <c r="L27" s="87">
        <f>SUM(L16:L26)</f>
        <v>0</v>
      </c>
      <c r="M27" s="87"/>
      <c r="N27" s="87">
        <f>SUM(N16:N26)</f>
        <v>288338.59999999998</v>
      </c>
      <c r="O27" s="87"/>
    </row>
    <row r="28" spans="1:15" ht="15" customHeight="1" x14ac:dyDescent="0.3">
      <c r="A28" s="108" t="s">
        <v>94</v>
      </c>
      <c r="B28" s="81" t="s">
        <v>95</v>
      </c>
      <c r="C28" s="82" t="s">
        <v>74</v>
      </c>
      <c r="D28" s="120">
        <v>79</v>
      </c>
      <c r="E28" s="118"/>
      <c r="F28" s="118"/>
      <c r="G28" s="83">
        <v>4147</v>
      </c>
      <c r="H28" s="118">
        <f>D28*G28</f>
        <v>327613</v>
      </c>
      <c r="I28" s="118"/>
      <c r="J28" s="118"/>
      <c r="K28" s="118"/>
      <c r="L28" s="118"/>
      <c r="M28" s="118"/>
      <c r="N28" s="118">
        <f>F28+H28+J28+L28</f>
        <v>327613</v>
      </c>
      <c r="O28" s="94"/>
    </row>
    <row r="29" spans="1:15" ht="15" customHeight="1" x14ac:dyDescent="0.3">
      <c r="A29" s="102" t="s">
        <v>80</v>
      </c>
      <c r="B29" s="84"/>
      <c r="C29" s="85"/>
      <c r="D29" s="95"/>
      <c r="E29" s="96"/>
      <c r="F29" s="96"/>
      <c r="G29" s="96"/>
      <c r="H29" s="87">
        <f>SUM(H28:H28)</f>
        <v>327613</v>
      </c>
      <c r="I29" s="96"/>
      <c r="J29" s="87">
        <f t="shared" ref="J29:N29" si="7">SUM(J28:J28)</f>
        <v>0</v>
      </c>
      <c r="K29" s="87"/>
      <c r="L29" s="87">
        <f t="shared" si="7"/>
        <v>0</v>
      </c>
      <c r="M29" s="87"/>
      <c r="N29" s="87">
        <f t="shared" si="7"/>
        <v>327613</v>
      </c>
      <c r="O29" s="96"/>
    </row>
    <row r="30" spans="1:15" ht="15" customHeight="1" x14ac:dyDescent="0.3">
      <c r="A30" s="169" t="s">
        <v>150</v>
      </c>
      <c r="B30" s="170"/>
      <c r="C30" s="170"/>
      <c r="D30" s="170"/>
      <c r="E30" s="171"/>
      <c r="F30" s="171"/>
      <c r="G30" s="171"/>
      <c r="H30" s="171"/>
      <c r="I30" s="172"/>
      <c r="J30" s="172"/>
      <c r="K30" s="172"/>
      <c r="L30" s="172"/>
      <c r="M30" s="172"/>
      <c r="N30" s="172"/>
      <c r="O30" s="172"/>
    </row>
    <row r="31" spans="1:15" ht="27.75" customHeight="1" x14ac:dyDescent="0.3">
      <c r="A31" s="177" t="s">
        <v>162</v>
      </c>
      <c r="B31" s="170" t="s">
        <v>163</v>
      </c>
      <c r="C31" s="170" t="s">
        <v>151</v>
      </c>
      <c r="D31" s="170">
        <v>0.5</v>
      </c>
      <c r="E31" s="171"/>
      <c r="F31" s="171"/>
      <c r="G31" s="173">
        <v>219321</v>
      </c>
      <c r="H31" s="171">
        <f t="shared" ref="H31" si="8">D31*G31</f>
        <v>109660.5</v>
      </c>
      <c r="I31" s="172"/>
      <c r="J31" s="172"/>
      <c r="K31" s="172"/>
      <c r="L31" s="172"/>
      <c r="M31" s="172"/>
      <c r="N31" s="118">
        <f t="shared" ref="N31" si="9">F31+H31+J31+L31</f>
        <v>109660.5</v>
      </c>
      <c r="O31" s="172"/>
    </row>
    <row r="32" spans="1:15" ht="15" customHeight="1" x14ac:dyDescent="0.3">
      <c r="A32" s="101" t="s">
        <v>80</v>
      </c>
      <c r="B32" s="84"/>
      <c r="C32" s="85"/>
      <c r="D32" s="95"/>
      <c r="E32" s="97"/>
      <c r="F32" s="98">
        <f>SUM(F31:F31)</f>
        <v>0</v>
      </c>
      <c r="G32" s="98"/>
      <c r="H32" s="98">
        <f>SUM(H31:H31)</f>
        <v>109660.5</v>
      </c>
      <c r="I32" s="97"/>
      <c r="J32" s="98">
        <f>SUM(J31:J31)</f>
        <v>0</v>
      </c>
      <c r="K32" s="97"/>
      <c r="L32" s="98">
        <f>SUM(L31:L31)</f>
        <v>0</v>
      </c>
      <c r="M32" s="97"/>
      <c r="N32" s="98">
        <f>SUM(N31:N31)</f>
        <v>109660.5</v>
      </c>
      <c r="O32" s="97"/>
    </row>
    <row r="33" spans="1:15" ht="15" customHeight="1" x14ac:dyDescent="0.3">
      <c r="A33" s="101" t="s">
        <v>130</v>
      </c>
      <c r="B33" s="84"/>
      <c r="C33" s="85"/>
      <c r="D33" s="95"/>
      <c r="E33" s="97"/>
      <c r="F33" s="98">
        <f>F11+F15+F27+F29+F32</f>
        <v>617344.1</v>
      </c>
      <c r="G33" s="98"/>
      <c r="H33" s="98">
        <f>H11+H15+H27+H29+H32</f>
        <v>2616247.9700000002</v>
      </c>
      <c r="I33" s="97"/>
      <c r="J33" s="98">
        <f>J11+J15+J27+J29+J32</f>
        <v>0</v>
      </c>
      <c r="K33" s="97"/>
      <c r="L33" s="98">
        <f>L11+L15+L27+L29+L32</f>
        <v>0</v>
      </c>
      <c r="M33" s="97"/>
      <c r="N33" s="98">
        <f>N11+N15+N27+N29+N32</f>
        <v>3233592.0700000003</v>
      </c>
      <c r="O33" s="97"/>
    </row>
  </sheetData>
  <mergeCells count="21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A23:A24"/>
    <mergeCell ref="A25:A26"/>
    <mergeCell ref="A5:A10"/>
    <mergeCell ref="O5:O10"/>
    <mergeCell ref="A12:A14"/>
    <mergeCell ref="O12:O14"/>
    <mergeCell ref="A18:A19"/>
    <mergeCell ref="A20:A21"/>
    <mergeCell ref="O19:O20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1"/>
  <sheetViews>
    <sheetView showGridLines="0" zoomScaleNormal="100" workbookViewId="0">
      <selection activeCell="G33" sqref="G33"/>
    </sheetView>
  </sheetViews>
  <sheetFormatPr defaultColWidth="9" defaultRowHeight="14.25" x14ac:dyDescent="0.3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9" style="65" customWidth="1"/>
    <col min="7" max="16384" width="9" style="78"/>
  </cols>
  <sheetData>
    <row r="1" spans="1:6" ht="18" customHeight="1" x14ac:dyDescent="0.3">
      <c r="A1" s="103" t="s">
        <v>0</v>
      </c>
      <c r="B1" s="103" t="s">
        <v>1</v>
      </c>
      <c r="C1" s="103" t="s">
        <v>2</v>
      </c>
      <c r="D1" s="103" t="s">
        <v>3</v>
      </c>
      <c r="E1" s="103" t="s">
        <v>4</v>
      </c>
      <c r="F1" s="103" t="s">
        <v>5</v>
      </c>
    </row>
    <row r="2" spans="1:6" x14ac:dyDescent="0.3">
      <c r="A2" s="104" t="str">
        <f>'내역서(표준단가)'!A5</f>
        <v>M020853710050101</v>
      </c>
      <c r="B2" s="105">
        <f>'내역서(표준단가)'!F5</f>
        <v>0</v>
      </c>
      <c r="C2" s="105">
        <f>'내역서(표준단가)'!G5</f>
        <v>0</v>
      </c>
      <c r="D2" s="105" t="str">
        <f>'내역서(표준단가)'!H5</f>
        <v>M020853710050101</v>
      </c>
      <c r="E2" s="105">
        <f>'내역서(표준단가)'!I5</f>
        <v>0</v>
      </c>
      <c r="F2" s="115">
        <f>'내역서(표준단가)'!M5</f>
        <v>10.054</v>
      </c>
    </row>
    <row r="3" spans="1:6" x14ac:dyDescent="0.3">
      <c r="A3" s="104" t="str">
        <f>'내역서(표준단가)'!A6</f>
        <v>E00000803071260301</v>
      </c>
      <c r="B3" s="105">
        <f>'내역서(표준단가)'!F6</f>
        <v>0</v>
      </c>
      <c r="C3" s="105" t="str">
        <f>'내역서(표준단가)'!G6</f>
        <v>E00000803071260301</v>
      </c>
      <c r="D3" s="105">
        <f>'내역서(표준단가)'!H6</f>
        <v>0</v>
      </c>
      <c r="E3" s="105">
        <f>'내역서(표준단가)'!I6</f>
        <v>0</v>
      </c>
      <c r="F3" s="115">
        <f>'내역서(표준단가)'!M6</f>
        <v>2.2829999999999999</v>
      </c>
    </row>
    <row r="4" spans="1:6" x14ac:dyDescent="0.3">
      <c r="A4" s="104" t="str">
        <f>'내역서(표준단가)'!A7</f>
        <v>E00000803071260301</v>
      </c>
      <c r="B4" s="105">
        <f>'내역서(표준단가)'!F7</f>
        <v>0</v>
      </c>
      <c r="C4" s="105" t="str">
        <f>'내역서(표준단가)'!G7</f>
        <v>E00000803071260301</v>
      </c>
      <c r="D4" s="105">
        <f>'내역서(표준단가)'!H7</f>
        <v>0</v>
      </c>
      <c r="E4" s="105">
        <f>'내역서(표준단가)'!I7</f>
        <v>0</v>
      </c>
      <c r="F4" s="115">
        <f>'내역서(표준단가)'!M7</f>
        <v>1.7430000000000001</v>
      </c>
    </row>
    <row r="5" spans="1:6" x14ac:dyDescent="0.3">
      <c r="A5" s="104" t="str">
        <f>'내역서(표준단가)'!A8</f>
        <v>M020809012520101</v>
      </c>
      <c r="B5" s="105">
        <f>'내역서(표준단가)'!F8</f>
        <v>0</v>
      </c>
      <c r="C5" s="105">
        <f>'내역서(표준단가)'!G8</f>
        <v>0</v>
      </c>
      <c r="D5" s="105" t="str">
        <f>'내역서(표준단가)'!H8</f>
        <v>M020809012520101</v>
      </c>
      <c r="E5" s="105">
        <f>'내역서(표준단가)'!I8</f>
        <v>0</v>
      </c>
      <c r="F5" s="115">
        <f>'내역서(표준단가)'!M8</f>
        <v>39.6</v>
      </c>
    </row>
    <row r="6" spans="1:6" x14ac:dyDescent="0.3">
      <c r="A6" s="104" t="str">
        <f>'내역서(표준단가)'!A9</f>
        <v>E00000803071260401</v>
      </c>
      <c r="B6" s="105">
        <f>'내역서(표준단가)'!F9</f>
        <v>0</v>
      </c>
      <c r="C6" s="105" t="str">
        <f>'내역서(표준단가)'!G9</f>
        <v>E00000803071260401</v>
      </c>
      <c r="D6" s="105">
        <f>'내역서(표준단가)'!H9</f>
        <v>0</v>
      </c>
      <c r="E6" s="105">
        <f>'내역서(표준단가)'!I9</f>
        <v>0</v>
      </c>
      <c r="F6" s="115">
        <f>'내역서(표준단가)'!M9</f>
        <v>0.64900000000000002</v>
      </c>
    </row>
    <row r="7" spans="1:6" x14ac:dyDescent="0.3">
      <c r="A7" s="104" t="str">
        <f>'내역서(표준단가)'!A10</f>
        <v>M020412614110102</v>
      </c>
      <c r="B7" s="105">
        <f>'내역서(표준단가)'!F10</f>
        <v>0</v>
      </c>
      <c r="C7" s="105">
        <f>'내역서(표준단가)'!G10</f>
        <v>0</v>
      </c>
      <c r="D7" s="105" t="str">
        <f>'내역서(표준단가)'!H10</f>
        <v>M020412614110102</v>
      </c>
      <c r="E7" s="105">
        <f>'내역서(표준단가)'!I10</f>
        <v>0</v>
      </c>
      <c r="F7" s="115">
        <f>'내역서(표준단가)'!M10</f>
        <v>0.2</v>
      </c>
    </row>
    <row r="8" spans="1:6" x14ac:dyDescent="0.3">
      <c r="A8" s="104" t="str">
        <f>'내역서(표준단가)'!A11</f>
        <v>E00000803061120402</v>
      </c>
      <c r="B8" s="105">
        <f>'내역서(표준단가)'!F11</f>
        <v>0</v>
      </c>
      <c r="C8" s="105" t="str">
        <f>'내역서(표준단가)'!G11</f>
        <v>E00000803061120402</v>
      </c>
      <c r="D8" s="105">
        <f>'내역서(표준단가)'!H11</f>
        <v>0</v>
      </c>
      <c r="E8" s="105">
        <f>'내역서(표준단가)'!I11</f>
        <v>0</v>
      </c>
      <c r="F8" s="115">
        <f>'내역서(표준단가)'!M11</f>
        <v>20</v>
      </c>
    </row>
    <row r="9" spans="1:6" x14ac:dyDescent="0.3">
      <c r="A9" s="104" t="str">
        <f>'내역서(표준단가)'!A12</f>
        <v>E00000803061300201</v>
      </c>
      <c r="B9" s="105">
        <f>'내역서(표준단가)'!F12</f>
        <v>0</v>
      </c>
      <c r="C9" s="105" t="str">
        <f>'내역서(표준단가)'!G12</f>
        <v>E00000803061300201</v>
      </c>
      <c r="D9" s="105">
        <f>'내역서(표준단가)'!H12</f>
        <v>0</v>
      </c>
      <c r="E9" s="105">
        <f>'내역서(표준단가)'!I12</f>
        <v>0</v>
      </c>
      <c r="F9" s="115">
        <f>'내역서(표준단가)'!M12</f>
        <v>20</v>
      </c>
    </row>
    <row r="10" spans="1:6" x14ac:dyDescent="0.3">
      <c r="A10" s="104" t="str">
        <f>'내역서(표준단가)'!A13</f>
        <v>E00000801011510701</v>
      </c>
      <c r="B10" s="105">
        <f>'내역서(표준단가)'!F13</f>
        <v>0</v>
      </c>
      <c r="C10" s="105" t="str">
        <f>'내역서(표준단가)'!G13</f>
        <v>E00000801011510701</v>
      </c>
      <c r="D10" s="105">
        <f>'내역서(표준단가)'!H13</f>
        <v>0</v>
      </c>
      <c r="E10" s="105">
        <f>'내역서(표준단가)'!I13</f>
        <v>0</v>
      </c>
      <c r="F10" s="115">
        <f>'내역서(표준단가)'!M13</f>
        <v>79</v>
      </c>
    </row>
    <row r="11" spans="1:6" x14ac:dyDescent="0.3">
      <c r="A11" s="104" t="str">
        <f>'내역서(표준단가)'!A14</f>
        <v>L003</v>
      </c>
      <c r="B11" s="105">
        <f>'내역서(표준단가)'!F14</f>
        <v>0</v>
      </c>
      <c r="C11" s="105">
        <f>'내역서(표준단가)'!G14</f>
        <v>0</v>
      </c>
      <c r="D11" s="105">
        <f>'내역서(표준단가)'!H14</f>
        <v>0</v>
      </c>
      <c r="E11" s="105" t="str">
        <f>'내역서(표준단가)'!I14</f>
        <v>L003</v>
      </c>
      <c r="F11" s="115">
        <f>'내역서(표준단가)'!M14</f>
        <v>0.5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CA6E1-43E1-44CD-BAB1-58CA873802AD}">
  <sheetPr codeName="Sheet4"/>
  <dimension ref="A1"/>
  <sheetViews>
    <sheetView workbookViewId="0">
      <selection activeCell="A2" sqref="A2"/>
    </sheetView>
  </sheetViews>
  <sheetFormatPr defaultRowHeight="14.25" x14ac:dyDescent="0.3"/>
  <cols>
    <col min="1" max="16384" width="9" style="78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1,2,7동 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2025-09-25T06:07:27Z</dcterms:modified>
</cp:coreProperties>
</file>
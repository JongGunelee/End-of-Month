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87F5CD20-AB7B-447C-BFC6-DAFC6180F709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P6" i="9" l="1"/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<sst xmlns="http://schemas.openxmlformats.org/spreadsheetml/2006/main" count="240" uniqueCount="172">
  <si>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</si>
  <si>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</si>
  <si>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</si>
  <si>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</si>
  <si>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</si>
  <si>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</si>
  <si>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</si>
  <si>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</si>
  <si>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</si>
  <si>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</si>
  <si>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</si>
  <si>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</si>
  <si>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</si>
  <si>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</si>
  <si>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</si>
  <si>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</si>
  <si>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</si>
  <si>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</si>
  <si>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</si>
  <si>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</si>
  <si>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</si>
  <si>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</si>
  <si>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</si>
  <si>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</si>
  <si>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</si>
  <si>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</si>
  <si>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</si>
  <si>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</si>
  <si>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</si>
  <si>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</si>
  <si>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</si>
  <si>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</si>
  <si>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</si>
  <si>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</si>
  <si>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</si>
  <si>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</si>
  <si>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</si>
  <si>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</si>
  <si>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</si>
  <si>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</si>
  <si>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</si>
  <si>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</si>
  <si>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</si>
  <si>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</si>
  <si>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</si>
  <si>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</si>
  <si>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</si>
  <si>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</si>
  <si>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</si>
  <si>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</si>
  <si>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</si>
  <si>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</si>
  <si>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</si>
  <si>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</si>
  <si>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</si>
  <si>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</si>
  <si>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</si>
  <si>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</si>
  <si>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</si>
  <si>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</si>
  <si>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</si>
  <si>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</si>
  <si>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</si>
  <si>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</si>
  <si>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</si>
  <si>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</si>
  <si>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</si>
  <si>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</si>
  <si>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</si>
  <si>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</si>
  <si>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</si>
  <si>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</si>
  <si>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</si>
  <si>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</si>
  <si>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</si>
  <si>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</si>
  <si>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</si>
  <si>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</si>
  <si>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</si>
  <si>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</si>
  <si>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</si>
  <si>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</si>
  <si>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</si>
  <si>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</si>
  <si>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</si>
  <si>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</si>
  <si>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</si>
  <si>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</si>
  <si>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</si>
  <si>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</si>
  <si>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</si>
  <si>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</si>
  <si>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</si>
  <si>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</si>
  <si>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</si>
  <si>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</si>
  <si>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</si>
  <si>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</si>
  <si>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</si>
  <si>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</si>
  <si>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</si>
  <si>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</si>
  <si>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</si>
  <si>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</si>
  <si>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</si>
  <si>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</si>
  <si>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</si>
  <si>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</si>
  <si>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</si>
  <si>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</si>
  <si>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</si>
  <si>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</si>
  <si>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</si>
  <si>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</si>
  <si>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</si>
  <si>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</si>
  <si>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</si>
  <si>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</si>
  <si>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</si>
  <si>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</si>
  <si>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</si>
  <si>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</si>
  <si>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</si>
  <si>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</si>
  <si>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</si>
  <si>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</si>
  <si>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</si>
  <si>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</si>
  <si>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</si>
  <si>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</si>
  <si>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</si>
  <si>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</si>
  <si>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</si>
  <si>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</si>
  <si>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</si>
  <si>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</si>
  <si>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</si>
  <si>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</si>
  <si>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</si>
  <si>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</si>
  <si>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</si>
  <si>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</si>
  <si>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</si>
  <si>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</si>
  <si>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</si>
  <si>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</si>
  <si>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</si>
  <si>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</si>
  <si>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</si>
  <si>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</si>
  <si>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</si>
  <si>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</si>
  <si>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</si>
  <si>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</si>
  <si>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</si>
  <si>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</si>
  <si>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</si>
  <si>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</si>
  <si>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</si>
  <si>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</si>
  <si>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</si>
  <si>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</si>
  <si>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</si>
  <si>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</si>
  <si>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</si>
  <si>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</si>
  <si>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</si>
  <si>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06월  08일</t>
    <phoneticPr fontId="5" type="noConversion"/>
  </si>
  <si>
    <t xml:space="preserve"> 공사명 : 사택 8-207 수장공사</t>
    <phoneticPr fontId="11" type="noConversion"/>
  </si>
  <si>
    <t>사택 8-207 수장공사</t>
    <phoneticPr fontId="5" type="noConversion"/>
  </si>
  <si>
    <t>일당 시공량-천장 35㎡ 적산정보 500p 참조, 시공총량24㎡/일당35㎡=0.6857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</si>
  <si>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소요량160/16.51=9.691R/L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</si>
</sst>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90" fontId="17" fillId="0" borderId="0" xfId="0" applyNumberFormat="1" applyFont="1">
      <alignment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185" fontId="22" fillId="0" borderId="31" xfId="13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6" xfId="13" applyNumberFormat="1" applyFont="1" applyBorder="1" applyAlignment="1">
      <alignment vertical="center"/>
    </xf>
    <xf numFmtId="0" fontId="20" fillId="10" borderId="36" xfId="13" applyNumberFormat="1" applyFont="1" applyFill="1" applyBorder="1" applyAlignment="1">
      <alignment vertical="center"/>
    </xf>
    <xf numFmtId="0" fontId="20" fillId="10" borderId="35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9" t="s">
        <v>6</v>
      </c>
      <c r="B2" s="179"/>
      <c r="C2" s="179"/>
      <c r="D2" s="179"/>
      <c r="E2" s="179"/>
      <c r="F2" s="179"/>
      <c r="G2" s="179"/>
      <c r="H2" s="2"/>
    </row>
    <row r="3" spans="1:9" ht="13.5">
      <c r="A3" s="118"/>
      <c r="B3" s="118"/>
      <c r="C3" s="118"/>
      <c r="D3" s="118"/>
      <c r="E3" s="118"/>
      <c r="F3" s="118"/>
      <c r="G3" s="118"/>
      <c r="H3" s="118"/>
    </row>
    <row r="4" spans="1:9" ht="13.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2" t="s">
        <v>168</v>
      </c>
      <c r="B7" s="183"/>
      <c r="C7" s="184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167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80"/>
      <c r="B11" s="181"/>
      <c r="C11" s="181"/>
      <c r="D11" s="118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사백칠십육만구천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857337.83649999998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3181583.8836670001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4038921.7201669998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165</v>
      </c>
      <c r="D21" s="168">
        <v>1</v>
      </c>
      <c r="E21" s="168" t="s">
        <v>24</v>
      </c>
      <c r="F21" s="169">
        <f>F17*4.75%</f>
        <v>151125.23447418251</v>
      </c>
      <c r="G21" s="35" t="s">
        <v>25</v>
      </c>
    </row>
    <row r="22" spans="1:7" ht="33" customHeight="1">
      <c r="A22" s="29"/>
      <c r="B22" s="170" t="s">
        <v>26</v>
      </c>
      <c r="C22" s="167" t="s">
        <v>166</v>
      </c>
      <c r="D22" s="171">
        <v>1</v>
      </c>
      <c r="E22" s="171" t="s">
        <v>24</v>
      </c>
      <c r="F22" s="172">
        <f>F17*3.595%</f>
        <v>114377.94061782866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14811.943310008812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32133.997225036699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113264.3862585452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118340.4064008931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186281.88959767477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730335.79788416973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4769257.5180511698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4769000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H20" sqref="H20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5"/>
      <c r="B1" s="185"/>
      <c r="C1" s="185"/>
      <c r="D1" s="185"/>
      <c r="E1" s="185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5"/>
      <c r="B2" s="185"/>
      <c r="C2" s="185"/>
      <c r="D2" s="185"/>
      <c r="E2" s="185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6" t="s">
        <v>100</v>
      </c>
      <c r="G3" s="196"/>
      <c r="H3" s="194" t="s">
        <v>47</v>
      </c>
      <c r="I3" s="194" t="s">
        <v>5</v>
      </c>
      <c r="J3" s="190" t="s">
        <v>101</v>
      </c>
      <c r="K3" s="190"/>
      <c r="L3" s="190" t="s">
        <v>102</v>
      </c>
      <c r="M3" s="190"/>
      <c r="N3" s="191" t="s">
        <v>103</v>
      </c>
      <c r="O3" s="191"/>
      <c r="P3" s="191" t="s">
        <v>104</v>
      </c>
      <c r="Q3" s="191"/>
      <c r="R3" s="192" t="s">
        <v>105</v>
      </c>
      <c r="S3" s="188" t="s">
        <v>106</v>
      </c>
      <c r="T3" s="186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5"/>
      <c r="I4" s="195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3"/>
      <c r="S4" s="189"/>
      <c r="T4" s="187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171</v>
      </c>
      <c r="H5" s="110" t="s">
        <v>160</v>
      </c>
      <c r="I5" s="129">
        <v>9.6910000000000007</v>
      </c>
      <c r="J5" s="155">
        <v>20900</v>
      </c>
      <c r="K5" s="126">
        <f t="shared" ref="K5" si="1">SUM(J5:J5)*I5*$K$2</f>
        <v>169122.4865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169122.4865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161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170</v>
      </c>
      <c r="H7" s="71" t="s">
        <v>119</v>
      </c>
      <c r="I7" s="129">
        <v>0.68569999999999998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292269.86748899997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292269.86748899997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162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0.5</v>
      </c>
      <c r="J10" s="155">
        <v>65500</v>
      </c>
      <c r="K10" s="126">
        <f t="shared" si="12"/>
        <v>27346.25</v>
      </c>
      <c r="L10" s="125"/>
      <c r="M10" s="126"/>
      <c r="N10" s="127"/>
      <c r="O10" s="126"/>
      <c r="P10" s="127"/>
      <c r="Q10" s="126"/>
      <c r="R10" s="73">
        <f t="shared" si="5"/>
        <v>27346.25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48</v>
      </c>
      <c r="J11" s="125"/>
      <c r="K11" s="126">
        <f t="shared" si="12"/>
        <v>0</v>
      </c>
      <c r="L11" s="158">
        <v>10752</v>
      </c>
      <c r="M11" s="126">
        <f t="shared" si="2"/>
        <v>430940.15999999997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430940.15999999997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48</v>
      </c>
      <c r="J12" s="125"/>
      <c r="K12" s="126">
        <f t="shared" si="12"/>
        <v>0</v>
      </c>
      <c r="L12" s="156">
        <v>6368</v>
      </c>
      <c r="M12" s="126">
        <f t="shared" si="2"/>
        <v>255229.44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255229.44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163</v>
      </c>
      <c r="G18" s="71" t="s">
        <v>158</v>
      </c>
      <c r="H18" s="160" t="s">
        <v>164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857337.83649999998</v>
      </c>
      <c r="L19" s="144"/>
      <c r="M19" s="143">
        <f>SUM(M5:M18)</f>
        <v>3181583.8836670001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4038921.7201669998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B6" sqref="B6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4" t="s">
        <v>58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6" ht="15" customHeight="1">
      <c r="A2" s="205" t="s">
        <v>59</v>
      </c>
      <c r="B2" s="206" t="s">
        <v>60</v>
      </c>
      <c r="C2" s="207" t="s">
        <v>47</v>
      </c>
      <c r="D2" s="207" t="s">
        <v>61</v>
      </c>
      <c r="E2" s="209" t="s">
        <v>62</v>
      </c>
      <c r="F2" s="206"/>
      <c r="G2" s="206" t="s">
        <v>63</v>
      </c>
      <c r="H2" s="206"/>
      <c r="I2" s="210" t="s">
        <v>64</v>
      </c>
      <c r="J2" s="211"/>
      <c r="K2" s="210" t="s">
        <v>65</v>
      </c>
      <c r="L2" s="211"/>
      <c r="M2" s="209" t="s">
        <v>66</v>
      </c>
      <c r="N2" s="206"/>
      <c r="O2" s="212" t="s">
        <v>67</v>
      </c>
    </row>
    <row r="3" spans="1:16" ht="15" customHeight="1">
      <c r="A3" s="205"/>
      <c r="B3" s="206"/>
      <c r="C3" s="208"/>
      <c r="D3" s="208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3"/>
    </row>
    <row r="4" spans="1:16" ht="15" customHeight="1">
      <c r="A4" s="202" t="s">
        <v>169</v>
      </c>
      <c r="B4" s="203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15" t="s">
        <v>71</v>
      </c>
      <c r="B5" s="214" t="s">
        <v>72</v>
      </c>
      <c r="C5" s="79" t="s">
        <v>73</v>
      </c>
      <c r="D5" s="148">
        <v>40</v>
      </c>
      <c r="E5" s="161">
        <v>1057</v>
      </c>
      <c r="F5" s="80">
        <f t="shared" ref="F5:F11" si="0">D5*E5</f>
        <v>42280</v>
      </c>
      <c r="G5" s="161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8" t="s">
        <v>149</v>
      </c>
    </row>
    <row r="6" spans="1:16" ht="15" customHeight="1">
      <c r="A6" s="216"/>
      <c r="B6" s="214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1" si="2">F6+H6+J6+L6</f>
        <v>317640</v>
      </c>
      <c r="O6" s="199"/>
      <c r="P6" s="178">
        <f>D5+D7+D9+D11</f>
        <v>136</v>
      </c>
    </row>
    <row r="7" spans="1:16" ht="15" customHeight="1">
      <c r="A7" s="216"/>
      <c r="B7" s="214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199"/>
      <c r="P7" s="108">
        <f>D6+D8+D10+D12</f>
        <v>24</v>
      </c>
    </row>
    <row r="8" spans="1:16" ht="15" customHeight="1">
      <c r="A8" s="216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199"/>
    </row>
    <row r="9" spans="1:16" ht="15" customHeight="1">
      <c r="A9" s="216"/>
      <c r="B9" s="214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199"/>
    </row>
    <row r="10" spans="1:16" ht="15" customHeight="1">
      <c r="A10" s="216"/>
      <c r="B10" s="173" t="s">
        <v>78</v>
      </c>
      <c r="C10" s="174" t="s">
        <v>73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199"/>
    </row>
    <row r="11" spans="1:16" ht="15" customHeight="1">
      <c r="A11" s="216"/>
      <c r="B11" s="214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199"/>
    </row>
    <row r="12" spans="1:16" ht="15" customHeight="1">
      <c r="A12" s="216"/>
      <c r="B12" s="173" t="s">
        <v>80</v>
      </c>
      <c r="C12" s="174" t="s">
        <v>73</v>
      </c>
      <c r="D12" s="175"/>
      <c r="E12" s="176"/>
      <c r="F12" s="177"/>
      <c r="G12" s="176"/>
      <c r="H12" s="177"/>
      <c r="I12" s="177"/>
      <c r="J12" s="177"/>
      <c r="K12" s="177"/>
      <c r="L12" s="177"/>
      <c r="M12" s="177"/>
      <c r="N12" s="177"/>
      <c r="O12" s="199"/>
    </row>
    <row r="13" spans="1:16" ht="15" customHeight="1">
      <c r="A13" s="103" t="s">
        <v>81</v>
      </c>
      <c r="B13" s="104"/>
      <c r="C13" s="105"/>
      <c r="D13" s="149">
        <f>SUM(D5:D12)</f>
        <v>160</v>
      </c>
      <c r="E13" s="112"/>
      <c r="F13" s="106">
        <f>SUM(F5:F12)</f>
        <v>169120</v>
      </c>
      <c r="G13" s="106"/>
      <c r="H13" s="106">
        <f>SUM(H5:H12)</f>
        <v>1552448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1721568</v>
      </c>
      <c r="O13" s="106"/>
    </row>
    <row r="14" spans="1:16" ht="15" customHeight="1">
      <c r="A14" s="217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199"/>
    </row>
    <row r="15" spans="1:16" ht="15" customHeight="1">
      <c r="A15" s="217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199"/>
    </row>
    <row r="16" spans="1:16" ht="15" customHeight="1">
      <c r="A16" s="217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199"/>
    </row>
    <row r="17" spans="1:15" ht="15" customHeight="1">
      <c r="A17" s="218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0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201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01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01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201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7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7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7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7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857335.6</v>
      </c>
      <c r="G33" s="92"/>
      <c r="H33" s="92">
        <f>H13+H18+H30+H32</f>
        <v>3181730.5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4039066.1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9.6910000000000007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0.68569999999999998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48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2026-06-07T22:41:16Z</dcterms:modified>
</cp:coreProperties>
</file>
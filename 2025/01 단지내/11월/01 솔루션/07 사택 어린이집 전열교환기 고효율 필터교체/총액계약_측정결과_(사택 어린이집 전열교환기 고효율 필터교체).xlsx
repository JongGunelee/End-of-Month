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1 솔루션\07 사택 어린이집 전열교환기 고효율 필터교체\"/>
    </mc:Choice>
  </mc:AlternateContent>
  <xr:revisionPtr revIDLastSave="0" documentId="13_ncr:1_{346FF0B0-9660-4431-91CB-06906A0B5DD1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미세먼지 측정값" sheetId="2" r:id="rId1"/>
  </sheets>
  <externalReferences>
    <externalReference r:id="rId2"/>
  </externalReferences>
  <definedNames>
    <definedName name="_xlnm.Print_Area" localSheetId="0">'미세먼지 측정값'!$A$1:$J$20</definedName>
    <definedName name="거래처명">#REF!</definedName>
    <definedName name="계">#REF!</definedName>
    <definedName name="공급가액">#REF!</definedName>
    <definedName name="공급가액합계">#REF!</definedName>
    <definedName name="대표자명">#REF!</definedName>
    <definedName name="등록번호">#REF!</definedName>
    <definedName name="등록번호2">#REF!</definedName>
    <definedName name="매출금액">#REF!</definedName>
    <definedName name="발행일자">#REF!</definedName>
    <definedName name="부가세">#REF!</definedName>
    <definedName name="사용자">#REF!</definedName>
    <definedName name="사용자목록">[1]등록자료!$G$6:$G$25</definedName>
    <definedName name="사용자코드">[1]등록자료!$G$2</definedName>
    <definedName name="상호">#REF!</definedName>
    <definedName name="상호2">#REF!</definedName>
    <definedName name="성명2">#REF!</definedName>
    <definedName name="세액합계">#REF!</definedName>
    <definedName name="업태">#REF!</definedName>
    <definedName name="업태2">#REF!</definedName>
    <definedName name="연습">#REF!</definedName>
    <definedName name="인쇄영역">#REF!</definedName>
    <definedName name="일련번호">#REF!</definedName>
    <definedName name="입력구분">#REF!</definedName>
    <definedName name="종목">#REF!</definedName>
    <definedName name="종목2">#REF!</definedName>
    <definedName name="주소">#REF!</definedName>
    <definedName name="주소2">#REF!</definedName>
    <definedName name="품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E15" i="2"/>
  <c r="C15" i="2"/>
  <c r="H13" i="2"/>
  <c r="I13" i="2"/>
  <c r="H14" i="2"/>
  <c r="I14" i="2"/>
  <c r="B15" i="2"/>
  <c r="I12" i="2" l="1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H15" i="2" l="1"/>
  <c r="I15" i="2"/>
</calcChain>
</file>

<file path=xl/sharedStrings.xml><?xml version="1.0" encoding="utf-8"?>
<sst xmlns="http://schemas.openxmlformats.org/spreadsheetml/2006/main" count="28" uniqueCount="23">
  <si>
    <t>교실명</t>
    <phoneticPr fontId="1" type="noConversion"/>
  </si>
  <si>
    <t>PM10</t>
    <phoneticPr fontId="1" type="noConversion"/>
  </si>
  <si>
    <t>PM2.5</t>
    <phoneticPr fontId="1" type="noConversion"/>
  </si>
  <si>
    <t>편차</t>
    <phoneticPr fontId="1" type="noConversion"/>
  </si>
  <si>
    <t>무지개반</t>
    <phoneticPr fontId="1" type="noConversion"/>
  </si>
  <si>
    <t>은하수반</t>
    <phoneticPr fontId="1" type="noConversion"/>
  </si>
  <si>
    <t>비고</t>
    <phoneticPr fontId="1" type="noConversion"/>
  </si>
  <si>
    <t>평균</t>
    <phoneticPr fontId="1" type="noConversion"/>
  </si>
  <si>
    <t>측정시각</t>
    <phoneticPr fontId="1" type="noConversion"/>
  </si>
  <si>
    <t>식당</t>
    <phoneticPr fontId="1" type="noConversion"/>
  </si>
  <si>
    <t>교체 후</t>
    <phoneticPr fontId="1" type="noConversion"/>
  </si>
  <si>
    <t>3) 측정 시 주변환경이나 조건에 따라 측정값이 다소 상이할 수 있고 본 측정기는 간이 측정기이므로 단순 참고용으로만 사용하시기 바랍니다.</t>
    <phoneticPr fontId="1" type="noConversion"/>
  </si>
  <si>
    <t>교체 전</t>
    <phoneticPr fontId="1" type="noConversion"/>
  </si>
  <si>
    <t>교사실</t>
    <phoneticPr fontId="1" type="noConversion"/>
  </si>
  <si>
    <t>원장실</t>
    <phoneticPr fontId="1" type="noConversion"/>
  </si>
  <si>
    <t>해님반</t>
    <phoneticPr fontId="1" type="noConversion"/>
  </si>
  <si>
    <t>달님반</t>
    <phoneticPr fontId="1" type="noConversion"/>
  </si>
  <si>
    <t>별님반</t>
    <phoneticPr fontId="1" type="noConversion"/>
  </si>
  <si>
    <t>유희교실</t>
    <phoneticPr fontId="1" type="noConversion"/>
  </si>
  <si>
    <t>창의교실</t>
    <phoneticPr fontId="1" type="noConversion"/>
  </si>
  <si>
    <t>2) 측정일자 / 측정인원 : `25.11.08 / 권용주 프로</t>
    <phoneticPr fontId="1" type="noConversion"/>
  </si>
  <si>
    <t>1) 측정장비 : HUMA /  측정 조건 대전지역 실외  PM10 기준 42  PM2.5기준 26 기준으로 측정함</t>
    <phoneticPr fontId="1" type="noConversion"/>
  </si>
  <si>
    <t>■ 어린이집 전열교환기 필터 미세먼지 측정값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</si>
</sst>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.0\ &quot;㎍/㎥&quot;"/>
    <numFmt numFmtId="177" formatCode="0.0\ &quot;㎍/㎥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3" xfId="0" applyBorder="1">
      <alignment vertical="center"/>
    </xf>
    <xf numFmtId="20" fontId="0" fillId="0" borderId="3" xfId="0" applyNumberForma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5" fillId="0" borderId="0" xfId="0" applyFont="1">
      <alignment vertical="center"/>
    </xf>
    <xf numFmtId="0" fontId="3" fillId="0" borderId="0" xfId="0" applyFont="1" applyFill="1" applyBorder="1">
      <alignment vertical="center"/>
    </xf>
    <xf numFmtId="176" fontId="0" fillId="0" borderId="3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4" fillId="2" borderId="3" xfId="0" applyNumberFormat="1" applyFont="1" applyFill="1" applyBorder="1" applyAlignment="1">
      <alignment horizontal="right" vertical="center"/>
    </xf>
    <xf numFmtId="20" fontId="4" fillId="2" borderId="3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3" xfId="0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51921;&#51060;&#44732;\2003&#48260;&#51260;\2007&#48260;&#51260;\Downloads\&#50641;&#49472;\&#54788;&#44552;&#52636;&#45225;&#48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입력"/>
      <sheetName val="출납장부"/>
      <sheetName val="입력정보"/>
      <sheetName val="등록자료"/>
      <sheetName val="EIS_PAK"/>
      <sheetName val="현금출납부"/>
    </sheetNames>
    <sheetDataSet>
      <sheetData sheetId="0" refreshError="1"/>
      <sheetData sheetId="1" refreshError="1"/>
      <sheetData sheetId="2" refreshError="1"/>
      <sheetData sheetId="3">
        <row r="2">
          <cell r="G2">
            <v>1</v>
          </cell>
        </row>
        <row r="6">
          <cell r="G6" t="str">
            <v>(경리부)</v>
          </cell>
        </row>
        <row r="7">
          <cell r="G7" t="str">
            <v>정수천</v>
          </cell>
        </row>
        <row r="8">
          <cell r="G8" t="str">
            <v>김유신</v>
          </cell>
        </row>
        <row r="9">
          <cell r="G9" t="str">
            <v>유관순</v>
          </cell>
        </row>
        <row r="10">
          <cell r="G10" t="str">
            <v>장보고</v>
          </cell>
        </row>
        <row r="11">
          <cell r="G11" t="str">
            <v>정몽주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view="pageBreakPreview" zoomScale="130" zoomScaleNormal="100" zoomScaleSheetLayoutView="130" workbookViewId="0">
      <selection activeCell="H13" sqref="H13"/>
    </sheetView>
  </sheetViews>
  <sheetFormatPr defaultRowHeight="16.5" x14ac:dyDescent="0.3"/>
  <cols>
    <col min="1" max="1" width="14.125" customWidth="1"/>
    <col min="2" max="7" width="10.125" style="1" customWidth="1"/>
    <col min="8" max="8" width="10.875" style="1" bestFit="1" customWidth="1"/>
    <col min="9" max="9" width="10.125" style="1" customWidth="1"/>
    <col min="10" max="10" width="15.125" customWidth="1"/>
  </cols>
  <sheetData>
    <row r="1" spans="1:10" ht="20.25" x14ac:dyDescent="0.3">
      <c r="A1" s="9" t="s">
        <v>22</v>
      </c>
    </row>
    <row r="2" spans="1:10" ht="6" customHeight="1" x14ac:dyDescent="0.3"/>
    <row r="3" spans="1:10" ht="24" customHeight="1" x14ac:dyDescent="0.3">
      <c r="A3" s="18" t="s">
        <v>0</v>
      </c>
      <c r="B3" s="18" t="s">
        <v>12</v>
      </c>
      <c r="C3" s="18"/>
      <c r="D3" s="18"/>
      <c r="E3" s="18" t="s">
        <v>10</v>
      </c>
      <c r="F3" s="18"/>
      <c r="G3" s="18"/>
      <c r="H3" s="18" t="s">
        <v>3</v>
      </c>
      <c r="I3" s="18"/>
      <c r="J3" s="18" t="s">
        <v>6</v>
      </c>
    </row>
    <row r="4" spans="1:10" ht="24" customHeight="1" thickBot="1" x14ac:dyDescent="0.35">
      <c r="A4" s="19"/>
      <c r="B4" s="7" t="s">
        <v>1</v>
      </c>
      <c r="C4" s="7" t="s">
        <v>2</v>
      </c>
      <c r="D4" s="7" t="s">
        <v>8</v>
      </c>
      <c r="E4" s="7" t="s">
        <v>1</v>
      </c>
      <c r="F4" s="7" t="s">
        <v>2</v>
      </c>
      <c r="G4" s="7" t="s">
        <v>8</v>
      </c>
      <c r="H4" s="7" t="s">
        <v>1</v>
      </c>
      <c r="I4" s="7" t="s">
        <v>2</v>
      </c>
      <c r="J4" s="19"/>
    </row>
    <row r="5" spans="1:10" ht="24" customHeight="1" thickTop="1" x14ac:dyDescent="0.3">
      <c r="A5" s="17" t="s">
        <v>15</v>
      </c>
      <c r="B5" s="11">
        <v>15</v>
      </c>
      <c r="C5" s="11">
        <v>8</v>
      </c>
      <c r="D5" s="6">
        <v>0.39583333333333331</v>
      </c>
      <c r="E5" s="13">
        <v>12</v>
      </c>
      <c r="F5" s="13">
        <v>8</v>
      </c>
      <c r="G5" s="6">
        <v>0.47916666666666669</v>
      </c>
      <c r="H5" s="11">
        <f>E5-B5</f>
        <v>-3</v>
      </c>
      <c r="I5" s="11">
        <f t="shared" ref="I5:I12" si="0">F5-C5</f>
        <v>0</v>
      </c>
      <c r="J5" s="5"/>
    </row>
    <row r="6" spans="1:10" ht="24" customHeight="1" x14ac:dyDescent="0.3">
      <c r="A6" s="16" t="s">
        <v>16</v>
      </c>
      <c r="B6" s="12">
        <v>9</v>
      </c>
      <c r="C6" s="12">
        <v>7</v>
      </c>
      <c r="D6" s="6">
        <v>0.39583333333333331</v>
      </c>
      <c r="E6" s="13">
        <v>7</v>
      </c>
      <c r="F6" s="13">
        <v>7</v>
      </c>
      <c r="G6" s="6">
        <v>0.47916666666666669</v>
      </c>
      <c r="H6" s="12">
        <f t="shared" ref="H6:H12" si="1">E6-B6</f>
        <v>-2</v>
      </c>
      <c r="I6" s="12">
        <f t="shared" si="0"/>
        <v>0</v>
      </c>
      <c r="J6" s="2"/>
    </row>
    <row r="7" spans="1:10" ht="24" customHeight="1" x14ac:dyDescent="0.3">
      <c r="A7" s="16" t="s">
        <v>17</v>
      </c>
      <c r="B7" s="12">
        <v>20</v>
      </c>
      <c r="C7" s="12">
        <v>9</v>
      </c>
      <c r="D7" s="6">
        <v>0.39583333333333331</v>
      </c>
      <c r="E7" s="13">
        <v>12</v>
      </c>
      <c r="F7" s="13">
        <v>8</v>
      </c>
      <c r="G7" s="6">
        <v>0.47916666666666669</v>
      </c>
      <c r="H7" s="12">
        <f t="shared" si="1"/>
        <v>-8</v>
      </c>
      <c r="I7" s="12">
        <f t="shared" si="0"/>
        <v>-1</v>
      </c>
      <c r="J7" s="2"/>
    </row>
    <row r="8" spans="1:10" ht="24" customHeight="1" x14ac:dyDescent="0.3">
      <c r="A8" s="16" t="s">
        <v>18</v>
      </c>
      <c r="B8" s="12">
        <v>14</v>
      </c>
      <c r="C8" s="12">
        <v>11</v>
      </c>
      <c r="D8" s="6">
        <v>0.39583333333333331</v>
      </c>
      <c r="E8" s="13">
        <v>13</v>
      </c>
      <c r="F8" s="13">
        <v>6</v>
      </c>
      <c r="G8" s="6">
        <v>0.47916666666666669</v>
      </c>
      <c r="H8" s="12">
        <f t="shared" si="1"/>
        <v>-1</v>
      </c>
      <c r="I8" s="12">
        <f t="shared" si="0"/>
        <v>-5</v>
      </c>
      <c r="J8" s="2"/>
    </row>
    <row r="9" spans="1:10" ht="24" customHeight="1" x14ac:dyDescent="0.3">
      <c r="A9" s="16" t="s">
        <v>19</v>
      </c>
      <c r="B9" s="12">
        <v>10</v>
      </c>
      <c r="C9" s="12">
        <v>8</v>
      </c>
      <c r="D9" s="6">
        <v>0.39583333333333331</v>
      </c>
      <c r="E9" s="13">
        <v>9</v>
      </c>
      <c r="F9" s="13">
        <v>8</v>
      </c>
      <c r="G9" s="6">
        <v>0.47916666666666669</v>
      </c>
      <c r="H9" s="12">
        <f t="shared" si="1"/>
        <v>-1</v>
      </c>
      <c r="I9" s="12">
        <f t="shared" si="0"/>
        <v>0</v>
      </c>
      <c r="J9" s="2"/>
    </row>
    <row r="10" spans="1:10" ht="24" customHeight="1" x14ac:dyDescent="0.3">
      <c r="A10" s="16" t="s">
        <v>9</v>
      </c>
      <c r="B10" s="12">
        <v>19</v>
      </c>
      <c r="C10" s="12">
        <v>14</v>
      </c>
      <c r="D10" s="6">
        <v>0.39583333333333331</v>
      </c>
      <c r="E10" s="13">
        <v>17</v>
      </c>
      <c r="F10" s="13">
        <v>14</v>
      </c>
      <c r="G10" s="6">
        <v>0.47916666666666669</v>
      </c>
      <c r="H10" s="12">
        <f t="shared" si="1"/>
        <v>-2</v>
      </c>
      <c r="I10" s="12">
        <f t="shared" si="0"/>
        <v>0</v>
      </c>
      <c r="J10" s="2"/>
    </row>
    <row r="11" spans="1:10" ht="24" customHeight="1" x14ac:dyDescent="0.3">
      <c r="A11" s="16" t="s">
        <v>4</v>
      </c>
      <c r="B11" s="12">
        <v>8</v>
      </c>
      <c r="C11" s="12">
        <v>7</v>
      </c>
      <c r="D11" s="6">
        <v>0.39583333333333331</v>
      </c>
      <c r="E11" s="13">
        <v>8</v>
      </c>
      <c r="F11" s="13">
        <v>4</v>
      </c>
      <c r="G11" s="6">
        <v>0.47916666666666669</v>
      </c>
      <c r="H11" s="12">
        <f t="shared" si="1"/>
        <v>0</v>
      </c>
      <c r="I11" s="12">
        <f t="shared" si="0"/>
        <v>-3</v>
      </c>
      <c r="J11" s="2"/>
    </row>
    <row r="12" spans="1:10" ht="24" customHeight="1" x14ac:dyDescent="0.3">
      <c r="A12" s="16" t="s">
        <v>5</v>
      </c>
      <c r="B12" s="12">
        <v>8</v>
      </c>
      <c r="C12" s="12">
        <v>8</v>
      </c>
      <c r="D12" s="6">
        <v>0.39583333333333331</v>
      </c>
      <c r="E12" s="13">
        <v>5</v>
      </c>
      <c r="F12" s="13">
        <v>5</v>
      </c>
      <c r="G12" s="6">
        <v>0.47916666666666669</v>
      </c>
      <c r="H12" s="12">
        <f t="shared" si="1"/>
        <v>-3</v>
      </c>
      <c r="I12" s="12">
        <f t="shared" si="0"/>
        <v>-3</v>
      </c>
      <c r="J12" s="2"/>
    </row>
    <row r="13" spans="1:10" ht="24" customHeight="1" x14ac:dyDescent="0.3">
      <c r="A13" s="16" t="s">
        <v>13</v>
      </c>
      <c r="B13" s="12">
        <v>23</v>
      </c>
      <c r="C13" s="12">
        <v>17</v>
      </c>
      <c r="D13" s="6">
        <v>0.39583333333333331</v>
      </c>
      <c r="E13" s="13">
        <v>18</v>
      </c>
      <c r="F13" s="13">
        <v>14</v>
      </c>
      <c r="G13" s="6">
        <v>0.47916666666666669</v>
      </c>
      <c r="H13" s="12">
        <f t="shared" ref="H13:H14" si="2">E13-B13</f>
        <v>-5</v>
      </c>
      <c r="I13" s="12">
        <f t="shared" ref="I13:I14" si="3">F13-C13</f>
        <v>-3</v>
      </c>
      <c r="J13" s="2"/>
    </row>
    <row r="14" spans="1:10" ht="24" customHeight="1" x14ac:dyDescent="0.3">
      <c r="A14" s="16" t="s">
        <v>14</v>
      </c>
      <c r="B14" s="12">
        <v>16</v>
      </c>
      <c r="C14" s="12">
        <v>12</v>
      </c>
      <c r="D14" s="6">
        <v>0.39583333333333331</v>
      </c>
      <c r="E14" s="13">
        <v>13</v>
      </c>
      <c r="F14" s="13">
        <v>9</v>
      </c>
      <c r="G14" s="6">
        <v>0.47916666666666669</v>
      </c>
      <c r="H14" s="12">
        <f t="shared" si="2"/>
        <v>-3</v>
      </c>
      <c r="I14" s="12">
        <f t="shared" si="3"/>
        <v>-3</v>
      </c>
      <c r="J14" s="2"/>
    </row>
    <row r="15" spans="1:10" ht="24" customHeight="1" x14ac:dyDescent="0.3">
      <c r="A15" s="8" t="s">
        <v>7</v>
      </c>
      <c r="B15" s="14">
        <f>AVERAGE(B5:B14)</f>
        <v>14.2</v>
      </c>
      <c r="C15" s="14">
        <f>AVERAGE(C5:C14)</f>
        <v>10.1</v>
      </c>
      <c r="D15" s="15">
        <v>0.39583333333333331</v>
      </c>
      <c r="E15" s="14">
        <f>AVERAGE(E5:E14)</f>
        <v>11.4</v>
      </c>
      <c r="F15" s="14">
        <f>AVERAGE(F5:F14)</f>
        <v>8.3000000000000007</v>
      </c>
      <c r="G15" s="15">
        <v>0.47916666666666669</v>
      </c>
      <c r="H15" s="14">
        <f>AVERAGE(H5:H14)</f>
        <v>-2.8</v>
      </c>
      <c r="I15" s="14">
        <f>AVERAGE(I5:I14)</f>
        <v>-1.8</v>
      </c>
      <c r="J15" s="8"/>
    </row>
    <row r="16" spans="1:10" ht="6" customHeight="1" x14ac:dyDescent="0.3"/>
    <row r="17" spans="1:1" ht="16.5" customHeight="1" x14ac:dyDescent="0.3">
      <c r="A17" s="3" t="s">
        <v>21</v>
      </c>
    </row>
    <row r="18" spans="1:1" ht="16.5" customHeight="1" x14ac:dyDescent="0.3">
      <c r="A18" s="4" t="s">
        <v>20</v>
      </c>
    </row>
    <row r="19" spans="1:1" ht="16.5" customHeight="1" x14ac:dyDescent="0.3">
      <c r="A19" s="4" t="s">
        <v>11</v>
      </c>
    </row>
    <row r="20" spans="1:1" x14ac:dyDescent="0.3">
      <c r="A20" s="10"/>
    </row>
  </sheetData>
  <mergeCells count="5">
    <mergeCell ref="J3:J4"/>
    <mergeCell ref="A3:A4"/>
    <mergeCell ref="B3:D3"/>
    <mergeCell ref="E3:G3"/>
    <mergeCell ref="H3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미세먼지 측정값</vt:lpstr>
      <vt:lpstr>'미세먼지 측정값'!Print_Area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윤양진/과장/LGSAE 솔루션지원팀(yangjine.yoon@lge.com)</dc:creator>
  <cp:lastModifiedBy>종근 이</cp:lastModifiedBy>
  <cp:lastPrinted>2023-05-12T14:41:31Z</cp:lastPrinted>
  <dcterms:created xsi:type="dcterms:W3CDTF">2018-08-13T01:13:21Z</dcterms:created>
  <dcterms:modified xsi:type="dcterms:W3CDTF">2025-11-14T01:27:17Z</dcterms:modified>
</cp:coreProperties>
</file>
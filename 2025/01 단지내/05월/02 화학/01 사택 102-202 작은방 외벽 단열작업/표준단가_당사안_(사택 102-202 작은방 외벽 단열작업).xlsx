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312\06 작업폴더\01 사택 102-202 작은방 외벽 단열작업\"/>
    </mc:Choice>
  </mc:AlternateContent>
  <xr:revisionPtr revIDLastSave="0" documentId="13_ncr:1_{B1DD13D0-06C1-4112-91EC-12B8D7F1191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U5" i="4"/>
  <c r="S5" i="4"/>
  <c r="Q5" i="4"/>
  <c r="O5" i="4"/>
  <c r="A5" i="4"/>
  <c r="V10" i="4" l="1"/>
  <c r="V5" i="4"/>
  <c r="U12" i="4"/>
  <c r="S12" i="4"/>
  <c r="Q12" i="4"/>
  <c r="O12" i="4"/>
  <c r="A12" i="4"/>
  <c r="A9" i="1" s="1"/>
  <c r="U11" i="4"/>
  <c r="S11" i="4"/>
  <c r="Q11" i="4"/>
  <c r="O11" i="4"/>
  <c r="A11" i="4"/>
  <c r="A8" i="1" s="1"/>
  <c r="V11" i="4" l="1"/>
  <c r="V12" i="4"/>
  <c r="U9" i="4"/>
  <c r="S9" i="4"/>
  <c r="Q9" i="4"/>
  <c r="O9" i="4"/>
  <c r="A9" i="4"/>
  <c r="A6" i="1" s="1"/>
  <c r="V9" i="4" l="1"/>
  <c r="U8" i="4" l="1"/>
  <c r="S8" i="4"/>
  <c r="Q8" i="4"/>
  <c r="O8" i="4"/>
  <c r="A8" i="4"/>
  <c r="A5" i="1" s="1"/>
  <c r="V8" i="4" l="1"/>
  <c r="U7" i="4"/>
  <c r="S7" i="4"/>
  <c r="Q7" i="4"/>
  <c r="O7" i="4"/>
  <c r="A7" i="4"/>
  <c r="A4" i="1" s="1"/>
  <c r="U6" i="4"/>
  <c r="S6" i="4"/>
  <c r="Q6" i="4"/>
  <c r="O6" i="4"/>
  <c r="A6" i="4"/>
  <c r="A3" i="1" s="1"/>
  <c r="V6" i="4" l="1"/>
  <c r="V7" i="4"/>
  <c r="F2" i="1" l="1"/>
  <c r="E2" i="1"/>
  <c r="D2" i="1"/>
  <c r="C2" i="1"/>
  <c r="B2" i="1"/>
  <c r="A2" i="1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<sst xmlns="http://schemas.openxmlformats.org/spreadsheetml/2006/main" count="133" uniqueCount="111">
  <si>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</si>
  <si>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</si>
  <si>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</si>
  <si>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</si>
  <si>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</si>
  <si>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</si>
  <si>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</si>
  <si>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</si>
  <si>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</si>
  <si>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</si>
  <si>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</si>
  <si>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</si>
  <si>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</si>
  <si>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</si>
  <si>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</si>
  <si>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</si>
  <si>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</si>
  <si>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</si>
  <si>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</si>
  <si>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</si>
  <si>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</si>
  <si>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</si>
  <si>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</si>
  <si>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</si>
  <si>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</si>
  <si>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</si>
  <si>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</si>
  <si>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</si>
  <si>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</si>
  <si>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</si>
  <si>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</si>
  <si>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</si>
  <si>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</si>
  <si>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</si>
  <si>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</si>
  <si>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</si>
  <si>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</si>
  <si>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</si>
  <si>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</si>
  <si>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</si>
  <si>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</si>
  <si>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</si>
  <si>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</si>
  <si>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</si>
  <si>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</si>
  <si>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</si>
  <si>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</si>
  <si>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</si>
  <si>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</si>
  <si>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</si>
  <si>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</si>
  <si>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</si>
  <si>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</si>
  <si>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</si>
  <si>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</si>
  <si>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</si>
  <si>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</si>
  <si>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</si>
  <si>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</si>
  <si>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</si>
  <si>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</si>
  <si>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</si>
  <si>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</si>
  <si>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</si>
  <si>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</si>
  <si>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</si>
  <si>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</si>
  <si>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</si>
  <si>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</si>
  <si>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</si>
  <si>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</si>
  <si>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</si>
  <si>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</si>
  <si>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</si>
  <si>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</si>
  <si>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</si>
  <si>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</si>
  <si>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</si>
  <si>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</si>
  <si>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</si>
  <si>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석고판 설치(나사 고정)</t>
  </si>
  <si>
    <t>(일당)</t>
  </si>
  <si>
    <t>M020750510130102</t>
  </si>
  <si>
    <t>E00000803066520103</t>
  </si>
  <si>
    <t>M020750510150102</t>
  </si>
  <si>
    <t>900 X 1800X70, 3호(비중0.020)</t>
    <phoneticPr fontId="10" type="noConversion"/>
  </si>
  <si>
    <t>900 X 1800X50, 3호(비중0.020)</t>
    <phoneticPr fontId="10" type="noConversion"/>
  </si>
  <si>
    <t xml:space="preserve"> 견적일 : 2025년  03월  11일</t>
    <phoneticPr fontId="16" type="noConversion"/>
  </si>
  <si>
    <t xml:space="preserve"> 공사명 : 사택 102-202 작은방 단열작업</t>
    <phoneticPr fontId="16" type="noConversion"/>
  </si>
  <si>
    <t>M020853710050101</t>
  </si>
  <si>
    <t>아이리스</t>
  </si>
  <si>
    <t>R/L</t>
  </si>
  <si>
    <t> (재료비+노무비)*3.11%</t>
    <phoneticPr fontId="18" type="noConversion"/>
  </si>
  <si>
    <t>M020531910380101</t>
  </si>
  <si>
    <r>
      <t>연질/러버베이스 적용</t>
    </r>
    <r>
      <rPr>
        <sz val="10"/>
        <color rgb="FFFF0000"/>
        <rFont val="Malgun Gothic"/>
        <family val="3"/>
        <charset val="129"/>
      </rPr>
      <t xml:space="preserve"> (합성수지류,걸레받이 대체</t>
    </r>
    <r>
      <rPr>
        <sz val="10"/>
        <color indexed="8"/>
        <rFont val="Malgun Gothic"/>
        <family val="3"/>
        <charset val="129"/>
      </rPr>
      <t>)</t>
    </r>
    <phoneticPr fontId="10" type="noConversion"/>
  </si>
  <si>
    <t>100h, 2.5t</t>
  </si>
  <si>
    <t>m</t>
  </si>
  <si>
    <t>E00000803066520502</t>
  </si>
  <si>
    <t>걸레받이 설치, 종합적산정보 389p</t>
    <phoneticPr fontId="10" type="noConversion"/>
  </si>
  <si>
    <r>
      <t>에너폴</t>
    </r>
    <r>
      <rPr>
        <sz val="10"/>
        <color rgb="FFFF0000"/>
        <rFont val="Malgun Gothic"/>
        <family val="3"/>
        <charset val="129"/>
      </rPr>
      <t>(태화론 TW-06, 6㎜×1M×50M단면-점착 대체)</t>
    </r>
    <r>
      <rPr>
        <sz val="10"/>
        <color indexed="8"/>
        <rFont val="Malgun Gothic"/>
        <family val="3"/>
        <charset val="129"/>
      </rPr>
      <t>,( 0.45+2.64+0.45)*h:2.4=8.496</t>
    </r>
    <phoneticPr fontId="10" type="noConversion"/>
  </si>
  <si>
    <r>
      <rPr>
        <b/>
        <sz val="10"/>
        <color rgb="FFFF0000"/>
        <rFont val="맑은 고딕"/>
        <family val="3"/>
        <charset val="129"/>
        <scheme val="minor"/>
      </rPr>
      <t>바탕용(2겹) (시공량 : 30㎡)</t>
    </r>
    <r>
      <rPr>
        <sz val="10"/>
        <color indexed="8"/>
        <rFont val="맑은 고딕"/>
        <family val="3"/>
        <charset val="129"/>
        <scheme val="minor"/>
      </rPr>
      <t>,시공총량18/일당30=0.6</t>
    </r>
    <phoneticPr fontId="10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</si>
  <si>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indexed="8"/>
        <rFont val="Malgun Gothic"/>
        <family val="3"/>
        <charset val="129"/>
      </rPr>
      <t>, 소요량10/16.51=0.605R/L</t>
    </r>
    <phoneticPr fontId="10" type="noConversion"/>
  </si>
  <si>
    <t>중밀도섬유판(시공량 : 165m), 설치수량 48m, 7/165=0.042</t>
    <phoneticPr fontId="10" type="noConversion"/>
  </si>
  <si>
    <r>
      <t>에너폴</t>
    </r>
    <r>
      <rPr>
        <sz val="10"/>
        <color rgb="FFFF0000"/>
        <rFont val="맑은 고딕"/>
        <family val="3"/>
        <charset val="129"/>
        <scheme val="minor"/>
      </rPr>
      <t>(이보드, 1000*1000*13T, 대체)</t>
    </r>
    <r>
      <rPr>
        <sz val="10"/>
        <color indexed="8"/>
        <rFont val="맑은 고딕"/>
        <family val="2"/>
        <scheme val="minor"/>
      </rPr>
      <t>( 0.45+2.64+0.45)*h:2.4=8.496</t>
    </r>
    <phoneticPr fontId="10" type="noConversion"/>
  </si>
  <si>
    <t>L003</t>
  </si>
  <si>
    <t>철거 및 보양 청소, 폐기물 포함,</t>
    <phoneticPr fontId="10" type="noConversion"/>
  </si>
  <si>
    <t>특별인부</t>
    <phoneticPr fontId="10" type="noConversion"/>
  </si>
  <si>
    <t>인</t>
    <phoneticPr fontId="10" type="noConversion"/>
  </si>
  <si>
    <t>L031</t>
    <phoneticPr fontId="10" type="noConversion"/>
  </si>
  <si>
    <t>도배 노무비, 최소 인건비 적용</t>
    <phoneticPr fontId="18" type="noConversion"/>
  </si>
  <si>
    <t>시중노임단가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</si>
</sst>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0.000_);[Red]\(0.000\)"/>
    <numFmt numFmtId="185" formatCode="0.000_ "/>
    <numFmt numFmtId="186" formatCode="#,##0.000_ "/>
    <numFmt numFmtId="187" formatCode="#,###,###,###"/>
    <numFmt numFmtId="188" formatCode="&quot;₩&quot;#,##0"/>
  </numFmts>
  <fonts count="5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name val="LG스마트체 Regular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name val="맑은 고딕"/>
      <family val="2"/>
      <scheme val="minor"/>
    </font>
    <font>
      <sz val="10"/>
      <name val="Segoe UI"/>
      <family val="2"/>
      <charset val="1"/>
    </font>
    <font>
      <sz val="10"/>
      <color rgb="FF000000"/>
      <name val="Segoe UI Symbol"/>
      <family val="3"/>
    </font>
    <font>
      <sz val="12"/>
      <color rgb="FFFF0000"/>
      <name val="LG스마트체 Regular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Arial"/>
      <family val="2"/>
    </font>
    <font>
      <sz val="9"/>
      <color rgb="FF000000"/>
      <name val="Malgun Gothic"/>
      <family val="3"/>
      <charset val="129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10"/>
      <color rgb="FF000000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9" fontId="32" fillId="0" borderId="3" xfId="0" applyNumberFormat="1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24" fillId="7" borderId="3" xfId="0" applyFont="1" applyFill="1" applyBorder="1" applyAlignment="1">
      <alignment horizontal="center"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183" fontId="24" fillId="5" borderId="3" xfId="0" applyNumberFormat="1" applyFont="1" applyFill="1" applyBorder="1" applyAlignment="1">
      <alignment horizontal="right" vertical="center" wrapText="1"/>
    </xf>
    <xf numFmtId="49" fontId="24" fillId="7" borderId="3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0" fontId="33" fillId="7" borderId="3" xfId="0" applyFont="1" applyFill="1" applyBorder="1" applyAlignment="1">
      <alignment horizontal="center" vertical="center"/>
    </xf>
    <xf numFmtId="0" fontId="34" fillId="5" borderId="3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49" fontId="30" fillId="7" borderId="3" xfId="0" applyNumberFormat="1" applyFont="1" applyFill="1" applyBorder="1" applyAlignment="1">
      <alignment horizontal="center" vertical="center"/>
    </xf>
    <xf numFmtId="0" fontId="36" fillId="7" borderId="3" xfId="0" applyNumberFormat="1" applyFont="1" applyFill="1" applyBorder="1" applyAlignment="1">
      <alignment horizontal="center" vertical="center"/>
    </xf>
    <xf numFmtId="0" fontId="36" fillId="5" borderId="3" xfId="0" applyFont="1" applyFill="1" applyBorder="1" applyAlignment="1">
      <alignment horizontal="center" vertical="center" wrapText="1"/>
    </xf>
    <xf numFmtId="0" fontId="37" fillId="5" borderId="3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center"/>
    </xf>
    <xf numFmtId="49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vertical="center"/>
    </xf>
    <xf numFmtId="177" fontId="24" fillId="6" borderId="3" xfId="1" applyFont="1" applyFill="1" applyBorder="1" applyAlignment="1">
      <alignment vertical="center" wrapText="1"/>
    </xf>
    <xf numFmtId="177" fontId="24" fillId="0" borderId="3" xfId="1" applyFont="1" applyFill="1" applyBorder="1" applyAlignment="1">
      <alignment vertical="center" wrapText="1"/>
    </xf>
    <xf numFmtId="0" fontId="24" fillId="0" borderId="23" xfId="0" applyFont="1" applyBorder="1" applyAlignment="1">
      <alignment vertical="center"/>
    </xf>
    <xf numFmtId="177" fontId="24" fillId="5" borderId="3" xfId="1" applyFont="1" applyFill="1" applyBorder="1" applyAlignment="1">
      <alignment vertical="center" wrapText="1"/>
    </xf>
    <xf numFmtId="177" fontId="39" fillId="5" borderId="3" xfId="1" applyFont="1" applyFill="1" applyBorder="1" applyAlignment="1">
      <alignment vertical="center" wrapText="1"/>
    </xf>
    <xf numFmtId="177" fontId="30" fillId="6" borderId="3" xfId="1" applyFont="1" applyFill="1" applyBorder="1" applyAlignment="1">
      <alignment vertical="center" wrapText="1"/>
    </xf>
    <xf numFmtId="177" fontId="30" fillId="0" borderId="3" xfId="1" applyFont="1" applyFill="1" applyBorder="1" applyAlignment="1">
      <alignment vertical="center" wrapText="1"/>
    </xf>
    <xf numFmtId="0" fontId="30" fillId="0" borderId="23" xfId="0" applyFont="1" applyBorder="1" applyAlignment="1">
      <alignment vertical="center"/>
    </xf>
    <xf numFmtId="0" fontId="34" fillId="5" borderId="3" xfId="0" applyFont="1" applyFill="1" applyBorder="1" applyAlignment="1">
      <alignment horizontal="center" vertical="center" wrapText="1"/>
    </xf>
    <xf numFmtId="184" fontId="24" fillId="5" borderId="3" xfId="1" applyNumberFormat="1" applyFont="1" applyFill="1" applyBorder="1" applyAlignment="1">
      <alignment vertical="center"/>
    </xf>
    <xf numFmtId="184" fontId="39" fillId="5" borderId="3" xfId="1" applyNumberFormat="1" applyFont="1" applyFill="1" applyBorder="1" applyAlignment="1">
      <alignment vertical="center"/>
    </xf>
    <xf numFmtId="184" fontId="24" fillId="5" borderId="3" xfId="1" applyNumberFormat="1" applyFont="1" applyFill="1" applyBorder="1" applyAlignment="1">
      <alignment horizontal="center" vertical="center"/>
    </xf>
    <xf numFmtId="0" fontId="41" fillId="7" borderId="3" xfId="0" applyNumberFormat="1" applyFont="1" applyFill="1" applyBorder="1" applyAlignment="1">
      <alignment horizontal="center" vertical="center"/>
    </xf>
    <xf numFmtId="0" fontId="33" fillId="7" borderId="3" xfId="0" applyNumberFormat="1" applyFont="1" applyFill="1" applyBorder="1" applyAlignment="1">
      <alignment horizontal="center" vertical="center"/>
    </xf>
    <xf numFmtId="177" fontId="33" fillId="5" borderId="3" xfId="1" applyFont="1" applyFill="1" applyBorder="1" applyAlignment="1">
      <alignment horizontal="center" vertical="center"/>
    </xf>
    <xf numFmtId="185" fontId="24" fillId="0" borderId="1" xfId="1" applyNumberFormat="1" applyFont="1" applyBorder="1" applyAlignment="1">
      <alignment horizontal="center" vertical="center"/>
    </xf>
    <xf numFmtId="177" fontId="35" fillId="6" borderId="3" xfId="1" applyFont="1" applyFill="1" applyBorder="1" applyAlignment="1">
      <alignment vertical="center" wrapText="1"/>
    </xf>
    <xf numFmtId="177" fontId="44" fillId="5" borderId="3" xfId="1" applyFont="1" applyFill="1" applyBorder="1" applyAlignment="1">
      <alignment vertical="center"/>
    </xf>
    <xf numFmtId="183" fontId="35" fillId="5" borderId="3" xfId="0" applyNumberFormat="1" applyFont="1" applyFill="1" applyBorder="1" applyAlignment="1">
      <alignment vertical="center" wrapText="1"/>
    </xf>
    <xf numFmtId="177" fontId="39" fillId="5" borderId="3" xfId="1" applyFont="1" applyFill="1" applyBorder="1" applyAlignment="1">
      <alignment vertical="center"/>
    </xf>
    <xf numFmtId="177" fontId="39" fillId="6" borderId="3" xfId="1" applyFont="1" applyFill="1" applyBorder="1" applyAlignment="1">
      <alignment vertical="center" wrapText="1"/>
    </xf>
    <xf numFmtId="177" fontId="35" fillId="6" borderId="3" xfId="1" applyFont="1" applyFill="1" applyBorder="1" applyAlignment="1">
      <alignment horizontal="center" vertical="center" wrapText="1"/>
    </xf>
    <xf numFmtId="183" fontId="35" fillId="5" borderId="3" xfId="0" applyNumberFormat="1" applyFont="1" applyFill="1" applyBorder="1" applyAlignment="1">
      <alignment horizontal="right" vertical="center" wrapText="1"/>
    </xf>
    <xf numFmtId="0" fontId="41" fillId="5" borderId="3" xfId="0" applyFont="1" applyFill="1" applyBorder="1" applyAlignment="1">
      <alignment horizontal="center" vertical="center" wrapText="1"/>
    </xf>
    <xf numFmtId="184" fontId="39" fillId="5" borderId="3" xfId="1" applyNumberFormat="1" applyFont="1" applyFill="1" applyBorder="1" applyAlignment="1">
      <alignment horizontal="center" vertical="center"/>
    </xf>
    <xf numFmtId="0" fontId="33" fillId="5" borderId="3" xfId="0" applyNumberFormat="1" applyFont="1" applyFill="1" applyBorder="1" applyAlignment="1">
      <alignment horizontal="center" vertical="center" wrapText="1"/>
    </xf>
    <xf numFmtId="0" fontId="45" fillId="7" borderId="0" xfId="0" applyFont="1" applyFill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186" fontId="35" fillId="5" borderId="3" xfId="1" applyNumberFormat="1" applyFont="1" applyFill="1" applyBorder="1" applyAlignment="1">
      <alignment horizontal="center" vertical="center"/>
    </xf>
    <xf numFmtId="177" fontId="41" fillId="5" borderId="0" xfId="1" applyFont="1" applyFill="1" applyAlignment="1">
      <alignment horizontal="center" vertical="center"/>
    </xf>
    <xf numFmtId="187" fontId="35" fillId="5" borderId="3" xfId="0" applyNumberFormat="1" applyFont="1" applyFill="1" applyBorder="1" applyAlignment="1">
      <alignment horizontal="right" vertical="center" wrapText="1"/>
    </xf>
    <xf numFmtId="177" fontId="35" fillId="0" borderId="3" xfId="1" applyFont="1" applyFill="1" applyBorder="1" applyAlignment="1">
      <alignment horizontal="center" vertical="center" wrapText="1"/>
    </xf>
    <xf numFmtId="186" fontId="35" fillId="0" borderId="3" xfId="1" applyNumberFormat="1" applyFont="1" applyFill="1" applyBorder="1" applyAlignment="1">
      <alignment horizontal="center" vertical="center"/>
    </xf>
    <xf numFmtId="0" fontId="47" fillId="0" borderId="15" xfId="3" applyFont="1" applyBorder="1" applyAlignment="1">
      <alignment horizontal="left" vertical="center"/>
    </xf>
    <xf numFmtId="178" fontId="47" fillId="0" borderId="15" xfId="5" applyFont="1" applyFill="1" applyBorder="1" applyAlignment="1">
      <alignment horizontal="right" vertical="center"/>
    </xf>
    <xf numFmtId="0" fontId="41" fillId="0" borderId="3" xfId="0" applyFont="1" applyFill="1" applyBorder="1" applyAlignment="1">
      <alignment horizontal="center" vertical="center" wrapText="1"/>
    </xf>
    <xf numFmtId="177" fontId="42" fillId="5" borderId="3" xfId="1" applyFont="1" applyFill="1" applyBorder="1" applyAlignment="1">
      <alignment vertical="center" wrapText="1"/>
    </xf>
    <xf numFmtId="49" fontId="48" fillId="7" borderId="3" xfId="0" applyNumberFormat="1" applyFont="1" applyFill="1" applyBorder="1" applyAlignment="1">
      <alignment horizontal="center" vertical="center" wrapText="1"/>
    </xf>
    <xf numFmtId="0" fontId="49" fillId="7" borderId="3" xfId="0" applyFont="1" applyFill="1" applyBorder="1" applyAlignment="1">
      <alignment horizontal="center" vertical="center"/>
    </xf>
    <xf numFmtId="49" fontId="50" fillId="7" borderId="3" xfId="0" applyNumberFormat="1" applyFont="1" applyFill="1" applyBorder="1" applyAlignment="1">
      <alignment horizontal="center" vertical="center" wrapText="1"/>
    </xf>
    <xf numFmtId="49" fontId="48" fillId="5" borderId="6" xfId="0" applyNumberFormat="1" applyFont="1" applyFill="1" applyBorder="1" applyAlignment="1">
      <alignment horizontal="center" vertical="center" wrapText="1"/>
    </xf>
    <xf numFmtId="49" fontId="48" fillId="5" borderId="3" xfId="0" applyNumberFormat="1" applyFont="1" applyFill="1" applyBorder="1" applyAlignment="1">
      <alignment horizontal="center" vertical="center" wrapText="1"/>
    </xf>
    <xf numFmtId="177" fontId="51" fillId="5" borderId="3" xfId="1" applyFont="1" applyFill="1" applyBorder="1" applyAlignment="1">
      <alignment horizontal="center" vertical="center"/>
    </xf>
    <xf numFmtId="0" fontId="52" fillId="5" borderId="3" xfId="0" applyFont="1" applyFill="1" applyBorder="1">
      <alignment vertical="center"/>
    </xf>
    <xf numFmtId="183" fontId="50" fillId="5" borderId="3" xfId="0" applyNumberFormat="1" applyFont="1" applyFill="1" applyBorder="1" applyAlignment="1">
      <alignment horizontal="right" vertical="center" wrapText="1"/>
    </xf>
    <xf numFmtId="177" fontId="52" fillId="0" borderId="3" xfId="1" applyFont="1" applyFill="1" applyBorder="1" applyAlignment="1">
      <alignment horizontal="center" vertical="center" wrapText="1"/>
    </xf>
    <xf numFmtId="0" fontId="24" fillId="0" borderId="3" xfId="0" applyFont="1" applyBorder="1">
      <alignment vertical="center"/>
    </xf>
    <xf numFmtId="49" fontId="50" fillId="7" borderId="4" xfId="0" applyNumberFormat="1" applyFont="1" applyFill="1" applyBorder="1" applyAlignment="1">
      <alignment horizontal="center" vertical="center" wrapText="1"/>
    </xf>
    <xf numFmtId="49" fontId="24" fillId="5" borderId="6" xfId="0" applyNumberFormat="1" applyFont="1" applyFill="1" applyBorder="1" applyAlignment="1">
      <alignment horizontal="center" vertical="center" wrapText="1"/>
    </xf>
    <xf numFmtId="0" fontId="41" fillId="0" borderId="33" xfId="0" applyFont="1" applyFill="1" applyBorder="1" applyAlignment="1">
      <alignment horizontal="center" vertical="center"/>
    </xf>
    <xf numFmtId="49" fontId="41" fillId="5" borderId="34" xfId="0" applyNumberFormat="1" applyFont="1" applyFill="1" applyBorder="1" applyAlignment="1">
      <alignment horizontal="center" vertical="center" wrapText="1"/>
    </xf>
    <xf numFmtId="188" fontId="53" fillId="0" borderId="3" xfId="13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70" zoomScaleNormal="70" workbookViewId="0"/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77" t="s">
        <v>88</v>
      </c>
      <c r="B7" s="178"/>
      <c r="C7" s="179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74" t="s">
        <v>87</v>
      </c>
      <c r="B9" s="175"/>
      <c r="C9" s="176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72"/>
      <c r="B11" s="173"/>
      <c r="C11" s="173"/>
      <c r="D11" s="5"/>
      <c r="E11" s="17"/>
      <c r="F11" s="18" t="s">
        <v>40</v>
      </c>
      <c r="G11" s="19" t="s">
        <v>58</v>
      </c>
      <c r="H11" s="17"/>
    </row>
    <row r="12" spans="1:9" ht="18.75" thickBot="1">
      <c r="A12" s="20" t="s">
        <v>7</v>
      </c>
      <c r="B12" s="20" t="str">
        <f>NUMBERSTRING(F31,1)</f>
        <v>일백일만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'내역서(표준단가)'!O13</f>
        <v>175362.10750000001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'내역서(표준단가)'!Q13</f>
        <v>679852.53947000008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'내역서(표준단가)'!S13+'내역서(표준단가)'!U13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855214.64697000012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30593.364276150001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24100.772524211505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3121.0500418853899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6866.5106486470004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24202.750405132003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152" t="s">
        <v>92</v>
      </c>
      <c r="D26" s="33">
        <v>1</v>
      </c>
      <c r="E26" s="33" t="s">
        <v>25</v>
      </c>
      <c r="F26" s="153">
        <f>(F16+F17)*3.11%</f>
        <v>26597.175520767003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39766.708144339646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155248.33156113257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1010462.9785311327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1010000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Normal="100" workbookViewId="0">
      <selection activeCell="J23" sqref="J23"/>
    </sheetView>
  </sheetViews>
  <sheetFormatPr defaultColWidth="9" defaultRowHeight="12.75"/>
  <cols>
    <col min="1" max="1" width="17.5" style="100" customWidth="1"/>
    <col min="2" max="5" width="18.5" style="100" hidden="1" customWidth="1"/>
    <col min="6" max="6" width="17.25" style="71" hidden="1" customWidth="1"/>
    <col min="7" max="7" width="13.75" style="71" hidden="1" customWidth="1"/>
    <col min="8" max="8" width="16.625" style="71" hidden="1" customWidth="1"/>
    <col min="9" max="9" width="10.125" style="71" hidden="1" customWidth="1"/>
    <col min="10" max="10" width="41.75" style="71" customWidth="1"/>
    <col min="11" max="11" width="25" style="71" bestFit="1" customWidth="1"/>
    <col min="12" max="12" width="9.625" style="71" bestFit="1" customWidth="1"/>
    <col min="13" max="13" width="10" style="71" bestFit="1" customWidth="1"/>
    <col min="14" max="14" width="10.25" style="71" bestFit="1" customWidth="1"/>
    <col min="15" max="15" width="13.125" style="71" bestFit="1" customWidth="1"/>
    <col min="16" max="16" width="9.75" style="71" customWidth="1"/>
    <col min="17" max="17" width="15" style="71" customWidth="1"/>
    <col min="18" max="18" width="8.125" style="71" customWidth="1"/>
    <col min="19" max="19" width="9.375" style="71" customWidth="1"/>
    <col min="20" max="20" width="9" style="71" customWidth="1"/>
    <col min="21" max="21" width="12.875" style="71" customWidth="1"/>
    <col min="22" max="22" width="15.5" style="71" bestFit="1" customWidth="1"/>
    <col min="23" max="23" width="10.625" style="72" bestFit="1" customWidth="1"/>
    <col min="24" max="24" width="8.5" style="71" bestFit="1" customWidth="1"/>
    <col min="25" max="16384" width="9" style="71"/>
  </cols>
  <sheetData>
    <row r="1" spans="1:24" ht="19.899999999999999" customHeight="1">
      <c r="A1" s="180"/>
      <c r="B1" s="180"/>
      <c r="C1" s="180"/>
      <c r="D1" s="180"/>
      <c r="E1" s="180"/>
      <c r="F1" s="180"/>
      <c r="G1" s="180"/>
      <c r="H1" s="180"/>
      <c r="I1" s="180"/>
      <c r="N1" s="72"/>
      <c r="O1" s="70" t="s">
        <v>59</v>
      </c>
      <c r="Q1" s="70" t="s">
        <v>59</v>
      </c>
      <c r="S1" s="70" t="s">
        <v>59</v>
      </c>
      <c r="U1" s="70" t="s">
        <v>59</v>
      </c>
    </row>
    <row r="2" spans="1:24" ht="19.899999999999999" customHeight="1" thickBot="1">
      <c r="A2" s="180"/>
      <c r="B2" s="180"/>
      <c r="C2" s="180"/>
      <c r="D2" s="180"/>
      <c r="E2" s="180"/>
      <c r="F2" s="180"/>
      <c r="G2" s="180"/>
      <c r="H2" s="180"/>
      <c r="I2" s="180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19.899999999999999" customHeight="1">
      <c r="A3" s="75"/>
      <c r="B3" s="75"/>
      <c r="C3" s="75"/>
      <c r="D3" s="75"/>
      <c r="E3" s="75"/>
      <c r="F3" s="75" t="s">
        <v>60</v>
      </c>
      <c r="G3" s="76"/>
      <c r="H3" s="76"/>
      <c r="I3" s="76"/>
      <c r="J3" s="189" t="s">
        <v>61</v>
      </c>
      <c r="K3" s="189"/>
      <c r="L3" s="189" t="s">
        <v>47</v>
      </c>
      <c r="M3" s="189" t="s">
        <v>5</v>
      </c>
      <c r="N3" s="185" t="s">
        <v>62</v>
      </c>
      <c r="O3" s="185"/>
      <c r="P3" s="185" t="s">
        <v>63</v>
      </c>
      <c r="Q3" s="185"/>
      <c r="R3" s="186" t="s">
        <v>64</v>
      </c>
      <c r="S3" s="186"/>
      <c r="T3" s="186" t="s">
        <v>65</v>
      </c>
      <c r="U3" s="186"/>
      <c r="V3" s="187" t="s">
        <v>66</v>
      </c>
      <c r="W3" s="183" t="s">
        <v>67</v>
      </c>
      <c r="X3" s="181" t="s">
        <v>45</v>
      </c>
    </row>
    <row r="4" spans="1:24" ht="19.899999999999999" customHeight="1">
      <c r="A4" s="77" t="s">
        <v>68</v>
      </c>
      <c r="B4" s="78"/>
      <c r="C4" s="78"/>
      <c r="D4" s="78"/>
      <c r="E4" s="78"/>
      <c r="F4" s="79" t="s">
        <v>69</v>
      </c>
      <c r="G4" s="79" t="s">
        <v>70</v>
      </c>
      <c r="H4" s="79" t="s">
        <v>71</v>
      </c>
      <c r="I4" s="79" t="s">
        <v>72</v>
      </c>
      <c r="J4" s="80" t="s">
        <v>73</v>
      </c>
      <c r="K4" s="80" t="s">
        <v>74</v>
      </c>
      <c r="L4" s="190"/>
      <c r="M4" s="190"/>
      <c r="N4" s="81" t="s">
        <v>75</v>
      </c>
      <c r="O4" s="82" t="s">
        <v>76</v>
      </c>
      <c r="P4" s="81" t="s">
        <v>77</v>
      </c>
      <c r="Q4" s="82" t="s">
        <v>76</v>
      </c>
      <c r="R4" s="82" t="s">
        <v>78</v>
      </c>
      <c r="S4" s="82" t="s">
        <v>76</v>
      </c>
      <c r="T4" s="82" t="s">
        <v>78</v>
      </c>
      <c r="U4" s="82" t="s">
        <v>76</v>
      </c>
      <c r="V4" s="188"/>
      <c r="W4" s="184"/>
      <c r="X4" s="182"/>
    </row>
    <row r="5" spans="1:24" s="92" customFormat="1" ht="30" customHeight="1">
      <c r="A5" s="83" t="str">
        <f t="shared" ref="A5" si="0">F5&amp;G5&amp;H5&amp;I5</f>
        <v>L003</v>
      </c>
      <c r="B5" s="84"/>
      <c r="C5" s="84"/>
      <c r="D5" s="84"/>
      <c r="E5" s="84"/>
      <c r="F5" s="156"/>
      <c r="G5" s="157"/>
      <c r="H5" s="157"/>
      <c r="I5" s="158" t="s">
        <v>104</v>
      </c>
      <c r="J5" s="159" t="s">
        <v>105</v>
      </c>
      <c r="K5" s="160" t="s">
        <v>106</v>
      </c>
      <c r="L5" s="161" t="s">
        <v>107</v>
      </c>
      <c r="M5" s="130">
        <v>1</v>
      </c>
      <c r="N5" s="162"/>
      <c r="O5" s="87">
        <f t="shared" ref="O5" si="1">SUM(N5:N5)*M5*$O$2</f>
        <v>0</v>
      </c>
      <c r="P5" s="163">
        <v>219321</v>
      </c>
      <c r="Q5" s="87">
        <f>M5*P5</f>
        <v>219321</v>
      </c>
      <c r="R5" s="164"/>
      <c r="S5" s="87">
        <f t="shared" ref="S5" si="2">R5*M5*$S$2</f>
        <v>0</v>
      </c>
      <c r="T5" s="164"/>
      <c r="U5" s="87">
        <f t="shared" ref="U5" si="3">T5*M5*$U$2</f>
        <v>0</v>
      </c>
      <c r="V5" s="89">
        <f t="shared" ref="V5" si="4">SUM(O5+Q5)+S5+U5</f>
        <v>219321</v>
      </c>
      <c r="W5" s="90"/>
      <c r="X5" s="91"/>
    </row>
    <row r="6" spans="1:24" s="92" customFormat="1" ht="32.25" customHeight="1">
      <c r="A6" s="83" t="str">
        <f t="shared" ref="A6:A7" si="5">F6&amp;G6&amp;H6&amp;I6</f>
        <v>M020750510130102</v>
      </c>
      <c r="B6" s="84"/>
      <c r="C6" s="84"/>
      <c r="D6" s="84"/>
      <c r="E6" s="84"/>
      <c r="F6" s="85"/>
      <c r="G6" s="79"/>
      <c r="H6" s="132" t="s">
        <v>82</v>
      </c>
      <c r="I6" s="79"/>
      <c r="J6" s="142" t="s">
        <v>99</v>
      </c>
      <c r="K6" s="117" t="s">
        <v>86</v>
      </c>
      <c r="L6" s="117" t="s">
        <v>79</v>
      </c>
      <c r="M6" s="130">
        <v>9</v>
      </c>
      <c r="N6" s="133">
        <v>8000</v>
      </c>
      <c r="O6" s="135">
        <f t="shared" ref="O6:O7" si="6">SUM(N6:N6)*M6*$O$2</f>
        <v>60120</v>
      </c>
      <c r="P6" s="137"/>
      <c r="Q6" s="135">
        <f t="shared" ref="Q6:Q7" si="7">(P6*M6)*$Q$2</f>
        <v>0</v>
      </c>
      <c r="R6" s="120"/>
      <c r="S6" s="119">
        <f t="shared" ref="S6:S7" si="8">R6*M6*$S$2</f>
        <v>0</v>
      </c>
      <c r="T6" s="120"/>
      <c r="U6" s="119">
        <f t="shared" ref="U6:U7" si="9">T6*M6*$U$2</f>
        <v>0</v>
      </c>
      <c r="V6" s="122">
        <f t="shared" ref="V6:V7" si="10">SUM(O6+Q6)+S6+U6</f>
        <v>60120</v>
      </c>
      <c r="W6" s="128"/>
      <c r="X6" s="121"/>
    </row>
    <row r="7" spans="1:24" s="92" customFormat="1" ht="33.75" customHeight="1">
      <c r="A7" s="83" t="str">
        <f t="shared" si="5"/>
        <v>M020750510150102</v>
      </c>
      <c r="B7" s="84"/>
      <c r="C7" s="84"/>
      <c r="D7" s="84"/>
      <c r="E7" s="84"/>
      <c r="F7" s="85"/>
      <c r="G7" s="79"/>
      <c r="H7" s="132" t="s">
        <v>84</v>
      </c>
      <c r="I7" s="79"/>
      <c r="J7" s="144" t="s">
        <v>103</v>
      </c>
      <c r="K7" s="115" t="s">
        <v>85</v>
      </c>
      <c r="L7" s="117" t="s">
        <v>79</v>
      </c>
      <c r="M7" s="130">
        <v>9</v>
      </c>
      <c r="N7" s="133">
        <v>11200</v>
      </c>
      <c r="O7" s="140">
        <f t="shared" si="6"/>
        <v>84168</v>
      </c>
      <c r="P7" s="141"/>
      <c r="Q7" s="140">
        <f t="shared" si="7"/>
        <v>0</v>
      </c>
      <c r="R7" s="88"/>
      <c r="S7" s="87">
        <f t="shared" si="8"/>
        <v>0</v>
      </c>
      <c r="T7" s="88"/>
      <c r="U7" s="87">
        <f t="shared" si="9"/>
        <v>0</v>
      </c>
      <c r="V7" s="89">
        <f t="shared" si="10"/>
        <v>84168</v>
      </c>
      <c r="W7" s="128"/>
      <c r="X7" s="91"/>
    </row>
    <row r="8" spans="1:24" s="92" customFormat="1" ht="32.25" customHeight="1">
      <c r="A8" s="83" t="str">
        <f t="shared" ref="A8:A12" si="11">F8&amp;G8&amp;H8&amp;I8</f>
        <v>E00000803066520103</v>
      </c>
      <c r="B8" s="110"/>
      <c r="C8" s="110"/>
      <c r="D8" s="110"/>
      <c r="E8" s="110"/>
      <c r="F8" s="111"/>
      <c r="G8" s="145" t="s">
        <v>83</v>
      </c>
      <c r="H8" s="112"/>
      <c r="I8" s="111"/>
      <c r="J8" s="114" t="s">
        <v>80</v>
      </c>
      <c r="K8" s="113" t="s">
        <v>100</v>
      </c>
      <c r="L8" s="114" t="s">
        <v>81</v>
      </c>
      <c r="M8" s="143">
        <v>0.6</v>
      </c>
      <c r="N8" s="123"/>
      <c r="O8" s="135">
        <f t="shared" ref="O8:O12" si="12">SUM(N8:N8)*M8*$O$2</f>
        <v>0</v>
      </c>
      <c r="P8" s="138">
        <v>652621</v>
      </c>
      <c r="Q8" s="139">
        <f t="shared" ref="Q8:Q12" si="13">(P8*M8)*$Q$2</f>
        <v>326963.12099999998</v>
      </c>
      <c r="R8" s="125"/>
      <c r="S8" s="124">
        <f t="shared" ref="S8:S12" si="14">R8*M8*$S$2</f>
        <v>0</v>
      </c>
      <c r="T8" s="125"/>
      <c r="U8" s="124">
        <f t="shared" ref="U8:U12" si="15">T8*M8*$U$2</f>
        <v>0</v>
      </c>
      <c r="V8" s="125">
        <f t="shared" ref="V8:V12" si="16">SUM(O8+Q8)+S8+U8</f>
        <v>326963.12099999998</v>
      </c>
      <c r="W8" s="129"/>
      <c r="X8" s="126"/>
    </row>
    <row r="9" spans="1:24" s="92" customFormat="1" ht="53.25" customHeight="1">
      <c r="A9" s="83" t="str">
        <f t="shared" si="11"/>
        <v>M020853710050101</v>
      </c>
      <c r="B9" s="107"/>
      <c r="C9" s="107"/>
      <c r="D9" s="107"/>
      <c r="E9" s="107"/>
      <c r="F9" s="103"/>
      <c r="G9" s="93"/>
      <c r="H9" s="131" t="s">
        <v>89</v>
      </c>
      <c r="I9" s="103"/>
      <c r="J9" s="168" t="s">
        <v>90</v>
      </c>
      <c r="K9" s="154" t="s">
        <v>101</v>
      </c>
      <c r="L9" s="146" t="s">
        <v>91</v>
      </c>
      <c r="M9" s="147">
        <v>0.60499999999999998</v>
      </c>
      <c r="N9" s="148">
        <v>20900</v>
      </c>
      <c r="O9" s="87">
        <f t="shared" si="12"/>
        <v>10558.157499999999</v>
      </c>
      <c r="P9" s="149"/>
      <c r="Q9" s="87">
        <f t="shared" si="13"/>
        <v>0</v>
      </c>
      <c r="R9" s="88"/>
      <c r="S9" s="87">
        <f t="shared" si="14"/>
        <v>0</v>
      </c>
      <c r="T9" s="88"/>
      <c r="U9" s="87">
        <f t="shared" si="15"/>
        <v>0</v>
      </c>
      <c r="V9" s="150">
        <f t="shared" si="16"/>
        <v>10558.157499999999</v>
      </c>
      <c r="W9" s="151"/>
      <c r="X9" s="91"/>
    </row>
    <row r="10" spans="1:24" s="92" customFormat="1" ht="30" customHeight="1">
      <c r="A10" s="83" t="str">
        <f t="shared" si="11"/>
        <v>L031</v>
      </c>
      <c r="B10" s="84"/>
      <c r="C10" s="84"/>
      <c r="D10" s="84"/>
      <c r="E10" s="84"/>
      <c r="F10" s="85"/>
      <c r="G10" s="93"/>
      <c r="H10" s="93"/>
      <c r="I10" s="166" t="s">
        <v>108</v>
      </c>
      <c r="J10" s="170" t="s">
        <v>109</v>
      </c>
      <c r="K10" s="167" t="s">
        <v>110</v>
      </c>
      <c r="L10" s="86" t="s">
        <v>107</v>
      </c>
      <c r="M10" s="130">
        <v>0.5</v>
      </c>
      <c r="N10" s="165"/>
      <c r="O10" s="87">
        <f t="shared" ref="O10" si="17">SUM(N10:N10)*M10*$O$2</f>
        <v>0</v>
      </c>
      <c r="P10" s="102">
        <v>221362</v>
      </c>
      <c r="Q10" s="87">
        <f>M10*P10</f>
        <v>110681</v>
      </c>
      <c r="R10" s="88"/>
      <c r="S10" s="87">
        <f t="shared" si="14"/>
        <v>0</v>
      </c>
      <c r="T10" s="88"/>
      <c r="U10" s="87">
        <f t="shared" si="15"/>
        <v>0</v>
      </c>
      <c r="V10" s="88">
        <f t="shared" si="16"/>
        <v>110681</v>
      </c>
      <c r="W10" s="90"/>
      <c r="X10" s="91"/>
    </row>
    <row r="11" spans="1:24" s="92" customFormat="1" ht="27.75" customHeight="1">
      <c r="A11" s="83" t="str">
        <f t="shared" si="11"/>
        <v>M020531910380101</v>
      </c>
      <c r="B11" s="84"/>
      <c r="C11" s="84"/>
      <c r="D11" s="84"/>
      <c r="E11" s="84"/>
      <c r="F11" s="85"/>
      <c r="G11" s="79"/>
      <c r="H11" s="131" t="s">
        <v>93</v>
      </c>
      <c r="I11" s="79"/>
      <c r="J11" s="169" t="s">
        <v>94</v>
      </c>
      <c r="K11" s="116" t="s">
        <v>95</v>
      </c>
      <c r="L11" s="116" t="s">
        <v>96</v>
      </c>
      <c r="M11" s="130">
        <v>7</v>
      </c>
      <c r="N11" s="155">
        <v>3510</v>
      </c>
      <c r="O11" s="135">
        <f t="shared" si="12"/>
        <v>20515.95</v>
      </c>
      <c r="P11" s="137"/>
      <c r="Q11" s="135">
        <f t="shared" si="13"/>
        <v>0</v>
      </c>
      <c r="R11" s="120"/>
      <c r="S11" s="119">
        <f t="shared" si="14"/>
        <v>0</v>
      </c>
      <c r="T11" s="120"/>
      <c r="U11" s="119">
        <f t="shared" si="15"/>
        <v>0</v>
      </c>
      <c r="V11" s="122">
        <f t="shared" si="16"/>
        <v>20515.95</v>
      </c>
      <c r="W11" s="128"/>
      <c r="X11" s="121"/>
    </row>
    <row r="12" spans="1:24" s="92" customFormat="1" ht="34.5" customHeight="1">
      <c r="A12" s="83" t="str">
        <f t="shared" si="11"/>
        <v>E00000803066520502</v>
      </c>
      <c r="B12" s="84"/>
      <c r="C12" s="84"/>
      <c r="D12" s="84"/>
      <c r="E12" s="84"/>
      <c r="F12" s="85"/>
      <c r="G12" s="108" t="s">
        <v>97</v>
      </c>
      <c r="H12" s="79"/>
      <c r="I12" s="79"/>
      <c r="J12" s="127" t="s">
        <v>98</v>
      </c>
      <c r="K12" s="127" t="s">
        <v>102</v>
      </c>
      <c r="L12" s="109" t="s">
        <v>81</v>
      </c>
      <c r="M12" s="130">
        <v>4.2000000000000003E-2</v>
      </c>
      <c r="N12" s="118"/>
      <c r="O12" s="135">
        <f t="shared" si="12"/>
        <v>0</v>
      </c>
      <c r="P12" s="136">
        <v>652621</v>
      </c>
      <c r="Q12" s="135">
        <f t="shared" si="13"/>
        <v>22887.418470000001</v>
      </c>
      <c r="R12" s="120"/>
      <c r="S12" s="119">
        <f t="shared" si="14"/>
        <v>0</v>
      </c>
      <c r="T12" s="120"/>
      <c r="U12" s="119">
        <f t="shared" si="15"/>
        <v>0</v>
      </c>
      <c r="V12" s="122">
        <f t="shared" si="16"/>
        <v>22887.418470000001</v>
      </c>
      <c r="W12" s="128"/>
      <c r="X12" s="121"/>
    </row>
    <row r="13" spans="1:24" s="95" customFormat="1" ht="19.899999999999999" customHeight="1">
      <c r="A13" s="94"/>
      <c r="B13" s="94"/>
      <c r="C13" s="94"/>
      <c r="D13" s="94"/>
      <c r="E13" s="94"/>
      <c r="O13" s="96">
        <f>SUM(O5:O12)</f>
        <v>175362.10750000001</v>
      </c>
      <c r="P13" s="97"/>
      <c r="Q13" s="96">
        <f>SUM(Q5:Q12)</f>
        <v>679852.53947000008</v>
      </c>
      <c r="R13" s="97"/>
      <c r="S13" s="96">
        <f>SUM(S5:S12)</f>
        <v>0</v>
      </c>
      <c r="T13" s="97"/>
      <c r="U13" s="96">
        <f>SUM(U5:U12)</f>
        <v>0</v>
      </c>
      <c r="V13" s="98">
        <f>SUM(V5:V12)</f>
        <v>855214.64697</v>
      </c>
      <c r="W13" s="99"/>
    </row>
    <row r="17" spans="17:17">
      <c r="Q17" s="10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A10" sqref="A10:XFD25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>
      <c r="A2" s="105" t="str">
        <f>'내역서(표준단가)'!A5</f>
        <v>L003</v>
      </c>
      <c r="B2" s="106">
        <f>'내역서(표준단가)'!F5</f>
        <v>0</v>
      </c>
      <c r="C2" s="106">
        <f>'내역서(표준단가)'!G5</f>
        <v>0</v>
      </c>
      <c r="D2" s="106">
        <f>'내역서(표준단가)'!H5</f>
        <v>0</v>
      </c>
      <c r="E2" s="106" t="str">
        <f>'내역서(표준단가)'!I5</f>
        <v>L003</v>
      </c>
      <c r="F2" s="134">
        <f>'내역서(표준단가)'!M5</f>
        <v>1</v>
      </c>
    </row>
    <row r="3" spans="1:6">
      <c r="A3" s="105" t="str">
        <f>'내역서(표준단가)'!A6</f>
        <v>M020750510130102</v>
      </c>
      <c r="B3" s="106">
        <f>'내역서(표준단가)'!F6</f>
        <v>0</v>
      </c>
      <c r="C3" s="106">
        <f>'내역서(표준단가)'!G6</f>
        <v>0</v>
      </c>
      <c r="D3" s="106" t="str">
        <f>'내역서(표준단가)'!H6</f>
        <v>M020750510130102</v>
      </c>
      <c r="E3" s="106">
        <f>'내역서(표준단가)'!I6</f>
        <v>0</v>
      </c>
      <c r="F3" s="134">
        <f>'내역서(표준단가)'!M6</f>
        <v>9</v>
      </c>
    </row>
    <row r="4" spans="1:6">
      <c r="A4" s="105" t="str">
        <f>'내역서(표준단가)'!A7</f>
        <v>M020750510150102</v>
      </c>
      <c r="B4" s="106">
        <f>'내역서(표준단가)'!F7</f>
        <v>0</v>
      </c>
      <c r="C4" s="106">
        <f>'내역서(표준단가)'!G7</f>
        <v>0</v>
      </c>
      <c r="D4" s="106" t="str">
        <f>'내역서(표준단가)'!H7</f>
        <v>M020750510150102</v>
      </c>
      <c r="E4" s="106">
        <f>'내역서(표준단가)'!I7</f>
        <v>0</v>
      </c>
      <c r="F4" s="134">
        <f>'내역서(표준단가)'!M7</f>
        <v>9</v>
      </c>
    </row>
    <row r="5" spans="1:6">
      <c r="A5" s="105" t="str">
        <f>'내역서(표준단가)'!A8</f>
        <v>E00000803066520103</v>
      </c>
      <c r="B5" s="106">
        <f>'내역서(표준단가)'!F8</f>
        <v>0</v>
      </c>
      <c r="C5" s="106" t="str">
        <f>'내역서(표준단가)'!G8</f>
        <v>E00000803066520103</v>
      </c>
      <c r="D5" s="106">
        <f>'내역서(표준단가)'!H8</f>
        <v>0</v>
      </c>
      <c r="E5" s="106">
        <f>'내역서(표준단가)'!I8</f>
        <v>0</v>
      </c>
      <c r="F5" s="134">
        <f>'내역서(표준단가)'!M8</f>
        <v>0.6</v>
      </c>
    </row>
    <row r="6" spans="1:6">
      <c r="A6" s="105" t="str">
        <f>'내역서(표준단가)'!A9</f>
        <v>M020853710050101</v>
      </c>
      <c r="B6" s="106">
        <f>'내역서(표준단가)'!F9</f>
        <v>0</v>
      </c>
      <c r="C6" s="106">
        <f>'내역서(표준단가)'!G9</f>
        <v>0</v>
      </c>
      <c r="D6" s="106" t="str">
        <f>'내역서(표준단가)'!H9</f>
        <v>M020853710050101</v>
      </c>
      <c r="E6" s="106">
        <f>'내역서(표준단가)'!I9</f>
        <v>0</v>
      </c>
      <c r="F6" s="134">
        <f>'내역서(표준단가)'!M9</f>
        <v>0.60499999999999998</v>
      </c>
    </row>
    <row r="7" spans="1:6">
      <c r="A7" s="105" t="str">
        <f>'내역서(표준단가)'!A10</f>
        <v>L031</v>
      </c>
      <c r="B7" s="106">
        <f>'내역서(표준단가)'!F10</f>
        <v>0</v>
      </c>
      <c r="C7" s="106">
        <f>'내역서(표준단가)'!G10</f>
        <v>0</v>
      </c>
      <c r="D7" s="106">
        <f>'내역서(표준단가)'!H10</f>
        <v>0</v>
      </c>
      <c r="E7" s="106" t="str">
        <f>'내역서(표준단가)'!I10</f>
        <v>L031</v>
      </c>
      <c r="F7" s="134">
        <f>'내역서(표준단가)'!M10</f>
        <v>0.5</v>
      </c>
    </row>
    <row r="8" spans="1:6">
      <c r="A8" s="105" t="str">
        <f>'내역서(표준단가)'!A11</f>
        <v>M020531910380101</v>
      </c>
      <c r="B8" s="106">
        <f>'내역서(표준단가)'!F11</f>
        <v>0</v>
      </c>
      <c r="C8" s="106">
        <f>'내역서(표준단가)'!G11</f>
        <v>0</v>
      </c>
      <c r="D8" s="106" t="str">
        <f>'내역서(표준단가)'!H11</f>
        <v>M020531910380101</v>
      </c>
      <c r="E8" s="106">
        <f>'내역서(표준단가)'!I11</f>
        <v>0</v>
      </c>
      <c r="F8" s="134">
        <f>'내역서(표준단가)'!M11</f>
        <v>7</v>
      </c>
    </row>
    <row r="9" spans="1:6">
      <c r="A9" s="105" t="str">
        <f>'내역서(표준단가)'!A12</f>
        <v>E00000803066520502</v>
      </c>
      <c r="B9" s="106">
        <f>'내역서(표준단가)'!F12</f>
        <v>0</v>
      </c>
      <c r="C9" s="106" t="str">
        <f>'내역서(표준단가)'!G12</f>
        <v>E00000803066520502</v>
      </c>
      <c r="D9" s="106">
        <f>'내역서(표준단가)'!H12</f>
        <v>0</v>
      </c>
      <c r="E9" s="106">
        <f>'내역서(표준단가)'!I12</f>
        <v>0</v>
      </c>
      <c r="F9" s="134">
        <f>'내역서(표준단가)'!M12</f>
        <v>4.2000000000000003E-2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2025-03-12T07:24:23Z</dcterms:modified>
</cp:coreProperties>
</file>
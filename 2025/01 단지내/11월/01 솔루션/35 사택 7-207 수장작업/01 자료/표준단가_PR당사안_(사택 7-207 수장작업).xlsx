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21\06 작업폴더\02 사택 7-207 수장공사\01 자료\"/>
    </mc:Choice>
  </mc:AlternateContent>
  <xr:revisionPtr revIDLastSave="0" documentId="13_ncr:1_{51A243FB-145E-40FA-8D0C-8B86F263F4F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9" i="9"/>
  <c r="D10" i="9"/>
  <c r="D9" i="9"/>
  <c r="D8" i="9"/>
  <c r="D7" i="9"/>
  <c r="D6" i="9"/>
  <c r="F2" i="1"/>
  <c r="E2" i="1"/>
  <c r="D2" i="1"/>
  <c r="C2" i="1"/>
  <c r="B2" i="1"/>
  <c r="J28" i="11" l="1"/>
  <c r="J20" i="11" s="1"/>
  <c r="D11" i="9"/>
  <c r="U5" i="4"/>
  <c r="S5" i="4"/>
  <c r="Q5" i="4"/>
  <c r="O5" i="4"/>
  <c r="A5" i="4"/>
  <c r="A2" i="1" s="1"/>
  <c r="J30" i="11" l="1"/>
  <c r="V5" i="4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<sst xmlns="http://schemas.openxmlformats.org/spreadsheetml/2006/main" count="226" uniqueCount="172">
  <si>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</si>
  <si>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</si>
  <si>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</si>
  <si>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</si>
  <si>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</si>
  <si>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</si>
  <si>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</si>
  <si>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</si>
  <si>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</si>
  <si>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</si>
  <si>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</si>
  <si>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</si>
  <si>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</si>
  <si>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</si>
  <si>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</si>
  <si>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</si>
  <si>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</si>
  <si>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</si>
  <si>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</si>
  <si>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</si>
  <si>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</si>
  <si>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</si>
  <si>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</si>
  <si>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</si>
  <si>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</si>
  <si>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</si>
  <si>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</si>
  <si>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</si>
  <si>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</si>
  <si>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</si>
  <si>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</si>
  <si>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</si>
  <si>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</si>
  <si>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</si>
  <si>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</si>
  <si>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</si>
  <si>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</si>
  <si>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</si>
  <si>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</si>
  <si>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</si>
  <si>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</si>
  <si>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</si>
  <si>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</si>
  <si>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</si>
  <si>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</si>
  <si>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</si>
  <si>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</si>
  <si>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</si>
  <si>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</si>
  <si>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</si>
  <si>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</si>
  <si>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</si>
  <si>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</si>
  <si>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</si>
  <si>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</si>
  <si>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</si>
  <si>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</si>
  <si>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</si>
  <si>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</si>
  <si>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</si>
  <si>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</si>
  <si>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</si>
  <si>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</si>
  <si>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</si>
  <si>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</si>
  <si>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</si>
  <si>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</si>
  <si>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</si>
  <si>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</si>
  <si>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</si>
  <si>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</si>
  <si>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</si>
  <si>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</si>
  <si>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</si>
  <si>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</si>
  <si>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</si>
  <si>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</si>
  <si>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</si>
  <si>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</si>
  <si>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</si>
  <si>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</si>
  <si>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</si>
  <si>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</si>
  <si>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</si>
  <si>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</si>
  <si>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</si>
  <si>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</si>
  <si>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</si>
  <si>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</si>
  <si>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</si>
  <si>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</si>
  <si>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</si>
  <si>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</si>
  <si>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</si>
  <si>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</si>
  <si>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</si>
  <si>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</si>
  <si>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</si>
  <si>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</si>
  <si>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</si>
  <si>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</si>
  <si>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합지벽지 1R/L=93㎝(고정)×17.75m=16.51㎡, 소요량140/16.51=8.479R/L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</si>
  <si>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</si>
  <si>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</si>
  <si>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 xml:space="preserve">(앞,뒤베란다 걸레받이(앞,뒤베란다 창고바닥포함)), </t>
  </si>
  <si>
    <t>사택 7-207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</si>
  <si>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</si>
  <si>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</si>
  <si>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</si>
  <si>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</si>
  <si>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</si>
  <si>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</si>
  <si>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</si>
  <si>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</si>
  <si>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</si>
  <si>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</si>
  <si>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</si>
  <si>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</si>
  <si>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</si>
  <si>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</si>
  <si>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</si>
  <si>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</si>
  <si>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</si>
  <si>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</si>
  <si>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</si>
  <si>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</si>
  <si>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</si>
  <si>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</si>
  <si>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</si>
  <si>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</si>
  <si>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</si>
  <si>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</si>
  <si>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</si>
  <si>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</si>
  <si>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</si>
  <si>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</si>
  <si>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</si>
  <si>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</si>
  <si>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</si>
  <si>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</si>
  <si>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</si>
  <si>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</si>
  <si>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</si>
  <si>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</si>
  <si>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</si>
  <si>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</si>
  <si>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</si>
  <si>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</si>
  <si>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</si>
  <si>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</si>
  <si>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</si>
  <si>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</si>
  <si>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</si>
  <si>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</si>
  <si>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</si>
  <si>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</si>
  <si>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</si>
  <si>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</si>
  <si>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</si>
  <si>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</si>
  <si>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</si>
  <si>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</si>
  <si>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</si>
  <si>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</si>
  <si>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</si>
  <si>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</si>
  <si>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</si>
  <si>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</si>
  <si>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</si>
  <si>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</si>
  <si>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7-207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</si>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</sst>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7" fontId="27" fillId="0" borderId="11" xfId="11" applyNumberFormat="1" applyFont="1" applyFill="1" applyBorder="1" applyAlignment="1">
      <alignment horizontal="center" vertical="center" wrapText="1"/>
    </xf>
    <xf numFmtId="192" fontId="27" fillId="0" borderId="11" xfId="11" applyNumberFormat="1" applyFont="1" applyFill="1" applyBorder="1" applyAlignment="1">
      <alignment horizontal="right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3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C069DEB-3669-4F47-93EC-53BC39467BC7}"/>
    <cellStyle name="쉼표 [0] 2 84" xfId="24" xr:uid="{762E122A-FA3A-4DA7-9DD7-D6254F85518D}"/>
    <cellStyle name="쉼표 [0] 3" xfId="14" xr:uid="{8F7BE219-40E1-4BBB-A9BD-02188B74B2A3}"/>
    <cellStyle name="쉼표 [0] 4" xfId="21" xr:uid="{0D1B3895-68B7-427D-9914-96496961730A}"/>
    <cellStyle name="쉼표 [0] 5" xfId="23" xr:uid="{051E47BF-B417-4A47-8F84-EE181AA3466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1C89036-8FC9-4705-A3F3-2B2E64E6B68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85BE395-A276-404E-8AA4-A21CA2DF851B}"/>
    <cellStyle name="표준_P456 공장 및 복지동 전면 유리창 청소건 라상혁님_1129(최종)" xfId="20" xr:uid="{5198189F-EE88-48A0-94BF-950B374B4DDA}"/>
    <cellStyle name="표준_S&amp;D_MAIN VALVE_최빈_2" xfId="17" xr:uid="{74507B76-E6F7-4255-9F52-34F73F148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6497A5-1FFF-490D-B404-C76FD208F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736F-BD6B-4512-9D5A-DDEBB3A24EE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9" t="s">
        <v>106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 x14ac:dyDescent="0.3">
      <c r="A4" s="109" t="s">
        <v>107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171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62" t="s">
        <v>108</v>
      </c>
      <c r="B7" s="263"/>
      <c r="C7" s="264"/>
      <c r="D7" s="172">
        <v>2025</v>
      </c>
      <c r="E7" s="122" t="s">
        <v>109</v>
      </c>
      <c r="F7" s="173">
        <v>10</v>
      </c>
      <c r="G7" s="122" t="s">
        <v>110</v>
      </c>
      <c r="H7" s="173">
        <v>21</v>
      </c>
      <c r="I7" s="122" t="s">
        <v>111</v>
      </c>
      <c r="J7" s="123"/>
      <c r="K7" s="265" t="s">
        <v>112</v>
      </c>
      <c r="L7" s="124" t="s">
        <v>113</v>
      </c>
      <c r="M7" s="124" t="s">
        <v>114</v>
      </c>
      <c r="N7" s="124" t="s">
        <v>115</v>
      </c>
      <c r="O7" s="125" t="s">
        <v>116</v>
      </c>
    </row>
    <row r="8" spans="1:15" ht="23.25" customHeight="1" x14ac:dyDescent="0.3">
      <c r="A8" s="268" t="s">
        <v>117</v>
      </c>
      <c r="B8" s="269"/>
      <c r="C8" s="270"/>
      <c r="D8" s="271" t="s">
        <v>118</v>
      </c>
      <c r="E8" s="272"/>
      <c r="F8" s="272"/>
      <c r="G8" s="273"/>
      <c r="H8" s="274" t="s">
        <v>119</v>
      </c>
      <c r="I8" s="272"/>
      <c r="J8" s="275"/>
      <c r="K8" s="266"/>
      <c r="L8" s="126" t="s">
        <v>120</v>
      </c>
      <c r="M8" s="126" t="s">
        <v>121</v>
      </c>
      <c r="N8" s="126" t="s">
        <v>122</v>
      </c>
      <c r="O8" s="127" t="s">
        <v>123</v>
      </c>
    </row>
    <row r="9" spans="1:15" ht="23.25" customHeight="1" x14ac:dyDescent="0.3">
      <c r="A9" s="268" t="s">
        <v>124</v>
      </c>
      <c r="B9" s="269"/>
      <c r="C9" s="270"/>
      <c r="D9" s="276" t="s">
        <v>125</v>
      </c>
      <c r="E9" s="277"/>
      <c r="F9" s="277"/>
      <c r="G9" s="277"/>
      <c r="H9" s="277"/>
      <c r="I9" s="277"/>
      <c r="J9" s="278"/>
      <c r="K9" s="266"/>
      <c r="L9" s="126" t="s">
        <v>126</v>
      </c>
      <c r="M9" s="279" t="s">
        <v>127</v>
      </c>
      <c r="N9" s="269"/>
      <c r="O9" s="270"/>
    </row>
    <row r="10" spans="1:15" ht="23.25" customHeight="1" thickBot="1" x14ac:dyDescent="0.35">
      <c r="A10" s="280" t="s">
        <v>128</v>
      </c>
      <c r="B10" s="281"/>
      <c r="C10" s="282"/>
      <c r="D10" s="283" t="s">
        <v>129</v>
      </c>
      <c r="E10" s="284"/>
      <c r="F10" s="284"/>
      <c r="G10" s="284"/>
      <c r="H10" s="284"/>
      <c r="I10" s="284"/>
      <c r="J10" s="285"/>
      <c r="K10" s="267"/>
      <c r="L10" s="128" t="s">
        <v>130</v>
      </c>
      <c r="M10" s="128" t="s">
        <v>131</v>
      </c>
      <c r="N10" s="128" t="s">
        <v>132</v>
      </c>
      <c r="O10" s="129" t="s">
        <v>133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5" t="s">
        <v>170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134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8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 x14ac:dyDescent="0.35">
      <c r="A17" s="138" t="s">
        <v>135</v>
      </c>
      <c r="B17" s="248" t="s">
        <v>136</v>
      </c>
      <c r="C17" s="249"/>
      <c r="D17" s="249"/>
      <c r="E17" s="249"/>
      <c r="F17" s="249"/>
      <c r="G17" s="250"/>
      <c r="H17" s="139" t="s">
        <v>137</v>
      </c>
      <c r="I17" s="140" t="s">
        <v>138</v>
      </c>
      <c r="J17" s="251" t="s">
        <v>139</v>
      </c>
      <c r="K17" s="252"/>
      <c r="L17" s="252"/>
      <c r="M17" s="253"/>
      <c r="N17" s="248" t="s">
        <v>140</v>
      </c>
      <c r="O17" s="254"/>
    </row>
    <row r="18" spans="1:17" ht="28.5" customHeight="1" x14ac:dyDescent="0.3">
      <c r="A18" s="141">
        <v>1</v>
      </c>
      <c r="B18" s="242" t="s">
        <v>49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1/(TRIM('내역서(표준단가)'!O4:O100)&lt;&gt;""), '내역서(표준단가)'!O4:O100), "-")</f>
        <v>588767.76850000001</v>
      </c>
      <c r="K18" s="245"/>
      <c r="L18" s="245"/>
      <c r="M18" s="245"/>
      <c r="N18" s="246"/>
      <c r="O18" s="247"/>
    </row>
    <row r="19" spans="1:17" ht="28.5" customHeight="1" x14ac:dyDescent="0.3">
      <c r="A19" s="142">
        <v>2</v>
      </c>
      <c r="B19" s="222" t="s">
        <v>50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2242800.8584199999</v>
      </c>
      <c r="K19" s="226"/>
      <c r="L19" s="226"/>
      <c r="M19" s="227"/>
      <c r="N19" s="228"/>
      <c r="O19" s="229"/>
    </row>
    <row r="20" spans="1:17" ht="28.5" customHeight="1" x14ac:dyDescent="0.3">
      <c r="A20" s="142">
        <v>3</v>
      </c>
      <c r="B20" s="230" t="s">
        <v>141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381287.30669770809</v>
      </c>
      <c r="K20" s="234"/>
      <c r="L20" s="234"/>
      <c r="M20" s="235"/>
      <c r="N20" s="236"/>
      <c r="O20" s="237"/>
      <c r="P20" s="144"/>
    </row>
    <row r="21" spans="1:17" ht="28.5" customHeight="1" x14ac:dyDescent="0.3">
      <c r="A21" s="141"/>
      <c r="B21" s="145"/>
      <c r="C21" s="214" t="s">
        <v>142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143</v>
      </c>
      <c r="O21" s="221"/>
    </row>
    <row r="22" spans="1:17" ht="28.5" customHeight="1" x14ac:dyDescent="0.3">
      <c r="A22" s="141"/>
      <c r="B22" s="145"/>
      <c r="C22" s="208" t="s">
        <v>144</v>
      </c>
      <c r="D22" s="209"/>
      <c r="E22" s="209"/>
      <c r="F22" s="209"/>
      <c r="G22" s="210"/>
      <c r="H22" s="146">
        <v>3.11</v>
      </c>
      <c r="I22" s="146" t="s">
        <v>145</v>
      </c>
      <c r="J22" s="211">
        <f>IFERROR((J18+J19)*H22%,"-")</f>
        <v>88061.784297211983</v>
      </c>
      <c r="K22" s="212"/>
      <c r="L22" s="212"/>
      <c r="M22" s="213"/>
      <c r="N22" s="204" t="s">
        <v>146</v>
      </c>
      <c r="O22" s="205"/>
    </row>
    <row r="23" spans="1:17" ht="28.5" customHeight="1" x14ac:dyDescent="0.3">
      <c r="A23" s="141"/>
      <c r="B23" s="145"/>
      <c r="C23" s="208" t="s">
        <v>147</v>
      </c>
      <c r="D23" s="209"/>
      <c r="E23" s="209"/>
      <c r="F23" s="209"/>
      <c r="G23" s="210"/>
      <c r="H23" s="146">
        <v>3.56</v>
      </c>
      <c r="I23" s="146" t="s">
        <v>148</v>
      </c>
      <c r="J23" s="211">
        <f>IFERROR(J19*H23%,"-")</f>
        <v>79843.710559751999</v>
      </c>
      <c r="K23" s="212"/>
      <c r="L23" s="212"/>
      <c r="M23" s="213"/>
      <c r="N23" s="204" t="s">
        <v>149</v>
      </c>
      <c r="O23" s="205"/>
    </row>
    <row r="24" spans="1:17" ht="28.5" customHeight="1" x14ac:dyDescent="0.3">
      <c r="A24" s="141"/>
      <c r="B24" s="145"/>
      <c r="C24" s="208" t="s">
        <v>150</v>
      </c>
      <c r="D24" s="209"/>
      <c r="E24" s="209"/>
      <c r="F24" s="209"/>
      <c r="G24" s="210"/>
      <c r="H24" s="146">
        <v>1.01</v>
      </c>
      <c r="I24" s="146" t="s">
        <v>148</v>
      </c>
      <c r="J24" s="211">
        <f>IFERROR(J19*H24%,"-")</f>
        <v>22652.288670041999</v>
      </c>
      <c r="K24" s="212"/>
      <c r="L24" s="212"/>
      <c r="M24" s="213"/>
      <c r="N24" s="204" t="s">
        <v>151</v>
      </c>
      <c r="O24" s="205"/>
    </row>
    <row r="25" spans="1:17" ht="28.5" customHeight="1" x14ac:dyDescent="0.3">
      <c r="A25" s="141"/>
      <c r="B25" s="145"/>
      <c r="C25" s="208" t="s">
        <v>152</v>
      </c>
      <c r="D25" s="209"/>
      <c r="E25" s="209"/>
      <c r="F25" s="209"/>
      <c r="G25" s="210"/>
      <c r="H25" s="147">
        <v>3.5449999999999999</v>
      </c>
      <c r="I25" s="146" t="s">
        <v>148</v>
      </c>
      <c r="J25" s="211">
        <f>IFERROR(J19*H25%,"-")</f>
        <v>79507.290430989</v>
      </c>
      <c r="K25" s="212"/>
      <c r="L25" s="212"/>
      <c r="M25" s="213"/>
      <c r="N25" s="204" t="s">
        <v>153</v>
      </c>
      <c r="O25" s="205"/>
      <c r="Q25" s="144"/>
    </row>
    <row r="26" spans="1:17" ht="28.5" customHeight="1" x14ac:dyDescent="0.3">
      <c r="A26" s="141"/>
      <c r="B26" s="145"/>
      <c r="C26" s="208" t="s">
        <v>154</v>
      </c>
      <c r="D26" s="209"/>
      <c r="E26" s="209"/>
      <c r="F26" s="209"/>
      <c r="G26" s="210"/>
      <c r="H26" s="146">
        <v>4.5</v>
      </c>
      <c r="I26" s="146" t="s">
        <v>148</v>
      </c>
      <c r="J26" s="211">
        <f>IFERROR(J19*H26%,"-")</f>
        <v>100926.03862889999</v>
      </c>
      <c r="K26" s="212"/>
      <c r="L26" s="212"/>
      <c r="M26" s="213"/>
      <c r="N26" s="204" t="s">
        <v>155</v>
      </c>
      <c r="O26" s="205"/>
      <c r="Q26" s="148"/>
    </row>
    <row r="27" spans="1:17" ht="28.5" customHeight="1" x14ac:dyDescent="0.3">
      <c r="A27" s="141"/>
      <c r="B27" s="145"/>
      <c r="C27" s="198" t="s">
        <v>156</v>
      </c>
      <c r="D27" s="199"/>
      <c r="E27" s="199"/>
      <c r="F27" s="199"/>
      <c r="G27" s="200"/>
      <c r="H27" s="149">
        <v>12.95</v>
      </c>
      <c r="I27" s="150" t="s">
        <v>148</v>
      </c>
      <c r="J27" s="201">
        <f>IFERROR($H$27*J25%,"-")</f>
        <v>10296.194110813074</v>
      </c>
      <c r="K27" s="202"/>
      <c r="L27" s="202"/>
      <c r="M27" s="203"/>
      <c r="N27" s="204" t="s">
        <v>157</v>
      </c>
      <c r="O27" s="205"/>
    </row>
    <row r="28" spans="1:17" ht="28.5" customHeight="1" x14ac:dyDescent="0.3">
      <c r="A28" s="141"/>
      <c r="B28" s="145"/>
      <c r="C28" s="198" t="s">
        <v>158</v>
      </c>
      <c r="D28" s="199"/>
      <c r="E28" s="199"/>
      <c r="F28" s="199"/>
      <c r="G28" s="200"/>
      <c r="H28" s="149">
        <v>8.1000000000000003E-2</v>
      </c>
      <c r="I28" s="150" t="s">
        <v>148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159</v>
      </c>
      <c r="O28" s="207"/>
    </row>
    <row r="29" spans="1:17" ht="28.5" customHeight="1" x14ac:dyDescent="0.3">
      <c r="A29" s="151"/>
      <c r="B29" s="152"/>
      <c r="C29" s="178" t="s">
        <v>160</v>
      </c>
      <c r="D29" s="179"/>
      <c r="E29" s="179"/>
      <c r="F29" s="179"/>
      <c r="G29" s="180"/>
      <c r="H29" s="153">
        <v>1</v>
      </c>
      <c r="I29" s="154" t="s">
        <v>161</v>
      </c>
      <c r="J29" s="181">
        <f>34*0</f>
        <v>0</v>
      </c>
      <c r="K29" s="182"/>
      <c r="L29" s="182"/>
      <c r="M29" s="183"/>
      <c r="N29" s="184" t="s">
        <v>162</v>
      </c>
      <c r="O29" s="185"/>
    </row>
    <row r="30" spans="1:17" ht="28.5" customHeight="1" x14ac:dyDescent="0.3">
      <c r="A30" s="151">
        <v>4</v>
      </c>
      <c r="B30" s="152"/>
      <c r="C30" s="178" t="s">
        <v>163</v>
      </c>
      <c r="D30" s="179"/>
      <c r="E30" s="179"/>
      <c r="F30" s="179"/>
      <c r="G30" s="180"/>
      <c r="H30" s="154">
        <v>5</v>
      </c>
      <c r="I30" s="155" t="s">
        <v>164</v>
      </c>
      <c r="J30" s="191">
        <f>IFERROR(IF(ISNUMBER(H30), SUM(J18:M20) * (H30 / 100), "-"), "-")</f>
        <v>160642.7966808854</v>
      </c>
      <c r="K30" s="192"/>
      <c r="L30" s="192"/>
      <c r="M30" s="193"/>
      <c r="N30" s="194" t="s">
        <v>165</v>
      </c>
      <c r="O30" s="195"/>
    </row>
    <row r="31" spans="1:17" ht="28.5" customHeight="1" thickBot="1" x14ac:dyDescent="0.35">
      <c r="A31" s="151">
        <v>5</v>
      </c>
      <c r="B31" s="152"/>
      <c r="C31" s="178" t="s">
        <v>166</v>
      </c>
      <c r="D31" s="179"/>
      <c r="E31" s="179"/>
      <c r="F31" s="179"/>
      <c r="G31" s="180"/>
      <c r="H31" s="154">
        <v>7.5</v>
      </c>
      <c r="I31" s="155" t="s">
        <v>148</v>
      </c>
      <c r="J31" s="181">
        <f>IFERROR(SUM(J18:M20, J30) * (H31 / 100), "-")+-31711</f>
        <v>221301.40477239448</v>
      </c>
      <c r="K31" s="182"/>
      <c r="L31" s="182"/>
      <c r="M31" s="183"/>
      <c r="N31" s="196" t="s">
        <v>167</v>
      </c>
      <c r="O31" s="197"/>
      <c r="Q31" s="156"/>
    </row>
    <row r="32" spans="1:17" ht="28.5" customHeight="1" thickBot="1" x14ac:dyDescent="0.35">
      <c r="A32" s="186" t="s">
        <v>168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3594800</v>
      </c>
      <c r="N32" s="189"/>
      <c r="O32" s="190"/>
      <c r="P32" s="160"/>
    </row>
    <row r="33" spans="1:15" x14ac:dyDescent="0.3">
      <c r="A33" s="161" t="s">
        <v>169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7" t="s">
        <v>48</v>
      </c>
      <c r="K3" s="297"/>
      <c r="L3" s="295" t="s">
        <v>8</v>
      </c>
      <c r="M3" s="295" t="s">
        <v>5</v>
      </c>
      <c r="N3" s="291" t="s">
        <v>49</v>
      </c>
      <c r="O3" s="291"/>
      <c r="P3" s="291" t="s">
        <v>50</v>
      </c>
      <c r="Q3" s="291"/>
      <c r="R3" s="292" t="s">
        <v>51</v>
      </c>
      <c r="S3" s="292"/>
      <c r="T3" s="292" t="s">
        <v>52</v>
      </c>
      <c r="U3" s="292"/>
      <c r="V3" s="293" t="s">
        <v>53</v>
      </c>
      <c r="W3" s="289" t="s">
        <v>54</v>
      </c>
      <c r="X3" s="287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6"/>
      <c r="M4" s="296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4"/>
      <c r="W4" s="290"/>
      <c r="X4" s="288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101</v>
      </c>
      <c r="L5" s="54" t="s">
        <v>99</v>
      </c>
      <c r="M5" s="93">
        <v>8.4789999999999992</v>
      </c>
      <c r="N5" s="88">
        <v>20900</v>
      </c>
      <c r="O5" s="63">
        <f t="shared" ref="O5" si="1">SUM(N5:N5)*M5*$O$2</f>
        <v>147971.26849999998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102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:A8" si="12">F7&amp;G7&amp;H7&amp;I7</f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103</v>
      </c>
      <c r="L7" s="11" t="s">
        <v>67</v>
      </c>
      <c r="M7" s="93">
        <v>1.4</v>
      </c>
      <c r="N7" s="65"/>
      <c r="O7" s="63">
        <f t="shared" ref="O7:O12" si="13">SUM(N7:N7)*M7*$O$2</f>
        <v>0</v>
      </c>
      <c r="P7" s="62">
        <v>487076</v>
      </c>
      <c r="Q7" s="63">
        <f t="shared" ref="Q7:Q13" si="14">(P7*M7)*$Q$2</f>
        <v>569391.84399999992</v>
      </c>
      <c r="R7" s="64"/>
      <c r="S7" s="63">
        <f t="shared" ref="S7:S13" si="15">R7*M7*$S$2</f>
        <v>0</v>
      </c>
      <c r="T7" s="64"/>
      <c r="U7" s="63">
        <f t="shared" ref="U7:U13" si="16">T7*M7*$U$2</f>
        <v>0</v>
      </c>
      <c r="V7" s="13">
        <f t="shared" ref="V7:V13" si="17">SUM(O7+Q7)+S7+U7</f>
        <v>569391.84399999992</v>
      </c>
      <c r="W7" s="53"/>
      <c r="X7" s="14"/>
    </row>
    <row r="8" spans="1:24" s="77" customFormat="1" ht="38.1" customHeight="1" x14ac:dyDescent="0.3">
      <c r="A8" s="9" t="str">
        <f t="shared" si="12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3"/>
        <v>429858</v>
      </c>
      <c r="P8" s="62"/>
      <c r="Q8" s="63">
        <f t="shared" si="14"/>
        <v>0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429858</v>
      </c>
      <c r="W8" s="53"/>
      <c r="X8" s="14"/>
    </row>
    <row r="9" spans="1:24" s="77" customFormat="1" ht="38.1" customHeight="1" x14ac:dyDescent="0.3">
      <c r="A9" s="9" t="str">
        <f t="shared" ref="A9:A13" si="18">F9&amp;G9&amp;H9&amp;I9</f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3"/>
        <v>0</v>
      </c>
      <c r="P9" s="62">
        <v>487076</v>
      </c>
      <c r="Q9" s="63">
        <f t="shared" si="14"/>
        <v>263953.79054000002</v>
      </c>
      <c r="R9" s="64"/>
      <c r="S9" s="63">
        <f t="shared" si="15"/>
        <v>0</v>
      </c>
      <c r="T9" s="64"/>
      <c r="U9" s="63">
        <f t="shared" si="16"/>
        <v>0</v>
      </c>
      <c r="V9" s="13">
        <f t="shared" si="17"/>
        <v>263953.79054000002</v>
      </c>
      <c r="W9" s="53"/>
      <c r="X9" s="14"/>
    </row>
    <row r="10" spans="1:24" s="77" customFormat="1" ht="38.1" customHeight="1" x14ac:dyDescent="0.3">
      <c r="A10" s="9" t="str">
        <f t="shared" si="18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67">
        <v>0.2</v>
      </c>
      <c r="N10" s="91">
        <v>65500</v>
      </c>
      <c r="O10" s="63">
        <f t="shared" si="13"/>
        <v>10938.5</v>
      </c>
      <c r="P10" s="62"/>
      <c r="Q10" s="63"/>
      <c r="R10" s="64"/>
      <c r="S10" s="63"/>
      <c r="T10" s="64"/>
      <c r="U10" s="63"/>
      <c r="V10" s="13">
        <f t="shared" si="17"/>
        <v>10938.5</v>
      </c>
      <c r="W10" s="53"/>
      <c r="X10" s="14"/>
    </row>
    <row r="11" spans="1:24" s="77" customFormat="1" ht="38.1" customHeight="1" x14ac:dyDescent="0.3">
      <c r="A11" s="9" t="str">
        <f t="shared" si="18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3"/>
        <v>0</v>
      </c>
      <c r="P11" s="62">
        <v>10432</v>
      </c>
      <c r="Q11" s="63">
        <f t="shared" si="14"/>
        <v>174214.39999999999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174214.39999999999</v>
      </c>
      <c r="W11" s="53"/>
      <c r="X11" s="14"/>
    </row>
    <row r="12" spans="1:24" s="77" customFormat="1" ht="38.1" customHeight="1" x14ac:dyDescent="0.3">
      <c r="A12" s="9" t="str">
        <f t="shared" si="18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3"/>
        <v>0</v>
      </c>
      <c r="P12" s="62">
        <v>6179</v>
      </c>
      <c r="Q12" s="63">
        <f t="shared" si="14"/>
        <v>103189.29999999999</v>
      </c>
      <c r="R12" s="64"/>
      <c r="S12" s="63">
        <f t="shared" si="15"/>
        <v>0</v>
      </c>
      <c r="T12" s="64"/>
      <c r="U12" s="63">
        <f t="shared" si="16"/>
        <v>0</v>
      </c>
      <c r="V12" s="13">
        <f t="shared" si="17"/>
        <v>103189.29999999999</v>
      </c>
      <c r="W12" s="53"/>
      <c r="X12" s="14"/>
    </row>
    <row r="13" spans="1:24" s="77" customFormat="1" ht="38.1" customHeight="1" x14ac:dyDescent="0.3">
      <c r="A13" s="9" t="str">
        <f t="shared" si="18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ref="O13" si="19">SUM(N13:N13)*M13*$O$2</f>
        <v>0</v>
      </c>
      <c r="P13" s="92">
        <v>4966</v>
      </c>
      <c r="Q13" s="12">
        <f t="shared" si="14"/>
        <v>327582.19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0" t="s">
        <v>9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5" ht="15" customHeight="1" x14ac:dyDescent="0.3">
      <c r="A2" s="301" t="s">
        <v>10</v>
      </c>
      <c r="B2" s="302" t="s">
        <v>11</v>
      </c>
      <c r="C2" s="303" t="s">
        <v>8</v>
      </c>
      <c r="D2" s="303" t="s">
        <v>12</v>
      </c>
      <c r="E2" s="305" t="s">
        <v>13</v>
      </c>
      <c r="F2" s="302"/>
      <c r="G2" s="302" t="s">
        <v>14</v>
      </c>
      <c r="H2" s="302"/>
      <c r="I2" s="306" t="s">
        <v>15</v>
      </c>
      <c r="J2" s="307"/>
      <c r="K2" s="306" t="s">
        <v>16</v>
      </c>
      <c r="L2" s="307"/>
      <c r="M2" s="305" t="s">
        <v>17</v>
      </c>
      <c r="N2" s="302"/>
      <c r="O2" s="308" t="s">
        <v>18</v>
      </c>
    </row>
    <row r="3" spans="1:15" ht="15" customHeight="1" x14ac:dyDescent="0.3">
      <c r="A3" s="301"/>
      <c r="B3" s="302"/>
      <c r="C3" s="304"/>
      <c r="D3" s="304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9"/>
    </row>
    <row r="4" spans="1:15" ht="15" customHeight="1" x14ac:dyDescent="0.3">
      <c r="A4" s="298" t="s">
        <v>105</v>
      </c>
      <c r="B4" s="299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11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13"/>
    </row>
    <row r="6" spans="1:15" ht="15" customHeight="1" x14ac:dyDescent="0.3">
      <c r="A6" s="312"/>
      <c r="B6" s="95" t="s">
        <v>25</v>
      </c>
      <c r="C6" s="96" t="s">
        <v>24</v>
      </c>
      <c r="D6" s="103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314"/>
    </row>
    <row r="7" spans="1:15" ht="15" customHeight="1" x14ac:dyDescent="0.3">
      <c r="A7" s="312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314"/>
    </row>
    <row r="8" spans="1:15" ht="15" customHeight="1" x14ac:dyDescent="0.3">
      <c r="A8" s="312"/>
      <c r="B8" s="95" t="s">
        <v>27</v>
      </c>
      <c r="C8" s="96" t="s">
        <v>24</v>
      </c>
      <c r="D8" s="103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314"/>
    </row>
    <row r="9" spans="1:15" ht="15" customHeight="1" x14ac:dyDescent="0.3">
      <c r="A9" s="312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14"/>
    </row>
    <row r="10" spans="1:15" ht="15" customHeight="1" x14ac:dyDescent="0.3">
      <c r="A10" s="312"/>
      <c r="B10" s="95" t="s">
        <v>29</v>
      </c>
      <c r="C10" s="96" t="s">
        <v>24</v>
      </c>
      <c r="D10" s="103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314"/>
    </row>
    <row r="11" spans="1:15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5" ht="15" customHeight="1" x14ac:dyDescent="0.3">
      <c r="A12" s="315" t="s">
        <v>88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14"/>
    </row>
    <row r="13" spans="1:15" ht="15" customHeight="1" x14ac:dyDescent="0.3">
      <c r="A13" s="315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14"/>
    </row>
    <row r="14" spans="1:15" ht="15" customHeight="1" x14ac:dyDescent="0.3">
      <c r="A14" s="315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14"/>
    </row>
    <row r="15" spans="1:15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85</v>
      </c>
      <c r="B17" s="98" t="s">
        <v>82</v>
      </c>
      <c r="C17" s="98" t="s">
        <v>81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16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16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17" t="s">
        <v>104</v>
      </c>
    </row>
    <row r="20" spans="1:15" ht="15" customHeight="1" x14ac:dyDescent="0.3">
      <c r="A20" s="310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8"/>
    </row>
    <row r="21" spans="1:15" ht="15" customHeight="1" x14ac:dyDescent="0.3">
      <c r="A21" s="310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310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310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310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310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2025-10-21T01:29:53Z</dcterms:modified>
</cp:coreProperties>
</file>
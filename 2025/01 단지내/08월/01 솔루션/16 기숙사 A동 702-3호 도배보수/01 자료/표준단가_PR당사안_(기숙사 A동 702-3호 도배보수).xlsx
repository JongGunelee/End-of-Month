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1\06 작업폴더\01 기숙사 A동 702-3호 도배보수\01 자료\"/>
    </mc:Choice>
  </mc:AlternateContent>
  <xr:revisionPtr revIDLastSave="0" documentId="13_ncr:1_{5FD9524D-1D9E-44EC-9141-930C5392FEF4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30" i="11"/>
  <c r="M6" i="4"/>
  <c r="M5" i="4"/>
  <c r="J29" i="11" l="1"/>
  <c r="D9" i="9"/>
  <c r="H7" i="9"/>
  <c r="F7" i="9"/>
  <c r="N7" i="9" s="1"/>
  <c r="F3" i="1" l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 l="1"/>
  <c r="S6" i="4"/>
  <c r="Q6" i="4"/>
  <c r="O6" i="4"/>
  <c r="A6" i="4"/>
  <c r="A3" i="1" s="1"/>
  <c r="V6" i="4" l="1"/>
  <c r="L9" i="9" l="1"/>
  <c r="J9" i="9"/>
  <c r="H5" i="9" l="1"/>
  <c r="H9" i="9" s="1"/>
  <c r="F5" i="9"/>
  <c r="F9" i="9" s="1"/>
  <c r="N5" i="9" l="1"/>
  <c r="N9" i="9" s="1"/>
  <c r="Q7" i="4" l="1"/>
  <c r="J19" i="11" s="1"/>
  <c r="J24" i="11" l="1"/>
  <c r="J25" i="11"/>
  <c r="J27" i="11" s="1"/>
  <c r="J26" i="11"/>
  <c r="J23" i="11"/>
  <c r="U7" i="4"/>
  <c r="O7" i="4"/>
  <c r="J18" i="11" s="1"/>
  <c r="S7" i="4"/>
  <c r="J21" i="11" s="1"/>
  <c r="J22" i="11" l="1"/>
  <c r="J28" i="11" s="1"/>
  <c r="J20" i="11" s="1"/>
  <c r="V7" i="4"/>
  <c r="M32" i="11" l="1"/>
  <c r="B15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<sst xmlns="http://schemas.openxmlformats.org/spreadsheetml/2006/main" count="153" uniqueCount="123">
  <si>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</si>
  <si>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</si>
  <si>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</si>
  <si>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</si>
  <si>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</si>
  <si>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</si>
  <si>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</si>
  <si>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</si>
  <si>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</si>
  <si>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</si>
  <si>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</si>
  <si>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</si>
  <si>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</si>
  <si>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</si>
  <si>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</si>
  <si>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</si>
  <si>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</si>
  <si>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</si>
  <si>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</si>
  <si>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</si>
  <si>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</si>
  <si>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</si>
  <si>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㎡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</si>
  <si>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</si>
  <si>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</si>
  <si>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</si>
  <si>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</si>
  <si>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</si>
  <si>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</si>
  <si>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</si>
  <si>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</si>
  <si>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</si>
  <si>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</si>
  <si>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</si>
  <si>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</si>
  <si>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</si>
  <si>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</si>
  <si>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</si>
  <si>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</si>
  <si>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</si>
  <si>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</si>
  <si>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</si>
  <si>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</si>
  <si>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</si>
  <si>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</si>
  <si>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합 계</t>
    <phoneticPr fontId="6" type="noConversion"/>
  </si>
  <si>
    <t>벽면</t>
    <phoneticPr fontId="12" type="noConversion"/>
  </si>
  <si>
    <t>천정</t>
    <phoneticPr fontId="12" type="noConversion"/>
  </si>
  <si>
    <t>노무비할증</t>
    <phoneticPr fontId="6" type="noConversion"/>
  </si>
  <si>
    <t>M020853710050101</t>
  </si>
  <si>
    <t>아이리스</t>
  </si>
  <si>
    <t>R/L</t>
  </si>
  <si>
    <t>기숙사 A동 702-3호외 1세대 도배보수</t>
    <phoneticPr fontId="6" type="noConversion"/>
  </si>
  <si>
    <t>1.A702-3 도배</t>
    <phoneticPr fontId="12" type="noConversion"/>
  </si>
  <si>
    <t>1.A702-5 도배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</si>
  <si>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</si>
  <si>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</si>
  <si>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</si>
  <si>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</si>
  <si>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</si>
  <si>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</si>
  <si>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</si>
  <si>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</si>
  <si>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</si>
  <si>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</si>
  <si>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</si>
  <si>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</si>
  <si>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</si>
  <si>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</si>
  <si>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</si>
  <si>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</si>
  <si>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</si>
  <si>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</si>
  <si>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</si>
  <si>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</si>
  <si>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</si>
  <si>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</si>
  <si>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</si>
  <si>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</si>
  <si>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</si>
  <si>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</si>
  <si>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</si>
  <si>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</si>
  <si>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</si>
  <si>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</si>
  <si>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</si>
  <si>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</si>
  <si>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</si>
  <si>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</si>
  <si>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</si>
  <si>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</si>
  <si>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</si>
  <si>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</si>
  <si>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</si>
  <si>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</si>
  <si>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</si>
  <si>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</si>
  <si>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</si>
  <si>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</si>
  <si>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</si>
  <si>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</si>
  <si>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</si>
  <si>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</si>
  <si>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</si>
  <si>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</si>
  <si>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</si>
  <si>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</si>
  <si>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</si>
  <si>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</si>
  <si>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</si>
  <si>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</si>
  <si>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</si>
  <si>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</si>
  <si>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</si>
  <si>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</si>
  <si>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</si>
  <si>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</si>
  <si>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</si>
  <si>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</si>
  <si>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</si>
  <si>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기숙사 A동 702-3호 도배보수</t>
    <phoneticPr fontId="6" type="noConversion"/>
  </si>
  <si>
    <t>합지벽지 1R/L=93㎝(고정)×17.75m=16.51㎡, 소요량33/16.51=3.997R/L</t>
    <phoneticPr fontId="6" type="noConversion"/>
  </si>
  <si>
    <t>일당 시공량-벽 46㎡, 적산정보 500p 참조,시공총량33/일당46=1.434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</si>
</sst>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#,##0;\-#,##0;"/>
    <numFmt numFmtId="189" formatCode="0.000"/>
    <numFmt numFmtId="190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9" borderId="11" xfId="11" applyNumberFormat="1" applyFont="1" applyFill="1" applyBorder="1" applyAlignment="1">
      <alignment horizontal="center" vertical="center"/>
    </xf>
    <xf numFmtId="176" fontId="22" fillId="9" borderId="11" xfId="11" applyFont="1" applyFill="1" applyBorder="1" applyAlignment="1">
      <alignment horizontal="center" vertical="center"/>
    </xf>
    <xf numFmtId="182" fontId="23" fillId="9" borderId="11" xfId="11" applyNumberFormat="1" applyFont="1" applyFill="1" applyBorder="1" applyAlignment="1">
      <alignment horizontal="center" vertical="center" wrapText="1"/>
    </xf>
    <xf numFmtId="182" fontId="22" fillId="9" borderId="11" xfId="11" applyNumberFormat="1" applyFont="1" applyFill="1" applyBorder="1" applyAlignment="1">
      <alignment vertical="center" wrapText="1"/>
    </xf>
    <xf numFmtId="182" fontId="23" fillId="9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9" borderId="11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87" fontId="17" fillId="0" borderId="1" xfId="1" applyNumberFormat="1" applyFont="1" applyBorder="1" applyAlignment="1">
      <alignment horizontal="center" vertical="center"/>
    </xf>
    <xf numFmtId="186" fontId="17" fillId="5" borderId="2" xfId="1" applyNumberFormat="1" applyFont="1" applyFill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188" fontId="17" fillId="6" borderId="2" xfId="1" applyNumberFormat="1" applyFont="1" applyFill="1" applyBorder="1" applyAlignment="1">
      <alignment horizontal="right" vertical="center" wrapText="1"/>
    </xf>
    <xf numFmtId="188" fontId="17" fillId="0" borderId="2" xfId="1" applyNumberFormat="1" applyFont="1" applyFill="1" applyBorder="1" applyAlignment="1">
      <alignment horizontal="right" vertical="center" wrapText="1"/>
    </xf>
    <xf numFmtId="188" fontId="17" fillId="5" borderId="2" xfId="0" applyNumberFormat="1" applyFont="1" applyFill="1" applyBorder="1" applyAlignment="1">
      <alignment horizontal="right" vertical="center"/>
    </xf>
    <xf numFmtId="49" fontId="17" fillId="5" borderId="2" xfId="0" applyNumberFormat="1" applyFont="1" applyFill="1" applyBorder="1" applyAlignment="1">
      <alignment horizontal="center" vertical="center"/>
    </xf>
    <xf numFmtId="189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176" fontId="22" fillId="0" borderId="0" xfId="0" applyNumberFormat="1" applyFont="1">
      <alignment vertical="center"/>
    </xf>
    <xf numFmtId="0" fontId="20" fillId="10" borderId="0" xfId="0" applyFont="1" applyFill="1">
      <alignment vertical="center"/>
    </xf>
    <xf numFmtId="176" fontId="11" fillId="10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21" fillId="5" borderId="0" xfId="0" applyFont="1" applyFill="1">
      <alignment vertical="center"/>
    </xf>
    <xf numFmtId="188" fontId="17" fillId="5" borderId="2" xfId="1" applyNumberFormat="1" applyFont="1" applyFill="1" applyBorder="1" applyAlignment="1">
      <alignment horizontal="right"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25" fillId="0" borderId="0" xfId="18" applyFont="1">
      <alignment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7" fillId="0" borderId="21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2"/>
    </xf>
    <xf numFmtId="0" fontId="25" fillId="0" borderId="10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22" xfId="17" applyFont="1" applyBorder="1" applyAlignment="1">
      <alignment horizontal="right" vertical="center"/>
    </xf>
    <xf numFmtId="0" fontId="30" fillId="0" borderId="21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22" xfId="17" applyFont="1" applyBorder="1" applyAlignment="1">
      <alignment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6" xfId="17" applyFont="1" applyBorder="1" applyAlignment="1">
      <alignment horizontal="center" vertical="center"/>
    </xf>
    <xf numFmtId="0" fontId="25" fillId="0" borderId="17" xfId="17" applyFont="1" applyBorder="1" applyAlignment="1">
      <alignment horizontal="center" vertical="center"/>
    </xf>
    <xf numFmtId="0" fontId="25" fillId="0" borderId="2" xfId="17" applyFont="1" applyBorder="1" applyAlignment="1">
      <alignment horizontal="center" vertical="center"/>
    </xf>
    <xf numFmtId="0" fontId="33" fillId="0" borderId="8" xfId="17" applyFont="1" applyBorder="1" applyAlignment="1">
      <alignment horizontal="center" vertical="center"/>
    </xf>
    <xf numFmtId="0" fontId="25" fillId="0" borderId="34" xfId="17" applyFont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21" xfId="17" applyFont="1" applyBorder="1" applyAlignment="1">
      <alignment vertical="center"/>
    </xf>
    <xf numFmtId="0" fontId="25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3" borderId="36" xfId="17" applyFont="1" applyFill="1" applyBorder="1" applyAlignment="1">
      <alignment horizontal="center" vertical="center"/>
    </xf>
    <xf numFmtId="0" fontId="35" fillId="13" borderId="37" xfId="17" applyFont="1" applyFill="1" applyBorder="1" applyAlignment="1">
      <alignment horizontal="center" vertical="center"/>
    </xf>
    <xf numFmtId="3" fontId="35" fillId="13" borderId="37" xfId="17" applyNumberFormat="1" applyFont="1" applyFill="1" applyBorder="1" applyAlignment="1">
      <alignment horizontal="center" vertical="center"/>
    </xf>
    <xf numFmtId="0" fontId="25" fillId="0" borderId="41" xfId="17" applyFont="1" applyBorder="1" applyAlignment="1">
      <alignment horizontal="center" vertical="center"/>
    </xf>
    <xf numFmtId="0" fontId="25" fillId="0" borderId="45" xfId="17" applyFont="1" applyBorder="1" applyAlignment="1">
      <alignment horizontal="center" vertical="center"/>
    </xf>
    <xf numFmtId="0" fontId="25" fillId="0" borderId="13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16" xfId="20" applyFont="1" applyBorder="1" applyAlignment="1">
      <alignment horizontal="left" vertical="center" wrapText="1" indent="1"/>
    </xf>
    <xf numFmtId="0" fontId="29" fillId="0" borderId="56" xfId="20" applyFont="1" applyBorder="1" applyAlignment="1">
      <alignment horizontal="center" vertical="center"/>
    </xf>
    <xf numFmtId="189" fontId="29" fillId="0" borderId="56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8" xfId="20" applyNumberFormat="1" applyFont="1" applyBorder="1" applyAlignment="1">
      <alignment horizontal="center" vertical="center"/>
    </xf>
    <xf numFmtId="0" fontId="29" fillId="0" borderId="61" xfId="20" applyFont="1" applyBorder="1" applyAlignment="1">
      <alignment horizontal="center" vertical="center"/>
    </xf>
    <xf numFmtId="0" fontId="25" fillId="0" borderId="63" xfId="17" applyFont="1" applyBorder="1" applyAlignment="1">
      <alignment horizontal="center" vertical="center"/>
    </xf>
    <xf numFmtId="0" fontId="25" fillId="0" borderId="15" xfId="20" applyFont="1" applyBorder="1" applyAlignment="1">
      <alignment horizontal="left" vertical="center" wrapText="1" indent="1"/>
    </xf>
    <xf numFmtId="1" fontId="29" fillId="0" borderId="64" xfId="20" applyNumberFormat="1" applyFont="1" applyBorder="1" applyAlignment="1">
      <alignment horizontal="center" vertical="center"/>
    </xf>
    <xf numFmtId="0" fontId="29" fillId="0" borderId="64" xfId="20" applyFont="1" applyBorder="1" applyAlignment="1">
      <alignment horizontal="center" vertical="center"/>
    </xf>
    <xf numFmtId="0" fontId="29" fillId="0" borderId="68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4" borderId="38" xfId="17" applyNumberFormat="1" applyFont="1" applyFill="1" applyBorder="1" applyAlignment="1">
      <alignment horizontal="right" vertical="center"/>
    </xf>
    <xf numFmtId="0" fontId="39" fillId="14" borderId="38" xfId="17" applyFont="1" applyFill="1" applyBorder="1" applyAlignment="1">
      <alignment horizontal="right" vertical="center"/>
    </xf>
    <xf numFmtId="176" fontId="39" fillId="14" borderId="70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21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22" xfId="17" applyNumberFormat="1" applyFont="1" applyBorder="1" applyAlignment="1">
      <alignment vertical="center"/>
    </xf>
    <xf numFmtId="49" fontId="25" fillId="0" borderId="21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22" xfId="20" applyFont="1" applyBorder="1" applyAlignment="1">
      <alignment horizontal="left"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49" fontId="25" fillId="0" borderId="74" xfId="17" applyNumberFormat="1" applyFont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25" fillId="0" borderId="10" xfId="17" applyFont="1" applyFill="1" applyBorder="1" applyAlignment="1">
      <alignment vertical="center"/>
    </xf>
    <xf numFmtId="0" fontId="25" fillId="0" borderId="23" xfId="17" applyFont="1" applyFill="1" applyBorder="1" applyAlignment="1">
      <alignment horizontal="right" vertical="center"/>
    </xf>
    <xf numFmtId="0" fontId="25" fillId="0" borderId="24" xfId="17" applyFont="1" applyFill="1" applyBorder="1" applyAlignment="1">
      <alignment horizontal="center" vertical="center"/>
    </xf>
    <xf numFmtId="0" fontId="25" fillId="0" borderId="42" xfId="20" applyFont="1" applyFill="1" applyBorder="1" applyAlignment="1">
      <alignment horizontal="center" vertical="center"/>
    </xf>
    <xf numFmtId="0" fontId="25" fillId="0" borderId="44" xfId="20" applyFont="1" applyFill="1" applyBorder="1" applyAlignment="1">
      <alignment horizontal="center" vertical="center"/>
    </xf>
    <xf numFmtId="0" fontId="25" fillId="0" borderId="12" xfId="20" applyFont="1" applyFill="1" applyBorder="1" applyAlignment="1">
      <alignment horizontal="center" vertical="center"/>
    </xf>
    <xf numFmtId="0" fontId="29" fillId="0" borderId="52" xfId="20" applyFont="1" applyFill="1" applyBorder="1" applyAlignment="1">
      <alignment horizontal="center" vertical="center"/>
    </xf>
    <xf numFmtId="190" fontId="34" fillId="12" borderId="0" xfId="17" applyNumberFormat="1" applyFont="1" applyFill="1" applyAlignment="1">
      <alignment horizontal="left" vertical="center"/>
    </xf>
    <xf numFmtId="0" fontId="24" fillId="0" borderId="18" xfId="17" applyFont="1" applyBorder="1" applyAlignment="1">
      <alignment horizontal="center" vertical="center"/>
    </xf>
    <xf numFmtId="0" fontId="24" fillId="0" borderId="19" xfId="17" applyFont="1" applyBorder="1" applyAlignment="1">
      <alignment horizontal="center" vertical="center"/>
    </xf>
    <xf numFmtId="0" fontId="24" fillId="0" borderId="20" xfId="17" applyFont="1" applyBorder="1" applyAlignment="1">
      <alignment horizontal="center" vertical="center"/>
    </xf>
    <xf numFmtId="0" fontId="26" fillId="0" borderId="21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22" xfId="17" applyFont="1" applyBorder="1" applyAlignment="1" applyProtection="1">
      <alignment horizontal="center" vertical="center"/>
      <protection locked="0"/>
    </xf>
    <xf numFmtId="0" fontId="25" fillId="11" borderId="23" xfId="17" applyFont="1" applyFill="1" applyBorder="1" applyAlignment="1">
      <alignment horizontal="center" vertical="center"/>
    </xf>
    <xf numFmtId="0" fontId="25" fillId="11" borderId="24" xfId="17" applyFont="1" applyFill="1" applyBorder="1" applyAlignment="1">
      <alignment horizontal="center" vertical="center"/>
    </xf>
    <xf numFmtId="0" fontId="25" fillId="11" borderId="25" xfId="17" applyFont="1" applyFill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 wrapText="1"/>
    </xf>
    <xf numFmtId="0" fontId="25" fillId="0" borderId="29" xfId="17" applyFont="1" applyBorder="1" applyAlignment="1">
      <alignment horizontal="center" vertical="center"/>
    </xf>
    <xf numFmtId="0" fontId="25" fillId="0" borderId="3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4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5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25" fillId="0" borderId="27" xfId="17" applyFont="1" applyBorder="1" applyAlignment="1">
      <alignment horizontal="left" vertical="center" indent="1"/>
    </xf>
    <xf numFmtId="0" fontId="25" fillId="0" borderId="4" xfId="17" applyFont="1" applyBorder="1" applyAlignment="1">
      <alignment horizontal="left" vertical="center" indent="1"/>
    </xf>
    <xf numFmtId="0" fontId="25" fillId="0" borderId="28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center" vertical="center"/>
    </xf>
    <xf numFmtId="0" fontId="25" fillId="0" borderId="30" xfId="17" applyFont="1" applyBorder="1" applyAlignment="1">
      <alignment horizontal="center" vertical="center"/>
    </xf>
    <xf numFmtId="0" fontId="25" fillId="0" borderId="31" xfId="17" applyFont="1" applyBorder="1" applyAlignment="1">
      <alignment horizontal="center" vertical="center"/>
    </xf>
    <xf numFmtId="0" fontId="25" fillId="0" borderId="32" xfId="17" applyFont="1" applyBorder="1" applyAlignment="1">
      <alignment horizontal="center" vertical="center"/>
    </xf>
    <xf numFmtId="0" fontId="25" fillId="0" borderId="30" xfId="17" applyFont="1" applyBorder="1" applyAlignment="1">
      <alignment horizontal="left" vertical="center" indent="1"/>
    </xf>
    <xf numFmtId="0" fontId="25" fillId="0" borderId="31" xfId="17" applyFont="1" applyBorder="1" applyAlignment="1">
      <alignment horizontal="left" vertical="center" indent="1"/>
    </xf>
    <xf numFmtId="0" fontId="25" fillId="0" borderId="32" xfId="17" applyFont="1" applyBorder="1" applyAlignment="1">
      <alignment horizontal="left" vertical="center" indent="1"/>
    </xf>
    <xf numFmtId="0" fontId="36" fillId="12" borderId="0" xfId="19" applyFont="1" applyFill="1" applyAlignment="1">
      <alignment horizontal="left" vertical="center"/>
    </xf>
    <xf numFmtId="0" fontId="36" fillId="12" borderId="22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22" xfId="17" applyFont="1" applyBorder="1" applyAlignment="1">
      <alignment horizontal="right" vertical="center"/>
    </xf>
    <xf numFmtId="0" fontId="25" fillId="0" borderId="42" xfId="20" applyFont="1" applyFill="1" applyBorder="1" applyAlignment="1">
      <alignment horizontal="center" vertical="center" wrapText="1"/>
    </xf>
    <xf numFmtId="0" fontId="25" fillId="0" borderId="24" xfId="20" applyFont="1" applyFill="1" applyBorder="1" applyAlignment="1">
      <alignment horizontal="center" vertical="center" wrapText="1"/>
    </xf>
    <xf numFmtId="0" fontId="25" fillId="0" borderId="43" xfId="20" applyFont="1" applyFill="1" applyBorder="1" applyAlignment="1">
      <alignment horizontal="center" vertical="center" wrapText="1"/>
    </xf>
    <xf numFmtId="176" fontId="25" fillId="0" borderId="44" xfId="21" applyFont="1" applyFill="1" applyBorder="1" applyAlignment="1">
      <alignment horizontal="right" vertical="center"/>
    </xf>
    <xf numFmtId="176" fontId="25" fillId="0" borderId="42" xfId="20" applyNumberFormat="1" applyFont="1" applyBorder="1" applyAlignment="1">
      <alignment horizontal="left" vertical="center"/>
    </xf>
    <xf numFmtId="176" fontId="25" fillId="0" borderId="25" xfId="20" applyNumberFormat="1" applyFont="1" applyBorder="1" applyAlignment="1">
      <alignment horizontal="left" vertical="center"/>
    </xf>
    <xf numFmtId="0" fontId="35" fillId="13" borderId="37" xfId="17" applyFont="1" applyFill="1" applyBorder="1" applyAlignment="1">
      <alignment horizontal="center" vertical="center"/>
    </xf>
    <xf numFmtId="0" fontId="35" fillId="13" borderId="38" xfId="17" applyFont="1" applyFill="1" applyBorder="1" applyAlignment="1">
      <alignment horizontal="center" vertical="center"/>
    </xf>
    <xf numFmtId="0" fontId="35" fillId="13" borderId="39" xfId="17" applyFont="1" applyFill="1" applyBorder="1" applyAlignment="1">
      <alignment horizontal="center" vertical="center"/>
    </xf>
    <xf numFmtId="3" fontId="35" fillId="13" borderId="37" xfId="17" applyNumberFormat="1" applyFont="1" applyFill="1" applyBorder="1" applyAlignment="1">
      <alignment horizontal="center" vertical="center"/>
    </xf>
    <xf numFmtId="3" fontId="35" fillId="13" borderId="38" xfId="17" applyNumberFormat="1" applyFont="1" applyFill="1" applyBorder="1" applyAlignment="1">
      <alignment horizontal="center" vertical="center"/>
    </xf>
    <xf numFmtId="3" fontId="35" fillId="13" borderId="39" xfId="17" applyNumberFormat="1" applyFont="1" applyFill="1" applyBorder="1" applyAlignment="1">
      <alignment horizontal="center" vertical="center"/>
    </xf>
    <xf numFmtId="0" fontId="35" fillId="13" borderId="40" xfId="17" applyFont="1" applyFill="1" applyBorder="1" applyAlignment="1">
      <alignment horizontal="center" vertical="center"/>
    </xf>
    <xf numFmtId="0" fontId="25" fillId="0" borderId="46" xfId="20" applyFont="1" applyFill="1" applyBorder="1" applyAlignment="1">
      <alignment horizontal="center" vertical="center" wrapText="1"/>
    </xf>
    <xf numFmtId="0" fontId="25" fillId="0" borderId="47" xfId="20" applyFont="1" applyFill="1" applyBorder="1" applyAlignment="1">
      <alignment horizontal="center" vertical="center" wrapText="1"/>
    </xf>
    <xf numFmtId="0" fontId="25" fillId="0" borderId="48" xfId="20" applyFont="1" applyFill="1" applyBorder="1" applyAlignment="1">
      <alignment horizontal="center" vertical="center" wrapText="1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8" xfId="21" applyFont="1" applyFill="1" applyBorder="1" applyAlignment="1">
      <alignment horizontal="right" vertical="center"/>
    </xf>
    <xf numFmtId="176" fontId="25" fillId="0" borderId="46" xfId="22" applyFont="1" applyBorder="1" applyAlignment="1">
      <alignment horizontal="left" vertical="center"/>
    </xf>
    <xf numFmtId="176" fontId="25" fillId="0" borderId="49" xfId="22" applyFont="1" applyBorder="1" applyAlignment="1">
      <alignment horizontal="left" vertical="center"/>
    </xf>
    <xf numFmtId="0" fontId="25" fillId="0" borderId="46" xfId="20" applyFont="1" applyBorder="1" applyAlignment="1">
      <alignment horizontal="center" vertical="center" wrapText="1"/>
    </xf>
    <xf numFmtId="0" fontId="25" fillId="0" borderId="47" xfId="20" applyFont="1" applyBorder="1" applyAlignment="1">
      <alignment horizontal="center" vertical="center" wrapText="1"/>
    </xf>
    <xf numFmtId="0" fontId="25" fillId="0" borderId="48" xfId="20" applyFont="1" applyBorder="1" applyAlignment="1">
      <alignment horizontal="center" vertical="center" wrapText="1"/>
    </xf>
    <xf numFmtId="176" fontId="25" fillId="0" borderId="13" xfId="21" applyFont="1" applyBorder="1" applyAlignment="1">
      <alignment horizontal="center" vertical="center"/>
    </xf>
    <xf numFmtId="176" fontId="25" fillId="0" borderId="50" xfId="21" applyFont="1" applyBorder="1" applyAlignment="1">
      <alignment horizontal="center" vertical="center"/>
    </xf>
    <xf numFmtId="176" fontId="25" fillId="0" borderId="14" xfId="21" applyFont="1" applyBorder="1" applyAlignment="1">
      <alignment horizontal="center" vertical="center"/>
    </xf>
    <xf numFmtId="176" fontId="25" fillId="0" borderId="13" xfId="22" applyFont="1" applyBorder="1" applyAlignment="1">
      <alignment horizontal="left" vertical="center"/>
    </xf>
    <xf numFmtId="176" fontId="25" fillId="0" borderId="51" xfId="22" applyFont="1" applyBorder="1" applyAlignment="1">
      <alignment horizontal="left" vertical="center"/>
    </xf>
    <xf numFmtId="0" fontId="29" fillId="0" borderId="52" xfId="20" applyFont="1" applyFill="1" applyBorder="1" applyAlignment="1">
      <alignment horizontal="left" vertical="center" wrapText="1" indent="1"/>
    </xf>
    <xf numFmtId="0" fontId="29" fillId="0" borderId="53" xfId="20" applyFont="1" applyFill="1" applyBorder="1" applyAlignment="1">
      <alignment horizontal="left" vertical="center" wrapText="1" indent="1"/>
    </xf>
    <xf numFmtId="0" fontId="29" fillId="0" borderId="54" xfId="20" applyFont="1" applyFill="1" applyBorder="1" applyAlignment="1">
      <alignment horizontal="left" vertical="center" wrapText="1" indent="1"/>
    </xf>
    <xf numFmtId="176" fontId="25" fillId="0" borderId="52" xfId="21" applyFont="1" applyFill="1" applyBorder="1" applyAlignment="1">
      <alignment horizontal="right" vertical="center"/>
    </xf>
    <xf numFmtId="176" fontId="25" fillId="0" borderId="53" xfId="21" applyFont="1" applyFill="1" applyBorder="1" applyAlignment="1">
      <alignment horizontal="right" vertical="center"/>
    </xf>
    <xf numFmtId="176" fontId="25" fillId="0" borderId="54" xfId="21" applyFont="1" applyFill="1" applyBorder="1" applyAlignment="1">
      <alignment horizontal="right" vertical="center"/>
    </xf>
    <xf numFmtId="176" fontId="25" fillId="0" borderId="52" xfId="22" applyFont="1" applyBorder="1" applyAlignment="1">
      <alignment horizontal="left" vertical="center"/>
    </xf>
    <xf numFmtId="176" fontId="25" fillId="0" borderId="55" xfId="22" applyFont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4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4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28" xfId="22" applyFont="1" applyFill="1" applyBorder="1" applyAlignment="1">
      <alignment horizontal="left" vertical="center"/>
    </xf>
    <xf numFmtId="0" fontId="29" fillId="0" borderId="58" xfId="20" applyFont="1" applyBorder="1" applyAlignment="1">
      <alignment horizontal="left" vertical="center" wrapText="1" indent="1"/>
    </xf>
    <xf numFmtId="0" fontId="29" fillId="0" borderId="59" xfId="20" applyFont="1" applyBorder="1" applyAlignment="1">
      <alignment horizontal="left" vertical="center" wrapText="1" indent="1"/>
    </xf>
    <xf numFmtId="0" fontId="29" fillId="0" borderId="60" xfId="20" applyFont="1" applyBorder="1" applyAlignment="1">
      <alignment horizontal="left" vertical="center" wrapText="1" indent="1"/>
    </xf>
    <xf numFmtId="176" fontId="25" fillId="0" borderId="58" xfId="21" applyFont="1" applyFill="1" applyBorder="1" applyAlignment="1">
      <alignment horizontal="right" vertical="center"/>
    </xf>
    <xf numFmtId="176" fontId="25" fillId="0" borderId="59" xfId="21" applyFont="1" applyFill="1" applyBorder="1" applyAlignment="1">
      <alignment horizontal="right" vertical="center"/>
    </xf>
    <xf numFmtId="176" fontId="25" fillId="0" borderId="60" xfId="21" applyFont="1" applyFill="1" applyBorder="1" applyAlignment="1">
      <alignment horizontal="right" vertical="center"/>
    </xf>
    <xf numFmtId="176" fontId="25" fillId="0" borderId="58" xfId="22" applyFont="1" applyFill="1" applyBorder="1" applyAlignment="1">
      <alignment horizontal="left" vertical="center"/>
    </xf>
    <xf numFmtId="176" fontId="25" fillId="0" borderId="62" xfId="22" applyFont="1" applyFill="1" applyBorder="1" applyAlignment="1">
      <alignment horizontal="left" vertical="center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0" fontId="29" fillId="0" borderId="66" xfId="20" applyFont="1" applyBorder="1" applyAlignment="1">
      <alignment horizontal="left" vertical="center" wrapText="1" indent="1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6" xfId="21" applyFont="1" applyFill="1" applyBorder="1" applyAlignment="1">
      <alignment horizontal="right" vertical="center"/>
    </xf>
    <xf numFmtId="176" fontId="25" fillId="0" borderId="64" xfId="22" applyFont="1" applyFill="1" applyBorder="1" applyAlignment="1">
      <alignment horizontal="left" vertical="center"/>
    </xf>
    <xf numFmtId="176" fontId="25" fillId="0" borderId="67" xfId="22" applyFont="1" applyFill="1" applyBorder="1" applyAlignment="1">
      <alignment horizontal="left" vertical="center"/>
    </xf>
    <xf numFmtId="0" fontId="39" fillId="14" borderId="69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70" xfId="17" applyFont="1" applyFill="1" applyBorder="1" applyAlignment="1">
      <alignment horizontal="center" vertical="center"/>
    </xf>
    <xf numFmtId="9" fontId="39" fillId="14" borderId="71" xfId="2" applyFont="1" applyFill="1" applyBorder="1" applyAlignment="1">
      <alignment horizontal="center" vertical="center"/>
    </xf>
    <xf numFmtId="9" fontId="39" fillId="14" borderId="40" xfId="2" applyFont="1" applyFill="1" applyBorder="1" applyAlignment="1">
      <alignment horizontal="center" vertical="center"/>
    </xf>
    <xf numFmtId="176" fontId="25" fillId="0" borderId="13" xfId="21" applyFont="1" applyFill="1" applyBorder="1" applyAlignment="1">
      <alignment horizontal="right" vertical="center"/>
    </xf>
    <xf numFmtId="176" fontId="25" fillId="0" borderId="50" xfId="21" applyFont="1" applyFill="1" applyBorder="1" applyAlignment="1">
      <alignment horizontal="right" vertical="center"/>
    </xf>
    <xf numFmtId="176" fontId="25" fillId="0" borderId="14" xfId="21" applyFont="1" applyFill="1" applyBorder="1" applyAlignment="1">
      <alignment horizontal="right" vertical="center"/>
    </xf>
    <xf numFmtId="176" fontId="25" fillId="0" borderId="13" xfId="22" applyFont="1" applyFill="1" applyBorder="1" applyAlignment="1">
      <alignment horizontal="left" vertical="center"/>
    </xf>
    <xf numFmtId="176" fontId="25" fillId="0" borderId="51" xfId="22" applyFont="1" applyFill="1" applyBorder="1" applyAlignment="1">
      <alignment horizontal="left" vertical="center"/>
    </xf>
    <xf numFmtId="176" fontId="38" fillId="0" borderId="64" xfId="22" applyFont="1" applyBorder="1" applyAlignment="1">
      <alignment horizontal="left" vertical="center"/>
    </xf>
    <xf numFmtId="176" fontId="38" fillId="0" borderId="6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21" fillId="0" borderId="12" xfId="11" applyNumberFormat="1" applyFont="1" applyBorder="1" applyAlignment="1">
      <alignment vertical="center"/>
    </xf>
    <xf numFmtId="0" fontId="21" fillId="0" borderId="16" xfId="11" applyNumberFormat="1" applyFont="1" applyBorder="1" applyAlignment="1">
      <alignment vertical="center"/>
    </xf>
    <xf numFmtId="183" fontId="21" fillId="5" borderId="13" xfId="11" applyNumberFormat="1" applyFont="1" applyFill="1" applyBorder="1" applyAlignment="1">
      <alignment vertical="center"/>
    </xf>
    <xf numFmtId="183" fontId="23" fillId="5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49" fontId="30" fillId="0" borderId="0" xfId="20" applyNumberFormat="1" applyFont="1" applyAlignment="1">
      <alignment horizontal="left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98F3271-4C44-4537-AB87-8863D5A0FAEA}"/>
    <cellStyle name="쉼표 [0] 2 84" xfId="24" xr:uid="{BFD01A46-861D-49BA-9335-BC930A10EF09}"/>
    <cellStyle name="쉼표 [0] 3" xfId="14" xr:uid="{8F7BE219-40E1-4BBB-A9BD-02188B74B2A3}"/>
    <cellStyle name="쉼표 [0] 4" xfId="21" xr:uid="{23299667-4309-47CD-A713-B15A31AAF0D0}"/>
    <cellStyle name="쉼표 [0] 5" xfId="23" xr:uid="{0A27D626-D71F-4834-8884-5E6FAF6C5D9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DAB481B-BC29-44F3-9397-91395E35A61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15A680E-DFA1-4968-931A-D91E7A3B9799}"/>
    <cellStyle name="표준_P456 공장 및 복지동 전면 유리창 청소건 라상혁님_1129(최종)" xfId="20" xr:uid="{E01C0434-DACA-4319-B3F7-A4E9AA1F1596}"/>
    <cellStyle name="표준_S&amp;D_MAIN VALVE_최빈_2" xfId="17" xr:uid="{BDA0DE3E-4981-48D5-A446-1BEFF7E7FC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56C3CA-E160-43CD-99E2-A26F4DFBC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6498-5D4A-4DA0-8270-B2DAD478F921}">
  <sheetPr>
    <tabColor rgb="FF0000FF"/>
  </sheetPr>
  <dimension ref="A1:Q43"/>
  <sheetViews>
    <sheetView tabSelected="1" view="pageBreakPreview" topLeftCell="A10" zoomScale="85" zoomScaleNormal="85" zoomScaleSheetLayoutView="85" workbookViewId="0">
      <selection activeCell="N35" sqref="N35"/>
    </sheetView>
  </sheetViews>
  <sheetFormatPr defaultRowHeight="14.25" x14ac:dyDescent="0.3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 x14ac:dyDescent="0.3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9"/>
    </row>
    <row r="2" spans="1:15" ht="9.75" customHeight="1" x14ac:dyDescent="0.3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 x14ac:dyDescent="0.3">
      <c r="A3" s="140" t="s">
        <v>55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2"/>
    </row>
    <row r="4" spans="1:15" ht="16.5" customHeight="1" x14ac:dyDescent="0.3">
      <c r="A4" s="67" t="s">
        <v>56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 x14ac:dyDescent="0.3">
      <c r="A5" s="72"/>
      <c r="B5" s="128" t="s">
        <v>119</v>
      </c>
      <c r="C5" s="128"/>
      <c r="D5" s="128"/>
      <c r="E5" s="128"/>
      <c r="F5" s="128"/>
      <c r="G5" s="129"/>
      <c r="H5" s="129"/>
      <c r="I5" s="73"/>
      <c r="J5" s="73"/>
      <c r="K5" s="73"/>
      <c r="L5" s="73"/>
      <c r="M5" s="74"/>
      <c r="N5" s="74"/>
      <c r="O5" s="75"/>
    </row>
    <row r="6" spans="1:15" ht="12" customHeight="1" thickBot="1" x14ac:dyDescent="0.35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 x14ac:dyDescent="0.3">
      <c r="A7" s="143" t="s">
        <v>57</v>
      </c>
      <c r="B7" s="144"/>
      <c r="C7" s="145"/>
      <c r="D7" s="130">
        <v>2025</v>
      </c>
      <c r="E7" s="80" t="s">
        <v>58</v>
      </c>
      <c r="F7" s="131">
        <v>7</v>
      </c>
      <c r="G7" s="80" t="s">
        <v>59</v>
      </c>
      <c r="H7" s="131">
        <v>18</v>
      </c>
      <c r="I7" s="80" t="s">
        <v>60</v>
      </c>
      <c r="J7" s="81"/>
      <c r="K7" s="146" t="s">
        <v>61</v>
      </c>
      <c r="L7" s="82" t="s">
        <v>62</v>
      </c>
      <c r="M7" s="82" t="s">
        <v>63</v>
      </c>
      <c r="N7" s="82" t="s">
        <v>64</v>
      </c>
      <c r="O7" s="83" t="s">
        <v>65</v>
      </c>
    </row>
    <row r="8" spans="1:15" ht="23.25" customHeight="1" x14ac:dyDescent="0.3">
      <c r="A8" s="149" t="s">
        <v>66</v>
      </c>
      <c r="B8" s="150"/>
      <c r="C8" s="151"/>
      <c r="D8" s="152" t="s">
        <v>67</v>
      </c>
      <c r="E8" s="153"/>
      <c r="F8" s="153"/>
      <c r="G8" s="154"/>
      <c r="H8" s="155" t="s">
        <v>68</v>
      </c>
      <c r="I8" s="153"/>
      <c r="J8" s="156"/>
      <c r="K8" s="147"/>
      <c r="L8" s="84" t="s">
        <v>69</v>
      </c>
      <c r="M8" s="84" t="s">
        <v>70</v>
      </c>
      <c r="N8" s="84" t="s">
        <v>71</v>
      </c>
      <c r="O8" s="85" t="s">
        <v>72</v>
      </c>
    </row>
    <row r="9" spans="1:15" ht="23.25" customHeight="1" x14ac:dyDescent="0.3">
      <c r="A9" s="149" t="s">
        <v>73</v>
      </c>
      <c r="B9" s="150"/>
      <c r="C9" s="151"/>
      <c r="D9" s="157" t="s">
        <v>74</v>
      </c>
      <c r="E9" s="158"/>
      <c r="F9" s="158"/>
      <c r="G9" s="158"/>
      <c r="H9" s="158"/>
      <c r="I9" s="158"/>
      <c r="J9" s="159"/>
      <c r="K9" s="147"/>
      <c r="L9" s="84" t="s">
        <v>75</v>
      </c>
      <c r="M9" s="160" t="s">
        <v>76</v>
      </c>
      <c r="N9" s="150"/>
      <c r="O9" s="151"/>
    </row>
    <row r="10" spans="1:15" ht="23.25" customHeight="1" thickBot="1" x14ac:dyDescent="0.35">
      <c r="A10" s="161" t="s">
        <v>77</v>
      </c>
      <c r="B10" s="162"/>
      <c r="C10" s="163"/>
      <c r="D10" s="164" t="s">
        <v>78</v>
      </c>
      <c r="E10" s="165"/>
      <c r="F10" s="165"/>
      <c r="G10" s="165"/>
      <c r="H10" s="165"/>
      <c r="I10" s="165"/>
      <c r="J10" s="166"/>
      <c r="K10" s="148"/>
      <c r="L10" s="86" t="s">
        <v>79</v>
      </c>
      <c r="M10" s="86" t="s">
        <v>80</v>
      </c>
      <c r="N10" s="86" t="s">
        <v>81</v>
      </c>
      <c r="O10" s="87" t="s">
        <v>82</v>
      </c>
    </row>
    <row r="11" spans="1:15" ht="21.75" customHeight="1" x14ac:dyDescent="0.3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 x14ac:dyDescent="0.3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 x14ac:dyDescent="0.3">
      <c r="A13" s="94"/>
      <c r="B13" s="136" t="s">
        <v>120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95" t="s">
        <v>83</v>
      </c>
      <c r="O13" s="93"/>
    </row>
    <row r="14" spans="1:15" ht="9" customHeight="1" x14ac:dyDescent="0.3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 x14ac:dyDescent="0.3">
      <c r="A15" s="94"/>
      <c r="B15" s="167" t="str">
        <f>"견 적 금 액 : 一金"&amp;NUMBERSTRING(M32,1) &amp; "원정""(\"&amp; TEXT(M32,"#,###")&amp;"원) [VAT 별도]"</f>
        <v>견 적 금 액 : 一金사십이만삼백이십오원정"(\420,325원) [VAT 별도]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8"/>
    </row>
    <row r="16" spans="1:15" ht="15" thickBot="1" x14ac:dyDescent="0.35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169"/>
      <c r="L16" s="169"/>
      <c r="M16" s="169"/>
      <c r="N16" s="169"/>
      <c r="O16" s="170"/>
    </row>
    <row r="17" spans="1:17" ht="27.75" customHeight="1" thickBot="1" x14ac:dyDescent="0.35">
      <c r="A17" s="96" t="s">
        <v>84</v>
      </c>
      <c r="B17" s="177" t="s">
        <v>85</v>
      </c>
      <c r="C17" s="178"/>
      <c r="D17" s="178"/>
      <c r="E17" s="178"/>
      <c r="F17" s="178"/>
      <c r="G17" s="179"/>
      <c r="H17" s="97" t="s">
        <v>86</v>
      </c>
      <c r="I17" s="98" t="s">
        <v>87</v>
      </c>
      <c r="J17" s="180" t="s">
        <v>88</v>
      </c>
      <c r="K17" s="181"/>
      <c r="L17" s="181"/>
      <c r="M17" s="182"/>
      <c r="N17" s="177" t="s">
        <v>89</v>
      </c>
      <c r="O17" s="183"/>
    </row>
    <row r="18" spans="1:17" ht="28.5" customHeight="1" x14ac:dyDescent="0.3">
      <c r="A18" s="99">
        <v>1</v>
      </c>
      <c r="B18" s="171" t="s">
        <v>26</v>
      </c>
      <c r="C18" s="172"/>
      <c r="D18" s="172"/>
      <c r="E18" s="172"/>
      <c r="F18" s="172"/>
      <c r="G18" s="173"/>
      <c r="H18" s="132">
        <v>1</v>
      </c>
      <c r="I18" s="133" t="s">
        <v>6</v>
      </c>
      <c r="J18" s="174">
        <f>IFERROR(LOOKUP(2, 1/(TRIM('내역서(표준단가)'!O4:O100)&lt;&gt;""), '내역서(표준단가)'!O4:O100), "-")</f>
        <v>34876.822749999999</v>
      </c>
      <c r="K18" s="174"/>
      <c r="L18" s="174"/>
      <c r="M18" s="174"/>
      <c r="N18" s="175"/>
      <c r="O18" s="176"/>
    </row>
    <row r="19" spans="1:17" ht="28.5" customHeight="1" x14ac:dyDescent="0.3">
      <c r="A19" s="100">
        <v>2</v>
      </c>
      <c r="B19" s="184" t="s">
        <v>27</v>
      </c>
      <c r="C19" s="185"/>
      <c r="D19" s="185"/>
      <c r="E19" s="185"/>
      <c r="F19" s="185"/>
      <c r="G19" s="186"/>
      <c r="H19" s="134">
        <v>1</v>
      </c>
      <c r="I19" s="134" t="s">
        <v>6</v>
      </c>
      <c r="J19" s="187">
        <f>IFERROR(LOOKUP(2, 1/(TRIM('내역서(표준단가)'!Q4:Q100)&lt;&gt;""), '내역서(표준단가)'!Q4:Q100), "-")</f>
        <v>291609.96581999998</v>
      </c>
      <c r="K19" s="188"/>
      <c r="L19" s="188"/>
      <c r="M19" s="189"/>
      <c r="N19" s="190"/>
      <c r="O19" s="191"/>
    </row>
    <row r="20" spans="1:17" ht="28.5" customHeight="1" x14ac:dyDescent="0.3">
      <c r="A20" s="100">
        <v>3</v>
      </c>
      <c r="B20" s="192" t="s">
        <v>90</v>
      </c>
      <c r="C20" s="193"/>
      <c r="D20" s="193"/>
      <c r="E20" s="193"/>
      <c r="F20" s="193"/>
      <c r="G20" s="194"/>
      <c r="H20" s="101">
        <v>1</v>
      </c>
      <c r="I20" s="101" t="s">
        <v>6</v>
      </c>
      <c r="J20" s="195">
        <f>IFERROR(SUM(J21:M29),"-")</f>
        <v>48279.052053557309</v>
      </c>
      <c r="K20" s="196"/>
      <c r="L20" s="196"/>
      <c r="M20" s="197"/>
      <c r="N20" s="198"/>
      <c r="O20" s="199"/>
      <c r="P20" s="102"/>
    </row>
    <row r="21" spans="1:17" ht="28.5" customHeight="1" x14ac:dyDescent="0.3">
      <c r="A21" s="99"/>
      <c r="B21" s="103"/>
      <c r="C21" s="200" t="s">
        <v>91</v>
      </c>
      <c r="D21" s="201"/>
      <c r="E21" s="201"/>
      <c r="F21" s="201"/>
      <c r="G21" s="202"/>
      <c r="H21" s="135">
        <v>1</v>
      </c>
      <c r="I21" s="135" t="s">
        <v>6</v>
      </c>
      <c r="J21" s="20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4"/>
      <c r="L21" s="204"/>
      <c r="M21" s="205"/>
      <c r="N21" s="206" t="s">
        <v>92</v>
      </c>
      <c r="O21" s="207"/>
    </row>
    <row r="22" spans="1:17" ht="28.5" customHeight="1" x14ac:dyDescent="0.3">
      <c r="A22" s="99"/>
      <c r="B22" s="103"/>
      <c r="C22" s="208" t="s">
        <v>93</v>
      </c>
      <c r="D22" s="209"/>
      <c r="E22" s="209"/>
      <c r="F22" s="209"/>
      <c r="G22" s="210"/>
      <c r="H22" s="104">
        <v>3.11</v>
      </c>
      <c r="I22" s="104" t="s">
        <v>94</v>
      </c>
      <c r="J22" s="211">
        <f>IFERROR((J18+J19)*H22%,"-")</f>
        <v>10153.739124526999</v>
      </c>
      <c r="K22" s="212"/>
      <c r="L22" s="212"/>
      <c r="M22" s="213"/>
      <c r="N22" s="214" t="s">
        <v>95</v>
      </c>
      <c r="O22" s="215"/>
    </row>
    <row r="23" spans="1:17" ht="28.5" customHeight="1" x14ac:dyDescent="0.3">
      <c r="A23" s="99"/>
      <c r="B23" s="103"/>
      <c r="C23" s="208" t="s">
        <v>96</v>
      </c>
      <c r="D23" s="209"/>
      <c r="E23" s="209"/>
      <c r="F23" s="209"/>
      <c r="G23" s="210"/>
      <c r="H23" s="104">
        <v>3.56</v>
      </c>
      <c r="I23" s="104" t="s">
        <v>97</v>
      </c>
      <c r="J23" s="211">
        <f>IFERROR(J19*H23%,"-")</f>
        <v>10381.314783192</v>
      </c>
      <c r="K23" s="212"/>
      <c r="L23" s="212"/>
      <c r="M23" s="213"/>
      <c r="N23" s="214" t="s">
        <v>98</v>
      </c>
      <c r="O23" s="215"/>
    </row>
    <row r="24" spans="1:17" ht="28.5" customHeight="1" x14ac:dyDescent="0.3">
      <c r="A24" s="99"/>
      <c r="B24" s="103"/>
      <c r="C24" s="208" t="s">
        <v>99</v>
      </c>
      <c r="D24" s="209"/>
      <c r="E24" s="209"/>
      <c r="F24" s="209"/>
      <c r="G24" s="210"/>
      <c r="H24" s="104">
        <v>1.01</v>
      </c>
      <c r="I24" s="104" t="s">
        <v>97</v>
      </c>
      <c r="J24" s="211">
        <f>IFERROR(J19*H24%,"-")</f>
        <v>2945.2606547819996</v>
      </c>
      <c r="K24" s="212"/>
      <c r="L24" s="212"/>
      <c r="M24" s="213"/>
      <c r="N24" s="214" t="s">
        <v>100</v>
      </c>
      <c r="O24" s="215"/>
    </row>
    <row r="25" spans="1:17" ht="28.5" customHeight="1" x14ac:dyDescent="0.3">
      <c r="A25" s="99"/>
      <c r="B25" s="103"/>
      <c r="C25" s="208" t="s">
        <v>101</v>
      </c>
      <c r="D25" s="209"/>
      <c r="E25" s="209"/>
      <c r="F25" s="209"/>
      <c r="G25" s="210"/>
      <c r="H25" s="105">
        <v>3.5449999999999999</v>
      </c>
      <c r="I25" s="104" t="s">
        <v>97</v>
      </c>
      <c r="J25" s="211">
        <f>IFERROR(J19*H25%,"-")</f>
        <v>10337.573288318999</v>
      </c>
      <c r="K25" s="212"/>
      <c r="L25" s="212"/>
      <c r="M25" s="213"/>
      <c r="N25" s="214" t="s">
        <v>102</v>
      </c>
      <c r="O25" s="215"/>
      <c r="Q25" s="102"/>
    </row>
    <row r="26" spans="1:17" ht="28.5" customHeight="1" x14ac:dyDescent="0.3">
      <c r="A26" s="99"/>
      <c r="B26" s="103"/>
      <c r="C26" s="208" t="s">
        <v>103</v>
      </c>
      <c r="D26" s="209"/>
      <c r="E26" s="209"/>
      <c r="F26" s="209"/>
      <c r="G26" s="210"/>
      <c r="H26" s="104">
        <v>4.5</v>
      </c>
      <c r="I26" s="104" t="s">
        <v>97</v>
      </c>
      <c r="J26" s="211">
        <f>IFERROR(J19*H26%,"-")</f>
        <v>13122.4484619</v>
      </c>
      <c r="K26" s="212"/>
      <c r="L26" s="212"/>
      <c r="M26" s="213"/>
      <c r="N26" s="214" t="s">
        <v>104</v>
      </c>
      <c r="O26" s="215"/>
      <c r="Q26" s="106"/>
    </row>
    <row r="27" spans="1:17" ht="28.5" customHeight="1" x14ac:dyDescent="0.3">
      <c r="A27" s="99"/>
      <c r="B27" s="103"/>
      <c r="C27" s="216" t="s">
        <v>105</v>
      </c>
      <c r="D27" s="217"/>
      <c r="E27" s="217"/>
      <c r="F27" s="217"/>
      <c r="G27" s="218"/>
      <c r="H27" s="107">
        <v>12.95</v>
      </c>
      <c r="I27" s="108" t="s">
        <v>97</v>
      </c>
      <c r="J27" s="219">
        <f>IFERROR($H$27*J25%,"-")</f>
        <v>1338.7157408373105</v>
      </c>
      <c r="K27" s="220"/>
      <c r="L27" s="220"/>
      <c r="M27" s="221"/>
      <c r="N27" s="214" t="s">
        <v>106</v>
      </c>
      <c r="O27" s="215"/>
    </row>
    <row r="28" spans="1:17" ht="28.5" customHeight="1" x14ac:dyDescent="0.3">
      <c r="A28" s="99"/>
      <c r="B28" s="103"/>
      <c r="C28" s="216" t="s">
        <v>107</v>
      </c>
      <c r="D28" s="217"/>
      <c r="E28" s="217"/>
      <c r="F28" s="217"/>
      <c r="G28" s="218"/>
      <c r="H28" s="107">
        <v>8.1000000000000003E-2</v>
      </c>
      <c r="I28" s="108" t="s">
        <v>97</v>
      </c>
      <c r="J28" s="219" t="str">
        <f>IFERROR(IF(SUM(J21:J27,J18:J19)&gt;=10000000,SUM(J21:J27,J18:J19)*H28%,"-"),"-")</f>
        <v>-</v>
      </c>
      <c r="K28" s="220"/>
      <c r="L28" s="220"/>
      <c r="M28" s="221"/>
      <c r="N28" s="222" t="s">
        <v>108</v>
      </c>
      <c r="O28" s="223"/>
    </row>
    <row r="29" spans="1:17" ht="28.5" customHeight="1" x14ac:dyDescent="0.3">
      <c r="A29" s="109"/>
      <c r="B29" s="110"/>
      <c r="C29" s="224" t="s">
        <v>109</v>
      </c>
      <c r="D29" s="225"/>
      <c r="E29" s="225"/>
      <c r="F29" s="225"/>
      <c r="G29" s="226"/>
      <c r="H29" s="111">
        <v>1</v>
      </c>
      <c r="I29" s="112" t="s">
        <v>110</v>
      </c>
      <c r="J29" s="227">
        <f>34*0</f>
        <v>0</v>
      </c>
      <c r="K29" s="228"/>
      <c r="L29" s="228"/>
      <c r="M29" s="229"/>
      <c r="N29" s="230" t="s">
        <v>111</v>
      </c>
      <c r="O29" s="231"/>
    </row>
    <row r="30" spans="1:17" ht="28.5" customHeight="1" x14ac:dyDescent="0.3">
      <c r="A30" s="109">
        <v>4</v>
      </c>
      <c r="B30" s="110"/>
      <c r="C30" s="224" t="s">
        <v>112</v>
      </c>
      <c r="D30" s="225"/>
      <c r="E30" s="225"/>
      <c r="F30" s="225"/>
      <c r="G30" s="226"/>
      <c r="H30" s="112">
        <v>5</v>
      </c>
      <c r="I30" s="113" t="s">
        <v>113</v>
      </c>
      <c r="J30" s="237">
        <f>IFERROR(IF(ISNUMBER(H30), SUM(J18:M20) * (H30 / 100), "-"), "-")</f>
        <v>18738.292031177865</v>
      </c>
      <c r="K30" s="238"/>
      <c r="L30" s="238"/>
      <c r="M30" s="239"/>
      <c r="N30" s="240" t="s">
        <v>114</v>
      </c>
      <c r="O30" s="241"/>
    </row>
    <row r="31" spans="1:17" ht="28.5" customHeight="1" thickBot="1" x14ac:dyDescent="0.35">
      <c r="A31" s="109">
        <v>5</v>
      </c>
      <c r="B31" s="110"/>
      <c r="C31" s="224" t="s">
        <v>115</v>
      </c>
      <c r="D31" s="225"/>
      <c r="E31" s="225"/>
      <c r="F31" s="225"/>
      <c r="G31" s="226"/>
      <c r="H31" s="112">
        <v>7.5</v>
      </c>
      <c r="I31" s="113" t="s">
        <v>97</v>
      </c>
      <c r="J31" s="227">
        <f>IFERROR(SUM(J18:M20, J30) * (H31 / 100), "-")+-2691</f>
        <v>26821.809949105133</v>
      </c>
      <c r="K31" s="228"/>
      <c r="L31" s="228"/>
      <c r="M31" s="229"/>
      <c r="N31" s="242" t="s">
        <v>116</v>
      </c>
      <c r="O31" s="243"/>
      <c r="Q31" s="114"/>
    </row>
    <row r="32" spans="1:17" ht="28.5" customHeight="1" thickBot="1" x14ac:dyDescent="0.35">
      <c r="A32" s="232" t="s">
        <v>117</v>
      </c>
      <c r="B32" s="233"/>
      <c r="C32" s="233"/>
      <c r="D32" s="233"/>
      <c r="E32" s="233"/>
      <c r="F32" s="233"/>
      <c r="G32" s="233"/>
      <c r="H32" s="233"/>
      <c r="I32" s="234"/>
      <c r="J32" s="115"/>
      <c r="K32" s="116"/>
      <c r="L32" s="116"/>
      <c r="M32" s="117">
        <f>IFERROR(ROUNDDOWN(SUM(J18:M20)+J30+J31,0),"-")</f>
        <v>420325</v>
      </c>
      <c r="N32" s="235"/>
      <c r="O32" s="236"/>
      <c r="P32" s="118"/>
    </row>
    <row r="33" spans="1:15" x14ac:dyDescent="0.3">
      <c r="A33" s="119" t="s">
        <v>118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 x14ac:dyDescent="0.3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 x14ac:dyDescent="0.3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 x14ac:dyDescent="0.3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 x14ac:dyDescent="0.3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 x14ac:dyDescent="0.3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272"/>
      <c r="N39" s="123"/>
      <c r="O39" s="124"/>
    </row>
    <row r="40" spans="1:15" ht="15" thickBot="1" x14ac:dyDescent="0.35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 x14ac:dyDescent="0.3">
      <c r="M42" s="114"/>
    </row>
    <row r="43" spans="1:15" x14ac:dyDescent="0.3">
      <c r="M43" s="11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M7" sqref="M7"/>
    </sheetView>
  </sheetViews>
  <sheetFormatPr defaultColWidth="9" defaultRowHeight="38.1" customHeight="1" x14ac:dyDescent="0.3"/>
  <cols>
    <col min="1" max="1" width="22.625" style="57" bestFit="1" customWidth="1"/>
    <col min="2" max="5" width="4.625" style="57" hidden="1" customWidth="1"/>
    <col min="6" max="6" width="9" style="48" hidden="1" customWidth="1"/>
    <col min="7" max="9" width="12.625" style="48" hidden="1" customWidth="1"/>
    <col min="10" max="11" width="30.625" style="44" customWidth="1"/>
    <col min="12" max="12" width="6.75" style="48" bestFit="1" customWidth="1"/>
    <col min="13" max="13" width="8.25" style="48" customWidth="1"/>
    <col min="14" max="14" width="10.625" style="48" bestFit="1" customWidth="1"/>
    <col min="15" max="15" width="11.75" style="48" bestFit="1" customWidth="1"/>
    <col min="16" max="16" width="12" style="48" bestFit="1" customWidth="1"/>
    <col min="17" max="17" width="13.25" style="48" bestFit="1" customWidth="1"/>
    <col min="18" max="18" width="9" style="48" customWidth="1"/>
    <col min="19" max="19" width="8.75" style="48" bestFit="1" customWidth="1"/>
    <col min="20" max="20" width="10.5" style="48" customWidth="1"/>
    <col min="21" max="21" width="8.75" style="48" bestFit="1" customWidth="1"/>
    <col min="22" max="22" width="15.625" style="48" bestFit="1" customWidth="1"/>
    <col min="23" max="23" width="10.625" style="2" bestFit="1" customWidth="1"/>
    <col min="24" max="24" width="8.5" style="48" bestFit="1" customWidth="1"/>
    <col min="25" max="25" width="16.375" style="48" customWidth="1"/>
    <col min="26" max="16384" width="9" style="48"/>
  </cols>
  <sheetData>
    <row r="1" spans="1:25" ht="19.899999999999999" customHeight="1" x14ac:dyDescent="0.3">
      <c r="A1" s="244"/>
      <c r="B1" s="244"/>
      <c r="C1" s="244"/>
      <c r="D1" s="244"/>
      <c r="E1" s="244"/>
      <c r="F1" s="244"/>
      <c r="G1" s="244"/>
      <c r="H1" s="244"/>
      <c r="I1" s="244"/>
      <c r="N1" s="2"/>
      <c r="O1" s="46" t="s">
        <v>23</v>
      </c>
      <c r="Q1" s="46" t="s">
        <v>23</v>
      </c>
      <c r="S1" s="46" t="s">
        <v>23</v>
      </c>
      <c r="U1" s="46" t="s">
        <v>23</v>
      </c>
    </row>
    <row r="2" spans="1:25" ht="19.899999999999999" customHeight="1" thickBot="1" x14ac:dyDescent="0.35">
      <c r="A2" s="244"/>
      <c r="B2" s="244"/>
      <c r="C2" s="244"/>
      <c r="D2" s="244"/>
      <c r="E2" s="244"/>
      <c r="F2" s="244"/>
      <c r="G2" s="244"/>
      <c r="H2" s="244"/>
      <c r="I2" s="24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5" ht="19.899999999999999" customHeight="1" x14ac:dyDescent="0.3">
      <c r="A3" s="49"/>
      <c r="B3" s="50"/>
      <c r="C3" s="50"/>
      <c r="D3" s="50"/>
      <c r="E3" s="50"/>
      <c r="F3" s="50" t="s">
        <v>24</v>
      </c>
      <c r="G3" s="50"/>
      <c r="H3" s="50"/>
      <c r="I3" s="50"/>
      <c r="J3" s="255" t="s">
        <v>25</v>
      </c>
      <c r="K3" s="255"/>
      <c r="L3" s="253" t="s">
        <v>8</v>
      </c>
      <c r="M3" s="253" t="s">
        <v>5</v>
      </c>
      <c r="N3" s="249" t="s">
        <v>26</v>
      </c>
      <c r="O3" s="249"/>
      <c r="P3" s="249" t="s">
        <v>27</v>
      </c>
      <c r="Q3" s="249"/>
      <c r="R3" s="250" t="s">
        <v>28</v>
      </c>
      <c r="S3" s="250"/>
      <c r="T3" s="250" t="s">
        <v>29</v>
      </c>
      <c r="U3" s="250"/>
      <c r="V3" s="251" t="s">
        <v>30</v>
      </c>
      <c r="W3" s="247" t="s">
        <v>48</v>
      </c>
      <c r="X3" s="245" t="s">
        <v>7</v>
      </c>
    </row>
    <row r="4" spans="1:25" ht="19.899999999999999" customHeight="1" x14ac:dyDescent="0.3">
      <c r="A4" s="5" t="s">
        <v>31</v>
      </c>
      <c r="B4" s="47"/>
      <c r="C4" s="47"/>
      <c r="D4" s="47"/>
      <c r="E4" s="47"/>
      <c r="F4" s="6" t="s">
        <v>32</v>
      </c>
      <c r="G4" s="6" t="s">
        <v>33</v>
      </c>
      <c r="H4" s="6" t="s">
        <v>34</v>
      </c>
      <c r="I4" s="6" t="s">
        <v>35</v>
      </c>
      <c r="J4" s="45" t="s">
        <v>36</v>
      </c>
      <c r="K4" s="45" t="s">
        <v>37</v>
      </c>
      <c r="L4" s="254"/>
      <c r="M4" s="254"/>
      <c r="N4" s="7" t="s">
        <v>38</v>
      </c>
      <c r="O4" s="8" t="s">
        <v>39</v>
      </c>
      <c r="P4" s="7" t="s">
        <v>40</v>
      </c>
      <c r="Q4" s="8" t="s">
        <v>39</v>
      </c>
      <c r="R4" s="8" t="s">
        <v>41</v>
      </c>
      <c r="S4" s="8" t="s">
        <v>39</v>
      </c>
      <c r="T4" s="8" t="s">
        <v>41</v>
      </c>
      <c r="U4" s="8" t="s">
        <v>39</v>
      </c>
      <c r="V4" s="252"/>
      <c r="W4" s="248"/>
      <c r="X4" s="246"/>
    </row>
    <row r="5" spans="1:25" s="51" customFormat="1" ht="38.1" customHeight="1" x14ac:dyDescent="0.3">
      <c r="A5" s="9" t="str">
        <f t="shared" ref="A5" si="0">F5&amp;G5&amp;H5&amp;I5</f>
        <v>M020853710050101</v>
      </c>
      <c r="B5" s="32"/>
      <c r="C5" s="32"/>
      <c r="D5" s="32"/>
      <c r="E5" s="32"/>
      <c r="F5" s="27"/>
      <c r="G5" s="10"/>
      <c r="H5" s="10" t="s">
        <v>49</v>
      </c>
      <c r="I5" s="27"/>
      <c r="J5" s="43" t="s">
        <v>50</v>
      </c>
      <c r="K5" s="43" t="s">
        <v>121</v>
      </c>
      <c r="L5" s="41" t="s">
        <v>51</v>
      </c>
      <c r="M5" s="42">
        <f>3.997/2</f>
        <v>1.9984999999999999</v>
      </c>
      <c r="N5" s="58">
        <v>20900</v>
      </c>
      <c r="O5" s="38">
        <f t="shared" ref="O5" si="1">SUM(N5:N5)*M5*$O$2</f>
        <v>34876.822749999999</v>
      </c>
      <c r="P5" s="37"/>
      <c r="Q5" s="38">
        <f t="shared" ref="Q5" si="2">(P5*M5)*$Q$2</f>
        <v>0</v>
      </c>
      <c r="R5" s="39"/>
      <c r="S5" s="38">
        <f t="shared" ref="S5" si="3">R5*M5*$S$2</f>
        <v>0</v>
      </c>
      <c r="T5" s="39"/>
      <c r="U5" s="38">
        <f t="shared" ref="U5" si="4">T5*M5*$U$2</f>
        <v>0</v>
      </c>
      <c r="V5" s="12">
        <f t="shared" ref="V5" si="5">SUM(O5+Q5)+S5+U5</f>
        <v>34876.822749999999</v>
      </c>
      <c r="W5" s="35"/>
      <c r="X5" s="13"/>
    </row>
    <row r="6" spans="1:25" s="51" customFormat="1" ht="38.1" customHeight="1" x14ac:dyDescent="0.3">
      <c r="A6" s="9" t="str">
        <f t="shared" ref="A6" si="6">F6&amp;G6&amp;H6&amp;I6</f>
        <v>E00000803071260301</v>
      </c>
      <c r="B6" s="32"/>
      <c r="C6" s="32"/>
      <c r="D6" s="32"/>
      <c r="E6" s="32"/>
      <c r="F6" s="27"/>
      <c r="G6" s="10" t="s">
        <v>42</v>
      </c>
      <c r="H6" s="10"/>
      <c r="I6" s="27"/>
      <c r="J6" s="43" t="s">
        <v>44</v>
      </c>
      <c r="K6" s="43" t="s">
        <v>122</v>
      </c>
      <c r="L6" s="11" t="s">
        <v>43</v>
      </c>
      <c r="M6" s="42">
        <f>1.434/2</f>
        <v>0.71699999999999997</v>
      </c>
      <c r="N6" s="40"/>
      <c r="O6" s="38">
        <f t="shared" ref="O6" si="7">SUM(N6:N6)*M6*$O$2</f>
        <v>0</v>
      </c>
      <c r="P6" s="37">
        <v>487076</v>
      </c>
      <c r="Q6" s="38">
        <f t="shared" ref="Q6" si="8">(P6*M6)*$Q$2</f>
        <v>291609.96581999998</v>
      </c>
      <c r="R6" s="39"/>
      <c r="S6" s="38">
        <f t="shared" ref="S6" si="9">R6*M6*$S$2</f>
        <v>0</v>
      </c>
      <c r="T6" s="39"/>
      <c r="U6" s="38">
        <f t="shared" ref="U6" si="10">T6*M6*$U$2</f>
        <v>0</v>
      </c>
      <c r="V6" s="12">
        <f t="shared" ref="V6" si="11">SUM(O6+Q6)+S6+U6</f>
        <v>291609.96581999998</v>
      </c>
      <c r="W6" s="34"/>
      <c r="X6" s="13"/>
      <c r="Y6" s="52"/>
    </row>
    <row r="7" spans="1:25" ht="38.1" customHeight="1" x14ac:dyDescent="0.3">
      <c r="A7" s="53"/>
      <c r="B7" s="48"/>
      <c r="C7" s="48"/>
      <c r="D7" s="48"/>
      <c r="E7" s="48"/>
      <c r="O7" s="54">
        <f>SUM(O5:O6)</f>
        <v>34876.822749999999</v>
      </c>
      <c r="P7" s="55"/>
      <c r="Q7" s="54">
        <f>SUM(Q5:Q6)</f>
        <v>291609.96581999998</v>
      </c>
      <c r="R7" s="55"/>
      <c r="S7" s="54">
        <f>SUM(S5:S6)</f>
        <v>0</v>
      </c>
      <c r="T7" s="55"/>
      <c r="U7" s="54">
        <f>SUM(U5:U6)</f>
        <v>0</v>
      </c>
      <c r="V7" s="56">
        <f>SUM(V5:V6)</f>
        <v>326486.78856999998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9"/>
  <sheetViews>
    <sheetView zoomScale="90" zoomScaleNormal="90" workbookViewId="0">
      <selection activeCell="H38" sqref="H38"/>
    </sheetView>
  </sheetViews>
  <sheetFormatPr defaultColWidth="9" defaultRowHeight="14.25" x14ac:dyDescent="0.3"/>
  <cols>
    <col min="1" max="1" width="22.625" style="26" customWidth="1"/>
    <col min="2" max="2" width="27.625" style="26" customWidth="1"/>
    <col min="3" max="3" width="5.75" style="26" customWidth="1"/>
    <col min="4" max="4" width="5.25" style="26" customWidth="1"/>
    <col min="5" max="8" width="20.625" style="26" customWidth="1"/>
    <col min="9" max="12" width="20.625" style="26" hidden="1" customWidth="1"/>
    <col min="13" max="14" width="20.625" style="26" customWidth="1"/>
    <col min="15" max="15" width="32.75" style="26" customWidth="1"/>
    <col min="16" max="16384" width="9" style="14"/>
  </cols>
  <sheetData>
    <row r="1" spans="1:15" ht="27" customHeight="1" x14ac:dyDescent="0.3">
      <c r="A1" s="262" t="s">
        <v>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</row>
    <row r="2" spans="1:15" ht="15" customHeight="1" x14ac:dyDescent="0.3">
      <c r="A2" s="263" t="s">
        <v>10</v>
      </c>
      <c r="B2" s="264" t="s">
        <v>11</v>
      </c>
      <c r="C2" s="265" t="s">
        <v>8</v>
      </c>
      <c r="D2" s="265" t="s">
        <v>12</v>
      </c>
      <c r="E2" s="267" t="s">
        <v>13</v>
      </c>
      <c r="F2" s="264"/>
      <c r="G2" s="264" t="s">
        <v>14</v>
      </c>
      <c r="H2" s="264"/>
      <c r="I2" s="268" t="s">
        <v>15</v>
      </c>
      <c r="J2" s="269"/>
      <c r="K2" s="268" t="s">
        <v>16</v>
      </c>
      <c r="L2" s="269"/>
      <c r="M2" s="267" t="s">
        <v>17</v>
      </c>
      <c r="N2" s="264"/>
      <c r="O2" s="270" t="s">
        <v>18</v>
      </c>
    </row>
    <row r="3" spans="1:15" ht="15" customHeight="1" x14ac:dyDescent="0.3">
      <c r="A3" s="263"/>
      <c r="B3" s="264"/>
      <c r="C3" s="266"/>
      <c r="D3" s="266"/>
      <c r="E3" s="36" t="s">
        <v>19</v>
      </c>
      <c r="F3" s="36" t="s">
        <v>20</v>
      </c>
      <c r="G3" s="15" t="s">
        <v>19</v>
      </c>
      <c r="H3" s="36" t="s">
        <v>21</v>
      </c>
      <c r="I3" s="36"/>
      <c r="J3" s="36"/>
      <c r="K3" s="15" t="s">
        <v>19</v>
      </c>
      <c r="L3" s="36" t="s">
        <v>21</v>
      </c>
      <c r="M3" s="15" t="s">
        <v>19</v>
      </c>
      <c r="N3" s="36" t="s">
        <v>21</v>
      </c>
      <c r="O3" s="271"/>
    </row>
    <row r="4" spans="1:15" ht="15" customHeight="1" x14ac:dyDescent="0.3">
      <c r="A4" s="260" t="s">
        <v>52</v>
      </c>
      <c r="B4" s="26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58" t="s">
        <v>53</v>
      </c>
      <c r="B5" s="17" t="s">
        <v>46</v>
      </c>
      <c r="C5" s="18" t="s">
        <v>22</v>
      </c>
      <c r="D5" s="19">
        <v>33</v>
      </c>
      <c r="E5" s="20">
        <v>1057</v>
      </c>
      <c r="F5" s="20">
        <f t="shared" ref="F5" si="0">D5*E5</f>
        <v>34881</v>
      </c>
      <c r="G5" s="20">
        <v>8839.9</v>
      </c>
      <c r="H5" s="20">
        <f t="shared" ref="H5" si="1">D5*G5</f>
        <v>291716.7</v>
      </c>
      <c r="I5" s="20"/>
      <c r="J5" s="20"/>
      <c r="K5" s="20"/>
      <c r="L5" s="20"/>
      <c r="M5" s="20"/>
      <c r="N5" s="20">
        <f>F5+H5+J5+L5</f>
        <v>326597.7</v>
      </c>
      <c r="O5" s="256"/>
    </row>
    <row r="6" spans="1:15" ht="15" customHeight="1" x14ac:dyDescent="0.3">
      <c r="A6" s="259"/>
      <c r="B6" s="59" t="s">
        <v>47</v>
      </c>
      <c r="C6" s="60" t="s">
        <v>22</v>
      </c>
      <c r="D6" s="61"/>
      <c r="E6" s="62"/>
      <c r="F6" s="62"/>
      <c r="G6" s="62"/>
      <c r="H6" s="62"/>
      <c r="I6" s="62"/>
      <c r="J6" s="62"/>
      <c r="K6" s="62"/>
      <c r="L6" s="62"/>
      <c r="M6" s="62"/>
      <c r="N6" s="62"/>
      <c r="O6" s="257"/>
    </row>
    <row r="7" spans="1:15" ht="15" customHeight="1" x14ac:dyDescent="0.3">
      <c r="A7" s="258" t="s">
        <v>54</v>
      </c>
      <c r="B7" s="17" t="s">
        <v>46</v>
      </c>
      <c r="C7" s="18" t="s">
        <v>22</v>
      </c>
      <c r="D7" s="19">
        <v>33</v>
      </c>
      <c r="E7" s="20">
        <v>1057</v>
      </c>
      <c r="F7" s="20">
        <f t="shared" ref="F7" si="2">D7*E7</f>
        <v>34881</v>
      </c>
      <c r="G7" s="20">
        <v>8839.9</v>
      </c>
      <c r="H7" s="20">
        <f t="shared" ref="H7" si="3">D7*G7</f>
        <v>291716.7</v>
      </c>
      <c r="I7" s="20"/>
      <c r="J7" s="20"/>
      <c r="K7" s="20"/>
      <c r="L7" s="20"/>
      <c r="M7" s="20"/>
      <c r="N7" s="20">
        <f>F7+H7+J7+L7</f>
        <v>326597.7</v>
      </c>
      <c r="O7" s="256"/>
    </row>
    <row r="8" spans="1:15" ht="15" customHeight="1" x14ac:dyDescent="0.3">
      <c r="A8" s="259"/>
      <c r="B8" s="59" t="s">
        <v>47</v>
      </c>
      <c r="C8" s="60" t="s">
        <v>22</v>
      </c>
      <c r="D8" s="61"/>
      <c r="E8" s="62"/>
      <c r="F8" s="62"/>
      <c r="G8" s="62"/>
      <c r="H8" s="62"/>
      <c r="I8" s="62"/>
      <c r="J8" s="62"/>
      <c r="K8" s="62"/>
      <c r="L8" s="62"/>
      <c r="M8" s="62"/>
      <c r="N8" s="62"/>
      <c r="O8" s="257"/>
    </row>
    <row r="9" spans="1:15" ht="15" customHeight="1" x14ac:dyDescent="0.3">
      <c r="A9" s="28" t="s">
        <v>45</v>
      </c>
      <c r="B9" s="21"/>
      <c r="C9" s="22"/>
      <c r="D9" s="23">
        <f>SUM(D5:D8)</f>
        <v>66</v>
      </c>
      <c r="E9" s="24"/>
      <c r="F9" s="25">
        <f>SUM(F5:F8)</f>
        <v>69762</v>
      </c>
      <c r="G9" s="25"/>
      <c r="H9" s="25">
        <f>SUM(H5:H8)</f>
        <v>583433.4</v>
      </c>
      <c r="I9" s="24"/>
      <c r="J9" s="25" t="e">
        <f>#REF!+#REF!</f>
        <v>#REF!</v>
      </c>
      <c r="K9" s="24"/>
      <c r="L9" s="25" t="e">
        <f>#REF!+#REF!</f>
        <v>#REF!</v>
      </c>
      <c r="M9" s="24"/>
      <c r="N9" s="25">
        <f>SUM(N5:N8)</f>
        <v>653195.4</v>
      </c>
      <c r="O9" s="24"/>
    </row>
  </sheetData>
  <mergeCells count="16">
    <mergeCell ref="O7:O8"/>
    <mergeCell ref="A5:A6"/>
    <mergeCell ref="O5:O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7:A8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21" sqref="H2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</row>
    <row r="2" spans="1:6" x14ac:dyDescent="0.3">
      <c r="A2" s="30" t="str">
        <f>'내역서(표준단가)'!A5</f>
        <v>M020853710050101</v>
      </c>
      <c r="B2" s="31">
        <f>'내역서(표준단가)'!F5</f>
        <v>0</v>
      </c>
      <c r="C2" s="31">
        <f>'내역서(표준단가)'!G5</f>
        <v>0</v>
      </c>
      <c r="D2" s="31" t="str">
        <f>'내역서(표준단가)'!H5</f>
        <v>M020853710050101</v>
      </c>
      <c r="E2" s="31">
        <f>'내역서(표준단가)'!I5</f>
        <v>0</v>
      </c>
      <c r="F2" s="33">
        <f>'내역서(표준단가)'!M5</f>
        <v>1.9984999999999999</v>
      </c>
    </row>
    <row r="3" spans="1:6" x14ac:dyDescent="0.3">
      <c r="A3" s="30" t="str">
        <f>'내역서(표준단가)'!A6</f>
        <v>E00000803071260301</v>
      </c>
      <c r="B3" s="31">
        <f>'내역서(표준단가)'!F6</f>
        <v>0</v>
      </c>
      <c r="C3" s="31" t="str">
        <f>'내역서(표준단가)'!G6</f>
        <v>E00000803071260301</v>
      </c>
      <c r="D3" s="31">
        <f>'내역서(표준단가)'!H6</f>
        <v>0</v>
      </c>
      <c r="E3" s="31">
        <f>'내역서(표준단가)'!I6</f>
        <v>0</v>
      </c>
      <c r="F3" s="33">
        <f>'내역서(표준단가)'!M6</f>
        <v>0.71699999999999997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2025-07-21T05:09:00Z</dcterms:modified>
</cp:coreProperties>
</file>
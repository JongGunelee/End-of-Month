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4FB4FA48-1C96-414B-81AE-630B6D481BE8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Q7" i="2"/>
  <c r="O7" i="2"/>
  <c r="V6" i="2"/>
  <c r="U6" i="2"/>
  <c r="S6" i="2"/>
  <c r="Q6" i="2"/>
  <c r="O6" i="2"/>
  <c r="A6" i="2"/>
  <c r="U5" i="2"/>
  <c r="U7" i="2" s="1"/>
  <c r="S5" i="2"/>
  <c r="V5" i="2" s="1"/>
  <c r="V7" i="2" s="1"/>
  <c r="Q5" i="2"/>
  <c r="O5" i="2"/>
  <c r="J22" i="4" l="1"/>
  <c r="J24" i="4"/>
  <c r="J23" i="4"/>
  <c r="J26" i="4"/>
  <c r="J25" i="4"/>
  <c r="J27" i="4" s="1"/>
  <c r="K9" i="3"/>
  <c r="D9" i="3"/>
  <c r="S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<sst xmlns="http://schemas.openxmlformats.org/spreadsheetml/2006/main" count="144" uniqueCount="126">
  <si>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 xml:space="preserve"> 대전광역시 유성구 계룡로 16번길 48, 1층(구암동)</t>
  </si>
  <si>
    <t>점화트랜스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</si>
  <si>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</si>
  <si>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314-19-99933</t>
  </si>
  <si>
    <t>보일러,버너,배관자재,에어컨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</si>
  <si>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</si>
  <si>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</si>
  <si>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네번타는보일러-30K</t>
  </si>
  <si>
    <t>상      호</t>
  </si>
  <si>
    <t>GTX-8000</t>
  </si>
  <si>
    <t>주      소</t>
  </si>
  <si>
    <t>품     명</t>
  </si>
  <si>
    <t>세    액</t>
  </si>
  <si>
    <t>규     격</t>
  </si>
  <si>
    <t>기 타 사 항</t>
  </si>
  <si>
    <t>할증기준</t>
  </si>
  <si>
    <t xml:space="preserve">  김 태 용</t>
  </si>
  <si>
    <t>등 록 번 호</t>
  </si>
  <si>
    <t>비   고</t>
  </si>
  <si>
    <t>열교환기</t>
  </si>
  <si>
    <t>합 계 금 액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</si>
  <si>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</si>
  <si>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공 급 가 액</t>
  </si>
  <si>
    <t>종   목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</si>
  <si>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</si>
  <si>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</si>
  <si>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성   명</t>
  </si>
  <si>
    <t>전 화 번 호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</si>
  <si>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</si>
  <si>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단    가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</si>
  <si>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</si>
  <si>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</si>
  <si>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823-9444       FAX 823-9511</t>
  </si>
  <si>
    <r>
      <rPr>
        <b/>
        <sz val="10"/>
        <color rgb="FF000000"/>
        <rFont val="LG스마트체 Regular"/>
        <family val="3"/>
        <charset val="129"/>
      </rPr>
      <t>품목</t>
    </r>
  </si>
  <si>
    <t>콘트롤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</si>
  <si>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</si>
  <si>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</si>
  <si>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도소매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</si>
  <si>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</si>
  <si>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</si>
  <si>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번 호</t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</si>
  <si>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</si>
  <si>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</si>
  <si>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</si>
  <si>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SET</t>
  </si>
  <si>
    <r>
      <rPr>
        <b/>
        <sz val="10"/>
        <color rgb="FF000000"/>
        <rFont val="LG스마트체 Regular"/>
        <family val="3"/>
        <charset val="129"/>
      </rPr>
      <t>단가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</si>
  <si>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</si>
  <si>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단위</t>
    </r>
  </si>
  <si>
    <t>합계</t>
  </si>
  <si>
    <t xml:space="preserve">  에스앤아이코퍼레이션시스템 귀하</t>
  </si>
  <si>
    <t>거꾸로ECO콘덴싱L20-27H 외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</si>
  <si>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</si>
  <si>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</si>
  <si>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</si>
  <si>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102동 503호</t>
  </si>
  <si>
    <t xml:space="preserve">  ※ LG사택 102동 503호</t>
  </si>
  <si>
    <t>EI-730ECO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</si>
  <si>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</si>
  <si>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</si>
  <si>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</si>
  <si>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</si>
  <si>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</si>
  <si>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</si>
  <si>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</si>
  <si>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</si>
  <si>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</si>
  <si>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</si>
  <si>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</si>
  <si>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</si>
  <si>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</si>
  <si>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</si>
  <si>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</si>
  <si>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</si>
  <si>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</si>
  <si>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</si>
  <si>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</si>
  <si>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</si>
  <si>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</si>
  <si>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</si>
  <si>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</si>
  <si>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</si>
  <si>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</si>
  <si>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</si>
  <si>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</si>
  <si>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</si>
  <si>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</si>
  <si>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</si>
  <si>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</si>
  <si>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</si>
  <si>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</si>
  <si>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</si>
  <si>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</si>
  <si>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</si>
  <si>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</si>
  <si>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</si>
  <si>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</si>
  <si>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</si>
  <si>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</si>
  <si>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</si>
  <si>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</si>
  <si>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</si>
  <si>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</si>
  <si>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</si>
  <si>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</si>
  <si>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</si>
  <si>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</si>
  <si>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</si>
  <si>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</si>
  <si>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</si>
  <si>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</si>
  <si>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</si>
  <si>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</si>
  <si>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</si>
  <si>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</si>
  <si>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</si>
  <si>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</si>
  <si>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</si>
  <si>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</si>
  <si>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</si>
  <si>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</si>
  <si>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</si>
  <si>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</si>
  <si>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</si>
  <si>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</si>
  <si>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102-503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</si>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</sst>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CE6F2E50-15CC-4339-A242-0102F4B80B72}"/>
    <cellStyle name="백분율 2 3" xfId="6" xr:uid="{00000000-0005-0000-0000-000006000000}"/>
    <cellStyle name="쉼표 [0] 17" xfId="2" xr:uid="{00000000-0005-0000-0000-000002000000}"/>
    <cellStyle name="쉼표 [0] 17 2" xfId="20" xr:uid="{DBD56824-B0C5-45E8-92C7-80681D33CF59}"/>
    <cellStyle name="쉼표 [0] 2" xfId="13" xr:uid="{84EF1FB6-3829-45C2-86A8-407D0271C2A5}"/>
    <cellStyle name="쉼표 [0] 2 2 2" xfId="5" xr:uid="{00000000-0005-0000-0000-000005000000}"/>
    <cellStyle name="쉼표 [0] 2 2 29" xfId="14" xr:uid="{8129201A-157F-4C79-BC84-5FDAA372C9B6}"/>
    <cellStyle name="쉼표 [0] 2 3" xfId="4" xr:uid="{00000000-0005-0000-0000-000004000000}"/>
    <cellStyle name="쉼표 [0] 2 84" xfId="18" xr:uid="{A33A5E4A-EF34-42CB-8264-465F2F4409F6}"/>
    <cellStyle name="쉼표 [0] 5" xfId="16" xr:uid="{8D147C41-4835-4946-A020-3CFB4D09FB40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A4199843-8671-41EB-BD7B-88C34DAB1592}"/>
    <cellStyle name="표준 10 2" xfId="10" xr:uid="{C8EA2121-C6B9-4248-948B-30CC59578DB5}"/>
    <cellStyle name="표준 2" xfId="17" xr:uid="{6BA44F2F-DEA2-4A78-B926-6614CB045257}"/>
    <cellStyle name="표준 3 2" xfId="3" xr:uid="{00000000-0005-0000-0000-000003000000}"/>
    <cellStyle name="표준 7" xfId="7" xr:uid="{00000000-0005-0000-0000-000007000000}"/>
    <cellStyle name="표준_p1공장 외벽청소(08.03.17)" xfId="11" xr:uid="{A0F37459-55E4-45E1-8E30-F0CF9C2A825D}"/>
    <cellStyle name="표준_P456 공장 및 복지동 전면 유리창 청소건 라상혁님_1129(최종)" xfId="12" xr:uid="{4EA2ECBE-D324-46B7-A4F8-D39D66941B2A}"/>
    <cellStyle name="표준_S&amp;D_MAIN VALVE_최빈_2" xfId="9" xr:uid="{E0E99724-96FA-4217-9985-29187BC8CF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BFA74B0-9864-4F29-8465-0E20F405BF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84AE-269A-4A11-A0D3-457213E263B3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28</v>
      </c>
      <c r="Q1" s="44" t="s">
        <v>28</v>
      </c>
      <c r="S1" s="44" t="s">
        <v>28</v>
      </c>
      <c r="U1" s="44" t="s">
        <v>28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2</v>
      </c>
      <c r="G3" s="40"/>
      <c r="H3" s="40"/>
      <c r="I3" s="40"/>
      <c r="J3" s="234" t="s">
        <v>24</v>
      </c>
      <c r="K3" s="234"/>
      <c r="L3" s="234" t="s">
        <v>47</v>
      </c>
      <c r="M3" s="234" t="s">
        <v>36</v>
      </c>
      <c r="N3" s="240" t="s">
        <v>43</v>
      </c>
      <c r="O3" s="240"/>
      <c r="P3" s="240" t="s">
        <v>35</v>
      </c>
      <c r="Q3" s="240"/>
      <c r="R3" s="241" t="s">
        <v>21</v>
      </c>
      <c r="S3" s="241"/>
      <c r="T3" s="241" t="s">
        <v>5</v>
      </c>
      <c r="U3" s="241"/>
      <c r="V3" s="242" t="s">
        <v>38</v>
      </c>
      <c r="W3" s="236" t="s">
        <v>31</v>
      </c>
      <c r="X3" s="238" t="s">
        <v>15</v>
      </c>
    </row>
    <row r="4" spans="1:24" ht="19.899999999999999" customHeight="1">
      <c r="A4" s="39" t="s">
        <v>38</v>
      </c>
      <c r="B4" s="38"/>
      <c r="C4" s="38"/>
      <c r="D4" s="38"/>
      <c r="E4" s="38"/>
      <c r="F4" s="37"/>
      <c r="G4" s="37"/>
      <c r="H4" s="37"/>
      <c r="I4" s="37"/>
      <c r="J4" s="36" t="s">
        <v>33</v>
      </c>
      <c r="K4" s="36" t="s">
        <v>42</v>
      </c>
      <c r="L4" s="235"/>
      <c r="M4" s="235"/>
      <c r="N4" s="35" t="s">
        <v>30</v>
      </c>
      <c r="O4" s="34" t="s">
        <v>39</v>
      </c>
      <c r="P4" s="35" t="s">
        <v>45</v>
      </c>
      <c r="Q4" s="34" t="s">
        <v>39</v>
      </c>
      <c r="R4" s="34" t="s">
        <v>45</v>
      </c>
      <c r="S4" s="34" t="s">
        <v>39</v>
      </c>
      <c r="T4" s="34" t="s">
        <v>45</v>
      </c>
      <c r="U4" s="34" t="s">
        <v>39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54</v>
      </c>
      <c r="K5" s="32" t="s">
        <v>50</v>
      </c>
      <c r="L5" s="31" t="s">
        <v>44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51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49</v>
      </c>
      <c r="B3" s="246"/>
      <c r="C3" s="246"/>
      <c r="D3" s="246"/>
      <c r="E3" s="246"/>
      <c r="F3" s="247" t="s">
        <v>17</v>
      </c>
      <c r="G3" s="248"/>
      <c r="H3" s="247"/>
      <c r="I3" s="249" t="s">
        <v>3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8</v>
      </c>
      <c r="G4" s="250"/>
      <c r="H4" s="247"/>
      <c r="I4" s="249" t="s">
        <v>25</v>
      </c>
      <c r="J4" s="249"/>
      <c r="K4" s="249"/>
      <c r="L4" s="249"/>
      <c r="M4" s="249"/>
      <c r="N4" s="249" t="s">
        <v>26</v>
      </c>
      <c r="O4" s="249"/>
      <c r="P4" s="249"/>
      <c r="Q4" s="251" t="s">
        <v>16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52</v>
      </c>
      <c r="B5" s="252"/>
      <c r="C5" s="252"/>
      <c r="D5" s="252"/>
      <c r="E5" s="252"/>
      <c r="F5" s="247" t="s">
        <v>10</v>
      </c>
      <c r="G5" s="248"/>
      <c r="H5" s="247"/>
      <c r="I5" s="249" t="s">
        <v>0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6</v>
      </c>
      <c r="G6" s="250"/>
      <c r="H6" s="247"/>
      <c r="I6" s="249" t="s">
        <v>37</v>
      </c>
      <c r="J6" s="249"/>
      <c r="K6" s="249" t="s">
        <v>23</v>
      </c>
      <c r="L6" s="249"/>
      <c r="M6" s="249"/>
      <c r="N6" s="249" t="s">
        <v>4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53</v>
      </c>
      <c r="B7" s="252"/>
      <c r="C7" s="252"/>
      <c r="D7" s="252"/>
      <c r="E7" s="252"/>
      <c r="F7" s="247" t="s">
        <v>27</v>
      </c>
      <c r="G7" s="250"/>
      <c r="H7" s="247"/>
      <c r="I7" s="249" t="s">
        <v>32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46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20</v>
      </c>
      <c r="B9" s="250"/>
      <c r="C9" s="250"/>
      <c r="D9" s="256" t="str">
        <f>"일금 "&amp;NUMBERSTRING((K20+N20),1)&amp;"원정"</f>
        <v>일금 육십만삼천원정</v>
      </c>
      <c r="E9" s="256"/>
      <c r="F9" s="256"/>
      <c r="G9" s="256"/>
      <c r="H9" s="256"/>
      <c r="I9" s="256"/>
      <c r="J9" s="256"/>
      <c r="K9" s="257">
        <f>K20+N20</f>
        <v>603000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40</v>
      </c>
      <c r="B10" s="260" t="s">
        <v>11</v>
      </c>
      <c r="C10" s="261"/>
      <c r="D10" s="262" t="s">
        <v>13</v>
      </c>
      <c r="E10" s="263"/>
      <c r="F10" s="51" t="s">
        <v>41</v>
      </c>
      <c r="G10" s="262" t="s">
        <v>29</v>
      </c>
      <c r="H10" s="264"/>
      <c r="I10" s="264"/>
      <c r="J10" s="263"/>
      <c r="K10" s="262" t="s">
        <v>22</v>
      </c>
      <c r="L10" s="264"/>
      <c r="M10" s="264"/>
      <c r="N10" s="263"/>
      <c r="O10" s="262" t="s">
        <v>12</v>
      </c>
      <c r="P10" s="264"/>
      <c r="Q10" s="263"/>
      <c r="R10" s="51" t="s">
        <v>18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19</v>
      </c>
      <c r="C11" s="266"/>
      <c r="D11" s="267" t="s">
        <v>7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34</v>
      </c>
      <c r="C12" s="266"/>
      <c r="D12" s="267" t="s">
        <v>9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1</v>
      </c>
      <c r="C13" s="266"/>
      <c r="D13" s="267" t="s">
        <v>56</v>
      </c>
      <c r="E13" s="266"/>
      <c r="F13" s="51">
        <v>1</v>
      </c>
      <c r="G13" s="268">
        <v>65000</v>
      </c>
      <c r="H13" s="269"/>
      <c r="I13" s="269"/>
      <c r="J13" s="270"/>
      <c r="K13" s="271">
        <f>F13*G13</f>
        <v>65000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48</v>
      </c>
      <c r="B20" s="265"/>
      <c r="C20" s="266"/>
      <c r="D20" s="267"/>
      <c r="E20" s="266"/>
      <c r="F20" s="51"/>
      <c r="G20" s="268">
        <f>SUM(G11:J14)</f>
        <v>603000</v>
      </c>
      <c r="H20" s="269"/>
      <c r="I20" s="269"/>
      <c r="J20" s="270"/>
      <c r="K20" s="271">
        <f>SUM(K11:N14)</f>
        <v>603000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14</v>
      </c>
      <c r="B21" s="284"/>
      <c r="C21" s="285"/>
      <c r="D21" s="286" t="s">
        <v>55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2025-10-01T23:47:57Z</dcterms:modified>
  <cp:version>1300.0100.01</cp:version>
</cp:coreProperties>
</file>
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0 연간 긴급대응\01 정산 현황\01 건축\[완료]기숙사 및 사택 긴급보수 작업(건축)-3차\"/>
    </mc:Choice>
  </mc:AlternateContent>
  <xr:revisionPtr revIDLastSave="0" documentId="13_ncr:1_{CFBA2046-E497-42BE-8FCC-CDF18ACE9822}" xr6:coauthVersionLast="47" xr6:coauthVersionMax="47" xr10:uidLastSave="{00000000-0000-0000-0000-000000000000}"/>
  <bookViews>
    <workbookView xWindow="-60" yWindow="-60" windowWidth="28920" windowHeight="15600" activeTab="1" xr2:uid="{00000000-000D-0000-FFFF-FFFF00000000}"/>
  </bookViews>
  <sheets>
    <sheet name="갑지" sheetId="20" r:id="rId1"/>
    <sheet name="내역서(표준단가)" sheetId="19" r:id="rId2"/>
    <sheet name="관리소 접수 입력-3차" sheetId="16" r:id="rId3"/>
  </sheets>
  <externalReferences>
    <externalReference r:id="rId4"/>
    <externalReference r:id="rId5"/>
    <externalReference r:id="rId6"/>
    <externalReference r:id="rId7"/>
    <externalReference r:id="rId8"/>
    <externalReference r:id="rId9"/>
    <externalReference r:id="rId10"/>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0" hidden="1">{#N/A,#N/A,TRUE,"자재관리";#N/A,#N/A,TRUE,"품질"}</definedName>
    <definedName name="a\" localSheetId="2" hidden="1">{#N/A,#N/A,TRUE,"자재관리";#N/A,#N/A,TRUE,"품질"}</definedName>
    <definedName name="a\" localSheetId="1"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localSheetId="2" hidden="1">{#N/A,#N/A,FALSE,"CCTV"}</definedName>
    <definedName name="asdfasdf" localSheetId="1"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0" hidden="1">{"'Sheet1'!$E$23","'Sheet1'!$A$3:$H$19","'Sheet1'!$A$1:$H$19"}</definedName>
    <definedName name="BUSH" localSheetId="2" hidden="1">{"'Sheet1'!$E$23","'Sheet1'!$A$3:$H$19","'Sheet1'!$A$1:$H$19"}</definedName>
    <definedName name="BUSH" localSheetId="1" hidden="1">{"'Sheet1'!$E$23","'Sheet1'!$A$3:$H$19","'Sheet1'!$A$1:$H$19"}</definedName>
    <definedName name="BUSH" hidden="1">{"'Sheet1'!$E$23","'Sheet1'!$A$3:$H$19","'Sheet1'!$A$1:$H$19"}</definedName>
    <definedName name="copy2" localSheetId="0" hidden="1">{#N/A,#N/A,TRUE,"자재관리";#N/A,#N/A,TRUE,"품질"}</definedName>
    <definedName name="copy2" localSheetId="2" hidden="1">{#N/A,#N/A,TRUE,"자재관리";#N/A,#N/A,TRUE,"품질"}</definedName>
    <definedName name="copy2" localSheetId="1"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localSheetId="1"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hidden="1">{#N/A,#N/A,FALSE,"자재관리";#N/A,#N/A,FALSE,"자재관리";#N/A,#N/A,FALSE,"자재관리"}</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localSheetId="1" hidden="1">{#N/A,#N/A,FALSE,"전력간선"}</definedName>
    <definedName name="DKFDK" hidden="1">{#N/A,#N/A,FALSE,"전력간선"}</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localSheetId="2" hidden="1">{#N/A,#N/A,FALSE,"CCTV"}</definedName>
    <definedName name="FFF" localSheetId="1" hidden="1">{#N/A,#N/A,FALSE,"CCTV"}</definedName>
    <definedName name="FFF" hidden="1">{#N/A,#N/A,FALSE,"CCTV"}</definedName>
    <definedName name="FFFF" localSheetId="0"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localSheetId="2" hidden="1">{#N/A,#N/A,FALSE,"전력간선"}</definedName>
    <definedName name="fg" localSheetId="1"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0"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localSheetId="2" hidden="1">{"'Sheet1'!$E$23","'Sheet1'!$A$3:$H$19","'Sheet1'!$A$1:$H$19"}</definedName>
    <definedName name="HTML_Control" localSheetId="1"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hidden="1">{#N/A,#N/A,FALSE,"자재관리";#N/A,#N/A,FALSE,"자재관리";#N/A,#N/A,FALSE,"자재관리"}</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0"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localSheetId="2" hidden="1">{#N/A,#N/A,TRUE,"자재관리";#N/A,#N/A,TRUE,"품질"}</definedName>
    <definedName name="L" localSheetId="1" hidden="1">{#N/A,#N/A,TRUE,"자재관리";#N/A,#N/A,TRUE,"품질"}</definedName>
    <definedName name="L" hidden="1">{#N/A,#N/A,TRUE,"자재관리";#N/A,#N/A,TRUE,"품질"}</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0"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hidden="1">{#N/A,#N/A,FALSE,"자재관리";#N/A,#N/A,FALSE,"자재관리";#N/A,#N/A,FALSE,"자재관리"}</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0"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localSheetId="1"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0"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2" hidden="1">{"'Sheet1'!$E$23","'Sheet1'!$A$3:$H$19","'Sheet1'!$A$1:$H$19"}</definedName>
    <definedName name="PRESS" localSheetId="1"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localSheetId="1" hidden="1">{"'Sheet1'!$E$23","'Sheet1'!$A$3:$H$19","'Sheet1'!$A$1:$H$19"}</definedName>
    <definedName name="press1" hidden="1">{"'Sheet1'!$E$23","'Sheet1'!$A$3:$H$19","'Sheet1'!$A$1:$H$19"}</definedName>
    <definedName name="_xlnm.Print_Area">#REF!</definedName>
    <definedName name="_xlnm.Print_Titles">#REF!,#REF!</definedName>
    <definedName name="Q" localSheetId="0"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2" hidden="1">{#N/A,#N/A,FALSE,"전력간선"}</definedName>
    <definedName name="qqq" localSheetId="1" hidden="1">{#N/A,#N/A,FALSE,"전력간선"}</definedName>
    <definedName name="qqq" hidden="1">{#N/A,#N/A,FALSE,"전력간선"}</definedName>
    <definedName name="QQQW" localSheetId="0" hidden="1">{#N/A,#N/A,FALSE,"전력간선"}</definedName>
    <definedName name="QQQW" localSheetId="2" hidden="1">{#N/A,#N/A,FALSE,"전력간선"}</definedName>
    <definedName name="QQQW" localSheetId="1" hidden="1">{#N/A,#N/A,FALSE,"전력간선"}</definedName>
    <definedName name="QQQW" hidden="1">{#N/A,#N/A,FALSE,"전력간선"}</definedName>
    <definedName name="ret" localSheetId="0" hidden="1">{#N/A,#N/A,FALSE,"전력간선"}</definedName>
    <definedName name="ret" localSheetId="2" hidden="1">{#N/A,#N/A,FALSE,"전력간선"}</definedName>
    <definedName name="ret" localSheetId="1" hidden="1">{#N/A,#N/A,FALSE,"전력간선"}</definedName>
    <definedName name="ret" hidden="1">{#N/A,#N/A,FALSE,"전력간선"}</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localSheetId="2" hidden="1">{#N/A,#N/A,FALSE,"전력간선"}</definedName>
    <definedName name="RIRI" localSheetId="1" hidden="1">{#N/A,#N/A,FALSE,"전력간선"}</definedName>
    <definedName name="RIRI" hidden="1">{#N/A,#N/A,FALSE,"전력간선"}</definedName>
    <definedName name="RK" hidden="1">[3]수량산출!#REF!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localSheetId="2" hidden="1">{#N/A,#N/A,FALSE,"전력간선"}</definedName>
    <definedName name="rr" localSheetId="1"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localSheetId="2" hidden="1">{#N/A,#N/A,TRUE,"자재관리";#N/A,#N/A,TRUE,"품질"}</definedName>
    <definedName name="rthyetyuety" localSheetId="1"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hidden="1">{#N/A,#N/A,FALSE,"자재관리";#N/A,#N/A,FALSE,"자재관리";#N/A,#N/A,FALSE,"자재관리"}</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0" hidden="1">{#N/A,#N/A,FALSE,"전력간선"}</definedName>
    <definedName name="sss" localSheetId="2" hidden="1">{#N/A,#N/A,FALSE,"전력간선"}</definedName>
    <definedName name="sss" localSheetId="1" hidden="1">{#N/A,#N/A,FALSE,"전력간선"}</definedName>
    <definedName name="sss" hidden="1">{#N/A,#N/A,FALSE,"전력간선"}</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0" hidden="1">{#N/A,#N/A,TRUE,"자재관리";#N/A,#N/A,TRUE,"품질"}</definedName>
    <definedName name="t" localSheetId="2" hidden="1">{#N/A,#N/A,TRUE,"자재관리";#N/A,#N/A,TRUE,"품질"}</definedName>
    <definedName name="t" localSheetId="1" hidden="1">{#N/A,#N/A,TRUE,"자재관리";#N/A,#N/A,TRUE,"품질"}</definedName>
    <definedName name="t" hidden="1">{#N/A,#N/A,TRUE,"자재관리";#N/A,#N/A,TRUE,"품질"}</definedName>
    <definedName name="tka" localSheetId="0" hidden="1">{#N/A,#N/A,FALSE,"전력간선"}</definedName>
    <definedName name="tka" localSheetId="2" hidden="1">{#N/A,#N/A,FALSE,"전력간선"}</definedName>
    <definedName name="tka" localSheetId="1" hidden="1">{#N/A,#N/A,FALSE,"전력간선"}</definedName>
    <definedName name="tka" hidden="1">{#N/A,#N/A,FALSE,"전력간선"}</definedName>
    <definedName name="TTTT" hidden="1">#REF!</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hidden="1">{#N/A,#N/A,FALSE,"자재관리";#N/A,#N/A,FALSE,"자재관리";#N/A,#N/A,FALSE,"자재관리"}</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0" hidden="1">{#N/A,#N/A,FALSE,"CCTV"}</definedName>
    <definedName name="WJDEHDRHS" localSheetId="2" hidden="1">{#N/A,#N/A,FALSE,"CCTV"}</definedName>
    <definedName name="WJDEHDRHS" localSheetId="1" hidden="1">{#N/A,#N/A,FALSE,"CCTV"}</definedName>
    <definedName name="WJDEHDRHS" hidden="1">{#N/A,#N/A,FALSE,"CCTV"}</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localSheetId="2" hidden="1">{#N/A,#N/A,FALSE,"CCTV"}</definedName>
    <definedName name="WRITE" localSheetId="1"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localSheetId="2" hidden="1">{#N/A,#N/A,TRUE,"천상그린44PY"}</definedName>
    <definedName name="wrn.abc." localSheetId="1"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localSheetId="1"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localSheetId="2" hidden="1">{#N/A,#N/A,FALSE,"전력간선"}</definedName>
    <definedName name="wrn.교육청." localSheetId="1"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2" hidden="1">{#N/A,#N/A,TRUE,"자재관리";#N/A,#N/A,TRUE,"품질"}</definedName>
    <definedName name="wrn.보고서." localSheetId="1"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hidden="1">{#N/A,#N/A,FALSE,"신청통보";#N/A,#N/A,FALSE,"기성확인서";#N/A,#N/A,FALSE,"기성내역서"}</definedName>
    <definedName name="wrn.일위대가." localSheetId="0" hidden="1">{#N/A,#N/A,TRUE,"대가1"}</definedName>
    <definedName name="wrn.일위대가." localSheetId="2" hidden="1">{#N/A,#N/A,TRUE,"대가1"}</definedName>
    <definedName name="wrn.일위대가." localSheetId="1" hidden="1">{#N/A,#N/A,TRUE,"대가1"}</definedName>
    <definedName name="wrn.일위대가." hidden="1">{#N/A,#N/A,TRUE,"대가1"}</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0" hidden="1">{#N/A,#N/A,TRUE,"자재관리";#N/A,#N/A,TRUE,"품질"}</definedName>
    <definedName name="X" localSheetId="2" hidden="1">{#N/A,#N/A,TRUE,"자재관리";#N/A,#N/A,TRUE,"품질"}</definedName>
    <definedName name="X" localSheetId="1" hidden="1">{#N/A,#N/A,TRUE,"자재관리";#N/A,#N/A,TRUE,"품질"}</definedName>
    <definedName name="X" hidden="1">{#N/A,#N/A,TRUE,"자재관리";#N/A,#N/A,TRUE,"품질"}</definedName>
    <definedName name="yy" localSheetId="0" hidden="1">{#N/A,#N/A,FALSE,"전력간선"}</definedName>
    <definedName name="yy" localSheetId="2" hidden="1">{#N/A,#N/A,FALSE,"전력간선"}</definedName>
    <definedName name="yy" localSheetId="1" hidden="1">{#N/A,#N/A,FALSE,"전력간선"}</definedName>
    <definedName name="yy" hidden="1">{#N/A,#N/A,FALSE,"전력간선"}</definedName>
    <definedName name="YY0" localSheetId="0" hidden="1">{#N/A,#N/A,FALSE,"전력간선"}</definedName>
    <definedName name="YY0" localSheetId="2" hidden="1">{#N/A,#N/A,FALSE,"전력간선"}</definedName>
    <definedName name="YY0" localSheetId="1" hidden="1">{#N/A,#N/A,FALSE,"전력간선"}</definedName>
    <definedName name="YY0" hidden="1">{#N/A,#N/A,FALSE,"전력간선"}</definedName>
    <definedName name="yyy" hidden="1">[4]수량산출!$A$1:$A$8561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0" hidden="1">{#N/A,#N/A,FALSE,"CCTV"}</definedName>
    <definedName name="가스" localSheetId="2" hidden="1">{#N/A,#N/A,FALSE,"CCTV"}</definedName>
    <definedName name="가스" localSheetId="1" hidden="1">{#N/A,#N/A,FALSE,"CCTV"}</definedName>
    <definedName name="가스" hidden="1">{#N/A,#N/A,FALSE,"CCTV"}</definedName>
    <definedName name="가스실행내역" localSheetId="0" hidden="1">{#N/A,#N/A,FALSE,"전력간선"}</definedName>
    <definedName name="가스실행내역" localSheetId="2" hidden="1">{#N/A,#N/A,FALSE,"전력간선"}</definedName>
    <definedName name="가스실행내역" localSheetId="1" hidden="1">{#N/A,#N/A,FALSE,"전력간선"}</definedName>
    <definedName name="가스실행내역" hidden="1">{#N/A,#N/A,FALSE,"전력간선"}</definedName>
    <definedName name="가실" localSheetId="0" hidden="1">{#N/A,#N/A,FALSE,"전력간선"}</definedName>
    <definedName name="가실" localSheetId="2" hidden="1">{#N/A,#N/A,FALSE,"전력간선"}</definedName>
    <definedName name="가실" localSheetId="1" hidden="1">{#N/A,#N/A,FALSE,"전력간선"}</definedName>
    <definedName name="가실" hidden="1">{#N/A,#N/A,FALSE,"전력간선"}</definedName>
    <definedName name="가아" hidden="1">[5]수량산출!#REF!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0" hidden="1">{#N/A,#N/A,FALSE,"CCTV"}</definedName>
    <definedName name="공내역" localSheetId="2" hidden="1">{#N/A,#N/A,FALSE,"CCTV"}</definedName>
    <definedName name="공내역" localSheetId="1" hidden="1">{#N/A,#N/A,FALSE,"CCTV"}</definedName>
    <definedName name="공내역" hidden="1">{#N/A,#N/A,FALSE,"CCTV"}</definedName>
    <definedName name="공문" localSheetId="0"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hidden="1">{#N/A,#N/A,FALSE,"자재관리";#N/A,#N/A,FALSE,"자재관리";#N/A,#N/A,FALSE,"자재관리"}</definedName>
    <definedName name="공장동" hidden="1">#REF!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localSheetId="2" hidden="1">{#N/A,#N/A,TRUE,"자재관리";#N/A,#N/A,TRUE,"품질"}</definedName>
    <definedName name="기" localSheetId="1"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localSheetId="1" hidden="1">{#N/A,#N/A,FALSE,"전력간선"}</definedName>
    <definedName name="기계단가1" hidden="1">{#N/A,#N/A,FALSE,"전력간선"}</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localSheetId="2" hidden="1">{#N/A,#N/A,TRUE,"자재관리";#N/A,#N/A,TRUE,"품질"}</definedName>
    <definedName name="ㄴ" localSheetId="1" hidden="1">{#N/A,#N/A,TRUE,"자재관리";#N/A,#N/A,TRUE,"품질"}</definedName>
    <definedName name="ㄴ" hidden="1">{#N/A,#N/A,TRUE,"자재관리";#N/A,#N/A,TRUE,"품질"}</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0"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2" hidden="1">{#N/A,#N/A,FALSE,"CCTV"}</definedName>
    <definedName name="ㄴㅌㄴㅌ" localSheetId="1"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localSheetId="2" hidden="1">{#N/A,#N/A,FALSE,"CCTV"}</definedName>
    <definedName name="내역" localSheetId="1" hidden="1">{#N/A,#N/A,FALSE,"CCTV"}</definedName>
    <definedName name="내역" hidden="1">{#N/A,#N/A,FALSE,"CCTV"}</definedName>
    <definedName name="내역점검" localSheetId="0" hidden="1">{#N/A,#N/A,FALSE,"전력간선"}</definedName>
    <definedName name="내역점검" localSheetId="2" hidden="1">{#N/A,#N/A,FALSE,"전력간선"}</definedName>
    <definedName name="내역점검" localSheetId="1"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0" hidden="1">{#N/A,#N/A,FALSE,"전력간선"}</definedName>
    <definedName name="단가산출서" localSheetId="2" hidden="1">{#N/A,#N/A,FALSE,"전력간선"}</definedName>
    <definedName name="단가산출서" localSheetId="1" hidden="1">{#N/A,#N/A,FALSE,"전력간선"}</definedName>
    <definedName name="단가산출서" hidden="1">{#N/A,#N/A,FALSE,"전력간선"}</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localSheetId="2" hidden="1">{#N/A,#N/A,FALSE,"전력간선"}</definedName>
    <definedName name="럭키" localSheetId="1"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2" hidden="1">{#N/A,#N/A,FALSE,"전력간선"}</definedName>
    <definedName name="ㅁㅁ" localSheetId="1" hidden="1">{#N/A,#N/A,FALSE,"전력간선"}</definedName>
    <definedName name="ㅁㅁ" hidden="1">{#N/A,#N/A,FALSE,"전력간선"}</definedName>
    <definedName name="ㅁㅇ" localSheetId="0"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hidden="1">{#N/A,#N/A,FALSE,"자재관리";#N/A,#N/A,FALSE,"자재관리";#N/A,#N/A,FALSE,"자재관리"}</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0" hidden="1">{#N/A,#N/A,FALSE,"전력간선"}</definedName>
    <definedName name="명신" localSheetId="2" hidden="1">{#N/A,#N/A,FALSE,"전력간선"}</definedName>
    <definedName name="명신" localSheetId="1" hidden="1">{#N/A,#N/A,FALSE,"전력간선"}</definedName>
    <definedName name="명신" hidden="1">{#N/A,#N/A,FALSE,"전력간선"}</definedName>
    <definedName name="목표" localSheetId="0"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localSheetId="2" hidden="1">{#N/A,#N/A,FALSE,"전력간선"}</definedName>
    <definedName name="ㅂ" localSheetId="1"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hidden="1">{#N/A,#N/A,FALSE,"자재관리";#N/A,#N/A,FALSE,"자재관리";#N/A,#N/A,FALSE,"자재관리"}</definedName>
    <definedName name="ㅅㅅ" hidden="1">#REF!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2" hidden="1">{#N/A,#N/A,FALSE,"CCTV"}</definedName>
    <definedName name="소화갑지" localSheetId="1" hidden="1">{#N/A,#N/A,FALSE,"CCTV"}</definedName>
    <definedName name="소화갑지" hidden="1">{#N/A,#N/A,FALSE,"CCTV"}</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localSheetId="2" hidden="1">{#N/A,#N/A,TRUE,"자재관리";#N/A,#N/A,TRUE,"품질"}</definedName>
    <definedName name="ㅇ" localSheetId="1" hidden="1">{#N/A,#N/A,TRUE,"자재관리";#N/A,#N/A,TRUE,"품질"}</definedName>
    <definedName name="ㅇ" hidden="1">{#N/A,#N/A,TRUE,"자재관리";#N/A,#N/A,TRUE,"품질"}</definedName>
    <definedName name="ㅇㄴㅇㄴ" localSheetId="0" hidden="1">{#N/A,#N/A,FALSE,"CCTV"}</definedName>
    <definedName name="ㅇㄴㅇㄴ" localSheetId="2" hidden="1">{#N/A,#N/A,FALSE,"CCTV"}</definedName>
    <definedName name="ㅇㄴㅇㄴ" localSheetId="1" hidden="1">{#N/A,#N/A,FALSE,"CCTV"}</definedName>
    <definedName name="ㅇㄴㅇㄴ" hidden="1">{#N/A,#N/A,FALSE,"CCTV"}</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0"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2" hidden="1">{#N/A,#N/A,TRUE,"자재관리";#N/A,#N/A,TRUE,"품질"}</definedName>
    <definedName name="업소용" localSheetId="1"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hidden="1">{#N/A,#N/A,FALSE,"자재관리";#N/A,#N/A,FALSE,"자재관리";#N/A,#N/A,FALSE,"자재관리"}</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localSheetId="2" hidden="1">{#N/A,#N/A,FALSE,"전력간선"}</definedName>
    <definedName name="염" localSheetId="1"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localSheetId="2" hidden="1">{#N/A,#N/A,FALSE,"전력간선"}</definedName>
    <definedName name="영조" localSheetId="1" hidden="1">{#N/A,#N/A,FALSE,"전력간선"}</definedName>
    <definedName name="영조" hidden="1">{#N/A,#N/A,FALSE,"전력간선"}</definedName>
    <definedName name="예상도급내역" localSheetId="0" hidden="1">{#N/A,#N/A,FALSE,"CCTV"}</definedName>
    <definedName name="예상도급내역" localSheetId="2" hidden="1">{#N/A,#N/A,FALSE,"CCTV"}</definedName>
    <definedName name="예상도급내역" localSheetId="1" hidden="1">{#N/A,#N/A,FALSE,"CCTV"}</definedName>
    <definedName name="예상도급내역" hidden="1">{#N/A,#N/A,FALSE,"CCTV"}</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localSheetId="1" hidden="1">{#N/A,#N/A,TRUE,"자재관리";#N/A,#N/A,TRUE,"품질"}</definedName>
    <definedName name="우인표지" hidden="1">{#N/A,#N/A,TRUE,"자재관리";#N/A,#N/A,TRUE,"품질"}</definedName>
    <definedName name="원가TABLE" localSheetId="0" hidden="1">{#N/A,#N/A,TRUE,"자재관리";#N/A,#N/A,TRUE,"품질"}</definedName>
    <definedName name="원가TABLE" localSheetId="2" hidden="1">{#N/A,#N/A,TRUE,"자재관리";#N/A,#N/A,TRUE,"품질"}</definedName>
    <definedName name="원가TABLE" localSheetId="1"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2" hidden="1">{#N/A,#N/A,FALSE,"전력간선"}</definedName>
    <definedName name="이름" localSheetId="1" hidden="1">{#N/A,#N/A,FALSE,"전력간선"}</definedName>
    <definedName name="이름" hidden="1">{#N/A,#N/A,FALSE,"전력간선"}</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hidden="1">{#N/A,#N/A,FALSE,"자재관리";#N/A,#N/A,FALSE,"자재관리";#N/A,#N/A,FALSE,"자재관리"}</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hidden="1">{#N/A,#N/A,FALSE,"자재관리";#N/A,#N/A,FALSE,"자재관리";#N/A,#N/A,FALSE,"자재관리"}</definedName>
    <definedName name="전기" localSheetId="0" hidden="1">{#N/A,#N/A,FALSE,"전력간선"}</definedName>
    <definedName name="전기" localSheetId="2" hidden="1">{#N/A,#N/A,FALSE,"전력간선"}</definedName>
    <definedName name="전기" localSheetId="1" hidden="1">{#N/A,#N/A,FALSE,"전력간선"}</definedName>
    <definedName name="전기" hidden="1">{#N/A,#N/A,FALSE,"전력간선"}</definedName>
    <definedName name="전년" localSheetId="0"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localSheetId="2" hidden="1">{#N/A,#N/A,FALSE,"CCTV"}</definedName>
    <definedName name="정화조" localSheetId="1" hidden="1">{#N/A,#N/A,FALSE,"CCTV"}</definedName>
    <definedName name="정화조" hidden="1">{#N/A,#N/A,FALSE,"CCTV"}</definedName>
    <definedName name="조정내역2" localSheetId="0" hidden="1">{#N/A,#N/A,FALSE,"전력간선"}</definedName>
    <definedName name="조정내역2" localSheetId="2" hidden="1">{#N/A,#N/A,FALSE,"전력간선"}</definedName>
    <definedName name="조정내역2" localSheetId="1"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0" hidden="1">{#N/A,#N/A,FALSE,"전력간선"}</definedName>
    <definedName name="최종갑지1" localSheetId="2" hidden="1">{#N/A,#N/A,FALSE,"전력간선"}</definedName>
    <definedName name="최종갑지1" localSheetId="1"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2" hidden="1">{#N/A,#N/A,TRUE,"자재관리";#N/A,#N/A,TRUE,"품질"}</definedName>
    <definedName name="ㅎ" localSheetId="1" hidden="1">{#N/A,#N/A,TRUE,"자재관리";#N/A,#N/A,TRUE,"품질"}</definedName>
    <definedName name="ㅎ" hidden="1">{#N/A,#N/A,TRUE,"자재관리";#N/A,#N/A,TRUE,"품질"}</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localSheetId="2" hidden="1">{#N/A,#N/A,FALSE,"CCTV"}</definedName>
    <definedName name="ㅎㅀㅀㅀㅀㄹ" localSheetId="1" hidden="1">{#N/A,#N/A,FALSE,"CCTV"}</definedName>
    <definedName name="ㅎㅀㅀㅀㅀㄹ" hidden="1">{#N/A,#N/A,FALSE,"CCTV"}</definedName>
    <definedName name="하행터널" localSheetId="0" hidden="1">{#N/A,#N/A,TRUE,"대가1"}</definedName>
    <definedName name="하행터널" localSheetId="2" hidden="1">{#N/A,#N/A,TRUE,"대가1"}</definedName>
    <definedName name="하행터널" localSheetId="1"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0" hidden="1">{#N/A,#N/A,FALSE,"전력간선"}</definedName>
    <definedName name="현설자재수량검토" localSheetId="2" hidden="1">{#N/A,#N/A,FALSE,"전력간선"}</definedName>
    <definedName name="현설자재수량검토" localSheetId="1" hidden="1">{#N/A,#N/A,FALSE,"전력간선"}</definedName>
    <definedName name="현설자재수량검토" hidden="1">{#N/A,#N/A,FALSE,"전력간선"}</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0" hidden="1">{"'Sheet1'!$E$23","'Sheet1'!$A$3:$H$19","'Sheet1'!$A$1:$H$19"}</definedName>
    <definedName name="ㅏㅏㅏ" localSheetId="2" hidden="1">{"'Sheet1'!$E$23","'Sheet1'!$A$3:$H$19","'Sheet1'!$A$1:$H$19"}</definedName>
    <definedName name="ㅏㅏㅏ" localSheetId="1"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localSheetId="1" hidden="1">{#N/A,#N/A,FALSE,"전력간선"}</definedName>
    <definedName name="ㅏㅓㅗ" hidden="1">{#N/A,#N/A,FALSE,"전력간선"}</definedName>
    <definedName name="ㅓ" localSheetId="0" hidden="1">{#N/A,#N/A,TRUE,"자재관리";#N/A,#N/A,TRUE,"품질"}</definedName>
    <definedName name="ㅓ" localSheetId="2" hidden="1">{#N/A,#N/A,TRUE,"자재관리";#N/A,#N/A,TRUE,"품질"}</definedName>
    <definedName name="ㅓ" localSheetId="1"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0"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localSheetId="2" hidden="1">{#N/A,#N/A,FALSE,"전력간선"}</definedName>
    <definedName name="ㅡㅗ" localSheetId="1"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6" i="16" l="1"/>
  <c r="O46" i="16"/>
  <c r="P43" i="16"/>
  <c r="P40" i="16"/>
  <c r="P38" i="16"/>
  <c r="P31" i="16"/>
  <c r="P30" i="16"/>
  <c r="T46" i="16"/>
  <c r="X46" i="16" l="1"/>
  <c r="U5" i="19" l="1"/>
  <c r="S5" i="19"/>
  <c r="Q5" i="19"/>
  <c r="O5" i="19"/>
  <c r="A5" i="19"/>
  <c r="Z46" i="16"/>
  <c r="Y46" i="16"/>
  <c r="W46" i="16"/>
  <c r="V46" i="16"/>
  <c r="U46" i="16"/>
  <c r="S46" i="16"/>
  <c r="R46" i="16"/>
  <c r="Q46" i="16"/>
  <c r="D46" i="16"/>
  <c r="I44" i="16"/>
  <c r="J44" i="16" s="1"/>
  <c r="I43" i="16"/>
  <c r="J43" i="16" s="1"/>
  <c r="I42" i="16"/>
  <c r="J42" i="16" s="1"/>
  <c r="I41" i="16"/>
  <c r="J41" i="16" s="1"/>
  <c r="I40" i="16"/>
  <c r="J40" i="16" s="1"/>
  <c r="I39" i="16"/>
  <c r="J39" i="16" s="1"/>
  <c r="I38" i="16"/>
  <c r="J38" i="16" s="1"/>
  <c r="I37" i="16"/>
  <c r="J37" i="16" s="1"/>
  <c r="I36" i="16"/>
  <c r="J36" i="16" s="1"/>
  <c r="I35" i="16"/>
  <c r="J35" i="16" s="1"/>
  <c r="I34" i="16"/>
  <c r="J34" i="16" s="1"/>
  <c r="I33" i="16"/>
  <c r="J33" i="16" s="1"/>
  <c r="I32" i="16"/>
  <c r="J32" i="16" s="1"/>
  <c r="I31" i="16"/>
  <c r="J31" i="16" s="1"/>
  <c r="I30" i="16"/>
  <c r="J30" i="16" s="1"/>
  <c r="O29" i="16"/>
  <c r="I29" i="16"/>
  <c r="D26" i="16"/>
  <c r="W26" i="16"/>
  <c r="V26" i="16"/>
  <c r="U26" i="16"/>
  <c r="R26" i="16"/>
  <c r="Q26" i="16"/>
  <c r="V5" i="19" l="1"/>
  <c r="O6" i="19"/>
  <c r="F16" i="20" s="1"/>
  <c r="Q6" i="19"/>
  <c r="S6" i="19"/>
  <c r="U6" i="19"/>
  <c r="I46" i="16"/>
  <c r="J29" i="16"/>
  <c r="J46" i="16" s="1"/>
  <c r="F17" i="20" l="1"/>
  <c r="F21" i="20" s="1"/>
  <c r="F18" i="20"/>
  <c r="F26" i="20"/>
  <c r="F19" i="20"/>
  <c r="V6" i="19"/>
  <c r="F25" i="20" l="1"/>
  <c r="F22" i="20"/>
  <c r="F23" i="20" s="1"/>
  <c r="F24" i="20"/>
  <c r="F27" i="20" l="1"/>
  <c r="F28" i="20" s="1"/>
  <c r="F30" i="20" s="1"/>
  <c r="F31" i="20" s="1"/>
  <c r="B12" i="20" l="1"/>
  <c r="G31" i="20"/>
  <c r="O24" i="16"/>
  <c r="O23" i="16"/>
  <c r="O22" i="16"/>
  <c r="O21" i="16"/>
  <c r="O20" i="16"/>
  <c r="O19" i="16"/>
  <c r="I24" i="16"/>
  <c r="J24" i="16" s="1"/>
  <c r="I23" i="16"/>
  <c r="J23" i="16" s="1"/>
  <c r="I22" i="16"/>
  <c r="J22" i="16" s="1"/>
  <c r="I21" i="16"/>
  <c r="J21" i="16" s="1"/>
  <c r="I20" i="16"/>
  <c r="J20" i="16" s="1"/>
  <c r="I19" i="16"/>
  <c r="J19" i="16" s="1"/>
  <c r="O26" i="16" l="1"/>
  <c r="I17" i="16"/>
  <c r="J17" i="16" s="1"/>
  <c r="I16" i="16"/>
  <c r="J16" i="16" s="1"/>
  <c r="I15" i="16"/>
  <c r="J15" i="16" s="1"/>
  <c r="I14" i="16"/>
  <c r="J14" i="16" s="1"/>
  <c r="I13" i="16"/>
  <c r="I12" i="16"/>
  <c r="J12" i="16" s="1"/>
  <c r="I11" i="16"/>
  <c r="J11" i="16" s="1"/>
  <c r="I10" i="16"/>
  <c r="J10" i="16" s="1"/>
  <c r="I9" i="16"/>
  <c r="J9" i="16" s="1"/>
  <c r="I8" i="16"/>
  <c r="J8" i="16" s="1"/>
  <c r="I7" i="16"/>
  <c r="J7" i="16" s="1"/>
  <c r="I6" i="16"/>
  <c r="J13" i="16" l="1"/>
  <c r="J26" i="16" s="1"/>
  <c r="I26" i="16"/>
  <c r="J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B770651C-E310-4FB7-8C4B-243EDE6CE231}">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<sst xmlns="http://schemas.openxmlformats.org/spreadsheetml/2006/main" count="318" uniqueCount="217">
  <si>
    <t>수량</t>
  </si>
  <si>
    <t>견 적 서</t>
    <phoneticPr fontId="16" type="noConversion"/>
  </si>
  <si>
    <t xml:space="preserve">금액: </t>
    <phoneticPr fontId="16" type="noConversion"/>
  </si>
  <si>
    <t>원정</t>
    <phoneticPr fontId="18" type="noConversion"/>
  </si>
  <si>
    <t xml:space="preserve">  </t>
  </si>
  <si>
    <t>NO</t>
  </si>
  <si>
    <t>품명</t>
    <phoneticPr fontId="18" type="noConversion"/>
  </si>
  <si>
    <t>규격</t>
    <phoneticPr fontId="18" type="noConversion"/>
  </si>
  <si>
    <t>수량</t>
    <phoneticPr fontId="18" type="noConversion"/>
  </si>
  <si>
    <t>단위</t>
    <phoneticPr fontId="18" type="noConversion"/>
  </si>
  <si>
    <t>금액</t>
    <phoneticPr fontId="18" type="noConversion"/>
  </si>
  <si>
    <t>비고</t>
    <phoneticPr fontId="18" type="noConversion"/>
  </si>
  <si>
    <t>직접비</t>
    <phoneticPr fontId="16" type="noConversion"/>
  </si>
  <si>
    <t>재료비</t>
    <phoneticPr fontId="16" type="noConversion"/>
  </si>
  <si>
    <t>노무비</t>
    <phoneticPr fontId="18" type="noConversion"/>
  </si>
  <si>
    <t>기계/기타경비</t>
    <phoneticPr fontId="16" type="noConversion"/>
  </si>
  <si>
    <t>소계</t>
    <phoneticPr fontId="16" type="noConversion"/>
  </si>
  <si>
    <t>간접비</t>
    <phoneticPr fontId="16" type="noConversion"/>
  </si>
  <si>
    <t>  국민연금</t>
    <phoneticPr fontId="18" type="noConversion"/>
  </si>
  <si>
    <t> 노무비*4.5%</t>
    <phoneticPr fontId="18" type="noConversion"/>
  </si>
  <si>
    <t>식</t>
    <phoneticPr fontId="18" type="noConversion"/>
  </si>
  <si>
    <t>모든공사에 적용</t>
    <phoneticPr fontId="18" type="noConversion"/>
  </si>
  <si>
    <t>  건강보험료</t>
    <phoneticPr fontId="18" type="noConversion"/>
  </si>
  <si>
    <t>  장기요양보험료</t>
    <phoneticPr fontId="18" type="noConversion"/>
  </si>
  <si>
    <t>  고용보험료</t>
    <phoneticPr fontId="18" type="noConversion"/>
  </si>
  <si>
    <t>  산재보험료</t>
    <phoneticPr fontId="18" type="noConversion"/>
  </si>
  <si>
    <t xml:space="preserve">  산업안전보건관리비</t>
    <phoneticPr fontId="18" type="noConversion"/>
  </si>
  <si>
    <t>합계(단수조정)</t>
    <phoneticPr fontId="16" type="noConversion"/>
  </si>
  <si>
    <t>VAT별도</t>
    <phoneticPr fontId="18" type="noConversion"/>
  </si>
  <si>
    <t>일반관리비/이윤</t>
    <phoneticPr fontId="18" type="noConversion"/>
  </si>
  <si>
    <t> (노무비+간접공사비)*5%</t>
    <phoneticPr fontId="18" type="noConversion"/>
  </si>
  <si>
    <t>등록번호</t>
    <phoneticPr fontId="12" type="noConversion"/>
  </si>
  <si>
    <t>종 목</t>
    <phoneticPr fontId="12" type="noConversion"/>
  </si>
  <si>
    <t>TEL, FAX</t>
    <phoneticPr fontId="12" type="noConversion"/>
  </si>
  <si>
    <t>상 호</t>
    <phoneticPr fontId="12" type="noConversion"/>
  </si>
  <si>
    <t>대표 이사</t>
    <phoneticPr fontId="12" type="noConversion"/>
  </si>
  <si>
    <t>사업장</t>
    <phoneticPr fontId="12" type="noConversion"/>
  </si>
  <si>
    <t>업 태</t>
    <phoneticPr fontId="12" type="noConversion"/>
  </si>
  <si>
    <t>할증기준</t>
    <phoneticPr fontId="10" type="noConversion"/>
  </si>
  <si>
    <t> 노무비*1.01%</t>
    <phoneticPr fontId="18" type="noConversion"/>
  </si>
  <si>
    <t>단위</t>
  </si>
  <si>
    <t xml:space="preserve"> 수신인 : 주식회사 에스엔아이 코퍼레이션</t>
    <phoneticPr fontId="16" type="noConversion"/>
  </si>
  <si>
    <t> 노무비*3.545%</t>
    <phoneticPr fontId="18" type="noConversion"/>
  </si>
  <si>
    <t> 건강보험료*12.95%</t>
    <phoneticPr fontId="18" type="noConversion"/>
  </si>
  <si>
    <t> 노무비*3.56%</t>
    <phoneticPr fontId="18" type="noConversion"/>
  </si>
  <si>
    <t>314-86-35718</t>
    <phoneticPr fontId="10" type="noConversion"/>
  </si>
  <si>
    <t>㈜일성건축</t>
    <phoneticPr fontId="10" type="noConversion"/>
  </si>
  <si>
    <t>상 석 희</t>
    <phoneticPr fontId="10" type="noConversion"/>
  </si>
  <si>
    <t>대전 서구 도마6길 107 (도마동)</t>
    <phoneticPr fontId="10" type="noConversion"/>
  </si>
  <si>
    <t>건설업</t>
    <phoneticPr fontId="10" type="noConversion"/>
  </si>
  <si>
    <t>실내건축,인테리어공사</t>
    <phoneticPr fontId="10" type="noConversion"/>
  </si>
  <si>
    <t>042)527-0995, 042)527-0996</t>
    <phoneticPr fontId="10" type="noConversion"/>
  </si>
  <si>
    <t>▼낙찰율</t>
    <phoneticPr fontId="12" type="noConversion"/>
  </si>
  <si>
    <t>▶ 표준 Code(표준단가/품셈/물정/노임) 순서별 입력(Upload 자동반영)</t>
    <phoneticPr fontId="10" type="noConversion"/>
  </si>
  <si>
    <t>주요내역</t>
    <phoneticPr fontId="10" type="noConversion"/>
  </si>
  <si>
    <t>재료비</t>
    <phoneticPr fontId="12" type="noConversion"/>
  </si>
  <si>
    <t>노무비</t>
    <phoneticPr fontId="12" type="noConversion"/>
  </si>
  <si>
    <t>기계경비</t>
  </si>
  <si>
    <t>기타경비(부자재비)</t>
  </si>
  <si>
    <t>합계</t>
    <phoneticPr fontId="12" type="noConversion"/>
  </si>
  <si>
    <t>노무비 할증</t>
    <phoneticPr fontId="10" type="noConversion"/>
  </si>
  <si>
    <t>합계</t>
    <phoneticPr fontId="10" type="noConversion"/>
  </si>
  <si>
    <t>표준단가 D</t>
    <phoneticPr fontId="10" type="noConversion"/>
  </si>
  <si>
    <t>표준품셈 E</t>
    <phoneticPr fontId="10" type="noConversion"/>
  </si>
  <si>
    <t>물가정보 M</t>
    <phoneticPr fontId="10" type="noConversion"/>
  </si>
  <si>
    <t>노임단가 L</t>
    <phoneticPr fontId="10" type="noConversion"/>
  </si>
  <si>
    <t>품목</t>
    <phoneticPr fontId="10" type="noConversion"/>
  </si>
  <si>
    <t>규격</t>
    <phoneticPr fontId="10" type="noConversion"/>
  </si>
  <si>
    <t>품셈/표단</t>
    <phoneticPr fontId="10" type="noConversion"/>
  </si>
  <si>
    <t>금액</t>
  </si>
  <si>
    <t>단가</t>
    <phoneticPr fontId="12" type="noConversion"/>
  </si>
  <si>
    <t>단가</t>
  </si>
  <si>
    <t> (재료비+노무비)*3.11%</t>
    <phoneticPr fontId="18" type="noConversion"/>
  </si>
  <si>
    <t>사택 5동</t>
    <phoneticPr fontId="12" type="noConversion"/>
  </si>
  <si>
    <t>관리소
담당자</t>
    <phoneticPr fontId="12" type="noConversion"/>
  </si>
  <si>
    <t xml:space="preserve">- 문끌림 4개소/ 방충망 7개소/ 신발장 시트지 1개소
- 빨래건조 4개소 /  누수 천장 임시 철거 및 보수 </t>
    <phoneticPr fontId="12" type="noConversion"/>
  </si>
  <si>
    <t>시작</t>
    <phoneticPr fontId="12" type="noConversion"/>
  </si>
  <si>
    <t>종료</t>
    <phoneticPr fontId="12" type="noConversion"/>
  </si>
  <si>
    <t>건물동</t>
    <phoneticPr fontId="12" type="noConversion"/>
  </si>
  <si>
    <t>호실</t>
    <phoneticPr fontId="12" type="noConversion"/>
  </si>
  <si>
    <t>작업지시</t>
    <phoneticPr fontId="12" type="noConversion"/>
  </si>
  <si>
    <t>보수 내용</t>
    <phoneticPr fontId="12" type="noConversion"/>
  </si>
  <si>
    <t xml:space="preserve"> </t>
    <phoneticPr fontId="10" type="noConversion"/>
  </si>
  <si>
    <t>8
9</t>
    <phoneticPr fontId="10" type="noConversion"/>
  </si>
  <si>
    <t>206
303</t>
    <phoneticPr fontId="10" type="noConversion"/>
  </si>
  <si>
    <t>남해원</t>
    <phoneticPr fontId="12" type="noConversion"/>
  </si>
  <si>
    <t>뒤베란다 창고 누수점검 및 실리콘 작업 완료
뒤베란다 창고문 철거 완료
화장실 우측방 입구 바닥 평탄작업 완료
화장실문 시트지 보수 1개소 완료</t>
    <phoneticPr fontId="12" type="noConversion"/>
  </si>
  <si>
    <t>9
102</t>
    <phoneticPr fontId="10" type="noConversion"/>
  </si>
  <si>
    <t>303
201</t>
    <phoneticPr fontId="10" type="noConversion"/>
  </si>
  <si>
    <t>401-6
503-4
504-2
504-5</t>
    <phoneticPr fontId="10" type="noConversion"/>
  </si>
  <si>
    <t>703-3
703-4  
902-3</t>
    <phoneticPr fontId="10" type="noConversion"/>
  </si>
  <si>
    <t>화장실 도어 , 방 도어보수2개소 완료
화장실 도어 , 방 도어보수2개소 완료 
방 도어 보수완료</t>
    <phoneticPr fontId="12" type="noConversion"/>
  </si>
  <si>
    <t>블라인드 설치 완료
방도어 보수완료
뒤베란다 창고 문틀 설치작업
방충망7개소 완료</t>
    <phoneticPr fontId="12" type="noConversion"/>
  </si>
  <si>
    <t>206
703-4  
902-3</t>
    <phoneticPr fontId="10" type="noConversion"/>
  </si>
  <si>
    <t>뒤베란다 창고문 재설치 완료
방충망7개소 완료 
앞베란다 내.외부 실리콘 제거 및 재시공 완료</t>
    <phoneticPr fontId="12" type="noConversion"/>
  </si>
  <si>
    <t>501
401  
303</t>
    <phoneticPr fontId="10" type="noConversion"/>
  </si>
  <si>
    <t>현관문 도어 가스켓 교체 완료
현관문 도어 가스켓 교체 완료
방충망 7개소 완료</t>
    <phoneticPr fontId="12" type="noConversion"/>
  </si>
  <si>
    <t>문보수 1개소 완료, 방충망 7개소 완료
뒤베란다 천장 패임 보수 작업 완료
문보수 1개소 완료</t>
    <phoneticPr fontId="12" type="noConversion"/>
  </si>
  <si>
    <t>방충망 3개소 완료
화장실문 시트지 교체 완료
뒤베란다 벽면 및 바닥 크렉보수,실리콘 작업
문보수 1개소 완료</t>
    <phoneticPr fontId="12" type="noConversion"/>
  </si>
  <si>
    <t>걸레받이 파손 2개소 교체 완료
도어보수 2개소 보수완료
안방 문틀 보수 완료
방충망 3개소 교체 완료</t>
    <phoneticPr fontId="12" type="noConversion"/>
  </si>
  <si>
    <t>방충망 7개소 완료</t>
    <phoneticPr fontId="12" type="noConversion"/>
  </si>
  <si>
    <t>샘플&gt;</t>
    <phoneticPr fontId="12" type="noConversion"/>
  </si>
  <si>
    <t>일성</t>
    <phoneticPr fontId="12" type="noConversion"/>
  </si>
  <si>
    <t>3
(관리제외)</t>
    <phoneticPr fontId="12" type="noConversion"/>
  </si>
  <si>
    <t>1월1일</t>
    <phoneticPr fontId="12" type="noConversion"/>
  </si>
  <si>
    <t>14시30분</t>
    <phoneticPr fontId="12" type="noConversion"/>
  </si>
  <si>
    <t>1월2일</t>
    <phoneticPr fontId="12" type="noConversion"/>
  </si>
  <si>
    <t>15시30분</t>
    <phoneticPr fontId="12" type="noConversion"/>
  </si>
  <si>
    <t>건수</t>
    <phoneticPr fontId="12" type="noConversion"/>
  </si>
  <si>
    <t>업체명</t>
    <phoneticPr fontId="12" type="noConversion"/>
  </si>
  <si>
    <t>일자</t>
    <phoneticPr fontId="12" type="noConversion"/>
  </si>
  <si>
    <t>시간</t>
    <phoneticPr fontId="12" type="noConversion"/>
  </si>
  <si>
    <t>(종료-시간)</t>
    <phoneticPr fontId="12" type="noConversion"/>
  </si>
  <si>
    <t>(인원*작업시간)</t>
    <phoneticPr fontId="12" type="noConversion"/>
  </si>
  <si>
    <t>일성건축</t>
    <phoneticPr fontId="12" type="noConversion"/>
  </si>
  <si>
    <t>비고</t>
    <phoneticPr fontId="10" type="noConversion"/>
  </si>
  <si>
    <t>근로자 
(직접 서명)</t>
    <phoneticPr fontId="12" type="noConversion"/>
  </si>
  <si>
    <t>자재 내역</t>
    <phoneticPr fontId="10" type="noConversion"/>
  </si>
  <si>
    <t>문보수용 엣지 
필름 구매(10매)
전동 대패날 교체(1set)</t>
    <phoneticPr fontId="10" type="noConversion"/>
  </si>
  <si>
    <t>화장실문 시트지 보수 1개소 완료
안방 걸레받이 들뜸 보수 완료
문보수1개소 완료
거실 걸레받이 2개소 교체 완료</t>
    <phoneticPr fontId="12" type="noConversion"/>
  </si>
  <si>
    <t>누수 탐지(미래설비)
대기 인원 (일성건축) 
→ 씽크대 철거,원복 하지 않음</t>
    <phoneticPr fontId="12" type="noConversion"/>
  </si>
  <si>
    <t>화장실 도어 보수완료
방 도어 보수완료
화장실 도어 , 방 도어보수2개소 완료
화장실 도어 , 방 도어보수2개소 완료</t>
    <phoneticPr fontId="12" type="noConversion"/>
  </si>
  <si>
    <t>503-4
702-1 
206</t>
    <phoneticPr fontId="10" type="noConversion"/>
  </si>
  <si>
    <t>503
 501</t>
    <phoneticPr fontId="10" type="noConversion"/>
  </si>
  <si>
    <t xml:space="preserve">A </t>
  </si>
  <si>
    <t xml:space="preserve">A 
B </t>
  </si>
  <si>
    <t xml:space="preserve">A 
B 
8 </t>
  </si>
  <si>
    <t xml:space="preserve">8 
9 </t>
  </si>
  <si>
    <t xml:space="preserve">8 
5 </t>
  </si>
  <si>
    <t>작업시간(인당)</t>
    <phoneticPr fontId="10" type="noConversion"/>
  </si>
  <si>
    <t>전체 시간</t>
    <phoneticPr fontId="10" type="noConversion"/>
  </si>
  <si>
    <t>방충망
(개)</t>
    <phoneticPr fontId="10" type="noConversion"/>
  </si>
  <si>
    <t>코킹재
(개)</t>
    <phoneticPr fontId="10" type="noConversion"/>
  </si>
  <si>
    <t>걸레받이
(m)</t>
    <phoneticPr fontId="10" type="noConversion"/>
  </si>
  <si>
    <t>일성건축</t>
    <phoneticPr fontId="10" type="noConversion"/>
  </si>
  <si>
    <t>A</t>
    <phoneticPr fontId="10" type="noConversion"/>
  </si>
  <si>
    <t>A
B</t>
    <phoneticPr fontId="10" type="noConversion"/>
  </si>
  <si>
    <t>903-4
701-5
503-5
401-3
303-5</t>
    <phoneticPr fontId="10" type="noConversion"/>
  </si>
  <si>
    <t>남해원</t>
    <phoneticPr fontId="10" type="noConversion"/>
  </si>
  <si>
    <t>303-5
901-4
704-4</t>
    <phoneticPr fontId="10" type="noConversion"/>
  </si>
  <si>
    <t>701-5
702-1
1002-2</t>
    <phoneticPr fontId="10" type="noConversion"/>
  </si>
  <si>
    <t>앞뒤 베란다 천장.벽면 들뜸보수 및 크랙 전체보수
앞뒤 베란다 창고 곰팡이 제거 및 천장 단열작업</t>
    <phoneticPr fontId="10" type="noConversion"/>
  </si>
  <si>
    <t>방 및 화장실 도어 보수
방 도어 보수
방 도어 보수
화장실 도어 보수
방 도어 보수</t>
    <phoneticPr fontId="10" type="noConversion"/>
  </si>
  <si>
    <t>화장실 도어 보수
화장실 도어 보수
방 및 화장실 도어 보수
버티컬 설치 완료</t>
    <phoneticPr fontId="10" type="noConversion"/>
  </si>
  <si>
    <t>화장실 우측 석고보드 교체
버티컬 설치 완료
화장실 우측 석고 보드 교체 완료
발코니 창문 우측벽 단열재 들뜸 보수</t>
    <phoneticPr fontId="10" type="noConversion"/>
  </si>
  <si>
    <t>화장실 좌측방 천장 누수 점검 및 보수
씽크대 상판 전체 실리콘 제거후 재설치 작업</t>
    <phoneticPr fontId="10" type="noConversion"/>
  </si>
  <si>
    <t>걸레받이 8군데 교체 완료
씽크대 상판 실리콘 제거후 재설치 작업
뒤베란다 벽면 크랙 보수 완료
화장실 벽면 모서리 4군데 실리콘 작업</t>
    <phoneticPr fontId="10" type="noConversion"/>
  </si>
  <si>
    <t>1차분 (정산 완료)</t>
    <phoneticPr fontId="10" type="noConversion"/>
  </si>
  <si>
    <t>L003</t>
  </si>
  <si>
    <t>M/D</t>
    <phoneticPr fontId="10" type="noConversion"/>
  </si>
  <si>
    <t>열반사 단열재 (m2)</t>
    <phoneticPr fontId="10" type="noConversion"/>
  </si>
  <si>
    <t>석고보드 12.5t(매)</t>
    <phoneticPr fontId="10" type="noConversion"/>
  </si>
  <si>
    <t>블라인드
개소
(5㎡)</t>
    <phoneticPr fontId="10" type="noConversion"/>
  </si>
  <si>
    <t>이보드 23t
(m2)</t>
    <phoneticPr fontId="10" type="noConversion"/>
  </si>
  <si>
    <t>1.38
(m2)</t>
    <phoneticPr fontId="10" type="noConversion"/>
  </si>
  <si>
    <t>방화문 
가스켓 구매
(3세대)</t>
    <phoneticPr fontId="10" type="noConversion"/>
  </si>
  <si>
    <t>(5)
m2
금회이월</t>
    <phoneticPr fontId="12" type="noConversion"/>
  </si>
  <si>
    <t>(3.62)
m2
금회이월</t>
    <phoneticPr fontId="12" type="noConversion"/>
  </si>
  <si>
    <t>석고보드
(12.5T) 
2장</t>
    <phoneticPr fontId="10" type="noConversion"/>
  </si>
  <si>
    <t>이보드(23T) 
1장, 
열반사 단열재
2.5m2</t>
    <phoneticPr fontId="10" type="noConversion"/>
  </si>
  <si>
    <t>=&gt;금회 이월</t>
    <phoneticPr fontId="12" type="noConversion"/>
  </si>
  <si>
    <t>3차분 (정산진행)</t>
    <phoneticPr fontId="10" type="noConversion"/>
  </si>
  <si>
    <t xml:space="preserve"> 2
103</t>
    <phoneticPr fontId="10" type="noConversion"/>
  </si>
  <si>
    <t>108
303</t>
    <phoneticPr fontId="10" type="noConversion"/>
  </si>
  <si>
    <t>안방,작은방 코너 단열작업
화장실 벽타일 보수 완료
걸레받이 2개소 교체 완료
방충망 3개소 완료</t>
    <phoneticPr fontId="10" type="noConversion"/>
  </si>
  <si>
    <t>이보드(13T) 2장, 열반사 단열재 5.0m2</t>
    <phoneticPr fontId="10" type="noConversion"/>
  </si>
  <si>
    <t>103
9
2</t>
    <phoneticPr fontId="10" type="noConversion"/>
  </si>
  <si>
    <t>303
304
108</t>
    <phoneticPr fontId="10" type="noConversion"/>
  </si>
  <si>
    <t>씽크대 상판 실리콘 재코킹 작업 완료
창문 시트지 6개소 제거 완료
방충망 3개소 교체 완료
도어보수 2개소 완료
방충망 4개소 완료
빨래건조대 설치 완료</t>
    <phoneticPr fontId="10" type="noConversion"/>
  </si>
  <si>
    <t>누수 부분 도배</t>
    <phoneticPr fontId="10" type="noConversion"/>
  </si>
  <si>
    <t>도어 보수2개소 완료
씽크대 상판 실리콘 재코킹 작업 완료
앞베란다 외부샤시 바닥 실리콘 작업 완료
방충망 3개소 완료</t>
    <phoneticPr fontId="10" type="noConversion"/>
  </si>
  <si>
    <t xml:space="preserve"> 8
103</t>
    <phoneticPr fontId="10" type="noConversion"/>
  </si>
  <si>
    <t>401
204</t>
    <phoneticPr fontId="10" type="noConversion"/>
  </si>
  <si>
    <t>도어보수 1개소 완료
방충망 2개소 완료 
방충망 1개소 완료
작은방 커텐박스 아티론+이보드 작업 완료
작은방 창문 하단 실리콘 재시공 완료
걸레받이 3개소 교체 완료</t>
    <phoneticPr fontId="10" type="noConversion"/>
  </si>
  <si>
    <t>103
A
A
102</t>
    <phoneticPr fontId="10" type="noConversion"/>
  </si>
  <si>
    <t>204
701-6
303-1
205</t>
    <phoneticPr fontId="10" type="noConversion"/>
  </si>
  <si>
    <t>방충망 3개소 완료
도어보수 1개소 완료
화장실 좌측 석고보드 들뜸 교체 완료
화장실 도어 보수 완료
화장실 도어 보수 완료
씽크대 측판 교체 (이동원)</t>
    <phoneticPr fontId="10" type="noConversion"/>
  </si>
  <si>
    <t>3
(-0.09)
[감액]</t>
    <phoneticPr fontId="10" type="noConversion"/>
  </si>
  <si>
    <t xml:space="preserve"> A
B</t>
    <phoneticPr fontId="10" type="noConversion"/>
  </si>
  <si>
    <t xml:space="preserve"> 301-1
1001-3</t>
    <phoneticPr fontId="10" type="noConversion"/>
  </si>
  <si>
    <t>화장실 좌측,우측 석고보드 들뜸보수 2개소 완료
버티컬 교체 완료
벽단열재 들뜸 재시공 완료</t>
    <phoneticPr fontId="10" type="noConversion"/>
  </si>
  <si>
    <t>씽크대 상판 실리콘 재코킹
천장 곰팡이 제거
방충망 5개소 완료
앞뒤 베란다 전체 크랙 보수
화장실문 시트지 재시공</t>
    <phoneticPr fontId="10" type="noConversion"/>
  </si>
  <si>
    <t>기숙사 AB동 문보수용
엣지 필름 구매
(영수증 첨부)</t>
    <phoneticPr fontId="10" type="noConversion"/>
  </si>
  <si>
    <r>
      <t xml:space="preserve">앞뒤 베란다 전체 크랙 보수 완료
</t>
    </r>
    <r>
      <rPr>
        <sz val="15"/>
        <color theme="1"/>
        <rFont val="맑은 고딕"/>
        <family val="3"/>
        <charset val="129"/>
        <scheme val="minor"/>
      </rPr>
      <t>붙박이장 시트지 보수 3개소 완료</t>
    </r>
    <r>
      <rPr>
        <sz val="15"/>
        <rFont val="맑은 고딕"/>
        <family val="3"/>
        <charset val="129"/>
        <scheme val="minor"/>
      </rPr>
      <t xml:space="preserve">
도어 보수 3개소 완료</t>
    </r>
    <phoneticPr fontId="10" type="noConversion"/>
  </si>
  <si>
    <t>방충망 7개소 완료</t>
    <phoneticPr fontId="10" type="noConversion"/>
  </si>
  <si>
    <t>0</t>
    <phoneticPr fontId="10" type="noConversion"/>
  </si>
  <si>
    <t>뒤베란다 창고앞 외부샤시 천장 누수점검 및 실리콘
작업 완료
앞베란다 샤시 천장 실리콘 작업 완료
문보수 3개소 완료(합판들뜸 포함)
씽크대 상판 보수 완료
방충망 4개소 완료</t>
    <phoneticPr fontId="10" type="noConversion"/>
  </si>
  <si>
    <t>8
5</t>
    <phoneticPr fontId="10" type="noConversion"/>
  </si>
  <si>
    <t>209
204</t>
    <phoneticPr fontId="10" type="noConversion"/>
  </si>
  <si>
    <t>방충망 3개소 완료
뒤베란다 창고옆 벽면 창틀 누수점검및 실리콘 작업
앞베란다 외부샤시 하단 실리콘 작업 완료
문보수 2개소 완료
방충망 6개소 완료</t>
    <phoneticPr fontId="10" type="noConversion"/>
  </si>
  <si>
    <t>9
7</t>
    <phoneticPr fontId="10" type="noConversion"/>
  </si>
  <si>
    <t>302
405</t>
    <phoneticPr fontId="10" type="noConversion"/>
  </si>
  <si>
    <t>방충망 3개소 교체 완료
씽크대 상판 실리콘 제거 및 재코킹 작업 완료
앞,뒤 베란다 벽면 크렉 전체 보수 완료
도어 보수1개소 완료
걸레받이 1개소 교체 완료</t>
    <phoneticPr fontId="10" type="noConversion"/>
  </si>
  <si>
    <r>
      <rPr>
        <sz val="15"/>
        <color theme="1"/>
        <rFont val="맑은 고딕"/>
        <family val="3"/>
        <charset val="129"/>
        <scheme val="minor"/>
      </rPr>
      <t>신발장 시트지</t>
    </r>
    <r>
      <rPr>
        <sz val="15"/>
        <rFont val="맑은 고딕"/>
        <family val="3"/>
        <charset val="129"/>
        <scheme val="minor"/>
      </rPr>
      <t xml:space="preserve"> 제거 및 교체 완료
화장실 문측면 시트지 교체완료
씽크대 상판 실리콘 제거및 재코킹 작업 완료
방충망 2개소 교체 완료
뒤베란다 크렉 보수 완료</t>
    </r>
    <phoneticPr fontId="10" type="noConversion"/>
  </si>
  <si>
    <t>101
2</t>
    <phoneticPr fontId="10" type="noConversion"/>
  </si>
  <si>
    <t>204
306</t>
    <phoneticPr fontId="10" type="noConversion"/>
  </si>
  <si>
    <t>걸레받이 6개소 교체 완료
씽크대 상판 실리콘 제거 및 재코킹 작업 완료
방충망 3개소 교체 완료
방충망 2개소 교체 완료
씽크대 상판 실리콘 제거 및 재코킹 작업 완료</t>
    <phoneticPr fontId="10" type="noConversion"/>
  </si>
  <si>
    <t>306
106</t>
    <phoneticPr fontId="10" type="noConversion"/>
  </si>
  <si>
    <r>
      <t xml:space="preserve">도어보수 1개소 완료
</t>
    </r>
    <r>
      <rPr>
        <sz val="15"/>
        <color theme="1"/>
        <rFont val="맑은 고딕"/>
        <family val="3"/>
        <charset val="129"/>
        <scheme val="minor"/>
      </rPr>
      <t>신발장 시트지</t>
    </r>
    <r>
      <rPr>
        <sz val="15"/>
        <rFont val="맑은 고딕"/>
        <family val="3"/>
        <charset val="129"/>
        <scheme val="minor"/>
      </rPr>
      <t xml:space="preserve"> 제거 및 교체 완료
도어보수 1개소 완료
씽크대 상판 실리콘 제거 및 재코킹 작업 완료
앞,뒤 베란다 벽면 크렉 전체 보수 완료
뒤베란다 곰팡이 제거 롼료
방충망 3개소 교체 완료</t>
    </r>
    <phoneticPr fontId="10" type="noConversion"/>
  </si>
  <si>
    <r>
      <rPr>
        <sz val="10"/>
        <rFont val="HY견고딕"/>
        <family val="1"/>
        <charset val="129"/>
      </rPr>
      <t>긴급보수</t>
    </r>
    <r>
      <rPr>
        <sz val="10"/>
        <rFont val="Arial"/>
        <family val="2"/>
      </rPr>
      <t xml:space="preserve"> </t>
    </r>
    <r>
      <rPr>
        <sz val="10"/>
        <rFont val="HY견고딕"/>
        <family val="1"/>
        <charset val="129"/>
      </rPr>
      <t>대응</t>
    </r>
    <phoneticPr fontId="10" type="noConversion"/>
  </si>
  <si>
    <t>특별인부(</t>
    <phoneticPr fontId="10" type="noConversion"/>
  </si>
  <si>
    <t xml:space="preserve"> 공사명 : 기숙사 및 사택 긴급 보수작업(건축)-3차</t>
    <phoneticPr fontId="16" type="noConversion"/>
  </si>
  <si>
    <t xml:space="preserve"> 견적일 : 2025년  07월   17일</t>
    <phoneticPr fontId="16" type="noConversion"/>
  </si>
  <si>
    <t>2차분 (정산 완료)</t>
    <phoneticPr fontId="10" type="noConversion"/>
  </si>
  <si>
    <t>씽크대
보수</t>
    <phoneticPr fontId="10" type="noConversion"/>
  </si>
  <si>
    <t>빨레
건조대</t>
    <phoneticPr fontId="10" type="noConversion"/>
  </si>
  <si>
    <t>신발장
필름 (6m2)</t>
    <phoneticPr fontId="10" type="noConversion"/>
  </si>
  <si>
    <t>0.3
(2.7)
전회이월</t>
    <phoneticPr fontId="10" type="noConversion"/>
  </si>
  <si>
    <t>빨래건조대 1개(설비 업체 미지정으로 대응)
(영수증 첨부)</t>
    <phoneticPr fontId="10" type="noConversion"/>
  </si>
  <si>
    <t>소 계</t>
    <phoneticPr fontId="10" type="noConversion"/>
  </si>
  <si>
    <t>102-205 씽크대 
가스렌지 다이 양측판 교체
 (세금계산서 첨부)</t>
    <phoneticPr fontId="10" type="noConversion"/>
  </si>
  <si>
    <t>문보수용 
경첩피스 구매
(영수증 첨부)</t>
    <phoneticPr fontId="10" type="noConversion"/>
  </si>
  <si>
    <t>=&gt;금회 절감</t>
    <phoneticPr fontId="12" type="noConversion"/>
  </si>
  <si>
    <t>\</t>
    <phoneticPr fontId="10" type="noConversion"/>
  </si>
  <si>
    <t>Fee 포함</t>
    <phoneticPr fontId="10" type="noConversion"/>
  </si>
  <si>
    <t>특별인부
(시공사
입력)</t>
    <phoneticPr fontId="10" type="noConversion"/>
  </si>
  <si>
    <t>시공사 
자발적
절감 인원</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</si>
</sst>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 #,##0_-;_-*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000_ "/>
    <numFmt numFmtId="183" formatCode="#,##0;\-#,##0;"/>
    <numFmt numFmtId="185" formatCode="[hh]\ &quot;시간&quot;\ mm\ &quot;분&quot;"/>
    <numFmt numFmtId="187" formatCode="mm&quot;월&quot;\ dd&quot;일&quot;"/>
    <numFmt numFmtId="188" formatCode="0.0000"/>
    <numFmt numFmtId="189" formatCode="0_);[Red]\(0\)"/>
  </numFmts>
  <fonts count="110">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1"/>
      <color theme="1"/>
      <name val="LG스마트체 Regular"/>
      <family val="3"/>
      <charset val="129"/>
    </font>
    <font>
      <sz val="10"/>
      <color theme="0" tint="-0.34998626667073579"/>
      <name val="LG스마트체 Regular"/>
      <family val="3"/>
      <charset val="129"/>
    </font>
    <font>
      <b/>
      <sz val="10"/>
      <color theme="1" tint="0.34998626667073579"/>
      <name val="맑은 고딕"/>
      <family val="3"/>
      <charset val="129"/>
      <scheme val="minor"/>
    </font>
    <font>
      <b/>
      <sz val="15"/>
      <color theme="0" tint="-0.249977111117893"/>
      <name val="맑은 고딕"/>
      <family val="3"/>
      <charset val="129"/>
      <scheme val="minor"/>
    </font>
    <font>
      <sz val="14"/>
      <color theme="0" tint="-0.34998626667073579"/>
      <name val="맑은 고딕"/>
      <family val="3"/>
      <charset val="129"/>
      <scheme val="minor"/>
    </font>
    <font>
      <sz val="15"/>
      <color theme="0" tint="-0.34998626667073579"/>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b/>
      <sz val="15"/>
      <name val="맑은 고딕"/>
      <family val="3"/>
      <charset val="129"/>
      <scheme val="minor"/>
    </font>
    <font>
      <b/>
      <sz val="20"/>
      <color theme="1"/>
      <name val="맑은 고딕"/>
      <family val="3"/>
      <charset val="129"/>
      <scheme val="minor"/>
    </font>
    <font>
      <b/>
      <sz val="20"/>
      <color rgb="FFFF00FF"/>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theme="1" tint="0.34998626667073579"/>
      <name val="맑은 고딕"/>
      <family val="3"/>
      <charset val="129"/>
      <scheme val="minor"/>
    </font>
    <font>
      <b/>
      <sz val="20"/>
      <color theme="0" tint="-0.34998626667073579"/>
      <name val="맑은 고딕"/>
      <family val="3"/>
      <charset val="129"/>
      <scheme val="minor"/>
    </font>
    <font>
      <sz val="20"/>
      <color theme="1"/>
      <name val="맑은 고딕"/>
      <family val="3"/>
      <charset val="129"/>
      <scheme val="minor"/>
    </font>
    <font>
      <b/>
      <sz val="15"/>
      <color theme="0" tint="-0.34998626667073579"/>
      <name val="맑은 고딕"/>
      <family val="3"/>
      <charset val="129"/>
      <scheme val="minor"/>
    </font>
    <font>
      <sz val="17"/>
      <color theme="0" tint="-0.34998626667073579"/>
      <name val="맑은 고딕"/>
      <family val="3"/>
      <charset val="129"/>
      <scheme val="minor"/>
    </font>
    <font>
      <sz val="11"/>
      <color theme="0" tint="-0.34998626667073579"/>
      <name val="맑은 고딕"/>
      <family val="3"/>
      <charset val="129"/>
      <scheme val="minor"/>
    </font>
    <font>
      <sz val="10"/>
      <color rgb="FF000000"/>
      <name val="Arial"/>
      <family val="2"/>
    </font>
    <font>
      <sz val="10"/>
      <color theme="1"/>
      <name val="Arial"/>
      <family val="2"/>
    </font>
    <font>
      <sz val="10"/>
      <name val="Arial"/>
      <family val="2"/>
    </font>
    <font>
      <sz val="10"/>
      <name val="Malgun Gothic"/>
      <family val="3"/>
      <charset val="129"/>
    </font>
    <font>
      <sz val="20"/>
      <color rgb="FFFF0000"/>
      <name val="LG스마트체 Regular"/>
      <family val="3"/>
      <charset val="129"/>
    </font>
    <font>
      <b/>
      <sz val="22"/>
      <color rgb="FFFF00FF"/>
      <name val="맑은 고딕"/>
      <family val="3"/>
      <charset val="129"/>
      <scheme val="minor"/>
    </font>
    <font>
      <b/>
      <sz val="22"/>
      <name val="맑은 고딕"/>
      <family val="3"/>
      <charset val="129"/>
      <scheme val="minor"/>
    </font>
    <font>
      <sz val="20"/>
      <color theme="1"/>
      <name val="맑은 고딕"/>
      <family val="2"/>
      <charset val="129"/>
      <scheme val="minor"/>
    </font>
    <font>
      <b/>
      <sz val="22"/>
      <color theme="0" tint="-0.34998626667073579"/>
      <name val="맑은 고딕"/>
      <family val="3"/>
      <charset val="129"/>
      <scheme val="minor"/>
    </font>
    <font>
      <b/>
      <sz val="15"/>
      <color theme="1"/>
      <name val="맑은 고딕"/>
      <family val="3"/>
      <charset val="129"/>
      <scheme val="minor"/>
    </font>
    <font>
      <sz val="15"/>
      <color rgb="FFFF00FF"/>
      <name val="맑은 고딕"/>
      <family val="3"/>
      <charset val="129"/>
      <scheme val="minor"/>
    </font>
    <font>
      <b/>
      <sz val="15"/>
      <color rgb="FFFF0000"/>
      <name val="맑은 고딕"/>
      <family val="3"/>
      <charset val="129"/>
      <scheme val="minor"/>
    </font>
    <font>
      <b/>
      <sz val="22"/>
      <color theme="1"/>
      <name val="맑은 고딕"/>
      <family val="3"/>
      <charset val="129"/>
      <scheme val="minor"/>
    </font>
    <font>
      <sz val="22"/>
      <name val="맑은 고딕"/>
      <family val="3"/>
      <charset val="129"/>
      <scheme val="minor"/>
    </font>
    <font>
      <b/>
      <sz val="14"/>
      <color theme="1" tint="0.499984740745262"/>
      <name val="맑은 고딕"/>
      <family val="3"/>
      <charset val="129"/>
      <scheme val="minor"/>
    </font>
    <font>
      <sz val="22"/>
      <color theme="0" tint="-0.34998626667073579"/>
      <name val="맑은 고딕"/>
      <family val="3"/>
      <charset val="129"/>
      <scheme val="minor"/>
    </font>
    <font>
      <b/>
      <sz val="22"/>
      <color theme="0" tint="-0.14999847407452621"/>
      <name val="맑은 고딕"/>
      <family val="3"/>
      <charset val="129"/>
      <scheme val="minor"/>
    </font>
    <font>
      <sz val="18"/>
      <color theme="0" tint="-0.499984740745262"/>
      <name val="LG스마트체 Regular"/>
      <family val="3"/>
      <charset val="129"/>
    </font>
    <font>
      <b/>
      <sz val="20"/>
      <color theme="0" tint="-0.499984740745262"/>
      <name val="LG스마트체 Regular"/>
      <family val="3"/>
      <charset val="129"/>
    </font>
    <font>
      <sz val="15"/>
      <color theme="1"/>
      <name val="맑은 고딕"/>
      <family val="3"/>
      <charset val="129"/>
      <scheme val="minor"/>
    </font>
    <font>
      <b/>
      <sz val="17"/>
      <name val="맑은 고딕"/>
      <family val="3"/>
      <charset val="129"/>
      <scheme val="minor"/>
    </font>
    <font>
      <sz val="14"/>
      <color theme="1"/>
      <name val="맑은 고딕"/>
      <family val="3"/>
      <charset val="129"/>
      <scheme val="minor"/>
    </font>
    <font>
      <sz val="10"/>
      <name val="HY견고딕"/>
      <family val="1"/>
      <charset val="129"/>
    </font>
    <font>
      <sz val="17"/>
      <color theme="1"/>
      <name val="맑은 고딕"/>
      <family val="3"/>
      <charset val="129"/>
      <scheme val="minor"/>
    </font>
    <font>
      <b/>
      <sz val="16"/>
      <color rgb="FFFF00FF"/>
      <name val="LG스마트체 Regular"/>
      <family val="3"/>
      <charset val="129"/>
    </font>
    <font>
      <sz val="30"/>
      <name val="맑은 고딕"/>
      <family val="3"/>
      <charset val="129"/>
      <scheme val="minor"/>
    </font>
    <font>
      <sz val="10"/>
      <color rgb="FFFF0000"/>
      <name val="LG스마트체 Regular"/>
      <family val="3"/>
      <charset val="129"/>
    </font>
    <font>
      <sz val="26"/>
      <color rgb="FFFF0000"/>
      <name val="LG스마트체 Regular"/>
      <family val="3"/>
      <charset val="129"/>
    </font>
    <font>
      <sz val="22"/>
      <color theme="0" tint="-0.14999847407452621"/>
      <name val="맑은 고딕"/>
      <family val="3"/>
      <charset val="129"/>
      <scheme val="minor"/>
    </font>
    <font>
      <b/>
      <sz val="22"/>
      <color theme="0" tint="-0.249977111117893"/>
      <name val="맑은 고딕"/>
      <family val="3"/>
      <charset val="129"/>
      <scheme val="minor"/>
    </font>
    <font>
      <sz val="22"/>
      <color theme="1" tint="0.499984740745262"/>
      <name val="맑은 고딕"/>
      <family val="3"/>
      <charset val="129"/>
      <scheme val="minor"/>
    </font>
    <font>
      <sz val="22"/>
      <color theme="1"/>
      <name val="맑은 고딕"/>
      <family val="3"/>
      <charset val="129"/>
      <scheme val="minor"/>
    </font>
    <font>
      <sz val="22"/>
      <color indexed="8"/>
      <name val="맑은 고딕"/>
      <family val="3"/>
      <charset val="129"/>
      <scheme val="minor"/>
    </font>
    <font>
      <b/>
      <sz val="15"/>
      <color theme="0" tint="-0.499984740745262"/>
      <name val="맑은 고딕"/>
      <family val="3"/>
      <charset val="129"/>
      <scheme val="minor"/>
    </font>
    <font>
      <sz val="23"/>
      <color theme="1"/>
      <name val="맑은 고딕"/>
      <family val="3"/>
      <charset val="129"/>
      <scheme val="minor"/>
    </font>
    <font>
      <b/>
      <sz val="23"/>
      <color theme="0" tint="-0.34998626667073579"/>
      <name val="맑은 고딕"/>
      <family val="3"/>
      <charset val="129"/>
      <scheme val="minor"/>
    </font>
    <font>
      <b/>
      <sz val="28"/>
      <color theme="1"/>
      <name val="맑은 고딕"/>
      <family val="3"/>
      <charset val="129"/>
      <scheme val="minor"/>
    </font>
    <font>
      <b/>
      <sz val="28"/>
      <color rgb="FFFF00FF"/>
      <name val="맑은 고딕"/>
      <family val="3"/>
      <charset val="129"/>
      <scheme val="minor"/>
    </font>
    <font>
      <b/>
      <sz val="28"/>
      <name val="맑은 고딕"/>
      <family val="3"/>
      <charset val="129"/>
      <scheme val="minor"/>
    </font>
    <font>
      <b/>
      <sz val="28"/>
      <color rgb="FF7030A0"/>
      <name val="맑은 고딕"/>
      <family val="3"/>
      <charset val="129"/>
      <scheme val="minor"/>
    </font>
    <font>
      <sz val="10"/>
      <color rgb="FFFF00FF"/>
      <name val="LG스마트체 Regular"/>
      <family val="3"/>
      <charset val="129"/>
    </font>
    <font>
      <sz val="26"/>
      <color rgb="FFFF00FF"/>
      <name val="LG스마트체 Regular"/>
      <family val="3"/>
      <charset val="129"/>
    </font>
    <font>
      <b/>
      <sz val="14"/>
      <color rgb="FFFF00FF"/>
      <name val="LG스마트체 Regular"/>
      <family val="3"/>
      <charset val="129"/>
    </font>
    <font>
      <b/>
      <sz val="30"/>
      <color rgb="FFFF00FF"/>
      <name val="맑은 고딕"/>
      <family val="3"/>
      <charset val="129"/>
      <scheme val="minor"/>
    </font>
    <font>
      <sz val="30"/>
      <color theme="1"/>
      <name val="맑은 고딕"/>
      <family val="3"/>
      <charset val="129"/>
      <scheme val="minor"/>
    </font>
    <font>
      <sz val="16"/>
      <color rgb="FFFF00FF"/>
      <name val="LG스마트체 Regular"/>
      <family val="3"/>
      <charset val="129"/>
    </font>
    <font>
      <b/>
      <sz val="26"/>
      <color rgb="FFFF00FF"/>
      <name val="LG스마트체 Regular"/>
      <family val="3"/>
      <charset val="129"/>
    </font>
    <font>
      <b/>
      <sz val="20"/>
      <color theme="1"/>
      <name val="LG스마트체 Regular"/>
      <family val="3"/>
      <charset val="129"/>
    </font>
    <font>
      <b/>
      <sz val="16"/>
      <color rgb="FFFF00FF"/>
      <name val="Arial"/>
      <family val="2"/>
    </font>
    <font>
      <b/>
      <sz val="26"/>
      <name val="LG스마트체 Regular"/>
      <family val="3"/>
      <charset val="129"/>
    </font>
    <font>
      <b/>
      <sz val="30"/>
      <name val="맑은 고딕"/>
      <family val="3"/>
      <charset val="129"/>
      <scheme val="minor"/>
    </font>
    <font>
      <b/>
      <sz val="35"/>
      <color rgb="FFFF00FF"/>
      <name val="맑은 고딕"/>
      <family val="3"/>
      <charset val="129"/>
      <scheme val="minor"/>
    </font>
    <font>
      <sz val="20"/>
      <name val="LG스마트체 Regular"/>
      <family val="3"/>
      <charset val="129"/>
    </font>
    <font>
      <sz val="16"/>
      <name val="LG스마트체 Regular"/>
      <family val="3"/>
      <charset val="129"/>
    </font>
    <font>
      <sz val="20"/>
      <color theme="1"/>
      <name val="LG스마트체 Regular"/>
      <family val="3"/>
      <charset val="129"/>
    </font>
    <font>
      <sz val="28"/>
      <color theme="1" tint="0.499984740745262"/>
      <name val="맑은 고딕"/>
      <family val="3"/>
      <charset val="129"/>
      <scheme val="minor"/>
    </font>
  </fonts>
  <fills count="21">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lightUp">
        <fgColor theme="0" tint="-0.14996795556505021"/>
        <bgColor indexed="65"/>
      </patternFill>
    </fill>
    <fill>
      <patternFill patternType="lightUp">
        <fgColor theme="0" tint="-0.14996795556505021"/>
        <bgColor rgb="FFFFFF00"/>
      </patternFill>
    </fill>
    <fill>
      <patternFill patternType="lightUp">
        <fgColor theme="0" tint="-0.14996795556505021"/>
        <bgColor theme="0" tint="-4.9989318521683403E-2"/>
      </patternFill>
    </fill>
    <fill>
      <patternFill patternType="lightUp">
        <fgColor theme="0" tint="-0.14996795556505021"/>
        <bgColor theme="9" tint="0.79998168889431442"/>
      </patternFill>
    </fill>
    <fill>
      <patternFill patternType="lightUp">
        <fgColor theme="0" tint="-0.14996795556505021"/>
        <bgColor theme="0"/>
      </patternFill>
    </fill>
    <fill>
      <patternFill patternType="lightUp">
        <fgColor theme="0" tint="-0.499984740745262"/>
        <bgColor theme="9" tint="0.79998168889431442"/>
      </patternFill>
    </fill>
    <fill>
      <patternFill patternType="lightUp">
        <fgColor theme="0" tint="-0.499984740745262"/>
        <bgColor rgb="FFFFFF00"/>
      </patternFill>
    </fill>
    <fill>
      <patternFill patternType="solid">
        <fgColor rgb="FFFF0000"/>
        <bgColor indexed="64"/>
      </patternFill>
    </fill>
    <fill>
      <patternFill patternType="solid">
        <fgColor rgb="FFFF00FF"/>
        <bgColor indexed="64"/>
      </patternFill>
    </fill>
  </fills>
  <borders count="107">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style="thin">
        <color theme="0" tint="-0.24994659260841701"/>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medium">
        <color indexed="64"/>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diagonal/>
    </border>
    <border>
      <left style="thin">
        <color theme="1" tint="0.499984740745262"/>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thin">
        <color indexed="64"/>
      </right>
      <top style="thin">
        <color theme="0" tint="-0.499984740745262"/>
      </top>
      <bottom style="medium">
        <color indexed="64"/>
      </bottom>
      <diagonal/>
    </border>
    <border>
      <left style="thick">
        <color rgb="FFFF0000"/>
      </left>
      <right style="thick">
        <color rgb="FFFF0000"/>
      </right>
      <top style="thick">
        <color rgb="FFFF0000"/>
      </top>
      <bottom style="thin">
        <color theme="0" tint="-0.24994659260841701"/>
      </bottom>
      <diagonal/>
    </border>
    <border>
      <left style="thick">
        <color rgb="FFFF0000"/>
      </left>
      <right style="thick">
        <color rgb="FFFF0000"/>
      </right>
      <top style="thin">
        <color theme="0" tint="-0.24994659260841701"/>
      </top>
      <bottom style="thin">
        <color theme="0" tint="-0.24994659260841701"/>
      </bottom>
      <diagonal/>
    </border>
    <border>
      <left style="thick">
        <color rgb="FFFF0000"/>
      </left>
      <right/>
      <top style="thick">
        <color rgb="FFFF0000"/>
      </top>
      <bottom style="thin">
        <color theme="0" tint="-0.24994659260841701"/>
      </bottom>
      <diagonal/>
    </border>
    <border>
      <left style="thick">
        <color rgb="FFFF0000"/>
      </left>
      <right/>
      <top style="thin">
        <color theme="0" tint="-0.24994659260841701"/>
      </top>
      <bottom style="thin">
        <color theme="0" tint="-0.24994659260841701"/>
      </bottom>
      <diagonal/>
    </border>
    <border>
      <left style="thick">
        <color rgb="FFFF0000"/>
      </left>
      <right/>
      <top/>
      <bottom style="thick">
        <color rgb="FFFF0000"/>
      </bottom>
      <diagonal/>
    </border>
    <border>
      <left style="thick">
        <color rgb="FFFF0000"/>
      </left>
      <right style="thick">
        <color rgb="FFFF0000"/>
      </right>
      <top/>
      <bottom style="thick">
        <color rgb="FFFF0000"/>
      </bottom>
      <diagonal/>
    </border>
    <border>
      <left style="thin">
        <color theme="0" tint="-0.24994659260841701"/>
      </left>
      <right style="thin">
        <color theme="0" tint="-0.24994659260841701"/>
      </right>
      <top/>
      <bottom style="medium">
        <color indexed="64"/>
      </bottom>
      <diagonal/>
    </border>
    <border>
      <left/>
      <right/>
      <top style="medium">
        <color indexed="64"/>
      </top>
      <bottom/>
      <diagonal/>
    </border>
    <border>
      <left/>
      <right/>
      <top style="thin">
        <color indexed="64"/>
      </top>
      <bottom style="medium">
        <color indexed="64"/>
      </bottom>
      <diagonal/>
    </border>
    <border>
      <left/>
      <right style="thin">
        <color indexed="64"/>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right style="thin">
        <color theme="0" tint="-0.24994659260841701"/>
      </right>
      <top style="medium">
        <color indexed="64"/>
      </top>
      <bottom/>
      <diagonal/>
    </border>
    <border>
      <left style="thin">
        <color theme="0" tint="-0.24994659260841701"/>
      </left>
      <right style="thin">
        <color theme="0" tint="-0.24994659260841701"/>
      </right>
      <top style="medium">
        <color indexed="64"/>
      </top>
      <bottom/>
      <diagonal/>
    </border>
    <border>
      <left style="thin">
        <color theme="0" tint="-0.24994659260841701"/>
      </left>
      <right style="thin">
        <color indexed="64"/>
      </right>
      <top style="medium">
        <color indexed="64"/>
      </top>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style="thick">
        <color rgb="FFFF0000"/>
      </left>
      <right style="thick">
        <color rgb="FFFF0000"/>
      </right>
      <top style="thin">
        <color theme="0" tint="-0.24994659260841701"/>
      </top>
      <bottom style="thick">
        <color rgb="FFFF0000"/>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style="medium">
        <color indexed="64"/>
      </left>
      <right style="thin">
        <color theme="0" tint="-0.24994659260841701"/>
      </right>
      <top/>
      <bottom style="thin">
        <color theme="0" tint="-0.24994659260841701"/>
      </bottom>
      <diagonal/>
    </border>
    <border>
      <left/>
      <right style="thin">
        <color theme="0" tint="-0.24994659260841701"/>
      </right>
      <top/>
      <bottom style="thin">
        <color theme="0" tint="-0.24994659260841701"/>
      </bottom>
      <diagonal/>
    </border>
    <border>
      <left style="thick">
        <color theme="0" tint="-0.499984740745262"/>
      </left>
      <right style="thin">
        <color theme="0" tint="-0.24994659260841701"/>
      </right>
      <top style="thick">
        <color theme="0" tint="-0.499984740745262"/>
      </top>
      <bottom style="thin">
        <color theme="0" tint="-0.24994659260841701"/>
      </bottom>
      <diagonal/>
    </border>
    <border>
      <left/>
      <right style="thin">
        <color theme="0" tint="-0.24994659260841701"/>
      </right>
      <top style="thick">
        <color theme="0" tint="-0.499984740745262"/>
      </top>
      <bottom style="thin">
        <color theme="0" tint="-0.24994659260841701"/>
      </bottom>
      <diagonal/>
    </border>
    <border>
      <left style="thin">
        <color theme="0" tint="-0.24994659260841701"/>
      </left>
      <right style="thin">
        <color theme="0" tint="-0.24994659260841701"/>
      </right>
      <top style="thick">
        <color theme="0" tint="-0.499984740745262"/>
      </top>
      <bottom style="thin">
        <color theme="0" tint="-0.24994659260841701"/>
      </bottom>
      <diagonal/>
    </border>
    <border>
      <left style="thin">
        <color theme="0" tint="-0.24994659260841701"/>
      </left>
      <right style="thick">
        <color theme="0" tint="-0.499984740745262"/>
      </right>
      <top style="thick">
        <color theme="0" tint="-0.499984740745262"/>
      </top>
      <bottom style="thin">
        <color theme="0" tint="-0.24994659260841701"/>
      </bottom>
      <diagonal/>
    </border>
    <border>
      <left style="thick">
        <color theme="0" tint="-0.499984740745262"/>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theme="0" tint="-0.499984740745262"/>
      </right>
      <top style="thin">
        <color theme="0" tint="-0.24994659260841701"/>
      </top>
      <bottom style="thin">
        <color theme="0" tint="-0.24994659260841701"/>
      </bottom>
      <diagonal/>
    </border>
    <border>
      <left style="thick">
        <color theme="0" tint="-0.499984740745262"/>
      </left>
      <right style="thin">
        <color theme="0" tint="-0.24994659260841701"/>
      </right>
      <top style="thin">
        <color theme="0" tint="-0.24994659260841701"/>
      </top>
      <bottom style="thick">
        <color theme="0" tint="-0.499984740745262"/>
      </bottom>
      <diagonal/>
    </border>
    <border>
      <left/>
      <right style="thin">
        <color theme="0" tint="-0.24994659260841701"/>
      </right>
      <top style="thin">
        <color theme="0" tint="-0.24994659260841701"/>
      </top>
      <bottom style="thick">
        <color theme="0" tint="-0.499984740745262"/>
      </bottom>
      <diagonal/>
    </border>
    <border>
      <left style="thin">
        <color theme="0" tint="-0.24994659260841701"/>
      </left>
      <right style="thin">
        <color theme="0" tint="-0.24994659260841701"/>
      </right>
      <top style="thin">
        <color theme="0" tint="-0.24994659260841701"/>
      </top>
      <bottom style="thick">
        <color theme="0" tint="-0.499984740745262"/>
      </bottom>
      <diagonal/>
    </border>
    <border>
      <left style="thin">
        <color theme="0" tint="-0.24994659260841701"/>
      </left>
      <right style="thick">
        <color theme="0" tint="-0.499984740745262"/>
      </right>
      <top style="thin">
        <color theme="0" tint="-0.24994659260841701"/>
      </top>
      <bottom style="thick">
        <color theme="0" tint="-0.499984740745262"/>
      </bottom>
      <diagonal/>
    </border>
    <border>
      <left/>
      <right/>
      <top/>
      <bottom style="thin">
        <color theme="0" tint="-0.24994659260841701"/>
      </bottom>
      <diagonal/>
    </border>
    <border>
      <left/>
      <right/>
      <top style="thin">
        <color theme="0" tint="-0.24994659260841701"/>
      </top>
      <bottom/>
      <diagonal/>
    </border>
    <border>
      <left style="thick">
        <color rgb="FFFF0000"/>
      </left>
      <right/>
      <top/>
      <bottom style="thin">
        <color theme="0" tint="-0.24994659260841701"/>
      </bottom>
      <diagonal/>
    </border>
    <border>
      <left style="thin">
        <color theme="1" tint="0.499984740745262"/>
      </left>
      <right style="thin">
        <color theme="1" tint="0.499984740745262"/>
      </right>
      <top style="medium">
        <color indexed="64"/>
      </top>
      <bottom/>
      <diagonal/>
    </border>
    <border>
      <left style="thin">
        <color theme="1" tint="0.499984740745262"/>
      </left>
      <right style="thin">
        <color theme="1" tint="0.499984740745262"/>
      </right>
      <top/>
      <bottom style="medium">
        <color indexed="64"/>
      </bottom>
      <diagonal/>
    </border>
    <border>
      <left/>
      <right style="medium">
        <color theme="0" tint="-0.24994659260841701"/>
      </right>
      <top/>
      <bottom/>
      <diagonal/>
    </border>
    <border>
      <left/>
      <right style="medium">
        <color theme="0" tint="-0.24994659260841701"/>
      </right>
      <top/>
      <bottom style="medium">
        <color theme="0" tint="-0.24994659260841701"/>
      </bottom>
      <diagonal/>
    </border>
  </borders>
  <cellStyleXfs count="26">
    <xf numFmtId="0" fontId="0" fillId="0" borderId="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3" fillId="0" borderId="0"/>
    <xf numFmtId="177" fontId="9" fillId="0" borderId="0" applyFont="0" applyFill="0" applyBorder="0" applyAlignment="0" applyProtection="0">
      <alignment vertical="center"/>
    </xf>
    <xf numFmtId="178" fontId="14" fillId="0" borderId="0" applyFont="0" applyFill="0" applyBorder="0" applyAlignment="0" applyProtection="0"/>
    <xf numFmtId="0" fontId="15" fillId="0" borderId="0"/>
    <xf numFmtId="180" fontId="15" fillId="0" borderId="0" applyFont="0" applyFill="0" applyBorder="0" applyAlignment="0" applyProtection="0"/>
    <xf numFmtId="0" fontId="9" fillId="0" borderId="0">
      <alignment vertical="center"/>
    </xf>
    <xf numFmtId="9" fontId="14" fillId="0" borderId="0" applyFont="0" applyFill="0" applyBorder="0" applyAlignment="0" applyProtection="0"/>
    <xf numFmtId="0" fontId="13" fillId="0" borderId="0"/>
    <xf numFmtId="0" fontId="22" fillId="0" borderId="0"/>
    <xf numFmtId="176" fontId="22" fillId="0" borderId="0" applyFont="0" applyFill="0" applyBorder="0" applyAlignment="0" applyProtection="0"/>
    <xf numFmtId="177" fontId="22" fillId="0" borderId="0" applyFont="0" applyFill="0" applyBorder="0" applyAlignment="0" applyProtection="0">
      <alignment vertical="center"/>
    </xf>
    <xf numFmtId="0" fontId="8" fillId="0" borderId="0">
      <alignment vertical="center"/>
    </xf>
    <xf numFmtId="0" fontId="7" fillId="0" borderId="0">
      <alignment vertical="center"/>
    </xf>
    <xf numFmtId="177" fontId="7" fillId="0" borderId="0" applyFont="0" applyFill="0" applyBorder="0" applyAlignment="0" applyProtection="0">
      <alignment vertical="center"/>
    </xf>
    <xf numFmtId="0" fontId="6" fillId="0" borderId="0">
      <alignment vertical="center"/>
    </xf>
    <xf numFmtId="177" fontId="6" fillId="0" borderId="0" applyFont="0" applyFill="0" applyBorder="0" applyAlignment="0" applyProtection="0">
      <alignment vertical="center"/>
    </xf>
    <xf numFmtId="0" fontId="5" fillId="0" borderId="0">
      <alignment vertical="center"/>
    </xf>
    <xf numFmtId="177" fontId="4" fillId="0" borderId="0" applyFont="0" applyFill="0" applyBorder="0" applyAlignment="0" applyProtection="0">
      <alignment vertical="center"/>
    </xf>
    <xf numFmtId="41" fontId="11" fillId="0" borderId="0" applyFont="0" applyFill="0" applyBorder="0" applyAlignment="0" applyProtection="0">
      <alignment vertical="center"/>
    </xf>
    <xf numFmtId="0" fontId="3" fillId="0" borderId="0">
      <alignment vertical="center"/>
    </xf>
    <xf numFmtId="177" fontId="2" fillId="0" borderId="0" applyFont="0" applyFill="0" applyBorder="0" applyAlignment="0" applyProtection="0">
      <alignment vertical="center"/>
    </xf>
    <xf numFmtId="177" fontId="2" fillId="0" borderId="0" applyFont="0" applyFill="0" applyBorder="0" applyAlignment="0" applyProtection="0">
      <alignment vertical="center"/>
    </xf>
    <xf numFmtId="0" fontId="2" fillId="0" borderId="0">
      <alignment vertical="center"/>
    </xf>
  </cellStyleXfs>
  <cellXfs count="421">
    <xf numFmtId="0" fontId="0" fillId="0" borderId="0" xfId="0">
      <alignment vertical="center"/>
    </xf>
    <xf numFmtId="0" fontId="17" fillId="0" borderId="6" xfId="6" applyFont="1" applyBorder="1" applyAlignment="1">
      <alignment horizontal="right" vertical="center"/>
    </xf>
    <xf numFmtId="0" fontId="23" fillId="0" borderId="0" xfId="6" applyFont="1" applyAlignment="1">
      <alignment vertical="center"/>
    </xf>
    <xf numFmtId="0" fontId="24" fillId="0" borderId="0" xfId="3" applyFont="1"/>
    <xf numFmtId="0" fontId="25" fillId="0" borderId="4" xfId="6" applyFont="1" applyBorder="1" applyAlignment="1">
      <alignment horizontal="center" vertical="center"/>
    </xf>
    <xf numFmtId="0" fontId="17" fillId="0" borderId="5" xfId="6" applyFont="1" applyBorder="1" applyAlignment="1">
      <alignment horizontal="right" vertical="center"/>
    </xf>
    <xf numFmtId="0" fontId="17" fillId="4" borderId="23" xfId="6" applyFont="1" applyFill="1" applyBorder="1" applyAlignment="1">
      <alignment horizontal="center" vertical="center"/>
    </xf>
    <xf numFmtId="0" fontId="17" fillId="4" borderId="24" xfId="6" applyFont="1" applyFill="1" applyBorder="1" applyAlignment="1">
      <alignment vertical="center" shrinkToFit="1"/>
    </xf>
    <xf numFmtId="0" fontId="17" fillId="4" borderId="1" xfId="6" applyFont="1" applyFill="1" applyBorder="1" applyAlignment="1">
      <alignment horizontal="center" vertical="center"/>
    </xf>
    <xf numFmtId="0" fontId="17" fillId="4" borderId="25" xfId="6" applyFont="1" applyFill="1" applyBorder="1" applyAlignment="1">
      <alignment vertical="center" shrinkToFit="1"/>
    </xf>
    <xf numFmtId="0" fontId="26" fillId="0" borderId="0" xfId="6" applyFont="1" applyAlignment="1">
      <alignment vertical="center" shrinkToFit="1"/>
    </xf>
    <xf numFmtId="0" fontId="17" fillId="4" borderId="1" xfId="6" applyFont="1" applyFill="1" applyBorder="1" applyAlignment="1">
      <alignment horizontal="center" vertical="center" shrinkToFit="1"/>
    </xf>
    <xf numFmtId="0" fontId="17" fillId="0" borderId="1" xfId="6" applyFont="1" applyBorder="1" applyAlignment="1">
      <alignment horizontal="center" vertical="center"/>
    </xf>
    <xf numFmtId="0" fontId="17" fillId="0" borderId="25" xfId="6" applyFont="1" applyBorder="1" applyAlignment="1">
      <alignment vertical="center"/>
    </xf>
    <xf numFmtId="0" fontId="25" fillId="0" borderId="0" xfId="6" applyFont="1" applyAlignment="1">
      <alignment horizontal="center" vertical="center" shrinkToFit="1"/>
    </xf>
    <xf numFmtId="0" fontId="17" fillId="0" borderId="26" xfId="6" applyFont="1" applyBorder="1" applyAlignment="1">
      <alignment horizontal="center" vertical="center" shrinkToFit="1"/>
    </xf>
    <xf numFmtId="0" fontId="17" fillId="0" borderId="27" xfId="6" applyFont="1" applyBorder="1" applyAlignment="1">
      <alignment vertical="center" shrinkToFit="1"/>
    </xf>
    <xf numFmtId="0" fontId="26" fillId="0" borderId="6" xfId="6" applyFont="1" applyBorder="1" applyAlignment="1">
      <alignment vertical="center"/>
    </xf>
    <xf numFmtId="179" fontId="25" fillId="0" borderId="6" xfId="6" applyNumberFormat="1" applyFont="1" applyBorder="1" applyAlignment="1">
      <alignment vertical="center"/>
    </xf>
    <xf numFmtId="0" fontId="25" fillId="0" borderId="0" xfId="6" applyFont="1" applyAlignment="1">
      <alignment vertical="center" shrinkToFit="1"/>
    </xf>
    <xf numFmtId="0" fontId="17" fillId="0" borderId="7" xfId="6" applyFont="1" applyBorder="1" applyAlignment="1">
      <alignment horizontal="center" vertical="center"/>
    </xf>
    <xf numFmtId="0" fontId="17" fillId="0" borderId="8" xfId="6" applyFont="1" applyBorder="1" applyAlignment="1">
      <alignment horizontal="center" vertical="center"/>
    </xf>
    <xf numFmtId="0" fontId="17" fillId="0" borderId="9" xfId="6" applyFont="1" applyBorder="1" applyAlignment="1">
      <alignment horizontal="center" vertical="center"/>
    </xf>
    <xf numFmtId="0" fontId="27" fillId="0" borderId="10" xfId="6" applyFont="1" applyBorder="1" applyAlignment="1">
      <alignment horizontal="center" vertical="center"/>
    </xf>
    <xf numFmtId="0" fontId="17" fillId="0" borderId="11" xfId="6" applyFont="1" applyBorder="1" applyAlignment="1">
      <alignment vertical="center"/>
    </xf>
    <xf numFmtId="0" fontId="27" fillId="0" borderId="11" xfId="6" applyFont="1" applyBorder="1" applyAlignment="1">
      <alignment vertical="center"/>
    </xf>
    <xf numFmtId="1" fontId="27" fillId="0" borderId="11" xfId="6" applyNumberFormat="1" applyFont="1" applyBorder="1" applyAlignment="1">
      <alignment horizontal="center" vertical="center"/>
    </xf>
    <xf numFmtId="180" fontId="27" fillId="0" borderId="11" xfId="7" applyFont="1" applyBorder="1" applyAlignment="1">
      <alignment horizontal="right" vertical="center"/>
    </xf>
    <xf numFmtId="0" fontId="27" fillId="0" borderId="12" xfId="6" applyFont="1" applyBorder="1" applyAlignment="1">
      <alignment vertical="center"/>
    </xf>
    <xf numFmtId="0" fontId="27" fillId="0" borderId="13" xfId="6" applyFont="1" applyBorder="1" applyAlignment="1">
      <alignment horizontal="center" vertical="center"/>
    </xf>
    <xf numFmtId="0" fontId="27" fillId="0" borderId="14" xfId="6" applyFont="1" applyBorder="1" applyAlignment="1">
      <alignment horizontal="center" vertical="center"/>
    </xf>
    <xf numFmtId="0" fontId="27" fillId="0" borderId="14" xfId="3" applyFont="1" applyBorder="1" applyAlignment="1">
      <alignment horizontal="center" vertical="center"/>
    </xf>
    <xf numFmtId="1" fontId="27" fillId="0" borderId="14" xfId="6" applyNumberFormat="1" applyFont="1" applyBorder="1" applyAlignment="1">
      <alignment horizontal="center" vertical="center"/>
    </xf>
    <xf numFmtId="180" fontId="27" fillId="0" borderId="14" xfId="7" applyFont="1" applyBorder="1" applyAlignment="1">
      <alignment horizontal="right" vertical="center"/>
    </xf>
    <xf numFmtId="0" fontId="27" fillId="0" borderId="15" xfId="6" quotePrefix="1" applyFont="1" applyBorder="1" applyAlignment="1">
      <alignment vertical="center"/>
    </xf>
    <xf numFmtId="0" fontId="27" fillId="0" borderId="15" xfId="6" applyFont="1" applyBorder="1" applyAlignment="1">
      <alignment vertical="center"/>
    </xf>
    <xf numFmtId="0" fontId="17" fillId="7" borderId="14" xfId="6" applyFont="1" applyFill="1" applyBorder="1" applyAlignment="1">
      <alignment vertical="center"/>
    </xf>
    <xf numFmtId="1" fontId="17" fillId="7" borderId="14" xfId="6" applyNumberFormat="1" applyFont="1" applyFill="1" applyBorder="1" applyAlignment="1">
      <alignment horizontal="center" vertical="center"/>
    </xf>
    <xf numFmtId="180" fontId="17" fillId="7" borderId="14" xfId="7" applyFont="1" applyFill="1" applyBorder="1" applyAlignment="1">
      <alignment horizontal="right" vertical="center"/>
    </xf>
    <xf numFmtId="0" fontId="17" fillId="0" borderId="14" xfId="6" applyFont="1" applyBorder="1" applyAlignment="1">
      <alignment vertical="center"/>
    </xf>
    <xf numFmtId="0" fontId="27" fillId="0" borderId="14" xfId="6" applyFont="1" applyBorder="1" applyAlignment="1">
      <alignment vertical="center"/>
    </xf>
    <xf numFmtId="180" fontId="17" fillId="0" borderId="14" xfId="7" applyFont="1" applyFill="1" applyBorder="1" applyAlignment="1">
      <alignment horizontal="right" vertical="center"/>
    </xf>
    <xf numFmtId="178" fontId="27" fillId="0" borderId="14" xfId="5" applyFont="1" applyFill="1" applyBorder="1" applyAlignment="1">
      <alignment horizontal="right" vertical="center"/>
    </xf>
    <xf numFmtId="0" fontId="27" fillId="4" borderId="14" xfId="6" applyFont="1" applyFill="1" applyBorder="1" applyAlignment="1">
      <alignment vertical="center"/>
    </xf>
    <xf numFmtId="0" fontId="27" fillId="4" borderId="14" xfId="6" applyFont="1" applyFill="1" applyBorder="1" applyAlignment="1">
      <alignment horizontal="center" vertical="center"/>
    </xf>
    <xf numFmtId="178" fontId="27" fillId="4" borderId="14" xfId="5" applyFont="1" applyFill="1" applyBorder="1" applyAlignment="1">
      <alignment horizontal="right" vertical="center"/>
    </xf>
    <xf numFmtId="0" fontId="27" fillId="4" borderId="15" xfId="6" applyFont="1" applyFill="1" applyBorder="1" applyAlignment="1">
      <alignment vertical="center"/>
    </xf>
    <xf numFmtId="0" fontId="27" fillId="0" borderId="14" xfId="3" applyFont="1" applyBorder="1" applyAlignment="1">
      <alignment horizontal="left" vertical="center"/>
    </xf>
    <xf numFmtId="9" fontId="17" fillId="7" borderId="14" xfId="3" applyNumberFormat="1" applyFont="1" applyFill="1" applyBorder="1" applyAlignment="1">
      <alignment horizontal="right" vertical="center"/>
    </xf>
    <xf numFmtId="1" fontId="17" fillId="7" borderId="14" xfId="9" applyNumberFormat="1" applyFont="1" applyFill="1" applyBorder="1" applyAlignment="1">
      <alignment horizontal="center" vertical="center"/>
    </xf>
    <xf numFmtId="177" fontId="17" fillId="7" borderId="14" xfId="7" applyNumberFormat="1" applyFont="1" applyFill="1" applyBorder="1" applyAlignment="1">
      <alignment horizontal="right" vertical="center"/>
    </xf>
    <xf numFmtId="9" fontId="27" fillId="0" borderId="14" xfId="3" applyNumberFormat="1" applyFont="1" applyBorder="1" applyAlignment="1">
      <alignment horizontal="right" vertical="center"/>
    </xf>
    <xf numFmtId="1" fontId="27" fillId="0" borderId="14" xfId="9" applyNumberFormat="1" applyFont="1" applyFill="1" applyBorder="1" applyAlignment="1">
      <alignment horizontal="center" vertical="center"/>
    </xf>
    <xf numFmtId="177" fontId="17" fillId="0" borderId="14" xfId="7" applyNumberFormat="1" applyFont="1" applyFill="1" applyBorder="1" applyAlignment="1">
      <alignment horizontal="right" vertical="center"/>
    </xf>
    <xf numFmtId="0" fontId="27" fillId="0" borderId="14" xfId="3" applyFont="1" applyBorder="1" applyAlignment="1">
      <alignment vertical="center"/>
    </xf>
    <xf numFmtId="180" fontId="27" fillId="4" borderId="14" xfId="7" applyFont="1" applyFill="1" applyBorder="1" applyAlignment="1">
      <alignment horizontal="right" vertical="center"/>
    </xf>
    <xf numFmtId="0" fontId="17" fillId="0" borderId="16" xfId="6" applyFont="1" applyBorder="1" applyAlignment="1">
      <alignment horizontal="center" vertical="center" textRotation="255"/>
    </xf>
    <xf numFmtId="0" fontId="17" fillId="0" borderId="17" xfId="6" applyFont="1" applyBorder="1" applyAlignment="1">
      <alignment vertical="top"/>
    </xf>
    <xf numFmtId="0" fontId="27" fillId="0" borderId="18" xfId="6" applyFont="1" applyBorder="1" applyAlignment="1">
      <alignment vertical="center"/>
    </xf>
    <xf numFmtId="0" fontId="27" fillId="0" borderId="18" xfId="6" applyFont="1" applyBorder="1" applyAlignment="1">
      <alignment horizontal="right" vertical="center"/>
    </xf>
    <xf numFmtId="0" fontId="17" fillId="0" borderId="0" xfId="10" applyFont="1"/>
    <xf numFmtId="0" fontId="24" fillId="0" borderId="0" xfId="0" applyFont="1" applyAlignment="1">
      <alignment horizontal="center" vertical="center"/>
    </xf>
    <xf numFmtId="9" fontId="28" fillId="0" borderId="0" xfId="0" applyNumberFormat="1" applyFont="1" applyAlignment="1">
      <alignment horizontal="center" vertical="center"/>
    </xf>
    <xf numFmtId="181" fontId="28" fillId="2" borderId="0" xfId="2" applyNumberFormat="1" applyFont="1" applyFill="1" applyAlignment="1">
      <alignment horizontal="center" vertical="center"/>
    </xf>
    <xf numFmtId="0" fontId="28" fillId="3" borderId="20" xfId="0" applyFont="1" applyFill="1" applyBorder="1" applyAlignment="1">
      <alignment horizontal="center" vertical="center"/>
    </xf>
    <xf numFmtId="0" fontId="28" fillId="6" borderId="2" xfId="0" applyFont="1" applyFill="1" applyBorder="1" applyAlignment="1">
      <alignment horizontal="center" vertical="center"/>
    </xf>
    <xf numFmtId="178" fontId="28" fillId="3" borderId="2" xfId="5" applyFont="1" applyFill="1" applyBorder="1" applyAlignment="1">
      <alignment horizontal="center" vertical="center"/>
    </xf>
    <xf numFmtId="0" fontId="24" fillId="5" borderId="20" xfId="0" applyFont="1" applyFill="1" applyBorder="1" applyAlignment="1">
      <alignment horizontal="center" vertical="center"/>
    </xf>
    <xf numFmtId="177" fontId="24" fillId="5" borderId="2" xfId="1" applyFont="1" applyFill="1" applyBorder="1" applyAlignment="1">
      <alignment horizontal="center" vertical="center" wrapText="1"/>
    </xf>
    <xf numFmtId="177" fontId="24" fillId="0" borderId="2" xfId="1" applyFont="1" applyFill="1" applyBorder="1" applyAlignment="1">
      <alignment horizontal="center" vertical="center" wrapText="1"/>
    </xf>
    <xf numFmtId="0" fontId="29" fillId="0" borderId="21" xfId="0" applyFont="1" applyBorder="1" applyAlignment="1">
      <alignment horizontal="center" vertical="center"/>
    </xf>
    <xf numFmtId="0" fontId="24" fillId="5" borderId="2" xfId="0" applyFont="1" applyFill="1" applyBorder="1" applyAlignment="1">
      <alignment horizontal="center" vertical="center"/>
    </xf>
    <xf numFmtId="0" fontId="27" fillId="4" borderId="0" xfId="0" applyFont="1" applyFill="1" applyAlignment="1">
      <alignment horizontal="center" vertical="center"/>
    </xf>
    <xf numFmtId="182" fontId="24" fillId="0" borderId="2" xfId="1" applyNumberFormat="1" applyFont="1" applyFill="1" applyBorder="1" applyAlignment="1">
      <alignment horizontal="center" vertical="center"/>
    </xf>
    <xf numFmtId="183" fontId="24" fillId="4" borderId="2" xfId="0" applyNumberFormat="1" applyFont="1" applyFill="1" applyBorder="1" applyAlignment="1">
      <alignment horizontal="right" vertical="center" wrapText="1"/>
    </xf>
    <xf numFmtId="183" fontId="24" fillId="5" borderId="2" xfId="1" applyNumberFormat="1" applyFont="1" applyFill="1" applyBorder="1" applyAlignment="1">
      <alignment horizontal="right" vertical="center" wrapText="1"/>
    </xf>
    <xf numFmtId="0" fontId="24" fillId="0" borderId="0" xfId="0" applyFont="1" applyAlignment="1">
      <alignment vertical="center" wrapText="1"/>
    </xf>
    <xf numFmtId="0" fontId="28" fillId="3" borderId="2" xfId="3" applyFont="1" applyFill="1" applyBorder="1" applyAlignment="1">
      <alignment horizontal="center" vertical="center" wrapText="1"/>
    </xf>
    <xf numFmtId="0" fontId="27" fillId="4" borderId="0" xfId="0" applyFont="1" applyFill="1" applyAlignment="1">
      <alignment vertical="center" wrapText="1"/>
    </xf>
    <xf numFmtId="0" fontId="24" fillId="0" borderId="0" xfId="0" applyFont="1">
      <alignment vertical="center"/>
    </xf>
    <xf numFmtId="0" fontId="28" fillId="8" borderId="22" xfId="0" applyFont="1" applyFill="1" applyBorder="1">
      <alignment vertical="center"/>
    </xf>
    <xf numFmtId="0" fontId="28" fillId="8" borderId="19" xfId="0" applyFont="1" applyFill="1" applyBorder="1">
      <alignment vertical="center"/>
    </xf>
    <xf numFmtId="0" fontId="29" fillId="0" borderId="0" xfId="0" applyFont="1">
      <alignment vertical="center"/>
    </xf>
    <xf numFmtId="0" fontId="27" fillId="9" borderId="0" xfId="0" applyFont="1" applyFill="1">
      <alignment vertical="center"/>
    </xf>
    <xf numFmtId="0" fontId="27" fillId="4" borderId="0" xfId="0" applyFont="1" applyFill="1">
      <alignment vertical="center"/>
    </xf>
    <xf numFmtId="177" fontId="17" fillId="9" borderId="0" xfId="0" applyNumberFormat="1" applyFont="1" applyFill="1">
      <alignment vertical="center"/>
    </xf>
    <xf numFmtId="0" fontId="30" fillId="0" borderId="0" xfId="0" applyFont="1">
      <alignment vertical="center"/>
    </xf>
    <xf numFmtId="177" fontId="30" fillId="0" borderId="0" xfId="0" applyNumberFormat="1" applyFont="1">
      <alignment vertical="center"/>
    </xf>
    <xf numFmtId="0" fontId="27" fillId="0" borderId="0" xfId="0" applyFont="1">
      <alignment vertical="center"/>
    </xf>
    <xf numFmtId="0" fontId="28" fillId="4" borderId="0" xfId="0" applyFont="1" applyFill="1">
      <alignment vertical="center"/>
    </xf>
    <xf numFmtId="0" fontId="32" fillId="0" borderId="0" xfId="22" applyFont="1">
      <alignment vertical="center"/>
    </xf>
    <xf numFmtId="0" fontId="33" fillId="0" borderId="0" xfId="22" quotePrefix="1" applyFont="1" applyAlignment="1">
      <alignment vertical="center" wrapText="1"/>
    </xf>
    <xf numFmtId="0" fontId="32" fillId="0" borderId="0" xfId="22" applyFont="1" applyAlignment="1">
      <alignment horizontal="center" vertical="center"/>
    </xf>
    <xf numFmtId="0" fontId="41" fillId="10" borderId="36" xfId="22" applyFont="1" applyFill="1" applyBorder="1" applyAlignment="1">
      <alignment horizontal="center" vertical="center"/>
    </xf>
    <xf numFmtId="0" fontId="41" fillId="10" borderId="51" xfId="22" applyFont="1" applyFill="1" applyBorder="1" applyAlignment="1">
      <alignment horizontal="center" vertical="center"/>
    </xf>
    <xf numFmtId="0" fontId="41" fillId="10" borderId="52" xfId="22" applyFont="1" applyFill="1" applyBorder="1" applyAlignment="1">
      <alignment horizontal="center" vertical="center"/>
    </xf>
    <xf numFmtId="0" fontId="41" fillId="10" borderId="50" xfId="22" applyFont="1" applyFill="1" applyBorder="1" applyAlignment="1">
      <alignment horizontal="center" vertical="center"/>
    </xf>
    <xf numFmtId="0" fontId="31" fillId="0" borderId="0" xfId="22" applyFont="1" applyAlignment="1">
      <alignment horizontal="center" vertical="center"/>
    </xf>
    <xf numFmtId="0" fontId="34" fillId="0" borderId="0" xfId="22" applyFont="1" applyAlignment="1">
      <alignment horizontal="center" vertical="center"/>
    </xf>
    <xf numFmtId="0" fontId="3" fillId="0" borderId="0" xfId="22">
      <alignment vertical="center"/>
    </xf>
    <xf numFmtId="0" fontId="36" fillId="0" borderId="32" xfId="22" applyFont="1" applyBorder="1" applyAlignment="1">
      <alignment horizontal="center" vertical="center"/>
    </xf>
    <xf numFmtId="0" fontId="37" fillId="0" borderId="29" xfId="22" applyFont="1" applyBorder="1" applyAlignment="1">
      <alignment horizontal="center" vertical="center" wrapText="1"/>
    </xf>
    <xf numFmtId="0" fontId="36" fillId="0" borderId="29" xfId="22" applyFont="1" applyBorder="1" applyAlignment="1">
      <alignment horizontal="center" vertical="center" wrapText="1"/>
    </xf>
    <xf numFmtId="0" fontId="36" fillId="0" borderId="29" xfId="22" applyFont="1" applyBorder="1" applyAlignment="1">
      <alignment horizontal="center" vertical="center"/>
    </xf>
    <xf numFmtId="0" fontId="36" fillId="0" borderId="33" xfId="22" applyFont="1" applyBorder="1" applyAlignment="1">
      <alignment horizontal="center" vertical="center"/>
    </xf>
    <xf numFmtId="185" fontId="39" fillId="0" borderId="14" xfId="22" applyNumberFormat="1" applyFont="1" applyBorder="1" applyAlignment="1">
      <alignment horizontal="center" vertical="center"/>
    </xf>
    <xf numFmtId="0" fontId="37" fillId="0" borderId="14" xfId="22" applyFont="1" applyBorder="1" applyAlignment="1">
      <alignment horizontal="center" vertical="center" wrapText="1"/>
    </xf>
    <xf numFmtId="0" fontId="36" fillId="0" borderId="14" xfId="22" applyFont="1" applyBorder="1" applyAlignment="1">
      <alignment horizontal="center" vertical="center" wrapText="1"/>
    </xf>
    <xf numFmtId="0" fontId="36" fillId="0" borderId="14" xfId="22" applyFont="1" applyBorder="1" applyAlignment="1">
      <alignment horizontal="center" vertical="center"/>
    </xf>
    <xf numFmtId="0" fontId="35" fillId="4" borderId="31" xfId="22" applyFont="1" applyFill="1" applyBorder="1" applyAlignment="1">
      <alignment horizontal="center" vertical="center" wrapText="1"/>
    </xf>
    <xf numFmtId="0" fontId="35" fillId="4" borderId="31" xfId="22" applyFont="1" applyFill="1" applyBorder="1" applyAlignment="1">
      <alignment horizontal="center" vertical="center"/>
    </xf>
    <xf numFmtId="0" fontId="36" fillId="0" borderId="55" xfId="22" applyFont="1" applyBorder="1" applyAlignment="1">
      <alignment horizontal="center" vertical="center"/>
    </xf>
    <xf numFmtId="0" fontId="37" fillId="0" borderId="56" xfId="22" applyFont="1" applyBorder="1" applyAlignment="1">
      <alignment horizontal="center" vertical="center" wrapText="1"/>
    </xf>
    <xf numFmtId="0" fontId="36" fillId="0" borderId="56" xfId="22" applyFont="1" applyBorder="1" applyAlignment="1">
      <alignment horizontal="center" vertical="center" wrapText="1"/>
    </xf>
    <xf numFmtId="0" fontId="36" fillId="0" borderId="56" xfId="22" applyFont="1" applyBorder="1" applyAlignment="1">
      <alignment horizontal="center" vertical="center"/>
    </xf>
    <xf numFmtId="0" fontId="35" fillId="4" borderId="57" xfId="22" applyFont="1" applyFill="1" applyBorder="1" applyAlignment="1">
      <alignment horizontal="center" vertical="center" wrapText="1"/>
    </xf>
    <xf numFmtId="0" fontId="35" fillId="4" borderId="58" xfId="22" applyFont="1" applyFill="1" applyBorder="1" applyAlignment="1">
      <alignment horizontal="center" vertical="center"/>
    </xf>
    <xf numFmtId="0" fontId="35" fillId="4" borderId="59" xfId="22" applyFont="1" applyFill="1" applyBorder="1" applyAlignment="1">
      <alignment horizontal="center" vertical="center"/>
    </xf>
    <xf numFmtId="0" fontId="45" fillId="12" borderId="33" xfId="22" applyFont="1" applyFill="1" applyBorder="1" applyAlignment="1">
      <alignment horizontal="center" vertical="center"/>
    </xf>
    <xf numFmtId="187" fontId="45" fillId="12" borderId="14" xfId="22" applyNumberFormat="1" applyFont="1" applyFill="1" applyBorder="1" applyAlignment="1">
      <alignment horizontal="center" vertical="center"/>
    </xf>
    <xf numFmtId="20" fontId="45" fillId="12" borderId="14" xfId="22" applyNumberFormat="1" applyFont="1" applyFill="1" applyBorder="1" applyAlignment="1">
      <alignment horizontal="center" vertical="center"/>
    </xf>
    <xf numFmtId="20" fontId="46" fillId="14" borderId="14" xfId="22" applyNumberFormat="1" applyFont="1" applyFill="1" applyBorder="1" applyAlignment="1">
      <alignment horizontal="center" vertical="center"/>
    </xf>
    <xf numFmtId="185" fontId="38" fillId="12" borderId="14" xfId="22" applyNumberFormat="1" applyFont="1" applyFill="1" applyBorder="1" applyAlignment="1">
      <alignment horizontal="center" vertical="center"/>
    </xf>
    <xf numFmtId="0" fontId="38" fillId="12" borderId="14" xfId="22" applyFont="1" applyFill="1" applyBorder="1" applyAlignment="1">
      <alignment horizontal="center" vertical="center"/>
    </xf>
    <xf numFmtId="0" fontId="45" fillId="12" borderId="14" xfId="22" applyFont="1" applyFill="1" applyBorder="1" applyAlignment="1">
      <alignment horizontal="center" vertical="center"/>
    </xf>
    <xf numFmtId="0" fontId="38" fillId="12" borderId="14" xfId="22" applyFont="1" applyFill="1" applyBorder="1" applyAlignment="1">
      <alignment vertical="center" wrapText="1"/>
    </xf>
    <xf numFmtId="185" fontId="39" fillId="0" borderId="62" xfId="22" applyNumberFormat="1" applyFont="1" applyBorder="1" applyAlignment="1">
      <alignment horizontal="center" vertical="center"/>
    </xf>
    <xf numFmtId="0" fontId="42" fillId="0" borderId="41" xfId="22" applyFont="1" applyBorder="1" applyAlignment="1">
      <alignment horizontal="center" vertical="center"/>
    </xf>
    <xf numFmtId="0" fontId="45" fillId="0" borderId="33" xfId="22" applyFont="1" applyBorder="1" applyAlignment="1">
      <alignment horizontal="center" vertical="center"/>
    </xf>
    <xf numFmtId="187" fontId="45" fillId="0" borderId="14" xfId="22" applyNumberFormat="1" applyFont="1" applyBorder="1" applyAlignment="1">
      <alignment horizontal="center" vertical="center"/>
    </xf>
    <xf numFmtId="20" fontId="45" fillId="0" borderId="14" xfId="22" applyNumberFormat="1" applyFont="1" applyBorder="1" applyAlignment="1">
      <alignment horizontal="center" vertical="center"/>
    </xf>
    <xf numFmtId="20" fontId="46" fillId="10" borderId="14" xfId="22" applyNumberFormat="1" applyFont="1" applyFill="1" applyBorder="1" applyAlignment="1">
      <alignment horizontal="center" vertical="center"/>
    </xf>
    <xf numFmtId="0" fontId="38" fillId="0" borderId="14" xfId="22" applyFont="1" applyBorder="1" applyAlignment="1">
      <alignment horizontal="center" vertical="center" wrapText="1"/>
    </xf>
    <xf numFmtId="0" fontId="45" fillId="0" borderId="14" xfId="22" applyFont="1" applyBorder="1" applyAlignment="1">
      <alignment horizontal="center" vertical="center" wrapText="1"/>
    </xf>
    <xf numFmtId="0" fontId="45" fillId="0" borderId="14" xfId="22" applyFont="1" applyBorder="1" applyAlignment="1">
      <alignment horizontal="center" vertical="center"/>
    </xf>
    <xf numFmtId="0" fontId="38" fillId="0" borderId="14" xfId="22" applyFont="1" applyBorder="1" applyAlignment="1">
      <alignment vertical="center" wrapText="1"/>
    </xf>
    <xf numFmtId="0" fontId="47" fillId="0" borderId="0" xfId="22" applyFont="1">
      <alignment vertical="center"/>
    </xf>
    <xf numFmtId="0" fontId="42" fillId="0" borderId="60" xfId="22" applyFont="1" applyBorder="1" applyAlignment="1">
      <alignment horizontal="center" vertical="center"/>
    </xf>
    <xf numFmtId="0" fontId="45" fillId="0" borderId="61" xfId="22" applyFont="1" applyBorder="1" applyAlignment="1">
      <alignment horizontal="center" vertical="center"/>
    </xf>
    <xf numFmtId="187" fontId="45" fillId="0" borderId="62" xfId="22" applyNumberFormat="1" applyFont="1" applyBorder="1" applyAlignment="1">
      <alignment horizontal="center" vertical="center"/>
    </xf>
    <xf numFmtId="20" fontId="45" fillId="0" borderId="62" xfId="22" applyNumberFormat="1" applyFont="1" applyBorder="1" applyAlignment="1">
      <alignment horizontal="center" vertical="center"/>
    </xf>
    <xf numFmtId="20" fontId="46" fillId="10" borderId="62" xfId="22" applyNumberFormat="1" applyFont="1" applyFill="1" applyBorder="1" applyAlignment="1">
      <alignment horizontal="center" vertical="center"/>
    </xf>
    <xf numFmtId="0" fontId="38" fillId="0" borderId="62" xfId="22" applyFont="1" applyBorder="1" applyAlignment="1">
      <alignment horizontal="center" vertical="center"/>
    </xf>
    <xf numFmtId="0" fontId="45" fillId="0" borderId="62" xfId="22" applyFont="1" applyBorder="1" applyAlignment="1">
      <alignment horizontal="center" vertical="center"/>
    </xf>
    <xf numFmtId="0" fontId="38" fillId="0" borderId="62" xfId="22" applyFont="1" applyBorder="1" applyAlignment="1">
      <alignment vertical="center" wrapText="1"/>
    </xf>
    <xf numFmtId="187" fontId="48" fillId="0" borderId="45" xfId="22" applyNumberFormat="1" applyFont="1" applyBorder="1" applyAlignment="1">
      <alignment horizontal="center" vertical="center"/>
    </xf>
    <xf numFmtId="20" fontId="48" fillId="0" borderId="45" xfId="22" applyNumberFormat="1" applyFont="1" applyBorder="1" applyAlignment="1">
      <alignment horizontal="center" vertical="center"/>
    </xf>
    <xf numFmtId="0" fontId="50" fillId="0" borderId="0" xfId="22" applyFont="1">
      <alignment vertical="center"/>
    </xf>
    <xf numFmtId="0" fontId="43" fillId="0" borderId="0" xfId="22" applyFont="1" applyAlignment="1">
      <alignment horizontal="centerContinuous" vertical="center"/>
    </xf>
    <xf numFmtId="0" fontId="48" fillId="0" borderId="0" xfId="22" applyFont="1" applyAlignment="1">
      <alignment horizontal="centerContinuous" vertical="center"/>
    </xf>
    <xf numFmtId="0" fontId="51" fillId="0" borderId="39" xfId="22" applyFont="1" applyBorder="1" applyAlignment="1">
      <alignment horizontal="center" vertical="center"/>
    </xf>
    <xf numFmtId="187" fontId="36" fillId="0" borderId="29" xfId="22" applyNumberFormat="1" applyFont="1" applyBorder="1" applyAlignment="1">
      <alignment horizontal="center" vertical="center"/>
    </xf>
    <xf numFmtId="20" fontId="36" fillId="0" borderId="14" xfId="22" applyNumberFormat="1" applyFont="1" applyBorder="1" applyAlignment="1">
      <alignment horizontal="center" vertical="center"/>
    </xf>
    <xf numFmtId="20" fontId="36" fillId="0" borderId="29" xfId="22" applyNumberFormat="1" applyFont="1" applyBorder="1" applyAlignment="1">
      <alignment horizontal="center" vertical="center"/>
    </xf>
    <xf numFmtId="20" fontId="52" fillId="10" borderId="29" xfId="22" applyNumberFormat="1" applyFont="1" applyFill="1" applyBorder="1" applyAlignment="1">
      <alignment horizontal="center" vertical="center"/>
    </xf>
    <xf numFmtId="185" fontId="37" fillId="0" borderId="29" xfId="22" applyNumberFormat="1" applyFont="1" applyBorder="1" applyAlignment="1">
      <alignment horizontal="center" vertical="center"/>
    </xf>
    <xf numFmtId="0" fontId="37" fillId="0" borderId="29" xfId="22" applyFont="1" applyBorder="1" applyAlignment="1">
      <alignment vertical="center" wrapText="1"/>
    </xf>
    <xf numFmtId="0" fontId="53" fillId="0" borderId="0" xfId="22" applyFont="1">
      <alignment vertical="center"/>
    </xf>
    <xf numFmtId="0" fontId="51" fillId="0" borderId="41" xfId="22" applyFont="1" applyBorder="1" applyAlignment="1">
      <alignment horizontal="center" vertical="center"/>
    </xf>
    <xf numFmtId="187" fontId="36" fillId="0" borderId="14" xfId="22" applyNumberFormat="1" applyFont="1" applyBorder="1" applyAlignment="1">
      <alignment horizontal="center" vertical="center"/>
    </xf>
    <xf numFmtId="20" fontId="52" fillId="10" borderId="14" xfId="22" applyNumberFormat="1" applyFont="1" applyFill="1" applyBorder="1" applyAlignment="1">
      <alignment horizontal="center" vertical="center"/>
    </xf>
    <xf numFmtId="185" fontId="37" fillId="0" borderId="14" xfId="22" applyNumberFormat="1" applyFont="1" applyBorder="1" applyAlignment="1">
      <alignment horizontal="center" vertical="center"/>
    </xf>
    <xf numFmtId="0" fontId="37" fillId="0" borderId="14" xfId="22" applyFont="1" applyBorder="1" applyAlignment="1">
      <alignment horizontal="left" vertical="center" wrapText="1"/>
    </xf>
    <xf numFmtId="0" fontId="51" fillId="4" borderId="31" xfId="22" applyFont="1" applyFill="1" applyBorder="1" applyAlignment="1">
      <alignment horizontal="center" vertical="center" wrapText="1"/>
    </xf>
    <xf numFmtId="0" fontId="37" fillId="0" borderId="14" xfId="22" applyFont="1" applyBorder="1" applyAlignment="1">
      <alignment vertical="center" wrapText="1"/>
    </xf>
    <xf numFmtId="0" fontId="51" fillId="0" borderId="54" xfId="22" applyFont="1" applyBorder="1" applyAlignment="1">
      <alignment horizontal="center" vertical="center"/>
    </xf>
    <xf numFmtId="187" fontId="36" fillId="0" borderId="56" xfId="22" applyNumberFormat="1" applyFont="1" applyBorder="1" applyAlignment="1">
      <alignment horizontal="center" vertical="center"/>
    </xf>
    <xf numFmtId="20" fontId="36" fillId="0" borderId="56" xfId="22" applyNumberFormat="1" applyFont="1" applyBorder="1" applyAlignment="1">
      <alignment horizontal="center" vertical="center"/>
    </xf>
    <xf numFmtId="20" fontId="52" fillId="10" borderId="56" xfId="22" applyNumberFormat="1" applyFont="1" applyFill="1" applyBorder="1" applyAlignment="1">
      <alignment horizontal="center" vertical="center"/>
    </xf>
    <xf numFmtId="185" fontId="37" fillId="0" borderId="56" xfId="22" applyNumberFormat="1" applyFont="1" applyBorder="1" applyAlignment="1">
      <alignment horizontal="center" vertical="center"/>
    </xf>
    <xf numFmtId="0" fontId="37" fillId="0" borderId="56" xfId="22" applyFont="1" applyBorder="1" applyAlignment="1">
      <alignment vertical="center" wrapText="1"/>
    </xf>
    <xf numFmtId="49" fontId="54" fillId="6" borderId="2" xfId="0" applyNumberFormat="1" applyFont="1" applyFill="1" applyBorder="1" applyAlignment="1">
      <alignment horizontal="center" vertical="center" wrapText="1"/>
    </xf>
    <xf numFmtId="0" fontId="55" fillId="6" borderId="2" xfId="0" applyFont="1" applyFill="1" applyBorder="1" applyAlignment="1">
      <alignment horizontal="center" vertical="center"/>
    </xf>
    <xf numFmtId="183" fontId="24" fillId="0" borderId="2" xfId="1" applyNumberFormat="1" applyFont="1" applyFill="1" applyBorder="1" applyAlignment="1">
      <alignment horizontal="right" vertical="center" wrapText="1"/>
    </xf>
    <xf numFmtId="0" fontId="44" fillId="0" borderId="45" xfId="22" applyFont="1" applyBorder="1" applyAlignment="1">
      <alignment horizontal="center" vertical="center"/>
    </xf>
    <xf numFmtId="0" fontId="44" fillId="0" borderId="45" xfId="22" applyFont="1" applyBorder="1" applyAlignment="1">
      <alignment horizontal="center" vertical="center" wrapText="1"/>
    </xf>
    <xf numFmtId="0" fontId="44" fillId="0" borderId="45" xfId="22" applyFont="1" applyBorder="1" applyAlignment="1">
      <alignment vertical="center" wrapText="1"/>
    </xf>
    <xf numFmtId="0" fontId="25" fillId="0" borderId="0" xfId="6" applyFont="1" applyAlignment="1">
      <alignment vertical="center"/>
    </xf>
    <xf numFmtId="0" fontId="17" fillId="0" borderId="3" xfId="6" applyFont="1" applyBorder="1" applyAlignment="1">
      <alignment vertical="center"/>
    </xf>
    <xf numFmtId="0" fontId="28" fillId="0" borderId="0" xfId="0" applyFont="1" applyAlignment="1">
      <alignment horizontal="center" vertical="center"/>
    </xf>
    <xf numFmtId="0" fontId="28" fillId="3" borderId="2" xfId="0" applyFont="1" applyFill="1" applyBorder="1" applyAlignment="1">
      <alignment horizontal="center" vertical="center"/>
    </xf>
    <xf numFmtId="0" fontId="59" fillId="4" borderId="31" xfId="22" applyFont="1" applyFill="1" applyBorder="1" applyAlignment="1">
      <alignment horizontal="center" vertical="center" wrapText="1"/>
    </xf>
    <xf numFmtId="0" fontId="61" fillId="0" borderId="0" xfId="22" applyFont="1">
      <alignment vertical="center"/>
    </xf>
    <xf numFmtId="188" fontId="61" fillId="0" borderId="0" xfId="22" applyNumberFormat="1" applyFont="1">
      <alignment vertical="center"/>
    </xf>
    <xf numFmtId="0" fontId="63" fillId="0" borderId="38" xfId="22" applyFont="1" applyBorder="1" applyAlignment="1">
      <alignment horizontal="center" vertical="center"/>
    </xf>
    <xf numFmtId="0" fontId="37" fillId="0" borderId="40" xfId="22" applyFont="1" applyBorder="1">
      <alignment vertical="center"/>
    </xf>
    <xf numFmtId="0" fontId="37" fillId="0" borderId="42" xfId="22" applyFont="1" applyBorder="1" applyAlignment="1">
      <alignment horizontal="center" vertical="center" wrapText="1"/>
    </xf>
    <xf numFmtId="185" fontId="37" fillId="0" borderId="42" xfId="22" applyNumberFormat="1" applyFont="1" applyBorder="1" applyAlignment="1">
      <alignment horizontal="center" vertical="center"/>
    </xf>
    <xf numFmtId="0" fontId="64" fillId="0" borderId="42" xfId="22" applyFont="1" applyBorder="1" applyAlignment="1">
      <alignment horizontal="center" vertical="center" wrapText="1"/>
    </xf>
    <xf numFmtId="0" fontId="38" fillId="0" borderId="38" xfId="22" applyFont="1" applyBorder="1" applyAlignment="1">
      <alignment horizontal="center" vertical="center" wrapText="1"/>
    </xf>
    <xf numFmtId="0" fontId="65" fillId="0" borderId="47" xfId="22" applyFont="1" applyBorder="1" applyAlignment="1">
      <alignment vertical="center" wrapText="1"/>
    </xf>
    <xf numFmtId="0" fontId="59" fillId="4" borderId="57" xfId="22" applyFont="1" applyFill="1" applyBorder="1" applyAlignment="1">
      <alignment horizontal="center" vertical="center" wrapText="1"/>
    </xf>
    <xf numFmtId="185" fontId="68" fillId="10" borderId="45" xfId="22" applyNumberFormat="1" applyFont="1" applyFill="1" applyBorder="1" applyAlignment="1">
      <alignment horizontal="center" vertical="center"/>
    </xf>
    <xf numFmtId="0" fontId="69" fillId="9" borderId="29" xfId="22" applyFont="1" applyFill="1" applyBorder="1" applyAlignment="1">
      <alignment horizontal="center" vertical="center"/>
    </xf>
    <xf numFmtId="0" fontId="69" fillId="9" borderId="14" xfId="22" applyFont="1" applyFill="1" applyBorder="1" applyAlignment="1">
      <alignment horizontal="center" vertical="center"/>
    </xf>
    <xf numFmtId="0" fontId="62" fillId="9" borderId="14" xfId="22" applyFont="1" applyFill="1" applyBorder="1" applyAlignment="1">
      <alignment horizontal="center" vertical="center"/>
    </xf>
    <xf numFmtId="0" fontId="62" fillId="9" borderId="56" xfId="22" applyFont="1" applyFill="1" applyBorder="1" applyAlignment="1">
      <alignment horizontal="center" vertical="center"/>
    </xf>
    <xf numFmtId="0" fontId="67" fillId="13" borderId="14" xfId="22" applyFont="1" applyFill="1" applyBorder="1" applyAlignment="1">
      <alignment horizontal="center" vertical="center"/>
    </xf>
    <xf numFmtId="0" fontId="70" fillId="10" borderId="14" xfId="22" applyFont="1" applyFill="1" applyBorder="1" applyAlignment="1">
      <alignment horizontal="centerContinuous" vertical="center"/>
    </xf>
    <xf numFmtId="0" fontId="60" fillId="9" borderId="14" xfId="22" applyFont="1" applyFill="1" applyBorder="1" applyAlignment="1">
      <alignment horizontal="center" vertical="center"/>
    </xf>
    <xf numFmtId="0" fontId="60" fillId="9" borderId="62" xfId="22" applyFont="1" applyFill="1" applyBorder="1" applyAlignment="1">
      <alignment horizontal="center" vertical="center"/>
    </xf>
    <xf numFmtId="0" fontId="71" fillId="0" borderId="34" xfId="22" applyFont="1" applyBorder="1" applyAlignment="1">
      <alignment horizontal="center" vertical="center"/>
    </xf>
    <xf numFmtId="0" fontId="71" fillId="0" borderId="34" xfId="22" applyFont="1" applyBorder="1" applyAlignment="1">
      <alignment horizontal="center" vertical="center" wrapText="1"/>
    </xf>
    <xf numFmtId="14" fontId="71" fillId="0" borderId="34" xfId="22" quotePrefix="1" applyNumberFormat="1" applyFont="1" applyBorder="1" applyAlignment="1">
      <alignment horizontal="center" vertical="center"/>
    </xf>
    <xf numFmtId="0" fontId="71" fillId="0" borderId="34" xfId="22" quotePrefix="1" applyFont="1" applyBorder="1" applyAlignment="1">
      <alignment vertical="center" wrapText="1"/>
    </xf>
    <xf numFmtId="0" fontId="72" fillId="0" borderId="0" xfId="22" applyFont="1" applyAlignment="1">
      <alignment horizontal="center" vertical="center"/>
    </xf>
    <xf numFmtId="0" fontId="73" fillId="0" borderId="0" xfId="22" applyFont="1">
      <alignment vertical="center"/>
    </xf>
    <xf numFmtId="20" fontId="38" fillId="10" borderId="14" xfId="22" applyNumberFormat="1" applyFont="1" applyFill="1" applyBorder="1" applyAlignment="1">
      <alignment horizontal="center" vertical="center"/>
    </xf>
    <xf numFmtId="0" fontId="50" fillId="11" borderId="31" xfId="22" applyFont="1" applyFill="1" applyBorder="1" applyAlignment="1">
      <alignment horizontal="center" vertical="center" wrapText="1"/>
    </xf>
    <xf numFmtId="0" fontId="49" fillId="4" borderId="31" xfId="22" applyFont="1" applyFill="1" applyBorder="1" applyAlignment="1">
      <alignment horizontal="center" vertical="center" wrapText="1"/>
    </xf>
    <xf numFmtId="0" fontId="49" fillId="4" borderId="57" xfId="22" applyFont="1" applyFill="1" applyBorder="1" applyAlignment="1">
      <alignment horizontal="center" vertical="center" wrapText="1"/>
    </xf>
    <xf numFmtId="0" fontId="49" fillId="4" borderId="58" xfId="22" applyFont="1" applyFill="1" applyBorder="1" applyAlignment="1">
      <alignment horizontal="center" vertical="center" wrapText="1"/>
    </xf>
    <xf numFmtId="0" fontId="50" fillId="11" borderId="57" xfId="22" applyFont="1" applyFill="1" applyBorder="1" applyAlignment="1">
      <alignment horizontal="center" vertical="center" wrapText="1"/>
    </xf>
    <xf numFmtId="0" fontId="38" fillId="0" borderId="31" xfId="22" applyFont="1" applyBorder="1" applyAlignment="1">
      <alignment vertical="center" wrapText="1"/>
    </xf>
    <xf numFmtId="0" fontId="74" fillId="9" borderId="62" xfId="22" applyFont="1" applyFill="1" applyBorder="1" applyAlignment="1">
      <alignment horizontal="center" vertical="center"/>
    </xf>
    <xf numFmtId="20" fontId="38" fillId="10" borderId="62" xfId="22" applyNumberFormat="1" applyFont="1" applyFill="1" applyBorder="1" applyAlignment="1">
      <alignment horizontal="center" vertical="center"/>
    </xf>
    <xf numFmtId="0" fontId="38" fillId="0" borderId="63" xfId="22" applyFont="1" applyBorder="1" applyAlignment="1">
      <alignment vertical="center" wrapText="1"/>
    </xf>
    <xf numFmtId="0" fontId="49" fillId="4" borderId="0" xfId="22" applyFont="1" applyFill="1" applyAlignment="1">
      <alignment horizontal="center" vertical="center" wrapText="1"/>
    </xf>
    <xf numFmtId="0" fontId="49" fillId="4" borderId="63" xfId="22" applyFont="1" applyFill="1" applyBorder="1" applyAlignment="1">
      <alignment horizontal="center" vertical="center" wrapText="1"/>
    </xf>
    <xf numFmtId="177" fontId="28" fillId="3" borderId="2" xfId="23" applyFont="1" applyFill="1" applyBorder="1" applyAlignment="1">
      <alignment horizontal="center" vertical="center"/>
    </xf>
    <xf numFmtId="49" fontId="56" fillId="4" borderId="2" xfId="0" applyNumberFormat="1" applyFont="1" applyFill="1" applyBorder="1" applyAlignment="1">
      <alignment horizontal="center" vertical="center" wrapText="1"/>
    </xf>
    <xf numFmtId="49" fontId="57" fillId="4" borderId="2" xfId="0" applyNumberFormat="1" applyFont="1" applyFill="1" applyBorder="1" applyAlignment="1">
      <alignment horizontal="center" vertical="center" wrapText="1"/>
    </xf>
    <xf numFmtId="177" fontId="55" fillId="4" borderId="2" xfId="1" applyFont="1" applyFill="1" applyBorder="1" applyAlignment="1">
      <alignment horizontal="center" vertical="center"/>
    </xf>
    <xf numFmtId="183" fontId="24" fillId="4" borderId="2" xfId="1" applyNumberFormat="1" applyFont="1" applyFill="1" applyBorder="1" applyAlignment="1">
      <alignment horizontal="right" vertical="center"/>
    </xf>
    <xf numFmtId="0" fontId="27" fillId="0" borderId="14" xfId="25" applyFont="1" applyBorder="1" applyAlignment="1">
      <alignment horizontal="center" vertical="center"/>
    </xf>
    <xf numFmtId="0" fontId="27" fillId="4" borderId="14" xfId="25" applyFont="1" applyFill="1" applyBorder="1" applyAlignment="1">
      <alignment horizontal="center" vertical="center"/>
    </xf>
    <xf numFmtId="180" fontId="58" fillId="0" borderId="0" xfId="3" applyNumberFormat="1" applyFont="1"/>
    <xf numFmtId="0" fontId="75" fillId="10" borderId="33" xfId="22" applyFont="1" applyFill="1" applyBorder="1" applyAlignment="1">
      <alignment horizontal="centerContinuous" vertical="center"/>
    </xf>
    <xf numFmtId="0" fontId="66" fillId="10" borderId="14" xfId="22" applyFont="1" applyFill="1" applyBorder="1" applyAlignment="1">
      <alignment horizontal="centerContinuous" vertical="center"/>
    </xf>
    <xf numFmtId="187" fontId="75" fillId="10" borderId="14" xfId="22" applyNumberFormat="1" applyFont="1" applyFill="1" applyBorder="1" applyAlignment="1">
      <alignment horizontal="center" vertical="center"/>
    </xf>
    <xf numFmtId="20" fontId="75" fillId="10" borderId="14" xfId="22" applyNumberFormat="1" applyFont="1" applyFill="1" applyBorder="1" applyAlignment="1">
      <alignment horizontal="center" vertical="center"/>
    </xf>
    <xf numFmtId="20" fontId="77" fillId="10" borderId="14" xfId="22" applyNumberFormat="1" applyFont="1" applyFill="1" applyBorder="1" applyAlignment="1">
      <alignment horizontal="center" vertical="center"/>
    </xf>
    <xf numFmtId="185" fontId="73" fillId="10" borderId="56" xfId="22" applyNumberFormat="1" applyFont="1" applyFill="1" applyBorder="1" applyAlignment="1">
      <alignment horizontal="center" vertical="center"/>
    </xf>
    <xf numFmtId="0" fontId="73" fillId="10" borderId="14" xfId="22" applyFont="1" applyFill="1" applyBorder="1" applyAlignment="1">
      <alignment horizontal="center" vertical="center" wrapText="1"/>
    </xf>
    <xf numFmtId="0" fontId="75" fillId="10" borderId="14" xfId="22" applyFont="1" applyFill="1" applyBorder="1" applyAlignment="1">
      <alignment horizontal="center" vertical="center" wrapText="1"/>
    </xf>
    <xf numFmtId="0" fontId="75" fillId="10" borderId="14" xfId="22" applyFont="1" applyFill="1" applyBorder="1" applyAlignment="1">
      <alignment horizontal="center" vertical="center"/>
    </xf>
    <xf numFmtId="0" fontId="73" fillId="10" borderId="14" xfId="22" applyFont="1" applyFill="1" applyBorder="1" applyAlignment="1">
      <alignment vertical="center" wrapText="1"/>
    </xf>
    <xf numFmtId="0" fontId="43" fillId="10" borderId="31" xfId="22" applyFont="1" applyFill="1" applyBorder="1" applyAlignment="1">
      <alignment horizontal="center" vertical="center" wrapText="1"/>
    </xf>
    <xf numFmtId="0" fontId="63" fillId="10" borderId="31" xfId="22" applyFont="1" applyFill="1" applyBorder="1" applyAlignment="1">
      <alignment horizontal="center" vertical="center" wrapText="1"/>
    </xf>
    <xf numFmtId="0" fontId="31" fillId="0" borderId="79" xfId="22" applyFont="1" applyBorder="1" applyAlignment="1">
      <alignment horizontal="center" vertical="center"/>
    </xf>
    <xf numFmtId="0" fontId="31" fillId="0" borderId="80" xfId="22" applyFont="1" applyBorder="1" applyAlignment="1">
      <alignment horizontal="center" vertical="center"/>
    </xf>
    <xf numFmtId="0" fontId="31" fillId="0" borderId="81" xfId="22" applyFont="1" applyBorder="1" applyAlignment="1">
      <alignment horizontal="center" vertical="center"/>
    </xf>
    <xf numFmtId="0" fontId="51" fillId="4" borderId="14" xfId="22" applyFont="1" applyFill="1" applyBorder="1" applyAlignment="1">
      <alignment horizontal="center" vertical="center" wrapText="1"/>
    </xf>
    <xf numFmtId="0" fontId="51" fillId="4" borderId="83" xfId="22" applyFont="1" applyFill="1" applyBorder="1" applyAlignment="1">
      <alignment horizontal="center" vertical="center" wrapText="1"/>
    </xf>
    <xf numFmtId="0" fontId="35" fillId="4" borderId="14" xfId="22" applyFont="1" applyFill="1" applyBorder="1" applyAlignment="1">
      <alignment horizontal="center" vertical="center" wrapText="1"/>
    </xf>
    <xf numFmtId="0" fontId="35" fillId="4" borderId="83" xfId="22" applyFont="1" applyFill="1" applyBorder="1" applyAlignment="1">
      <alignment horizontal="center" vertical="center" wrapText="1"/>
    </xf>
    <xf numFmtId="0" fontId="35" fillId="4" borderId="14" xfId="22" applyFont="1" applyFill="1" applyBorder="1" applyAlignment="1">
      <alignment horizontal="center" vertical="center"/>
    </xf>
    <xf numFmtId="0" fontId="35" fillId="4" borderId="83" xfId="22" applyFont="1" applyFill="1" applyBorder="1" applyAlignment="1">
      <alignment horizontal="center" vertical="center"/>
    </xf>
    <xf numFmtId="0" fontId="63" fillId="10" borderId="14" xfId="22" applyFont="1" applyFill="1" applyBorder="1" applyAlignment="1">
      <alignment horizontal="center" vertical="center" wrapText="1"/>
    </xf>
    <xf numFmtId="0" fontId="63" fillId="10" borderId="83" xfId="22" applyFont="1" applyFill="1" applyBorder="1" applyAlignment="1">
      <alignment horizontal="center" vertical="center" wrapText="1"/>
    </xf>
    <xf numFmtId="0" fontId="60" fillId="4" borderId="83" xfId="22" applyFont="1" applyFill="1" applyBorder="1" applyAlignment="1">
      <alignment horizontal="center" vertical="center" wrapText="1"/>
    </xf>
    <xf numFmtId="0" fontId="59" fillId="4" borderId="83" xfId="22" applyFont="1" applyFill="1" applyBorder="1" applyAlignment="1">
      <alignment horizontal="center" vertical="center" wrapText="1"/>
    </xf>
    <xf numFmtId="0" fontId="79" fillId="0" borderId="0" xfId="22" applyFont="1">
      <alignment vertical="center"/>
    </xf>
    <xf numFmtId="0" fontId="79" fillId="0" borderId="0" xfId="22" quotePrefix="1" applyFont="1">
      <alignment vertical="center"/>
    </xf>
    <xf numFmtId="0" fontId="66" fillId="0" borderId="46" xfId="22" applyFont="1" applyBorder="1" applyAlignment="1">
      <alignment horizontal="center" vertical="center" wrapText="1"/>
    </xf>
    <xf numFmtId="0" fontId="51" fillId="0" borderId="88" xfId="22" applyFont="1" applyBorder="1" applyAlignment="1">
      <alignment horizontal="center" vertical="center"/>
    </xf>
    <xf numFmtId="0" fontId="36" fillId="0" borderId="89" xfId="22" applyFont="1" applyBorder="1" applyAlignment="1">
      <alignment horizontal="center" vertical="center"/>
    </xf>
    <xf numFmtId="0" fontId="62" fillId="9" borderId="11" xfId="22" applyFont="1" applyFill="1" applyBorder="1" applyAlignment="1">
      <alignment horizontal="center" vertical="center"/>
    </xf>
    <xf numFmtId="187" fontId="36" fillId="0" borderId="11" xfId="22" applyNumberFormat="1" applyFont="1" applyBorder="1" applyAlignment="1">
      <alignment horizontal="center" vertical="center"/>
    </xf>
    <xf numFmtId="20" fontId="36" fillId="0" borderId="11" xfId="22" applyNumberFormat="1" applyFont="1" applyBorder="1" applyAlignment="1">
      <alignment horizontal="center" vertical="center"/>
    </xf>
    <xf numFmtId="20" fontId="52" fillId="10" borderId="11" xfId="22" applyNumberFormat="1" applyFont="1" applyFill="1" applyBorder="1" applyAlignment="1">
      <alignment horizontal="center" vertical="center"/>
    </xf>
    <xf numFmtId="185" fontId="37" fillId="0" borderId="11" xfId="22" applyNumberFormat="1" applyFont="1" applyBorder="1" applyAlignment="1">
      <alignment horizontal="center" vertical="center"/>
    </xf>
    <xf numFmtId="0" fontId="37" fillId="0" borderId="11" xfId="22" applyFont="1" applyBorder="1" applyAlignment="1">
      <alignment horizontal="center" vertical="center" wrapText="1"/>
    </xf>
    <xf numFmtId="0" fontId="36" fillId="0" borderId="11" xfId="22" applyFont="1" applyBorder="1" applyAlignment="1">
      <alignment horizontal="center" vertical="center" wrapText="1"/>
    </xf>
    <xf numFmtId="0" fontId="36" fillId="0" borderId="11" xfId="22" applyFont="1" applyBorder="1" applyAlignment="1">
      <alignment horizontal="center" vertical="center"/>
    </xf>
    <xf numFmtId="0" fontId="37" fillId="0" borderId="11" xfId="22" applyFont="1" applyBorder="1" applyAlignment="1">
      <alignment vertical="center" wrapText="1"/>
    </xf>
    <xf numFmtId="0" fontId="42" fillId="12" borderId="90" xfId="22" applyFont="1" applyFill="1" applyBorder="1" applyAlignment="1">
      <alignment horizontal="center" vertical="center"/>
    </xf>
    <xf numFmtId="0" fontId="45" fillId="12" borderId="91" xfId="22" applyFont="1" applyFill="1" applyBorder="1" applyAlignment="1">
      <alignment horizontal="center" vertical="center"/>
    </xf>
    <xf numFmtId="0" fontId="60" fillId="13" borderId="92" xfId="22" applyFont="1" applyFill="1" applyBorder="1" applyAlignment="1">
      <alignment horizontal="center" vertical="center"/>
    </xf>
    <xf numFmtId="187" fontId="45" fillId="12" borderId="92" xfId="22" applyNumberFormat="1" applyFont="1" applyFill="1" applyBorder="1" applyAlignment="1">
      <alignment horizontal="center" vertical="center"/>
    </xf>
    <xf numFmtId="20" fontId="45" fillId="12" borderId="92" xfId="22" applyNumberFormat="1" applyFont="1" applyFill="1" applyBorder="1" applyAlignment="1">
      <alignment horizontal="center" vertical="center"/>
    </xf>
    <xf numFmtId="20" fontId="46" fillId="14" borderId="92" xfId="22" applyNumberFormat="1" applyFont="1" applyFill="1" applyBorder="1" applyAlignment="1">
      <alignment horizontal="center" vertical="center"/>
    </xf>
    <xf numFmtId="185" fontId="38" fillId="12" borderId="92" xfId="22" applyNumberFormat="1" applyFont="1" applyFill="1" applyBorder="1" applyAlignment="1">
      <alignment horizontal="center" vertical="center"/>
    </xf>
    <xf numFmtId="0" fontId="38" fillId="12" borderId="92" xfId="22" applyFont="1" applyFill="1" applyBorder="1" applyAlignment="1">
      <alignment horizontal="center" vertical="center" wrapText="1"/>
    </xf>
    <xf numFmtId="0" fontId="45" fillId="12" borderId="92" xfId="22" applyFont="1" applyFill="1" applyBorder="1" applyAlignment="1">
      <alignment horizontal="center" vertical="center" wrapText="1"/>
    </xf>
    <xf numFmtId="0" fontId="45" fillId="12" borderId="92" xfId="22" applyFont="1" applyFill="1" applyBorder="1" applyAlignment="1">
      <alignment horizontal="center" vertical="center"/>
    </xf>
    <xf numFmtId="0" fontId="38" fillId="12" borderId="92" xfId="22" applyFont="1" applyFill="1" applyBorder="1" applyAlignment="1">
      <alignment vertical="center" wrapText="1"/>
    </xf>
    <xf numFmtId="0" fontId="42" fillId="12" borderId="94" xfId="22" applyFont="1" applyFill="1" applyBorder="1" applyAlignment="1">
      <alignment horizontal="center" vertical="center"/>
    </xf>
    <xf numFmtId="0" fontId="42" fillId="12" borderId="96" xfId="22" applyFont="1" applyFill="1" applyBorder="1" applyAlignment="1">
      <alignment horizontal="center" vertical="center"/>
    </xf>
    <xf numFmtId="0" fontId="45" fillId="12" borderId="97" xfId="22" applyFont="1" applyFill="1" applyBorder="1" applyAlignment="1">
      <alignment horizontal="center" vertical="center"/>
    </xf>
    <xf numFmtId="0" fontId="60" fillId="13" borderId="98" xfId="22" applyFont="1" applyFill="1" applyBorder="1" applyAlignment="1">
      <alignment horizontal="center" vertical="center"/>
    </xf>
    <xf numFmtId="187" fontId="45" fillId="12" borderId="98" xfId="22" applyNumberFormat="1" applyFont="1" applyFill="1" applyBorder="1" applyAlignment="1">
      <alignment horizontal="center" vertical="center"/>
    </xf>
    <xf numFmtId="20" fontId="45" fillId="12" borderId="98" xfId="22" applyNumberFormat="1" applyFont="1" applyFill="1" applyBorder="1" applyAlignment="1">
      <alignment horizontal="center" vertical="center"/>
    </xf>
    <xf numFmtId="20" fontId="46" fillId="14" borderId="98" xfId="22" applyNumberFormat="1" applyFont="1" applyFill="1" applyBorder="1" applyAlignment="1">
      <alignment horizontal="center" vertical="center"/>
    </xf>
    <xf numFmtId="185" fontId="38" fillId="12" borderId="98" xfId="22" applyNumberFormat="1" applyFont="1" applyFill="1" applyBorder="1" applyAlignment="1">
      <alignment horizontal="center" vertical="center"/>
    </xf>
    <xf numFmtId="0" fontId="38" fillId="12" borderId="98" xfId="22" applyFont="1" applyFill="1" applyBorder="1" applyAlignment="1">
      <alignment horizontal="center" vertical="center"/>
    </xf>
    <xf numFmtId="0" fontId="45" fillId="12" borderId="98" xfId="22" applyFont="1" applyFill="1" applyBorder="1" applyAlignment="1">
      <alignment horizontal="center" vertical="center"/>
    </xf>
    <xf numFmtId="0" fontId="38" fillId="12" borderId="98" xfId="22" applyFont="1" applyFill="1" applyBorder="1" applyAlignment="1">
      <alignment vertical="center" wrapText="1"/>
    </xf>
    <xf numFmtId="0" fontId="80" fillId="19" borderId="0" xfId="22" quotePrefix="1" applyFont="1" applyFill="1" applyAlignment="1">
      <alignment vertical="center" wrapText="1"/>
    </xf>
    <xf numFmtId="0" fontId="81" fillId="0" borderId="34" xfId="22" quotePrefix="1" applyFont="1" applyBorder="1">
      <alignment vertical="center"/>
    </xf>
    <xf numFmtId="0" fontId="66" fillId="12" borderId="68" xfId="22" applyFont="1" applyFill="1" applyBorder="1" applyAlignment="1">
      <alignment horizontal="center" vertical="center" wrapText="1"/>
    </xf>
    <xf numFmtId="0" fontId="66" fillId="12" borderId="86" xfId="22" applyFont="1" applyFill="1" applyBorder="1" applyAlignment="1">
      <alignment horizontal="center" vertical="center" wrapText="1"/>
    </xf>
    <xf numFmtId="0" fontId="82" fillId="10" borderId="33" xfId="22" applyFont="1" applyFill="1" applyBorder="1" applyAlignment="1">
      <alignment horizontal="centerContinuous" vertical="center"/>
    </xf>
    <xf numFmtId="187" fontId="82" fillId="10" borderId="14" xfId="22" applyNumberFormat="1" applyFont="1" applyFill="1" applyBorder="1" applyAlignment="1">
      <alignment horizontal="center" vertical="center"/>
    </xf>
    <xf numFmtId="20" fontId="82" fillId="10" borderId="14" xfId="22" applyNumberFormat="1" applyFont="1" applyFill="1" applyBorder="1" applyAlignment="1">
      <alignment horizontal="center" vertical="center"/>
    </xf>
    <xf numFmtId="185" fontId="82" fillId="10" borderId="56" xfId="22" applyNumberFormat="1" applyFont="1" applyFill="1" applyBorder="1" applyAlignment="1">
      <alignment horizontal="center" vertical="center"/>
    </xf>
    <xf numFmtId="0" fontId="82" fillId="10" borderId="14" xfId="22" applyFont="1" applyFill="1" applyBorder="1" applyAlignment="1">
      <alignment horizontal="center" vertical="center" wrapText="1"/>
    </xf>
    <xf numFmtId="0" fontId="82" fillId="10" borderId="14" xfId="22" applyFont="1" applyFill="1" applyBorder="1" applyAlignment="1">
      <alignment horizontal="center" vertical="center"/>
    </xf>
    <xf numFmtId="0" fontId="82" fillId="10" borderId="14" xfId="22" applyFont="1" applyFill="1" applyBorder="1" applyAlignment="1">
      <alignment vertical="center" wrapText="1"/>
    </xf>
    <xf numFmtId="0" fontId="70" fillId="10" borderId="31" xfId="22" applyFont="1" applyFill="1" applyBorder="1" applyAlignment="1">
      <alignment horizontal="center" vertical="center" wrapText="1"/>
    </xf>
    <xf numFmtId="0" fontId="83" fillId="10" borderId="31" xfId="22" applyFont="1" applyFill="1" applyBorder="1" applyAlignment="1">
      <alignment horizontal="center" vertical="center" wrapText="1"/>
    </xf>
    <xf numFmtId="0" fontId="84" fillId="10" borderId="42" xfId="22" applyFont="1" applyFill="1" applyBorder="1" applyAlignment="1">
      <alignment horizontal="center" vertical="center" wrapText="1"/>
    </xf>
    <xf numFmtId="0" fontId="85" fillId="0" borderId="0" xfId="22" applyFont="1">
      <alignment vertical="center"/>
    </xf>
    <xf numFmtId="0" fontId="86" fillId="0" borderId="0" xfId="0" applyFont="1">
      <alignment vertical="center"/>
    </xf>
    <xf numFmtId="185" fontId="87" fillId="10" borderId="45" xfId="22" applyNumberFormat="1" applyFont="1" applyFill="1" applyBorder="1" applyAlignment="1">
      <alignment horizontal="center" vertical="center"/>
    </xf>
    <xf numFmtId="0" fontId="62" fillId="4" borderId="31" xfId="22" applyFont="1" applyFill="1" applyBorder="1" applyAlignment="1">
      <alignment horizontal="center" vertical="center" wrapText="1"/>
    </xf>
    <xf numFmtId="0" fontId="62" fillId="4" borderId="59" xfId="22" applyFont="1" applyFill="1" applyBorder="1" applyAlignment="1">
      <alignment horizontal="center" vertical="center" wrapText="1"/>
    </xf>
    <xf numFmtId="0" fontId="62" fillId="4" borderId="14" xfId="22" applyFont="1" applyFill="1" applyBorder="1" applyAlignment="1">
      <alignment horizontal="center" vertical="center" wrapText="1"/>
    </xf>
    <xf numFmtId="0" fontId="62" fillId="4" borderId="83" xfId="22" applyFont="1" applyFill="1" applyBorder="1" applyAlignment="1">
      <alignment horizontal="center" vertical="center" wrapText="1"/>
    </xf>
    <xf numFmtId="0" fontId="51" fillId="4" borderId="63" xfId="22" applyFont="1" applyFill="1" applyBorder="1" applyAlignment="1">
      <alignment horizontal="center" vertical="center" wrapText="1"/>
    </xf>
    <xf numFmtId="0" fontId="51" fillId="4" borderId="84" xfId="22" applyFont="1" applyFill="1" applyBorder="1" applyAlignment="1">
      <alignment horizontal="center" vertical="center" wrapText="1"/>
    </xf>
    <xf numFmtId="0" fontId="51" fillId="4" borderId="85" xfId="22" applyFont="1" applyFill="1" applyBorder="1" applyAlignment="1">
      <alignment horizontal="center" vertical="center" wrapText="1"/>
    </xf>
    <xf numFmtId="0" fontId="62" fillId="0" borderId="46" xfId="22" applyFont="1" applyBorder="1" applyAlignment="1">
      <alignment horizontal="center" vertical="center" wrapText="1"/>
    </xf>
    <xf numFmtId="0" fontId="62" fillId="0" borderId="76" xfId="22" applyFont="1" applyBorder="1" applyAlignment="1">
      <alignment horizontal="center" vertical="center" wrapText="1"/>
    </xf>
    <xf numFmtId="0" fontId="62" fillId="9" borderId="45" xfId="22" applyFont="1" applyFill="1" applyBorder="1" applyAlignment="1">
      <alignment horizontal="center" vertical="center"/>
    </xf>
    <xf numFmtId="0" fontId="62" fillId="4" borderId="58" xfId="22" applyFont="1" applyFill="1" applyBorder="1" applyAlignment="1">
      <alignment horizontal="center" vertical="center" wrapText="1"/>
    </xf>
    <xf numFmtId="0" fontId="62" fillId="4" borderId="87" xfId="22" applyFont="1" applyFill="1" applyBorder="1" applyAlignment="1">
      <alignment horizontal="center" vertical="center" wrapText="1"/>
    </xf>
    <xf numFmtId="0" fontId="69" fillId="11" borderId="30" xfId="22" applyFont="1" applyFill="1" applyBorder="1" applyAlignment="1">
      <alignment horizontal="center" vertical="center" wrapText="1"/>
    </xf>
    <xf numFmtId="0" fontId="62" fillId="4" borderId="30" xfId="22" applyFont="1" applyFill="1" applyBorder="1" applyAlignment="1">
      <alignment horizontal="center" vertical="center" wrapText="1"/>
    </xf>
    <xf numFmtId="0" fontId="62" fillId="4" borderId="29" xfId="22" applyFont="1" applyFill="1" applyBorder="1" applyAlignment="1">
      <alignment horizontal="center" vertical="center" wrapText="1"/>
    </xf>
    <xf numFmtId="0" fontId="62" fillId="4" borderId="82" xfId="22" applyFont="1" applyFill="1" applyBorder="1" applyAlignment="1">
      <alignment horizontal="center" vertical="center" wrapText="1"/>
    </xf>
    <xf numFmtId="0" fontId="69" fillId="11" borderId="31" xfId="22" applyFont="1" applyFill="1" applyBorder="1" applyAlignment="1">
      <alignment horizontal="center" vertical="center" wrapText="1"/>
    </xf>
    <xf numFmtId="0" fontId="69" fillId="11" borderId="31" xfId="22" applyFont="1" applyFill="1" applyBorder="1" applyAlignment="1">
      <alignment horizontal="center" vertical="center"/>
    </xf>
    <xf numFmtId="0" fontId="62" fillId="4" borderId="31" xfId="22" applyFont="1" applyFill="1" applyBorder="1" applyAlignment="1">
      <alignment horizontal="center" vertical="center"/>
    </xf>
    <xf numFmtId="0" fontId="62" fillId="4" borderId="14" xfId="22" applyFont="1" applyFill="1" applyBorder="1" applyAlignment="1">
      <alignment horizontal="center" vertical="center"/>
    </xf>
    <xf numFmtId="0" fontId="62" fillId="4" borderId="83" xfId="22" applyFont="1" applyFill="1" applyBorder="1" applyAlignment="1">
      <alignment horizontal="center" vertical="center"/>
    </xf>
    <xf numFmtId="0" fontId="62" fillId="11" borderId="31" xfId="22" applyFont="1" applyFill="1" applyBorder="1" applyAlignment="1">
      <alignment horizontal="center" vertical="center" wrapText="1"/>
    </xf>
    <xf numFmtId="0" fontId="62" fillId="11" borderId="57" xfId="22" applyFont="1" applyFill="1" applyBorder="1" applyAlignment="1">
      <alignment horizontal="center" vertical="center" wrapText="1"/>
    </xf>
    <xf numFmtId="0" fontId="62" fillId="11" borderId="59" xfId="22" applyFont="1" applyFill="1" applyBorder="1" applyAlignment="1">
      <alignment horizontal="center" vertical="center" wrapText="1"/>
    </xf>
    <xf numFmtId="0" fontId="62" fillId="15" borderId="93" xfId="22" applyFont="1" applyFill="1" applyBorder="1" applyAlignment="1">
      <alignment horizontal="center" vertical="center" wrapText="1"/>
    </xf>
    <xf numFmtId="0" fontId="62" fillId="15" borderId="95" xfId="22" applyFont="1" applyFill="1" applyBorder="1" applyAlignment="1">
      <alignment horizontal="center" vertical="center" wrapText="1"/>
    </xf>
    <xf numFmtId="0" fontId="62" fillId="15" borderId="95" xfId="22" applyFont="1" applyFill="1" applyBorder="1" applyAlignment="1">
      <alignment horizontal="center" vertical="center"/>
    </xf>
    <xf numFmtId="0" fontId="62" fillId="4" borderId="58" xfId="22" applyFont="1" applyFill="1" applyBorder="1" applyAlignment="1">
      <alignment horizontal="center" vertical="center"/>
    </xf>
    <xf numFmtId="0" fontId="62" fillId="15" borderId="99" xfId="22" applyFont="1" applyFill="1" applyBorder="1" applyAlignment="1">
      <alignment horizontal="center" vertical="center"/>
    </xf>
    <xf numFmtId="0" fontId="37" fillId="10" borderId="42" xfId="22" applyFont="1" applyFill="1" applyBorder="1" applyAlignment="1">
      <alignment horizontal="center" vertical="center" wrapText="1"/>
    </xf>
    <xf numFmtId="0" fontId="36" fillId="0" borderId="42" xfId="22" applyFont="1" applyBorder="1" applyAlignment="1">
      <alignment horizontal="center" vertical="center" wrapText="1"/>
    </xf>
    <xf numFmtId="0" fontId="36" fillId="0" borderId="38" xfId="22" applyFont="1" applyBorder="1" applyAlignment="1">
      <alignment horizontal="center" vertical="center" wrapText="1"/>
    </xf>
    <xf numFmtId="0" fontId="49" fillId="0" borderId="47" xfId="22" applyFont="1" applyBorder="1" applyAlignment="1">
      <alignment vertical="center" wrapText="1"/>
    </xf>
    <xf numFmtId="0" fontId="88" fillId="17" borderId="70" xfId="22" applyFont="1" applyFill="1" applyBorder="1" applyAlignment="1">
      <alignment horizontal="center" vertical="center" wrapText="1"/>
    </xf>
    <xf numFmtId="0" fontId="88" fillId="17" borderId="71" xfId="22" applyFont="1" applyFill="1" applyBorder="1" applyAlignment="1">
      <alignment horizontal="center" vertical="center" wrapText="1"/>
    </xf>
    <xf numFmtId="0" fontId="88" fillId="17" borderId="72" xfId="22" applyFont="1" applyFill="1" applyBorder="1" applyAlignment="1">
      <alignment horizontal="center" vertical="center" wrapText="1"/>
    </xf>
    <xf numFmtId="0" fontId="89" fillId="16" borderId="68" xfId="22" applyFont="1" applyFill="1" applyBorder="1" applyAlignment="1">
      <alignment horizontal="center" vertical="center" wrapText="1"/>
    </xf>
    <xf numFmtId="0" fontId="89" fillId="16" borderId="69" xfId="22" applyFont="1" applyFill="1" applyBorder="1" applyAlignment="1">
      <alignment horizontal="center" vertical="center" wrapText="1"/>
    </xf>
    <xf numFmtId="0" fontId="89" fillId="16" borderId="73" xfId="22" applyFont="1" applyFill="1" applyBorder="1" applyAlignment="1">
      <alignment horizontal="center" vertical="center" wrapText="1"/>
    </xf>
    <xf numFmtId="0" fontId="91" fillId="10" borderId="41" xfId="22" applyFont="1" applyFill="1" applyBorder="1" applyAlignment="1">
      <alignment horizontal="centerContinuous" vertical="center"/>
    </xf>
    <xf numFmtId="0" fontId="90" fillId="10" borderId="41" xfId="22" applyFont="1" applyFill="1" applyBorder="1" applyAlignment="1">
      <alignment horizontal="centerContinuous" vertical="center"/>
    </xf>
    <xf numFmtId="0" fontId="92" fillId="0" borderId="48" xfId="22" applyFont="1" applyBorder="1" applyAlignment="1">
      <alignment horizontal="centerContinuous" vertical="center"/>
    </xf>
    <xf numFmtId="0" fontId="52" fillId="11" borderId="63" xfId="22" applyFont="1" applyFill="1" applyBorder="1" applyAlignment="1">
      <alignment horizontal="center" vertical="center" wrapText="1"/>
    </xf>
    <xf numFmtId="0" fontId="62" fillId="11" borderId="45" xfId="22" applyFont="1" applyFill="1" applyBorder="1" applyAlignment="1">
      <alignment horizontal="center" vertical="center"/>
    </xf>
    <xf numFmtId="0" fontId="93" fillId="17" borderId="71" xfId="22" applyFont="1" applyFill="1" applyBorder="1" applyAlignment="1">
      <alignment horizontal="center" vertical="center" wrapText="1"/>
    </xf>
    <xf numFmtId="49" fontId="93" fillId="18" borderId="71" xfId="22" applyNumberFormat="1" applyFont="1" applyFill="1" applyBorder="1" applyAlignment="1">
      <alignment horizontal="center" vertical="center" wrapText="1"/>
    </xf>
    <xf numFmtId="0" fontId="93" fillId="9" borderId="31" xfId="22" applyFont="1" applyFill="1" applyBorder="1" applyAlignment="1">
      <alignment horizontal="center" vertical="center" wrapText="1"/>
    </xf>
    <xf numFmtId="0" fontId="94" fillId="20" borderId="0" xfId="22" quotePrefix="1" applyFont="1" applyFill="1" applyAlignment="1">
      <alignment vertical="center" wrapText="1"/>
    </xf>
    <xf numFmtId="0" fontId="95" fillId="0" borderId="34" xfId="22" quotePrefix="1" applyFont="1" applyBorder="1">
      <alignment vertical="center"/>
    </xf>
    <xf numFmtId="177" fontId="96" fillId="9" borderId="0" xfId="0" applyNumberFormat="1" applyFont="1" applyFill="1">
      <alignment vertical="center"/>
    </xf>
    <xf numFmtId="0" fontId="23" fillId="0" borderId="0" xfId="6" applyFont="1" applyAlignment="1">
      <alignment horizontal="center" vertical="center"/>
    </xf>
    <xf numFmtId="0" fontId="17" fillId="0" borderId="3" xfId="6" applyFont="1" applyBorder="1" applyAlignment="1">
      <alignment vertical="center"/>
    </xf>
    <xf numFmtId="0" fontId="17" fillId="0" borderId="4" xfId="6" applyFont="1" applyBorder="1" applyAlignment="1">
      <alignment vertical="center"/>
    </xf>
    <xf numFmtId="0" fontId="17" fillId="0" borderId="5" xfId="6" applyFont="1" applyBorder="1" applyAlignment="1">
      <alignment vertical="center"/>
    </xf>
    <xf numFmtId="0" fontId="26" fillId="0" borderId="0" xfId="6" applyFont="1" applyAlignment="1">
      <alignment vertical="center"/>
    </xf>
    <xf numFmtId="0" fontId="25" fillId="0" borderId="0" xfId="6" applyFont="1" applyAlignment="1">
      <alignment vertical="center"/>
    </xf>
    <xf numFmtId="0" fontId="24" fillId="0" borderId="28" xfId="0" applyFont="1" applyBorder="1" applyAlignment="1">
      <alignment horizontal="center" vertical="center"/>
    </xf>
    <xf numFmtId="0" fontId="24" fillId="0" borderId="21" xfId="0" applyFont="1" applyBorder="1" applyAlignment="1">
      <alignment horizontal="center" vertical="center"/>
    </xf>
    <xf numFmtId="0" fontId="28" fillId="0" borderId="0" xfId="0" applyFont="1" applyAlignment="1">
      <alignment horizontal="center" vertical="center"/>
    </xf>
    <xf numFmtId="0" fontId="28" fillId="3" borderId="19" xfId="3" applyFont="1" applyFill="1" applyBorder="1" applyAlignment="1">
      <alignment horizontal="center" vertical="center" wrapText="1"/>
    </xf>
    <xf numFmtId="0" fontId="28" fillId="3" borderId="19" xfId="3" applyFont="1" applyFill="1" applyBorder="1" applyAlignment="1">
      <alignment horizontal="center" vertical="center"/>
    </xf>
    <xf numFmtId="0" fontId="28" fillId="3" borderId="2" xfId="3" applyFont="1" applyFill="1" applyBorder="1" applyAlignment="1">
      <alignment horizontal="center" vertical="center"/>
    </xf>
    <xf numFmtId="177" fontId="28" fillId="3" borderId="19" xfId="23" applyFont="1" applyFill="1" applyBorder="1" applyAlignment="1">
      <alignment horizontal="center" vertical="center"/>
    </xf>
    <xf numFmtId="178" fontId="28" fillId="3" borderId="19" xfId="5" applyFont="1" applyFill="1" applyBorder="1" applyAlignment="1">
      <alignment horizontal="center" vertical="center"/>
    </xf>
    <xf numFmtId="0" fontId="28" fillId="3" borderId="19" xfId="0" applyFont="1" applyFill="1" applyBorder="1" applyAlignment="1">
      <alignment horizontal="center" vertical="center"/>
    </xf>
    <xf numFmtId="0" fontId="28" fillId="3" borderId="2" xfId="0" applyFont="1" applyFill="1" applyBorder="1" applyAlignment="1">
      <alignment horizontal="center" vertical="center"/>
    </xf>
    <xf numFmtId="0" fontId="28" fillId="0" borderId="19" xfId="0" applyFont="1" applyBorder="1" applyAlignment="1">
      <alignment horizontal="center" vertical="center"/>
    </xf>
    <xf numFmtId="0" fontId="28" fillId="8" borderId="2" xfId="0" applyFont="1" applyFill="1" applyBorder="1" applyAlignment="1">
      <alignment horizontal="center" vertical="center"/>
    </xf>
    <xf numFmtId="0" fontId="66" fillId="0" borderId="43" xfId="22" applyFont="1" applyBorder="1" applyAlignment="1">
      <alignment horizontal="center" vertical="center" wrapText="1"/>
    </xf>
    <xf numFmtId="0" fontId="66" fillId="0" borderId="44" xfId="22" applyFont="1" applyBorder="1" applyAlignment="1">
      <alignment horizontal="center" vertical="center" wrapText="1"/>
    </xf>
    <xf numFmtId="0" fontId="40" fillId="10" borderId="36" xfId="22" applyFont="1" applyFill="1" applyBorder="1" applyAlignment="1">
      <alignment horizontal="center" vertical="center"/>
    </xf>
    <xf numFmtId="0" fontId="40" fillId="10" borderId="50" xfId="22" applyFont="1" applyFill="1" applyBorder="1" applyAlignment="1">
      <alignment horizontal="center" vertical="center"/>
    </xf>
    <xf numFmtId="0" fontId="40" fillId="10" borderId="37" xfId="22" applyFont="1" applyFill="1" applyBorder="1" applyAlignment="1">
      <alignment horizontal="center" vertical="center" wrapText="1"/>
    </xf>
    <xf numFmtId="0" fontId="40" fillId="10" borderId="53" xfId="22" applyFont="1" applyFill="1" applyBorder="1" applyAlignment="1">
      <alignment horizontal="center" vertical="center" wrapText="1"/>
    </xf>
    <xf numFmtId="0" fontId="40" fillId="10" borderId="35" xfId="22" applyFont="1" applyFill="1" applyBorder="1" applyAlignment="1">
      <alignment horizontal="center" vertical="center"/>
    </xf>
    <xf numFmtId="0" fontId="40" fillId="10" borderId="49" xfId="22" applyFont="1" applyFill="1" applyBorder="1" applyAlignment="1">
      <alignment horizontal="center" vertical="center"/>
    </xf>
    <xf numFmtId="0" fontId="41" fillId="10" borderId="36" xfId="22" applyFont="1" applyFill="1" applyBorder="1" applyAlignment="1">
      <alignment horizontal="center" vertical="center"/>
    </xf>
    <xf numFmtId="0" fontId="62" fillId="15" borderId="100" xfId="22" applyFont="1" applyFill="1" applyBorder="1" applyAlignment="1">
      <alignment horizontal="center" vertical="center" wrapText="1"/>
    </xf>
    <xf numFmtId="0" fontId="62" fillId="15" borderId="58" xfId="22" applyFont="1" applyFill="1" applyBorder="1" applyAlignment="1">
      <alignment horizontal="center" vertical="center" wrapText="1"/>
    </xf>
    <xf numFmtId="0" fontId="62" fillId="15" borderId="58" xfId="22" applyFont="1" applyFill="1" applyBorder="1" applyAlignment="1">
      <alignment horizontal="center" vertical="center"/>
    </xf>
    <xf numFmtId="0" fontId="62" fillId="15" borderId="101" xfId="22" applyFont="1" applyFill="1" applyBorder="1" applyAlignment="1">
      <alignment horizontal="center" vertical="center"/>
    </xf>
    <xf numFmtId="0" fontId="62" fillId="11" borderId="46" xfId="22" applyFont="1" applyFill="1" applyBorder="1" applyAlignment="1">
      <alignment horizontal="center" vertical="center"/>
    </xf>
    <xf numFmtId="0" fontId="92" fillId="9" borderId="14" xfId="22" applyFont="1" applyFill="1" applyBorder="1" applyAlignment="1">
      <alignment horizontal="center" vertical="center"/>
    </xf>
    <xf numFmtId="0" fontId="1" fillId="0" borderId="0" xfId="22" applyFont="1">
      <alignment vertical="center"/>
    </xf>
    <xf numFmtId="0" fontId="97" fillId="9" borderId="31" xfId="22" applyFont="1" applyFill="1" applyBorder="1" applyAlignment="1">
      <alignment horizontal="center" vertical="center" wrapText="1"/>
    </xf>
    <xf numFmtId="0" fontId="98" fillId="11" borderId="31" xfId="22" applyFont="1" applyFill="1" applyBorder="1" applyAlignment="1">
      <alignment horizontal="center" vertical="center" wrapText="1"/>
    </xf>
    <xf numFmtId="0" fontId="98" fillId="17" borderId="102" xfId="22" applyFont="1" applyFill="1" applyBorder="1" applyAlignment="1">
      <alignment horizontal="center" vertical="center" wrapText="1"/>
    </xf>
    <xf numFmtId="0" fontId="98" fillId="17" borderId="71" xfId="22" applyFont="1" applyFill="1" applyBorder="1" applyAlignment="1">
      <alignment horizontal="center" vertical="center" wrapText="1"/>
    </xf>
    <xf numFmtId="49" fontId="97" fillId="18" borderId="71" xfId="22" applyNumberFormat="1" applyFont="1" applyFill="1" applyBorder="1" applyAlignment="1">
      <alignment horizontal="center" vertical="center" wrapText="1"/>
    </xf>
    <xf numFmtId="0" fontId="98" fillId="17" borderId="72" xfId="22" applyFont="1" applyFill="1" applyBorder="1" applyAlignment="1">
      <alignment horizontal="center" vertical="center" wrapText="1"/>
    </xf>
    <xf numFmtId="0" fontId="99" fillId="0" borderId="0" xfId="3" applyFont="1" applyAlignment="1">
      <alignment vertical="center"/>
    </xf>
    <xf numFmtId="180" fontId="100" fillId="7" borderId="105" xfId="3" applyNumberFormat="1" applyFont="1" applyFill="1" applyBorder="1" applyAlignment="1">
      <alignment vertical="center"/>
    </xf>
    <xf numFmtId="0" fontId="95" fillId="0" borderId="106" xfId="3" applyFont="1" applyBorder="1" applyAlignment="1">
      <alignment horizontal="right" vertical="center"/>
    </xf>
    <xf numFmtId="180" fontId="101" fillId="7" borderId="0" xfId="3" applyNumberFormat="1" applyFont="1" applyFill="1" applyBorder="1" applyAlignment="1">
      <alignment vertical="center"/>
    </xf>
    <xf numFmtId="177" fontId="78" fillId="9" borderId="0" xfId="0" applyNumberFormat="1" applyFont="1" applyFill="1">
      <alignment vertical="center"/>
    </xf>
    <xf numFmtId="189" fontId="102" fillId="9" borderId="2" xfId="1" applyNumberFormat="1" applyFont="1" applyFill="1" applyBorder="1" applyAlignment="1">
      <alignment horizontal="center" vertical="center"/>
    </xf>
    <xf numFmtId="0" fontId="100" fillId="10" borderId="36" xfId="22" applyFont="1" applyFill="1" applyBorder="1" applyAlignment="1">
      <alignment horizontal="center" vertical="center" wrapText="1"/>
    </xf>
    <xf numFmtId="0" fontId="103" fillId="10" borderId="36" xfId="22" applyFont="1" applyFill="1" applyBorder="1" applyAlignment="1">
      <alignment horizontal="center" vertical="center" wrapText="1"/>
    </xf>
    <xf numFmtId="0" fontId="100" fillId="10" borderId="103" xfId="22" applyFont="1" applyFill="1" applyBorder="1" applyAlignment="1">
      <alignment horizontal="center" vertical="center" wrapText="1"/>
    </xf>
    <xf numFmtId="0" fontId="100" fillId="10" borderId="50" xfId="22" applyFont="1" applyFill="1" applyBorder="1" applyAlignment="1">
      <alignment horizontal="center" vertical="center" wrapText="1"/>
    </xf>
    <xf numFmtId="0" fontId="100" fillId="10" borderId="104" xfId="22" applyFont="1" applyFill="1" applyBorder="1" applyAlignment="1">
      <alignment horizontal="center" vertical="center" wrapText="1"/>
    </xf>
    <xf numFmtId="0" fontId="103" fillId="10" borderId="50" xfId="22" applyFont="1" applyFill="1" applyBorder="1" applyAlignment="1">
      <alignment horizontal="center" vertical="center"/>
    </xf>
    <xf numFmtId="0" fontId="92" fillId="0" borderId="43" xfId="22" applyFont="1" applyBorder="1" applyAlignment="1">
      <alignment horizontal="center" vertical="center" wrapText="1"/>
    </xf>
    <xf numFmtId="0" fontId="92" fillId="0" borderId="44" xfId="22" applyFont="1" applyBorder="1" applyAlignment="1">
      <alignment horizontal="center" vertical="center" wrapText="1"/>
    </xf>
    <xf numFmtId="0" fontId="92" fillId="9" borderId="45" xfId="22" applyFont="1" applyFill="1" applyBorder="1" applyAlignment="1">
      <alignment horizontal="center" vertical="center"/>
    </xf>
    <xf numFmtId="0" fontId="104" fillId="9" borderId="45" xfId="22" applyFont="1" applyFill="1" applyBorder="1" applyAlignment="1">
      <alignment horizontal="center" vertical="center"/>
    </xf>
    <xf numFmtId="0" fontId="105" fillId="9" borderId="74" xfId="22" applyFont="1" applyFill="1" applyBorder="1" applyAlignment="1">
      <alignment horizontal="center" vertical="center"/>
    </xf>
    <xf numFmtId="0" fontId="106" fillId="0" borderId="65" xfId="22" applyFont="1" applyBorder="1" applyAlignment="1">
      <alignment horizontal="center" vertical="center" wrapText="1"/>
    </xf>
    <xf numFmtId="0" fontId="106" fillId="0" borderId="66" xfId="22" applyFont="1" applyBorder="1" applyAlignment="1">
      <alignment horizontal="center" vertical="center" wrapText="1"/>
    </xf>
    <xf numFmtId="0" fontId="106" fillId="0" borderId="67" xfId="22" applyFont="1" applyBorder="1" applyAlignment="1">
      <alignment horizontal="center" vertical="center" wrapText="1"/>
    </xf>
    <xf numFmtId="0" fontId="107" fillId="0" borderId="78" xfId="22" applyFont="1" applyBorder="1" applyAlignment="1">
      <alignment horizontal="center" vertical="center" wrapText="1"/>
    </xf>
    <xf numFmtId="0" fontId="108" fillId="10" borderId="64" xfId="22" applyFont="1" applyFill="1" applyBorder="1" applyAlignment="1">
      <alignment horizontal="center" vertical="center"/>
    </xf>
    <xf numFmtId="0" fontId="108" fillId="10" borderId="75" xfId="22" applyFont="1" applyFill="1" applyBorder="1" applyAlignment="1">
      <alignment horizontal="center" vertical="center"/>
    </xf>
    <xf numFmtId="0" fontId="108" fillId="10" borderId="77" xfId="22" applyFont="1" applyFill="1" applyBorder="1" applyAlignment="1">
      <alignment horizontal="center" vertical="center"/>
    </xf>
    <xf numFmtId="2" fontId="109" fillId="4" borderId="74" xfId="22" applyNumberFormat="1" applyFont="1" applyFill="1" applyBorder="1" applyAlignment="1">
      <alignment horizontal="center" vertical="center"/>
    </xf>
    <xf numFmtId="0" fontId="109" fillId="4" borderId="45" xfId="22" applyFont="1" applyFill="1" applyBorder="1" applyAlignment="1">
      <alignment horizontal="center" vertical="center"/>
    </xf>
  </cellXfs>
  <cellStyles count="26">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A0E396E7-5B8D-4EC2-88B0-28904EDC08F0}"/>
    <cellStyle name="쉼표 [0] 2 4 2" xfId="20" xr:uid="{82F7DE00-7E0F-4135-9D8B-23A5F95E9E50}"/>
    <cellStyle name="쉼표 [0] 2 4 2 2" xfId="24" xr:uid="{B8232248-A1AE-4BB1-8792-160BBB967084}"/>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5" xr:uid="{328D93E7-4E9D-4E41-B397-E75ED9AF4008}"/>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FF00FF"/>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CD65BC4F-7174-4F12-BDBA-BA32E4F0D8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620EFB75-189D-46B3-B333-D4F07EF812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51BFC076-7528-4839-AE81-B6BFBA3E3F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3EF490C-79AD-4E9C-9DF6-1391F8AE43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9C8553C5-6CCA-48F7-AF22-E5AF55C4D7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98C3363E-A2D2-4B03-96C9-8EDF97B86F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8E42BDEA-A1E3-4F2F-A18F-CAB45821AE3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AEC03949-5F47-465B-B57F-B18EC6D0EC1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2C447D7-3B4F-46A5-992D-28A33AA5C2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327F69CD-C437-4E24-A340-984D2AA1DC5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2EFB97DC-A2BF-427A-89D9-6D287021FC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B3D04654-324F-4AE6-B26F-C8AD286815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CF5C4603-A23F-46B1-9913-0458B16A7B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2653C5B-B077-4460-8B87-3277AA1FD33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58F41B5C-3A18-4A7A-8BC1-50924D4A474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133EB9BA-1B8E-48BB-AED2-FC4C13F5AF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F5FA13F-2F28-465C-BDF1-72C38845EF5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F67F748F-0807-4B7E-B013-BC7DDE020B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CE95B637-85C6-48E5-A74F-1C83B64999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4C5141EC-219F-474A-AE82-263806F9E49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FA1F39CC-6F31-4602-9B1D-32C2827F3C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0E7791F0-39F7-4955-8374-0D2A785CE5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5550B42B-9815-4AE4-B26B-2368FDAC5B0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361AA554-32B0-46C3-BD40-4CF5E0DB1FB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79E3EB47-D96A-4964-85FB-C4F4D7C65D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72130DCA-E4F3-4382-B749-AEA4CBFD3F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44D0AE86-7190-42FF-95F5-5FF660530CB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902C9D71-E6FB-489F-8215-555ACE9A1D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E9ABB500-39A6-400B-A060-DB991627F8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CBDA6906-75CB-4AF4-997D-6933370EBEB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5C8224D5-ACE7-4DB8-89CF-6C8AB2356D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AF5C288F-ED79-4DE7-A4F9-C8DA059978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031FC4D8-52F0-4A70-8F5D-467DBB02209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9AF22594-8BC7-44AB-BE83-961B18391B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EC60928C-CE7A-430B-B5B6-B610843951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61FAF88F-8F40-47F9-8A0E-69648B5C14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C9BA604B-7D0A-4439-A80A-DD75931023A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454DE7E6-DF21-4E77-BA49-9B423A44B9C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1D66BA31-62DA-4389-8B49-CAD6718558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DAC171B-0272-4215-8008-21218889A0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410CC250-6DE4-4ED0-935A-EEF87D0901D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5EE31494-1802-41AA-A6BD-7EBFF66266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4057111E-9964-4885-931C-5C7B78F779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3000E5C6-A44E-4228-ABFB-4BB3ADBB9B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2C1A31B3-8F09-4B9D-A4AE-1D4E4FB7BA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A1471933-3280-43ED-AF91-749FE44797E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57421D83-489E-434C-B2CC-7850B70946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A07D52C1-3752-42D8-9693-217A300401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14993479-F0FE-469D-8ADB-D08D13D6025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4C1F707A-A05D-48A3-A97F-C4ED04691C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FA0F34EC-D35C-4AE3-8F2D-058523D055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3E2EC66E-5043-4C1C-A9C0-33C3399321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AD1CA1CA-60A8-496D-AA43-117963B431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57C97FE6-EF0A-45F0-BDD1-45D3C243D9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1FABCB4C-5BD7-4809-BF93-96F036E6DF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950CD11F-321E-411D-A603-4B984F79E7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9E789DA5-68AC-47D4-8E20-763BFE92D2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B012F44E-7E39-4A50-A8D6-5A88DC74F0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482E939E-4C71-4714-8920-66FF594DC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9FB3329D-CCD4-436C-8B09-B10B153677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26288DEC-5713-4D9B-BFE6-344473A51AD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29E22DD0-8972-4720-8F21-1FE062633CB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A2484BA7-9849-407E-A595-CBFC886EB6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74A1EE7C-8A69-40A8-82EF-3E8FEB36264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0EF8B080-5EBC-4D5E-B23C-A70CF66A9E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8C15EBBD-BF79-4623-8FD2-9409FB7470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9FFAA5C9-D6B8-4EC1-9E5B-BEB1D16B09B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454609C0-C002-4C39-8D60-DF8A184DAB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2F34D7DB-55A2-4924-A683-ECF802276F9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B5111709-39DD-406F-97D8-7273EE114B8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B49722F1-D63D-4B86-8AEB-B057C45706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FE5C85CA-B640-41CD-B17F-D24B0FA786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A22170C-EA73-4AA9-BF7C-9004A27B5C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06530AF7-75AA-4757-8676-275171FB146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29E3D2EE-0021-4EC4-9B17-CF8EA7760E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803DD086-B85C-46E4-85EC-917E35BF55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C0C472A7-BD6E-4110-B513-317730D43C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720EA8ED-D49E-4869-BE62-869DD74EE66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6F88B3E0-622F-449B-91FE-9E6AE61013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6378E39B-799E-4CA9-8DA5-D02C4CD6EA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3F83EDC3-4114-450D-9257-9A377EEAC9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41B6ECAD-EAA8-4BF4-813A-DFF772D118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4E00F9BF-D2FB-403C-8DDE-0E32ACB3BE5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674855B8-1548-4B7F-9C07-5F8CA913411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B5890187-1EAC-46C6-BF8A-81FB967539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B774127F-EDE0-4E6C-A601-77BDDA5FF0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97C9DDC1-E6DB-4AD7-9876-F0FCBF6ADB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1D39F937-8592-4144-B339-3582139637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C4D462D2-6F20-4C00-809E-924ACCAC43B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A0361023-3E12-4E02-8FFE-02930FD83E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7C8EF5AD-3DD7-4CC0-A0B7-348DEC3FBC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D172309A-AF8D-4B1B-9A13-F303DFA315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D8767F39-77CE-4FBC-B33C-D6AEF5C15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8A56E285-0A93-414B-A62A-72AF53D7D8C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356D911A-1D2A-46A5-BA3D-55241952BE71}"/>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50358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9CF9D000-1270-4B9A-9332-ECB6973E98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0C05E2E5-D4FA-4C2E-932D-DC6270EA3F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30DC387-F3C3-4C88-B9BA-277D446532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1085FE03-0885-45C3-BF2C-5FE6EFD7A7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B4900B3A-A822-47E3-9DE7-1708CCA637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C822E424-C9AF-4435-BCBD-798089FBB2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F9C52948-0F7B-4D25-8514-7CAEAB257C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8765CCD7-89F4-443B-A505-423D0CD9B5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DCF220D6-E2C6-4B9D-8711-EBB4F13075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8C724D69-BFA5-4813-9A86-8DEECA8879C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D555770B-A07A-43E1-ADA7-A79B08AD5E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C8B1B46F-3CBF-4C44-9DCB-5F4D0C8EA84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47CAA389-2A0D-47FE-A523-22B3ADC73B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36DE89CA-DAF7-4D52-BF73-DF36380437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682726D-64F6-409C-8331-96CB2C1610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F68211E3-65AC-4117-BC2E-7F845EFEB9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33</xdr:col>
      <xdr:colOff>95251</xdr:colOff>
      <xdr:row>67</xdr:row>
      <xdr:rowOff>51530</xdr:rowOff>
    </xdr:from>
    <xdr:to>
      <xdr:col>107</xdr:col>
      <xdr:colOff>615307</xdr:colOff>
      <xdr:row>128</xdr:row>
      <xdr:rowOff>3905</xdr:rowOff>
    </xdr:to>
    <xdr:grpSp>
      <xdr:nvGrpSpPr>
        <xdr:cNvPr id="5" name="그룹 4">
          <a:extLst>
            <a:ext uri="{FF2B5EF4-FFF2-40B4-BE49-F238E27FC236}">
              <a16:creationId xmlns:a16="http://schemas.microsoft.com/office/drawing/2014/main" id="{9AA1BC3A-B591-9BAF-4312-E9A63FF57E41}"/>
            </a:ext>
          </a:extLst>
        </xdr:cNvPr>
        <xdr:cNvGrpSpPr>
          <a:grpSpLocks noChangeAspect="1"/>
        </xdr:cNvGrpSpPr>
      </xdr:nvGrpSpPr>
      <xdr:grpSpPr>
        <a:xfrm>
          <a:off x="19907251" y="31198280"/>
          <a:ext cx="49859556" cy="29003625"/>
          <a:chOff x="19907250" y="31198279"/>
          <a:chExt cx="67363181" cy="39185596"/>
        </a:xfrm>
        <a:solidFill>
          <a:schemeClr val="bg1"/>
        </a:solidFill>
      </xdr:grpSpPr>
      <xdr:pic>
        <xdr:nvPicPr>
          <xdr:cNvPr id="2" name="그림 1">
            <a:extLst>
              <a:ext uri="{FF2B5EF4-FFF2-40B4-BE49-F238E27FC236}">
                <a16:creationId xmlns:a16="http://schemas.microsoft.com/office/drawing/2014/main" id="{495DCD18-50BD-1041-42BD-291B3691D5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10950" y="39719250"/>
            <a:ext cx="37759481" cy="30537150"/>
          </a:xfrm>
          <a:prstGeom prst="rect">
            <a:avLst/>
          </a:prstGeom>
          <a:grpFill/>
          <a:ln w="12700">
            <a:solidFill>
              <a:schemeClr val="bg1">
                <a:lumMod val="50000"/>
              </a:schemeClr>
            </a:solidFill>
          </a:ln>
        </xdr:spPr>
      </xdr:pic>
      <xdr:pic>
        <xdr:nvPicPr>
          <xdr:cNvPr id="3" name="그림 2">
            <a:extLst>
              <a:ext uri="{FF2B5EF4-FFF2-40B4-BE49-F238E27FC236}">
                <a16:creationId xmlns:a16="http://schemas.microsoft.com/office/drawing/2014/main" id="{111B3999-545D-F42E-5846-137720D302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21550" y="31198279"/>
            <a:ext cx="66751200" cy="8444769"/>
          </a:xfrm>
          <a:prstGeom prst="rect">
            <a:avLst/>
          </a:prstGeom>
          <a:grpFill/>
        </xdr:spPr>
      </xdr:pic>
      <xdr:pic>
        <xdr:nvPicPr>
          <xdr:cNvPr id="4" name="그림 3">
            <a:extLst>
              <a:ext uri="{FF2B5EF4-FFF2-40B4-BE49-F238E27FC236}">
                <a16:creationId xmlns:a16="http://schemas.microsoft.com/office/drawing/2014/main" id="{09178B14-DAF9-08ED-237D-E1CEB6F7904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907250" y="39719250"/>
            <a:ext cx="28575000" cy="30664625"/>
          </a:xfrm>
          <a:prstGeom prst="rect">
            <a:avLst/>
          </a:prstGeom>
          <a:grpFill/>
          <a:ln w="12700">
            <a:solidFill>
              <a:schemeClr val="tx1">
                <a:lumMod val="50000"/>
                <a:lumOff val="50000"/>
              </a:schemeClr>
            </a:solidFill>
          </a:ln>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90120-7B24-4D88-9175-0296412852CF}">
  <sheetPr>
    <pageSetUpPr fitToPage="1"/>
  </sheetPr>
  <dimension ref="A2:I34"/>
  <sheetViews>
    <sheetView showGridLines="0" topLeftCell="A8" zoomScale="70" zoomScaleNormal="70" workbookViewId="0">
      <selection activeCell="A2" sqref="A2:G32"/>
    </sheetView>
  </sheetViews>
  <sheetFormatPr defaultColWidth="9" defaultRowHeight="12.75"/>
  <cols>
    <col min="1" max="1" width="9.875" style="3" customWidth="1"/>
    <col min="2" max="2" width="24.25" style="3" customWidth="1"/>
    <col min="3" max="3" width="27" style="3" customWidth="1"/>
    <col min="4" max="5" width="9" style="3"/>
    <col min="6" max="6" width="23.5" style="3" customWidth="1"/>
    <col min="7" max="7" width="39" style="3" bestFit="1" customWidth="1"/>
    <col min="8" max="8" width="11.25" style="3" customWidth="1"/>
    <col min="9" max="16384" width="9" style="3"/>
  </cols>
  <sheetData>
    <row r="2" spans="1:9" ht="33">
      <c r="A2" s="355" t="s">
        <v>1</v>
      </c>
      <c r="B2" s="355"/>
      <c r="C2" s="355"/>
      <c r="D2" s="355"/>
      <c r="E2" s="355"/>
      <c r="F2" s="355"/>
      <c r="G2" s="355"/>
      <c r="H2" s="2"/>
    </row>
    <row r="3" spans="1:9" ht="14.25">
      <c r="A3" s="177"/>
      <c r="B3" s="177"/>
      <c r="C3" s="177"/>
      <c r="D3" s="177"/>
      <c r="E3" s="177"/>
      <c r="F3" s="177"/>
      <c r="G3" s="177"/>
      <c r="H3" s="177"/>
    </row>
    <row r="4" spans="1:9" ht="14.25">
      <c r="A4" s="177"/>
      <c r="B4" s="177"/>
      <c r="C4" s="177"/>
      <c r="D4" s="177"/>
      <c r="E4" s="177"/>
      <c r="H4" s="177"/>
    </row>
    <row r="5" spans="1:9" ht="27" customHeight="1">
      <c r="A5" s="178" t="s">
        <v>41</v>
      </c>
      <c r="B5" s="4"/>
      <c r="C5" s="5"/>
      <c r="D5" s="177"/>
      <c r="E5" s="177"/>
      <c r="F5" s="6" t="s">
        <v>31</v>
      </c>
      <c r="G5" s="7" t="s">
        <v>45</v>
      </c>
      <c r="H5" s="177"/>
    </row>
    <row r="6" spans="1:9" ht="27" customHeight="1">
      <c r="A6" s="177"/>
      <c r="B6" s="177"/>
      <c r="C6" s="177"/>
      <c r="D6" s="177"/>
      <c r="E6" s="177"/>
      <c r="F6" s="8" t="s">
        <v>34</v>
      </c>
      <c r="G6" s="9" t="s">
        <v>46</v>
      </c>
      <c r="H6" s="177"/>
    </row>
    <row r="7" spans="1:9" ht="27" customHeight="1">
      <c r="A7" s="356" t="s">
        <v>201</v>
      </c>
      <c r="B7" s="357"/>
      <c r="C7" s="358"/>
      <c r="D7" s="177"/>
      <c r="E7" s="10"/>
      <c r="F7" s="11" t="s">
        <v>35</v>
      </c>
      <c r="G7" s="9" t="s">
        <v>47</v>
      </c>
      <c r="H7" s="177"/>
    </row>
    <row r="8" spans="1:9" ht="27" customHeight="1">
      <c r="A8" s="177"/>
      <c r="B8" s="177"/>
      <c r="C8" s="177"/>
      <c r="D8" s="177"/>
      <c r="E8" s="177"/>
      <c r="F8" s="8" t="s">
        <v>36</v>
      </c>
      <c r="G8" s="9" t="s">
        <v>48</v>
      </c>
      <c r="H8" s="177"/>
    </row>
    <row r="9" spans="1:9" ht="27" customHeight="1">
      <c r="A9" s="356" t="s">
        <v>202</v>
      </c>
      <c r="B9" s="357"/>
      <c r="C9" s="358"/>
      <c r="D9" s="177"/>
      <c r="E9" s="177"/>
      <c r="F9" s="8" t="s">
        <v>37</v>
      </c>
      <c r="G9" s="9" t="s">
        <v>49</v>
      </c>
      <c r="H9" s="177"/>
    </row>
    <row r="10" spans="1:9" ht="27" customHeight="1">
      <c r="A10" s="177"/>
      <c r="B10" s="177"/>
      <c r="C10" s="177"/>
      <c r="D10" s="177"/>
      <c r="E10" s="177"/>
      <c r="F10" s="12" t="s">
        <v>32</v>
      </c>
      <c r="G10" s="13" t="s">
        <v>50</v>
      </c>
      <c r="H10" s="177"/>
      <c r="I10" s="177"/>
    </row>
    <row r="11" spans="1:9" ht="27" customHeight="1">
      <c r="A11" s="359"/>
      <c r="B11" s="360"/>
      <c r="C11" s="360"/>
      <c r="D11" s="177"/>
      <c r="E11" s="14"/>
      <c r="F11" s="15" t="s">
        <v>33</v>
      </c>
      <c r="G11" s="16" t="s">
        <v>51</v>
      </c>
      <c r="H11" s="14"/>
    </row>
    <row r="12" spans="1:9" ht="18.75" thickBot="1">
      <c r="A12" s="17" t="s">
        <v>2</v>
      </c>
      <c r="B12" s="17" t="str">
        <f>NUMBERSTRING(F31,1)</f>
        <v>팔십구만삼천</v>
      </c>
      <c r="C12" s="18"/>
      <c r="D12" s="1" t="s">
        <v>3</v>
      </c>
      <c r="E12" s="1" t="s">
        <v>4</v>
      </c>
      <c r="F12" s="1" t="s">
        <v>4</v>
      </c>
      <c r="G12" s="1"/>
      <c r="H12" s="19"/>
    </row>
    <row r="13" spans="1:9" ht="15.75" thickTop="1" thickBot="1">
      <c r="A13" s="177"/>
      <c r="B13" s="177"/>
      <c r="C13" s="177"/>
      <c r="D13" s="177"/>
      <c r="E13" s="177"/>
      <c r="F13" s="177"/>
      <c r="G13" s="177"/>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'내역서(표준단가)'!O6</f>
        <v>0</v>
      </c>
      <c r="G16" s="34"/>
    </row>
    <row r="17" spans="1:8" ht="33" customHeight="1">
      <c r="A17" s="29"/>
      <c r="B17" s="30" t="s">
        <v>14</v>
      </c>
      <c r="C17" s="31"/>
      <c r="D17" s="32"/>
      <c r="E17" s="32"/>
      <c r="F17" s="33">
        <f>'내역서(표준단가)'!Q6</f>
        <v>732532.14</v>
      </c>
      <c r="G17" s="35"/>
    </row>
    <row r="18" spans="1:8" ht="33" customHeight="1">
      <c r="A18" s="29"/>
      <c r="B18" s="30" t="s">
        <v>15</v>
      </c>
      <c r="C18" s="31"/>
      <c r="D18" s="32"/>
      <c r="E18" s="32"/>
      <c r="F18" s="33">
        <f>'내역서(표준단가)'!S6+'내역서(표준단가)'!U6</f>
        <v>0</v>
      </c>
      <c r="G18" s="35"/>
    </row>
    <row r="19" spans="1:8" ht="33" customHeight="1">
      <c r="A19" s="29"/>
      <c r="B19" s="36" t="s">
        <v>16</v>
      </c>
      <c r="C19" s="36"/>
      <c r="D19" s="37"/>
      <c r="E19" s="37"/>
      <c r="F19" s="38">
        <f>F16+F17+F18</f>
        <v>732532.14</v>
      </c>
      <c r="G19" s="35"/>
    </row>
    <row r="20" spans="1:8" ht="33" customHeight="1">
      <c r="A20" s="29"/>
      <c r="B20" s="39" t="s">
        <v>17</v>
      </c>
      <c r="C20" s="40"/>
      <c r="D20" s="32"/>
      <c r="E20" s="32"/>
      <c r="F20" s="41"/>
      <c r="G20" s="35"/>
    </row>
    <row r="21" spans="1:8" ht="33" customHeight="1">
      <c r="A21" s="29"/>
      <c r="B21" s="224" t="s">
        <v>18</v>
      </c>
      <c r="C21" s="40" t="s">
        <v>19</v>
      </c>
      <c r="D21" s="30">
        <v>1</v>
      </c>
      <c r="E21" s="30" t="s">
        <v>20</v>
      </c>
      <c r="F21" s="42">
        <f>F17*4.5%</f>
        <v>32963.946299999996</v>
      </c>
      <c r="G21" s="35" t="s">
        <v>21</v>
      </c>
    </row>
    <row r="22" spans="1:8" ht="33" customHeight="1">
      <c r="A22" s="29"/>
      <c r="B22" s="225" t="s">
        <v>22</v>
      </c>
      <c r="C22" s="43" t="s">
        <v>42</v>
      </c>
      <c r="D22" s="44">
        <v>1</v>
      </c>
      <c r="E22" s="44" t="s">
        <v>20</v>
      </c>
      <c r="F22" s="45">
        <f>F17*3.545%</f>
        <v>25968.264363000002</v>
      </c>
      <c r="G22" s="46" t="s">
        <v>21</v>
      </c>
    </row>
    <row r="23" spans="1:8" ht="33" customHeight="1">
      <c r="A23" s="29"/>
      <c r="B23" s="224" t="s">
        <v>23</v>
      </c>
      <c r="C23" s="40" t="s">
        <v>43</v>
      </c>
      <c r="D23" s="30">
        <v>1</v>
      </c>
      <c r="E23" s="30" t="s">
        <v>20</v>
      </c>
      <c r="F23" s="42">
        <f>F22*12.95%</f>
        <v>3362.8902350085004</v>
      </c>
      <c r="G23" s="35" t="s">
        <v>21</v>
      </c>
    </row>
    <row r="24" spans="1:8" ht="33" customHeight="1">
      <c r="A24" s="29"/>
      <c r="B24" s="224" t="s">
        <v>24</v>
      </c>
      <c r="C24" s="40" t="s">
        <v>39</v>
      </c>
      <c r="D24" s="30">
        <v>1</v>
      </c>
      <c r="E24" s="30" t="s">
        <v>20</v>
      </c>
      <c r="F24" s="42">
        <f>F17*1.01%</f>
        <v>7398.5746140000001</v>
      </c>
      <c r="G24" s="35" t="s">
        <v>21</v>
      </c>
    </row>
    <row r="25" spans="1:8" ht="33" customHeight="1">
      <c r="A25" s="29"/>
      <c r="B25" s="224" t="s">
        <v>25</v>
      </c>
      <c r="C25" s="40" t="s">
        <v>44</v>
      </c>
      <c r="D25" s="30">
        <v>1</v>
      </c>
      <c r="E25" s="30" t="s">
        <v>20</v>
      </c>
      <c r="F25" s="42">
        <f>F17*3.56%</f>
        <v>26078.144184000001</v>
      </c>
      <c r="G25" s="35" t="s">
        <v>21</v>
      </c>
    </row>
    <row r="26" spans="1:8" ht="33" customHeight="1">
      <c r="A26" s="29"/>
      <c r="B26" s="224" t="s">
        <v>26</v>
      </c>
      <c r="C26" s="47" t="s">
        <v>72</v>
      </c>
      <c r="D26" s="30">
        <v>1</v>
      </c>
      <c r="E26" s="30" t="s">
        <v>20</v>
      </c>
      <c r="F26" s="42">
        <f>(F16+F17)*3.11%</f>
        <v>22781.749553999998</v>
      </c>
      <c r="G26" s="35" t="s">
        <v>21</v>
      </c>
    </row>
    <row r="27" spans="1:8" ht="33" customHeight="1">
      <c r="A27" s="29"/>
      <c r="B27" s="224" t="s">
        <v>29</v>
      </c>
      <c r="C27" s="47" t="s">
        <v>30</v>
      </c>
      <c r="D27" s="30">
        <v>1</v>
      </c>
      <c r="E27" s="30" t="s">
        <v>20</v>
      </c>
      <c r="F27" s="42">
        <f>SUM(F17+F21+F22+F23+F24+F25+F26)*5%</f>
        <v>42554.285462500433</v>
      </c>
      <c r="G27" s="35"/>
    </row>
    <row r="28" spans="1:8" ht="33" customHeight="1">
      <c r="A28" s="29"/>
      <c r="B28" s="36" t="s">
        <v>16</v>
      </c>
      <c r="C28" s="48"/>
      <c r="D28" s="49"/>
      <c r="E28" s="37"/>
      <c r="F28" s="50">
        <f>F21+F22+F23+F24+F25+F26+F27</f>
        <v>161107.85471250894</v>
      </c>
      <c r="G28" s="35"/>
    </row>
    <row r="29" spans="1:8" ht="33" customHeight="1">
      <c r="A29" s="29"/>
      <c r="B29" s="40"/>
      <c r="C29" s="51"/>
      <c r="D29" s="52"/>
      <c r="E29" s="32"/>
      <c r="F29" s="53"/>
      <c r="G29" s="35"/>
    </row>
    <row r="30" spans="1:8" ht="33" customHeight="1">
      <c r="A30" s="29"/>
      <c r="B30" s="54"/>
      <c r="C30" s="51"/>
      <c r="D30" s="52"/>
      <c r="E30" s="32"/>
      <c r="F30" s="55">
        <f>F19+F28+F29</f>
        <v>893639.99471250898</v>
      </c>
      <c r="G30" s="35"/>
    </row>
    <row r="31" spans="1:8" ht="33" customHeight="1">
      <c r="A31" s="29"/>
      <c r="B31" s="36" t="s">
        <v>27</v>
      </c>
      <c r="C31" s="36"/>
      <c r="D31" s="37"/>
      <c r="E31" s="37"/>
      <c r="F31" s="398">
        <f>ROUNDDOWN(F30,-3)</f>
        <v>893000</v>
      </c>
      <c r="G31" s="396">
        <f>F31*1.075</f>
        <v>959975</v>
      </c>
      <c r="H31" s="395"/>
    </row>
    <row r="32" spans="1:8" ht="33" customHeight="1" thickBot="1">
      <c r="A32" s="56"/>
      <c r="B32" s="57" t="s">
        <v>28</v>
      </c>
      <c r="C32" s="58"/>
      <c r="D32" s="58"/>
      <c r="E32" s="58"/>
      <c r="F32" s="59"/>
      <c r="G32" s="397" t="s">
        <v>214</v>
      </c>
    </row>
    <row r="33" spans="2:7" ht="33.75" customHeight="1">
      <c r="B33" s="60"/>
      <c r="G33" s="226"/>
    </row>
    <row r="34" spans="2:7" ht="15.75">
      <c r="B34" s="60"/>
    </row>
  </sheetData>
  <mergeCells count="4">
    <mergeCell ref="A2:G2"/>
    <mergeCell ref="A7:C7"/>
    <mergeCell ref="A9:C9"/>
    <mergeCell ref="A11:C11"/>
  </mergeCells>
  <phoneticPr fontId="10"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9541C-747E-4607-A8F2-52E14B6B9D93}">
  <sheetPr>
    <pageSetUpPr fitToPage="1"/>
  </sheetPr>
  <dimension ref="A1:X6"/>
  <sheetViews>
    <sheetView showGridLines="0" tabSelected="1" topLeftCell="AH1" zoomScale="10" zoomScaleNormal="10" workbookViewId="0">
      <pane ySplit="4" topLeftCell="A56" activePane="bottomLeft" state="frozen"/>
      <selection pane="bottomLeft" activeCell="GZ150" sqref="GZ150"/>
    </sheetView>
  </sheetViews>
  <sheetFormatPr defaultColWidth="9" defaultRowHeight="38.1" customHeight="1"/>
  <cols>
    <col min="1" max="1" width="22.625" style="89" bestFit="1" customWidth="1"/>
    <col min="2" max="5" width="4.625" style="89" hidden="1" customWidth="1"/>
    <col min="6" max="6" width="9" style="79" hidden="1" customWidth="1"/>
    <col min="7" max="9" width="12.625" style="79" hidden="1" customWidth="1"/>
    <col min="10" max="10" width="26" style="76" customWidth="1"/>
    <col min="11" max="11" width="30.625" style="76" customWidth="1"/>
    <col min="12" max="12" width="8.75" style="79" customWidth="1"/>
    <col min="13" max="13" width="8.25" style="79" customWidth="1"/>
    <col min="14" max="14" width="10.625" style="79" bestFit="1" customWidth="1"/>
    <col min="15" max="15" width="17.25" style="79" bestFit="1" customWidth="1"/>
    <col min="16" max="16" width="12" style="79" bestFit="1" customWidth="1"/>
    <col min="17" max="17" width="17.25" style="79" bestFit="1" customWidth="1"/>
    <col min="18" max="18" width="9" style="79" hidden="1" customWidth="1"/>
    <col min="19" max="19" width="8.75" style="79" hidden="1" customWidth="1"/>
    <col min="20" max="20" width="10.5" style="79" hidden="1" customWidth="1"/>
    <col min="21" max="21" width="8.75" style="79" hidden="1" customWidth="1"/>
    <col min="22" max="22" width="15.625" style="79" bestFit="1" customWidth="1"/>
    <col min="23" max="23" width="10.625" style="61" hidden="1" customWidth="1"/>
    <col min="24" max="24" width="8.5" style="79" bestFit="1" customWidth="1"/>
    <col min="25" max="16384" width="9" style="79"/>
  </cols>
  <sheetData>
    <row r="1" spans="1:24" ht="19.899999999999999" customHeight="1">
      <c r="A1" s="363"/>
      <c r="B1" s="363"/>
      <c r="C1" s="363"/>
      <c r="D1" s="363"/>
      <c r="E1" s="363"/>
      <c r="F1" s="363"/>
      <c r="G1" s="363"/>
      <c r="H1" s="363"/>
      <c r="I1" s="363"/>
      <c r="N1" s="61"/>
      <c r="O1" s="179" t="s">
        <v>52</v>
      </c>
      <c r="Q1" s="179" t="s">
        <v>52</v>
      </c>
      <c r="S1" s="179" t="s">
        <v>52</v>
      </c>
      <c r="U1" s="179" t="s">
        <v>52</v>
      </c>
    </row>
    <row r="2" spans="1:24" ht="19.899999999999999" customHeight="1" thickBot="1">
      <c r="A2" s="363"/>
      <c r="B2" s="363"/>
      <c r="C2" s="363"/>
      <c r="D2" s="363"/>
      <c r="E2" s="363"/>
      <c r="F2" s="363"/>
      <c r="G2" s="363"/>
      <c r="H2" s="363"/>
      <c r="I2" s="363"/>
      <c r="N2" s="62"/>
      <c r="O2" s="63">
        <v>0.83499999999999996</v>
      </c>
      <c r="Q2" s="63">
        <v>0.83499999999999996</v>
      </c>
      <c r="S2" s="63">
        <v>0.83499999999999996</v>
      </c>
      <c r="U2" s="63">
        <v>0.83499999999999996</v>
      </c>
    </row>
    <row r="3" spans="1:24" ht="19.899999999999999" customHeight="1">
      <c r="A3" s="80"/>
      <c r="B3" s="81"/>
      <c r="C3" s="81"/>
      <c r="D3" s="81"/>
      <c r="E3" s="81"/>
      <c r="F3" s="81" t="s">
        <v>53</v>
      </c>
      <c r="G3" s="81"/>
      <c r="H3" s="81"/>
      <c r="I3" s="81"/>
      <c r="J3" s="364" t="s">
        <v>54</v>
      </c>
      <c r="K3" s="364"/>
      <c r="L3" s="365" t="s">
        <v>40</v>
      </c>
      <c r="M3" s="365" t="s">
        <v>0</v>
      </c>
      <c r="N3" s="367" t="s">
        <v>55</v>
      </c>
      <c r="O3" s="367"/>
      <c r="P3" s="367" t="s">
        <v>56</v>
      </c>
      <c r="Q3" s="367"/>
      <c r="R3" s="368" t="s">
        <v>57</v>
      </c>
      <c r="S3" s="368"/>
      <c r="T3" s="368" t="s">
        <v>58</v>
      </c>
      <c r="U3" s="368"/>
      <c r="V3" s="369" t="s">
        <v>59</v>
      </c>
      <c r="W3" s="371" t="s">
        <v>60</v>
      </c>
      <c r="X3" s="361" t="s">
        <v>38</v>
      </c>
    </row>
    <row r="4" spans="1:24" ht="19.899999999999999" customHeight="1">
      <c r="A4" s="64" t="s">
        <v>61</v>
      </c>
      <c r="B4" s="180"/>
      <c r="C4" s="180"/>
      <c r="D4" s="180"/>
      <c r="E4" s="180"/>
      <c r="F4" s="65" t="s">
        <v>62</v>
      </c>
      <c r="G4" s="65" t="s">
        <v>63</v>
      </c>
      <c r="H4" s="65" t="s">
        <v>64</v>
      </c>
      <c r="I4" s="65" t="s">
        <v>65</v>
      </c>
      <c r="J4" s="77" t="s">
        <v>66</v>
      </c>
      <c r="K4" s="77" t="s">
        <v>67</v>
      </c>
      <c r="L4" s="366"/>
      <c r="M4" s="366"/>
      <c r="N4" s="219" t="s">
        <v>68</v>
      </c>
      <c r="O4" s="66" t="s">
        <v>69</v>
      </c>
      <c r="P4" s="219" t="s">
        <v>70</v>
      </c>
      <c r="Q4" s="66" t="s">
        <v>69</v>
      </c>
      <c r="R4" s="66" t="s">
        <v>71</v>
      </c>
      <c r="S4" s="66" t="s">
        <v>69</v>
      </c>
      <c r="T4" s="66" t="s">
        <v>71</v>
      </c>
      <c r="U4" s="66" t="s">
        <v>69</v>
      </c>
      <c r="V4" s="370"/>
      <c r="W4" s="372"/>
      <c r="X4" s="362"/>
    </row>
    <row r="5" spans="1:24" s="82" customFormat="1" ht="38.1" customHeight="1">
      <c r="A5" s="67" t="str">
        <f t="shared" ref="A5" si="0">F5&amp;G5&amp;H5&amp;I5</f>
        <v>L003</v>
      </c>
      <c r="B5" s="71"/>
      <c r="C5" s="71"/>
      <c r="D5" s="71"/>
      <c r="E5" s="71"/>
      <c r="F5" s="171"/>
      <c r="G5" s="172"/>
      <c r="H5" s="172"/>
      <c r="I5" s="171" t="s">
        <v>148</v>
      </c>
      <c r="J5" s="220" t="s">
        <v>199</v>
      </c>
      <c r="K5" s="221" t="s">
        <v>200</v>
      </c>
      <c r="L5" s="222" t="s">
        <v>149</v>
      </c>
      <c r="M5" s="400">
        <v>4</v>
      </c>
      <c r="N5" s="223"/>
      <c r="O5" s="75">
        <f t="shared" ref="O5" si="1">SUM(N5:N5)*M5*$O$2</f>
        <v>0</v>
      </c>
      <c r="P5" s="74">
        <v>219321</v>
      </c>
      <c r="Q5" s="75">
        <f t="shared" ref="Q5" si="2">(P5*M5)*$Q$2</f>
        <v>732532.14</v>
      </c>
      <c r="R5" s="173"/>
      <c r="S5" s="68">
        <f t="shared" ref="S5" si="3">R5*M5*$S$2</f>
        <v>0</v>
      </c>
      <c r="T5" s="69"/>
      <c r="U5" s="68">
        <f t="shared" ref="U5" si="4">T5*M5*$U$2</f>
        <v>0</v>
      </c>
      <c r="V5" s="69">
        <f t="shared" ref="V5" si="5">SUM(O5+Q5)+S5+U5</f>
        <v>732532.14</v>
      </c>
      <c r="W5" s="73"/>
      <c r="X5" s="70"/>
    </row>
    <row r="6" spans="1:24" s="88" customFormat="1" ht="38.1" customHeight="1">
      <c r="A6" s="83"/>
      <c r="B6" s="84"/>
      <c r="C6" s="84"/>
      <c r="D6" s="84"/>
      <c r="E6" s="84"/>
      <c r="F6" s="84"/>
      <c r="G6" s="84"/>
      <c r="H6" s="84"/>
      <c r="I6" s="84"/>
      <c r="J6" s="78"/>
      <c r="K6" s="78"/>
      <c r="L6" s="84"/>
      <c r="M6" s="84"/>
      <c r="N6" s="84"/>
      <c r="O6" s="354">
        <f>SUM(O5:O5)</f>
        <v>0</v>
      </c>
      <c r="P6" s="86"/>
      <c r="Q6" s="399">
        <f>SUM(Q5:Q5)</f>
        <v>732532.14</v>
      </c>
      <c r="R6" s="86"/>
      <c r="S6" s="85">
        <f>SUM(S5:S5)</f>
        <v>0</v>
      </c>
      <c r="T6" s="86"/>
      <c r="U6" s="85">
        <f>SUM(U5:U5)</f>
        <v>0</v>
      </c>
      <c r="V6" s="87">
        <f>SUM(V5:V5)</f>
        <v>732532.14</v>
      </c>
      <c r="W6" s="72"/>
      <c r="X6" s="84"/>
    </row>
  </sheetData>
  <mergeCells count="12">
    <mergeCell ref="X3:X4"/>
    <mergeCell ref="A1:I1"/>
    <mergeCell ref="A2:I2"/>
    <mergeCell ref="J3:K3"/>
    <mergeCell ref="L3:L4"/>
    <mergeCell ref="M3:M4"/>
    <mergeCell ref="N3:O3"/>
    <mergeCell ref="P3:Q3"/>
    <mergeCell ref="R3:S3"/>
    <mergeCell ref="T3:U3"/>
    <mergeCell ref="V3:V4"/>
    <mergeCell ref="W3:W4"/>
  </mergeCells>
  <phoneticPr fontId="10" type="noConversion"/>
  <pageMargins left="0.7" right="0.7" top="0.75" bottom="0.75" header="0.3" footer="0.3"/>
  <pageSetup paperSize="9" scale="36"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pageSetUpPr fitToPage="1"/>
  </sheetPr>
  <dimension ref="B1:AF49"/>
  <sheetViews>
    <sheetView showZeros="0" zoomScale="40" zoomScaleNormal="40" workbookViewId="0">
      <pane ySplit="5" topLeftCell="A36" activePane="bottomLeft" state="frozen"/>
      <selection pane="bottomLeft" activeCell="B2" sqref="B2:AA46"/>
    </sheetView>
  </sheetViews>
  <sheetFormatPr defaultRowHeight="16.5"/>
  <cols>
    <col min="1" max="1" width="1.625" customWidth="1"/>
    <col min="2" max="2" width="12" style="99" customWidth="1"/>
    <col min="3" max="3" width="11.375" style="99" bestFit="1" customWidth="1"/>
    <col min="4" max="4" width="26.75" style="99" customWidth="1"/>
    <col min="5" max="5" width="12.75" style="99" customWidth="1"/>
    <col min="6" max="6" width="11.125" style="99" bestFit="1" customWidth="1"/>
    <col min="7" max="7" width="12.75" style="99" customWidth="1"/>
    <col min="8" max="8" width="11.125" style="99" bestFit="1" customWidth="1"/>
    <col min="9" max="9" width="22.875" style="99" customWidth="1"/>
    <col min="10" max="10" width="25.75" style="99" bestFit="1" customWidth="1"/>
    <col min="11" max="11" width="9.75" style="99" bestFit="1" customWidth="1"/>
    <col min="12" max="12" width="8" style="99" bestFit="1" customWidth="1"/>
    <col min="13" max="13" width="11.75" style="99" bestFit="1" customWidth="1"/>
    <col min="14" max="14" width="73.25" style="99" bestFit="1" customWidth="1"/>
    <col min="15" max="15" width="25" style="99" customWidth="1"/>
    <col min="16" max="16" width="25.125" style="99" bestFit="1" customWidth="1"/>
    <col min="17" max="17" width="18" style="99" bestFit="1" customWidth="1"/>
    <col min="18" max="18" width="11.75" style="99" bestFit="1" customWidth="1"/>
    <col min="19" max="19" width="19.875" style="99" bestFit="1" customWidth="1"/>
    <col min="20" max="20" width="17.375" style="99" customWidth="1"/>
    <col min="21" max="21" width="13.375" style="99" bestFit="1" customWidth="1"/>
    <col min="22" max="22" width="13.375" style="99" customWidth="1"/>
    <col min="23" max="23" width="22.625" style="99" bestFit="1" customWidth="1"/>
    <col min="24" max="25" width="22.625" style="99" customWidth="1"/>
    <col min="26" max="26" width="14.5" style="99" customWidth="1"/>
    <col min="27" max="27" width="24.5" customWidth="1"/>
    <col min="28" max="28" width="1.625" customWidth="1"/>
    <col min="31" max="31" width="16.375" bestFit="1" customWidth="1"/>
  </cols>
  <sheetData>
    <row r="1" spans="2:27" s="90" customFormat="1" ht="9.9499999999999993" customHeight="1"/>
    <row r="2" spans="2:27" s="90" customFormat="1" ht="47.25" thickBot="1">
      <c r="B2" s="205" t="s">
        <v>101</v>
      </c>
      <c r="C2" s="201" t="s">
        <v>102</v>
      </c>
      <c r="D2" s="202" t="s">
        <v>103</v>
      </c>
      <c r="E2" s="203" t="s">
        <v>104</v>
      </c>
      <c r="F2" s="203" t="s">
        <v>105</v>
      </c>
      <c r="G2" s="203" t="s">
        <v>106</v>
      </c>
      <c r="H2" s="203" t="s">
        <v>107</v>
      </c>
      <c r="I2" s="203"/>
      <c r="J2" s="203"/>
      <c r="K2" s="201" t="s">
        <v>73</v>
      </c>
      <c r="L2" s="201">
        <v>201</v>
      </c>
      <c r="M2" s="202" t="s">
        <v>74</v>
      </c>
      <c r="N2" s="204" t="s">
        <v>75</v>
      </c>
      <c r="O2" s="288"/>
      <c r="P2" s="288"/>
      <c r="Q2" s="289" t="s">
        <v>160</v>
      </c>
      <c r="R2" s="91"/>
      <c r="S2" s="352"/>
      <c r="T2" s="353" t="s">
        <v>212</v>
      </c>
      <c r="U2" s="91"/>
      <c r="V2" s="91"/>
      <c r="W2" s="91"/>
      <c r="X2" s="91"/>
      <c r="Y2" s="91"/>
      <c r="Z2" s="91"/>
      <c r="AA2" s="92"/>
    </row>
    <row r="3" spans="2:27" s="90" customFormat="1" ht="39" customHeight="1">
      <c r="B3" s="379" t="s">
        <v>108</v>
      </c>
      <c r="C3" s="375" t="s">
        <v>109</v>
      </c>
      <c r="D3" s="402" t="s">
        <v>116</v>
      </c>
      <c r="E3" s="381" t="s">
        <v>76</v>
      </c>
      <c r="F3" s="381"/>
      <c r="G3" s="381" t="s">
        <v>77</v>
      </c>
      <c r="H3" s="381"/>
      <c r="I3" s="93" t="s">
        <v>129</v>
      </c>
      <c r="J3" s="93" t="s">
        <v>130</v>
      </c>
      <c r="K3" s="375" t="s">
        <v>78</v>
      </c>
      <c r="L3" s="375" t="s">
        <v>79</v>
      </c>
      <c r="M3" s="375" t="s">
        <v>80</v>
      </c>
      <c r="N3" s="375" t="s">
        <v>81</v>
      </c>
      <c r="O3" s="401" t="s">
        <v>215</v>
      </c>
      <c r="P3" s="403" t="s">
        <v>216</v>
      </c>
      <c r="Q3" s="416" t="s">
        <v>117</v>
      </c>
      <c r="R3" s="417"/>
      <c r="S3" s="417"/>
      <c r="T3" s="417"/>
      <c r="U3" s="417"/>
      <c r="V3" s="417"/>
      <c r="W3" s="417"/>
      <c r="X3" s="417"/>
      <c r="Y3" s="417"/>
      <c r="Z3" s="418"/>
      <c r="AA3" s="377" t="s">
        <v>115</v>
      </c>
    </row>
    <row r="4" spans="2:27" s="90" customFormat="1" ht="77.25" thickBot="1">
      <c r="B4" s="380"/>
      <c r="C4" s="376"/>
      <c r="D4" s="406"/>
      <c r="E4" s="94" t="s">
        <v>110</v>
      </c>
      <c r="F4" s="95" t="s">
        <v>111</v>
      </c>
      <c r="G4" s="94" t="s">
        <v>110</v>
      </c>
      <c r="H4" s="95" t="s">
        <v>111</v>
      </c>
      <c r="I4" s="96" t="s">
        <v>112</v>
      </c>
      <c r="J4" s="96" t="s">
        <v>113</v>
      </c>
      <c r="K4" s="376"/>
      <c r="L4" s="376"/>
      <c r="M4" s="376"/>
      <c r="N4" s="376"/>
      <c r="O4" s="404"/>
      <c r="P4" s="405"/>
      <c r="Q4" s="412" t="s">
        <v>131</v>
      </c>
      <c r="R4" s="413" t="s">
        <v>132</v>
      </c>
      <c r="S4" s="413" t="s">
        <v>133</v>
      </c>
      <c r="T4" s="413" t="s">
        <v>152</v>
      </c>
      <c r="U4" s="413" t="s">
        <v>153</v>
      </c>
      <c r="V4" s="413" t="s">
        <v>150</v>
      </c>
      <c r="W4" s="414" t="s">
        <v>151</v>
      </c>
      <c r="X4" s="415" t="s">
        <v>206</v>
      </c>
      <c r="Y4" s="414" t="s">
        <v>205</v>
      </c>
      <c r="Z4" s="414" t="s">
        <v>204</v>
      </c>
      <c r="AA4" s="378"/>
    </row>
    <row r="5" spans="2:27" s="99" customFormat="1" ht="41.25" hidden="1">
      <c r="B5" s="346" t="s">
        <v>147</v>
      </c>
      <c r="C5" s="148"/>
      <c r="D5" s="149"/>
      <c r="E5" s="98"/>
      <c r="F5" s="98"/>
      <c r="G5" s="98"/>
      <c r="H5" s="98"/>
      <c r="I5" s="98"/>
      <c r="J5" s="98"/>
      <c r="K5" s="97"/>
      <c r="L5" s="97"/>
      <c r="M5" s="97"/>
      <c r="N5" s="97"/>
      <c r="O5" s="97"/>
      <c r="P5" s="97"/>
      <c r="Q5" s="97"/>
      <c r="R5" s="97"/>
      <c r="S5" s="97"/>
      <c r="T5" s="97"/>
      <c r="U5" s="97"/>
      <c r="V5" s="97"/>
      <c r="W5" s="239"/>
      <c r="X5" s="240"/>
      <c r="Y5" s="240"/>
      <c r="Z5" s="241"/>
      <c r="AA5" s="184"/>
    </row>
    <row r="6" spans="2:27" s="157" customFormat="1" ht="96" hidden="1">
      <c r="B6" s="150">
        <v>1</v>
      </c>
      <c r="C6" s="100" t="s">
        <v>114</v>
      </c>
      <c r="D6" s="193">
        <v>2</v>
      </c>
      <c r="E6" s="151">
        <v>45679</v>
      </c>
      <c r="F6" s="152">
        <v>0.375</v>
      </c>
      <c r="G6" s="151">
        <v>45679</v>
      </c>
      <c r="H6" s="153">
        <v>0.69444444444444453</v>
      </c>
      <c r="I6" s="154">
        <f t="shared" ref="I6:I24" si="0">H6-F6</f>
        <v>0.31944444444444453</v>
      </c>
      <c r="J6" s="155">
        <f t="shared" ref="J6:J17" si="1">I6*D6</f>
        <v>0.63888888888888906</v>
      </c>
      <c r="K6" s="101" t="s">
        <v>83</v>
      </c>
      <c r="L6" s="102" t="s">
        <v>84</v>
      </c>
      <c r="M6" s="103" t="s">
        <v>85</v>
      </c>
      <c r="N6" s="156" t="s">
        <v>86</v>
      </c>
      <c r="O6" s="317">
        <v>2</v>
      </c>
      <c r="P6" s="317"/>
      <c r="Q6" s="318"/>
      <c r="R6" s="318">
        <v>4</v>
      </c>
      <c r="S6" s="318"/>
      <c r="T6" s="318"/>
      <c r="U6" s="318"/>
      <c r="V6" s="318"/>
      <c r="W6" s="319"/>
      <c r="X6" s="319"/>
      <c r="Y6" s="319"/>
      <c r="Z6" s="320"/>
      <c r="AA6" s="185"/>
    </row>
    <row r="7" spans="2:27" s="157" customFormat="1" ht="96" hidden="1">
      <c r="B7" s="158">
        <v>2</v>
      </c>
      <c r="C7" s="104" t="s">
        <v>114</v>
      </c>
      <c r="D7" s="194">
        <v>2</v>
      </c>
      <c r="E7" s="159">
        <v>45680</v>
      </c>
      <c r="F7" s="152">
        <v>0.375</v>
      </c>
      <c r="G7" s="159">
        <v>45680</v>
      </c>
      <c r="H7" s="152">
        <v>0.6875</v>
      </c>
      <c r="I7" s="160">
        <f t="shared" si="0"/>
        <v>0.3125</v>
      </c>
      <c r="J7" s="161">
        <f t="shared" si="1"/>
        <v>0.625</v>
      </c>
      <c r="K7" s="106" t="s">
        <v>87</v>
      </c>
      <c r="L7" s="107" t="s">
        <v>88</v>
      </c>
      <c r="M7" s="108" t="s">
        <v>85</v>
      </c>
      <c r="N7" s="162" t="s">
        <v>119</v>
      </c>
      <c r="O7" s="321">
        <v>2</v>
      </c>
      <c r="P7" s="321"/>
      <c r="Q7" s="305" t="s">
        <v>82</v>
      </c>
      <c r="R7" s="305">
        <v>2</v>
      </c>
      <c r="S7" s="305">
        <v>3</v>
      </c>
      <c r="T7" s="305"/>
      <c r="U7" s="305"/>
      <c r="V7" s="305"/>
      <c r="W7" s="307"/>
      <c r="X7" s="307"/>
      <c r="Y7" s="307"/>
      <c r="Z7" s="308"/>
      <c r="AA7" s="186" t="s">
        <v>118</v>
      </c>
    </row>
    <row r="8" spans="2:27" s="157" customFormat="1" ht="96" hidden="1">
      <c r="B8" s="158">
        <v>3</v>
      </c>
      <c r="C8" s="104" t="s">
        <v>114</v>
      </c>
      <c r="D8" s="194">
        <v>2</v>
      </c>
      <c r="E8" s="159">
        <v>45681</v>
      </c>
      <c r="F8" s="152">
        <v>0.375</v>
      </c>
      <c r="G8" s="159">
        <v>45681</v>
      </c>
      <c r="H8" s="152">
        <v>0.69444444444444442</v>
      </c>
      <c r="I8" s="160">
        <f t="shared" si="0"/>
        <v>0.31944444444444442</v>
      </c>
      <c r="J8" s="161">
        <f t="shared" si="1"/>
        <v>0.63888888888888884</v>
      </c>
      <c r="K8" s="106" t="s">
        <v>124</v>
      </c>
      <c r="L8" s="107" t="s">
        <v>89</v>
      </c>
      <c r="M8" s="108" t="s">
        <v>85</v>
      </c>
      <c r="N8" s="162" t="s">
        <v>121</v>
      </c>
      <c r="O8" s="322">
        <v>2</v>
      </c>
      <c r="P8" s="322"/>
      <c r="Q8" s="323"/>
      <c r="R8" s="323"/>
      <c r="S8" s="323" t="s">
        <v>82</v>
      </c>
      <c r="T8" s="323"/>
      <c r="U8" s="323"/>
      <c r="V8" s="323"/>
      <c r="W8" s="324"/>
      <c r="X8" s="324"/>
      <c r="Y8" s="324"/>
      <c r="Z8" s="325"/>
      <c r="AA8" s="187" t="s">
        <v>82</v>
      </c>
    </row>
    <row r="9" spans="2:27" s="157" customFormat="1" ht="72" hidden="1">
      <c r="B9" s="158">
        <v>4</v>
      </c>
      <c r="C9" s="104" t="s">
        <v>114</v>
      </c>
      <c r="D9" s="194">
        <v>2</v>
      </c>
      <c r="E9" s="159">
        <v>45691</v>
      </c>
      <c r="F9" s="152">
        <v>0.375</v>
      </c>
      <c r="G9" s="159">
        <v>45691</v>
      </c>
      <c r="H9" s="152">
        <v>0.6875</v>
      </c>
      <c r="I9" s="160">
        <f t="shared" si="0"/>
        <v>0.3125</v>
      </c>
      <c r="J9" s="161">
        <f t="shared" si="1"/>
        <v>0.625</v>
      </c>
      <c r="K9" s="106" t="s">
        <v>125</v>
      </c>
      <c r="L9" s="107" t="s">
        <v>90</v>
      </c>
      <c r="M9" s="108" t="s">
        <v>85</v>
      </c>
      <c r="N9" s="164" t="s">
        <v>91</v>
      </c>
      <c r="O9" s="322">
        <v>2</v>
      </c>
      <c r="P9" s="322"/>
      <c r="Q9" s="323"/>
      <c r="R9" s="323"/>
      <c r="S9" s="323"/>
      <c r="T9" s="323"/>
      <c r="U9" s="323"/>
      <c r="V9" s="323"/>
      <c r="W9" s="324"/>
      <c r="X9" s="324"/>
      <c r="Y9" s="324"/>
      <c r="Z9" s="325"/>
      <c r="AA9" s="187" t="s">
        <v>82</v>
      </c>
    </row>
    <row r="10" spans="2:27" s="157" customFormat="1" ht="96" hidden="1">
      <c r="B10" s="158">
        <v>5</v>
      </c>
      <c r="C10" s="104" t="s">
        <v>114</v>
      </c>
      <c r="D10" s="195">
        <v>2</v>
      </c>
      <c r="E10" s="159">
        <v>45692</v>
      </c>
      <c r="F10" s="152">
        <v>0.375</v>
      </c>
      <c r="G10" s="159">
        <v>45692</v>
      </c>
      <c r="H10" s="152">
        <v>0.6875</v>
      </c>
      <c r="I10" s="160">
        <f t="shared" si="0"/>
        <v>0.3125</v>
      </c>
      <c r="J10" s="161">
        <f t="shared" si="1"/>
        <v>0.625</v>
      </c>
      <c r="K10" s="106" t="s">
        <v>126</v>
      </c>
      <c r="L10" s="107" t="s">
        <v>122</v>
      </c>
      <c r="M10" s="108" t="s">
        <v>85</v>
      </c>
      <c r="N10" s="164" t="s">
        <v>92</v>
      </c>
      <c r="O10" s="326">
        <v>1.5</v>
      </c>
      <c r="P10" s="326"/>
      <c r="Q10" s="305">
        <v>7</v>
      </c>
      <c r="R10" s="305"/>
      <c r="S10" s="305"/>
      <c r="T10" s="305">
        <v>1</v>
      </c>
      <c r="U10" s="305"/>
      <c r="V10" s="305"/>
      <c r="W10" s="307">
        <v>1</v>
      </c>
      <c r="X10" s="307"/>
      <c r="Y10" s="307"/>
      <c r="Z10" s="308"/>
      <c r="AA10" s="186" t="s">
        <v>82</v>
      </c>
    </row>
    <row r="11" spans="2:27" s="157" customFormat="1" ht="72" hidden="1">
      <c r="B11" s="158">
        <v>6</v>
      </c>
      <c r="C11" s="104" t="s">
        <v>114</v>
      </c>
      <c r="D11" s="195">
        <v>2</v>
      </c>
      <c r="E11" s="159">
        <v>45694</v>
      </c>
      <c r="F11" s="152">
        <v>0.375</v>
      </c>
      <c r="G11" s="159">
        <v>45694</v>
      </c>
      <c r="H11" s="152">
        <v>0.6875</v>
      </c>
      <c r="I11" s="160">
        <f t="shared" si="0"/>
        <v>0.3125</v>
      </c>
      <c r="J11" s="161">
        <f t="shared" si="1"/>
        <v>0.625</v>
      </c>
      <c r="K11" s="106">
        <v>8</v>
      </c>
      <c r="L11" s="107" t="s">
        <v>93</v>
      </c>
      <c r="M11" s="108" t="s">
        <v>85</v>
      </c>
      <c r="N11" s="164" t="s">
        <v>94</v>
      </c>
      <c r="O11" s="326">
        <v>1.5</v>
      </c>
      <c r="P11" s="326"/>
      <c r="Q11" s="305">
        <v>7</v>
      </c>
      <c r="R11" s="305">
        <v>7</v>
      </c>
      <c r="S11" s="305"/>
      <c r="T11" s="305"/>
      <c r="U11" s="305"/>
      <c r="V11" s="305"/>
      <c r="W11" s="307"/>
      <c r="X11" s="307"/>
      <c r="Y11" s="307"/>
      <c r="Z11" s="308"/>
      <c r="AA11" s="186" t="s">
        <v>82</v>
      </c>
    </row>
    <row r="12" spans="2:27" s="157" customFormat="1" ht="72.75" hidden="1" thickBot="1">
      <c r="B12" s="165">
        <v>7</v>
      </c>
      <c r="C12" s="111" t="s">
        <v>114</v>
      </c>
      <c r="D12" s="196">
        <v>2</v>
      </c>
      <c r="E12" s="166">
        <v>45695</v>
      </c>
      <c r="F12" s="167">
        <v>0.375</v>
      </c>
      <c r="G12" s="166">
        <v>45695</v>
      </c>
      <c r="H12" s="167">
        <v>0.6875</v>
      </c>
      <c r="I12" s="168">
        <f t="shared" si="0"/>
        <v>0.3125</v>
      </c>
      <c r="J12" s="169">
        <f t="shared" si="1"/>
        <v>0.625</v>
      </c>
      <c r="K12" s="112" t="s">
        <v>127</v>
      </c>
      <c r="L12" s="113" t="s">
        <v>95</v>
      </c>
      <c r="M12" s="114" t="s">
        <v>85</v>
      </c>
      <c r="N12" s="170" t="s">
        <v>96</v>
      </c>
      <c r="O12" s="327">
        <v>1.5</v>
      </c>
      <c r="P12" s="327"/>
      <c r="Q12" s="305">
        <v>7</v>
      </c>
      <c r="R12" s="305" t="s">
        <v>82</v>
      </c>
      <c r="S12" s="305"/>
      <c r="T12" s="305"/>
      <c r="U12" s="305"/>
      <c r="V12" s="305"/>
      <c r="W12" s="307"/>
      <c r="X12" s="307"/>
      <c r="Y12" s="307"/>
      <c r="Z12" s="308"/>
      <c r="AA12" s="186" t="s">
        <v>155</v>
      </c>
    </row>
    <row r="13" spans="2:27" s="99" customFormat="1" ht="72.75" hidden="1" thickTop="1">
      <c r="B13" s="266">
        <v>8</v>
      </c>
      <c r="C13" s="267" t="s">
        <v>114</v>
      </c>
      <c r="D13" s="268">
        <v>2</v>
      </c>
      <c r="E13" s="269">
        <v>45698</v>
      </c>
      <c r="F13" s="270">
        <v>0.54166666666666663</v>
      </c>
      <c r="G13" s="269">
        <v>45698</v>
      </c>
      <c r="H13" s="270">
        <v>0.6875</v>
      </c>
      <c r="I13" s="271">
        <f t="shared" si="0"/>
        <v>0.14583333333333337</v>
      </c>
      <c r="J13" s="272">
        <f t="shared" si="1"/>
        <v>0.29166666666666674</v>
      </c>
      <c r="K13" s="273" t="s">
        <v>128</v>
      </c>
      <c r="L13" s="274" t="s">
        <v>123</v>
      </c>
      <c r="M13" s="275" t="s">
        <v>85</v>
      </c>
      <c r="N13" s="276" t="s">
        <v>97</v>
      </c>
      <c r="O13" s="329">
        <v>1.5</v>
      </c>
      <c r="P13" s="382"/>
      <c r="Q13" s="315">
        <v>7</v>
      </c>
      <c r="R13" s="305" t="s">
        <v>82</v>
      </c>
      <c r="S13" s="109"/>
      <c r="T13" s="109"/>
      <c r="U13" s="109"/>
      <c r="V13" s="109"/>
      <c r="W13" s="244"/>
      <c r="X13" s="244"/>
      <c r="Y13" s="244"/>
      <c r="Z13" s="245"/>
      <c r="AA13" s="186" t="s">
        <v>82</v>
      </c>
    </row>
    <row r="14" spans="2:27" s="99" customFormat="1" ht="96.75" hidden="1" thickBot="1">
      <c r="B14" s="277">
        <v>9</v>
      </c>
      <c r="C14" s="118" t="s">
        <v>114</v>
      </c>
      <c r="D14" s="197">
        <v>2</v>
      </c>
      <c r="E14" s="119">
        <v>45699</v>
      </c>
      <c r="F14" s="120">
        <v>0.375</v>
      </c>
      <c r="G14" s="119">
        <v>45699</v>
      </c>
      <c r="H14" s="120">
        <v>0.67361111111111116</v>
      </c>
      <c r="I14" s="121">
        <f t="shared" si="0"/>
        <v>0.29861111111111116</v>
      </c>
      <c r="J14" s="122">
        <f t="shared" si="1"/>
        <v>0.59722222222222232</v>
      </c>
      <c r="K14" s="123">
        <v>2</v>
      </c>
      <c r="L14" s="124">
        <v>203</v>
      </c>
      <c r="M14" s="124" t="s">
        <v>85</v>
      </c>
      <c r="N14" s="125" t="s">
        <v>98</v>
      </c>
      <c r="O14" s="330">
        <v>2</v>
      </c>
      <c r="P14" s="383"/>
      <c r="Q14" s="315">
        <v>3</v>
      </c>
      <c r="R14" s="305"/>
      <c r="S14" s="115"/>
      <c r="T14" s="109"/>
      <c r="U14" s="109"/>
      <c r="V14" s="109"/>
      <c r="W14" s="244"/>
      <c r="X14" s="244"/>
      <c r="Y14" s="244"/>
      <c r="Z14" s="245"/>
      <c r="AA14" s="186"/>
    </row>
    <row r="15" spans="2:27" s="99" customFormat="1" ht="102.75" hidden="1" thickTop="1" thickBot="1">
      <c r="B15" s="277">
        <v>10</v>
      </c>
      <c r="C15" s="118" t="s">
        <v>114</v>
      </c>
      <c r="D15" s="197">
        <v>2</v>
      </c>
      <c r="E15" s="119">
        <v>45701</v>
      </c>
      <c r="F15" s="120">
        <v>0.375</v>
      </c>
      <c r="G15" s="119">
        <v>45701</v>
      </c>
      <c r="H15" s="120">
        <v>0.6875</v>
      </c>
      <c r="I15" s="121">
        <f t="shared" si="0"/>
        <v>0.3125</v>
      </c>
      <c r="J15" s="122">
        <f t="shared" si="1"/>
        <v>0.625</v>
      </c>
      <c r="K15" s="123">
        <v>102</v>
      </c>
      <c r="L15" s="124">
        <v>205</v>
      </c>
      <c r="M15" s="124" t="s">
        <v>85</v>
      </c>
      <c r="N15" s="125" t="s">
        <v>99</v>
      </c>
      <c r="O15" s="331">
        <v>2</v>
      </c>
      <c r="P15" s="384"/>
      <c r="Q15" s="332">
        <v>3</v>
      </c>
      <c r="R15" s="323">
        <v>1</v>
      </c>
      <c r="S15" s="316" t="s">
        <v>207</v>
      </c>
      <c r="T15" s="116"/>
      <c r="U15" s="110"/>
      <c r="V15" s="110"/>
      <c r="W15" s="246"/>
      <c r="X15" s="246"/>
      <c r="Y15" s="246"/>
      <c r="Z15" s="247"/>
      <c r="AA15" s="186"/>
    </row>
    <row r="16" spans="2:27" s="99" customFormat="1" ht="73.5" hidden="1" thickTop="1" thickBot="1">
      <c r="B16" s="278">
        <v>11</v>
      </c>
      <c r="C16" s="279" t="s">
        <v>114</v>
      </c>
      <c r="D16" s="280">
        <v>2</v>
      </c>
      <c r="E16" s="281">
        <v>45702</v>
      </c>
      <c r="F16" s="282">
        <v>0.375</v>
      </c>
      <c r="G16" s="281">
        <v>45702</v>
      </c>
      <c r="H16" s="282">
        <v>0.5</v>
      </c>
      <c r="I16" s="283">
        <f t="shared" si="0"/>
        <v>0.125</v>
      </c>
      <c r="J16" s="284">
        <f t="shared" si="1"/>
        <v>0.25</v>
      </c>
      <c r="K16" s="285">
        <v>5</v>
      </c>
      <c r="L16" s="286">
        <v>301</v>
      </c>
      <c r="M16" s="286" t="s">
        <v>85</v>
      </c>
      <c r="N16" s="287" t="s">
        <v>120</v>
      </c>
      <c r="O16" s="333">
        <v>2</v>
      </c>
      <c r="P16" s="385"/>
      <c r="Q16" s="332"/>
      <c r="R16" s="323"/>
      <c r="S16" s="117"/>
      <c r="T16" s="110"/>
      <c r="U16" s="110"/>
      <c r="V16" s="110"/>
      <c r="W16" s="246"/>
      <c r="X16" s="246"/>
      <c r="Y16" s="246"/>
      <c r="Z16" s="247"/>
      <c r="AA16" s="186"/>
    </row>
    <row r="17" spans="2:32" s="157" customFormat="1" ht="72" hidden="1" customHeight="1" thickTop="1">
      <c r="B17" s="255">
        <v>12</v>
      </c>
      <c r="C17" s="256" t="s">
        <v>114</v>
      </c>
      <c r="D17" s="257">
        <v>1</v>
      </c>
      <c r="E17" s="258">
        <v>45707</v>
      </c>
      <c r="F17" s="259">
        <v>0.54166666666666663</v>
      </c>
      <c r="G17" s="258">
        <v>45692</v>
      </c>
      <c r="H17" s="259">
        <v>0.64583333333333337</v>
      </c>
      <c r="I17" s="260">
        <f t="shared" si="0"/>
        <v>0.10416666666666674</v>
      </c>
      <c r="J17" s="261">
        <f t="shared" si="1"/>
        <v>0.10416666666666674</v>
      </c>
      <c r="K17" s="262">
        <v>5</v>
      </c>
      <c r="L17" s="263">
        <v>501</v>
      </c>
      <c r="M17" s="264" t="s">
        <v>85</v>
      </c>
      <c r="N17" s="265" t="s">
        <v>100</v>
      </c>
      <c r="O17" s="328"/>
      <c r="P17" s="328"/>
      <c r="Q17" s="305">
        <v>7</v>
      </c>
      <c r="R17" s="305"/>
      <c r="S17" s="163"/>
      <c r="T17" s="163"/>
      <c r="U17" s="163"/>
      <c r="V17" s="163"/>
      <c r="W17" s="242"/>
      <c r="X17" s="242"/>
      <c r="Y17" s="242"/>
      <c r="Z17" s="243"/>
      <c r="AA17" s="186"/>
    </row>
    <row r="18" spans="2:32" s="99" customFormat="1" ht="41.25" hidden="1">
      <c r="B18" s="345" t="s">
        <v>203</v>
      </c>
      <c r="C18" s="227"/>
      <c r="D18" s="228"/>
      <c r="E18" s="229"/>
      <c r="F18" s="230"/>
      <c r="G18" s="229"/>
      <c r="H18" s="230"/>
      <c r="I18" s="231"/>
      <c r="J18" s="232"/>
      <c r="K18" s="233"/>
      <c r="L18" s="234"/>
      <c r="M18" s="235"/>
      <c r="N18" s="236"/>
      <c r="O18" s="237"/>
      <c r="P18" s="237"/>
      <c r="Q18" s="238"/>
      <c r="R18" s="238"/>
      <c r="S18" s="238"/>
      <c r="T18" s="238"/>
      <c r="U18" s="238"/>
      <c r="V18" s="238"/>
      <c r="W18" s="248"/>
      <c r="X18" s="248"/>
      <c r="Y18" s="248"/>
      <c r="Z18" s="249"/>
      <c r="AA18" s="334"/>
    </row>
    <row r="19" spans="2:32" s="136" customFormat="1" ht="72" hidden="1" customHeight="1">
      <c r="B19" s="127">
        <v>13</v>
      </c>
      <c r="C19" s="128" t="s">
        <v>134</v>
      </c>
      <c r="D19" s="199">
        <v>2</v>
      </c>
      <c r="E19" s="129">
        <v>45741</v>
      </c>
      <c r="F19" s="130">
        <v>0.375</v>
      </c>
      <c r="G19" s="129">
        <v>45741</v>
      </c>
      <c r="H19" s="130">
        <v>0.67708333333333337</v>
      </c>
      <c r="I19" s="131">
        <f t="shared" si="0"/>
        <v>0.30208333333333337</v>
      </c>
      <c r="J19" s="105">
        <f t="shared" ref="J19:J24" si="2">I19*D19</f>
        <v>0.60416666666666674</v>
      </c>
      <c r="K19" s="132">
        <v>7</v>
      </c>
      <c r="L19" s="133">
        <v>506</v>
      </c>
      <c r="M19" s="134" t="s">
        <v>138</v>
      </c>
      <c r="N19" s="164" t="s">
        <v>141</v>
      </c>
      <c r="O19" s="326">
        <f t="shared" ref="O19:O24" si="3">D19</f>
        <v>2</v>
      </c>
      <c r="P19" s="326"/>
      <c r="Q19" s="305"/>
      <c r="R19" s="305">
        <v>4</v>
      </c>
      <c r="S19" s="305"/>
      <c r="T19" s="181"/>
      <c r="U19" s="305">
        <v>2.5</v>
      </c>
      <c r="V19" s="305">
        <v>2.5</v>
      </c>
      <c r="W19" s="307"/>
      <c r="X19" s="307"/>
      <c r="Y19" s="307"/>
      <c r="Z19" s="250"/>
      <c r="AA19" s="186" t="s">
        <v>159</v>
      </c>
    </row>
    <row r="20" spans="2:32" s="136" customFormat="1" ht="120.75" hidden="1" thickBot="1">
      <c r="B20" s="127">
        <v>14</v>
      </c>
      <c r="C20" s="128" t="s">
        <v>134</v>
      </c>
      <c r="D20" s="199">
        <v>2</v>
      </c>
      <c r="E20" s="129">
        <v>45744</v>
      </c>
      <c r="F20" s="130">
        <v>0.375</v>
      </c>
      <c r="G20" s="129">
        <v>45744</v>
      </c>
      <c r="H20" s="130">
        <v>0.68055555555555558</v>
      </c>
      <c r="I20" s="131">
        <f t="shared" si="0"/>
        <v>0.30555555555555558</v>
      </c>
      <c r="J20" s="105">
        <f t="shared" si="2"/>
        <v>0.61111111111111116</v>
      </c>
      <c r="K20" s="132" t="s">
        <v>135</v>
      </c>
      <c r="L20" s="133" t="s">
        <v>137</v>
      </c>
      <c r="M20" s="134" t="s">
        <v>138</v>
      </c>
      <c r="N20" s="164" t="s">
        <v>142</v>
      </c>
      <c r="O20" s="326">
        <f t="shared" si="3"/>
        <v>2</v>
      </c>
      <c r="P20" s="326"/>
      <c r="Q20" s="305"/>
      <c r="R20" s="305"/>
      <c r="S20" s="305"/>
      <c r="T20" s="191"/>
      <c r="U20" s="305"/>
      <c r="V20" s="305"/>
      <c r="W20" s="307"/>
      <c r="X20" s="307"/>
      <c r="Y20" s="307"/>
      <c r="Z20" s="250"/>
      <c r="AA20" s="186"/>
    </row>
    <row r="21" spans="2:32" s="136" customFormat="1" ht="102" hidden="1" thickTop="1">
      <c r="B21" s="127">
        <v>15</v>
      </c>
      <c r="C21" s="128" t="s">
        <v>134</v>
      </c>
      <c r="D21" s="199">
        <v>2</v>
      </c>
      <c r="E21" s="129">
        <v>45747</v>
      </c>
      <c r="F21" s="130">
        <v>0.375</v>
      </c>
      <c r="G21" s="129">
        <v>45747</v>
      </c>
      <c r="H21" s="130">
        <v>0.6875</v>
      </c>
      <c r="I21" s="131">
        <f t="shared" si="0"/>
        <v>0.3125</v>
      </c>
      <c r="J21" s="105">
        <f t="shared" si="2"/>
        <v>0.625</v>
      </c>
      <c r="K21" s="132" t="s">
        <v>136</v>
      </c>
      <c r="L21" s="133" t="s">
        <v>139</v>
      </c>
      <c r="M21" s="134" t="s">
        <v>138</v>
      </c>
      <c r="N21" s="164" t="s">
        <v>143</v>
      </c>
      <c r="O21" s="326">
        <f t="shared" si="3"/>
        <v>2</v>
      </c>
      <c r="P21" s="326"/>
      <c r="Q21" s="305"/>
      <c r="R21" s="305"/>
      <c r="S21" s="305"/>
      <c r="T21" s="290" t="s">
        <v>156</v>
      </c>
      <c r="U21" s="315"/>
      <c r="V21" s="305"/>
      <c r="W21" s="307"/>
      <c r="X21" s="307"/>
      <c r="Y21" s="307"/>
      <c r="Z21" s="250"/>
      <c r="AA21" s="186"/>
    </row>
    <row r="22" spans="2:32" s="136" customFormat="1" ht="102" hidden="1" thickBot="1">
      <c r="B22" s="127">
        <v>16</v>
      </c>
      <c r="C22" s="128" t="s">
        <v>134</v>
      </c>
      <c r="D22" s="199">
        <v>2</v>
      </c>
      <c r="E22" s="129">
        <v>45749</v>
      </c>
      <c r="F22" s="130">
        <v>0.375</v>
      </c>
      <c r="G22" s="129">
        <v>45749</v>
      </c>
      <c r="H22" s="130">
        <v>0.6875</v>
      </c>
      <c r="I22" s="131">
        <f t="shared" si="0"/>
        <v>0.3125</v>
      </c>
      <c r="J22" s="105">
        <f t="shared" si="2"/>
        <v>0.625</v>
      </c>
      <c r="K22" s="132" t="s">
        <v>136</v>
      </c>
      <c r="L22" s="133" t="s">
        <v>140</v>
      </c>
      <c r="M22" s="134" t="s">
        <v>138</v>
      </c>
      <c r="N22" s="164" t="s">
        <v>144</v>
      </c>
      <c r="O22" s="326">
        <f t="shared" si="3"/>
        <v>2</v>
      </c>
      <c r="P22" s="326"/>
      <c r="Q22" s="305"/>
      <c r="R22" s="305"/>
      <c r="S22" s="305"/>
      <c r="T22" s="291" t="s">
        <v>157</v>
      </c>
      <c r="U22" s="315"/>
      <c r="V22" s="305"/>
      <c r="W22" s="307">
        <v>2</v>
      </c>
      <c r="X22" s="307"/>
      <c r="Y22" s="307"/>
      <c r="Z22" s="251"/>
      <c r="AA22" s="186" t="s">
        <v>158</v>
      </c>
    </row>
    <row r="23" spans="2:32" s="136" customFormat="1" ht="72" hidden="1" customHeight="1" thickTop="1">
      <c r="B23" s="127">
        <v>17</v>
      </c>
      <c r="C23" s="128" t="s">
        <v>134</v>
      </c>
      <c r="D23" s="199">
        <v>2</v>
      </c>
      <c r="E23" s="129">
        <v>45750</v>
      </c>
      <c r="F23" s="130">
        <v>0.375</v>
      </c>
      <c r="G23" s="129">
        <v>45750</v>
      </c>
      <c r="H23" s="130">
        <v>0.6875</v>
      </c>
      <c r="I23" s="131">
        <f t="shared" si="0"/>
        <v>0.3125</v>
      </c>
      <c r="J23" s="105">
        <f t="shared" si="2"/>
        <v>0.625</v>
      </c>
      <c r="K23" s="132">
        <v>8</v>
      </c>
      <c r="L23" s="133">
        <v>502</v>
      </c>
      <c r="M23" s="134" t="s">
        <v>138</v>
      </c>
      <c r="N23" s="164" t="s">
        <v>145</v>
      </c>
      <c r="O23" s="326">
        <f t="shared" si="3"/>
        <v>2</v>
      </c>
      <c r="P23" s="326"/>
      <c r="Q23" s="305"/>
      <c r="R23" s="305">
        <v>2</v>
      </c>
      <c r="S23" s="305"/>
      <c r="T23" s="306"/>
      <c r="U23" s="305"/>
      <c r="V23" s="305"/>
      <c r="W23" s="307"/>
      <c r="X23" s="307"/>
      <c r="Y23" s="307"/>
      <c r="Z23" s="308"/>
      <c r="AA23" s="186"/>
    </row>
    <row r="24" spans="2:32" s="136" customFormat="1" ht="96" hidden="1">
      <c r="B24" s="127">
        <v>18</v>
      </c>
      <c r="C24" s="128" t="s">
        <v>134</v>
      </c>
      <c r="D24" s="199">
        <v>2</v>
      </c>
      <c r="E24" s="129">
        <v>45755</v>
      </c>
      <c r="F24" s="130">
        <v>0.375</v>
      </c>
      <c r="G24" s="129">
        <v>45755</v>
      </c>
      <c r="H24" s="130">
        <v>0.6875</v>
      </c>
      <c r="I24" s="131">
        <f t="shared" si="0"/>
        <v>0.3125</v>
      </c>
      <c r="J24" s="105">
        <f t="shared" si="2"/>
        <v>0.625</v>
      </c>
      <c r="K24" s="132">
        <v>2</v>
      </c>
      <c r="L24" s="133">
        <v>108</v>
      </c>
      <c r="M24" s="134" t="s">
        <v>138</v>
      </c>
      <c r="N24" s="164" t="s">
        <v>146</v>
      </c>
      <c r="O24" s="326">
        <f t="shared" si="3"/>
        <v>2</v>
      </c>
      <c r="P24" s="326"/>
      <c r="Q24" s="305"/>
      <c r="R24" s="305">
        <v>6</v>
      </c>
      <c r="S24" s="305">
        <v>9</v>
      </c>
      <c r="T24" s="209"/>
      <c r="U24" s="163"/>
      <c r="V24" s="163"/>
      <c r="W24" s="242"/>
      <c r="X24" s="242"/>
      <c r="Y24" s="242"/>
      <c r="Z24" s="243"/>
      <c r="AA24" s="188"/>
      <c r="AE24" s="253"/>
      <c r="AF24" s="252"/>
    </row>
    <row r="25" spans="2:32" s="136" customFormat="1" ht="72" hidden="1" customHeight="1">
      <c r="B25" s="137"/>
      <c r="C25" s="138"/>
      <c r="D25" s="200"/>
      <c r="E25" s="139"/>
      <c r="F25" s="140"/>
      <c r="G25" s="139"/>
      <c r="H25" s="140"/>
      <c r="I25" s="141"/>
      <c r="J25" s="126"/>
      <c r="K25" s="142"/>
      <c r="L25" s="143"/>
      <c r="M25" s="143"/>
      <c r="N25" s="144"/>
      <c r="O25" s="347"/>
      <c r="P25" s="347"/>
      <c r="Q25" s="309"/>
      <c r="R25" s="309"/>
      <c r="S25" s="309"/>
      <c r="T25" s="309"/>
      <c r="U25" s="309"/>
      <c r="V25" s="309"/>
      <c r="W25" s="310"/>
      <c r="X25" s="310"/>
      <c r="Y25" s="310"/>
      <c r="Z25" s="311"/>
      <c r="AA25" s="189"/>
      <c r="AE25" s="252"/>
    </row>
    <row r="26" spans="2:32" s="147" customFormat="1" ht="68.25" hidden="1" thickBot="1">
      <c r="B26" s="373" t="s">
        <v>209</v>
      </c>
      <c r="C26" s="374"/>
      <c r="D26" s="314">
        <f>SUM(D13:D16,D19:D24)</f>
        <v>20</v>
      </c>
      <c r="E26" s="145"/>
      <c r="F26" s="146"/>
      <c r="G26" s="145"/>
      <c r="H26" s="146"/>
      <c r="I26" s="192">
        <f>SUM(I13:I25)</f>
        <v>2.84375</v>
      </c>
      <c r="J26" s="192">
        <f>SUM(J13:J25)</f>
        <v>5.5833333333333339</v>
      </c>
      <c r="K26" s="174"/>
      <c r="L26" s="175"/>
      <c r="M26" s="174"/>
      <c r="N26" s="176"/>
      <c r="O26" s="348">
        <f>SUM(O13:O25)</f>
        <v>19.5</v>
      </c>
      <c r="P26" s="386"/>
      <c r="Q26" s="254">
        <f>SUM(Q19:Q25)</f>
        <v>0</v>
      </c>
      <c r="R26" s="312">
        <f>SUM(R19:R25)</f>
        <v>12</v>
      </c>
      <c r="S26" s="312">
        <v>9.3000000000000007</v>
      </c>
      <c r="T26" s="312" t="s">
        <v>154</v>
      </c>
      <c r="U26" s="312">
        <f t="shared" ref="U26:W26" si="4">SUM(U19:U25)</f>
        <v>2.5</v>
      </c>
      <c r="V26" s="312">
        <f t="shared" si="4"/>
        <v>2.5</v>
      </c>
      <c r="W26" s="312">
        <f t="shared" si="4"/>
        <v>2</v>
      </c>
      <c r="X26" s="313"/>
      <c r="Y26" s="313"/>
      <c r="Z26" s="313"/>
      <c r="AA26" s="190"/>
    </row>
    <row r="27" spans="2:32" ht="24" hidden="1">
      <c r="I27" s="206"/>
      <c r="AA27" s="99"/>
      <c r="AB27" s="99"/>
      <c r="AC27" s="99"/>
      <c r="AD27" s="99"/>
    </row>
    <row r="28" spans="2:32" s="303" customFormat="1" ht="45" customHeight="1">
      <c r="B28" s="344" t="s">
        <v>161</v>
      </c>
      <c r="C28" s="292"/>
      <c r="D28" s="198"/>
      <c r="E28" s="293"/>
      <c r="F28" s="294"/>
      <c r="G28" s="293"/>
      <c r="H28" s="294"/>
      <c r="I28" s="294"/>
      <c r="J28" s="295"/>
      <c r="K28" s="296"/>
      <c r="L28" s="296"/>
      <c r="M28" s="297"/>
      <c r="N28" s="298"/>
      <c r="O28" s="299"/>
      <c r="P28" s="299"/>
      <c r="Q28" s="300"/>
      <c r="R28" s="300"/>
      <c r="S28" s="300"/>
      <c r="T28" s="300"/>
      <c r="U28" s="300"/>
      <c r="V28" s="300"/>
      <c r="W28" s="300"/>
      <c r="X28" s="300"/>
      <c r="Y28" s="300"/>
      <c r="Z28" s="300"/>
      <c r="AA28" s="301"/>
      <c r="AB28" s="302"/>
    </row>
    <row r="29" spans="2:32" ht="96">
      <c r="B29" s="127">
        <v>19</v>
      </c>
      <c r="C29" s="128" t="s">
        <v>134</v>
      </c>
      <c r="D29" s="387">
        <v>2</v>
      </c>
      <c r="E29" s="129">
        <v>45756</v>
      </c>
      <c r="F29" s="130">
        <v>0.375</v>
      </c>
      <c r="G29" s="129">
        <v>45756</v>
      </c>
      <c r="H29" s="130">
        <v>0.6875</v>
      </c>
      <c r="I29" s="207">
        <f t="shared" ref="I29:I44" si="5">H29-F29</f>
        <v>0.3125</v>
      </c>
      <c r="J29" s="105">
        <f t="shared" ref="J29:J44" si="6">I29*D29</f>
        <v>0.625</v>
      </c>
      <c r="K29" s="133" t="s">
        <v>162</v>
      </c>
      <c r="L29" s="133" t="s">
        <v>163</v>
      </c>
      <c r="M29" s="134" t="s">
        <v>138</v>
      </c>
      <c r="N29" s="135" t="s">
        <v>164</v>
      </c>
      <c r="O29" s="208">
        <f t="shared" ref="O29" si="7">D29</f>
        <v>2</v>
      </c>
      <c r="P29" s="208"/>
      <c r="Q29" s="209">
        <v>3</v>
      </c>
      <c r="R29" s="209">
        <v>3</v>
      </c>
      <c r="S29" s="209">
        <v>3</v>
      </c>
      <c r="T29" s="209"/>
      <c r="U29" s="209">
        <v>5</v>
      </c>
      <c r="V29" s="209">
        <v>5</v>
      </c>
      <c r="W29" s="209"/>
      <c r="X29" s="209"/>
      <c r="Y29" s="209"/>
      <c r="Z29" s="209"/>
      <c r="AA29" s="335" t="s">
        <v>165</v>
      </c>
      <c r="AB29" s="157"/>
    </row>
    <row r="30" spans="2:32" ht="144">
      <c r="B30" s="127">
        <v>20</v>
      </c>
      <c r="C30" s="128" t="s">
        <v>134</v>
      </c>
      <c r="D30" s="387">
        <v>2</v>
      </c>
      <c r="E30" s="129">
        <v>45757</v>
      </c>
      <c r="F30" s="130">
        <v>0.375</v>
      </c>
      <c r="G30" s="129">
        <v>45757</v>
      </c>
      <c r="H30" s="130">
        <v>0.6875</v>
      </c>
      <c r="I30" s="207">
        <f t="shared" si="5"/>
        <v>0.3125</v>
      </c>
      <c r="J30" s="105">
        <f t="shared" si="6"/>
        <v>0.625</v>
      </c>
      <c r="K30" s="133" t="s">
        <v>166</v>
      </c>
      <c r="L30" s="133" t="s">
        <v>167</v>
      </c>
      <c r="M30" s="134" t="s">
        <v>138</v>
      </c>
      <c r="N30" s="135" t="s">
        <v>168</v>
      </c>
      <c r="O30" s="351">
        <v>1.5</v>
      </c>
      <c r="P30" s="389">
        <f>D30-O30</f>
        <v>0.5</v>
      </c>
      <c r="Q30" s="209">
        <v>7</v>
      </c>
      <c r="R30" s="209">
        <v>2</v>
      </c>
      <c r="S30" s="209"/>
      <c r="T30" s="209"/>
      <c r="U30" s="209"/>
      <c r="V30" s="209"/>
      <c r="W30" s="209"/>
      <c r="X30" s="209"/>
      <c r="Y30" s="209">
        <v>1</v>
      </c>
      <c r="Z30" s="209"/>
      <c r="AA30" s="335" t="s">
        <v>208</v>
      </c>
      <c r="AB30" s="157"/>
    </row>
    <row r="31" spans="2:32" ht="168" customHeight="1">
      <c r="B31" s="127">
        <v>21</v>
      </c>
      <c r="C31" s="128" t="s">
        <v>134</v>
      </c>
      <c r="D31" s="387">
        <v>1</v>
      </c>
      <c r="E31" s="129">
        <v>45765</v>
      </c>
      <c r="F31" s="130">
        <v>0.4375</v>
      </c>
      <c r="G31" s="129">
        <v>45765</v>
      </c>
      <c r="H31" s="130">
        <v>0.47916666666666669</v>
      </c>
      <c r="I31" s="207">
        <f t="shared" si="5"/>
        <v>4.1666666666666685E-2</v>
      </c>
      <c r="J31" s="105">
        <f t="shared" si="6"/>
        <v>4.1666666666666685E-2</v>
      </c>
      <c r="K31" s="132">
        <v>5</v>
      </c>
      <c r="L31" s="133">
        <v>104</v>
      </c>
      <c r="M31" s="134" t="s">
        <v>138</v>
      </c>
      <c r="N31" s="135" t="s">
        <v>169</v>
      </c>
      <c r="O31" s="351">
        <v>0.5</v>
      </c>
      <c r="P31" s="389">
        <f>D31-O31</f>
        <v>0.5</v>
      </c>
      <c r="Q31" s="209"/>
      <c r="R31" s="209"/>
      <c r="S31" s="209"/>
      <c r="T31" s="209" t="s">
        <v>82</v>
      </c>
      <c r="U31" s="209"/>
      <c r="V31" s="209"/>
      <c r="W31" s="209"/>
      <c r="X31" s="209"/>
      <c r="Y31" s="209"/>
      <c r="Z31" s="209"/>
      <c r="AA31" s="335"/>
      <c r="AB31" s="157"/>
    </row>
    <row r="32" spans="2:32" ht="96">
      <c r="B32" s="127">
        <v>22</v>
      </c>
      <c r="C32" s="128" t="s">
        <v>134</v>
      </c>
      <c r="D32" s="387">
        <v>2</v>
      </c>
      <c r="E32" s="129">
        <v>45775</v>
      </c>
      <c r="F32" s="130">
        <v>0.375</v>
      </c>
      <c r="G32" s="129">
        <v>45775</v>
      </c>
      <c r="H32" s="130">
        <v>0.69444444444444442</v>
      </c>
      <c r="I32" s="207">
        <f t="shared" si="5"/>
        <v>0.31944444444444442</v>
      </c>
      <c r="J32" s="105">
        <f t="shared" si="6"/>
        <v>0.63888888888888884</v>
      </c>
      <c r="K32" s="132">
        <v>8</v>
      </c>
      <c r="L32" s="133">
        <v>401</v>
      </c>
      <c r="M32" s="134" t="s">
        <v>138</v>
      </c>
      <c r="N32" s="135" t="s">
        <v>170</v>
      </c>
      <c r="O32" s="208">
        <v>2</v>
      </c>
      <c r="P32" s="390"/>
      <c r="Q32" s="209">
        <v>3</v>
      </c>
      <c r="R32" s="209">
        <v>4</v>
      </c>
      <c r="S32" s="209"/>
      <c r="T32" s="209" t="s">
        <v>82</v>
      </c>
      <c r="U32" s="209"/>
      <c r="V32" s="209"/>
      <c r="W32" s="209" t="s">
        <v>82</v>
      </c>
      <c r="X32" s="209"/>
      <c r="Y32" s="209"/>
      <c r="Z32" s="209"/>
      <c r="AA32" s="335" t="s">
        <v>82</v>
      </c>
      <c r="AB32" s="157"/>
    </row>
    <row r="33" spans="2:30" ht="144.75" thickBot="1">
      <c r="B33" s="127">
        <v>23</v>
      </c>
      <c r="C33" s="128" t="s">
        <v>134</v>
      </c>
      <c r="D33" s="387">
        <v>2</v>
      </c>
      <c r="E33" s="129">
        <v>45776</v>
      </c>
      <c r="F33" s="130">
        <v>0.375</v>
      </c>
      <c r="G33" s="129">
        <v>45776</v>
      </c>
      <c r="H33" s="130">
        <v>0.6875</v>
      </c>
      <c r="I33" s="207">
        <f t="shared" si="5"/>
        <v>0.3125</v>
      </c>
      <c r="J33" s="105">
        <f t="shared" si="6"/>
        <v>0.625</v>
      </c>
      <c r="K33" s="133" t="s">
        <v>171</v>
      </c>
      <c r="L33" s="133" t="s">
        <v>172</v>
      </c>
      <c r="M33" s="134" t="s">
        <v>138</v>
      </c>
      <c r="N33" s="135" t="s">
        <v>173</v>
      </c>
      <c r="O33" s="208">
        <v>2</v>
      </c>
      <c r="P33" s="390"/>
      <c r="Q33" s="210">
        <v>3</v>
      </c>
      <c r="R33" s="209">
        <v>3</v>
      </c>
      <c r="S33" s="209">
        <v>6</v>
      </c>
      <c r="T33" s="209"/>
      <c r="U33" s="209"/>
      <c r="V33" s="209"/>
      <c r="W33" s="209"/>
      <c r="X33" s="209"/>
      <c r="Y33" s="209"/>
      <c r="Z33" s="209"/>
      <c r="AA33" s="335"/>
      <c r="AB33" s="157"/>
    </row>
    <row r="34" spans="2:30" ht="144.75" thickTop="1">
      <c r="B34" s="127">
        <v>24</v>
      </c>
      <c r="C34" s="128" t="s">
        <v>134</v>
      </c>
      <c r="D34" s="387">
        <v>2</v>
      </c>
      <c r="E34" s="129">
        <v>45777</v>
      </c>
      <c r="F34" s="130">
        <v>0.375</v>
      </c>
      <c r="G34" s="129">
        <v>45777</v>
      </c>
      <c r="H34" s="130">
        <v>0.6875</v>
      </c>
      <c r="I34" s="207">
        <f t="shared" si="5"/>
        <v>0.3125</v>
      </c>
      <c r="J34" s="105">
        <f t="shared" si="6"/>
        <v>0.625</v>
      </c>
      <c r="K34" s="132" t="s">
        <v>174</v>
      </c>
      <c r="L34" s="132" t="s">
        <v>175</v>
      </c>
      <c r="M34" s="134" t="s">
        <v>138</v>
      </c>
      <c r="N34" s="135" t="s">
        <v>176</v>
      </c>
      <c r="O34" s="208">
        <v>2</v>
      </c>
      <c r="P34" s="390"/>
      <c r="Q34" s="341" t="s">
        <v>177</v>
      </c>
      <c r="R34" s="211"/>
      <c r="S34" s="209"/>
      <c r="T34" s="209"/>
      <c r="U34" s="209"/>
      <c r="V34" s="209"/>
      <c r="W34" s="209">
        <v>1</v>
      </c>
      <c r="X34" s="209"/>
      <c r="Y34" s="209"/>
      <c r="Z34" s="209">
        <v>1</v>
      </c>
      <c r="AA34" s="335" t="s">
        <v>210</v>
      </c>
      <c r="AB34" s="157"/>
    </row>
    <row r="35" spans="2:30" ht="81.75" thickBot="1">
      <c r="B35" s="127">
        <v>25</v>
      </c>
      <c r="C35" s="128" t="s">
        <v>134</v>
      </c>
      <c r="D35" s="387">
        <v>2</v>
      </c>
      <c r="E35" s="129">
        <v>45784</v>
      </c>
      <c r="F35" s="130">
        <v>0.375</v>
      </c>
      <c r="G35" s="129">
        <v>45784</v>
      </c>
      <c r="H35" s="130">
        <v>0.6875</v>
      </c>
      <c r="I35" s="207">
        <f t="shared" si="5"/>
        <v>0.3125</v>
      </c>
      <c r="J35" s="105">
        <f t="shared" si="6"/>
        <v>0.625</v>
      </c>
      <c r="K35" s="133" t="s">
        <v>178</v>
      </c>
      <c r="L35" s="133" t="s">
        <v>179</v>
      </c>
      <c r="M35" s="134" t="s">
        <v>138</v>
      </c>
      <c r="N35" s="135" t="s">
        <v>180</v>
      </c>
      <c r="O35" s="212">
        <v>2</v>
      </c>
      <c r="P35" s="390"/>
      <c r="Q35" s="342"/>
      <c r="R35" s="211"/>
      <c r="S35" s="209"/>
      <c r="T35" s="209">
        <v>5</v>
      </c>
      <c r="U35" s="209"/>
      <c r="V35" s="209"/>
      <c r="W35" s="209">
        <v>2</v>
      </c>
      <c r="X35" s="209"/>
      <c r="Y35" s="209"/>
      <c r="Z35" s="209"/>
      <c r="AA35" s="335"/>
      <c r="AB35" s="157"/>
    </row>
    <row r="36" spans="2:30" ht="120.75" thickTop="1">
      <c r="B36" s="127">
        <v>26</v>
      </c>
      <c r="C36" s="128" t="s">
        <v>134</v>
      </c>
      <c r="D36" s="387">
        <v>2</v>
      </c>
      <c r="E36" s="129">
        <v>45789</v>
      </c>
      <c r="F36" s="130">
        <v>0.375</v>
      </c>
      <c r="G36" s="129">
        <v>45789</v>
      </c>
      <c r="H36" s="130">
        <v>0.6875</v>
      </c>
      <c r="I36" s="207">
        <f t="shared" si="5"/>
        <v>0.3125</v>
      </c>
      <c r="J36" s="105">
        <f t="shared" si="6"/>
        <v>0.625</v>
      </c>
      <c r="K36" s="132">
        <v>2</v>
      </c>
      <c r="L36" s="133">
        <v>404</v>
      </c>
      <c r="M36" s="134" t="s">
        <v>138</v>
      </c>
      <c r="N36" s="213" t="s">
        <v>181</v>
      </c>
      <c r="O36" s="338">
        <v>2</v>
      </c>
      <c r="P36" s="391"/>
      <c r="Q36" s="342">
        <v>5</v>
      </c>
      <c r="R36" s="211">
        <v>3</v>
      </c>
      <c r="S36" s="209"/>
      <c r="T36" s="209"/>
      <c r="U36" s="209"/>
      <c r="V36" s="209"/>
      <c r="W36" s="209"/>
      <c r="X36" s="209"/>
      <c r="Y36" s="209"/>
      <c r="Z36" s="209"/>
      <c r="AA36" s="335" t="s">
        <v>182</v>
      </c>
      <c r="AB36" s="99"/>
    </row>
    <row r="37" spans="2:30" ht="72">
      <c r="B37" s="127">
        <v>27</v>
      </c>
      <c r="C37" s="128" t="s">
        <v>134</v>
      </c>
      <c r="D37" s="387">
        <v>2</v>
      </c>
      <c r="E37" s="129">
        <v>45790</v>
      </c>
      <c r="F37" s="130">
        <v>0.375</v>
      </c>
      <c r="G37" s="129">
        <v>45790</v>
      </c>
      <c r="H37" s="130">
        <v>0.6875</v>
      </c>
      <c r="I37" s="207">
        <f t="shared" si="5"/>
        <v>0.3125</v>
      </c>
      <c r="J37" s="105">
        <f t="shared" si="6"/>
        <v>0.625</v>
      </c>
      <c r="K37" s="132">
        <v>2</v>
      </c>
      <c r="L37" s="133">
        <v>301</v>
      </c>
      <c r="M37" s="134" t="s">
        <v>138</v>
      </c>
      <c r="N37" s="213" t="s">
        <v>183</v>
      </c>
      <c r="O37" s="339">
        <v>2</v>
      </c>
      <c r="P37" s="392"/>
      <c r="Q37" s="342"/>
      <c r="R37" s="211">
        <v>2</v>
      </c>
      <c r="S37" s="209"/>
      <c r="T37" s="209"/>
      <c r="U37" s="209"/>
      <c r="V37" s="209"/>
      <c r="W37" s="209"/>
      <c r="X37" s="209"/>
      <c r="Y37" s="209"/>
      <c r="Z37" s="209"/>
      <c r="AA37" s="335" t="s">
        <v>211</v>
      </c>
      <c r="AB37" s="99"/>
    </row>
    <row r="38" spans="2:30" ht="168" customHeight="1">
      <c r="B38" s="127">
        <v>28</v>
      </c>
      <c r="C38" s="128" t="s">
        <v>134</v>
      </c>
      <c r="D38" s="387">
        <v>2</v>
      </c>
      <c r="E38" s="129">
        <v>45792</v>
      </c>
      <c r="F38" s="130">
        <v>0.5625</v>
      </c>
      <c r="G38" s="129">
        <v>45792</v>
      </c>
      <c r="H38" s="130">
        <v>0.625</v>
      </c>
      <c r="I38" s="207">
        <f t="shared" si="5"/>
        <v>6.25E-2</v>
      </c>
      <c r="J38" s="105">
        <f t="shared" si="6"/>
        <v>0.125</v>
      </c>
      <c r="K38" s="132">
        <v>9</v>
      </c>
      <c r="L38" s="133">
        <v>306</v>
      </c>
      <c r="M38" s="134" t="s">
        <v>138</v>
      </c>
      <c r="N38" s="213" t="s">
        <v>184</v>
      </c>
      <c r="O38" s="350" t="s">
        <v>185</v>
      </c>
      <c r="P38" s="393">
        <f>D38-O38</f>
        <v>2</v>
      </c>
      <c r="Q38" s="342">
        <v>7</v>
      </c>
      <c r="R38" s="211"/>
      <c r="S38" s="209"/>
      <c r="T38" s="209"/>
      <c r="U38" s="209"/>
      <c r="V38" s="209"/>
      <c r="W38" s="209"/>
      <c r="X38" s="209"/>
      <c r="Y38" s="209"/>
      <c r="Z38" s="209"/>
      <c r="AA38" s="335"/>
      <c r="AB38" s="99"/>
    </row>
    <row r="39" spans="2:30" ht="168" customHeight="1">
      <c r="B39" s="127">
        <v>29</v>
      </c>
      <c r="C39" s="128" t="s">
        <v>134</v>
      </c>
      <c r="D39" s="387">
        <v>2</v>
      </c>
      <c r="E39" s="129">
        <v>45796</v>
      </c>
      <c r="F39" s="130">
        <v>0.375</v>
      </c>
      <c r="G39" s="129">
        <v>45796</v>
      </c>
      <c r="H39" s="130">
        <v>0.6875</v>
      </c>
      <c r="I39" s="207">
        <f t="shared" si="5"/>
        <v>0.3125</v>
      </c>
      <c r="J39" s="105">
        <f t="shared" si="6"/>
        <v>0.625</v>
      </c>
      <c r="K39" s="132">
        <v>8</v>
      </c>
      <c r="L39" s="133">
        <v>209</v>
      </c>
      <c r="M39" s="134" t="s">
        <v>138</v>
      </c>
      <c r="N39" s="213" t="s">
        <v>186</v>
      </c>
      <c r="O39" s="339">
        <v>2</v>
      </c>
      <c r="P39" s="392"/>
      <c r="Q39" s="342">
        <v>4</v>
      </c>
      <c r="R39" s="211">
        <v>4</v>
      </c>
      <c r="S39" s="209"/>
      <c r="T39" s="209"/>
      <c r="U39" s="209"/>
      <c r="V39" s="209"/>
      <c r="W39" s="209"/>
      <c r="X39" s="209"/>
      <c r="Y39" s="209"/>
      <c r="Z39" s="209"/>
      <c r="AA39" s="335"/>
      <c r="AB39" s="99"/>
    </row>
    <row r="40" spans="2:30" ht="142.5" customHeight="1">
      <c r="B40" s="127">
        <v>30</v>
      </c>
      <c r="C40" s="128" t="s">
        <v>134</v>
      </c>
      <c r="D40" s="387">
        <v>2</v>
      </c>
      <c r="E40" s="129">
        <v>45797</v>
      </c>
      <c r="F40" s="130">
        <v>0.375</v>
      </c>
      <c r="G40" s="129">
        <v>45797</v>
      </c>
      <c r="H40" s="130">
        <v>0.68055555555555558</v>
      </c>
      <c r="I40" s="207">
        <f t="shared" si="5"/>
        <v>0.30555555555555558</v>
      </c>
      <c r="J40" s="105">
        <f t="shared" si="6"/>
        <v>0.61111111111111116</v>
      </c>
      <c r="K40" s="133" t="s">
        <v>187</v>
      </c>
      <c r="L40" s="133" t="s">
        <v>188</v>
      </c>
      <c r="M40" s="134" t="s">
        <v>138</v>
      </c>
      <c r="N40" s="213" t="s">
        <v>189</v>
      </c>
      <c r="O40" s="349">
        <v>1.5</v>
      </c>
      <c r="P40" s="393">
        <f>D40-O40</f>
        <v>0.5</v>
      </c>
      <c r="Q40" s="342">
        <v>9</v>
      </c>
      <c r="R40" s="211">
        <v>4</v>
      </c>
      <c r="S40" s="209"/>
      <c r="T40" s="209"/>
      <c r="U40" s="209"/>
      <c r="V40" s="209"/>
      <c r="W40" s="209"/>
      <c r="X40" s="209"/>
      <c r="Y40" s="209"/>
      <c r="Z40" s="209"/>
      <c r="AA40" s="335"/>
      <c r="AB40" s="157"/>
    </row>
    <row r="41" spans="2:30" ht="120">
      <c r="B41" s="127">
        <v>31</v>
      </c>
      <c r="C41" s="128" t="s">
        <v>134</v>
      </c>
      <c r="D41" s="387">
        <v>2</v>
      </c>
      <c r="E41" s="129">
        <v>45806</v>
      </c>
      <c r="F41" s="130">
        <v>0.375</v>
      </c>
      <c r="G41" s="129">
        <v>45806</v>
      </c>
      <c r="H41" s="130">
        <v>0.69444444444444442</v>
      </c>
      <c r="I41" s="207">
        <f t="shared" si="5"/>
        <v>0.31944444444444442</v>
      </c>
      <c r="J41" s="105">
        <f t="shared" si="6"/>
        <v>0.63888888888888884</v>
      </c>
      <c r="K41" s="133" t="s">
        <v>190</v>
      </c>
      <c r="L41" s="133" t="s">
        <v>191</v>
      </c>
      <c r="M41" s="134" t="s">
        <v>138</v>
      </c>
      <c r="N41" s="213" t="s">
        <v>192</v>
      </c>
      <c r="O41" s="339">
        <v>2</v>
      </c>
      <c r="P41" s="392"/>
      <c r="Q41" s="342">
        <v>3</v>
      </c>
      <c r="R41" s="211">
        <v>3</v>
      </c>
      <c r="S41" s="209">
        <v>3</v>
      </c>
      <c r="T41" s="209"/>
      <c r="U41" s="209"/>
      <c r="V41" s="209"/>
      <c r="W41" s="209"/>
      <c r="X41" s="209"/>
      <c r="Y41" s="209"/>
      <c r="Z41" s="209"/>
      <c r="AA41" s="335"/>
      <c r="AB41" s="99"/>
    </row>
    <row r="42" spans="2:30" ht="120">
      <c r="B42" s="127">
        <v>32</v>
      </c>
      <c r="C42" s="128" t="s">
        <v>134</v>
      </c>
      <c r="D42" s="387">
        <v>2</v>
      </c>
      <c r="E42" s="129">
        <v>45807</v>
      </c>
      <c r="F42" s="130">
        <v>0.375</v>
      </c>
      <c r="G42" s="129">
        <v>45807</v>
      </c>
      <c r="H42" s="130">
        <v>0.67361111111111116</v>
      </c>
      <c r="I42" s="207">
        <f t="shared" si="5"/>
        <v>0.29861111111111116</v>
      </c>
      <c r="J42" s="105">
        <f t="shared" si="6"/>
        <v>0.59722222222222232</v>
      </c>
      <c r="K42" s="132">
        <v>2</v>
      </c>
      <c r="L42" s="133">
        <v>201</v>
      </c>
      <c r="M42" s="134" t="s">
        <v>138</v>
      </c>
      <c r="N42" s="213" t="s">
        <v>193</v>
      </c>
      <c r="O42" s="339">
        <v>2</v>
      </c>
      <c r="P42" s="392"/>
      <c r="Q42" s="342">
        <v>2</v>
      </c>
      <c r="R42" s="211">
        <v>1</v>
      </c>
      <c r="S42" s="209"/>
      <c r="T42" s="209"/>
      <c r="U42" s="209"/>
      <c r="V42" s="209"/>
      <c r="W42" s="209"/>
      <c r="X42" s="209">
        <v>1</v>
      </c>
      <c r="Y42" s="209"/>
      <c r="Z42" s="209"/>
      <c r="AA42" s="335"/>
      <c r="AB42" s="136"/>
    </row>
    <row r="43" spans="2:30" ht="120">
      <c r="B43" s="127">
        <v>33</v>
      </c>
      <c r="C43" s="128" t="s">
        <v>134</v>
      </c>
      <c r="D43" s="387">
        <v>2</v>
      </c>
      <c r="E43" s="129">
        <v>45824</v>
      </c>
      <c r="F43" s="130">
        <v>0.375</v>
      </c>
      <c r="G43" s="129">
        <v>45824</v>
      </c>
      <c r="H43" s="130">
        <v>0.6875</v>
      </c>
      <c r="I43" s="207">
        <f t="shared" si="5"/>
        <v>0.3125</v>
      </c>
      <c r="J43" s="105">
        <f t="shared" si="6"/>
        <v>0.625</v>
      </c>
      <c r="K43" s="133" t="s">
        <v>194</v>
      </c>
      <c r="L43" s="133" t="s">
        <v>195</v>
      </c>
      <c r="M43" s="134" t="s">
        <v>138</v>
      </c>
      <c r="N43" s="213" t="s">
        <v>196</v>
      </c>
      <c r="O43" s="349">
        <v>1.5</v>
      </c>
      <c r="P43" s="393">
        <f>D43-O43</f>
        <v>0.5</v>
      </c>
      <c r="Q43" s="342">
        <v>5</v>
      </c>
      <c r="R43" s="211">
        <v>2</v>
      </c>
      <c r="S43" s="209">
        <v>12</v>
      </c>
      <c r="T43" s="209"/>
      <c r="U43" s="209"/>
      <c r="V43" s="209"/>
      <c r="W43" s="209"/>
      <c r="X43" s="209"/>
      <c r="Y43" s="209"/>
      <c r="Z43" s="209"/>
      <c r="AA43" s="335"/>
      <c r="AB43" s="136"/>
    </row>
    <row r="44" spans="2:30" ht="168">
      <c r="B44" s="127">
        <v>34</v>
      </c>
      <c r="C44" s="128" t="s">
        <v>134</v>
      </c>
      <c r="D44" s="387">
        <v>2</v>
      </c>
      <c r="E44" s="129">
        <v>45825</v>
      </c>
      <c r="F44" s="130">
        <v>0.375</v>
      </c>
      <c r="G44" s="129">
        <v>45825</v>
      </c>
      <c r="H44" s="130">
        <v>0.6875</v>
      </c>
      <c r="I44" s="207">
        <f t="shared" si="5"/>
        <v>0.3125</v>
      </c>
      <c r="J44" s="105">
        <f t="shared" si="6"/>
        <v>0.625</v>
      </c>
      <c r="K44" s="132">
        <v>2</v>
      </c>
      <c r="L44" s="133" t="s">
        <v>197</v>
      </c>
      <c r="M44" s="134" t="s">
        <v>138</v>
      </c>
      <c r="N44" s="213" t="s">
        <v>198</v>
      </c>
      <c r="O44" s="339">
        <v>2</v>
      </c>
      <c r="P44" s="392"/>
      <c r="Q44" s="342">
        <v>3</v>
      </c>
      <c r="R44" s="211">
        <v>1</v>
      </c>
      <c r="S44" s="209"/>
      <c r="T44" s="209"/>
      <c r="U44" s="209"/>
      <c r="V44" s="209"/>
      <c r="W44" s="209"/>
      <c r="X44" s="209">
        <v>1</v>
      </c>
      <c r="Y44" s="209"/>
      <c r="Z44" s="209"/>
      <c r="AA44" s="335"/>
      <c r="AB44" s="136"/>
    </row>
    <row r="45" spans="2:30" ht="50.1" customHeight="1" thickBot="1">
      <c r="B45" s="137" t="s">
        <v>82</v>
      </c>
      <c r="C45" s="138"/>
      <c r="D45" s="214"/>
      <c r="E45" s="139"/>
      <c r="F45" s="140"/>
      <c r="G45" s="139"/>
      <c r="H45" s="140"/>
      <c r="I45" s="215"/>
      <c r="J45" s="126"/>
      <c r="K45" s="142"/>
      <c r="L45" s="143"/>
      <c r="M45" s="143"/>
      <c r="N45" s="216"/>
      <c r="O45" s="340"/>
      <c r="P45" s="394"/>
      <c r="Q45" s="343"/>
      <c r="R45" s="217"/>
      <c r="S45" s="218"/>
      <c r="T45" s="218"/>
      <c r="U45" s="218"/>
      <c r="V45" s="218"/>
      <c r="W45" s="218"/>
      <c r="X45" s="218"/>
      <c r="Y45" s="218"/>
      <c r="Z45" s="218"/>
      <c r="AA45" s="336"/>
      <c r="AB45" s="136"/>
    </row>
    <row r="46" spans="2:30" ht="69.95" customHeight="1" thickTop="1" thickBot="1">
      <c r="B46" s="407" t="s">
        <v>209</v>
      </c>
      <c r="C46" s="408"/>
      <c r="D46" s="409">
        <f>SUM(D29:D45)</f>
        <v>31</v>
      </c>
      <c r="E46" s="145"/>
      <c r="F46" s="146"/>
      <c r="G46" s="145"/>
      <c r="H46" s="146"/>
      <c r="I46" s="304">
        <f>SUM(I29:I45)</f>
        <v>4.4722222222222232</v>
      </c>
      <c r="J46" s="304">
        <f>SUM(J29:J45)</f>
        <v>8.9027777777777786</v>
      </c>
      <c r="K46" s="174"/>
      <c r="L46" s="175"/>
      <c r="M46" s="174"/>
      <c r="N46" s="176"/>
      <c r="O46" s="410">
        <f>SUM(O29:O45)</f>
        <v>27</v>
      </c>
      <c r="P46" s="411">
        <f>D46-O46</f>
        <v>4</v>
      </c>
      <c r="Q46" s="419">
        <f>SUM(Q29:Q33)+0.09</f>
        <v>16.09</v>
      </c>
      <c r="R46" s="420">
        <f t="shared" ref="R46:W46" si="8">SUM(R29:R45)</f>
        <v>32</v>
      </c>
      <c r="S46" s="420">
        <f t="shared" si="8"/>
        <v>24</v>
      </c>
      <c r="T46" s="420">
        <f t="shared" si="8"/>
        <v>5</v>
      </c>
      <c r="U46" s="420">
        <f t="shared" si="8"/>
        <v>5</v>
      </c>
      <c r="V46" s="420">
        <f t="shared" si="8"/>
        <v>5</v>
      </c>
      <c r="W46" s="420">
        <f t="shared" si="8"/>
        <v>3</v>
      </c>
      <c r="X46" s="420">
        <f t="shared" ref="X46" si="9">SUM(X29:X45)</f>
        <v>2</v>
      </c>
      <c r="Y46" s="420">
        <f>SUM(Y29:Y45)</f>
        <v>1</v>
      </c>
      <c r="Z46" s="420">
        <f>SUM(Z29:Z45)</f>
        <v>1</v>
      </c>
      <c r="AA46" s="337"/>
      <c r="AB46" s="136"/>
    </row>
    <row r="47" spans="2:30">
      <c r="P47" s="388" t="s">
        <v>213</v>
      </c>
      <c r="AA47" s="99"/>
      <c r="AB47" s="136"/>
      <c r="AC47" s="99"/>
      <c r="AD47" s="99"/>
    </row>
    <row r="48" spans="2:30" ht="31.5">
      <c r="S48" s="182"/>
      <c r="T48" s="183"/>
      <c r="AB48" s="136"/>
    </row>
    <row r="49" spans="28:28" ht="31.5">
      <c r="AB49" s="147"/>
    </row>
  </sheetData>
  <mergeCells count="15">
    <mergeCell ref="AA3:AA4"/>
    <mergeCell ref="B3:B4"/>
    <mergeCell ref="C3:C4"/>
    <mergeCell ref="D3:D4"/>
    <mergeCell ref="E3:F3"/>
    <mergeCell ref="G3:H3"/>
    <mergeCell ref="K3:K4"/>
    <mergeCell ref="P3:P4"/>
    <mergeCell ref="B46:C46"/>
    <mergeCell ref="Q3:Z3"/>
    <mergeCell ref="B26:C26"/>
    <mergeCell ref="L3:L4"/>
    <mergeCell ref="M3:M4"/>
    <mergeCell ref="N3:N4"/>
    <mergeCell ref="O3:O4"/>
  </mergeCells>
  <phoneticPr fontId="10" type="noConversion"/>
  <pageMargins left="0.7" right="0.7" top="0.75" bottom="0.75" header="0.3" footer="0.3"/>
  <pageSetup paperSize="9" scale="36" orientation="landscape"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갑지</vt:lpstr>
      <vt:lpstr>내역서(표준단가)</vt:lpstr>
      <vt:lpstr>관리소 접수 입력-3차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2025-07-29T03:37:48Z</dcterms:modified>
</cp:coreProperties>
</file>
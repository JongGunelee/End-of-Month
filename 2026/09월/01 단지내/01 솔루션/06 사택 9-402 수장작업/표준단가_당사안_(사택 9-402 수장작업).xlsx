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4CE3C492-7FCA-44D8-B4B7-58D8511D876D}" xr6:coauthVersionLast="36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F17" i="5" s="1"/>
  <c r="R9" i="4"/>
  <c r="R12" i="4"/>
  <c r="R15" i="4"/>
  <c r="R16" i="4"/>
  <c r="R11" i="4"/>
  <c r="R14" i="4"/>
  <c r="R17" i="4"/>
  <c r="F21" i="5" l="1"/>
  <c r="F22" i="5"/>
  <c r="R19" i="4"/>
  <c r="Q19" i="4"/>
  <c r="F16" i="5"/>
  <c r="O1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<sst xmlns="http://schemas.openxmlformats.org/spreadsheetml/2006/main" count="240" uniqueCount="172">
  <si>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</si>
  <si>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</si>
  <si>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</si>
  <si>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</si>
  <si>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</si>
  <si>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</si>
  <si>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</si>
  <si>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</si>
  <si>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</si>
  <si>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</si>
  <si>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</si>
  <si>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</si>
  <si>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</si>
  <si>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</si>
  <si>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</si>
  <si>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</si>
  <si>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</si>
  <si>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</si>
  <si>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</si>
  <si>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</si>
  <si>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</si>
  <si>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</si>
  <si>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</si>
  <si>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</si>
  <si>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</si>
  <si>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</si>
  <si>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</si>
  <si>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</si>
  <si>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</si>
  <si>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</si>
  <si>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</si>
  <si>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</si>
  <si>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</si>
  <si>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</si>
  <si>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</si>
  <si>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</si>
  <si>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</si>
  <si>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</si>
  <si>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</si>
  <si>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</si>
  <si>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</si>
  <si>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</si>
  <si>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</si>
  <si>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</si>
  <si>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</si>
  <si>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</si>
  <si>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</si>
  <si>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</si>
  <si>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</si>
  <si>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</si>
  <si>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</si>
  <si>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</si>
  <si>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</si>
  <si>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</si>
  <si>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</si>
  <si>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</si>
  <si>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</si>
  <si>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</si>
  <si>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</si>
  <si>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</si>
  <si>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</si>
  <si>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</si>
  <si>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</si>
  <si>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</si>
  <si>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</si>
  <si>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</si>
  <si>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</si>
  <si>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</si>
  <si>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</si>
  <si>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</si>
  <si>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</si>
  <si>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</si>
  <si>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</si>
  <si>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</si>
  <si>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</si>
  <si>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</si>
  <si>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</si>
  <si>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</si>
  <si>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</si>
  <si>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</si>
  <si>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</si>
  <si>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</si>
  <si>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</si>
  <si>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</si>
  <si>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</si>
  <si>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</si>
  <si>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</si>
  <si>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</si>
  <si>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</si>
  <si>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</si>
  <si>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</si>
  <si>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</si>
  <si>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</si>
  <si>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</si>
  <si>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</si>
  <si>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</si>
  <si>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</si>
  <si>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</si>
  <si>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</si>
  <si>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</si>
  <si>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</si>
  <si>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</si>
  <si>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</si>
  <si>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</si>
  <si>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</si>
  <si>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</si>
  <si>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</si>
  <si>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</si>
  <si>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</si>
  <si>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</si>
  <si>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</si>
  <si>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</si>
  <si>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</si>
  <si>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</si>
  <si>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</si>
  <si>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</si>
  <si>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</si>
  <si>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</si>
  <si>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</si>
  <si>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</si>
  <si>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</si>
  <si>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</si>
  <si>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</si>
  <si>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</si>
  <si>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</si>
  <si>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</si>
  <si>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</si>
  <si>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</si>
  <si>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</si>
  <si>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</si>
  <si>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</si>
  <si>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</si>
  <si>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</si>
  <si>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</si>
  <si>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</si>
  <si>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</si>
  <si>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</si>
  <si>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</si>
  <si>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</si>
  <si>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</si>
  <si>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</si>
  <si>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</si>
  <si>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</si>
  <si>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</si>
  <si>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</si>
  <si>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</si>
  <si>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</si>
  <si>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</si>
  <si>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</si>
  <si>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</si>
  <si>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</si>
  <si>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</si>
  <si>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</si>
  <si>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</si>
  <si>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</si>
  <si>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</si>
  <si>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</si>
  <si>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</si>
  <si>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</si>
  <si>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</si>
  <si>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</si>
  <si>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</si>
  <si>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</si>
  <si>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</si>
  <si>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</si>
  <si>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</si>
  <si>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</si>
  <si>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</si>
  <si>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</si>
  <si>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06월  22일</t>
    <phoneticPr fontId="5" type="noConversion"/>
  </si>
  <si>
    <t xml:space="preserve"> 공사명 : 사택 9-402 수장공사</t>
    <phoneticPr fontId="11" type="noConversion"/>
  </si>
  <si>
    <t>공사명 : 사택 9-402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</si>
</sst>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3" t="s">
        <v>6</v>
      </c>
      <c r="B2" s="173"/>
      <c r="C2" s="173"/>
      <c r="D2" s="173"/>
      <c r="E2" s="173"/>
      <c r="F2" s="173"/>
      <c r="G2" s="173"/>
      <c r="H2" s="2"/>
    </row>
    <row r="3" spans="1:9" ht="13.5">
      <c r="A3" s="118"/>
      <c r="B3" s="118"/>
      <c r="C3" s="118"/>
      <c r="D3" s="118"/>
      <c r="E3" s="118"/>
      <c r="F3" s="118"/>
      <c r="G3" s="118"/>
      <c r="H3" s="118"/>
    </row>
    <row r="4" spans="1:9" ht="13.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76" t="s">
        <v>170</v>
      </c>
      <c r="B7" s="177"/>
      <c r="C7" s="178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169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4"/>
      <c r="B11" s="175"/>
      <c r="C11" s="175"/>
      <c r="D11" s="118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오백삼십칠만오천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897493.73800000001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3644177.5648479997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4541671.3028480001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167</v>
      </c>
      <c r="D21" s="168">
        <v>1</v>
      </c>
      <c r="E21" s="168" t="s">
        <v>24</v>
      </c>
      <c r="F21" s="169">
        <f>F17*4.75%</f>
        <v>173098.43433028</v>
      </c>
      <c r="G21" s="35" t="s">
        <v>25</v>
      </c>
    </row>
    <row r="22" spans="1:7" ht="33" customHeight="1">
      <c r="A22" s="29"/>
      <c r="B22" s="170" t="s">
        <v>26</v>
      </c>
      <c r="C22" s="167" t="s">
        <v>168</v>
      </c>
      <c r="D22" s="171">
        <v>1</v>
      </c>
      <c r="E22" s="171" t="s">
        <v>24</v>
      </c>
      <c r="F22" s="172">
        <f>F17*3.595%</f>
        <v>131008.18345628559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16965.559757588984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36806.193404964797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129732.72130858879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133070.96917344641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213242.98131395772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833925.04274511233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5375596.3455931125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5375000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90" zoomScaleNormal="9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79"/>
      <c r="B1" s="179"/>
      <c r="C1" s="179"/>
      <c r="D1" s="179"/>
      <c r="E1" s="179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79"/>
      <c r="B2" s="179"/>
      <c r="C2" s="179"/>
      <c r="D2" s="179"/>
      <c r="E2" s="179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0" t="s">
        <v>100</v>
      </c>
      <c r="G3" s="190"/>
      <c r="H3" s="188" t="s">
        <v>47</v>
      </c>
      <c r="I3" s="188" t="s">
        <v>5</v>
      </c>
      <c r="J3" s="184" t="s">
        <v>101</v>
      </c>
      <c r="K3" s="184"/>
      <c r="L3" s="184" t="s">
        <v>102</v>
      </c>
      <c r="M3" s="184"/>
      <c r="N3" s="185" t="s">
        <v>103</v>
      </c>
      <c r="O3" s="185"/>
      <c r="P3" s="185" t="s">
        <v>104</v>
      </c>
      <c r="Q3" s="185"/>
      <c r="R3" s="186" t="s">
        <v>105</v>
      </c>
      <c r="S3" s="182" t="s">
        <v>106</v>
      </c>
      <c r="T3" s="180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89"/>
      <c r="I4" s="189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87"/>
      <c r="S4" s="183"/>
      <c r="T4" s="181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151</v>
      </c>
      <c r="E5" s="94"/>
      <c r="F5" s="130" t="s">
        <v>152</v>
      </c>
      <c r="G5" s="130" t="s">
        <v>161</v>
      </c>
      <c r="H5" s="110" t="s">
        <v>160</v>
      </c>
      <c r="I5" s="129">
        <v>11.992000000000001</v>
      </c>
      <c r="J5" s="155">
        <v>20900</v>
      </c>
      <c r="K5" s="126">
        <f t="shared" ref="K5" si="1">SUM(J5:J5)*I5*$K$2</f>
        <v>209278.38800000001</v>
      </c>
      <c r="L5" s="125"/>
      <c r="M5" s="126">
        <f t="shared" ref="M5:M17" si="2">(L5*I5)*$M$2</f>
        <v>0</v>
      </c>
      <c r="N5" s="127"/>
      <c r="O5" s="126">
        <f t="shared" ref="O5:O17" si="3">N5*I5*$O$2</f>
        <v>0</v>
      </c>
      <c r="P5" s="127"/>
      <c r="Q5" s="126">
        <f t="shared" ref="Q5:Q17" si="4">P5*I5*$Q$2</f>
        <v>0</v>
      </c>
      <c r="R5" s="73">
        <f t="shared" ref="R5:R17" si="5">SUM(K5+M5)+O5+Q5</f>
        <v>209278.38800000001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162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8" si="11">B7&amp;C7&amp;D7&amp;E7</f>
        <v>E00000803071260301</v>
      </c>
      <c r="B7" s="94"/>
      <c r="C7" s="70" t="s">
        <v>118</v>
      </c>
      <c r="D7" s="70"/>
      <c r="E7" s="94"/>
      <c r="F7" s="130" t="s">
        <v>121</v>
      </c>
      <c r="G7" s="130" t="s">
        <v>163</v>
      </c>
      <c r="H7" s="71" t="s">
        <v>119</v>
      </c>
      <c r="I7" s="129">
        <v>1.7709999999999999</v>
      </c>
      <c r="J7" s="128"/>
      <c r="K7" s="126">
        <f t="shared" ref="K7:K17" si="12">SUM(J7:J7)*I7*$K$2</f>
        <v>0</v>
      </c>
      <c r="L7" s="156">
        <v>510462</v>
      </c>
      <c r="M7" s="126">
        <f t="shared" si="2"/>
        <v>754863.54866999993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754863.54866999993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154</v>
      </c>
      <c r="E8" s="94"/>
      <c r="F8" s="130" t="s">
        <v>155</v>
      </c>
      <c r="G8" s="130" t="s">
        <v>156</v>
      </c>
      <c r="H8" s="110" t="s">
        <v>153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122</v>
      </c>
      <c r="D9" s="70"/>
      <c r="E9" s="94"/>
      <c r="F9" s="130" t="s">
        <v>123</v>
      </c>
      <c r="G9" s="130" t="s">
        <v>164</v>
      </c>
      <c r="H9" s="71" t="s">
        <v>119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M020412614110102</v>
      </c>
      <c r="B10" s="94"/>
      <c r="C10" s="70"/>
      <c r="D10" s="121" t="s">
        <v>148</v>
      </c>
      <c r="E10" s="94"/>
      <c r="F10" s="133" t="s">
        <v>147</v>
      </c>
      <c r="G10" s="133" t="s">
        <v>142</v>
      </c>
      <c r="H10" s="122" t="s">
        <v>141</v>
      </c>
      <c r="I10" s="129">
        <v>0.5</v>
      </c>
      <c r="J10" s="155">
        <v>65500</v>
      </c>
      <c r="K10" s="126">
        <f t="shared" si="12"/>
        <v>27346.25</v>
      </c>
      <c r="L10" s="125"/>
      <c r="M10" s="126"/>
      <c r="N10" s="127"/>
      <c r="O10" s="126"/>
      <c r="P10" s="127"/>
      <c r="Q10" s="126"/>
      <c r="R10" s="73">
        <f t="shared" si="5"/>
        <v>27346.25</v>
      </c>
      <c r="S10" s="109"/>
      <c r="T10" s="74"/>
    </row>
    <row r="11" spans="1:20" s="139" customFormat="1" ht="38.1" customHeight="1">
      <c r="A11" s="69" t="str">
        <f t="shared" si="11"/>
        <v>E00000803061120402</v>
      </c>
      <c r="B11" s="94"/>
      <c r="C11" s="70" t="s">
        <v>124</v>
      </c>
      <c r="D11" s="70"/>
      <c r="E11" s="94"/>
      <c r="F11" s="130" t="s">
        <v>125</v>
      </c>
      <c r="G11" s="130" t="s">
        <v>126</v>
      </c>
      <c r="H11" s="110" t="s">
        <v>139</v>
      </c>
      <c r="I11" s="129">
        <v>48</v>
      </c>
      <c r="J11" s="125"/>
      <c r="K11" s="126">
        <f t="shared" si="12"/>
        <v>0</v>
      </c>
      <c r="L11" s="158">
        <v>10752</v>
      </c>
      <c r="M11" s="126">
        <f t="shared" si="2"/>
        <v>430940.15999999997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430940.15999999997</v>
      </c>
      <c r="S11" s="109"/>
      <c r="T11" s="74"/>
    </row>
    <row r="12" spans="1:20" s="139" customFormat="1" ht="38.1" customHeight="1">
      <c r="A12" s="69" t="str">
        <f t="shared" si="11"/>
        <v>E00000803061300201</v>
      </c>
      <c r="B12" s="94"/>
      <c r="C12" s="70" t="s">
        <v>128</v>
      </c>
      <c r="D12" s="70"/>
      <c r="E12" s="94"/>
      <c r="F12" s="130" t="s">
        <v>129</v>
      </c>
      <c r="G12" s="130" t="s">
        <v>130</v>
      </c>
      <c r="H12" s="110" t="s">
        <v>127</v>
      </c>
      <c r="I12" s="129">
        <v>48</v>
      </c>
      <c r="J12" s="125"/>
      <c r="K12" s="126">
        <f t="shared" si="12"/>
        <v>0</v>
      </c>
      <c r="L12" s="156">
        <v>6368</v>
      </c>
      <c r="M12" s="126">
        <f t="shared" si="2"/>
        <v>255229.44</v>
      </c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255229.44</v>
      </c>
      <c r="S12" s="109"/>
      <c r="T12" s="74"/>
    </row>
    <row r="13" spans="1:20" s="139" customFormat="1" ht="38.1" customHeight="1">
      <c r="A13" s="69" t="str">
        <f t="shared" si="11"/>
        <v>M020411810170101</v>
      </c>
      <c r="B13" s="94"/>
      <c r="C13" s="70"/>
      <c r="D13" s="121" t="s">
        <v>143</v>
      </c>
      <c r="E13" s="94"/>
      <c r="F13" s="133" t="s">
        <v>144</v>
      </c>
      <c r="G13" s="133" t="s">
        <v>145</v>
      </c>
      <c r="H13" s="122" t="s">
        <v>141</v>
      </c>
      <c r="I13" s="129">
        <v>0.2</v>
      </c>
      <c r="J13" s="165">
        <v>89800</v>
      </c>
      <c r="K13" s="126">
        <f t="shared" si="12"/>
        <v>14996.599999999999</v>
      </c>
      <c r="L13" s="125"/>
      <c r="M13" s="126"/>
      <c r="N13" s="127"/>
      <c r="O13" s="126">
        <f t="shared" si="3"/>
        <v>0</v>
      </c>
      <c r="P13" s="127"/>
      <c r="Q13" s="126">
        <f t="shared" si="4"/>
        <v>0</v>
      </c>
      <c r="R13" s="73">
        <f t="shared" si="5"/>
        <v>14996.599999999999</v>
      </c>
      <c r="S13" s="109"/>
      <c r="T13" s="74"/>
    </row>
    <row r="14" spans="1:20" s="139" customFormat="1" ht="38.1" customHeight="1">
      <c r="A14" s="69" t="str">
        <f t="shared" si="11"/>
        <v>E00000803061120802</v>
      </c>
      <c r="B14" s="94"/>
      <c r="C14" s="70" t="s">
        <v>131</v>
      </c>
      <c r="D14" s="70"/>
      <c r="E14" s="94"/>
      <c r="F14" s="130" t="s">
        <v>132</v>
      </c>
      <c r="G14" s="130" t="s">
        <v>133</v>
      </c>
      <c r="H14" s="110" t="s">
        <v>127</v>
      </c>
      <c r="I14" s="129">
        <v>16</v>
      </c>
      <c r="J14" s="140"/>
      <c r="K14" s="72">
        <f t="shared" si="12"/>
        <v>0</v>
      </c>
      <c r="L14" s="156">
        <v>2496</v>
      </c>
      <c r="M14" s="72">
        <f t="shared" si="2"/>
        <v>33346.559999999998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33346.559999999998</v>
      </c>
      <c r="S14" s="109"/>
      <c r="T14" s="74"/>
    </row>
    <row r="15" spans="1:20" s="139" customFormat="1" ht="38.1" customHeight="1">
      <c r="A15" s="69" t="str">
        <f t="shared" si="11"/>
        <v>E00000803061300701</v>
      </c>
      <c r="B15" s="94"/>
      <c r="C15" s="70" t="s">
        <v>134</v>
      </c>
      <c r="D15" s="70"/>
      <c r="E15" s="94"/>
      <c r="F15" s="130" t="s">
        <v>135</v>
      </c>
      <c r="G15" s="130" t="s">
        <v>130</v>
      </c>
      <c r="H15" s="110" t="s">
        <v>127</v>
      </c>
      <c r="I15" s="129">
        <v>16</v>
      </c>
      <c r="J15" s="111"/>
      <c r="K15" s="72">
        <f t="shared" si="12"/>
        <v>0</v>
      </c>
      <c r="L15" s="156">
        <v>3871</v>
      </c>
      <c r="M15" s="72">
        <f t="shared" si="2"/>
        <v>51716.56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51716.56</v>
      </c>
      <c r="S15" s="109"/>
      <c r="T15" s="74"/>
    </row>
    <row r="16" spans="1:20" s="139" customFormat="1" ht="38.1" customHeight="1">
      <c r="A16" s="69" t="str">
        <f t="shared" si="11"/>
        <v>E00000803061120802</v>
      </c>
      <c r="B16" s="94"/>
      <c r="C16" s="70" t="s">
        <v>131</v>
      </c>
      <c r="D16" s="70"/>
      <c r="E16" s="94"/>
      <c r="F16" s="130" t="s">
        <v>136</v>
      </c>
      <c r="G16" s="130" t="s">
        <v>133</v>
      </c>
      <c r="H16" s="110" t="s">
        <v>127</v>
      </c>
      <c r="I16" s="129">
        <v>2</v>
      </c>
      <c r="J16" s="140"/>
      <c r="K16" s="72">
        <f t="shared" si="12"/>
        <v>0</v>
      </c>
      <c r="L16" s="156">
        <v>2496</v>
      </c>
      <c r="M16" s="72">
        <f t="shared" si="2"/>
        <v>4168.32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4168.32</v>
      </c>
      <c r="S16" s="109"/>
      <c r="T16" s="74"/>
    </row>
    <row r="17" spans="1:20" s="139" customFormat="1" ht="38.1" customHeight="1">
      <c r="A17" s="69" t="str">
        <f t="shared" si="11"/>
        <v>E00000803061300401</v>
      </c>
      <c r="B17" s="94"/>
      <c r="C17" s="70" t="s">
        <v>137</v>
      </c>
      <c r="D17" s="70"/>
      <c r="E17" s="94"/>
      <c r="F17" s="130" t="s">
        <v>138</v>
      </c>
      <c r="G17" s="130" t="s">
        <v>130</v>
      </c>
      <c r="H17" s="110" t="s">
        <v>127</v>
      </c>
      <c r="I17" s="129">
        <v>2</v>
      </c>
      <c r="J17" s="111"/>
      <c r="K17" s="72">
        <f t="shared" si="12"/>
        <v>0</v>
      </c>
      <c r="L17" s="156">
        <v>5851</v>
      </c>
      <c r="M17" s="72">
        <f t="shared" si="2"/>
        <v>9771.17</v>
      </c>
      <c r="N17" s="73"/>
      <c r="O17" s="72">
        <f t="shared" si="3"/>
        <v>0</v>
      </c>
      <c r="P17" s="73"/>
      <c r="Q17" s="72">
        <f t="shared" si="4"/>
        <v>0</v>
      </c>
      <c r="R17" s="73">
        <f t="shared" si="5"/>
        <v>9771.17</v>
      </c>
      <c r="S17" s="109"/>
      <c r="T17" s="74"/>
    </row>
    <row r="18" spans="1:20" s="139" customFormat="1" ht="38.1" customHeight="1">
      <c r="A18" s="69" t="str">
        <f t="shared" si="11"/>
        <v>E00000801011510701</v>
      </c>
      <c r="B18" s="94"/>
      <c r="C18" s="70" t="s">
        <v>159</v>
      </c>
      <c r="D18" s="70"/>
      <c r="E18" s="94"/>
      <c r="F18" s="159" t="s">
        <v>165</v>
      </c>
      <c r="G18" s="71" t="s">
        <v>158</v>
      </c>
      <c r="H18" s="160" t="s">
        <v>166</v>
      </c>
      <c r="I18" s="129">
        <v>100</v>
      </c>
      <c r="J18" s="140"/>
      <c r="K18" s="72">
        <f t="shared" ref="K18" si="13">SUM(J18:J18)*I18*$K$2</f>
        <v>0</v>
      </c>
      <c r="L18" s="156">
        <v>5131</v>
      </c>
      <c r="M18" s="72">
        <f t="shared" ref="M18" si="14">(L18*I18)*$M$2</f>
        <v>428438.5</v>
      </c>
      <c r="N18" s="73"/>
      <c r="O18" s="72">
        <f t="shared" ref="O18" si="15">N18*I18*$O$2</f>
        <v>0</v>
      </c>
      <c r="P18" s="73"/>
      <c r="Q18" s="72">
        <f t="shared" ref="Q18" si="16">P18*I18*$Q$2</f>
        <v>0</v>
      </c>
      <c r="R18" s="73">
        <f t="shared" ref="R18" si="17">SUM(K18+M18)+O18+Q18</f>
        <v>428438.5</v>
      </c>
      <c r="S18" s="109"/>
      <c r="T18" s="74"/>
    </row>
    <row r="19" spans="1:20" s="146" customFormat="1" ht="38.1" customHeight="1">
      <c r="A19" s="141"/>
      <c r="B19" s="142"/>
      <c r="C19" s="142"/>
      <c r="D19" s="142"/>
      <c r="E19" s="142"/>
      <c r="F19" s="134"/>
      <c r="G19" s="134"/>
      <c r="H19" s="142"/>
      <c r="I19" s="142"/>
      <c r="J19" s="142"/>
      <c r="K19" s="143">
        <f>SUM(K5:K18)</f>
        <v>897493.73800000001</v>
      </c>
      <c r="L19" s="144"/>
      <c r="M19" s="143">
        <f>SUM(M5:M18)</f>
        <v>3644177.5648479997</v>
      </c>
      <c r="N19" s="144"/>
      <c r="O19" s="143">
        <f>SUM(O5:O18)</f>
        <v>0</v>
      </c>
      <c r="P19" s="144"/>
      <c r="Q19" s="143">
        <f>SUM(Q5:Q18)</f>
        <v>0</v>
      </c>
      <c r="R19" s="145">
        <f>SUM(R5:R18)</f>
        <v>4541671.3028480001</v>
      </c>
      <c r="S19" s="102"/>
      <c r="T19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02" t="s">
        <v>58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6" ht="15" customHeight="1">
      <c r="A2" s="203" t="s">
        <v>59</v>
      </c>
      <c r="B2" s="204" t="s">
        <v>60</v>
      </c>
      <c r="C2" s="205" t="s">
        <v>47</v>
      </c>
      <c r="D2" s="205" t="s">
        <v>61</v>
      </c>
      <c r="E2" s="207" t="s">
        <v>62</v>
      </c>
      <c r="F2" s="204"/>
      <c r="G2" s="204" t="s">
        <v>63</v>
      </c>
      <c r="H2" s="204"/>
      <c r="I2" s="208" t="s">
        <v>64</v>
      </c>
      <c r="J2" s="209"/>
      <c r="K2" s="208" t="s">
        <v>65</v>
      </c>
      <c r="L2" s="209"/>
      <c r="M2" s="207" t="s">
        <v>66</v>
      </c>
      <c r="N2" s="204"/>
      <c r="O2" s="210" t="s">
        <v>67</v>
      </c>
    </row>
    <row r="3" spans="1:16" ht="15" customHeight="1">
      <c r="A3" s="203"/>
      <c r="B3" s="204"/>
      <c r="C3" s="206"/>
      <c r="D3" s="206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11"/>
    </row>
    <row r="4" spans="1:16" ht="15" customHeight="1">
      <c r="A4" s="200" t="s">
        <v>171</v>
      </c>
      <c r="B4" s="20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2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2" si="0">D5*E5</f>
        <v>42280</v>
      </c>
      <c r="G5" s="161">
        <v>9266</v>
      </c>
      <c r="H5" s="80">
        <f t="shared" ref="H5:H12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194" t="s">
        <v>149</v>
      </c>
    </row>
    <row r="6" spans="1:16" ht="15" customHeight="1">
      <c r="A6" s="193"/>
      <c r="B6" s="78" t="s">
        <v>74</v>
      </c>
      <c r="C6" s="79" t="s">
        <v>73</v>
      </c>
      <c r="D6" s="148">
        <v>24</v>
      </c>
      <c r="E6" s="161">
        <v>1057</v>
      </c>
      <c r="F6" s="80">
        <f t="shared" si="0"/>
        <v>25368</v>
      </c>
      <c r="G6" s="161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2" si="2">F6+H6+J6+L6</f>
        <v>317640</v>
      </c>
      <c r="O6" s="195"/>
    </row>
    <row r="7" spans="1:16" ht="15" customHeight="1">
      <c r="A7" s="193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195"/>
      <c r="P7" s="108">
        <f>D6+D8+D10+D12</f>
        <v>62</v>
      </c>
    </row>
    <row r="8" spans="1:16" ht="15" customHeight="1">
      <c r="A8" s="193"/>
      <c r="B8" s="78" t="s">
        <v>76</v>
      </c>
      <c r="C8" s="79" t="s">
        <v>73</v>
      </c>
      <c r="D8" s="148">
        <v>16</v>
      </c>
      <c r="E8" s="161">
        <v>1057</v>
      </c>
      <c r="F8" s="80">
        <f t="shared" si="0"/>
        <v>16912</v>
      </c>
      <c r="G8" s="161">
        <v>12178</v>
      </c>
      <c r="H8" s="80">
        <f t="shared" si="1"/>
        <v>194848</v>
      </c>
      <c r="I8" s="80"/>
      <c r="J8" s="80"/>
      <c r="K8" s="80"/>
      <c r="L8" s="80"/>
      <c r="M8" s="80"/>
      <c r="N8" s="80">
        <f t="shared" si="2"/>
        <v>211760</v>
      </c>
      <c r="O8" s="195"/>
    </row>
    <row r="9" spans="1:16" ht="15" customHeight="1">
      <c r="A9" s="193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195"/>
    </row>
    <row r="10" spans="1:16" ht="15" customHeight="1">
      <c r="A10" s="193"/>
      <c r="B10" s="78" t="s">
        <v>78</v>
      </c>
      <c r="C10" s="79" t="s">
        <v>73</v>
      </c>
      <c r="D10" s="148">
        <v>11</v>
      </c>
      <c r="E10" s="161">
        <v>1057</v>
      </c>
      <c r="F10" s="80">
        <f t="shared" si="0"/>
        <v>11627</v>
      </c>
      <c r="G10" s="161">
        <v>12178</v>
      </c>
      <c r="H10" s="80">
        <f t="shared" si="1"/>
        <v>133958</v>
      </c>
      <c r="I10" s="80"/>
      <c r="J10" s="80"/>
      <c r="K10" s="80"/>
      <c r="L10" s="80"/>
      <c r="M10" s="80"/>
      <c r="N10" s="80">
        <f t="shared" si="2"/>
        <v>145585</v>
      </c>
      <c r="O10" s="195"/>
    </row>
    <row r="11" spans="1:16" ht="15" customHeight="1">
      <c r="A11" s="193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195"/>
    </row>
    <row r="12" spans="1:16" ht="15" customHeight="1">
      <c r="A12" s="193"/>
      <c r="B12" s="78" t="s">
        <v>80</v>
      </c>
      <c r="C12" s="79" t="s">
        <v>73</v>
      </c>
      <c r="D12" s="113">
        <v>11</v>
      </c>
      <c r="E12" s="161">
        <v>1057</v>
      </c>
      <c r="F12" s="80">
        <f t="shared" si="0"/>
        <v>11627</v>
      </c>
      <c r="G12" s="161">
        <v>12178</v>
      </c>
      <c r="H12" s="80">
        <f t="shared" si="1"/>
        <v>133958</v>
      </c>
      <c r="I12" s="80"/>
      <c r="J12" s="80"/>
      <c r="K12" s="80"/>
      <c r="L12" s="80"/>
      <c r="M12" s="80"/>
      <c r="N12" s="80">
        <f t="shared" si="2"/>
        <v>145585</v>
      </c>
      <c r="O12" s="195"/>
    </row>
    <row r="13" spans="1:16" ht="15" customHeight="1">
      <c r="A13" s="103" t="s">
        <v>81</v>
      </c>
      <c r="B13" s="104"/>
      <c r="C13" s="105"/>
      <c r="D13" s="149">
        <f>SUM(D5:D12)</f>
        <v>198</v>
      </c>
      <c r="E13" s="112"/>
      <c r="F13" s="106">
        <f>SUM(F5:F12)</f>
        <v>209286</v>
      </c>
      <c r="G13" s="106"/>
      <c r="H13" s="106">
        <f>SUM(H5:H12)</f>
        <v>2015212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2224498</v>
      </c>
      <c r="O13" s="106"/>
    </row>
    <row r="14" spans="1:16" ht="15" customHeight="1">
      <c r="A14" s="196" t="s">
        <v>150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195"/>
    </row>
    <row r="15" spans="1:16" ht="15" customHeight="1">
      <c r="A15" s="196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195"/>
    </row>
    <row r="16" spans="1:16" ht="15" customHeight="1">
      <c r="A16" s="196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195"/>
    </row>
    <row r="17" spans="1:15" ht="15" customHeight="1">
      <c r="A17" s="197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198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146</v>
      </c>
      <c r="B20" s="123" t="s">
        <v>142</v>
      </c>
      <c r="C20" s="123" t="s">
        <v>141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80"/>
    </row>
    <row r="21" spans="1:15" ht="15" customHeight="1">
      <c r="A21" s="199" t="s">
        <v>87</v>
      </c>
      <c r="B21" s="85" t="s">
        <v>88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80"/>
    </row>
    <row r="22" spans="1:15" ht="15" customHeight="1">
      <c r="A22" s="199"/>
      <c r="B22" s="85" t="s">
        <v>89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80"/>
    </row>
    <row r="23" spans="1:15" ht="15" customHeight="1">
      <c r="A23" s="199" t="s">
        <v>90</v>
      </c>
      <c r="B23" s="85" t="s">
        <v>88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80"/>
    </row>
    <row r="24" spans="1:15" ht="15" customHeight="1">
      <c r="A24" s="199"/>
      <c r="B24" s="85" t="s">
        <v>89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80"/>
    </row>
    <row r="25" spans="1:15" ht="15" customHeight="1">
      <c r="A25" s="124" t="s">
        <v>144</v>
      </c>
      <c r="B25" s="123" t="s">
        <v>145</v>
      </c>
      <c r="C25" s="123" t="s">
        <v>141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191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191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191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191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96</v>
      </c>
      <c r="B31" s="78" t="s">
        <v>157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140</v>
      </c>
      <c r="B33" s="81"/>
      <c r="C33" s="82"/>
      <c r="D33" s="154"/>
      <c r="E33" s="91"/>
      <c r="F33" s="92">
        <f>F13+F18+F30+F32</f>
        <v>897501.6</v>
      </c>
      <c r="G33" s="92"/>
      <c r="H33" s="92">
        <f>H13+H18+H30+H32</f>
        <v>3644494.5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4541996.0999999996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11.992000000000001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1.7709999999999999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48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16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2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2026-06-21T23:02:20Z</dcterms:modified>
</cp:coreProperties>
</file>
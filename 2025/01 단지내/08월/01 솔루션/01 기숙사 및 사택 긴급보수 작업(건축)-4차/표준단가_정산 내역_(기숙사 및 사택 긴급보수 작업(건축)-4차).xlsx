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1 건축\[완료]기숙사 및 사택 긴급보수 작업(건축)-4차\"/>
    </mc:Choice>
  </mc:AlternateContent>
  <xr:revisionPtr revIDLastSave="0" documentId="13_ncr:1_{61B44ED4-6779-459A-99CC-EE8E654611C2}" xr6:coauthVersionLast="47" xr6:coauthVersionMax="47" xr10:uidLastSave="{00000000-0000-0000-0000-000000000000}"/>
  <bookViews>
    <workbookView xWindow="-60" yWindow="-60" windowWidth="28920" windowHeight="16320" activeTab="2" xr2:uid="{00000000-000D-0000-FFFF-FFFF00000000}"/>
  </bookViews>
  <sheets>
    <sheet name="갑지" sheetId="20" r:id="rId1"/>
    <sheet name="내역서(표준단가)" sheetId="19" r:id="rId2"/>
    <sheet name="관리소 접수 입력-4차" sheetId="16" r:id="rId3"/>
    <sheet name="시중가" sheetId="21" r:id="rId4"/>
  </sheets>
  <externalReferences>
    <externalReference r:id="rId5"/>
    <externalReference r:id="rId6"/>
    <externalReference r:id="rId7"/>
    <externalReference r:id="rId8"/>
    <externalReference r:id="rId9"/>
    <externalReference r:id="rId10"/>
    <externalReference r:id="rId11"/>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hidden="1">{"'Sheet1'!$E$23","'Sheet1'!$A$3:$H$19","'Sheet1'!$A$1:$H$19"}</definedName>
    <definedName name="_xlnm.Print_Area">#REF!</definedName>
    <definedName name="_xlnm.Print_Titles">#REF!,#REF!</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0" i="16" l="1"/>
  <c r="P49" i="16"/>
  <c r="P59" i="16" s="1"/>
  <c r="O59" i="16" l="1"/>
  <c r="Y59" i="16"/>
  <c r="X59" i="16"/>
  <c r="W59" i="16"/>
  <c r="V59" i="16"/>
  <c r="U59" i="16"/>
  <c r="T59" i="16"/>
  <c r="S59" i="16"/>
  <c r="R59" i="16"/>
  <c r="Q59" i="16"/>
  <c r="D59" i="16"/>
  <c r="I58" i="16"/>
  <c r="J58" i="16" s="1"/>
  <c r="I57" i="16"/>
  <c r="J57" i="16" s="1"/>
  <c r="I56" i="16"/>
  <c r="J56" i="16" s="1"/>
  <c r="I55" i="16"/>
  <c r="J55" i="16" s="1"/>
  <c r="I54" i="16"/>
  <c r="J54" i="16" s="1"/>
  <c r="I53" i="16"/>
  <c r="J53" i="16" s="1"/>
  <c r="I52" i="16"/>
  <c r="J52" i="16" s="1"/>
  <c r="I51" i="16"/>
  <c r="J51" i="16" s="1"/>
  <c r="I50" i="16"/>
  <c r="J50" i="16" s="1"/>
  <c r="S46" i="16"/>
  <c r="I59" i="16" l="1"/>
  <c r="J59" i="16"/>
  <c r="W46" i="16"/>
  <c r="U6" i="19" l="1"/>
  <c r="S6" i="19"/>
  <c r="Q6" i="19"/>
  <c r="O6" i="19"/>
  <c r="A6" i="19"/>
  <c r="U5" i="19"/>
  <c r="S5" i="19"/>
  <c r="Q5" i="19"/>
  <c r="O5" i="19"/>
  <c r="A5" i="19"/>
  <c r="Y46" i="16"/>
  <c r="X46" i="16"/>
  <c r="V46" i="16"/>
  <c r="U46" i="16"/>
  <c r="T46" i="16"/>
  <c r="R46" i="16"/>
  <c r="Q46" i="16"/>
  <c r="P46" i="16"/>
  <c r="D46" i="16"/>
  <c r="I44" i="16"/>
  <c r="J44" i="16" s="1"/>
  <c r="I43" i="16"/>
  <c r="J43" i="16" s="1"/>
  <c r="I42" i="16"/>
  <c r="J42" i="16" s="1"/>
  <c r="I41" i="16"/>
  <c r="J41" i="16" s="1"/>
  <c r="I40" i="16"/>
  <c r="J40" i="16" s="1"/>
  <c r="I39" i="16"/>
  <c r="J39" i="16" s="1"/>
  <c r="I38" i="16"/>
  <c r="J38" i="16" s="1"/>
  <c r="I37" i="16"/>
  <c r="J37" i="16" s="1"/>
  <c r="I36" i="16"/>
  <c r="J36" i="16" s="1"/>
  <c r="I35" i="16"/>
  <c r="J35" i="16" s="1"/>
  <c r="I34" i="16"/>
  <c r="J34" i="16" s="1"/>
  <c r="I33" i="16"/>
  <c r="J33" i="16" s="1"/>
  <c r="I32" i="16"/>
  <c r="J32" i="16" s="1"/>
  <c r="I31" i="16"/>
  <c r="J31" i="16" s="1"/>
  <c r="I30" i="16"/>
  <c r="J30" i="16" s="1"/>
  <c r="O29" i="16"/>
  <c r="O46" i="16" s="1"/>
  <c r="I29" i="16"/>
  <c r="D26" i="16"/>
  <c r="V26" i="16"/>
  <c r="U26" i="16"/>
  <c r="T26" i="16"/>
  <c r="Q26" i="16"/>
  <c r="P26" i="16"/>
  <c r="V5" i="19" l="1"/>
  <c r="O7" i="19"/>
  <c r="F16" i="20" s="1"/>
  <c r="Q7" i="19"/>
  <c r="S7" i="19"/>
  <c r="U7" i="19"/>
  <c r="I46" i="16"/>
  <c r="V6" i="19"/>
  <c r="J29" i="16"/>
  <c r="J46" i="16" s="1"/>
  <c r="F17" i="20" l="1"/>
  <c r="F24" i="20" s="1"/>
  <c r="F18" i="20"/>
  <c r="V7" i="19"/>
  <c r="F26" i="20" l="1"/>
  <c r="F21" i="20"/>
  <c r="F19" i="20"/>
  <c r="F25" i="20"/>
  <c r="F22" i="20"/>
  <c r="F23" i="20" s="1"/>
  <c r="F27" i="20" l="1"/>
  <c r="F28" i="20" s="1"/>
  <c r="F30" i="20" s="1"/>
  <c r="F31" i="20" s="1"/>
  <c r="B12" i="20" s="1"/>
  <c r="O24" i="16" l="1"/>
  <c r="O23" i="16"/>
  <c r="O22" i="16"/>
  <c r="O21" i="16"/>
  <c r="O20" i="16"/>
  <c r="O19" i="16"/>
  <c r="I24" i="16"/>
  <c r="J24" i="16" s="1"/>
  <c r="I23" i="16"/>
  <c r="J23" i="16" s="1"/>
  <c r="I22" i="16"/>
  <c r="J22" i="16" s="1"/>
  <c r="I21" i="16"/>
  <c r="J21" i="16" s="1"/>
  <c r="I20" i="16"/>
  <c r="J20" i="16" s="1"/>
  <c r="I19" i="16"/>
  <c r="J19" i="16" s="1"/>
  <c r="O26" i="16" l="1"/>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26" i="16" s="1"/>
  <c r="I26" i="16"/>
  <c r="J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B770651C-E310-4FB7-8C4B-243EDE6CE23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<sst xmlns="http://schemas.openxmlformats.org/spreadsheetml/2006/main" count="360" uniqueCount="221">
  <si>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</si>
  <si>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</si>
  <si>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</si>
  <si>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</si>
  <si>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</si>
  <si>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</si>
  <si>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</si>
  <si>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</si>
  <si>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</si>
  <si>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</si>
  <si>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</si>
  <si>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</si>
  <si>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</si>
  <si>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</si>
  <si>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</si>
  <si>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</si>
  <si>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</si>
  <si>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</si>
  <si>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</si>
  <si>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 노무비*4.5%</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</si>
  <si>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</si>
  <si>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</si>
  <si>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</si>
  <si>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</si>
  <si>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</si>
  <si>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</si>
  <si>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</si>
  <si>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</si>
  <si>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</si>
  <si>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</si>
  <si>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</si>
  <si>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</si>
  <si>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</si>
  <si>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</si>
  <si>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</si>
  <si>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</si>
  <si>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</si>
  <si>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</si>
  <si>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</si>
  <si>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</si>
  <si>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</si>
  <si>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</si>
  <si>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노무비*3.545%</t>
    <phoneticPr fontId="17"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</si>
  <si>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</si>
  <si>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</si>
  <si>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</si>
  <si>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</si>
  <si>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</si>
  <si>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</si>
  <si>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</si>
  <si>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</si>
  <si>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</si>
  <si>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</si>
  <si>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</si>
  <si>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</si>
  <si>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</si>
  <si>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</si>
  <si>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</si>
  <si>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</si>
  <si>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</si>
  <si>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</si>
  <si>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</si>
  <si>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</si>
  <si>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</si>
  <si>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</si>
  <si>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</si>
  <si>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</si>
  <si>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</si>
  <si>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</si>
  <si>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</si>
  <si>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</si>
  <si>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</si>
  <si>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</si>
  <si>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사택 5동</t>
    <phoneticPr fontId="11" type="noConversion"/>
  </si>
  <si>
    <t>관리소
담당자</t>
    <phoneticPr fontId="11" type="noConversion"/>
  </si>
  <si>
    <t xml:space="preserve">- 문끌림 4개소/ 방충망 7개소/ 신발장 시트지 1개소
- 빨래건조 4개소 /  누수 천장 임시 철거 및 보수 </t>
    <phoneticPr fontId="11"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</si>
  <si>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</si>
  <si>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</si>
  <si>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</si>
  <si>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</si>
  <si>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</si>
  <si>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</si>
  <si>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</si>
  <si>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8
9</t>
    <phoneticPr fontId="9" type="noConversion"/>
  </si>
  <si>
    <t>206
303</t>
    <phoneticPr fontId="9" type="noConversion"/>
  </si>
  <si>
    <t>남해원</t>
    <phoneticPr fontId="11" type="noConversion"/>
  </si>
  <si>
    <t>뒤베란다 창고 누수점검 및 실리콘 작업 완료
뒤베란다 창고문 철거 완료
화장실 우측방 입구 바닥 평탄작업 완료
화장실문 시트지 보수 1개소 완료</t>
    <phoneticPr fontId="11" type="noConversion"/>
  </si>
  <si>
    <t>9
102</t>
    <phoneticPr fontId="9" type="noConversion"/>
  </si>
  <si>
    <t>303
201</t>
    <phoneticPr fontId="9" type="noConversion"/>
  </si>
  <si>
    <t>401-6
503-4
504-2
504-5</t>
    <phoneticPr fontId="9" type="noConversion"/>
  </si>
  <si>
    <t>703-3
703-4  
902-3</t>
    <phoneticPr fontId="9" type="noConversion"/>
  </si>
  <si>
    <t>화장실 도어 , 방 도어보수2개소 완료
화장실 도어 , 방 도어보수2개소 완료 
방 도어 보수완료</t>
    <phoneticPr fontId="11" type="noConversion"/>
  </si>
  <si>
    <t>블라인드 설치 완료
방도어 보수완료
뒤베란다 창고 문틀 설치작업
방충망7개소 완료</t>
    <phoneticPr fontId="11" type="noConversion"/>
  </si>
  <si>
    <t>206
703-4  
902-3</t>
    <phoneticPr fontId="9" type="noConversion"/>
  </si>
  <si>
    <t>뒤베란다 창고문 재설치 완료
방충망7개소 완료 
앞베란다 내.외부 실리콘 제거 및 재시공 완료</t>
    <phoneticPr fontId="11" type="noConversion"/>
  </si>
  <si>
    <t>501
401  
303</t>
    <phoneticPr fontId="9" type="noConversion"/>
  </si>
  <si>
    <t>현관문 도어 가스켓 교체 완료
현관문 도어 가스켓 교체 완료
방충망 7개소 완료</t>
    <phoneticPr fontId="11" type="noConversion"/>
  </si>
  <si>
    <t>문보수 1개소 완료, 방충망 7개소 완료
뒤베란다 천장 패임 보수 작업 완료
문보수 1개소 완료</t>
    <phoneticPr fontId="11" type="noConversion"/>
  </si>
  <si>
    <t>방충망 3개소 완료
화장실문 시트지 교체 완료
뒤베란다 벽면 및 바닥 크렉보수,실리콘 작업
문보수 1개소 완료</t>
    <phoneticPr fontId="11" type="noConversion"/>
  </si>
  <si>
    <t>걸레받이 파손 2개소 교체 완료
도어보수 2개소 보수완료
안방 문틀 보수 완료
방충망 3개소 교체 완료</t>
    <phoneticPr fontId="11" type="noConversion"/>
  </si>
  <si>
    <t>방충망 7개소 완료</t>
    <phoneticPr fontId="11" type="noConversion"/>
  </si>
  <si>
    <t>샘플&gt;</t>
    <phoneticPr fontId="11" type="noConversion"/>
  </si>
  <si>
    <t>일성</t>
    <phoneticPr fontId="11" type="noConversion"/>
  </si>
  <si>
    <t>3
(관리제외)</t>
    <phoneticPr fontId="11" type="noConversion"/>
  </si>
  <si>
    <t>1월1일</t>
    <phoneticPr fontId="11" type="noConversion"/>
  </si>
  <si>
    <t>14시30분</t>
    <phoneticPr fontId="11" type="noConversion"/>
  </si>
  <si>
    <t>1월2일</t>
    <phoneticPr fontId="11" type="noConversion"/>
  </si>
  <si>
    <t>15시30분</t>
    <phoneticPr fontId="11"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</si>
  <si>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</si>
  <si>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</si>
  <si>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</si>
  <si>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</si>
  <si>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</si>
  <si>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</si>
  <si>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일성건축</t>
    <phoneticPr fontId="11" type="noConversion"/>
  </si>
  <si>
    <t>비고</t>
    <phoneticPr fontId="9" type="noConversion"/>
  </si>
  <si>
    <t>근로자 
(직접 서명)</t>
    <phoneticPr fontId="11" type="noConversion"/>
  </si>
  <si>
    <t>자재 내역</t>
    <phoneticPr fontId="9" type="noConversion"/>
  </si>
  <si>
    <t>문보수용 엣지 
필름 구매(10매)
전동 대패날 교체(1set)</t>
    <phoneticPr fontId="9" type="noConversion"/>
  </si>
  <si>
    <t>화장실문 시트지 보수 1개소 완료
안방 걸레받이 들뜸 보수 완료
문보수1개소 완료
거실 걸레받이 2개소 교체 완료</t>
    <phoneticPr fontId="11" type="noConversion"/>
  </si>
  <si>
    <t>특별인부
(시공사 입력)</t>
    <phoneticPr fontId="9" type="noConversion"/>
  </si>
  <si>
    <t>누수 탐지(미래설비)
대기 인원 (일성건축) 
→ 씽크대 철거,원복 하지 않음</t>
    <phoneticPr fontId="11" type="noConversion"/>
  </si>
  <si>
    <t>화장실 도어 보수완료
방 도어 보수완료
화장실 도어 , 방 도어보수2개소 완료
화장실 도어 , 방 도어보수2개소 완료</t>
    <phoneticPr fontId="11" type="noConversion"/>
  </si>
  <si>
    <t>503-4
702-1 
206</t>
    <phoneticPr fontId="9" type="noConversion"/>
  </si>
  <si>
    <t>503
 501</t>
    <phoneticPr fontId="9" type="noConversion"/>
  </si>
  <si>
    <t xml:space="preserve">A </t>
  </si>
  <si>
    <t xml:space="preserve">A 
B </t>
  </si>
  <si>
    <t xml:space="preserve">A 
B 
8 </t>
  </si>
  <si>
    <t xml:space="preserve">8 
9 </t>
  </si>
  <si>
    <t xml:space="preserve">8 
5 </t>
  </si>
  <si>
    <t>작업시간(인당)</t>
    <phoneticPr fontId="9" type="noConversion"/>
  </si>
  <si>
    <t>전체 시간</t>
    <phoneticPr fontId="9" type="noConversion"/>
  </si>
  <si>
    <t>코킹재
(개)</t>
    <phoneticPr fontId="9" type="noConversion"/>
  </si>
  <si>
    <t>걸레받이
(m)</t>
    <phoneticPr fontId="9" type="noConversion"/>
  </si>
  <si>
    <t>일성건축</t>
    <phoneticPr fontId="9" type="noConversion"/>
  </si>
  <si>
    <t>A</t>
    <phoneticPr fontId="9" type="noConversion"/>
  </si>
  <si>
    <t>A
B</t>
    <phoneticPr fontId="9" type="noConversion"/>
  </si>
  <si>
    <t>903-4
701-5
503-5
401-3
303-5</t>
    <phoneticPr fontId="9" type="noConversion"/>
  </si>
  <si>
    <t>남해원</t>
    <phoneticPr fontId="9" type="noConversion"/>
  </si>
  <si>
    <t>303-5
901-4
704-4</t>
    <phoneticPr fontId="9" type="noConversion"/>
  </si>
  <si>
    <t>701-5
702-1
1002-2</t>
    <phoneticPr fontId="9" type="noConversion"/>
  </si>
  <si>
    <t>앞뒤 베란다 천장.벽면 들뜸보수 및 크랙 전체보수
앞뒤 베란다 창고 곰팡이 제거 및 천장 단열작업</t>
    <phoneticPr fontId="9" type="noConversion"/>
  </si>
  <si>
    <t>방 및 화장실 도어 보수
방 도어 보수
방 도어 보수
화장실 도어 보수
방 도어 보수</t>
    <phoneticPr fontId="9" type="noConversion"/>
  </si>
  <si>
    <t>화장실 도어 보수
화장실 도어 보수
방 및 화장실 도어 보수
버티컬 설치 완료</t>
    <phoneticPr fontId="9" type="noConversion"/>
  </si>
  <si>
    <t>화장실 우측 석고보드 교체
버티컬 설치 완료
화장실 우측 석고 보드 교체 완료
발코니 창문 우측벽 단열재 들뜸 보수</t>
    <phoneticPr fontId="9" type="noConversion"/>
  </si>
  <si>
    <t>화장실 좌측방 천장 누수 점검 및 보수
씽크대 상판 전체 실리콘 제거후 재설치 작업</t>
    <phoneticPr fontId="9" type="noConversion"/>
  </si>
  <si>
    <t>걸레받이 8군데 교체 완료
씽크대 상판 실리콘 제거후 재설치 작업
뒤베란다 벽면 크랙 보수 완료
화장실 벽면 모서리 4군데 실리콘 작업</t>
    <phoneticPr fontId="9" type="noConversion"/>
  </si>
  <si>
    <t>1차분 (정산 완료)</t>
    <phoneticPr fontId="9" type="noConversion"/>
  </si>
  <si>
    <t>L003</t>
  </si>
  <si>
    <t>M/D</t>
    <phoneticPr fontId="9" type="noConversion"/>
  </si>
  <si>
    <t>㎡</t>
  </si>
  <si>
    <t>열반사 단열재 (m2)</t>
    <phoneticPr fontId="9" type="noConversion"/>
  </si>
  <si>
    <t>석고보드 12.5t(매)</t>
    <phoneticPr fontId="9" type="noConversion"/>
  </si>
  <si>
    <t>블라인드
개소
(5㎡)</t>
    <phoneticPr fontId="9" type="noConversion"/>
  </si>
  <si>
    <t>이보드 23t
(m2)</t>
    <phoneticPr fontId="9" type="noConversion"/>
  </si>
  <si>
    <t>1.38
(m2)</t>
    <phoneticPr fontId="9" type="noConversion"/>
  </si>
  <si>
    <t>방화문 
가스켓 구매
(3세대)</t>
    <phoneticPr fontId="9" type="noConversion"/>
  </si>
  <si>
    <t>(5)
m2
금회이월</t>
    <phoneticPr fontId="11" type="noConversion"/>
  </si>
  <si>
    <t>(3.62)
m2
금회이월</t>
    <phoneticPr fontId="11" type="noConversion"/>
  </si>
  <si>
    <t>석고보드
(12.5T) 
2장</t>
    <phoneticPr fontId="9" type="noConversion"/>
  </si>
  <si>
    <t>이보드(23T) 
1장, 
열반사 단열재
2.5m2</t>
    <phoneticPr fontId="9" type="noConversion"/>
  </si>
  <si>
    <t>=&gt;금회 이월</t>
    <phoneticPr fontId="11" type="noConversion"/>
  </si>
  <si>
    <t xml:space="preserve"> 2
103</t>
    <phoneticPr fontId="9" type="noConversion"/>
  </si>
  <si>
    <t>108
303</t>
    <phoneticPr fontId="9" type="noConversion"/>
  </si>
  <si>
    <t>안방,작은방 코너 단열작업
화장실 벽타일 보수 완료
걸레받이 2개소 교체 완료
방충망 3개소 완료</t>
    <phoneticPr fontId="9" type="noConversion"/>
  </si>
  <si>
    <t>이보드(13T) 2장, 열반사 단열재 5.0m2</t>
    <phoneticPr fontId="9" type="noConversion"/>
  </si>
  <si>
    <t>103
9
2</t>
    <phoneticPr fontId="9" type="noConversion"/>
  </si>
  <si>
    <t>303
304
108</t>
    <phoneticPr fontId="9" type="noConversion"/>
  </si>
  <si>
    <t>씽크대 상판 실리콘 재코킹 작업 완료
창문 시트지 6개소 제거 완료
방충망 3개소 교체 완료
도어보수 2개소 완료
방충망 4개소 완료
빨래건조대 설치 완료</t>
    <phoneticPr fontId="9" type="noConversion"/>
  </si>
  <si>
    <t>누수 부분 도배</t>
    <phoneticPr fontId="9" type="noConversion"/>
  </si>
  <si>
    <t>도어 보수2개소 완료
씽크대 상판 실리콘 재코킹 작업 완료
앞베란다 외부샤시 바닥 실리콘 작업 완료
방충망 3개소 완료</t>
    <phoneticPr fontId="9" type="noConversion"/>
  </si>
  <si>
    <t xml:space="preserve"> 8
103</t>
    <phoneticPr fontId="9" type="noConversion"/>
  </si>
  <si>
    <t>401
204</t>
    <phoneticPr fontId="9" type="noConversion"/>
  </si>
  <si>
    <t>도어보수 1개소 완료
방충망 2개소 완료 
방충망 1개소 완료
작은방 커텐박스 아티론+이보드 작업 완료
작은방 창문 하단 실리콘 재시공 완료
걸레받이 3개소 교체 완료</t>
    <phoneticPr fontId="9" type="noConversion"/>
  </si>
  <si>
    <t>103
A
A
102</t>
    <phoneticPr fontId="9" type="noConversion"/>
  </si>
  <si>
    <t>204
701-6
303-1
205</t>
    <phoneticPr fontId="9" type="noConversion"/>
  </si>
  <si>
    <t>방충망 3개소 완료
도어보수 1개소 완료
화장실 좌측 석고보드 들뜸 교체 완료
화장실 도어 보수 완료
화장실 도어 보수 완료
씽크대 측판 교체 (이동원)</t>
    <phoneticPr fontId="9" type="noConversion"/>
  </si>
  <si>
    <t>3
(-0.09)
[감액]</t>
    <phoneticPr fontId="9" type="noConversion"/>
  </si>
  <si>
    <t xml:space="preserve"> A
B</t>
    <phoneticPr fontId="9" type="noConversion"/>
  </si>
  <si>
    <t xml:space="preserve"> 301-1
1001-3</t>
    <phoneticPr fontId="9" type="noConversion"/>
  </si>
  <si>
    <t>화장실 좌측,우측 석고보드 들뜸보수 2개소 완료
버티컬 교체 완료
벽단열재 들뜸 재시공 완료</t>
    <phoneticPr fontId="9" type="noConversion"/>
  </si>
  <si>
    <t>씽크대 상판 실리콘 재코킹
천장 곰팡이 제거
방충망 5개소 완료
앞뒤 베란다 전체 크랙 보수
화장실문 시트지 재시공</t>
    <phoneticPr fontId="9" type="noConversion"/>
  </si>
  <si>
    <t>기숙사 AB동 문보수용
엣지 필름 구매
(영수증 첨부)</t>
    <phoneticPr fontId="9" type="noConversion"/>
  </si>
  <si>
    <r>
      <t xml:space="preserve">앞뒤 베란다 전체 크랙 보수 완료
</t>
    </r>
    <r>
      <rPr>
        <sz val="15"/>
        <color theme="1"/>
        <rFont val="맑은 고딕"/>
        <family val="3"/>
        <charset val="129"/>
        <scheme val="minor"/>
      </rPr>
      <t>붙박이장 시트지 보수 3개소 완료</t>
    </r>
    <r>
      <rPr>
        <sz val="15"/>
        <rFont val="맑은 고딕"/>
        <family val="3"/>
        <charset val="129"/>
        <scheme val="minor"/>
      </rPr>
      <t xml:space="preserve">
도어 보수 3개소 완료</t>
    </r>
    <phoneticPr fontId="9" type="noConversion"/>
  </si>
  <si>
    <t>방충망 7개소 완료</t>
    <phoneticPr fontId="9" type="noConversion"/>
  </si>
  <si>
    <t>0</t>
    <phoneticPr fontId="9" type="noConversion"/>
  </si>
  <si>
    <t>뒤베란다 창고앞 외부샤시 천장 누수점검 및 실리콘
작업 완료
앞베란다 샤시 천장 실리콘 작업 완료
문보수 3개소 완료(합판들뜸 포함)
씽크대 상판 보수 완료
방충망 4개소 완료</t>
    <phoneticPr fontId="9" type="noConversion"/>
  </si>
  <si>
    <t>8
5</t>
    <phoneticPr fontId="9" type="noConversion"/>
  </si>
  <si>
    <t>209
204</t>
    <phoneticPr fontId="9" type="noConversion"/>
  </si>
  <si>
    <t>방충망 3개소 완료
뒤베란다 창고옆 벽면 창틀 누수점검및 실리콘 작업
앞베란다 외부샤시 하단 실리콘 작업 완료
문보수 2개소 완료
방충망 6개소 완료</t>
    <phoneticPr fontId="9" type="noConversion"/>
  </si>
  <si>
    <t>9
7</t>
    <phoneticPr fontId="9" type="noConversion"/>
  </si>
  <si>
    <t>302
405</t>
    <phoneticPr fontId="9" type="noConversion"/>
  </si>
  <si>
    <t>방충망 3개소 교체 완료
씽크대 상판 실리콘 제거 및 재코킹 작업 완료
앞,뒤 베란다 벽면 크렉 전체 보수 완료
도어 보수1개소 완료
걸레받이 1개소 교체 완료</t>
    <phoneticPr fontId="9" type="noConversion"/>
  </si>
  <si>
    <r>
      <rPr>
        <sz val="15"/>
        <color theme="1"/>
        <rFont val="맑은 고딕"/>
        <family val="3"/>
        <charset val="129"/>
        <scheme val="minor"/>
      </rPr>
      <t>신발장 시트지</t>
    </r>
    <r>
      <rPr>
        <sz val="15"/>
        <rFont val="맑은 고딕"/>
        <family val="3"/>
        <charset val="129"/>
        <scheme val="minor"/>
      </rPr>
      <t xml:space="preserve"> 제거 및 교체 완료
화장실 문측면 시트지 교체완료
씽크대 상판 실리콘 제거및 재코킹 작업 완료
방충망 2개소 교체 완료
뒤베란다 크렉 보수 완료</t>
    </r>
    <phoneticPr fontId="9" type="noConversion"/>
  </si>
  <si>
    <t>101
2</t>
    <phoneticPr fontId="9" type="noConversion"/>
  </si>
  <si>
    <t>204
306</t>
    <phoneticPr fontId="9" type="noConversion"/>
  </si>
  <si>
    <t>걸레받이 6개소 교체 완료
씽크대 상판 실리콘 제거 및 재코킹 작업 완료
방충망 3개소 교체 완료
방충망 2개소 교체 완료
씽크대 상판 실리콘 제거 및 재코킹 작업 완료</t>
    <phoneticPr fontId="9" type="noConversion"/>
  </si>
  <si>
    <t>306
106</t>
    <phoneticPr fontId="9" type="noConversion"/>
  </si>
  <si>
    <r>
      <t xml:space="preserve">도어보수 1개소 완료
</t>
    </r>
    <r>
      <rPr>
        <sz val="15"/>
        <color theme="1"/>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9" type="noConversion"/>
  </si>
  <si>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</si>
  <si>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특별인부(</t>
    <phoneticPr fontId="9" type="noConversion"/>
  </si>
  <si>
    <t>M020450310340103</t>
  </si>
  <si>
    <t>방충망 AL</t>
  </si>
  <si>
    <t>MFA, 1,000×1,000㎜, AL도장</t>
  </si>
  <si>
    <t>2차분 (정산 완료)</t>
    <phoneticPr fontId="9" type="noConversion"/>
  </si>
  <si>
    <t>씽크대
보수</t>
    <phoneticPr fontId="9" type="noConversion"/>
  </si>
  <si>
    <t>빨레
건조대</t>
    <phoneticPr fontId="9" type="noConversion"/>
  </si>
  <si>
    <t>신발장
필름 (6m2)</t>
    <phoneticPr fontId="9" type="noConversion"/>
  </si>
  <si>
    <t>0.3
(2.7)
전회이월</t>
    <phoneticPr fontId="9" type="noConversion"/>
  </si>
  <si>
    <t>빨래건조대 1개(설비 업체 미지정으로 대응)
(영수증 첨부)</t>
    <phoneticPr fontId="9" type="noConversion"/>
  </si>
  <si>
    <t>소 계</t>
    <phoneticPr fontId="9" type="noConversion"/>
  </si>
  <si>
    <t>102-205 씽크대 
가스렌지 다이 양측판 교체
 (세금계산서 첨부)</t>
    <phoneticPr fontId="9" type="noConversion"/>
  </si>
  <si>
    <t>문보수용 
경첩피스 구매
(영수증 첨부)</t>
    <phoneticPr fontId="9" type="noConversion"/>
  </si>
  <si>
    <t>=&gt;금회 정산</t>
    <phoneticPr fontId="11" type="noConversion"/>
  </si>
  <si>
    <t>3차분 (정산 완료)</t>
    <phoneticPr fontId="9" type="noConversion"/>
  </si>
  <si>
    <t>방충망
(㎡=개)</t>
    <phoneticPr fontId="9" type="noConversion"/>
  </si>
  <si>
    <r>
      <rPr>
        <sz val="28"/>
        <color theme="1"/>
        <rFont val="맑은 고딕"/>
        <family val="3"/>
        <charset val="129"/>
        <scheme val="minor"/>
      </rPr>
      <t xml:space="preserve">3차 정산시
이월(2.91개)
</t>
    </r>
    <r>
      <rPr>
        <b/>
        <sz val="28"/>
        <color rgb="FFFF0000"/>
        <rFont val="맑은 고딕"/>
        <family val="3"/>
        <charset val="129"/>
        <scheme val="minor"/>
      </rPr>
      <t>4차 정산시
이월(2.62개</t>
    </r>
    <r>
      <rPr>
        <b/>
        <sz val="28"/>
        <rFont val="맑은 고딕"/>
        <family val="3"/>
        <charset val="129"/>
        <scheme val="minor"/>
      </rPr>
      <t>)</t>
    </r>
    <phoneticPr fontId="9" type="noConversion"/>
  </si>
  <si>
    <t xml:space="preserve"> 공사명 : 기숙사 및 사택 긴급 보수작업(건축)-4차</t>
    <phoneticPr fontId="15" type="noConversion"/>
  </si>
  <si>
    <t>4차분 (정산완료)</t>
    <phoneticPr fontId="9" type="noConversion"/>
  </si>
  <si>
    <t xml:space="preserve"> 견적일 : 2025년  08월 20일</t>
    <phoneticPr fontId="15" type="noConversion"/>
  </si>
  <si>
    <t>절감</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</si>
</sst>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00_);[Red]\(0.000\)"/>
  </numFmts>
  <fonts count="11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color indexed="8"/>
      <name val="Malgun Gothic"/>
      <family val="3"/>
      <charset val="129"/>
    </font>
    <font>
      <sz val="20"/>
      <color rgb="FFFF0000"/>
      <name val="LG스마트체 Regular"/>
      <family val="3"/>
      <charset val="129"/>
    </font>
    <font>
      <b/>
      <sz val="20"/>
      <color rgb="FFFF00FF"/>
      <name val="LG스마트체 Regular"/>
      <family val="3"/>
      <charset val="129"/>
    </font>
    <font>
      <b/>
      <sz val="22"/>
      <color rgb="FFFF00FF"/>
      <name val="맑은 고딕"/>
      <family val="3"/>
      <charset val="129"/>
      <scheme val="minor"/>
    </font>
    <font>
      <b/>
      <sz val="22"/>
      <name val="맑은 고딕"/>
      <family val="3"/>
      <charset val="129"/>
      <scheme val="minor"/>
    </font>
    <font>
      <sz val="20"/>
      <color theme="1"/>
      <name val="맑은 고딕"/>
      <family val="2"/>
      <charset val="129"/>
      <scheme val="minor"/>
    </font>
    <font>
      <b/>
      <sz val="22"/>
      <color theme="0" tint="-0.34998626667073579"/>
      <name val="맑은 고딕"/>
      <family val="3"/>
      <charset val="129"/>
      <scheme val="minor"/>
    </font>
    <font>
      <b/>
      <sz val="15"/>
      <color theme="1"/>
      <name val="맑은 고딕"/>
      <family val="3"/>
      <charset val="129"/>
      <scheme val="minor"/>
    </font>
    <font>
      <sz val="15"/>
      <color rgb="FFFF00FF"/>
      <name val="맑은 고딕"/>
      <family val="3"/>
      <charset val="129"/>
      <scheme val="minor"/>
    </font>
    <font>
      <b/>
      <sz val="15"/>
      <color rgb="FFFF0000"/>
      <name val="맑은 고딕"/>
      <family val="3"/>
      <charset val="129"/>
      <scheme val="minor"/>
    </font>
    <font>
      <b/>
      <sz val="22"/>
      <color theme="1"/>
      <name val="맑은 고딕"/>
      <family val="3"/>
      <charset val="129"/>
      <scheme val="minor"/>
    </font>
    <font>
      <sz val="22"/>
      <name val="맑은 고딕"/>
      <family val="3"/>
      <charset val="129"/>
      <scheme val="minor"/>
    </font>
    <font>
      <b/>
      <sz val="14"/>
      <color theme="1" tint="0.499984740745262"/>
      <name val="맑은 고딕"/>
      <family val="3"/>
      <charset val="129"/>
      <scheme val="minor"/>
    </font>
    <font>
      <sz val="22"/>
      <color theme="0" tint="-0.34998626667073579"/>
      <name val="맑은 고딕"/>
      <family val="3"/>
      <charset val="129"/>
      <scheme val="minor"/>
    </font>
    <font>
      <b/>
      <sz val="22"/>
      <color theme="0" tint="-0.14999847407452621"/>
      <name val="맑은 고딕"/>
      <family val="3"/>
      <charset val="129"/>
      <scheme val="minor"/>
    </font>
    <font>
      <sz val="18"/>
      <color theme="0" tint="-0.499984740745262"/>
      <name val="LG스마트체 Regular"/>
      <family val="3"/>
      <charset val="129"/>
    </font>
    <font>
      <b/>
      <sz val="20"/>
      <color theme="0" tint="-0.499984740745262"/>
      <name val="LG스마트체 Regular"/>
      <family val="3"/>
      <charset val="129"/>
    </font>
    <font>
      <sz val="15"/>
      <color theme="1"/>
      <name val="맑은 고딕"/>
      <family val="3"/>
      <charset val="129"/>
      <scheme val="minor"/>
    </font>
    <font>
      <b/>
      <sz val="17"/>
      <name val="맑은 고딕"/>
      <family val="3"/>
      <charset val="129"/>
      <scheme val="minor"/>
    </font>
    <font>
      <sz val="14"/>
      <color theme="1"/>
      <name val="맑은 고딕"/>
      <family val="3"/>
      <charset val="129"/>
      <scheme val="minor"/>
    </font>
    <font>
      <sz val="10"/>
      <name val="HY견고딕"/>
      <family val="1"/>
      <charset val="129"/>
    </font>
    <font>
      <sz val="17"/>
      <color theme="1"/>
      <name val="맑은 고딕"/>
      <family val="3"/>
      <charset val="129"/>
      <scheme val="minor"/>
    </font>
    <font>
      <b/>
      <sz val="17"/>
      <color theme="1"/>
      <name val="LG스마트체 Regular"/>
      <family val="3"/>
      <charset val="129"/>
    </font>
    <font>
      <b/>
      <sz val="16"/>
      <color rgb="FFFF00FF"/>
      <name val="LG스마트체 Regular"/>
      <family val="3"/>
      <charset val="129"/>
    </font>
    <font>
      <sz val="30"/>
      <name val="맑은 고딕"/>
      <family val="3"/>
      <charset val="129"/>
      <scheme val="minor"/>
    </font>
    <font>
      <sz val="10"/>
      <color rgb="FFFF0000"/>
      <name val="LG스마트체 Regular"/>
      <family val="3"/>
      <charset val="129"/>
    </font>
    <font>
      <sz val="26"/>
      <color rgb="FFFF0000"/>
      <name val="LG스마트체 Regular"/>
      <family val="3"/>
      <charset val="129"/>
    </font>
    <font>
      <sz val="22"/>
      <color theme="0" tint="-0.14999847407452621"/>
      <name val="맑은 고딕"/>
      <family val="3"/>
      <charset val="129"/>
      <scheme val="minor"/>
    </font>
    <font>
      <b/>
      <sz val="22"/>
      <color theme="0" tint="-0.249977111117893"/>
      <name val="맑은 고딕"/>
      <family val="3"/>
      <charset val="129"/>
      <scheme val="minor"/>
    </font>
    <font>
      <sz val="22"/>
      <color theme="1" tint="0.499984740745262"/>
      <name val="맑은 고딕"/>
      <family val="3"/>
      <charset val="129"/>
      <scheme val="minor"/>
    </font>
    <font>
      <sz val="22"/>
      <color theme="1"/>
      <name val="맑은 고딕"/>
      <family val="3"/>
      <charset val="129"/>
      <scheme val="minor"/>
    </font>
    <font>
      <sz val="22"/>
      <color indexed="8"/>
      <name val="맑은 고딕"/>
      <family val="3"/>
      <charset val="129"/>
      <scheme val="minor"/>
    </font>
    <font>
      <b/>
      <sz val="15"/>
      <color theme="0" tint="-0.499984740745262"/>
      <name val="맑은 고딕"/>
      <family val="3"/>
      <charset val="129"/>
      <scheme val="minor"/>
    </font>
    <font>
      <b/>
      <sz val="28"/>
      <color rgb="FF0000FF"/>
      <name val="맑은 고딕"/>
      <family val="3"/>
      <charset val="129"/>
      <scheme val="minor"/>
    </font>
    <font>
      <b/>
      <sz val="28"/>
      <color theme="1"/>
      <name val="맑은 고딕"/>
      <family val="3"/>
      <charset val="129"/>
      <scheme val="minor"/>
    </font>
    <font>
      <b/>
      <sz val="28"/>
      <color rgb="FFFF00FF"/>
      <name val="맑은 고딕"/>
      <family val="3"/>
      <charset val="129"/>
      <scheme val="minor"/>
    </font>
    <font>
      <b/>
      <sz val="28"/>
      <name val="맑은 고딕"/>
      <family val="3"/>
      <charset val="129"/>
      <scheme val="minor"/>
    </font>
    <font>
      <sz val="10"/>
      <color rgb="FFFF00FF"/>
      <name val="LG스마트체 Regular"/>
      <family val="3"/>
      <charset val="129"/>
    </font>
    <font>
      <sz val="26"/>
      <color rgb="FFFF00FF"/>
      <name val="LG스마트체 Regular"/>
      <family val="3"/>
      <charset val="129"/>
    </font>
    <font>
      <b/>
      <sz val="15"/>
      <color rgb="FFFF00FF"/>
      <name val="Arial"/>
      <family val="2"/>
    </font>
    <font>
      <b/>
      <sz val="14"/>
      <color rgb="FFFF00FF"/>
      <name val="LG스마트체 Regular"/>
      <family val="3"/>
      <charset val="129"/>
    </font>
    <font>
      <b/>
      <sz val="19"/>
      <color rgb="FFFF00FF"/>
      <name val="LG스마트체 Regular"/>
      <family val="3"/>
      <charset val="129"/>
    </font>
    <font>
      <b/>
      <sz val="20"/>
      <name val="맑은 고딕"/>
      <family val="3"/>
      <charset val="129"/>
      <scheme val="minor"/>
    </font>
    <font>
      <sz val="12"/>
      <name val="LG스마트체 Regular"/>
      <family val="3"/>
      <charset val="129"/>
    </font>
    <font>
      <sz val="20"/>
      <name val="맑은 고딕"/>
      <family val="3"/>
      <charset val="129"/>
      <scheme val="minor"/>
    </font>
    <font>
      <sz val="23"/>
      <name val="맑은 고딕"/>
      <family val="3"/>
      <charset val="129"/>
      <scheme val="minor"/>
    </font>
    <font>
      <b/>
      <sz val="23"/>
      <name val="맑은 고딕"/>
      <family val="3"/>
      <charset val="129"/>
      <scheme val="minor"/>
    </font>
    <font>
      <sz val="20"/>
      <color indexed="8"/>
      <name val="맑은 고딕"/>
      <family val="2"/>
      <scheme val="minor"/>
    </font>
    <font>
      <sz val="28"/>
      <name val="맑은 고딕"/>
      <family val="3"/>
      <charset val="129"/>
      <scheme val="minor"/>
    </font>
    <font>
      <sz val="28"/>
      <color theme="1"/>
      <name val="맑은 고딕"/>
      <family val="3"/>
      <charset val="129"/>
      <scheme val="minor"/>
    </font>
    <font>
      <b/>
      <sz val="28"/>
      <color rgb="FFFF0000"/>
      <name val="맑은 고딕"/>
      <family val="3"/>
      <charset val="129"/>
      <scheme val="minor"/>
    </font>
    <font>
      <sz val="20"/>
      <color theme="0" tint="-0.249977111117893"/>
      <name val="맑은 고딕"/>
      <family val="3"/>
      <charset val="129"/>
      <scheme val="minor"/>
    </font>
    <font>
      <b/>
      <sz val="20"/>
      <color theme="0" tint="-0.249977111117893"/>
      <name val="맑은 고딕"/>
      <family val="3"/>
      <charset val="129"/>
      <scheme val="minor"/>
    </font>
    <font>
      <b/>
      <sz val="28"/>
      <color theme="0" tint="-0.249977111117893"/>
      <name val="맑은 고딕"/>
      <family val="3"/>
      <charset val="129"/>
      <scheme val="minor"/>
    </font>
    <font>
      <b/>
      <sz val="23"/>
      <color theme="0" tint="-0.249977111117893"/>
      <name val="맑은 고딕"/>
      <family val="3"/>
      <charset val="129"/>
      <scheme val="minor"/>
    </font>
    <font>
      <sz val="23"/>
      <color theme="0" tint="-0.249977111117893"/>
      <name val="맑은 고딕"/>
      <family val="3"/>
      <charset val="129"/>
      <scheme val="minor"/>
    </font>
    <font>
      <b/>
      <sz val="30"/>
      <color rgb="FFFF00FF"/>
      <name val="맑은 고딕"/>
      <family val="3"/>
      <charset val="129"/>
      <scheme val="minor"/>
    </font>
    <font>
      <b/>
      <sz val="45"/>
      <color rgb="FF0000FF"/>
      <name val="맑은 고딕"/>
      <family val="3"/>
      <charset val="129"/>
      <scheme val="minor"/>
    </font>
  </fonts>
  <fills count="2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lightUp">
        <fgColor theme="0" tint="-0.14996795556505021"/>
        <bgColor theme="0"/>
      </patternFill>
    </fill>
    <fill>
      <patternFill patternType="lightUp">
        <fgColor theme="0" tint="-0.499984740745262"/>
        <bgColor theme="9" tint="0.79998168889431442"/>
      </patternFill>
    </fill>
    <fill>
      <patternFill patternType="lightUp">
        <fgColor theme="0" tint="-0.499984740745262"/>
        <bgColor rgb="FFFFFF00"/>
      </patternFill>
    </fill>
    <fill>
      <patternFill patternType="solid">
        <fgColor rgb="FFFF0000"/>
        <bgColor indexed="64"/>
      </patternFill>
    </fill>
    <fill>
      <patternFill patternType="solid">
        <fgColor rgb="FFFF00FF"/>
        <bgColor indexed="64"/>
      </patternFill>
    </fill>
    <fill>
      <patternFill patternType="solid">
        <fgColor theme="9" tint="0.59999389629810485"/>
        <bgColor indexed="64"/>
      </patternFill>
    </fill>
  </fills>
  <borders count="111">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diagonal/>
    </border>
    <border>
      <left style="thin">
        <color theme="1" tint="0.499984740745262"/>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thin">
        <color indexed="64"/>
      </right>
      <top style="thin">
        <color theme="0" tint="-0.499984740745262"/>
      </top>
      <bottom style="medium">
        <color indexed="64"/>
      </bottom>
      <diagonal/>
    </border>
    <border>
      <left style="thin">
        <color theme="0" tint="-0.24994659260841701"/>
      </left>
      <right style="thin">
        <color theme="0" tint="-0.24994659260841701"/>
      </right>
      <top/>
      <bottom style="medium">
        <color indexed="64"/>
      </bottom>
      <diagonal/>
    </border>
    <border>
      <left/>
      <right/>
      <top style="medium">
        <color indexed="64"/>
      </top>
      <bottom/>
      <diagonal/>
    </border>
    <border>
      <left/>
      <right/>
      <top style="thin">
        <color indexed="64"/>
      </top>
      <bottom style="medium">
        <color indexed="64"/>
      </bottom>
      <diagonal/>
    </border>
    <border>
      <left/>
      <right style="thin">
        <color indexed="64"/>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indexed="64"/>
      </right>
      <top style="medium">
        <color indexed="64"/>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medium">
        <color indexed="64"/>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style="thick">
        <color theme="0" tint="-0.499984740745262"/>
      </left>
      <right style="thin">
        <color theme="0" tint="-0.24994659260841701"/>
      </right>
      <top style="thick">
        <color theme="0" tint="-0.499984740745262"/>
      </top>
      <bottom style="thin">
        <color theme="0" tint="-0.24994659260841701"/>
      </bottom>
      <diagonal/>
    </border>
    <border>
      <left/>
      <right style="thin">
        <color theme="0" tint="-0.24994659260841701"/>
      </right>
      <top style="thick">
        <color theme="0" tint="-0.499984740745262"/>
      </top>
      <bottom style="thin">
        <color theme="0" tint="-0.24994659260841701"/>
      </bottom>
      <diagonal/>
    </border>
    <border>
      <left style="thin">
        <color theme="0" tint="-0.24994659260841701"/>
      </left>
      <right style="thin">
        <color theme="0" tint="-0.24994659260841701"/>
      </right>
      <top style="thick">
        <color theme="0" tint="-0.499984740745262"/>
      </top>
      <bottom style="thin">
        <color theme="0" tint="-0.24994659260841701"/>
      </bottom>
      <diagonal/>
    </border>
    <border>
      <left style="thin">
        <color theme="0" tint="-0.24994659260841701"/>
      </left>
      <right style="thick">
        <color theme="0" tint="-0.499984740745262"/>
      </right>
      <top style="thick">
        <color theme="0" tint="-0.499984740745262"/>
      </top>
      <bottom style="thin">
        <color theme="0" tint="-0.24994659260841701"/>
      </bottom>
      <diagonal/>
    </border>
    <border>
      <left style="thick">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theme="0" tint="-0.499984740745262"/>
      </right>
      <top style="thin">
        <color theme="0" tint="-0.24994659260841701"/>
      </top>
      <bottom style="thin">
        <color theme="0" tint="-0.24994659260841701"/>
      </bottom>
      <diagonal/>
    </border>
    <border>
      <left style="thick">
        <color theme="0" tint="-0.499984740745262"/>
      </left>
      <right style="thin">
        <color theme="0" tint="-0.24994659260841701"/>
      </right>
      <top style="thin">
        <color theme="0" tint="-0.24994659260841701"/>
      </top>
      <bottom style="thick">
        <color theme="0" tint="-0.499984740745262"/>
      </bottom>
      <diagonal/>
    </border>
    <border>
      <left/>
      <right style="thin">
        <color theme="0" tint="-0.24994659260841701"/>
      </right>
      <top style="thin">
        <color theme="0" tint="-0.24994659260841701"/>
      </top>
      <bottom style="thick">
        <color theme="0" tint="-0.499984740745262"/>
      </bottom>
      <diagonal/>
    </border>
    <border>
      <left style="thin">
        <color theme="0" tint="-0.24994659260841701"/>
      </left>
      <right style="thin">
        <color theme="0" tint="-0.24994659260841701"/>
      </right>
      <top style="thin">
        <color theme="0" tint="-0.24994659260841701"/>
      </top>
      <bottom style="thick">
        <color theme="0" tint="-0.499984740745262"/>
      </bottom>
      <diagonal/>
    </border>
    <border>
      <left style="thin">
        <color theme="0" tint="-0.24994659260841701"/>
      </left>
      <right style="thick">
        <color theme="0" tint="-0.499984740745262"/>
      </right>
      <top style="thin">
        <color theme="0" tint="-0.24994659260841701"/>
      </top>
      <bottom style="thick">
        <color theme="0" tint="-0.499984740745262"/>
      </bottom>
      <diagonal/>
    </border>
    <border>
      <left style="medium">
        <color indexed="64"/>
      </left>
      <right/>
      <top style="medium">
        <color indexed="64"/>
      </top>
      <bottom style="medium">
        <color indexed="64"/>
      </bottom>
      <diagonal/>
    </border>
    <border>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style="thin">
        <color theme="0" tint="-0.24994659260841701"/>
      </right>
      <top style="medium">
        <color auto="1"/>
      </top>
      <bottom/>
      <diagonal/>
    </border>
    <border>
      <left style="thin">
        <color theme="0" tint="-0.24994659260841701"/>
      </left>
      <right/>
      <top style="medium">
        <color auto="1"/>
      </top>
      <bottom/>
      <diagonal/>
    </border>
    <border>
      <left style="thin">
        <color theme="0" tint="-0.24994659260841701"/>
      </left>
      <right style="medium">
        <color auto="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diagonal/>
    </border>
    <border>
      <left style="thin">
        <color theme="0" tint="-0.24994659260841701"/>
      </left>
      <right style="medium">
        <color auto="1"/>
      </right>
      <top/>
      <bottom style="thin">
        <color theme="0" tint="-0.24994659260841701"/>
      </bottom>
      <diagonal/>
    </border>
    <border>
      <left style="thick">
        <color rgb="FFFF0000"/>
      </left>
      <right style="thick">
        <color rgb="FFFF0000"/>
      </right>
      <top style="thick">
        <color rgb="FFFF0000"/>
      </top>
      <bottom style="thick">
        <color rgb="FFFF0000"/>
      </bottom>
      <diagonal/>
    </border>
    <border>
      <left style="thick">
        <color theme="0" tint="-0.499984740745262"/>
      </left>
      <right style="thick">
        <color theme="0" tint="-0.499984740745262"/>
      </right>
      <top style="thick">
        <color theme="0" tint="-0.499984740745262"/>
      </top>
      <bottom style="thin">
        <color theme="0" tint="-0.24994659260841701"/>
      </bottom>
      <diagonal/>
    </border>
    <border>
      <left style="thick">
        <color theme="0" tint="-0.499984740745262"/>
      </left>
      <right style="thick">
        <color theme="0" tint="-0.499984740745262"/>
      </right>
      <top style="thin">
        <color theme="0" tint="-0.24994659260841701"/>
      </top>
      <bottom style="thick">
        <color theme="0" tint="-0.499984740745262"/>
      </bottom>
      <diagonal/>
    </border>
    <border>
      <left style="thick">
        <color theme="0" tint="-0.499984740745262"/>
      </left>
      <right style="thick">
        <color theme="0" tint="-0.499984740745262"/>
      </right>
      <top style="thin">
        <color theme="0" tint="-0.24994659260841701"/>
      </top>
      <bottom style="thin">
        <color theme="0" tint="-0.24994659260841701"/>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style="thick">
        <color theme="0" tint="-0.499984740745262"/>
      </top>
      <bottom style="thin">
        <color theme="0" tint="-0.24994659260841701"/>
      </bottom>
      <diagonal/>
    </border>
    <border>
      <left style="thick">
        <color theme="0" tint="-0.499984740745262"/>
      </left>
      <right/>
      <top style="thin">
        <color theme="0" tint="-0.24994659260841701"/>
      </top>
      <bottom style="thin">
        <color theme="0" tint="-0.24994659260841701"/>
      </bottom>
      <diagonal/>
    </border>
    <border>
      <left style="thick">
        <color theme="0" tint="-0.499984740745262"/>
      </left>
      <right/>
      <top/>
      <bottom style="thick">
        <color theme="0" tint="-0.499984740745262"/>
      </bottom>
      <diagonal/>
    </border>
  </borders>
  <cellStyleXfs count="26">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177" fontId="1" fillId="0" borderId="0" applyFont="0" applyFill="0" applyBorder="0" applyAlignment="0" applyProtection="0">
      <alignment vertical="center"/>
    </xf>
    <xf numFmtId="0" fontId="1" fillId="0" borderId="0">
      <alignment vertical="center"/>
    </xf>
  </cellStyleXfs>
  <cellXfs count="461">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4" xfId="6" applyFont="1" applyFill="1" applyBorder="1" applyAlignment="1">
      <alignment vertical="center"/>
    </xf>
    <xf numFmtId="0" fontId="26" fillId="4" borderId="14" xfId="6" applyFont="1" applyFill="1" applyBorder="1" applyAlignment="1">
      <alignment horizontal="center" vertical="center"/>
    </xf>
    <xf numFmtId="178" fontId="26" fillId="4"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177" fontId="29" fillId="0" borderId="0" xfId="0" applyNumberFormat="1" applyFont="1">
      <alignment vertical="center"/>
    </xf>
    <xf numFmtId="0" fontId="26" fillId="0" borderId="0" xfId="0" applyFont="1">
      <alignment vertical="center"/>
    </xf>
    <xf numFmtId="0" fontId="27" fillId="4" borderId="0" xfId="0" applyFont="1" applyFill="1">
      <alignment vertical="center"/>
    </xf>
    <xf numFmtId="0" fontId="31" fillId="0" borderId="0" xfId="22" applyFont="1">
      <alignment vertical="center"/>
    </xf>
    <xf numFmtId="0" fontId="32" fillId="0" borderId="0" xfId="22" quotePrefix="1" applyFont="1" applyAlignment="1">
      <alignment vertical="center" wrapText="1"/>
    </xf>
    <xf numFmtId="0" fontId="31" fillId="0" borderId="0" xfId="22" applyFont="1" applyAlignment="1">
      <alignment horizontal="center" vertical="center"/>
    </xf>
    <xf numFmtId="0" fontId="40" fillId="10" borderId="37" xfId="22" applyFont="1" applyFill="1" applyBorder="1" applyAlignment="1">
      <alignment horizontal="center" vertical="center"/>
    </xf>
    <xf numFmtId="0" fontId="40" fillId="10" borderId="52" xfId="22" applyFont="1" applyFill="1" applyBorder="1" applyAlignment="1">
      <alignment horizontal="center" vertical="center"/>
    </xf>
    <xf numFmtId="0" fontId="40" fillId="10" borderId="53" xfId="22" applyFont="1" applyFill="1" applyBorder="1" applyAlignment="1">
      <alignment horizontal="center" vertical="center"/>
    </xf>
    <xf numFmtId="0" fontId="40" fillId="10" borderId="51" xfId="22" applyFont="1" applyFill="1" applyBorder="1" applyAlignment="1">
      <alignment horizontal="center" vertical="center"/>
    </xf>
    <xf numFmtId="0" fontId="30" fillId="0" borderId="0" xfId="22" applyFont="1" applyAlignment="1">
      <alignment horizontal="center" vertical="center"/>
    </xf>
    <xf numFmtId="0" fontId="33" fillId="0" borderId="0" xfId="22" applyFont="1" applyAlignment="1">
      <alignment horizontal="center" vertical="center"/>
    </xf>
    <xf numFmtId="0" fontId="2" fillId="0" borderId="0" xfId="22">
      <alignment vertical="center"/>
    </xf>
    <xf numFmtId="0" fontId="35" fillId="0" borderId="33" xfId="22" applyFont="1" applyBorder="1" applyAlignment="1">
      <alignment horizontal="center" vertical="center"/>
    </xf>
    <xf numFmtId="0" fontId="36" fillId="0" borderId="30" xfId="22" applyFont="1" applyBorder="1" applyAlignment="1">
      <alignment horizontal="center" vertical="center" wrapText="1"/>
    </xf>
    <xf numFmtId="0" fontId="35" fillId="0" borderId="30" xfId="22" applyFont="1" applyBorder="1" applyAlignment="1">
      <alignment horizontal="center" vertical="center" wrapText="1"/>
    </xf>
    <xf numFmtId="0" fontId="35" fillId="0" borderId="30" xfId="22" applyFont="1" applyBorder="1" applyAlignment="1">
      <alignment horizontal="center" vertical="center"/>
    </xf>
    <xf numFmtId="0" fontId="35" fillId="0" borderId="34" xfId="22" applyFont="1" applyBorder="1" applyAlignment="1">
      <alignment horizontal="center" vertical="center"/>
    </xf>
    <xf numFmtId="184" fontId="38" fillId="0" borderId="14" xfId="22" applyNumberFormat="1" applyFont="1" applyBorder="1" applyAlignment="1">
      <alignment horizontal="center" vertical="center"/>
    </xf>
    <xf numFmtId="0" fontId="36" fillId="0" borderId="14" xfId="22" applyFont="1" applyBorder="1" applyAlignment="1">
      <alignment horizontal="center" vertical="center" wrapText="1"/>
    </xf>
    <xf numFmtId="0" fontId="35" fillId="0" borderId="14" xfId="22" applyFont="1" applyBorder="1" applyAlignment="1">
      <alignment horizontal="center" vertical="center" wrapText="1"/>
    </xf>
    <xf numFmtId="0" fontId="35" fillId="0" borderId="14" xfId="22" applyFont="1" applyBorder="1" applyAlignment="1">
      <alignment horizontal="center" vertical="center"/>
    </xf>
    <xf numFmtId="0" fontId="34" fillId="4" borderId="32" xfId="22" applyFont="1" applyFill="1" applyBorder="1" applyAlignment="1">
      <alignment horizontal="center" vertical="center" wrapText="1"/>
    </xf>
    <xf numFmtId="0" fontId="34" fillId="4" borderId="32" xfId="22" applyFont="1" applyFill="1" applyBorder="1" applyAlignment="1">
      <alignment horizontal="center" vertical="center"/>
    </xf>
    <xf numFmtId="0" fontId="35" fillId="0" borderId="56" xfId="22" applyFont="1" applyBorder="1" applyAlignment="1">
      <alignment horizontal="center" vertical="center"/>
    </xf>
    <xf numFmtId="0" fontId="36" fillId="0" borderId="57" xfId="22" applyFont="1" applyBorder="1" applyAlignment="1">
      <alignment horizontal="center" vertical="center" wrapText="1"/>
    </xf>
    <xf numFmtId="0" fontId="35" fillId="0" borderId="57" xfId="22" applyFont="1" applyBorder="1" applyAlignment="1">
      <alignment horizontal="center" vertical="center" wrapText="1"/>
    </xf>
    <xf numFmtId="0" fontId="35" fillId="0" borderId="57" xfId="22" applyFont="1" applyBorder="1" applyAlignment="1">
      <alignment horizontal="center" vertical="center"/>
    </xf>
    <xf numFmtId="0" fontId="34" fillId="4" borderId="58" xfId="22" applyFont="1" applyFill="1" applyBorder="1" applyAlignment="1">
      <alignment horizontal="center" vertical="center" wrapText="1"/>
    </xf>
    <xf numFmtId="0" fontId="34" fillId="4" borderId="59" xfId="22" applyFont="1" applyFill="1" applyBorder="1" applyAlignment="1">
      <alignment horizontal="center" vertical="center"/>
    </xf>
    <xf numFmtId="0" fontId="34" fillId="4" borderId="60" xfId="22" applyFont="1" applyFill="1" applyBorder="1" applyAlignment="1">
      <alignment horizontal="center" vertical="center"/>
    </xf>
    <xf numFmtId="0" fontId="44" fillId="12" borderId="34" xfId="22" applyFont="1" applyFill="1" applyBorder="1" applyAlignment="1">
      <alignment horizontal="center" vertical="center"/>
    </xf>
    <xf numFmtId="186" fontId="44" fillId="12" borderId="14" xfId="22" applyNumberFormat="1" applyFont="1" applyFill="1" applyBorder="1" applyAlignment="1">
      <alignment horizontal="center" vertical="center"/>
    </xf>
    <xf numFmtId="20" fontId="44" fillId="12" borderId="14" xfId="22" applyNumberFormat="1" applyFont="1" applyFill="1" applyBorder="1" applyAlignment="1">
      <alignment horizontal="center" vertical="center"/>
    </xf>
    <xf numFmtId="20" fontId="45" fillId="14" borderId="14" xfId="22" applyNumberFormat="1" applyFont="1" applyFill="1" applyBorder="1" applyAlignment="1">
      <alignment horizontal="center" vertical="center"/>
    </xf>
    <xf numFmtId="184" fontId="37" fillId="12" borderId="14" xfId="22" applyNumberFormat="1" applyFont="1" applyFill="1" applyBorder="1" applyAlignment="1">
      <alignment horizontal="center" vertical="center"/>
    </xf>
    <xf numFmtId="0" fontId="37" fillId="12" borderId="14" xfId="22" applyFont="1" applyFill="1" applyBorder="1" applyAlignment="1">
      <alignment horizontal="center" vertical="center"/>
    </xf>
    <xf numFmtId="0" fontId="44" fillId="12" borderId="14" xfId="22" applyFont="1" applyFill="1" applyBorder="1" applyAlignment="1">
      <alignment horizontal="center" vertical="center"/>
    </xf>
    <xf numFmtId="0" fontId="37" fillId="12" borderId="14" xfId="22" applyFont="1" applyFill="1" applyBorder="1" applyAlignment="1">
      <alignment vertical="center" wrapText="1"/>
    </xf>
    <xf numFmtId="184" fontId="38" fillId="0" borderId="63" xfId="22" applyNumberFormat="1" applyFont="1" applyBorder="1" applyAlignment="1">
      <alignment horizontal="center" vertical="center"/>
    </xf>
    <xf numFmtId="0" fontId="41" fillId="0" borderId="42" xfId="22" applyFont="1" applyBorder="1" applyAlignment="1">
      <alignment horizontal="center" vertical="center"/>
    </xf>
    <xf numFmtId="0" fontId="44" fillId="0" borderId="34" xfId="22" applyFont="1" applyBorder="1" applyAlignment="1">
      <alignment horizontal="center" vertical="center"/>
    </xf>
    <xf numFmtId="186" fontId="44" fillId="0" borderId="14" xfId="22" applyNumberFormat="1" applyFont="1" applyBorder="1" applyAlignment="1">
      <alignment horizontal="center" vertical="center"/>
    </xf>
    <xf numFmtId="20" fontId="44" fillId="0" borderId="14" xfId="22" applyNumberFormat="1" applyFont="1" applyBorder="1" applyAlignment="1">
      <alignment horizontal="center" vertical="center"/>
    </xf>
    <xf numFmtId="20" fontId="45"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4" fillId="0" borderId="14" xfId="22" applyFont="1" applyBorder="1" applyAlignment="1">
      <alignment horizontal="center" vertical="center" wrapText="1"/>
    </xf>
    <xf numFmtId="0" fontId="44" fillId="0" borderId="14" xfId="22" applyFont="1" applyBorder="1" applyAlignment="1">
      <alignment horizontal="center" vertical="center"/>
    </xf>
    <xf numFmtId="0" fontId="37" fillId="0" borderId="14" xfId="22" applyFont="1" applyBorder="1" applyAlignment="1">
      <alignment vertical="center" wrapText="1"/>
    </xf>
    <xf numFmtId="0" fontId="46" fillId="0" borderId="0" xfId="22" applyFont="1">
      <alignment vertical="center"/>
    </xf>
    <xf numFmtId="0" fontId="41" fillId="0" borderId="61" xfId="22" applyFont="1" applyBorder="1" applyAlignment="1">
      <alignment horizontal="center" vertical="center"/>
    </xf>
    <xf numFmtId="0" fontId="44" fillId="0" borderId="62" xfId="22" applyFont="1" applyBorder="1" applyAlignment="1">
      <alignment horizontal="center" vertical="center"/>
    </xf>
    <xf numFmtId="186" fontId="44" fillId="0" borderId="63" xfId="22" applyNumberFormat="1" applyFont="1" applyBorder="1" applyAlignment="1">
      <alignment horizontal="center" vertical="center"/>
    </xf>
    <xf numFmtId="20" fontId="44" fillId="0" borderId="63" xfId="22" applyNumberFormat="1" applyFont="1" applyBorder="1" applyAlignment="1">
      <alignment horizontal="center" vertical="center"/>
    </xf>
    <xf numFmtId="20" fontId="45" fillId="10" borderId="63" xfId="22" applyNumberFormat="1" applyFont="1" applyFill="1" applyBorder="1" applyAlignment="1">
      <alignment horizontal="center" vertical="center"/>
    </xf>
    <xf numFmtId="0" fontId="37" fillId="0" borderId="63" xfId="22" applyFont="1" applyBorder="1" applyAlignment="1">
      <alignment horizontal="center" vertical="center"/>
    </xf>
    <xf numFmtId="0" fontId="44" fillId="0" borderId="63" xfId="22" applyFont="1" applyBorder="1" applyAlignment="1">
      <alignment horizontal="center" vertical="center"/>
    </xf>
    <xf numFmtId="0" fontId="37" fillId="0" borderId="63" xfId="22" applyFont="1" applyBorder="1" applyAlignment="1">
      <alignment vertical="center" wrapText="1"/>
    </xf>
    <xf numFmtId="186" fontId="47" fillId="0" borderId="46" xfId="22" applyNumberFormat="1" applyFont="1" applyBorder="1" applyAlignment="1">
      <alignment horizontal="center" vertical="center"/>
    </xf>
    <xf numFmtId="20" fontId="47" fillId="0" borderId="46" xfId="22" applyNumberFormat="1" applyFont="1" applyBorder="1" applyAlignment="1">
      <alignment horizontal="center" vertical="center"/>
    </xf>
    <xf numFmtId="0" fontId="49" fillId="0" borderId="0" xfId="22" applyFont="1">
      <alignment vertical="center"/>
    </xf>
    <xf numFmtId="0" fontId="42" fillId="0" borderId="0" xfId="22" applyFont="1" applyAlignment="1">
      <alignment horizontal="centerContinuous" vertical="center"/>
    </xf>
    <xf numFmtId="0" fontId="47" fillId="0" borderId="0" xfId="22" applyFont="1" applyAlignment="1">
      <alignment horizontal="centerContinuous" vertical="center"/>
    </xf>
    <xf numFmtId="0" fontId="50" fillId="0" borderId="40" xfId="22" applyFont="1" applyBorder="1" applyAlignment="1">
      <alignment horizontal="center" vertical="center"/>
    </xf>
    <xf numFmtId="186" fontId="35" fillId="0" borderId="30" xfId="22" applyNumberFormat="1" applyFont="1" applyBorder="1" applyAlignment="1">
      <alignment horizontal="center" vertical="center"/>
    </xf>
    <xf numFmtId="20" fontId="35" fillId="0" borderId="14" xfId="22" applyNumberFormat="1" applyFont="1" applyBorder="1" applyAlignment="1">
      <alignment horizontal="center" vertical="center"/>
    </xf>
    <xf numFmtId="20" fontId="35" fillId="0" borderId="30" xfId="22" applyNumberFormat="1" applyFont="1" applyBorder="1" applyAlignment="1">
      <alignment horizontal="center" vertical="center"/>
    </xf>
    <xf numFmtId="20" fontId="51" fillId="10" borderId="30" xfId="22" applyNumberFormat="1" applyFont="1" applyFill="1" applyBorder="1" applyAlignment="1">
      <alignment horizontal="center" vertical="center"/>
    </xf>
    <xf numFmtId="184" fontId="36" fillId="0" borderId="30" xfId="22" applyNumberFormat="1" applyFont="1" applyBorder="1" applyAlignment="1">
      <alignment horizontal="center" vertical="center"/>
    </xf>
    <xf numFmtId="0" fontId="36" fillId="0" borderId="30" xfId="22" applyFont="1" applyBorder="1" applyAlignment="1">
      <alignment vertical="center" wrapText="1"/>
    </xf>
    <xf numFmtId="0" fontId="52" fillId="0" borderId="0" xfId="22" applyFont="1">
      <alignment vertical="center"/>
    </xf>
    <xf numFmtId="0" fontId="50" fillId="0" borderId="42" xfId="22" applyFont="1" applyBorder="1" applyAlignment="1">
      <alignment horizontal="center" vertical="center"/>
    </xf>
    <xf numFmtId="186" fontId="35" fillId="0" borderId="14" xfId="22" applyNumberFormat="1" applyFont="1" applyBorder="1" applyAlignment="1">
      <alignment horizontal="center" vertical="center"/>
    </xf>
    <xf numFmtId="20" fontId="51" fillId="10" borderId="14" xfId="22" applyNumberFormat="1" applyFont="1" applyFill="1" applyBorder="1" applyAlignment="1">
      <alignment horizontal="center" vertical="center"/>
    </xf>
    <xf numFmtId="184" fontId="36" fillId="0" borderId="14" xfId="22" applyNumberFormat="1" applyFont="1" applyBorder="1" applyAlignment="1">
      <alignment horizontal="center" vertical="center"/>
    </xf>
    <xf numFmtId="0" fontId="36" fillId="0" borderId="14" xfId="22" applyFont="1" applyBorder="1" applyAlignment="1">
      <alignment horizontal="left" vertical="center" wrapText="1"/>
    </xf>
    <xf numFmtId="0" fontId="50" fillId="4" borderId="32" xfId="22" applyFont="1" applyFill="1" applyBorder="1" applyAlignment="1">
      <alignment horizontal="center" vertical="center" wrapText="1"/>
    </xf>
    <xf numFmtId="0" fontId="36" fillId="0" borderId="14" xfId="22" applyFont="1" applyBorder="1" applyAlignment="1">
      <alignment vertical="center" wrapText="1"/>
    </xf>
    <xf numFmtId="0" fontId="50" fillId="0" borderId="55" xfId="22" applyFont="1" applyBorder="1" applyAlignment="1">
      <alignment horizontal="center" vertical="center"/>
    </xf>
    <xf numFmtId="186" fontId="35" fillId="0" borderId="57" xfId="22" applyNumberFormat="1" applyFont="1" applyBorder="1" applyAlignment="1">
      <alignment horizontal="center" vertical="center"/>
    </xf>
    <xf numFmtId="20" fontId="35" fillId="0" borderId="57" xfId="22" applyNumberFormat="1" applyFont="1" applyBorder="1" applyAlignment="1">
      <alignment horizontal="center" vertical="center"/>
    </xf>
    <xf numFmtId="20" fontId="51" fillId="10" borderId="57" xfId="22" applyNumberFormat="1" applyFont="1" applyFill="1" applyBorder="1" applyAlignment="1">
      <alignment horizontal="center" vertical="center"/>
    </xf>
    <xf numFmtId="184" fontId="36" fillId="0" borderId="57" xfId="22" applyNumberFormat="1" applyFont="1" applyBorder="1" applyAlignment="1">
      <alignment horizontal="center" vertical="center"/>
    </xf>
    <xf numFmtId="0" fontId="36" fillId="0" borderId="57" xfId="22" applyFont="1" applyBorder="1" applyAlignment="1">
      <alignment vertical="center" wrapText="1"/>
    </xf>
    <xf numFmtId="49" fontId="53" fillId="6" borderId="2" xfId="0" applyNumberFormat="1" applyFont="1" applyFill="1" applyBorder="1" applyAlignment="1">
      <alignment horizontal="center" vertical="center" wrapText="1"/>
    </xf>
    <xf numFmtId="0" fontId="54" fillId="6" borderId="2" xfId="0" applyFont="1" applyFill="1" applyBorder="1" applyAlignment="1">
      <alignment horizontal="center" vertical="center"/>
    </xf>
    <xf numFmtId="0" fontId="56" fillId="4" borderId="2" xfId="0" applyFont="1" applyFill="1" applyBorder="1" applyAlignment="1">
      <alignment horizontal="center" vertical="center"/>
    </xf>
    <xf numFmtId="49" fontId="56" fillId="4" borderId="2" xfId="0" applyNumberFormat="1" applyFont="1" applyFill="1" applyBorder="1" applyAlignment="1">
      <alignment horizontal="center" vertical="center"/>
    </xf>
    <xf numFmtId="177" fontId="56" fillId="4" borderId="2" xfId="1" applyFont="1" applyFill="1" applyBorder="1" applyAlignment="1">
      <alignment horizontal="center" vertical="center"/>
    </xf>
    <xf numFmtId="0" fontId="43" fillId="0" borderId="46" xfId="22" applyFont="1" applyBorder="1" applyAlignment="1">
      <alignment horizontal="center" vertical="center"/>
    </xf>
    <xf numFmtId="0" fontId="43" fillId="0" borderId="46" xfId="22" applyFont="1" applyBorder="1" applyAlignment="1">
      <alignment horizontal="center" vertical="center" wrapText="1"/>
    </xf>
    <xf numFmtId="0" fontId="43" fillId="0" borderId="46" xfId="22" applyFont="1" applyBorder="1" applyAlignment="1">
      <alignment vertical="center" wrapText="1"/>
    </xf>
    <xf numFmtId="0" fontId="24" fillId="0" borderId="0" xfId="6" applyFont="1" applyAlignment="1">
      <alignment vertical="center"/>
    </xf>
    <xf numFmtId="0" fontId="16" fillId="0" borderId="3" xfId="6" applyFont="1" applyBorder="1" applyAlignment="1">
      <alignment vertical="center"/>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58" fillId="0" borderId="67" xfId="22" applyFont="1" applyBorder="1" applyAlignment="1">
      <alignment horizontal="center" vertical="center" wrapText="1"/>
    </xf>
    <xf numFmtId="0" fontId="58" fillId="0" borderId="68" xfId="22" applyFont="1" applyBorder="1" applyAlignment="1">
      <alignment horizontal="center" vertical="center" wrapText="1"/>
    </xf>
    <xf numFmtId="0" fontId="59" fillId="4" borderId="32" xfId="22" applyFont="1" applyFill="1" applyBorder="1" applyAlignment="1">
      <alignment horizontal="center" vertical="center" wrapText="1"/>
    </xf>
    <xf numFmtId="0" fontId="61" fillId="0" borderId="0" xfId="22" applyFont="1">
      <alignment vertical="center"/>
    </xf>
    <xf numFmtId="0" fontId="63" fillId="0" borderId="39" xfId="22" applyFont="1" applyBorder="1" applyAlignment="1">
      <alignment horizontal="center" vertical="center"/>
    </xf>
    <xf numFmtId="0" fontId="36" fillId="0" borderId="41" xfId="22" applyFont="1" applyBorder="1">
      <alignment vertical="center"/>
    </xf>
    <xf numFmtId="0" fontId="36" fillId="0" borderId="43" xfId="22" applyFont="1" applyBorder="1" applyAlignment="1">
      <alignment horizontal="center" vertical="center" wrapText="1"/>
    </xf>
    <xf numFmtId="184" fontId="36" fillId="0" borderId="43" xfId="22" applyNumberFormat="1" applyFont="1" applyBorder="1" applyAlignment="1">
      <alignment horizontal="center" vertical="center"/>
    </xf>
    <xf numFmtId="0" fontId="64" fillId="0" borderId="43" xfId="22" applyFont="1" applyBorder="1" applyAlignment="1">
      <alignment horizontal="center" vertical="center" wrapText="1"/>
    </xf>
    <xf numFmtId="0" fontId="37" fillId="0" borderId="39" xfId="22" applyFont="1" applyBorder="1" applyAlignment="1">
      <alignment horizontal="center" vertical="center" wrapText="1"/>
    </xf>
    <xf numFmtId="0" fontId="65" fillId="0" borderId="48" xfId="22" applyFont="1" applyBorder="1" applyAlignment="1">
      <alignment vertical="center" wrapText="1"/>
    </xf>
    <xf numFmtId="0" fontId="59" fillId="4" borderId="58" xfId="22" applyFont="1" applyFill="1" applyBorder="1" applyAlignment="1">
      <alignment horizontal="center" vertical="center" wrapText="1"/>
    </xf>
    <xf numFmtId="184" fontId="68" fillId="10" borderId="46" xfId="22" applyNumberFormat="1" applyFont="1" applyFill="1" applyBorder="1" applyAlignment="1">
      <alignment horizontal="center" vertical="center"/>
    </xf>
    <xf numFmtId="0" fontId="69" fillId="9" borderId="30" xfId="22" applyFont="1" applyFill="1" applyBorder="1" applyAlignment="1">
      <alignment horizontal="center" vertical="center"/>
    </xf>
    <xf numFmtId="0" fontId="69" fillId="9" borderId="14" xfId="22" applyFont="1" applyFill="1" applyBorder="1" applyAlignment="1">
      <alignment horizontal="center" vertical="center"/>
    </xf>
    <xf numFmtId="0" fontId="62" fillId="9" borderId="14" xfId="22" applyFont="1" applyFill="1" applyBorder="1" applyAlignment="1">
      <alignment horizontal="center" vertical="center"/>
    </xf>
    <xf numFmtId="0" fontId="62" fillId="9" borderId="57" xfId="22" applyFont="1" applyFill="1" applyBorder="1" applyAlignment="1">
      <alignment horizontal="center" vertical="center"/>
    </xf>
    <xf numFmtId="0" fontId="67" fillId="13" borderId="14" xfId="22" applyFont="1" applyFill="1" applyBorder="1" applyAlignment="1">
      <alignment horizontal="center" vertical="center"/>
    </xf>
    <xf numFmtId="0" fontId="70" fillId="10" borderId="14" xfId="22" applyFont="1" applyFill="1" applyBorder="1" applyAlignment="1">
      <alignment horizontal="centerContinuous" vertical="center"/>
    </xf>
    <xf numFmtId="0" fontId="60" fillId="9" borderId="14" xfId="22" applyFont="1" applyFill="1" applyBorder="1" applyAlignment="1">
      <alignment horizontal="center" vertical="center"/>
    </xf>
    <xf numFmtId="0" fontId="60" fillId="9" borderId="63" xfId="22" applyFont="1" applyFill="1" applyBorder="1" applyAlignment="1">
      <alignment horizontal="center" vertical="center"/>
    </xf>
    <xf numFmtId="0" fontId="71" fillId="0" borderId="35" xfId="22" applyFont="1" applyBorder="1" applyAlignment="1">
      <alignment horizontal="center" vertical="center"/>
    </xf>
    <xf numFmtId="0" fontId="71" fillId="0" borderId="35" xfId="22" applyFont="1" applyBorder="1" applyAlignment="1">
      <alignment horizontal="center" vertical="center" wrapText="1"/>
    </xf>
    <xf numFmtId="14" fontId="71" fillId="0" borderId="35" xfId="22" quotePrefix="1" applyNumberFormat="1" applyFont="1" applyBorder="1" applyAlignment="1">
      <alignment horizontal="center" vertical="center"/>
    </xf>
    <xf numFmtId="0" fontId="71" fillId="0" borderId="35" xfId="22" quotePrefix="1" applyFont="1" applyBorder="1" applyAlignment="1">
      <alignment vertical="center" wrapText="1"/>
    </xf>
    <xf numFmtId="0" fontId="72" fillId="0" borderId="0" xfId="22" applyFont="1" applyAlignment="1">
      <alignment horizontal="center" vertical="center"/>
    </xf>
    <xf numFmtId="0" fontId="73" fillId="0" borderId="0" xfId="22" applyFont="1">
      <alignment vertical="center"/>
    </xf>
    <xf numFmtId="0" fontId="74" fillId="9" borderId="14" xfId="22" applyFont="1" applyFill="1" applyBorder="1" applyAlignment="1">
      <alignment horizontal="center" vertical="center"/>
    </xf>
    <xf numFmtId="20" fontId="37" fillId="10" borderId="14" xfId="22" applyNumberFormat="1" applyFont="1" applyFill="1" applyBorder="1" applyAlignment="1">
      <alignment horizontal="center" vertical="center"/>
    </xf>
    <xf numFmtId="0" fontId="48" fillId="4" borderId="32" xfId="22" applyFont="1" applyFill="1" applyBorder="1" applyAlignment="1">
      <alignment horizontal="center" vertical="center" wrapText="1"/>
    </xf>
    <xf numFmtId="0" fontId="37" fillId="0" borderId="32" xfId="22" applyFont="1" applyBorder="1" applyAlignment="1">
      <alignment vertical="center" wrapText="1"/>
    </xf>
    <xf numFmtId="0" fontId="74" fillId="9" borderId="63" xfId="22" applyFont="1" applyFill="1" applyBorder="1" applyAlignment="1">
      <alignment horizontal="center" vertical="center"/>
    </xf>
    <xf numFmtId="20" fontId="37" fillId="10" borderId="63" xfId="22" applyNumberFormat="1" applyFont="1" applyFill="1" applyBorder="1" applyAlignment="1">
      <alignment horizontal="center" vertical="center"/>
    </xf>
    <xf numFmtId="0" fontId="37" fillId="0" borderId="64" xfId="22" applyFont="1" applyBorder="1" applyAlignment="1">
      <alignment vertical="center" wrapText="1"/>
    </xf>
    <xf numFmtId="177" fontId="27" fillId="3" borderId="2" xfId="23" applyFont="1" applyFill="1" applyBorder="1" applyAlignment="1">
      <alignment horizontal="center" vertical="center"/>
    </xf>
    <xf numFmtId="0" fontId="56" fillId="6" borderId="2" xfId="0" applyFont="1" applyFill="1" applyBorder="1" applyAlignment="1">
      <alignment horizontal="center" vertical="center"/>
    </xf>
    <xf numFmtId="0" fontId="26" fillId="0" borderId="14" xfId="25" applyFont="1" applyBorder="1" applyAlignment="1">
      <alignment horizontal="center" vertical="center"/>
    </xf>
    <xf numFmtId="0" fontId="26" fillId="4" borderId="14" xfId="25" applyFont="1" applyFill="1" applyBorder="1" applyAlignment="1">
      <alignment horizontal="center" vertical="center"/>
    </xf>
    <xf numFmtId="0" fontId="75" fillId="10" borderId="34" xfId="22" applyFont="1" applyFill="1" applyBorder="1" applyAlignment="1">
      <alignment horizontal="centerContinuous" vertical="center"/>
    </xf>
    <xf numFmtId="0" fontId="66" fillId="10" borderId="14" xfId="22" applyFont="1" applyFill="1" applyBorder="1" applyAlignment="1">
      <alignment horizontal="centerContinuous" vertical="center"/>
    </xf>
    <xf numFmtId="186" fontId="75" fillId="10" borderId="14" xfId="22" applyNumberFormat="1" applyFont="1" applyFill="1" applyBorder="1" applyAlignment="1">
      <alignment horizontal="center" vertical="center"/>
    </xf>
    <xf numFmtId="20" fontId="75" fillId="10" borderId="14" xfId="22" applyNumberFormat="1" applyFont="1" applyFill="1" applyBorder="1" applyAlignment="1">
      <alignment horizontal="center" vertical="center"/>
    </xf>
    <xf numFmtId="20" fontId="77" fillId="10" borderId="14" xfId="22" applyNumberFormat="1" applyFont="1" applyFill="1" applyBorder="1" applyAlignment="1">
      <alignment horizontal="center" vertical="center"/>
    </xf>
    <xf numFmtId="184" fontId="73" fillId="10" borderId="57" xfId="22" applyNumberFormat="1" applyFont="1" applyFill="1" applyBorder="1" applyAlignment="1">
      <alignment horizontal="center" vertical="center"/>
    </xf>
    <xf numFmtId="0" fontId="73" fillId="10" borderId="14" xfId="22" applyFont="1" applyFill="1" applyBorder="1" applyAlignment="1">
      <alignment horizontal="center" vertical="center" wrapText="1"/>
    </xf>
    <xf numFmtId="0" fontId="75" fillId="10" borderId="14" xfId="22" applyFont="1" applyFill="1" applyBorder="1" applyAlignment="1">
      <alignment horizontal="center" vertical="center" wrapText="1"/>
    </xf>
    <xf numFmtId="0" fontId="75" fillId="10" borderId="14" xfId="22" applyFont="1" applyFill="1" applyBorder="1" applyAlignment="1">
      <alignment horizontal="center" vertical="center"/>
    </xf>
    <xf numFmtId="0" fontId="73" fillId="10" borderId="14" xfId="22" applyFont="1" applyFill="1" applyBorder="1" applyAlignment="1">
      <alignment vertical="center" wrapText="1"/>
    </xf>
    <xf numFmtId="0" fontId="42" fillId="10" borderId="32" xfId="22" applyFont="1" applyFill="1" applyBorder="1" applyAlignment="1">
      <alignment horizontal="center" vertical="center" wrapText="1"/>
    </xf>
    <xf numFmtId="0" fontId="63" fillId="10" borderId="32" xfId="22" applyFont="1" applyFill="1" applyBorder="1" applyAlignment="1">
      <alignment horizontal="center" vertical="center" wrapText="1"/>
    </xf>
    <xf numFmtId="0" fontId="79" fillId="0" borderId="73" xfId="22" applyFont="1" applyBorder="1" applyAlignment="1">
      <alignment horizontal="center" vertical="center" wrapText="1"/>
    </xf>
    <xf numFmtId="0" fontId="30" fillId="0" borderId="74" xfId="22" applyFont="1" applyBorder="1" applyAlignment="1">
      <alignment horizontal="center" vertical="center"/>
    </xf>
    <xf numFmtId="0" fontId="30" fillId="0" borderId="75" xfId="22" applyFont="1" applyBorder="1" applyAlignment="1">
      <alignment horizontal="center" vertical="center"/>
    </xf>
    <xf numFmtId="0" fontId="30" fillId="0" borderId="76" xfId="22" applyFont="1" applyBorder="1" applyAlignment="1">
      <alignment horizontal="center" vertical="center"/>
    </xf>
    <xf numFmtId="0" fontId="50" fillId="4" borderId="14" xfId="22" applyFont="1" applyFill="1" applyBorder="1" applyAlignment="1">
      <alignment horizontal="center" vertical="center" wrapText="1"/>
    </xf>
    <xf numFmtId="0" fontId="50" fillId="4" borderId="78" xfId="22" applyFont="1" applyFill="1" applyBorder="1" applyAlignment="1">
      <alignment horizontal="center" vertical="center" wrapText="1"/>
    </xf>
    <xf numFmtId="0" fontId="34" fillId="4" borderId="14" xfId="22" applyFont="1" applyFill="1" applyBorder="1" applyAlignment="1">
      <alignment horizontal="center" vertical="center" wrapText="1"/>
    </xf>
    <xf numFmtId="0" fontId="34" fillId="4" borderId="78" xfId="22" applyFont="1" applyFill="1" applyBorder="1" applyAlignment="1">
      <alignment horizontal="center" vertical="center" wrapText="1"/>
    </xf>
    <xf numFmtId="0" fontId="34" fillId="4" borderId="14" xfId="22" applyFont="1" applyFill="1" applyBorder="1" applyAlignment="1">
      <alignment horizontal="center" vertical="center"/>
    </xf>
    <xf numFmtId="0" fontId="34" fillId="4" borderId="78" xfId="22" applyFont="1" applyFill="1" applyBorder="1" applyAlignment="1">
      <alignment horizontal="center" vertical="center"/>
    </xf>
    <xf numFmtId="0" fontId="63" fillId="10" borderId="14" xfId="22" applyFont="1" applyFill="1" applyBorder="1" applyAlignment="1">
      <alignment horizontal="center" vertical="center" wrapText="1"/>
    </xf>
    <xf numFmtId="0" fontId="63" fillId="10" borderId="78" xfId="22" applyFont="1" applyFill="1" applyBorder="1" applyAlignment="1">
      <alignment horizontal="center" vertical="center" wrapText="1"/>
    </xf>
    <xf numFmtId="0" fontId="60" fillId="4" borderId="78" xfId="22" applyFont="1" applyFill="1" applyBorder="1" applyAlignment="1">
      <alignment horizontal="center" vertical="center" wrapText="1"/>
    </xf>
    <xf numFmtId="0" fontId="59" fillId="4" borderId="78" xfId="22" applyFont="1" applyFill="1" applyBorder="1" applyAlignment="1">
      <alignment horizontal="center" vertical="center" wrapText="1"/>
    </xf>
    <xf numFmtId="0" fontId="80" fillId="0" borderId="0" xfId="22" applyFont="1">
      <alignment vertical="center"/>
    </xf>
    <xf numFmtId="0" fontId="80" fillId="0" borderId="0" xfId="22" quotePrefix="1" applyFont="1">
      <alignment vertical="center"/>
    </xf>
    <xf numFmtId="0" fontId="66" fillId="0" borderId="47" xfId="22" applyFont="1" applyBorder="1" applyAlignment="1">
      <alignment horizontal="center" vertical="center" wrapText="1"/>
    </xf>
    <xf numFmtId="0" fontId="50" fillId="0" borderId="82" xfId="22" applyFont="1" applyBorder="1" applyAlignment="1">
      <alignment horizontal="center" vertical="center"/>
    </xf>
    <xf numFmtId="0" fontId="35" fillId="0" borderId="83" xfId="22" applyFont="1" applyBorder="1" applyAlignment="1">
      <alignment horizontal="center" vertical="center"/>
    </xf>
    <xf numFmtId="0" fontId="62" fillId="9" borderId="11" xfId="22" applyFont="1" applyFill="1" applyBorder="1" applyAlignment="1">
      <alignment horizontal="center" vertical="center"/>
    </xf>
    <xf numFmtId="186" fontId="35" fillId="0" borderId="11" xfId="22" applyNumberFormat="1" applyFont="1" applyBorder="1" applyAlignment="1">
      <alignment horizontal="center" vertical="center"/>
    </xf>
    <xf numFmtId="20" fontId="35" fillId="0" borderId="11" xfId="22" applyNumberFormat="1" applyFont="1" applyBorder="1" applyAlignment="1">
      <alignment horizontal="center" vertical="center"/>
    </xf>
    <xf numFmtId="20" fontId="51" fillId="10" borderId="11" xfId="22" applyNumberFormat="1" applyFont="1" applyFill="1" applyBorder="1" applyAlignment="1">
      <alignment horizontal="center" vertical="center"/>
    </xf>
    <xf numFmtId="184" fontId="36" fillId="0" borderId="11" xfId="22" applyNumberFormat="1" applyFont="1" applyBorder="1" applyAlignment="1">
      <alignment horizontal="center" vertical="center"/>
    </xf>
    <xf numFmtId="0" fontId="36" fillId="0" borderId="11" xfId="22" applyFont="1" applyBorder="1" applyAlignment="1">
      <alignment horizontal="center" vertical="center" wrapText="1"/>
    </xf>
    <xf numFmtId="0" fontId="35" fillId="0" borderId="11" xfId="22" applyFont="1" applyBorder="1" applyAlignment="1">
      <alignment horizontal="center" vertical="center" wrapText="1"/>
    </xf>
    <xf numFmtId="0" fontId="35" fillId="0" borderId="11" xfId="22" applyFont="1" applyBorder="1" applyAlignment="1">
      <alignment horizontal="center" vertical="center"/>
    </xf>
    <xf numFmtId="0" fontId="36" fillId="0" borderId="11" xfId="22" applyFont="1" applyBorder="1" applyAlignment="1">
      <alignment vertical="center" wrapText="1"/>
    </xf>
    <xf numFmtId="0" fontId="41" fillId="12" borderId="84" xfId="22" applyFont="1" applyFill="1" applyBorder="1" applyAlignment="1">
      <alignment horizontal="center" vertical="center"/>
    </xf>
    <xf numFmtId="0" fontId="44" fillId="12" borderId="85" xfId="22" applyFont="1" applyFill="1" applyBorder="1" applyAlignment="1">
      <alignment horizontal="center" vertical="center"/>
    </xf>
    <xf numFmtId="0" fontId="60" fillId="13" borderId="86" xfId="22" applyFont="1" applyFill="1" applyBorder="1" applyAlignment="1">
      <alignment horizontal="center" vertical="center"/>
    </xf>
    <xf numFmtId="186" fontId="44" fillId="12" borderId="86" xfId="22" applyNumberFormat="1" applyFont="1" applyFill="1" applyBorder="1" applyAlignment="1">
      <alignment horizontal="center" vertical="center"/>
    </xf>
    <xf numFmtId="20" fontId="44" fillId="12" borderId="86" xfId="22" applyNumberFormat="1" applyFont="1" applyFill="1" applyBorder="1" applyAlignment="1">
      <alignment horizontal="center" vertical="center"/>
    </xf>
    <xf numFmtId="20" fontId="45" fillId="14" borderId="86" xfId="22" applyNumberFormat="1" applyFont="1" applyFill="1" applyBorder="1" applyAlignment="1">
      <alignment horizontal="center" vertical="center"/>
    </xf>
    <xf numFmtId="184" fontId="37" fillId="12" borderId="86" xfId="22" applyNumberFormat="1" applyFont="1" applyFill="1" applyBorder="1" applyAlignment="1">
      <alignment horizontal="center" vertical="center"/>
    </xf>
    <xf numFmtId="0" fontId="37" fillId="12" borderId="86" xfId="22" applyFont="1" applyFill="1" applyBorder="1" applyAlignment="1">
      <alignment horizontal="center" vertical="center" wrapText="1"/>
    </xf>
    <xf numFmtId="0" fontId="44" fillId="12" borderId="86" xfId="22" applyFont="1" applyFill="1" applyBorder="1" applyAlignment="1">
      <alignment horizontal="center" vertical="center" wrapText="1"/>
    </xf>
    <xf numFmtId="0" fontId="44" fillId="12" borderId="86" xfId="22" applyFont="1" applyFill="1" applyBorder="1" applyAlignment="1">
      <alignment horizontal="center" vertical="center"/>
    </xf>
    <xf numFmtId="0" fontId="37" fillId="12" borderId="86" xfId="22" applyFont="1" applyFill="1" applyBorder="1" applyAlignment="1">
      <alignment vertical="center" wrapText="1"/>
    </xf>
    <xf numFmtId="0" fontId="41" fillId="12" borderId="88" xfId="22" applyFont="1" applyFill="1" applyBorder="1" applyAlignment="1">
      <alignment horizontal="center" vertical="center"/>
    </xf>
    <xf numFmtId="0" fontId="41" fillId="12" borderId="90" xfId="22" applyFont="1" applyFill="1" applyBorder="1" applyAlignment="1">
      <alignment horizontal="center" vertical="center"/>
    </xf>
    <xf numFmtId="0" fontId="44" fillId="12" borderId="91" xfId="22" applyFont="1" applyFill="1" applyBorder="1" applyAlignment="1">
      <alignment horizontal="center" vertical="center"/>
    </xf>
    <xf numFmtId="0" fontId="60" fillId="13" borderId="92" xfId="22" applyFont="1" applyFill="1" applyBorder="1" applyAlignment="1">
      <alignment horizontal="center" vertical="center"/>
    </xf>
    <xf numFmtId="186" fontId="44" fillId="12" borderId="92" xfId="22" applyNumberFormat="1" applyFont="1" applyFill="1" applyBorder="1" applyAlignment="1">
      <alignment horizontal="center" vertical="center"/>
    </xf>
    <xf numFmtId="20" fontId="44" fillId="12" borderId="92" xfId="22" applyNumberFormat="1" applyFont="1" applyFill="1" applyBorder="1" applyAlignment="1">
      <alignment horizontal="center" vertical="center"/>
    </xf>
    <xf numFmtId="20" fontId="45" fillId="14" borderId="92" xfId="22" applyNumberFormat="1" applyFont="1" applyFill="1" applyBorder="1" applyAlignment="1">
      <alignment horizontal="center" vertical="center"/>
    </xf>
    <xf numFmtId="184" fontId="37" fillId="12" borderId="92" xfId="22" applyNumberFormat="1" applyFont="1" applyFill="1" applyBorder="1" applyAlignment="1">
      <alignment horizontal="center" vertical="center"/>
    </xf>
    <xf numFmtId="0" fontId="37" fillId="12" borderId="92" xfId="22" applyFont="1" applyFill="1" applyBorder="1" applyAlignment="1">
      <alignment horizontal="center" vertical="center"/>
    </xf>
    <xf numFmtId="0" fontId="44" fillId="12" borderId="92" xfId="22" applyFont="1" applyFill="1" applyBorder="1" applyAlignment="1">
      <alignment horizontal="center" vertical="center"/>
    </xf>
    <xf numFmtId="0" fontId="37" fillId="12" borderId="92" xfId="22" applyFont="1" applyFill="1" applyBorder="1" applyAlignment="1">
      <alignment vertical="center" wrapText="1"/>
    </xf>
    <xf numFmtId="0" fontId="81" fillId="19" borderId="0" xfId="22" quotePrefix="1" applyFont="1" applyFill="1" applyAlignment="1">
      <alignment vertical="center" wrapText="1"/>
    </xf>
    <xf numFmtId="0" fontId="82" fillId="0" borderId="35" xfId="22" quotePrefix="1" applyFont="1" applyBorder="1">
      <alignment vertical="center"/>
    </xf>
    <xf numFmtId="0" fontId="83" fillId="10" borderId="34" xfId="22" applyFont="1" applyFill="1" applyBorder="1" applyAlignment="1">
      <alignment horizontal="centerContinuous" vertical="center"/>
    </xf>
    <xf numFmtId="186" fontId="83" fillId="10" borderId="14" xfId="22" applyNumberFormat="1" applyFont="1" applyFill="1" applyBorder="1" applyAlignment="1">
      <alignment horizontal="center" vertical="center"/>
    </xf>
    <xf numFmtId="20" fontId="83" fillId="10" borderId="14" xfId="22" applyNumberFormat="1" applyFont="1" applyFill="1" applyBorder="1" applyAlignment="1">
      <alignment horizontal="center" vertical="center"/>
    </xf>
    <xf numFmtId="184" fontId="83" fillId="10" borderId="57" xfId="22" applyNumberFormat="1" applyFont="1" applyFill="1" applyBorder="1" applyAlignment="1">
      <alignment horizontal="center" vertical="center"/>
    </xf>
    <xf numFmtId="0" fontId="83" fillId="10" borderId="14" xfId="22" applyFont="1" applyFill="1" applyBorder="1" applyAlignment="1">
      <alignment horizontal="center" vertical="center" wrapText="1"/>
    </xf>
    <xf numFmtId="0" fontId="83" fillId="10" borderId="14" xfId="22" applyFont="1" applyFill="1" applyBorder="1" applyAlignment="1">
      <alignment horizontal="center" vertical="center"/>
    </xf>
    <xf numFmtId="0" fontId="83" fillId="10" borderId="14" xfId="22" applyFont="1" applyFill="1" applyBorder="1" applyAlignment="1">
      <alignment vertical="center" wrapText="1"/>
    </xf>
    <xf numFmtId="0" fontId="70" fillId="10" borderId="32" xfId="22" applyFont="1" applyFill="1" applyBorder="1" applyAlignment="1">
      <alignment horizontal="center" vertical="center" wrapText="1"/>
    </xf>
    <xf numFmtId="0" fontId="84" fillId="10" borderId="32" xfId="22" applyFont="1" applyFill="1" applyBorder="1" applyAlignment="1">
      <alignment horizontal="center" vertical="center" wrapText="1"/>
    </xf>
    <xf numFmtId="0" fontId="85" fillId="10" borderId="43" xfId="22" applyFont="1" applyFill="1" applyBorder="1" applyAlignment="1">
      <alignment horizontal="center" vertical="center" wrapText="1"/>
    </xf>
    <xf numFmtId="0" fontId="86" fillId="0" borderId="0" xfId="22" applyFont="1">
      <alignment vertical="center"/>
    </xf>
    <xf numFmtId="0" fontId="87" fillId="0" borderId="0" xfId="0" applyFont="1">
      <alignment vertical="center"/>
    </xf>
    <xf numFmtId="0" fontId="62" fillId="4" borderId="32" xfId="22" applyFont="1" applyFill="1" applyBorder="1" applyAlignment="1">
      <alignment horizontal="center" vertical="center" wrapText="1"/>
    </xf>
    <xf numFmtId="0" fontId="62" fillId="4" borderId="60" xfId="22" applyFont="1" applyFill="1" applyBorder="1" applyAlignment="1">
      <alignment horizontal="center" vertical="center" wrapText="1"/>
    </xf>
    <xf numFmtId="0" fontId="62" fillId="4" borderId="14" xfId="22" applyFont="1" applyFill="1" applyBorder="1" applyAlignment="1">
      <alignment horizontal="center" vertical="center" wrapText="1"/>
    </xf>
    <xf numFmtId="0" fontId="62" fillId="4" borderId="78" xfId="22" applyFont="1" applyFill="1" applyBorder="1" applyAlignment="1">
      <alignment horizontal="center" vertical="center" wrapText="1"/>
    </xf>
    <xf numFmtId="0" fontId="50" fillId="4" borderId="64" xfId="22" applyFont="1" applyFill="1" applyBorder="1" applyAlignment="1">
      <alignment horizontal="center" vertical="center" wrapText="1"/>
    </xf>
    <xf numFmtId="0" fontId="50" fillId="4" borderId="79" xfId="22" applyFont="1" applyFill="1" applyBorder="1" applyAlignment="1">
      <alignment horizontal="center" vertical="center" wrapText="1"/>
    </xf>
    <xf numFmtId="0" fontId="50" fillId="4" borderId="80" xfId="22" applyFont="1" applyFill="1" applyBorder="1" applyAlignment="1">
      <alignment horizontal="center" vertical="center" wrapText="1"/>
    </xf>
    <xf numFmtId="0" fontId="62" fillId="0" borderId="47" xfId="22" applyFont="1" applyBorder="1" applyAlignment="1">
      <alignment horizontal="center" vertical="center" wrapText="1"/>
    </xf>
    <xf numFmtId="0" fontId="62" fillId="0" borderId="71" xfId="22" applyFont="1" applyBorder="1" applyAlignment="1">
      <alignment horizontal="center" vertical="center" wrapText="1"/>
    </xf>
    <xf numFmtId="0" fontId="62" fillId="9" borderId="46" xfId="22" applyFont="1" applyFill="1" applyBorder="1" applyAlignment="1">
      <alignment horizontal="center" vertical="center"/>
    </xf>
    <xf numFmtId="0" fontId="62" fillId="4" borderId="59" xfId="22" applyFont="1" applyFill="1" applyBorder="1" applyAlignment="1">
      <alignment horizontal="center" vertical="center" wrapText="1"/>
    </xf>
    <xf numFmtId="0" fontId="62" fillId="4" borderId="81" xfId="22" applyFont="1" applyFill="1" applyBorder="1" applyAlignment="1">
      <alignment horizontal="center" vertical="center" wrapText="1"/>
    </xf>
    <xf numFmtId="0" fontId="69" fillId="11" borderId="31" xfId="22" applyFont="1" applyFill="1" applyBorder="1" applyAlignment="1">
      <alignment horizontal="center" vertical="center" wrapText="1"/>
    </xf>
    <xf numFmtId="0" fontId="62" fillId="4" borderId="31" xfId="22" applyFont="1" applyFill="1" applyBorder="1" applyAlignment="1">
      <alignment horizontal="center" vertical="center" wrapText="1"/>
    </xf>
    <xf numFmtId="0" fontId="62" fillId="4" borderId="30" xfId="22" applyFont="1" applyFill="1" applyBorder="1" applyAlignment="1">
      <alignment horizontal="center" vertical="center" wrapText="1"/>
    </xf>
    <xf numFmtId="0" fontId="62" fillId="4" borderId="77" xfId="22" applyFont="1" applyFill="1" applyBorder="1" applyAlignment="1">
      <alignment horizontal="center" vertical="center" wrapText="1"/>
    </xf>
    <xf numFmtId="0" fontId="69" fillId="11" borderId="32" xfId="22" applyFont="1" applyFill="1" applyBorder="1" applyAlignment="1">
      <alignment horizontal="center" vertical="center" wrapText="1"/>
    </xf>
    <xf numFmtId="0" fontId="69" fillId="11" borderId="32" xfId="22" applyFont="1" applyFill="1" applyBorder="1" applyAlignment="1">
      <alignment horizontal="center" vertical="center"/>
    </xf>
    <xf numFmtId="0" fontId="62" fillId="4" borderId="32" xfId="22" applyFont="1" applyFill="1" applyBorder="1" applyAlignment="1">
      <alignment horizontal="center" vertical="center"/>
    </xf>
    <xf numFmtId="0" fontId="62" fillId="4" borderId="14" xfId="22" applyFont="1" applyFill="1" applyBorder="1" applyAlignment="1">
      <alignment horizontal="center" vertical="center"/>
    </xf>
    <xf numFmtId="0" fontId="62" fillId="4" borderId="78" xfId="22" applyFont="1" applyFill="1" applyBorder="1" applyAlignment="1">
      <alignment horizontal="center" vertical="center"/>
    </xf>
    <xf numFmtId="0" fontId="62" fillId="11" borderId="32" xfId="22" applyFont="1" applyFill="1" applyBorder="1" applyAlignment="1">
      <alignment horizontal="center" vertical="center" wrapText="1"/>
    </xf>
    <xf numFmtId="0" fontId="62" fillId="11" borderId="58" xfId="22" applyFont="1" applyFill="1" applyBorder="1" applyAlignment="1">
      <alignment horizontal="center" vertical="center" wrapText="1"/>
    </xf>
    <xf numFmtId="0" fontId="62" fillId="11" borderId="60" xfId="22" applyFont="1" applyFill="1" applyBorder="1" applyAlignment="1">
      <alignment horizontal="center" vertical="center" wrapText="1"/>
    </xf>
    <xf numFmtId="0" fontId="62" fillId="15" borderId="87" xfId="22" applyFont="1" applyFill="1" applyBorder="1" applyAlignment="1">
      <alignment horizontal="center" vertical="center" wrapText="1"/>
    </xf>
    <xf numFmtId="0" fontId="62" fillId="15" borderId="89" xfId="22" applyFont="1" applyFill="1" applyBorder="1" applyAlignment="1">
      <alignment horizontal="center" vertical="center" wrapText="1"/>
    </xf>
    <xf numFmtId="0" fontId="62" fillId="15" borderId="89" xfId="22" applyFont="1" applyFill="1" applyBorder="1" applyAlignment="1">
      <alignment horizontal="center" vertical="center"/>
    </xf>
    <xf numFmtId="0" fontId="62" fillId="4" borderId="59" xfId="22" applyFont="1" applyFill="1" applyBorder="1" applyAlignment="1">
      <alignment horizontal="center" vertical="center"/>
    </xf>
    <xf numFmtId="0" fontId="62" fillId="15" borderId="93" xfId="22" applyFont="1" applyFill="1" applyBorder="1" applyAlignment="1">
      <alignment horizontal="center" vertical="center"/>
    </xf>
    <xf numFmtId="0" fontId="36" fillId="10" borderId="43" xfId="22" applyFont="1" applyFill="1" applyBorder="1" applyAlignment="1">
      <alignment horizontal="center" vertical="center" wrapText="1"/>
    </xf>
    <xf numFmtId="0" fontId="35" fillId="0" borderId="43" xfId="22" applyFont="1" applyBorder="1" applyAlignment="1">
      <alignment horizontal="center" vertical="center" wrapText="1"/>
    </xf>
    <xf numFmtId="0" fontId="35" fillId="0" borderId="39" xfId="22" applyFont="1" applyBorder="1" applyAlignment="1">
      <alignment horizontal="center" vertical="center" wrapText="1"/>
    </xf>
    <xf numFmtId="177" fontId="26" fillId="0" borderId="19" xfId="1" applyFont="1" applyFill="1" applyBorder="1" applyAlignment="1">
      <alignment vertical="center"/>
    </xf>
    <xf numFmtId="0" fontId="89" fillId="9" borderId="14" xfId="22" applyFont="1" applyFill="1" applyBorder="1" applyAlignment="1">
      <alignment horizontal="center" vertical="center"/>
    </xf>
    <xf numFmtId="0" fontId="90" fillId="10" borderId="42" xfId="22" applyFont="1" applyFill="1" applyBorder="1" applyAlignment="1">
      <alignment horizontal="centerContinuous" vertical="center"/>
    </xf>
    <xf numFmtId="0" fontId="92" fillId="0" borderId="49" xfId="22" applyFont="1" applyBorder="1" applyAlignment="1">
      <alignment horizontal="centerContinuous" vertical="center"/>
    </xf>
    <xf numFmtId="0" fontId="51" fillId="11" borderId="64" xfId="22" applyFont="1" applyFill="1" applyBorder="1" applyAlignment="1">
      <alignment horizontal="center" vertical="center" wrapText="1"/>
    </xf>
    <xf numFmtId="0" fontId="62" fillId="11" borderId="46" xfId="22" applyFont="1" applyFill="1" applyBorder="1" applyAlignment="1">
      <alignment horizontal="center" vertical="center"/>
    </xf>
    <xf numFmtId="0" fontId="93" fillId="20" borderId="0" xfId="22" quotePrefix="1" applyFont="1" applyFill="1" applyAlignment="1">
      <alignment vertical="center" wrapText="1"/>
    </xf>
    <xf numFmtId="0" fontId="94" fillId="0" borderId="35" xfId="22" quotePrefix="1" applyFont="1" applyBorder="1">
      <alignment vertical="center"/>
    </xf>
    <xf numFmtId="185" fontId="95" fillId="9" borderId="2" xfId="1" applyNumberFormat="1" applyFont="1" applyFill="1" applyBorder="1" applyAlignment="1">
      <alignment horizontal="center" vertical="center"/>
    </xf>
    <xf numFmtId="177" fontId="96" fillId="9" borderId="0" xfId="0" applyNumberFormat="1" applyFont="1" applyFill="1">
      <alignment vertical="center"/>
    </xf>
    <xf numFmtId="180" fontId="97" fillId="7" borderId="0" xfId="3" applyNumberFormat="1" applyFont="1" applyFill="1" applyAlignment="1">
      <alignment vertical="center"/>
    </xf>
    <xf numFmtId="0" fontId="92" fillId="9" borderId="46" xfId="22" applyFont="1" applyFill="1" applyBorder="1" applyAlignment="1">
      <alignment horizontal="center" vertical="center"/>
    </xf>
    <xf numFmtId="186" fontId="98" fillId="0" borderId="46" xfId="22" applyNumberFormat="1" applyFont="1" applyBorder="1" applyAlignment="1">
      <alignment horizontal="center" vertical="center"/>
    </xf>
    <xf numFmtId="20" fontId="98" fillId="0" borderId="46" xfId="22" applyNumberFormat="1" applyFont="1" applyBorder="1" applyAlignment="1">
      <alignment horizontal="center" vertical="center"/>
    </xf>
    <xf numFmtId="184" fontId="41" fillId="10" borderId="46" xfId="22" applyNumberFormat="1" applyFont="1" applyFill="1" applyBorder="1" applyAlignment="1">
      <alignment horizontal="center" vertical="center"/>
    </xf>
    <xf numFmtId="0" fontId="98" fillId="0" borderId="46" xfId="22" applyFont="1" applyBorder="1" applyAlignment="1">
      <alignment horizontal="center" vertical="center"/>
    </xf>
    <xf numFmtId="0" fontId="98" fillId="0" borderId="46" xfId="22" applyFont="1" applyBorder="1" applyAlignment="1">
      <alignment horizontal="center" vertical="center" wrapText="1"/>
    </xf>
    <xf numFmtId="0" fontId="98" fillId="0" borderId="46" xfId="22" applyFont="1" applyBorder="1" applyAlignment="1">
      <alignment vertical="center" wrapText="1"/>
    </xf>
    <xf numFmtId="0" fontId="98" fillId="0" borderId="48" xfId="22" applyFont="1" applyBorder="1" applyAlignment="1">
      <alignment vertical="center" wrapText="1"/>
    </xf>
    <xf numFmtId="0" fontId="46" fillId="0" borderId="0" xfId="0" applyFont="1">
      <alignment vertical="center"/>
    </xf>
    <xf numFmtId="0" fontId="99" fillId="0" borderId="0" xfId="0" applyFont="1">
      <alignment vertical="center"/>
    </xf>
    <xf numFmtId="0" fontId="48" fillId="4" borderId="14" xfId="22" applyFont="1" applyFill="1" applyBorder="1" applyAlignment="1">
      <alignment horizontal="center" vertical="center" wrapText="1"/>
    </xf>
    <xf numFmtId="0" fontId="100" fillId="11" borderId="14" xfId="22" applyFont="1" applyFill="1" applyBorder="1" applyAlignment="1">
      <alignment horizontal="center" vertical="center" wrapText="1"/>
    </xf>
    <xf numFmtId="0" fontId="101" fillId="11" borderId="14" xfId="22" applyFont="1" applyFill="1" applyBorder="1" applyAlignment="1">
      <alignment horizontal="center" vertical="center" wrapText="1"/>
    </xf>
    <xf numFmtId="49" fontId="92" fillId="11" borderId="14" xfId="22" applyNumberFormat="1" applyFont="1" applyFill="1" applyBorder="1" applyAlignment="1">
      <alignment horizontal="center" vertical="center" wrapText="1"/>
    </xf>
    <xf numFmtId="0" fontId="92" fillId="11" borderId="14" xfId="22" applyFont="1" applyFill="1" applyBorder="1" applyAlignment="1">
      <alignment horizontal="center" vertical="center" wrapText="1"/>
    </xf>
    <xf numFmtId="0" fontId="44" fillId="0" borderId="57" xfId="22" applyFont="1" applyBorder="1" applyAlignment="1">
      <alignment horizontal="center" vertical="center"/>
    </xf>
    <xf numFmtId="0" fontId="74" fillId="9" borderId="57" xfId="22" applyFont="1" applyFill="1" applyBorder="1" applyAlignment="1">
      <alignment horizontal="center" vertical="center"/>
    </xf>
    <xf numFmtId="186" fontId="44" fillId="0" borderId="57" xfId="22" applyNumberFormat="1" applyFont="1" applyBorder="1" applyAlignment="1">
      <alignment horizontal="center" vertical="center"/>
    </xf>
    <xf numFmtId="20" fontId="44" fillId="0" borderId="57" xfId="22" applyNumberFormat="1" applyFont="1" applyBorder="1" applyAlignment="1">
      <alignment horizontal="center" vertical="center"/>
    </xf>
    <xf numFmtId="20" fontId="37" fillId="10" borderId="57" xfId="22" applyNumberFormat="1" applyFont="1" applyFill="1" applyBorder="1" applyAlignment="1">
      <alignment horizontal="center" vertical="center"/>
    </xf>
    <xf numFmtId="184" fontId="38" fillId="0" borderId="57" xfId="22" applyNumberFormat="1" applyFont="1" applyBorder="1" applyAlignment="1">
      <alignment horizontal="center" vertical="center"/>
    </xf>
    <xf numFmtId="0" fontId="37" fillId="0" borderId="57" xfId="22" applyFont="1" applyBorder="1" applyAlignment="1">
      <alignment horizontal="center" vertical="center" wrapText="1"/>
    </xf>
    <xf numFmtId="0" fontId="44" fillId="0" borderId="57" xfId="22" applyFont="1" applyBorder="1" applyAlignment="1">
      <alignment horizontal="center" vertical="center" wrapText="1"/>
    </xf>
    <xf numFmtId="0" fontId="37" fillId="0" borderId="57" xfId="22" applyFont="1" applyBorder="1" applyAlignment="1">
      <alignment vertical="center" wrapText="1"/>
    </xf>
    <xf numFmtId="0" fontId="101" fillId="11" borderId="57" xfId="22" applyFont="1" applyFill="1" applyBorder="1" applyAlignment="1">
      <alignment horizontal="center" vertical="center" wrapText="1"/>
    </xf>
    <xf numFmtId="0" fontId="48" fillId="4" borderId="57" xfId="22" applyFont="1" applyFill="1" applyBorder="1" applyAlignment="1">
      <alignment horizontal="center" vertical="center" wrapText="1"/>
    </xf>
    <xf numFmtId="0" fontId="91" fillId="9" borderId="96" xfId="22" applyFont="1" applyFill="1" applyBorder="1" applyAlignment="1">
      <alignment horizontal="center" vertical="center"/>
    </xf>
    <xf numFmtId="186" fontId="47" fillId="0" borderId="96" xfId="22" applyNumberFormat="1" applyFont="1" applyBorder="1" applyAlignment="1">
      <alignment horizontal="center" vertical="center"/>
    </xf>
    <xf numFmtId="20" fontId="47" fillId="0" borderId="96" xfId="22" applyNumberFormat="1" applyFont="1" applyBorder="1" applyAlignment="1">
      <alignment horizontal="center" vertical="center"/>
    </xf>
    <xf numFmtId="184" fontId="88" fillId="10" borderId="96" xfId="22" applyNumberFormat="1" applyFont="1" applyFill="1" applyBorder="1" applyAlignment="1">
      <alignment horizontal="center" vertical="center"/>
    </xf>
    <xf numFmtId="0" fontId="43" fillId="0" borderId="96" xfId="22" applyFont="1" applyBorder="1" applyAlignment="1">
      <alignment horizontal="center" vertical="center"/>
    </xf>
    <xf numFmtId="0" fontId="43" fillId="0" borderId="96" xfId="22" applyFont="1" applyBorder="1" applyAlignment="1">
      <alignment horizontal="center" vertical="center" wrapText="1"/>
    </xf>
    <xf numFmtId="0" fontId="43" fillId="0" borderId="96" xfId="22" applyFont="1" applyBorder="1" applyAlignment="1">
      <alignment vertical="center" wrapText="1"/>
    </xf>
    <xf numFmtId="0" fontId="91" fillId="4" borderId="96" xfId="22" applyFont="1" applyFill="1" applyBorder="1" applyAlignment="1">
      <alignment horizontal="center" vertical="center"/>
    </xf>
    <xf numFmtId="0" fontId="48" fillId="0" borderId="97" xfId="22" applyFont="1" applyBorder="1" applyAlignment="1">
      <alignment vertical="center" wrapText="1"/>
    </xf>
    <xf numFmtId="0" fontId="91" fillId="10" borderId="98" xfId="22" applyFont="1" applyFill="1" applyBorder="1" applyAlignment="1">
      <alignment horizontal="centerContinuous" vertical="center"/>
    </xf>
    <xf numFmtId="0" fontId="83" fillId="10" borderId="74" xfId="22" applyFont="1" applyFill="1" applyBorder="1" applyAlignment="1">
      <alignment horizontal="centerContinuous" vertical="center"/>
    </xf>
    <xf numFmtId="0" fontId="70" fillId="10" borderId="75" xfId="22" applyFont="1" applyFill="1" applyBorder="1" applyAlignment="1">
      <alignment horizontal="centerContinuous" vertical="center"/>
    </xf>
    <xf numFmtId="186" fontId="83" fillId="10" borderId="75" xfId="22" applyNumberFormat="1" applyFont="1" applyFill="1" applyBorder="1" applyAlignment="1">
      <alignment horizontal="center" vertical="center"/>
    </xf>
    <xf numFmtId="20" fontId="83" fillId="10" borderId="75" xfId="22" applyNumberFormat="1" applyFont="1" applyFill="1" applyBorder="1" applyAlignment="1">
      <alignment horizontal="center" vertical="center"/>
    </xf>
    <xf numFmtId="184" fontId="83" fillId="10" borderId="75" xfId="22" applyNumberFormat="1" applyFont="1" applyFill="1" applyBorder="1" applyAlignment="1">
      <alignment horizontal="center" vertical="center"/>
    </xf>
    <xf numFmtId="0" fontId="83" fillId="10" borderId="75" xfId="22" applyFont="1" applyFill="1" applyBorder="1" applyAlignment="1">
      <alignment horizontal="center" vertical="center" wrapText="1"/>
    </xf>
    <xf numFmtId="0" fontId="83" fillId="10" borderId="75" xfId="22" applyFont="1" applyFill="1" applyBorder="1" applyAlignment="1">
      <alignment horizontal="center" vertical="center"/>
    </xf>
    <xf numFmtId="0" fontId="83" fillId="10" borderId="75" xfId="22" applyFont="1" applyFill="1" applyBorder="1" applyAlignment="1">
      <alignment vertical="center" wrapText="1"/>
    </xf>
    <xf numFmtId="0" fontId="70" fillId="10" borderId="99" xfId="22" applyFont="1" applyFill="1" applyBorder="1" applyAlignment="1">
      <alignment horizontal="center" vertical="center" wrapText="1"/>
    </xf>
    <xf numFmtId="0" fontId="84" fillId="10" borderId="99" xfId="22" applyFont="1" applyFill="1" applyBorder="1" applyAlignment="1">
      <alignment horizontal="center" vertical="center" wrapText="1"/>
    </xf>
    <xf numFmtId="0" fontId="85" fillId="10" borderId="38" xfId="22" applyFont="1" applyFill="1" applyBorder="1" applyAlignment="1">
      <alignment horizontal="center" vertical="center" wrapText="1"/>
    </xf>
    <xf numFmtId="0" fontId="35" fillId="0" borderId="100" xfId="22" applyFont="1" applyBorder="1" applyAlignment="1">
      <alignment horizontal="center" vertical="center" wrapText="1"/>
    </xf>
    <xf numFmtId="0" fontId="41" fillId="0" borderId="55" xfId="22" applyFont="1" applyBorder="1" applyAlignment="1">
      <alignment horizontal="center" vertical="center"/>
    </xf>
    <xf numFmtId="0" fontId="35" fillId="0" borderId="101" xfId="22" applyFont="1" applyBorder="1" applyAlignment="1">
      <alignment horizontal="center" vertical="center" wrapText="1"/>
    </xf>
    <xf numFmtId="0" fontId="58" fillId="0" borderId="66" xfId="22" applyFont="1" applyBorder="1" applyAlignment="1">
      <alignment horizontal="center" vertical="center" wrapText="1"/>
    </xf>
    <xf numFmtId="0" fontId="102" fillId="0" borderId="14" xfId="22" applyFont="1" applyBorder="1" applyAlignment="1">
      <alignment horizontal="center" vertical="center" wrapText="1"/>
    </xf>
    <xf numFmtId="0" fontId="102" fillId="0" borderId="57" xfId="22" applyFont="1" applyBorder="1" applyAlignment="1">
      <alignment horizontal="center" vertical="center" wrapText="1"/>
    </xf>
    <xf numFmtId="0" fontId="103" fillId="0" borderId="0" xfId="0" applyFont="1">
      <alignment vertical="center"/>
    </xf>
    <xf numFmtId="0" fontId="35" fillId="0" borderId="102" xfId="22" applyFont="1" applyBorder="1" applyAlignment="1">
      <alignment horizontal="center" vertical="center" wrapText="1"/>
    </xf>
    <xf numFmtId="0" fontId="16" fillId="0" borderId="0" xfId="10" applyFont="1"/>
    <xf numFmtId="180" fontId="97" fillId="0" borderId="0" xfId="3" applyNumberFormat="1" applyFont="1" applyAlignment="1">
      <alignment vertical="center"/>
    </xf>
    <xf numFmtId="180" fontId="57" fillId="0" borderId="0" xfId="3" applyNumberFormat="1" applyFont="1"/>
    <xf numFmtId="49" fontId="104" fillId="12" borderId="103" xfId="22" quotePrefix="1" applyNumberFormat="1" applyFont="1" applyFill="1" applyBorder="1" applyAlignment="1">
      <alignment horizontal="center" vertical="center" wrapText="1"/>
    </xf>
    <xf numFmtId="0" fontId="107" fillId="11" borderId="32" xfId="22" applyFont="1" applyFill="1" applyBorder="1" applyAlignment="1">
      <alignment horizontal="center" vertical="center" wrapText="1"/>
    </xf>
    <xf numFmtId="0" fontId="108" fillId="4" borderId="32" xfId="22" applyFont="1" applyFill="1" applyBorder="1" applyAlignment="1">
      <alignment horizontal="center" vertical="center" wrapText="1"/>
    </xf>
    <xf numFmtId="0" fontId="109" fillId="9" borderId="32" xfId="22" applyFont="1" applyFill="1" applyBorder="1" applyAlignment="1">
      <alignment horizontal="center" vertical="center" wrapText="1"/>
    </xf>
    <xf numFmtId="0" fontId="108" fillId="4" borderId="58" xfId="22" applyFont="1" applyFill="1" applyBorder="1" applyAlignment="1">
      <alignment horizontal="center" vertical="center" wrapText="1"/>
    </xf>
    <xf numFmtId="0" fontId="110" fillId="16" borderId="104" xfId="22" applyFont="1" applyFill="1" applyBorder="1" applyAlignment="1">
      <alignment horizontal="center" vertical="center" wrapText="1"/>
    </xf>
    <xf numFmtId="0" fontId="108" fillId="4" borderId="59" xfId="22" applyFont="1" applyFill="1" applyBorder="1" applyAlignment="1">
      <alignment horizontal="center" vertical="center" wrapText="1"/>
    </xf>
    <xf numFmtId="0" fontId="107" fillId="11" borderId="58" xfId="22" applyFont="1" applyFill="1" applyBorder="1" applyAlignment="1">
      <alignment horizontal="center" vertical="center" wrapText="1"/>
    </xf>
    <xf numFmtId="0" fontId="110" fillId="16" borderId="106" xfId="22" applyFont="1" applyFill="1" applyBorder="1" applyAlignment="1">
      <alignment horizontal="center" vertical="center" wrapText="1"/>
    </xf>
    <xf numFmtId="0" fontId="111" fillId="17" borderId="108" xfId="22" applyFont="1" applyFill="1" applyBorder="1" applyAlignment="1">
      <alignment horizontal="center" vertical="center" wrapText="1"/>
    </xf>
    <xf numFmtId="0" fontId="111" fillId="17" borderId="109" xfId="22" applyFont="1" applyFill="1" applyBorder="1" applyAlignment="1">
      <alignment horizontal="center" vertical="center" wrapText="1"/>
    </xf>
    <xf numFmtId="49" fontId="109" fillId="18" borderId="109" xfId="22" applyNumberFormat="1" applyFont="1" applyFill="1" applyBorder="1" applyAlignment="1">
      <alignment horizontal="center" vertical="center" wrapText="1"/>
    </xf>
    <xf numFmtId="0" fontId="109" fillId="17" borderId="109" xfId="22" applyFont="1" applyFill="1" applyBorder="1" applyAlignment="1">
      <alignment horizontal="center" vertical="center" wrapText="1"/>
    </xf>
    <xf numFmtId="0" fontId="111" fillId="17" borderId="110" xfId="22" applyFont="1" applyFill="1" applyBorder="1" applyAlignment="1">
      <alignment horizontal="center" vertical="center" wrapText="1"/>
    </xf>
    <xf numFmtId="0" fontId="110" fillId="16" borderId="107" xfId="22" applyFont="1" applyFill="1" applyBorder="1" applyAlignment="1">
      <alignment horizontal="center" vertical="center" wrapText="1"/>
    </xf>
    <xf numFmtId="0" fontId="108" fillId="4" borderId="0" xfId="22" applyFont="1" applyFill="1" applyAlignment="1">
      <alignment horizontal="center" vertical="center" wrapText="1"/>
    </xf>
    <xf numFmtId="0" fontId="108" fillId="4" borderId="64" xfId="22" applyFont="1" applyFill="1" applyBorder="1" applyAlignment="1">
      <alignment horizontal="center" vertical="center" wrapText="1"/>
    </xf>
    <xf numFmtId="2" fontId="109" fillId="4" borderId="69" xfId="22" applyNumberFormat="1" applyFont="1" applyFill="1" applyBorder="1" applyAlignment="1">
      <alignment horizontal="center" vertical="center"/>
    </xf>
    <xf numFmtId="0" fontId="109" fillId="4" borderId="46" xfId="22" applyFont="1" applyFill="1" applyBorder="1" applyAlignment="1">
      <alignment horizontal="center" vertical="center"/>
    </xf>
    <xf numFmtId="0" fontId="84" fillId="12" borderId="104" xfId="22" applyFont="1" applyFill="1" applyBorder="1" applyAlignment="1">
      <alignment horizontal="center" vertical="center" wrapText="1"/>
    </xf>
    <xf numFmtId="0" fontId="84" fillId="12" borderId="105" xfId="22" applyFont="1" applyFill="1" applyBorder="1" applyAlignment="1">
      <alignment horizontal="center" vertical="center" wrapText="1"/>
    </xf>
    <xf numFmtId="0" fontId="109" fillId="11" borderId="69" xfId="22" applyFont="1" applyFill="1" applyBorder="1" applyAlignment="1">
      <alignment horizontal="center" vertical="center"/>
    </xf>
    <xf numFmtId="0" fontId="112" fillId="9" borderId="96" xfId="22" applyFont="1" applyFill="1" applyBorder="1" applyAlignment="1">
      <alignment horizontal="center" vertical="center"/>
    </xf>
    <xf numFmtId="2" fontId="112" fillId="4" borderId="96" xfId="22" applyNumberFormat="1" applyFont="1" applyFill="1" applyBorder="1" applyAlignment="1">
      <alignment horizontal="center" vertical="center"/>
    </xf>
    <xf numFmtId="187" fontId="95" fillId="9" borderId="2" xfId="1" applyNumberFormat="1" applyFont="1" applyFill="1" applyBorder="1" applyAlignment="1">
      <alignment horizontal="center" vertical="center"/>
    </xf>
    <xf numFmtId="0" fontId="22" fillId="0" borderId="0" xfId="6" applyFont="1" applyAlignment="1">
      <alignment horizontal="center" vertical="center"/>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91" fillId="0" borderId="94" xfId="22" applyFont="1" applyBorder="1" applyAlignment="1">
      <alignment horizontal="center" vertical="center" wrapText="1"/>
    </xf>
    <xf numFmtId="0" fontId="91" fillId="0" borderId="95" xfId="22" applyFont="1" applyBorder="1" applyAlignment="1">
      <alignment horizontal="center" vertical="center" wrapText="1"/>
    </xf>
    <xf numFmtId="0" fontId="39" fillId="10" borderId="38" xfId="22" applyFont="1" applyFill="1" applyBorder="1" applyAlignment="1">
      <alignment horizontal="center" vertical="center" wrapText="1"/>
    </xf>
    <xf numFmtId="0" fontId="39" fillId="10" borderId="54" xfId="22" applyFont="1" applyFill="1" applyBorder="1" applyAlignment="1">
      <alignment horizontal="center" vertical="center" wrapText="1"/>
    </xf>
    <xf numFmtId="0" fontId="39" fillId="10" borderId="36" xfId="22" applyFont="1" applyFill="1" applyBorder="1" applyAlignment="1">
      <alignment horizontal="center" vertical="center"/>
    </xf>
    <xf numFmtId="0" fontId="39" fillId="10" borderId="50" xfId="22" applyFont="1" applyFill="1" applyBorder="1" applyAlignment="1">
      <alignment horizontal="center" vertical="center"/>
    </xf>
    <xf numFmtId="0" fontId="39" fillId="10" borderId="37" xfId="22" applyFont="1" applyFill="1" applyBorder="1" applyAlignment="1">
      <alignment horizontal="center" vertical="center"/>
    </xf>
    <xf numFmtId="0" fontId="39" fillId="10" borderId="51" xfId="22" applyFont="1" applyFill="1" applyBorder="1" applyAlignment="1">
      <alignment horizontal="center" vertical="center"/>
    </xf>
    <xf numFmtId="0" fontId="40" fillId="10" borderId="37" xfId="22" applyFont="1" applyFill="1" applyBorder="1" applyAlignment="1">
      <alignment horizontal="center" vertical="center" wrapText="1"/>
    </xf>
    <xf numFmtId="0" fontId="40" fillId="10" borderId="51" xfId="22" applyFont="1" applyFill="1" applyBorder="1" applyAlignment="1">
      <alignment horizontal="center" vertical="center"/>
    </xf>
    <xf numFmtId="0" fontId="40" fillId="10" borderId="37" xfId="22" applyFont="1" applyFill="1" applyBorder="1" applyAlignment="1">
      <alignment horizontal="center" vertical="center"/>
    </xf>
    <xf numFmtId="0" fontId="92" fillId="0" borderId="44" xfId="22" applyFont="1" applyBorder="1" applyAlignment="1">
      <alignment horizontal="center" vertical="center" wrapText="1"/>
    </xf>
    <xf numFmtId="0" fontId="92" fillId="0" borderId="45" xfId="22" applyFont="1" applyBorder="1" applyAlignment="1">
      <alignment horizontal="center" vertical="center" wrapText="1"/>
    </xf>
    <xf numFmtId="0" fontId="78" fillId="10" borderId="65" xfId="22" applyFont="1" applyFill="1" applyBorder="1" applyAlignment="1">
      <alignment horizontal="center" vertical="center"/>
    </xf>
    <xf numFmtId="0" fontId="78" fillId="10" borderId="70" xfId="22" applyFont="1" applyFill="1" applyBorder="1" applyAlignment="1">
      <alignment horizontal="center" vertical="center"/>
    </xf>
    <xf numFmtId="0" fontId="78" fillId="10" borderId="72" xfId="22" applyFont="1" applyFill="1" applyBorder="1" applyAlignment="1">
      <alignment horizontal="center" vertical="center"/>
    </xf>
    <xf numFmtId="0" fontId="66" fillId="0" borderId="44" xfId="22" applyFont="1" applyBorder="1" applyAlignment="1">
      <alignment horizontal="center" vertical="center" wrapText="1"/>
    </xf>
    <xf numFmtId="0" fontId="66" fillId="0" borderId="45" xfId="22" applyFont="1" applyBorder="1" applyAlignment="1">
      <alignment horizontal="center" vertical="center" wrapText="1"/>
    </xf>
    <xf numFmtId="0" fontId="39" fillId="10" borderId="37" xfId="22" applyFont="1" applyFill="1" applyBorder="1" applyAlignment="1">
      <alignment horizontal="center" vertical="center" wrapText="1"/>
    </xf>
    <xf numFmtId="0" fontId="39" fillId="10" borderId="51" xfId="22" applyFont="1" applyFill="1" applyBorder="1" applyAlignment="1">
      <alignment horizontal="center" vertical="center" wrapText="1"/>
    </xf>
    <xf numFmtId="0" fontId="113" fillId="21" borderId="96" xfId="22" applyFont="1" applyFill="1" applyBorder="1" applyAlignment="1">
      <alignment horizontal="center" vertical="center"/>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A0E396E7-5B8D-4EC2-88B0-28904EDC08F0}"/>
    <cellStyle name="쉼표 [0] 2 4 2" xfId="20" xr:uid="{82F7DE00-7E0F-4135-9D8B-23A5F95E9E50}"/>
    <cellStyle name="쉼표 [0] 2 4 2 2" xfId="24" xr:uid="{B8232248-A1AE-4BB1-8792-160BBB967084}"/>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5" xr:uid="{328D93E7-4E9D-4E41-B397-E75ED9AF4008}"/>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D65BC4F-7174-4F12-BDBA-BA32E4F0D8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620EFB75-189D-46B3-B333-D4F07EF812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51BFC076-7528-4839-AE81-B6BFBA3E3F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3EF490C-79AD-4E9C-9DF6-1391F8AE43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9C8553C5-6CCA-48F7-AF22-E5AF55C4D7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98C3363E-A2D2-4B03-96C9-8EDF97B86F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8E42BDEA-A1E3-4F2F-A18F-CAB45821AE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AEC03949-5F47-465B-B57F-B18EC6D0EC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2C447D7-3B4F-46A5-992D-28A33AA5C2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327F69CD-C437-4E24-A340-984D2AA1DC5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2EFB97DC-A2BF-427A-89D9-6D287021FC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3D04654-324F-4AE6-B26F-C8AD286815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CF5C4603-A23F-46B1-9913-0458B16A7B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2653C5B-B077-4460-8B87-3277AA1FD3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58F41B5C-3A18-4A7A-8BC1-50924D4A474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133EB9BA-1B8E-48BB-AED2-FC4C13F5AF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F5FA13F-2F28-465C-BDF1-72C38845EF5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F67F748F-0807-4B7E-B013-BC7DDE020B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CE95B637-85C6-48E5-A74F-1C83B64999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4C5141EC-219F-474A-AE82-263806F9E49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FA1F39CC-6F31-4602-9B1D-32C2827F3C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0E7791F0-39F7-4955-8374-0D2A785CE5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5550B42B-9815-4AE4-B26B-2368FDAC5B0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361AA554-32B0-46C3-BD40-4CF5E0DB1FB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79E3EB47-D96A-4964-85FB-C4F4D7C65D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72130DCA-E4F3-4382-B749-AEA4CBFD3F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44D0AE86-7190-42FF-95F5-5FF660530CB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902C9D71-E6FB-489F-8215-555ACE9A1D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E9ABB500-39A6-400B-A060-DB991627F8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CBDA6906-75CB-4AF4-997D-6933370EBEB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5C8224D5-ACE7-4DB8-89CF-6C8AB2356D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AF5C288F-ED79-4DE7-A4F9-C8DA059978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031FC4D8-52F0-4A70-8F5D-467DBB0220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9AF22594-8BC7-44AB-BE83-961B18391B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EC60928C-CE7A-430B-B5B6-B610843951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61FAF88F-8F40-47F9-8A0E-69648B5C14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C9BA604B-7D0A-4439-A80A-DD75931023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454DE7E6-DF21-4E77-BA49-9B423A44B9C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1D66BA31-62DA-4389-8B49-CAD6718558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DAC171B-0272-4215-8008-21218889A0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410CC250-6DE4-4ED0-935A-EEF87D0901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5EE31494-1802-41AA-A6BD-7EBFF66266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4057111E-9964-4885-931C-5C7B78F779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3000E5C6-A44E-4228-ABFB-4BB3ADBB9B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2C1A31B3-8F09-4B9D-A4AE-1D4E4FB7BA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A1471933-3280-43ED-AF91-749FE44797E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57421D83-489E-434C-B2CC-7850B70946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A07D52C1-3752-42D8-9693-217A300401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14993479-F0FE-469D-8ADB-D08D13D6025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4C1F707A-A05D-48A3-A97F-C4ED04691C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FA0F34EC-D35C-4AE3-8F2D-058523D055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3E2EC66E-5043-4C1C-A9C0-33C3399321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AD1CA1CA-60A8-496D-AA43-117963B431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57C97FE6-EF0A-45F0-BDD1-45D3C243D9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1FABCB4C-5BD7-4809-BF93-96F036E6DF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50CD11F-321E-411D-A603-4B984F79E7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9E789DA5-68AC-47D4-8E20-763BFE92D2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B012F44E-7E39-4A50-A8D6-5A88DC74F0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482E939E-4C71-4714-8920-66FF594DC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9FB3329D-CCD4-436C-8B09-B10B153677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26288DEC-5713-4D9B-BFE6-344473A51AD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29E22DD0-8972-4720-8F21-1FE062633CB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A2484BA7-9849-407E-A595-CBFC886EB6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74A1EE7C-8A69-40A8-82EF-3E8FEB36264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0EF8B080-5EBC-4D5E-B23C-A70CF66A9E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8C15EBBD-BF79-4623-8FD2-9409FB7470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9FFAA5C9-D6B8-4EC1-9E5B-BEB1D16B09B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454609C0-C002-4C39-8D60-DF8A184DAB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2F34D7DB-55A2-4924-A683-ECF802276F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B5111709-39DD-406F-97D8-7273EE114B8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B49722F1-D63D-4B86-8AEB-B057C45706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FE5C85CA-B640-41CD-B17F-D24B0FA786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A22170C-EA73-4AA9-BF7C-9004A27B5C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06530AF7-75AA-4757-8676-275171FB14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29E3D2EE-0021-4EC4-9B17-CF8EA7760E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803DD086-B85C-46E4-85EC-917E35BF55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C0C472A7-BD6E-4110-B513-317730D43C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720EA8ED-D49E-4869-BE62-869DD74EE66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6F88B3E0-622F-449B-91FE-9E6AE61013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6378E39B-799E-4CA9-8DA5-D02C4CD6EA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3F83EDC3-4114-450D-9257-9A377EEAC9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41B6ECAD-EAA8-4BF4-813A-DFF772D118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4E00F9BF-D2FB-403C-8DDE-0E32ACB3BE5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674855B8-1548-4B7F-9C07-5F8CA913411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B5890187-1EAC-46C6-BF8A-81FB967539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B774127F-EDE0-4E6C-A601-77BDDA5FF0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97C9DDC1-E6DB-4AD7-9876-F0FCBF6ADB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1D39F937-8592-4144-B339-3582139637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C4D462D2-6F20-4C00-809E-924ACCAC43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A0361023-3E12-4E02-8FFE-02930FD83E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7C8EF5AD-3DD7-4CC0-A0B7-348DEC3FBC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D172309A-AF8D-4B1B-9A13-F303DFA315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D8767F39-77CE-4FBC-B33C-D6AEF5C15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8A56E285-0A93-414B-A62A-72AF53D7D8C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356D911A-1D2A-46A5-BA3D-55241952BE71}"/>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50358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9CF9D000-1270-4B9A-9332-ECB6973E98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0C05E2E5-D4FA-4C2E-932D-DC6270EA3F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30DC387-F3C3-4C88-B9BA-277D446532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1085FE03-0885-45C3-BF2C-5FE6EFD7A7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B4900B3A-A822-47E3-9DE7-1708CCA637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C822E424-C9AF-4435-BCBD-798089FBB2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F9C52948-0F7B-4D25-8514-7CAEAB257C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8765CCD7-89F4-443B-A505-423D0CD9B5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DCF220D6-E2C6-4B9D-8711-EBB4F13075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C724D69-BFA5-4813-9A86-8DEECA8879C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D555770B-A07A-43E1-ADA7-A79B08AD5E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8B1B46F-3CBF-4C44-9DCB-5F4D0C8EA84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47CAA389-2A0D-47FE-A523-22B3ADC73B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36DE89CA-DAF7-4D52-BF73-DF36380437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682726D-64F6-409C-8331-96CB2C1610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F68211E3-65AC-4117-BC2E-7F845EFEB9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0120-7B24-4D88-9175-0296412852CF}">
  <sheetPr>
    <pageSetUpPr fitToPage="1"/>
  </sheetPr>
  <dimension ref="A2:I39"/>
  <sheetViews>
    <sheetView showGridLines="0" topLeftCell="A13" zoomScale="70" zoomScaleNormal="70" workbookViewId="0">
      <selection activeCell="A10" sqref="A10"/>
    </sheetView>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c r="A2" s="422" t="s">
        <v>1</v>
      </c>
      <c r="B2" s="422"/>
      <c r="C2" s="422"/>
      <c r="D2" s="422"/>
      <c r="E2" s="422"/>
      <c r="F2" s="422"/>
      <c r="G2" s="422"/>
      <c r="H2" s="2"/>
    </row>
    <row r="3" spans="1:9" ht="14.25">
      <c r="A3" s="178"/>
      <c r="B3" s="178"/>
      <c r="C3" s="178"/>
      <c r="D3" s="178"/>
      <c r="E3" s="178"/>
      <c r="F3" s="178"/>
      <c r="G3" s="178"/>
      <c r="H3" s="178"/>
    </row>
    <row r="4" spans="1:9" ht="14.25">
      <c r="A4" s="178"/>
      <c r="B4" s="178"/>
      <c r="C4" s="178"/>
      <c r="D4" s="178"/>
      <c r="E4" s="178"/>
      <c r="H4" s="178"/>
    </row>
    <row r="5" spans="1:9" ht="27" customHeight="1">
      <c r="A5" s="179" t="s">
        <v>41</v>
      </c>
      <c r="B5" s="4"/>
      <c r="C5" s="5"/>
      <c r="D5" s="178"/>
      <c r="E5" s="178"/>
      <c r="F5" s="6" t="s">
        <v>31</v>
      </c>
      <c r="G5" s="7" t="s">
        <v>45</v>
      </c>
      <c r="H5" s="178"/>
    </row>
    <row r="6" spans="1:9" ht="27" customHeight="1">
      <c r="A6" s="178"/>
      <c r="B6" s="178"/>
      <c r="C6" s="178"/>
      <c r="D6" s="178"/>
      <c r="E6" s="178"/>
      <c r="F6" s="8" t="s">
        <v>34</v>
      </c>
      <c r="G6" s="9" t="s">
        <v>46</v>
      </c>
      <c r="H6" s="178"/>
    </row>
    <row r="7" spans="1:9" ht="27" customHeight="1">
      <c r="A7" s="423" t="s">
        <v>217</v>
      </c>
      <c r="B7" s="424"/>
      <c r="C7" s="425"/>
      <c r="D7" s="178"/>
      <c r="E7" s="10"/>
      <c r="F7" s="11" t="s">
        <v>35</v>
      </c>
      <c r="G7" s="9" t="s">
        <v>47</v>
      </c>
      <c r="H7" s="178"/>
    </row>
    <row r="8" spans="1:9" ht="27" customHeight="1">
      <c r="A8" s="178"/>
      <c r="B8" s="178"/>
      <c r="C8" s="178"/>
      <c r="D8" s="178"/>
      <c r="E8" s="178"/>
      <c r="F8" s="8" t="s">
        <v>36</v>
      </c>
      <c r="G8" s="9" t="s">
        <v>48</v>
      </c>
      <c r="H8" s="178"/>
    </row>
    <row r="9" spans="1:9" ht="27" customHeight="1">
      <c r="A9" s="423" t="s">
        <v>219</v>
      </c>
      <c r="B9" s="424"/>
      <c r="C9" s="425"/>
      <c r="D9" s="178"/>
      <c r="E9" s="178"/>
      <c r="F9" s="8" t="s">
        <v>37</v>
      </c>
      <c r="G9" s="9" t="s">
        <v>49</v>
      </c>
      <c r="H9" s="178"/>
    </row>
    <row r="10" spans="1:9" ht="27" customHeight="1">
      <c r="A10" s="178"/>
      <c r="B10" s="178"/>
      <c r="C10" s="178"/>
      <c r="D10" s="178"/>
      <c r="E10" s="178"/>
      <c r="F10" s="12" t="s">
        <v>32</v>
      </c>
      <c r="G10" s="13" t="s">
        <v>50</v>
      </c>
      <c r="H10" s="178"/>
      <c r="I10" s="178"/>
    </row>
    <row r="11" spans="1:9" ht="27" customHeight="1">
      <c r="A11" s="426"/>
      <c r="B11" s="427"/>
      <c r="C11" s="427"/>
      <c r="D11" s="178"/>
      <c r="E11" s="14"/>
      <c r="F11" s="15" t="s">
        <v>33</v>
      </c>
      <c r="G11" s="16" t="s">
        <v>51</v>
      </c>
      <c r="H11" s="14"/>
    </row>
    <row r="12" spans="1:9" ht="18.75" thickBot="1">
      <c r="A12" s="17" t="s">
        <v>2</v>
      </c>
      <c r="B12" s="17" t="str">
        <f>NUMBERSTRING(F31,1)</f>
        <v>사백오십오만육천</v>
      </c>
      <c r="C12" s="18"/>
      <c r="D12" s="1" t="s">
        <v>3</v>
      </c>
      <c r="E12" s="1" t="s">
        <v>4</v>
      </c>
      <c r="F12" s="1" t="s">
        <v>4</v>
      </c>
      <c r="G12" s="1"/>
      <c r="H12" s="19"/>
    </row>
    <row r="13" spans="1:9" ht="15.75" thickTop="1" thickBot="1">
      <c r="A13" s="178"/>
      <c r="B13" s="178"/>
      <c r="C13" s="178"/>
      <c r="D13" s="178"/>
      <c r="E13" s="178"/>
      <c r="F13" s="178"/>
      <c r="G13" s="178"/>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'내역서(표준단가)'!O7</f>
        <v>1166983.4749999999</v>
      </c>
      <c r="G16" s="34"/>
    </row>
    <row r="17" spans="1:7" ht="33" customHeight="1">
      <c r="A17" s="29"/>
      <c r="B17" s="30" t="s">
        <v>14</v>
      </c>
      <c r="C17" s="31"/>
      <c r="D17" s="32"/>
      <c r="E17" s="32"/>
      <c r="F17" s="33">
        <f>'내역서(표준단가)'!Q7</f>
        <v>2746995.5249999999</v>
      </c>
      <c r="G17" s="35"/>
    </row>
    <row r="18" spans="1:7" ht="33" customHeight="1">
      <c r="A18" s="29"/>
      <c r="B18" s="30" t="s">
        <v>15</v>
      </c>
      <c r="C18" s="31"/>
      <c r="D18" s="32"/>
      <c r="E18" s="32"/>
      <c r="F18" s="33">
        <f>'내역서(표준단가)'!S7+'내역서(표준단가)'!U7</f>
        <v>0</v>
      </c>
      <c r="G18" s="35"/>
    </row>
    <row r="19" spans="1:7" ht="33" customHeight="1">
      <c r="A19" s="29"/>
      <c r="B19" s="36" t="s">
        <v>16</v>
      </c>
      <c r="C19" s="36"/>
      <c r="D19" s="37"/>
      <c r="E19" s="37"/>
      <c r="F19" s="38">
        <f>F16+F17+F18</f>
        <v>3913979</v>
      </c>
      <c r="G19" s="35"/>
    </row>
    <row r="20" spans="1:7" ht="33" customHeight="1">
      <c r="A20" s="29"/>
      <c r="B20" s="39" t="s">
        <v>17</v>
      </c>
      <c r="C20" s="40"/>
      <c r="D20" s="32"/>
      <c r="E20" s="32"/>
      <c r="F20" s="41"/>
      <c r="G20" s="35"/>
    </row>
    <row r="21" spans="1:7" ht="33" customHeight="1">
      <c r="A21" s="29"/>
      <c r="B21" s="218" t="s">
        <v>18</v>
      </c>
      <c r="C21" s="40" t="s">
        <v>19</v>
      </c>
      <c r="D21" s="30">
        <v>1</v>
      </c>
      <c r="E21" s="30" t="s">
        <v>20</v>
      </c>
      <c r="F21" s="42">
        <f>F17*4.5%</f>
        <v>123614.798625</v>
      </c>
      <c r="G21" s="35" t="s">
        <v>21</v>
      </c>
    </row>
    <row r="22" spans="1:7" ht="33" customHeight="1">
      <c r="A22" s="29"/>
      <c r="B22" s="219" t="s">
        <v>22</v>
      </c>
      <c r="C22" s="43" t="s">
        <v>42</v>
      </c>
      <c r="D22" s="44">
        <v>1</v>
      </c>
      <c r="E22" s="44" t="s">
        <v>20</v>
      </c>
      <c r="F22" s="45">
        <f>F17*3.545%</f>
        <v>97380.99136125001</v>
      </c>
      <c r="G22" s="46" t="s">
        <v>21</v>
      </c>
    </row>
    <row r="23" spans="1:7" ht="33" customHeight="1">
      <c r="A23" s="29"/>
      <c r="B23" s="218" t="s">
        <v>23</v>
      </c>
      <c r="C23" s="40" t="s">
        <v>43</v>
      </c>
      <c r="D23" s="30">
        <v>1</v>
      </c>
      <c r="E23" s="30" t="s">
        <v>20</v>
      </c>
      <c r="F23" s="42">
        <f>F22*12.95%</f>
        <v>12610.838381281877</v>
      </c>
      <c r="G23" s="35" t="s">
        <v>21</v>
      </c>
    </row>
    <row r="24" spans="1:7" ht="33" customHeight="1">
      <c r="A24" s="29"/>
      <c r="B24" s="218" t="s">
        <v>24</v>
      </c>
      <c r="C24" s="40" t="s">
        <v>39</v>
      </c>
      <c r="D24" s="30">
        <v>1</v>
      </c>
      <c r="E24" s="30" t="s">
        <v>20</v>
      </c>
      <c r="F24" s="42">
        <f>F17*1.01%</f>
        <v>27744.654802499997</v>
      </c>
      <c r="G24" s="35" t="s">
        <v>21</v>
      </c>
    </row>
    <row r="25" spans="1:7" ht="33" customHeight="1">
      <c r="A25" s="29"/>
      <c r="B25" s="218" t="s">
        <v>25</v>
      </c>
      <c r="C25" s="40" t="s">
        <v>44</v>
      </c>
      <c r="D25" s="30">
        <v>1</v>
      </c>
      <c r="E25" s="30" t="s">
        <v>20</v>
      </c>
      <c r="F25" s="42">
        <f>F17*3.56%</f>
        <v>97793.040689999994</v>
      </c>
      <c r="G25" s="35" t="s">
        <v>21</v>
      </c>
    </row>
    <row r="26" spans="1:7" ht="33" customHeight="1">
      <c r="A26" s="29"/>
      <c r="B26" s="218" t="s">
        <v>26</v>
      </c>
      <c r="C26" s="47" t="s">
        <v>72</v>
      </c>
      <c r="D26" s="30">
        <v>1</v>
      </c>
      <c r="E26" s="30" t="s">
        <v>20</v>
      </c>
      <c r="F26" s="42">
        <f>(F16+F17)*3.11%</f>
        <v>121724.7469</v>
      </c>
      <c r="G26" s="35" t="s">
        <v>21</v>
      </c>
    </row>
    <row r="27" spans="1:7" ht="33" customHeight="1">
      <c r="A27" s="29"/>
      <c r="B27" s="218" t="s">
        <v>29</v>
      </c>
      <c r="C27" s="47" t="s">
        <v>30</v>
      </c>
      <c r="D27" s="30">
        <v>1</v>
      </c>
      <c r="E27" s="30" t="s">
        <v>20</v>
      </c>
      <c r="F27" s="42">
        <f>SUM(F17+F21+F22+F23+F24+F25+F26)*5%</f>
        <v>161393.22978800163</v>
      </c>
      <c r="G27" s="35"/>
    </row>
    <row r="28" spans="1:7" ht="33" customHeight="1">
      <c r="A28" s="29"/>
      <c r="B28" s="36" t="s">
        <v>16</v>
      </c>
      <c r="C28" s="48"/>
      <c r="D28" s="49"/>
      <c r="E28" s="37"/>
      <c r="F28" s="50">
        <f>F21+F22+F23+F24+F25+F26+F27</f>
        <v>642262.30054803356</v>
      </c>
      <c r="G28" s="35"/>
    </row>
    <row r="29" spans="1:7" ht="33" customHeight="1">
      <c r="A29" s="29"/>
      <c r="B29" s="40"/>
      <c r="C29" s="51"/>
      <c r="D29" s="52"/>
      <c r="E29" s="32"/>
      <c r="F29" s="53"/>
      <c r="G29" s="35"/>
    </row>
    <row r="30" spans="1:7" ht="33" customHeight="1">
      <c r="A30" s="29"/>
      <c r="B30" s="54"/>
      <c r="C30" s="51"/>
      <c r="D30" s="52"/>
      <c r="E30" s="32"/>
      <c r="F30" s="55">
        <f>F19+F28+F29</f>
        <v>4556241.3005480338</v>
      </c>
      <c r="G30" s="35"/>
    </row>
    <row r="31" spans="1:7" ht="33" customHeight="1">
      <c r="A31" s="29"/>
      <c r="B31" s="36" t="s">
        <v>27</v>
      </c>
      <c r="C31" s="36"/>
      <c r="D31" s="37"/>
      <c r="E31" s="37"/>
      <c r="F31" s="338">
        <f>ROUNDDOWN(F30,-3)</f>
        <v>4556000</v>
      </c>
      <c r="G31" s="35"/>
    </row>
    <row r="32" spans="1:7" ht="33" customHeight="1" thickBot="1">
      <c r="A32" s="56"/>
      <c r="B32" s="57" t="s">
        <v>28</v>
      </c>
      <c r="C32" s="58"/>
      <c r="D32" s="58"/>
      <c r="E32" s="58"/>
      <c r="F32" s="59"/>
      <c r="G32" s="328"/>
    </row>
    <row r="33" spans="2:7" ht="33.75" customHeight="1">
      <c r="B33" s="394"/>
      <c r="F33" s="395"/>
      <c r="G33" s="396"/>
    </row>
    <row r="34" spans="2:7" ht="24">
      <c r="B34" s="394"/>
      <c r="F34" s="395"/>
    </row>
    <row r="35" spans="2:7" ht="24">
      <c r="F35" s="395"/>
    </row>
    <row r="36" spans="2:7" ht="24">
      <c r="F36" s="395"/>
    </row>
    <row r="37" spans="2:7" ht="24">
      <c r="F37" s="395"/>
    </row>
    <row r="38" spans="2:7" ht="24">
      <c r="F38" s="395"/>
    </row>
    <row r="39" spans="2:7" ht="24">
      <c r="F39" s="395"/>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541C-747E-4607-A8F2-52E14B6B9D93}">
  <sheetPr>
    <pageSetUpPr fitToPage="1"/>
  </sheetPr>
  <dimension ref="A1:Z7"/>
  <sheetViews>
    <sheetView showGridLines="0" topLeftCell="J1" zoomScale="80" zoomScaleNormal="80" workbookViewId="0">
      <pane ySplit="4" topLeftCell="A5" activePane="bottomLeft" state="frozen"/>
      <selection pane="bottomLeft" activeCell="L8" sqref="L8"/>
    </sheetView>
  </sheetViews>
  <sheetFormatPr defaultColWidth="9" defaultRowHeight="38.1" customHeight="1"/>
  <cols>
    <col min="1" max="1" width="22.625" style="88" bestFit="1" customWidth="1"/>
    <col min="2" max="5" width="4.625" style="88" hidden="1" customWidth="1"/>
    <col min="6" max="6" width="9" style="78" hidden="1" customWidth="1"/>
    <col min="7" max="9" width="12.625" style="78" hidden="1" customWidth="1"/>
    <col min="10" max="10" width="26" style="75" customWidth="1"/>
    <col min="11" max="11" width="30.625" style="75" customWidth="1"/>
    <col min="12" max="12" width="8.75" style="78" customWidth="1"/>
    <col min="13" max="13" width="15.125" style="78" customWidth="1"/>
    <col min="14" max="14" width="10.625" style="78" bestFit="1" customWidth="1"/>
    <col min="15" max="15" width="17.25" style="78" bestFit="1" customWidth="1"/>
    <col min="16" max="16" width="12" style="78" bestFit="1" customWidth="1"/>
    <col min="17" max="17" width="17.25" style="78" bestFit="1" customWidth="1"/>
    <col min="18" max="18" width="9" style="78" hidden="1" customWidth="1"/>
    <col min="19" max="19" width="8.75" style="78" hidden="1" customWidth="1"/>
    <col min="20" max="20" width="10.5" style="78" hidden="1" customWidth="1"/>
    <col min="21" max="21" width="8.75" style="78" hidden="1" customWidth="1"/>
    <col min="22" max="22" width="15.625" style="78" bestFit="1" customWidth="1"/>
    <col min="23" max="23" width="10.625" style="60" hidden="1" customWidth="1"/>
    <col min="24" max="24" width="8.5" style="78" bestFit="1" customWidth="1"/>
    <col min="25" max="16384" width="9" style="78"/>
  </cols>
  <sheetData>
    <row r="1" spans="1:26" ht="19.899999999999999" customHeight="1">
      <c r="A1" s="430"/>
      <c r="B1" s="430"/>
      <c r="C1" s="430"/>
      <c r="D1" s="430"/>
      <c r="E1" s="430"/>
      <c r="F1" s="430"/>
      <c r="G1" s="430"/>
      <c r="H1" s="430"/>
      <c r="I1" s="430"/>
      <c r="N1" s="60"/>
      <c r="O1" s="180" t="s">
        <v>52</v>
      </c>
      <c r="Q1" s="180" t="s">
        <v>52</v>
      </c>
      <c r="S1" s="180" t="s">
        <v>52</v>
      </c>
      <c r="U1" s="180" t="s">
        <v>52</v>
      </c>
    </row>
    <row r="2" spans="1:26" ht="19.899999999999999" customHeight="1" thickBot="1">
      <c r="A2" s="430"/>
      <c r="B2" s="430"/>
      <c r="C2" s="430"/>
      <c r="D2" s="430"/>
      <c r="E2" s="430"/>
      <c r="F2" s="430"/>
      <c r="G2" s="430"/>
      <c r="H2" s="430"/>
      <c r="I2" s="430"/>
      <c r="N2" s="61"/>
      <c r="O2" s="62">
        <v>0.83499999999999996</v>
      </c>
      <c r="Q2" s="62">
        <v>0.83499999999999996</v>
      </c>
      <c r="S2" s="62">
        <v>0.83499999999999996</v>
      </c>
      <c r="U2" s="62">
        <v>0.83499999999999996</v>
      </c>
    </row>
    <row r="3" spans="1:26" ht="19.899999999999999" customHeight="1">
      <c r="A3" s="79"/>
      <c r="B3" s="80"/>
      <c r="C3" s="80"/>
      <c r="D3" s="80"/>
      <c r="E3" s="80"/>
      <c r="F3" s="80" t="s">
        <v>53</v>
      </c>
      <c r="G3" s="80"/>
      <c r="H3" s="80"/>
      <c r="I3" s="80"/>
      <c r="J3" s="431" t="s">
        <v>54</v>
      </c>
      <c r="K3" s="431"/>
      <c r="L3" s="432" t="s">
        <v>40</v>
      </c>
      <c r="M3" s="432" t="s">
        <v>0</v>
      </c>
      <c r="N3" s="434" t="s">
        <v>55</v>
      </c>
      <c r="O3" s="434"/>
      <c r="P3" s="434" t="s">
        <v>56</v>
      </c>
      <c r="Q3" s="434"/>
      <c r="R3" s="435" t="s">
        <v>57</v>
      </c>
      <c r="S3" s="435"/>
      <c r="T3" s="435" t="s">
        <v>58</v>
      </c>
      <c r="U3" s="435"/>
      <c r="V3" s="436" t="s">
        <v>59</v>
      </c>
      <c r="W3" s="438" t="s">
        <v>60</v>
      </c>
      <c r="X3" s="428" t="s">
        <v>38</v>
      </c>
    </row>
    <row r="4" spans="1:26" ht="19.899999999999999" customHeight="1">
      <c r="A4" s="63" t="s">
        <v>61</v>
      </c>
      <c r="B4" s="181"/>
      <c r="C4" s="181"/>
      <c r="D4" s="181"/>
      <c r="E4" s="181"/>
      <c r="F4" s="64" t="s">
        <v>62</v>
      </c>
      <c r="G4" s="64" t="s">
        <v>63</v>
      </c>
      <c r="H4" s="64" t="s">
        <v>64</v>
      </c>
      <c r="I4" s="64" t="s">
        <v>65</v>
      </c>
      <c r="J4" s="76" t="s">
        <v>66</v>
      </c>
      <c r="K4" s="76" t="s">
        <v>67</v>
      </c>
      <c r="L4" s="433"/>
      <c r="M4" s="433"/>
      <c r="N4" s="216" t="s">
        <v>68</v>
      </c>
      <c r="O4" s="65" t="s">
        <v>69</v>
      </c>
      <c r="P4" s="216" t="s">
        <v>70</v>
      </c>
      <c r="Q4" s="65" t="s">
        <v>69</v>
      </c>
      <c r="R4" s="65" t="s">
        <v>71</v>
      </c>
      <c r="S4" s="65" t="s">
        <v>69</v>
      </c>
      <c r="T4" s="65" t="s">
        <v>71</v>
      </c>
      <c r="U4" s="65" t="s">
        <v>69</v>
      </c>
      <c r="V4" s="437"/>
      <c r="W4" s="439"/>
      <c r="X4" s="429"/>
    </row>
    <row r="5" spans="1:26" s="81" customFormat="1" ht="38.1" customHeight="1">
      <c r="A5" s="66" t="str">
        <f t="shared" ref="A5:A6" si="0">F5&amp;G5&amp;H5&amp;I5</f>
        <v>L003</v>
      </c>
      <c r="B5" s="70"/>
      <c r="C5" s="70"/>
      <c r="D5" s="70"/>
      <c r="E5" s="70"/>
      <c r="F5" s="170"/>
      <c r="G5" s="171"/>
      <c r="H5" s="217"/>
      <c r="I5" s="170" t="s">
        <v>148</v>
      </c>
      <c r="J5" s="172" t="s">
        <v>199</v>
      </c>
      <c r="K5" s="172" t="s">
        <v>200</v>
      </c>
      <c r="L5" s="173" t="s">
        <v>149</v>
      </c>
      <c r="M5" s="336">
        <v>15</v>
      </c>
      <c r="N5" s="174"/>
      <c r="O5" s="74">
        <f t="shared" ref="O5" si="1">SUM(N5:N5)*M5*$O$2</f>
        <v>0</v>
      </c>
      <c r="P5" s="73">
        <v>219321</v>
      </c>
      <c r="Q5" s="67">
        <f t="shared" ref="Q5:Q6" si="2">(P5*M5)*$Q$2</f>
        <v>2746995.5249999999</v>
      </c>
      <c r="R5" s="68"/>
      <c r="S5" s="67">
        <f t="shared" ref="S5:S6" si="3">R5*M5*$S$2</f>
        <v>0</v>
      </c>
      <c r="T5" s="68"/>
      <c r="U5" s="67">
        <f t="shared" ref="U5:U6" si="4">T5*M5*$U$2</f>
        <v>0</v>
      </c>
      <c r="V5" s="68">
        <f t="shared" ref="V5:V6" si="5">SUM(O5+Q5)+S5+U5</f>
        <v>2746995.5249999999</v>
      </c>
      <c r="W5" s="72"/>
      <c r="X5" s="69"/>
    </row>
    <row r="6" spans="1:26" s="81" customFormat="1" ht="38.1" customHeight="1">
      <c r="A6" s="66" t="str">
        <f t="shared" si="0"/>
        <v>M020450310340103</v>
      </c>
      <c r="B6" s="70"/>
      <c r="C6" s="70"/>
      <c r="D6" s="70"/>
      <c r="E6" s="70"/>
      <c r="F6" s="170"/>
      <c r="G6" s="171"/>
      <c r="H6" s="217" t="s">
        <v>201</v>
      </c>
      <c r="I6" s="170"/>
      <c r="J6" s="172" t="s">
        <v>202</v>
      </c>
      <c r="K6" s="172" t="s">
        <v>203</v>
      </c>
      <c r="L6" s="173" t="s">
        <v>150</v>
      </c>
      <c r="M6" s="421">
        <v>38.29</v>
      </c>
      <c r="N6" s="174">
        <v>36500</v>
      </c>
      <c r="O6" s="74">
        <f t="shared" ref="O6" si="6">SUM(N6:N6)*M6*$O$2</f>
        <v>1166983.4749999999</v>
      </c>
      <c r="P6" s="73"/>
      <c r="Q6" s="67">
        <f t="shared" si="2"/>
        <v>0</v>
      </c>
      <c r="R6" s="68"/>
      <c r="S6" s="67">
        <f t="shared" si="3"/>
        <v>0</v>
      </c>
      <c r="T6" s="68"/>
      <c r="U6" s="67">
        <f t="shared" si="4"/>
        <v>0</v>
      </c>
      <c r="V6" s="68">
        <f t="shared" si="5"/>
        <v>1166983.4749999999</v>
      </c>
      <c r="W6" s="72"/>
      <c r="X6" s="69"/>
      <c r="Z6" s="348"/>
    </row>
    <row r="7" spans="1:26" s="87" customFormat="1" ht="38.1" customHeight="1">
      <c r="A7" s="82"/>
      <c r="B7" s="83"/>
      <c r="C7" s="83"/>
      <c r="D7" s="83"/>
      <c r="E7" s="83"/>
      <c r="F7" s="83"/>
      <c r="G7" s="83"/>
      <c r="H7" s="83"/>
      <c r="I7" s="83"/>
      <c r="J7" s="77"/>
      <c r="K7" s="77"/>
      <c r="L7" s="83"/>
      <c r="M7" s="83"/>
      <c r="N7" s="83"/>
      <c r="O7" s="337">
        <f>SUM(O5:O6)</f>
        <v>1166983.4749999999</v>
      </c>
      <c r="P7" s="85"/>
      <c r="Q7" s="337">
        <f>SUM(Q5:Q6)</f>
        <v>2746995.5249999999</v>
      </c>
      <c r="R7" s="85"/>
      <c r="S7" s="84">
        <f>SUM(S5:S6)</f>
        <v>0</v>
      </c>
      <c r="T7" s="85"/>
      <c r="U7" s="84">
        <f>SUM(U5:U6)</f>
        <v>0</v>
      </c>
      <c r="V7" s="86">
        <f>SUM(V5:V6)</f>
        <v>3913979</v>
      </c>
      <c r="W7" s="71"/>
      <c r="X7" s="83"/>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pageSetUpPr fitToPage="1"/>
  </sheetPr>
  <dimension ref="B1:AE65"/>
  <sheetViews>
    <sheetView showZeros="0" tabSelected="1" zoomScale="40" zoomScaleNormal="40" workbookViewId="0">
      <pane ySplit="5" topLeftCell="A50" activePane="bottomLeft" state="frozen"/>
      <selection pane="bottomLeft" activeCell="O60" sqref="O60"/>
    </sheetView>
  </sheetViews>
  <sheetFormatPr defaultRowHeight="16.5"/>
  <cols>
    <col min="1" max="1" width="1.625" customWidth="1"/>
    <col min="2" max="2" width="12" style="98" customWidth="1"/>
    <col min="3" max="3" width="11.375" style="98" bestFit="1" customWidth="1"/>
    <col min="4" max="4" width="15.25" style="98" customWidth="1"/>
    <col min="5" max="5" width="12.75" style="98" customWidth="1"/>
    <col min="6" max="6" width="11.125" style="98" bestFit="1" customWidth="1"/>
    <col min="7" max="7" width="12.75" style="98" customWidth="1"/>
    <col min="8" max="8" width="11.125" style="98" bestFit="1" customWidth="1"/>
    <col min="9" max="9" width="22.375" style="98" bestFit="1" customWidth="1"/>
    <col min="10" max="10" width="22.25" style="98" customWidth="1"/>
    <col min="11" max="11" width="9.75" style="98" bestFit="1" customWidth="1"/>
    <col min="12" max="12" width="8" style="98" bestFit="1" customWidth="1"/>
    <col min="13" max="13" width="11.75" style="98" bestFit="1" customWidth="1"/>
    <col min="14" max="14" width="73.25" style="98" bestFit="1" customWidth="1"/>
    <col min="15" max="15" width="20.625" style="98" bestFit="1" customWidth="1"/>
    <col min="16" max="16" width="18" style="98" bestFit="1" customWidth="1"/>
    <col min="17" max="17" width="11.75" style="98" bestFit="1" customWidth="1"/>
    <col min="18" max="18" width="19.875" style="98" bestFit="1" customWidth="1"/>
    <col min="19" max="19" width="17.375" style="98" customWidth="1"/>
    <col min="20" max="20" width="13.375" style="98" bestFit="1" customWidth="1"/>
    <col min="21" max="21" width="13.375" style="98" customWidth="1"/>
    <col min="22" max="22" width="22.625" style="98" bestFit="1" customWidth="1"/>
    <col min="23" max="24" width="22.625" style="98" customWidth="1"/>
    <col min="25" max="25" width="14.5" style="98" customWidth="1"/>
    <col min="26" max="26" width="34.25" bestFit="1" customWidth="1"/>
    <col min="27" max="27" width="1.625" customWidth="1"/>
    <col min="28" max="28" width="36.875" customWidth="1"/>
    <col min="30" max="30" width="16.375" bestFit="1" customWidth="1"/>
  </cols>
  <sheetData>
    <row r="1" spans="2:26" s="89" customFormat="1" ht="9.9499999999999993" customHeight="1"/>
    <row r="2" spans="2:26" s="89" customFormat="1" ht="47.25" thickBot="1">
      <c r="B2" s="207" t="s">
        <v>101</v>
      </c>
      <c r="C2" s="203" t="s">
        <v>102</v>
      </c>
      <c r="D2" s="204" t="s">
        <v>103</v>
      </c>
      <c r="E2" s="205" t="s">
        <v>104</v>
      </c>
      <c r="F2" s="205" t="s">
        <v>105</v>
      </c>
      <c r="G2" s="205" t="s">
        <v>106</v>
      </c>
      <c r="H2" s="205" t="s">
        <v>107</v>
      </c>
      <c r="I2" s="205"/>
      <c r="J2" s="205"/>
      <c r="K2" s="203" t="s">
        <v>73</v>
      </c>
      <c r="L2" s="203">
        <v>201</v>
      </c>
      <c r="M2" s="204" t="s">
        <v>74</v>
      </c>
      <c r="N2" s="206" t="s">
        <v>75</v>
      </c>
      <c r="O2" s="282"/>
      <c r="P2" s="283" t="s">
        <v>161</v>
      </c>
      <c r="Q2" s="90"/>
      <c r="R2" s="334"/>
      <c r="S2" s="335" t="s">
        <v>213</v>
      </c>
      <c r="T2" s="90"/>
      <c r="U2" s="90"/>
      <c r="V2" s="90"/>
      <c r="W2" s="90"/>
      <c r="X2" s="90"/>
      <c r="Y2" s="90"/>
      <c r="Z2" s="91"/>
    </row>
    <row r="3" spans="2:26" s="89" customFormat="1" ht="39" customHeight="1">
      <c r="B3" s="444" t="s">
        <v>108</v>
      </c>
      <c r="C3" s="446" t="s">
        <v>109</v>
      </c>
      <c r="D3" s="448" t="s">
        <v>116</v>
      </c>
      <c r="E3" s="450" t="s">
        <v>76</v>
      </c>
      <c r="F3" s="450"/>
      <c r="G3" s="450" t="s">
        <v>77</v>
      </c>
      <c r="H3" s="450"/>
      <c r="I3" s="92" t="s">
        <v>130</v>
      </c>
      <c r="J3" s="92" t="s">
        <v>131</v>
      </c>
      <c r="K3" s="446" t="s">
        <v>78</v>
      </c>
      <c r="L3" s="446" t="s">
        <v>79</v>
      </c>
      <c r="M3" s="446" t="s">
        <v>80</v>
      </c>
      <c r="N3" s="446" t="s">
        <v>81</v>
      </c>
      <c r="O3" s="458" t="s">
        <v>120</v>
      </c>
      <c r="P3" s="453" t="s">
        <v>117</v>
      </c>
      <c r="Q3" s="454"/>
      <c r="R3" s="454"/>
      <c r="S3" s="454"/>
      <c r="T3" s="454"/>
      <c r="U3" s="454"/>
      <c r="V3" s="454"/>
      <c r="W3" s="454"/>
      <c r="X3" s="454"/>
      <c r="Y3" s="455"/>
      <c r="Z3" s="442" t="s">
        <v>115</v>
      </c>
    </row>
    <row r="4" spans="2:26" s="89" customFormat="1" ht="77.25" thickBot="1">
      <c r="B4" s="445"/>
      <c r="C4" s="447"/>
      <c r="D4" s="449"/>
      <c r="E4" s="93" t="s">
        <v>110</v>
      </c>
      <c r="F4" s="94" t="s">
        <v>111</v>
      </c>
      <c r="G4" s="93" t="s">
        <v>110</v>
      </c>
      <c r="H4" s="94" t="s">
        <v>111</v>
      </c>
      <c r="I4" s="95" t="s">
        <v>112</v>
      </c>
      <c r="J4" s="95" t="s">
        <v>113</v>
      </c>
      <c r="K4" s="447"/>
      <c r="L4" s="447"/>
      <c r="M4" s="447"/>
      <c r="N4" s="447"/>
      <c r="O4" s="459"/>
      <c r="P4" s="389" t="s">
        <v>215</v>
      </c>
      <c r="Q4" s="182" t="s">
        <v>132</v>
      </c>
      <c r="R4" s="182" t="s">
        <v>133</v>
      </c>
      <c r="S4" s="182" t="s">
        <v>153</v>
      </c>
      <c r="T4" s="182" t="s">
        <v>154</v>
      </c>
      <c r="U4" s="182" t="s">
        <v>151</v>
      </c>
      <c r="V4" s="183" t="s">
        <v>152</v>
      </c>
      <c r="W4" s="232" t="s">
        <v>207</v>
      </c>
      <c r="X4" s="183" t="s">
        <v>206</v>
      </c>
      <c r="Y4" s="183" t="s">
        <v>205</v>
      </c>
      <c r="Z4" s="443"/>
    </row>
    <row r="5" spans="2:26" s="98" customFormat="1" ht="41.25">
      <c r="B5" s="331" t="s">
        <v>147</v>
      </c>
      <c r="C5" s="147"/>
      <c r="D5" s="148"/>
      <c r="E5" s="97"/>
      <c r="F5" s="97"/>
      <c r="G5" s="97"/>
      <c r="H5" s="97"/>
      <c r="I5" s="97"/>
      <c r="J5" s="97"/>
      <c r="K5" s="96"/>
      <c r="L5" s="96"/>
      <c r="M5" s="96"/>
      <c r="N5" s="96"/>
      <c r="O5" s="96"/>
      <c r="P5" s="96"/>
      <c r="Q5" s="96"/>
      <c r="R5" s="96"/>
      <c r="S5" s="96"/>
      <c r="T5" s="96"/>
      <c r="U5" s="96"/>
      <c r="V5" s="233"/>
      <c r="W5" s="234"/>
      <c r="X5" s="234"/>
      <c r="Y5" s="235"/>
      <c r="Z5" s="186"/>
    </row>
    <row r="6" spans="2:26" s="156" customFormat="1" ht="96">
      <c r="B6" s="149">
        <v>1</v>
      </c>
      <c r="C6" s="99" t="s">
        <v>114</v>
      </c>
      <c r="D6" s="195">
        <v>2</v>
      </c>
      <c r="E6" s="150">
        <v>45679</v>
      </c>
      <c r="F6" s="151">
        <v>0.375</v>
      </c>
      <c r="G6" s="150">
        <v>45679</v>
      </c>
      <c r="H6" s="152">
        <v>0.69444444444444453</v>
      </c>
      <c r="I6" s="153">
        <f t="shared" ref="I6:I24" si="0">H6-F6</f>
        <v>0.31944444444444453</v>
      </c>
      <c r="J6" s="154">
        <f t="shared" ref="J6:J17" si="1">I6*D6</f>
        <v>0.63888888888888906</v>
      </c>
      <c r="K6" s="100" t="s">
        <v>83</v>
      </c>
      <c r="L6" s="101" t="s">
        <v>84</v>
      </c>
      <c r="M6" s="102" t="s">
        <v>85</v>
      </c>
      <c r="N6" s="155" t="s">
        <v>86</v>
      </c>
      <c r="O6" s="308">
        <v>2</v>
      </c>
      <c r="P6" s="309"/>
      <c r="Q6" s="309">
        <v>4</v>
      </c>
      <c r="R6" s="309"/>
      <c r="S6" s="309"/>
      <c r="T6" s="309"/>
      <c r="U6" s="309"/>
      <c r="V6" s="310"/>
      <c r="W6" s="310"/>
      <c r="X6" s="310"/>
      <c r="Y6" s="311"/>
      <c r="Z6" s="187"/>
    </row>
    <row r="7" spans="2:26" s="156" customFormat="1" ht="96">
      <c r="B7" s="157">
        <v>2</v>
      </c>
      <c r="C7" s="103" t="s">
        <v>114</v>
      </c>
      <c r="D7" s="196">
        <v>2</v>
      </c>
      <c r="E7" s="158">
        <v>45680</v>
      </c>
      <c r="F7" s="151">
        <v>0.375</v>
      </c>
      <c r="G7" s="158">
        <v>45680</v>
      </c>
      <c r="H7" s="151">
        <v>0.6875</v>
      </c>
      <c r="I7" s="159">
        <f t="shared" si="0"/>
        <v>0.3125</v>
      </c>
      <c r="J7" s="160">
        <f t="shared" si="1"/>
        <v>0.625</v>
      </c>
      <c r="K7" s="105" t="s">
        <v>87</v>
      </c>
      <c r="L7" s="106" t="s">
        <v>88</v>
      </c>
      <c r="M7" s="107" t="s">
        <v>85</v>
      </c>
      <c r="N7" s="161" t="s">
        <v>119</v>
      </c>
      <c r="O7" s="312">
        <v>2</v>
      </c>
      <c r="P7" s="296" t="s">
        <v>82</v>
      </c>
      <c r="Q7" s="296">
        <v>2</v>
      </c>
      <c r="R7" s="296">
        <v>3</v>
      </c>
      <c r="S7" s="296"/>
      <c r="T7" s="296"/>
      <c r="U7" s="296"/>
      <c r="V7" s="298"/>
      <c r="W7" s="298"/>
      <c r="X7" s="298"/>
      <c r="Y7" s="299"/>
      <c r="Z7" s="188" t="s">
        <v>118</v>
      </c>
    </row>
    <row r="8" spans="2:26" s="156" customFormat="1" ht="96">
      <c r="B8" s="157">
        <v>3</v>
      </c>
      <c r="C8" s="103" t="s">
        <v>114</v>
      </c>
      <c r="D8" s="196">
        <v>2</v>
      </c>
      <c r="E8" s="158">
        <v>45681</v>
      </c>
      <c r="F8" s="151">
        <v>0.375</v>
      </c>
      <c r="G8" s="158">
        <v>45681</v>
      </c>
      <c r="H8" s="151">
        <v>0.69444444444444442</v>
      </c>
      <c r="I8" s="159">
        <f t="shared" si="0"/>
        <v>0.31944444444444442</v>
      </c>
      <c r="J8" s="160">
        <f t="shared" si="1"/>
        <v>0.63888888888888884</v>
      </c>
      <c r="K8" s="105" t="s">
        <v>125</v>
      </c>
      <c r="L8" s="106" t="s">
        <v>89</v>
      </c>
      <c r="M8" s="107" t="s">
        <v>85</v>
      </c>
      <c r="N8" s="161" t="s">
        <v>122</v>
      </c>
      <c r="O8" s="313">
        <v>2</v>
      </c>
      <c r="P8" s="314"/>
      <c r="Q8" s="314"/>
      <c r="R8" s="314" t="s">
        <v>82</v>
      </c>
      <c r="S8" s="314"/>
      <c r="T8" s="314"/>
      <c r="U8" s="314"/>
      <c r="V8" s="315"/>
      <c r="W8" s="315"/>
      <c r="X8" s="315"/>
      <c r="Y8" s="316"/>
      <c r="Z8" s="189" t="s">
        <v>82</v>
      </c>
    </row>
    <row r="9" spans="2:26" s="156" customFormat="1" ht="72">
      <c r="B9" s="157">
        <v>4</v>
      </c>
      <c r="C9" s="103" t="s">
        <v>114</v>
      </c>
      <c r="D9" s="196">
        <v>2</v>
      </c>
      <c r="E9" s="158">
        <v>45691</v>
      </c>
      <c r="F9" s="151">
        <v>0.375</v>
      </c>
      <c r="G9" s="158">
        <v>45691</v>
      </c>
      <c r="H9" s="151">
        <v>0.6875</v>
      </c>
      <c r="I9" s="159">
        <f t="shared" si="0"/>
        <v>0.3125</v>
      </c>
      <c r="J9" s="160">
        <f t="shared" si="1"/>
        <v>0.625</v>
      </c>
      <c r="K9" s="105" t="s">
        <v>126</v>
      </c>
      <c r="L9" s="106" t="s">
        <v>90</v>
      </c>
      <c r="M9" s="107" t="s">
        <v>85</v>
      </c>
      <c r="N9" s="163" t="s">
        <v>91</v>
      </c>
      <c r="O9" s="313">
        <v>2</v>
      </c>
      <c r="P9" s="314"/>
      <c r="Q9" s="314"/>
      <c r="R9" s="314"/>
      <c r="S9" s="314"/>
      <c r="T9" s="314"/>
      <c r="U9" s="314"/>
      <c r="V9" s="315"/>
      <c r="W9" s="315"/>
      <c r="X9" s="315"/>
      <c r="Y9" s="316"/>
      <c r="Z9" s="189" t="s">
        <v>82</v>
      </c>
    </row>
    <row r="10" spans="2:26" s="156" customFormat="1" ht="96">
      <c r="B10" s="157">
        <v>5</v>
      </c>
      <c r="C10" s="103" t="s">
        <v>114</v>
      </c>
      <c r="D10" s="197">
        <v>2</v>
      </c>
      <c r="E10" s="158">
        <v>45692</v>
      </c>
      <c r="F10" s="151">
        <v>0.375</v>
      </c>
      <c r="G10" s="158">
        <v>45692</v>
      </c>
      <c r="H10" s="151">
        <v>0.6875</v>
      </c>
      <c r="I10" s="159">
        <f t="shared" si="0"/>
        <v>0.3125</v>
      </c>
      <c r="J10" s="160">
        <f t="shared" si="1"/>
        <v>0.625</v>
      </c>
      <c r="K10" s="105" t="s">
        <v>127</v>
      </c>
      <c r="L10" s="106" t="s">
        <v>123</v>
      </c>
      <c r="M10" s="107" t="s">
        <v>85</v>
      </c>
      <c r="N10" s="163" t="s">
        <v>92</v>
      </c>
      <c r="O10" s="317">
        <v>1.5</v>
      </c>
      <c r="P10" s="296">
        <v>7</v>
      </c>
      <c r="Q10" s="296"/>
      <c r="R10" s="296"/>
      <c r="S10" s="296">
        <v>1</v>
      </c>
      <c r="T10" s="296"/>
      <c r="U10" s="296"/>
      <c r="V10" s="298">
        <v>1</v>
      </c>
      <c r="W10" s="298"/>
      <c r="X10" s="298"/>
      <c r="Y10" s="299"/>
      <c r="Z10" s="188" t="s">
        <v>82</v>
      </c>
    </row>
    <row r="11" spans="2:26" s="156" customFormat="1" ht="72">
      <c r="B11" s="157">
        <v>6</v>
      </c>
      <c r="C11" s="103" t="s">
        <v>114</v>
      </c>
      <c r="D11" s="197">
        <v>2</v>
      </c>
      <c r="E11" s="158">
        <v>45694</v>
      </c>
      <c r="F11" s="151">
        <v>0.375</v>
      </c>
      <c r="G11" s="158">
        <v>45694</v>
      </c>
      <c r="H11" s="151">
        <v>0.6875</v>
      </c>
      <c r="I11" s="159">
        <f t="shared" si="0"/>
        <v>0.3125</v>
      </c>
      <c r="J11" s="160">
        <f t="shared" si="1"/>
        <v>0.625</v>
      </c>
      <c r="K11" s="105">
        <v>8</v>
      </c>
      <c r="L11" s="106" t="s">
        <v>93</v>
      </c>
      <c r="M11" s="107" t="s">
        <v>85</v>
      </c>
      <c r="N11" s="163" t="s">
        <v>94</v>
      </c>
      <c r="O11" s="317">
        <v>1.5</v>
      </c>
      <c r="P11" s="296">
        <v>7</v>
      </c>
      <c r="Q11" s="296">
        <v>7</v>
      </c>
      <c r="R11" s="296"/>
      <c r="S11" s="296"/>
      <c r="T11" s="296"/>
      <c r="U11" s="296"/>
      <c r="V11" s="298"/>
      <c r="W11" s="298"/>
      <c r="X11" s="298"/>
      <c r="Y11" s="299"/>
      <c r="Z11" s="188" t="s">
        <v>82</v>
      </c>
    </row>
    <row r="12" spans="2:26" s="156" customFormat="1" ht="72.75" thickBot="1">
      <c r="B12" s="164">
        <v>7</v>
      </c>
      <c r="C12" s="110" t="s">
        <v>114</v>
      </c>
      <c r="D12" s="198">
        <v>2</v>
      </c>
      <c r="E12" s="165">
        <v>45695</v>
      </c>
      <c r="F12" s="166">
        <v>0.375</v>
      </c>
      <c r="G12" s="165">
        <v>45695</v>
      </c>
      <c r="H12" s="166">
        <v>0.6875</v>
      </c>
      <c r="I12" s="167">
        <f t="shared" si="0"/>
        <v>0.3125</v>
      </c>
      <c r="J12" s="168">
        <f t="shared" si="1"/>
        <v>0.625</v>
      </c>
      <c r="K12" s="111" t="s">
        <v>128</v>
      </c>
      <c r="L12" s="112" t="s">
        <v>95</v>
      </c>
      <c r="M12" s="113" t="s">
        <v>85</v>
      </c>
      <c r="N12" s="169" t="s">
        <v>96</v>
      </c>
      <c r="O12" s="318">
        <v>1.5</v>
      </c>
      <c r="P12" s="296">
        <v>7</v>
      </c>
      <c r="Q12" s="296" t="s">
        <v>82</v>
      </c>
      <c r="R12" s="296"/>
      <c r="S12" s="296"/>
      <c r="T12" s="296"/>
      <c r="U12" s="296"/>
      <c r="V12" s="298"/>
      <c r="W12" s="298"/>
      <c r="X12" s="298"/>
      <c r="Y12" s="299"/>
      <c r="Z12" s="188" t="s">
        <v>156</v>
      </c>
    </row>
    <row r="13" spans="2:26" s="98" customFormat="1" ht="72.75" thickTop="1">
      <c r="B13" s="260">
        <v>8</v>
      </c>
      <c r="C13" s="261" t="s">
        <v>114</v>
      </c>
      <c r="D13" s="262">
        <v>2</v>
      </c>
      <c r="E13" s="263">
        <v>45698</v>
      </c>
      <c r="F13" s="264">
        <v>0.54166666666666663</v>
      </c>
      <c r="G13" s="263">
        <v>45698</v>
      </c>
      <c r="H13" s="264">
        <v>0.6875</v>
      </c>
      <c r="I13" s="265">
        <f t="shared" si="0"/>
        <v>0.14583333333333337</v>
      </c>
      <c r="J13" s="266">
        <f t="shared" si="1"/>
        <v>0.29166666666666674</v>
      </c>
      <c r="K13" s="267" t="s">
        <v>129</v>
      </c>
      <c r="L13" s="268" t="s">
        <v>124</v>
      </c>
      <c r="M13" s="269" t="s">
        <v>85</v>
      </c>
      <c r="N13" s="270" t="s">
        <v>97</v>
      </c>
      <c r="O13" s="320">
        <v>1.5</v>
      </c>
      <c r="P13" s="306">
        <v>7</v>
      </c>
      <c r="Q13" s="296" t="s">
        <v>82</v>
      </c>
      <c r="R13" s="108"/>
      <c r="S13" s="108"/>
      <c r="T13" s="108"/>
      <c r="U13" s="108"/>
      <c r="V13" s="238"/>
      <c r="W13" s="238"/>
      <c r="X13" s="238"/>
      <c r="Y13" s="239"/>
      <c r="Z13" s="188" t="s">
        <v>82</v>
      </c>
    </row>
    <row r="14" spans="2:26" s="98" customFormat="1" ht="96.75" thickBot="1">
      <c r="B14" s="271">
        <v>9</v>
      </c>
      <c r="C14" s="117" t="s">
        <v>114</v>
      </c>
      <c r="D14" s="199">
        <v>2</v>
      </c>
      <c r="E14" s="118">
        <v>45699</v>
      </c>
      <c r="F14" s="119">
        <v>0.375</v>
      </c>
      <c r="G14" s="118">
        <v>45699</v>
      </c>
      <c r="H14" s="119">
        <v>0.67361111111111116</v>
      </c>
      <c r="I14" s="120">
        <f t="shared" si="0"/>
        <v>0.29861111111111116</v>
      </c>
      <c r="J14" s="121">
        <f t="shared" si="1"/>
        <v>0.59722222222222232</v>
      </c>
      <c r="K14" s="122">
        <v>2</v>
      </c>
      <c r="L14" s="123">
        <v>203</v>
      </c>
      <c r="M14" s="123" t="s">
        <v>85</v>
      </c>
      <c r="N14" s="124" t="s">
        <v>98</v>
      </c>
      <c r="O14" s="321">
        <v>2</v>
      </c>
      <c r="P14" s="306">
        <v>3</v>
      </c>
      <c r="Q14" s="296"/>
      <c r="R14" s="114"/>
      <c r="S14" s="108"/>
      <c r="T14" s="108"/>
      <c r="U14" s="108"/>
      <c r="V14" s="238"/>
      <c r="W14" s="238"/>
      <c r="X14" s="238"/>
      <c r="Y14" s="239"/>
      <c r="Z14" s="188"/>
    </row>
    <row r="15" spans="2:26" s="98" customFormat="1" ht="102.75" thickTop="1" thickBot="1">
      <c r="B15" s="271">
        <v>10</v>
      </c>
      <c r="C15" s="117" t="s">
        <v>114</v>
      </c>
      <c r="D15" s="199">
        <v>2</v>
      </c>
      <c r="E15" s="118">
        <v>45701</v>
      </c>
      <c r="F15" s="119">
        <v>0.375</v>
      </c>
      <c r="G15" s="118">
        <v>45701</v>
      </c>
      <c r="H15" s="119">
        <v>0.6875</v>
      </c>
      <c r="I15" s="120">
        <f t="shared" si="0"/>
        <v>0.3125</v>
      </c>
      <c r="J15" s="121">
        <f t="shared" si="1"/>
        <v>0.625</v>
      </c>
      <c r="K15" s="122">
        <v>102</v>
      </c>
      <c r="L15" s="123">
        <v>205</v>
      </c>
      <c r="M15" s="123" t="s">
        <v>85</v>
      </c>
      <c r="N15" s="124" t="s">
        <v>99</v>
      </c>
      <c r="O15" s="322">
        <v>2</v>
      </c>
      <c r="P15" s="323">
        <v>3</v>
      </c>
      <c r="Q15" s="314">
        <v>1</v>
      </c>
      <c r="R15" s="307" t="s">
        <v>208</v>
      </c>
      <c r="S15" s="115"/>
      <c r="T15" s="109"/>
      <c r="U15" s="109"/>
      <c r="V15" s="240"/>
      <c r="W15" s="240"/>
      <c r="X15" s="240"/>
      <c r="Y15" s="241"/>
      <c r="Z15" s="188"/>
    </row>
    <row r="16" spans="2:26" s="98" customFormat="1" ht="73.5" thickTop="1" thickBot="1">
      <c r="B16" s="272">
        <v>11</v>
      </c>
      <c r="C16" s="273" t="s">
        <v>114</v>
      </c>
      <c r="D16" s="274">
        <v>2</v>
      </c>
      <c r="E16" s="275">
        <v>45702</v>
      </c>
      <c r="F16" s="276">
        <v>0.375</v>
      </c>
      <c r="G16" s="275">
        <v>45702</v>
      </c>
      <c r="H16" s="276">
        <v>0.5</v>
      </c>
      <c r="I16" s="277">
        <f t="shared" si="0"/>
        <v>0.125</v>
      </c>
      <c r="J16" s="278">
        <f t="shared" si="1"/>
        <v>0.25</v>
      </c>
      <c r="K16" s="279">
        <v>5</v>
      </c>
      <c r="L16" s="280">
        <v>301</v>
      </c>
      <c r="M16" s="280" t="s">
        <v>85</v>
      </c>
      <c r="N16" s="281" t="s">
        <v>121</v>
      </c>
      <c r="O16" s="324">
        <v>2</v>
      </c>
      <c r="P16" s="323"/>
      <c r="Q16" s="314"/>
      <c r="R16" s="116"/>
      <c r="S16" s="109"/>
      <c r="T16" s="109"/>
      <c r="U16" s="109"/>
      <c r="V16" s="240"/>
      <c r="W16" s="240"/>
      <c r="X16" s="240"/>
      <c r="Y16" s="241"/>
      <c r="Z16" s="188"/>
    </row>
    <row r="17" spans="2:31" s="156" customFormat="1" ht="72" customHeight="1" thickTop="1">
      <c r="B17" s="249">
        <v>12</v>
      </c>
      <c r="C17" s="250" t="s">
        <v>114</v>
      </c>
      <c r="D17" s="251">
        <v>1</v>
      </c>
      <c r="E17" s="252">
        <v>45707</v>
      </c>
      <c r="F17" s="253">
        <v>0.54166666666666663</v>
      </c>
      <c r="G17" s="252">
        <v>45692</v>
      </c>
      <c r="H17" s="253">
        <v>0.64583333333333337</v>
      </c>
      <c r="I17" s="254">
        <f t="shared" si="0"/>
        <v>0.10416666666666674</v>
      </c>
      <c r="J17" s="255">
        <f t="shared" si="1"/>
        <v>0.10416666666666674</v>
      </c>
      <c r="K17" s="256">
        <v>5</v>
      </c>
      <c r="L17" s="257">
        <v>501</v>
      </c>
      <c r="M17" s="258" t="s">
        <v>85</v>
      </c>
      <c r="N17" s="259" t="s">
        <v>100</v>
      </c>
      <c r="O17" s="319"/>
      <c r="P17" s="296">
        <v>7</v>
      </c>
      <c r="Q17" s="296"/>
      <c r="R17" s="162"/>
      <c r="S17" s="162"/>
      <c r="T17" s="162"/>
      <c r="U17" s="162"/>
      <c r="V17" s="236"/>
      <c r="W17" s="236"/>
      <c r="X17" s="236"/>
      <c r="Y17" s="237"/>
      <c r="Z17" s="188"/>
    </row>
    <row r="18" spans="2:31" s="98" customFormat="1" ht="41.25">
      <c r="B18" s="330" t="s">
        <v>204</v>
      </c>
      <c r="C18" s="220"/>
      <c r="D18" s="221"/>
      <c r="E18" s="222"/>
      <c r="F18" s="223"/>
      <c r="G18" s="222"/>
      <c r="H18" s="223"/>
      <c r="I18" s="224"/>
      <c r="J18" s="225"/>
      <c r="K18" s="226"/>
      <c r="L18" s="227"/>
      <c r="M18" s="228"/>
      <c r="N18" s="229"/>
      <c r="O18" s="230"/>
      <c r="P18" s="231"/>
      <c r="Q18" s="231"/>
      <c r="R18" s="231"/>
      <c r="S18" s="231"/>
      <c r="T18" s="231"/>
      <c r="U18" s="231"/>
      <c r="V18" s="242"/>
      <c r="W18" s="242"/>
      <c r="X18" s="242"/>
      <c r="Y18" s="243"/>
      <c r="Z18" s="325"/>
    </row>
    <row r="19" spans="2:31" s="135" customFormat="1" ht="72" customHeight="1">
      <c r="B19" s="126">
        <v>13</v>
      </c>
      <c r="C19" s="127" t="s">
        <v>134</v>
      </c>
      <c r="D19" s="201">
        <v>2</v>
      </c>
      <c r="E19" s="128">
        <v>45741</v>
      </c>
      <c r="F19" s="129">
        <v>0.375</v>
      </c>
      <c r="G19" s="128">
        <v>45741</v>
      </c>
      <c r="H19" s="129">
        <v>0.67708333333333337</v>
      </c>
      <c r="I19" s="130">
        <f t="shared" si="0"/>
        <v>0.30208333333333337</v>
      </c>
      <c r="J19" s="104">
        <f t="shared" ref="J19:J24" si="2">I19*D19</f>
        <v>0.60416666666666674</v>
      </c>
      <c r="K19" s="131">
        <v>7</v>
      </c>
      <c r="L19" s="132">
        <v>506</v>
      </c>
      <c r="M19" s="133" t="s">
        <v>138</v>
      </c>
      <c r="N19" s="163" t="s">
        <v>141</v>
      </c>
      <c r="O19" s="317">
        <f t="shared" ref="O19:O24" si="3">D19</f>
        <v>2</v>
      </c>
      <c r="P19" s="296"/>
      <c r="Q19" s="296">
        <v>4</v>
      </c>
      <c r="R19" s="296"/>
      <c r="S19" s="184"/>
      <c r="T19" s="296">
        <v>2.5</v>
      </c>
      <c r="U19" s="296">
        <v>2.5</v>
      </c>
      <c r="V19" s="298"/>
      <c r="W19" s="298"/>
      <c r="X19" s="298"/>
      <c r="Y19" s="244"/>
      <c r="Z19" s="188" t="s">
        <v>160</v>
      </c>
    </row>
    <row r="20" spans="2:31" s="135" customFormat="1" ht="120.75" thickBot="1">
      <c r="B20" s="126">
        <v>14</v>
      </c>
      <c r="C20" s="127" t="s">
        <v>134</v>
      </c>
      <c r="D20" s="201">
        <v>2</v>
      </c>
      <c r="E20" s="128">
        <v>45744</v>
      </c>
      <c r="F20" s="129">
        <v>0.375</v>
      </c>
      <c r="G20" s="128">
        <v>45744</v>
      </c>
      <c r="H20" s="129">
        <v>0.68055555555555558</v>
      </c>
      <c r="I20" s="130">
        <f t="shared" si="0"/>
        <v>0.30555555555555558</v>
      </c>
      <c r="J20" s="104">
        <f t="shared" si="2"/>
        <v>0.61111111111111116</v>
      </c>
      <c r="K20" s="131" t="s">
        <v>135</v>
      </c>
      <c r="L20" s="132" t="s">
        <v>137</v>
      </c>
      <c r="M20" s="133" t="s">
        <v>138</v>
      </c>
      <c r="N20" s="163" t="s">
        <v>142</v>
      </c>
      <c r="O20" s="317">
        <f t="shared" si="3"/>
        <v>2</v>
      </c>
      <c r="P20" s="296"/>
      <c r="Q20" s="296"/>
      <c r="R20" s="296"/>
      <c r="S20" s="193"/>
      <c r="T20" s="296"/>
      <c r="U20" s="296"/>
      <c r="V20" s="298"/>
      <c r="W20" s="298"/>
      <c r="X20" s="298"/>
      <c r="Y20" s="244"/>
      <c r="Z20" s="188"/>
    </row>
    <row r="21" spans="2:31" s="135" customFormat="1" ht="102" thickTop="1">
      <c r="B21" s="126">
        <v>15</v>
      </c>
      <c r="C21" s="127" t="s">
        <v>134</v>
      </c>
      <c r="D21" s="201">
        <v>2</v>
      </c>
      <c r="E21" s="128">
        <v>45747</v>
      </c>
      <c r="F21" s="129">
        <v>0.375</v>
      </c>
      <c r="G21" s="128">
        <v>45747</v>
      </c>
      <c r="H21" s="129">
        <v>0.6875</v>
      </c>
      <c r="I21" s="130">
        <f t="shared" si="0"/>
        <v>0.3125</v>
      </c>
      <c r="J21" s="104">
        <f t="shared" si="2"/>
        <v>0.625</v>
      </c>
      <c r="K21" s="131" t="s">
        <v>136</v>
      </c>
      <c r="L21" s="132" t="s">
        <v>139</v>
      </c>
      <c r="M21" s="133" t="s">
        <v>138</v>
      </c>
      <c r="N21" s="163" t="s">
        <v>143</v>
      </c>
      <c r="O21" s="317">
        <f t="shared" si="3"/>
        <v>2</v>
      </c>
      <c r="P21" s="296"/>
      <c r="Q21" s="296"/>
      <c r="R21" s="296"/>
      <c r="S21" s="416" t="s">
        <v>157</v>
      </c>
      <c r="T21" s="306"/>
      <c r="U21" s="296"/>
      <c r="V21" s="298"/>
      <c r="W21" s="298"/>
      <c r="X21" s="298"/>
      <c r="Y21" s="244"/>
      <c r="Z21" s="188"/>
    </row>
    <row r="22" spans="2:31" s="135" customFormat="1" ht="102" thickBot="1">
      <c r="B22" s="126">
        <v>16</v>
      </c>
      <c r="C22" s="127" t="s">
        <v>134</v>
      </c>
      <c r="D22" s="201">
        <v>2</v>
      </c>
      <c r="E22" s="128">
        <v>45749</v>
      </c>
      <c r="F22" s="129">
        <v>0.375</v>
      </c>
      <c r="G22" s="128">
        <v>45749</v>
      </c>
      <c r="H22" s="129">
        <v>0.6875</v>
      </c>
      <c r="I22" s="130">
        <f t="shared" si="0"/>
        <v>0.3125</v>
      </c>
      <c r="J22" s="104">
        <f t="shared" si="2"/>
        <v>0.625</v>
      </c>
      <c r="K22" s="131" t="s">
        <v>136</v>
      </c>
      <c r="L22" s="132" t="s">
        <v>140</v>
      </c>
      <c r="M22" s="133" t="s">
        <v>138</v>
      </c>
      <c r="N22" s="163" t="s">
        <v>144</v>
      </c>
      <c r="O22" s="317">
        <f t="shared" si="3"/>
        <v>2</v>
      </c>
      <c r="P22" s="296"/>
      <c r="Q22" s="296"/>
      <c r="R22" s="296"/>
      <c r="S22" s="417" t="s">
        <v>158</v>
      </c>
      <c r="T22" s="306"/>
      <c r="U22" s="296"/>
      <c r="V22" s="298">
        <v>2</v>
      </c>
      <c r="W22" s="298"/>
      <c r="X22" s="298"/>
      <c r="Y22" s="245"/>
      <c r="Z22" s="188" t="s">
        <v>159</v>
      </c>
    </row>
    <row r="23" spans="2:31" s="135" customFormat="1" ht="72" customHeight="1" thickTop="1">
      <c r="B23" s="126">
        <v>17</v>
      </c>
      <c r="C23" s="127" t="s">
        <v>134</v>
      </c>
      <c r="D23" s="201">
        <v>2</v>
      </c>
      <c r="E23" s="128">
        <v>45750</v>
      </c>
      <c r="F23" s="129">
        <v>0.375</v>
      </c>
      <c r="G23" s="128">
        <v>45750</v>
      </c>
      <c r="H23" s="129">
        <v>0.6875</v>
      </c>
      <c r="I23" s="130">
        <f t="shared" si="0"/>
        <v>0.3125</v>
      </c>
      <c r="J23" s="104">
        <f t="shared" si="2"/>
        <v>0.625</v>
      </c>
      <c r="K23" s="131">
        <v>8</v>
      </c>
      <c r="L23" s="132">
        <v>502</v>
      </c>
      <c r="M23" s="133" t="s">
        <v>138</v>
      </c>
      <c r="N23" s="163" t="s">
        <v>145</v>
      </c>
      <c r="O23" s="317">
        <f t="shared" si="3"/>
        <v>2</v>
      </c>
      <c r="P23" s="296"/>
      <c r="Q23" s="296">
        <v>2</v>
      </c>
      <c r="R23" s="296"/>
      <c r="S23" s="297"/>
      <c r="T23" s="296"/>
      <c r="U23" s="296"/>
      <c r="V23" s="298"/>
      <c r="W23" s="298"/>
      <c r="X23" s="298"/>
      <c r="Y23" s="299"/>
      <c r="Z23" s="188"/>
    </row>
    <row r="24" spans="2:31" s="135" customFormat="1" ht="96">
      <c r="B24" s="126">
        <v>18</v>
      </c>
      <c r="C24" s="127" t="s">
        <v>134</v>
      </c>
      <c r="D24" s="201">
        <v>2</v>
      </c>
      <c r="E24" s="128">
        <v>45755</v>
      </c>
      <c r="F24" s="129">
        <v>0.375</v>
      </c>
      <c r="G24" s="128">
        <v>45755</v>
      </c>
      <c r="H24" s="129">
        <v>0.6875</v>
      </c>
      <c r="I24" s="130">
        <f t="shared" si="0"/>
        <v>0.3125</v>
      </c>
      <c r="J24" s="104">
        <f t="shared" si="2"/>
        <v>0.625</v>
      </c>
      <c r="K24" s="131">
        <v>2</v>
      </c>
      <c r="L24" s="132">
        <v>108</v>
      </c>
      <c r="M24" s="133" t="s">
        <v>138</v>
      </c>
      <c r="N24" s="163" t="s">
        <v>146</v>
      </c>
      <c r="O24" s="317">
        <f t="shared" si="3"/>
        <v>2</v>
      </c>
      <c r="P24" s="296"/>
      <c r="Q24" s="296">
        <v>6</v>
      </c>
      <c r="R24" s="296">
        <v>9</v>
      </c>
      <c r="S24" s="211"/>
      <c r="T24" s="162"/>
      <c r="U24" s="162"/>
      <c r="V24" s="236"/>
      <c r="W24" s="236"/>
      <c r="X24" s="236"/>
      <c r="Y24" s="237"/>
      <c r="Z24" s="190"/>
      <c r="AD24" s="247"/>
      <c r="AE24" s="246"/>
    </row>
    <row r="25" spans="2:31" s="135" customFormat="1" ht="72" customHeight="1">
      <c r="B25" s="136"/>
      <c r="C25" s="137"/>
      <c r="D25" s="202"/>
      <c r="E25" s="138"/>
      <c r="F25" s="139"/>
      <c r="G25" s="138"/>
      <c r="H25" s="139"/>
      <c r="I25" s="140"/>
      <c r="J25" s="125"/>
      <c r="K25" s="141"/>
      <c r="L25" s="142"/>
      <c r="M25" s="142"/>
      <c r="N25" s="143"/>
      <c r="O25" s="332"/>
      <c r="P25" s="300"/>
      <c r="Q25" s="300"/>
      <c r="R25" s="300"/>
      <c r="S25" s="300"/>
      <c r="T25" s="300"/>
      <c r="U25" s="300"/>
      <c r="V25" s="301"/>
      <c r="W25" s="301"/>
      <c r="X25" s="301"/>
      <c r="Y25" s="302"/>
      <c r="Z25" s="191"/>
      <c r="AD25" s="246"/>
    </row>
    <row r="26" spans="2:31" s="146" customFormat="1" ht="68.25" thickBot="1">
      <c r="B26" s="456" t="s">
        <v>210</v>
      </c>
      <c r="C26" s="457"/>
      <c r="D26" s="305">
        <f>SUM(D13:D16,D19:D24)</f>
        <v>20</v>
      </c>
      <c r="E26" s="144"/>
      <c r="F26" s="145"/>
      <c r="G26" s="144"/>
      <c r="H26" s="145"/>
      <c r="I26" s="194">
        <f>SUM(I13:I25)</f>
        <v>2.84375</v>
      </c>
      <c r="J26" s="194">
        <f>SUM(J13:J25)</f>
        <v>5.5833333333333339</v>
      </c>
      <c r="K26" s="175"/>
      <c r="L26" s="176"/>
      <c r="M26" s="175"/>
      <c r="N26" s="177"/>
      <c r="O26" s="333">
        <f>SUM(O13:O25)</f>
        <v>19.5</v>
      </c>
      <c r="P26" s="248">
        <f>SUM(P19:P25)</f>
        <v>0</v>
      </c>
      <c r="Q26" s="303">
        <f>SUM(Q19:Q25)</f>
        <v>12</v>
      </c>
      <c r="R26" s="303">
        <v>9.3000000000000007</v>
      </c>
      <c r="S26" s="303" t="s">
        <v>155</v>
      </c>
      <c r="T26" s="303">
        <f t="shared" ref="T26:V26" si="4">SUM(T19:T25)</f>
        <v>2.5</v>
      </c>
      <c r="U26" s="303">
        <f t="shared" si="4"/>
        <v>2.5</v>
      </c>
      <c r="V26" s="303">
        <f t="shared" si="4"/>
        <v>2</v>
      </c>
      <c r="W26" s="304"/>
      <c r="X26" s="304"/>
      <c r="Y26" s="304"/>
      <c r="Z26" s="192"/>
    </row>
    <row r="27" spans="2:31" ht="24">
      <c r="I27" s="208"/>
      <c r="Z27" s="98"/>
      <c r="AA27" s="98"/>
      <c r="AB27" s="98"/>
      <c r="AC27" s="98"/>
    </row>
    <row r="28" spans="2:31" s="295" customFormat="1" ht="41.25">
      <c r="B28" s="330" t="s">
        <v>214</v>
      </c>
      <c r="C28" s="284"/>
      <c r="D28" s="200"/>
      <c r="E28" s="285"/>
      <c r="F28" s="286"/>
      <c r="G28" s="285"/>
      <c r="H28" s="286"/>
      <c r="I28" s="286"/>
      <c r="J28" s="287"/>
      <c r="K28" s="288"/>
      <c r="L28" s="288"/>
      <c r="M28" s="289"/>
      <c r="N28" s="290"/>
      <c r="O28" s="291"/>
      <c r="P28" s="292"/>
      <c r="Q28" s="292"/>
      <c r="R28" s="292"/>
      <c r="S28" s="292"/>
      <c r="T28" s="292"/>
      <c r="U28" s="292"/>
      <c r="V28" s="292"/>
      <c r="W28" s="292"/>
      <c r="X28" s="292"/>
      <c r="Y28" s="292"/>
      <c r="Z28" s="293"/>
      <c r="AA28" s="294"/>
    </row>
    <row r="29" spans="2:31" ht="96">
      <c r="B29" s="126">
        <v>19</v>
      </c>
      <c r="C29" s="127" t="s">
        <v>134</v>
      </c>
      <c r="D29" s="209">
        <v>2</v>
      </c>
      <c r="E29" s="128">
        <v>45756</v>
      </c>
      <c r="F29" s="129">
        <v>0.375</v>
      </c>
      <c r="G29" s="128">
        <v>45756</v>
      </c>
      <c r="H29" s="129">
        <v>0.6875</v>
      </c>
      <c r="I29" s="210">
        <f t="shared" ref="I29:I44" si="5">H29-F29</f>
        <v>0.3125</v>
      </c>
      <c r="J29" s="104">
        <f t="shared" ref="J29:J44" si="6">I29*D29</f>
        <v>0.625</v>
      </c>
      <c r="K29" s="132" t="s">
        <v>162</v>
      </c>
      <c r="L29" s="132" t="s">
        <v>163</v>
      </c>
      <c r="M29" s="133" t="s">
        <v>138</v>
      </c>
      <c r="N29" s="134" t="s">
        <v>164</v>
      </c>
      <c r="O29" s="398">
        <f t="shared" ref="O29" si="7">D29</f>
        <v>2</v>
      </c>
      <c r="P29" s="399">
        <v>3</v>
      </c>
      <c r="Q29" s="399">
        <v>3</v>
      </c>
      <c r="R29" s="399">
        <v>3</v>
      </c>
      <c r="S29" s="399"/>
      <c r="T29" s="399">
        <v>5</v>
      </c>
      <c r="U29" s="399">
        <v>5</v>
      </c>
      <c r="V29" s="399"/>
      <c r="W29" s="399"/>
      <c r="X29" s="399"/>
      <c r="Y29" s="399"/>
      <c r="Z29" s="326" t="s">
        <v>165</v>
      </c>
      <c r="AA29" s="156"/>
    </row>
    <row r="30" spans="2:31" ht="144">
      <c r="B30" s="126">
        <v>20</v>
      </c>
      <c r="C30" s="127" t="s">
        <v>134</v>
      </c>
      <c r="D30" s="329">
        <v>2</v>
      </c>
      <c r="E30" s="128">
        <v>45757</v>
      </c>
      <c r="F30" s="129">
        <v>0.375</v>
      </c>
      <c r="G30" s="128">
        <v>45757</v>
      </c>
      <c r="H30" s="129">
        <v>0.6875</v>
      </c>
      <c r="I30" s="210">
        <f t="shared" si="5"/>
        <v>0.3125</v>
      </c>
      <c r="J30" s="104">
        <f t="shared" si="6"/>
        <v>0.625</v>
      </c>
      <c r="K30" s="132" t="s">
        <v>166</v>
      </c>
      <c r="L30" s="132" t="s">
        <v>167</v>
      </c>
      <c r="M30" s="133" t="s">
        <v>138</v>
      </c>
      <c r="N30" s="134" t="s">
        <v>168</v>
      </c>
      <c r="O30" s="400">
        <v>1.5</v>
      </c>
      <c r="P30" s="399">
        <v>7</v>
      </c>
      <c r="Q30" s="399">
        <v>2</v>
      </c>
      <c r="R30" s="399"/>
      <c r="S30" s="399"/>
      <c r="T30" s="399"/>
      <c r="U30" s="399"/>
      <c r="V30" s="399"/>
      <c r="W30" s="399"/>
      <c r="X30" s="399">
        <v>1</v>
      </c>
      <c r="Y30" s="399"/>
      <c r="Z30" s="326" t="s">
        <v>209</v>
      </c>
      <c r="AA30" s="156"/>
    </row>
    <row r="31" spans="2:31" ht="168" customHeight="1">
      <c r="B31" s="126">
        <v>21</v>
      </c>
      <c r="C31" s="127" t="s">
        <v>134</v>
      </c>
      <c r="D31" s="329">
        <v>1</v>
      </c>
      <c r="E31" s="128">
        <v>45765</v>
      </c>
      <c r="F31" s="129">
        <v>0.4375</v>
      </c>
      <c r="G31" s="128">
        <v>45765</v>
      </c>
      <c r="H31" s="129">
        <v>0.47916666666666669</v>
      </c>
      <c r="I31" s="210">
        <f t="shared" si="5"/>
        <v>4.1666666666666685E-2</v>
      </c>
      <c r="J31" s="104">
        <f t="shared" si="6"/>
        <v>4.1666666666666685E-2</v>
      </c>
      <c r="K31" s="131">
        <v>5</v>
      </c>
      <c r="L31" s="132">
        <v>104</v>
      </c>
      <c r="M31" s="133" t="s">
        <v>138</v>
      </c>
      <c r="N31" s="134" t="s">
        <v>169</v>
      </c>
      <c r="O31" s="400">
        <v>0.5</v>
      </c>
      <c r="P31" s="399"/>
      <c r="Q31" s="399"/>
      <c r="R31" s="399"/>
      <c r="S31" s="399" t="s">
        <v>82</v>
      </c>
      <c r="T31" s="399"/>
      <c r="U31" s="399"/>
      <c r="V31" s="399"/>
      <c r="W31" s="399"/>
      <c r="X31" s="399"/>
      <c r="Y31" s="399"/>
      <c r="Z31" s="326"/>
      <c r="AA31" s="156"/>
    </row>
    <row r="32" spans="2:31" ht="96">
      <c r="B32" s="126">
        <v>22</v>
      </c>
      <c r="C32" s="127" t="s">
        <v>134</v>
      </c>
      <c r="D32" s="209">
        <v>2</v>
      </c>
      <c r="E32" s="128">
        <v>45775</v>
      </c>
      <c r="F32" s="129">
        <v>0.375</v>
      </c>
      <c r="G32" s="128">
        <v>45775</v>
      </c>
      <c r="H32" s="129">
        <v>0.69444444444444442</v>
      </c>
      <c r="I32" s="210">
        <f t="shared" si="5"/>
        <v>0.31944444444444442</v>
      </c>
      <c r="J32" s="104">
        <f t="shared" si="6"/>
        <v>0.63888888888888884</v>
      </c>
      <c r="K32" s="131">
        <v>8</v>
      </c>
      <c r="L32" s="132">
        <v>401</v>
      </c>
      <c r="M32" s="133" t="s">
        <v>138</v>
      </c>
      <c r="N32" s="134" t="s">
        <v>170</v>
      </c>
      <c r="O32" s="398">
        <v>2</v>
      </c>
      <c r="P32" s="399">
        <v>3</v>
      </c>
      <c r="Q32" s="399">
        <v>4</v>
      </c>
      <c r="R32" s="399"/>
      <c r="S32" s="399" t="s">
        <v>82</v>
      </c>
      <c r="T32" s="399"/>
      <c r="U32" s="399"/>
      <c r="V32" s="399" t="s">
        <v>82</v>
      </c>
      <c r="W32" s="399"/>
      <c r="X32" s="399"/>
      <c r="Y32" s="399"/>
      <c r="Z32" s="326" t="s">
        <v>82</v>
      </c>
      <c r="AA32" s="156"/>
    </row>
    <row r="33" spans="2:29" ht="144.75" thickBot="1">
      <c r="B33" s="126">
        <v>23</v>
      </c>
      <c r="C33" s="127" t="s">
        <v>134</v>
      </c>
      <c r="D33" s="209">
        <v>2</v>
      </c>
      <c r="E33" s="128">
        <v>45776</v>
      </c>
      <c r="F33" s="129">
        <v>0.375</v>
      </c>
      <c r="G33" s="128">
        <v>45776</v>
      </c>
      <c r="H33" s="129">
        <v>0.6875</v>
      </c>
      <c r="I33" s="210">
        <f t="shared" si="5"/>
        <v>0.3125</v>
      </c>
      <c r="J33" s="104">
        <f t="shared" si="6"/>
        <v>0.625</v>
      </c>
      <c r="K33" s="132" t="s">
        <v>171</v>
      </c>
      <c r="L33" s="132" t="s">
        <v>172</v>
      </c>
      <c r="M33" s="133" t="s">
        <v>138</v>
      </c>
      <c r="N33" s="134" t="s">
        <v>173</v>
      </c>
      <c r="O33" s="398">
        <v>2</v>
      </c>
      <c r="P33" s="401">
        <v>3</v>
      </c>
      <c r="Q33" s="399">
        <v>3</v>
      </c>
      <c r="R33" s="399">
        <v>6</v>
      </c>
      <c r="S33" s="399"/>
      <c r="T33" s="399"/>
      <c r="U33" s="399"/>
      <c r="V33" s="399"/>
      <c r="W33" s="399"/>
      <c r="X33" s="399"/>
      <c r="Y33" s="399"/>
      <c r="Z33" s="326"/>
      <c r="AA33" s="156"/>
    </row>
    <row r="34" spans="2:29" ht="144.75" thickTop="1">
      <c r="B34" s="126">
        <v>24</v>
      </c>
      <c r="C34" s="127" t="s">
        <v>134</v>
      </c>
      <c r="D34" s="209">
        <v>2</v>
      </c>
      <c r="E34" s="128">
        <v>45777</v>
      </c>
      <c r="F34" s="129">
        <v>0.375</v>
      </c>
      <c r="G34" s="128">
        <v>45777</v>
      </c>
      <c r="H34" s="129">
        <v>0.6875</v>
      </c>
      <c r="I34" s="210">
        <f t="shared" si="5"/>
        <v>0.3125</v>
      </c>
      <c r="J34" s="104">
        <f t="shared" si="6"/>
        <v>0.625</v>
      </c>
      <c r="K34" s="131" t="s">
        <v>174</v>
      </c>
      <c r="L34" s="131" t="s">
        <v>175</v>
      </c>
      <c r="M34" s="133" t="s">
        <v>138</v>
      </c>
      <c r="N34" s="134" t="s">
        <v>176</v>
      </c>
      <c r="O34" s="398">
        <v>2</v>
      </c>
      <c r="P34" s="402" t="s">
        <v>177</v>
      </c>
      <c r="Q34" s="403"/>
      <c r="R34" s="399"/>
      <c r="S34" s="399"/>
      <c r="T34" s="399"/>
      <c r="U34" s="399"/>
      <c r="V34" s="399">
        <v>1</v>
      </c>
      <c r="W34" s="399"/>
      <c r="X34" s="399"/>
      <c r="Y34" s="399">
        <v>1</v>
      </c>
      <c r="Z34" s="326" t="s">
        <v>211</v>
      </c>
      <c r="AA34" s="156"/>
    </row>
    <row r="35" spans="2:29" ht="81.75" thickBot="1">
      <c r="B35" s="126">
        <v>25</v>
      </c>
      <c r="C35" s="127" t="s">
        <v>134</v>
      </c>
      <c r="D35" s="209">
        <v>2</v>
      </c>
      <c r="E35" s="128">
        <v>45784</v>
      </c>
      <c r="F35" s="129">
        <v>0.375</v>
      </c>
      <c r="G35" s="128">
        <v>45784</v>
      </c>
      <c r="H35" s="129">
        <v>0.6875</v>
      </c>
      <c r="I35" s="210">
        <f t="shared" si="5"/>
        <v>0.3125</v>
      </c>
      <c r="J35" s="104">
        <f t="shared" si="6"/>
        <v>0.625</v>
      </c>
      <c r="K35" s="132" t="s">
        <v>178</v>
      </c>
      <c r="L35" s="132" t="s">
        <v>179</v>
      </c>
      <c r="M35" s="133" t="s">
        <v>138</v>
      </c>
      <c r="N35" s="134" t="s">
        <v>180</v>
      </c>
      <c r="O35" s="404">
        <v>2</v>
      </c>
      <c r="P35" s="405"/>
      <c r="Q35" s="403"/>
      <c r="R35" s="399"/>
      <c r="S35" s="399">
        <v>5</v>
      </c>
      <c r="T35" s="399"/>
      <c r="U35" s="399"/>
      <c r="V35" s="399">
        <v>2</v>
      </c>
      <c r="W35" s="399"/>
      <c r="X35" s="399"/>
      <c r="Y35" s="399"/>
      <c r="Z35" s="326"/>
      <c r="AA35" s="156"/>
    </row>
    <row r="36" spans="2:29" ht="120.75" thickTop="1">
      <c r="B36" s="126">
        <v>26</v>
      </c>
      <c r="C36" s="127" t="s">
        <v>134</v>
      </c>
      <c r="D36" s="209">
        <v>2</v>
      </c>
      <c r="E36" s="128">
        <v>45789</v>
      </c>
      <c r="F36" s="129">
        <v>0.375</v>
      </c>
      <c r="G36" s="128">
        <v>45789</v>
      </c>
      <c r="H36" s="129">
        <v>0.6875</v>
      </c>
      <c r="I36" s="210">
        <f t="shared" si="5"/>
        <v>0.3125</v>
      </c>
      <c r="J36" s="104">
        <f t="shared" si="6"/>
        <v>0.625</v>
      </c>
      <c r="K36" s="131">
        <v>2</v>
      </c>
      <c r="L36" s="132">
        <v>404</v>
      </c>
      <c r="M36" s="133" t="s">
        <v>138</v>
      </c>
      <c r="N36" s="212" t="s">
        <v>181</v>
      </c>
      <c r="O36" s="406">
        <v>2</v>
      </c>
      <c r="P36" s="405">
        <v>5</v>
      </c>
      <c r="Q36" s="403">
        <v>3</v>
      </c>
      <c r="R36" s="399"/>
      <c r="S36" s="399"/>
      <c r="T36" s="399"/>
      <c r="U36" s="399"/>
      <c r="V36" s="399"/>
      <c r="W36" s="399"/>
      <c r="X36" s="399"/>
      <c r="Y36" s="399"/>
      <c r="Z36" s="326" t="s">
        <v>182</v>
      </c>
      <c r="AA36" s="98"/>
    </row>
    <row r="37" spans="2:29" ht="72">
      <c r="B37" s="126">
        <v>27</v>
      </c>
      <c r="C37" s="127" t="s">
        <v>134</v>
      </c>
      <c r="D37" s="209">
        <v>2</v>
      </c>
      <c r="E37" s="128">
        <v>45790</v>
      </c>
      <c r="F37" s="129">
        <v>0.375</v>
      </c>
      <c r="G37" s="128">
        <v>45790</v>
      </c>
      <c r="H37" s="129">
        <v>0.6875</v>
      </c>
      <c r="I37" s="210">
        <f t="shared" si="5"/>
        <v>0.3125</v>
      </c>
      <c r="J37" s="104">
        <f t="shared" si="6"/>
        <v>0.625</v>
      </c>
      <c r="K37" s="131">
        <v>2</v>
      </c>
      <c r="L37" s="132">
        <v>301</v>
      </c>
      <c r="M37" s="133" t="s">
        <v>138</v>
      </c>
      <c r="N37" s="212" t="s">
        <v>183</v>
      </c>
      <c r="O37" s="407">
        <v>2</v>
      </c>
      <c r="P37" s="405"/>
      <c r="Q37" s="403">
        <v>2</v>
      </c>
      <c r="R37" s="399"/>
      <c r="S37" s="399"/>
      <c r="T37" s="399"/>
      <c r="U37" s="399"/>
      <c r="V37" s="399"/>
      <c r="W37" s="399"/>
      <c r="X37" s="399"/>
      <c r="Y37" s="399"/>
      <c r="Z37" s="326" t="s">
        <v>212</v>
      </c>
      <c r="AA37" s="98"/>
    </row>
    <row r="38" spans="2:29" ht="168" customHeight="1">
      <c r="B38" s="126">
        <v>28</v>
      </c>
      <c r="C38" s="127" t="s">
        <v>134</v>
      </c>
      <c r="D38" s="201">
        <v>2</v>
      </c>
      <c r="E38" s="128">
        <v>45792</v>
      </c>
      <c r="F38" s="129">
        <v>0.5625</v>
      </c>
      <c r="G38" s="128">
        <v>45792</v>
      </c>
      <c r="H38" s="129">
        <v>0.625</v>
      </c>
      <c r="I38" s="210">
        <f t="shared" si="5"/>
        <v>6.25E-2</v>
      </c>
      <c r="J38" s="104">
        <f t="shared" si="6"/>
        <v>0.125</v>
      </c>
      <c r="K38" s="131">
        <v>9</v>
      </c>
      <c r="L38" s="132">
        <v>306</v>
      </c>
      <c r="M38" s="133" t="s">
        <v>138</v>
      </c>
      <c r="N38" s="212" t="s">
        <v>184</v>
      </c>
      <c r="O38" s="408" t="s">
        <v>185</v>
      </c>
      <c r="P38" s="405">
        <v>7</v>
      </c>
      <c r="Q38" s="403"/>
      <c r="R38" s="399"/>
      <c r="S38" s="399"/>
      <c r="T38" s="399"/>
      <c r="U38" s="399"/>
      <c r="V38" s="399"/>
      <c r="W38" s="399"/>
      <c r="X38" s="399"/>
      <c r="Y38" s="399"/>
      <c r="Z38" s="326"/>
      <c r="AA38" s="98"/>
    </row>
    <row r="39" spans="2:29" ht="168" customHeight="1">
      <c r="B39" s="126">
        <v>29</v>
      </c>
      <c r="C39" s="127" t="s">
        <v>134</v>
      </c>
      <c r="D39" s="209">
        <v>2</v>
      </c>
      <c r="E39" s="128">
        <v>45796</v>
      </c>
      <c r="F39" s="129">
        <v>0.375</v>
      </c>
      <c r="G39" s="128">
        <v>45796</v>
      </c>
      <c r="H39" s="129">
        <v>0.6875</v>
      </c>
      <c r="I39" s="210">
        <f t="shared" si="5"/>
        <v>0.3125</v>
      </c>
      <c r="J39" s="104">
        <f t="shared" si="6"/>
        <v>0.625</v>
      </c>
      <c r="K39" s="131">
        <v>8</v>
      </c>
      <c r="L39" s="132">
        <v>209</v>
      </c>
      <c r="M39" s="133" t="s">
        <v>138</v>
      </c>
      <c r="N39" s="212" t="s">
        <v>186</v>
      </c>
      <c r="O39" s="407">
        <v>2</v>
      </c>
      <c r="P39" s="405">
        <v>4</v>
      </c>
      <c r="Q39" s="403">
        <v>4</v>
      </c>
      <c r="R39" s="399"/>
      <c r="S39" s="399"/>
      <c r="T39" s="399"/>
      <c r="U39" s="399"/>
      <c r="V39" s="399"/>
      <c r="W39" s="399"/>
      <c r="X39" s="399"/>
      <c r="Y39" s="399"/>
      <c r="Z39" s="326"/>
      <c r="AA39" s="98"/>
    </row>
    <row r="40" spans="2:29" ht="142.5" customHeight="1">
      <c r="B40" s="126">
        <v>30</v>
      </c>
      <c r="C40" s="127" t="s">
        <v>134</v>
      </c>
      <c r="D40" s="329">
        <v>2</v>
      </c>
      <c r="E40" s="128">
        <v>45797</v>
      </c>
      <c r="F40" s="129">
        <v>0.375</v>
      </c>
      <c r="G40" s="128">
        <v>45797</v>
      </c>
      <c r="H40" s="129">
        <v>0.68055555555555558</v>
      </c>
      <c r="I40" s="210">
        <f t="shared" si="5"/>
        <v>0.30555555555555558</v>
      </c>
      <c r="J40" s="104">
        <f t="shared" si="6"/>
        <v>0.61111111111111116</v>
      </c>
      <c r="K40" s="132" t="s">
        <v>187</v>
      </c>
      <c r="L40" s="132" t="s">
        <v>188</v>
      </c>
      <c r="M40" s="133" t="s">
        <v>138</v>
      </c>
      <c r="N40" s="212" t="s">
        <v>189</v>
      </c>
      <c r="O40" s="409">
        <v>1.5</v>
      </c>
      <c r="P40" s="405">
        <v>9</v>
      </c>
      <c r="Q40" s="403">
        <v>4</v>
      </c>
      <c r="R40" s="399"/>
      <c r="S40" s="399"/>
      <c r="T40" s="399"/>
      <c r="U40" s="399"/>
      <c r="V40" s="399"/>
      <c r="W40" s="399"/>
      <c r="X40" s="399"/>
      <c r="Y40" s="399"/>
      <c r="Z40" s="326"/>
      <c r="AA40" s="156"/>
    </row>
    <row r="41" spans="2:29" ht="120">
      <c r="B41" s="126">
        <v>31</v>
      </c>
      <c r="C41" s="127" t="s">
        <v>134</v>
      </c>
      <c r="D41" s="209">
        <v>2</v>
      </c>
      <c r="E41" s="128">
        <v>45806</v>
      </c>
      <c r="F41" s="129">
        <v>0.375</v>
      </c>
      <c r="G41" s="128">
        <v>45806</v>
      </c>
      <c r="H41" s="129">
        <v>0.69444444444444442</v>
      </c>
      <c r="I41" s="210">
        <f t="shared" si="5"/>
        <v>0.31944444444444442</v>
      </c>
      <c r="J41" s="104">
        <f t="shared" si="6"/>
        <v>0.63888888888888884</v>
      </c>
      <c r="K41" s="132" t="s">
        <v>190</v>
      </c>
      <c r="L41" s="132" t="s">
        <v>191</v>
      </c>
      <c r="M41" s="133" t="s">
        <v>138</v>
      </c>
      <c r="N41" s="212" t="s">
        <v>192</v>
      </c>
      <c r="O41" s="407">
        <v>2</v>
      </c>
      <c r="P41" s="405">
        <v>3</v>
      </c>
      <c r="Q41" s="403">
        <v>3</v>
      </c>
      <c r="R41" s="399">
        <v>3</v>
      </c>
      <c r="S41" s="399"/>
      <c r="T41" s="399"/>
      <c r="U41" s="399"/>
      <c r="V41" s="399"/>
      <c r="W41" s="399"/>
      <c r="X41" s="399"/>
      <c r="Y41" s="399"/>
      <c r="Z41" s="326"/>
      <c r="AA41" s="98"/>
    </row>
    <row r="42" spans="2:29" ht="120">
      <c r="B42" s="126">
        <v>32</v>
      </c>
      <c r="C42" s="127" t="s">
        <v>134</v>
      </c>
      <c r="D42" s="209">
        <v>2</v>
      </c>
      <c r="E42" s="128">
        <v>45807</v>
      </c>
      <c r="F42" s="129">
        <v>0.375</v>
      </c>
      <c r="G42" s="128">
        <v>45807</v>
      </c>
      <c r="H42" s="129">
        <v>0.67361111111111116</v>
      </c>
      <c r="I42" s="210">
        <f t="shared" si="5"/>
        <v>0.29861111111111116</v>
      </c>
      <c r="J42" s="104">
        <f t="shared" si="6"/>
        <v>0.59722222222222232</v>
      </c>
      <c r="K42" s="131">
        <v>2</v>
      </c>
      <c r="L42" s="132">
        <v>201</v>
      </c>
      <c r="M42" s="133" t="s">
        <v>138</v>
      </c>
      <c r="N42" s="212" t="s">
        <v>193</v>
      </c>
      <c r="O42" s="407">
        <v>2</v>
      </c>
      <c r="P42" s="405">
        <v>2</v>
      </c>
      <c r="Q42" s="403">
        <v>1</v>
      </c>
      <c r="R42" s="399"/>
      <c r="S42" s="399"/>
      <c r="T42" s="399"/>
      <c r="U42" s="399"/>
      <c r="V42" s="399"/>
      <c r="W42" s="399">
        <v>1</v>
      </c>
      <c r="X42" s="399"/>
      <c r="Y42" s="399"/>
      <c r="Z42" s="326"/>
      <c r="AA42" s="135"/>
    </row>
    <row r="43" spans="2:29" ht="120">
      <c r="B43" s="126">
        <v>33</v>
      </c>
      <c r="C43" s="127" t="s">
        <v>134</v>
      </c>
      <c r="D43" s="329">
        <v>2</v>
      </c>
      <c r="E43" s="128">
        <v>45824</v>
      </c>
      <c r="F43" s="129">
        <v>0.375</v>
      </c>
      <c r="G43" s="128">
        <v>45824</v>
      </c>
      <c r="H43" s="129">
        <v>0.6875</v>
      </c>
      <c r="I43" s="210">
        <f t="shared" si="5"/>
        <v>0.3125</v>
      </c>
      <c r="J43" s="104">
        <f t="shared" si="6"/>
        <v>0.625</v>
      </c>
      <c r="K43" s="132" t="s">
        <v>194</v>
      </c>
      <c r="L43" s="132" t="s">
        <v>195</v>
      </c>
      <c r="M43" s="133" t="s">
        <v>138</v>
      </c>
      <c r="N43" s="212" t="s">
        <v>196</v>
      </c>
      <c r="O43" s="409">
        <v>1.5</v>
      </c>
      <c r="P43" s="405">
        <v>5</v>
      </c>
      <c r="Q43" s="403">
        <v>2</v>
      </c>
      <c r="R43" s="399">
        <v>12</v>
      </c>
      <c r="S43" s="399"/>
      <c r="T43" s="399"/>
      <c r="U43" s="399"/>
      <c r="V43" s="399"/>
      <c r="W43" s="399"/>
      <c r="X43" s="399"/>
      <c r="Y43" s="399"/>
      <c r="Z43" s="326"/>
      <c r="AA43" s="135"/>
    </row>
    <row r="44" spans="2:29" ht="168">
      <c r="B44" s="126">
        <v>34</v>
      </c>
      <c r="C44" s="127" t="s">
        <v>134</v>
      </c>
      <c r="D44" s="209">
        <v>2</v>
      </c>
      <c r="E44" s="128">
        <v>45825</v>
      </c>
      <c r="F44" s="129">
        <v>0.375</v>
      </c>
      <c r="G44" s="128">
        <v>45825</v>
      </c>
      <c r="H44" s="129">
        <v>0.6875</v>
      </c>
      <c r="I44" s="210">
        <f t="shared" si="5"/>
        <v>0.3125</v>
      </c>
      <c r="J44" s="104">
        <f t="shared" si="6"/>
        <v>0.625</v>
      </c>
      <c r="K44" s="131">
        <v>2</v>
      </c>
      <c r="L44" s="132" t="s">
        <v>197</v>
      </c>
      <c r="M44" s="133" t="s">
        <v>138</v>
      </c>
      <c r="N44" s="212" t="s">
        <v>198</v>
      </c>
      <c r="O44" s="407">
        <v>2</v>
      </c>
      <c r="P44" s="405">
        <v>3</v>
      </c>
      <c r="Q44" s="403">
        <v>1</v>
      </c>
      <c r="R44" s="399"/>
      <c r="S44" s="399"/>
      <c r="T44" s="399"/>
      <c r="U44" s="399"/>
      <c r="V44" s="399"/>
      <c r="W44" s="399">
        <v>1</v>
      </c>
      <c r="X44" s="399"/>
      <c r="Y44" s="399"/>
      <c r="Z44" s="326"/>
      <c r="AA44" s="135"/>
    </row>
    <row r="45" spans="2:29" ht="17.25" customHeight="1" thickBot="1">
      <c r="B45" s="136" t="s">
        <v>82</v>
      </c>
      <c r="C45" s="137"/>
      <c r="D45" s="213"/>
      <c r="E45" s="138"/>
      <c r="F45" s="139"/>
      <c r="G45" s="138"/>
      <c r="H45" s="139"/>
      <c r="I45" s="214"/>
      <c r="J45" s="125"/>
      <c r="K45" s="141"/>
      <c r="L45" s="142"/>
      <c r="M45" s="142"/>
      <c r="N45" s="215"/>
      <c r="O45" s="410"/>
      <c r="P45" s="411"/>
      <c r="Q45" s="412"/>
      <c r="R45" s="413"/>
      <c r="S45" s="413"/>
      <c r="T45" s="413"/>
      <c r="U45" s="413"/>
      <c r="V45" s="413"/>
      <c r="W45" s="413"/>
      <c r="X45" s="413"/>
      <c r="Y45" s="413"/>
      <c r="Z45" s="327"/>
      <c r="AA45" s="135"/>
    </row>
    <row r="46" spans="2:29" s="347" customFormat="1" ht="69.95" customHeight="1" thickTop="1" thickBot="1">
      <c r="B46" s="451" t="s">
        <v>210</v>
      </c>
      <c r="C46" s="452"/>
      <c r="D46" s="339">
        <f>SUM(D29:D45)</f>
        <v>31</v>
      </c>
      <c r="E46" s="340"/>
      <c r="F46" s="341"/>
      <c r="G46" s="340"/>
      <c r="H46" s="341"/>
      <c r="I46" s="342">
        <f>SUM(I29:I45)</f>
        <v>4.4722222222222232</v>
      </c>
      <c r="J46" s="342">
        <f>SUM(J29:J45)</f>
        <v>8.9027777777777786</v>
      </c>
      <c r="K46" s="343"/>
      <c r="L46" s="344"/>
      <c r="M46" s="343"/>
      <c r="N46" s="345"/>
      <c r="O46" s="418">
        <f>SUM(O29:O35)</f>
        <v>12</v>
      </c>
      <c r="P46" s="414">
        <f>SUM(P29:P33)+0.09</f>
        <v>16.09</v>
      </c>
      <c r="Q46" s="415">
        <f t="shared" ref="Q46:Y46" si="8">SUM(Q29:Q45)</f>
        <v>32</v>
      </c>
      <c r="R46" s="415">
        <f t="shared" si="8"/>
        <v>24</v>
      </c>
      <c r="S46" s="415">
        <f t="shared" si="8"/>
        <v>5</v>
      </c>
      <c r="T46" s="415">
        <f t="shared" si="8"/>
        <v>5</v>
      </c>
      <c r="U46" s="415">
        <f t="shared" si="8"/>
        <v>5</v>
      </c>
      <c r="V46" s="415">
        <f t="shared" si="8"/>
        <v>3</v>
      </c>
      <c r="W46" s="415">
        <f t="shared" si="8"/>
        <v>2</v>
      </c>
      <c r="X46" s="415">
        <f t="shared" si="8"/>
        <v>1</v>
      </c>
      <c r="Y46" s="415">
        <f t="shared" si="8"/>
        <v>1</v>
      </c>
      <c r="Z46" s="346"/>
      <c r="AA46" s="135"/>
    </row>
    <row r="47" spans="2:29" ht="17.25" thickBot="1">
      <c r="Z47" s="98"/>
      <c r="AA47" s="135"/>
      <c r="AB47" s="98"/>
      <c r="AC47" s="98"/>
    </row>
    <row r="48" spans="2:29" s="295" customFormat="1" ht="42" thickBot="1">
      <c r="B48" s="374" t="s">
        <v>218</v>
      </c>
      <c r="C48" s="375"/>
      <c r="D48" s="376"/>
      <c r="E48" s="377"/>
      <c r="F48" s="378"/>
      <c r="G48" s="377"/>
      <c r="H48" s="378"/>
      <c r="I48" s="378"/>
      <c r="J48" s="379"/>
      <c r="K48" s="380"/>
      <c r="L48" s="380"/>
      <c r="M48" s="381"/>
      <c r="N48" s="382"/>
      <c r="O48" s="383"/>
      <c r="P48" s="384"/>
      <c r="Q48" s="384"/>
      <c r="R48" s="384"/>
      <c r="S48" s="384"/>
      <c r="T48" s="384"/>
      <c r="U48" s="384"/>
      <c r="V48" s="384"/>
      <c r="W48" s="384"/>
      <c r="X48" s="384"/>
      <c r="Y48" s="384"/>
      <c r="Z48" s="385"/>
      <c r="AA48" s="294"/>
    </row>
    <row r="49" spans="2:28" ht="166.5" thickTop="1" thickBot="1">
      <c r="B49" s="126">
        <v>24</v>
      </c>
      <c r="C49" s="133" t="s">
        <v>134</v>
      </c>
      <c r="D49" s="209"/>
      <c r="E49" s="128"/>
      <c r="F49" s="129"/>
      <c r="G49" s="128"/>
      <c r="H49" s="129"/>
      <c r="I49" s="210"/>
      <c r="J49" s="104"/>
      <c r="K49" s="131"/>
      <c r="L49" s="131"/>
      <c r="M49" s="133"/>
      <c r="N49" s="134" t="s">
        <v>176</v>
      </c>
      <c r="O49" s="350"/>
      <c r="P49" s="390">
        <f>2.91-2.62</f>
        <v>0.29000000000000004</v>
      </c>
      <c r="Q49" s="349"/>
      <c r="R49" s="349"/>
      <c r="S49" s="349"/>
      <c r="T49" s="349"/>
      <c r="U49" s="349"/>
      <c r="V49" s="349"/>
      <c r="W49" s="349"/>
      <c r="X49" s="349"/>
      <c r="Y49" s="211"/>
      <c r="Z49" s="397" t="s">
        <v>216</v>
      </c>
      <c r="AA49" s="156"/>
      <c r="AB49" s="392"/>
    </row>
    <row r="50" spans="2:28" ht="120.75" thickTop="1">
      <c r="B50" s="126">
        <v>26</v>
      </c>
      <c r="C50" s="133" t="s">
        <v>134</v>
      </c>
      <c r="D50" s="209">
        <v>2</v>
      </c>
      <c r="E50" s="128">
        <v>45789</v>
      </c>
      <c r="F50" s="129">
        <v>0.375</v>
      </c>
      <c r="G50" s="128">
        <v>45789</v>
      </c>
      <c r="H50" s="129">
        <v>0.6875</v>
      </c>
      <c r="I50" s="210">
        <f t="shared" ref="I50:I58" si="9">H50-F50</f>
        <v>0.3125</v>
      </c>
      <c r="J50" s="104">
        <f t="shared" ref="J50:J58" si="10">I50*D50</f>
        <v>0.625</v>
      </c>
      <c r="K50" s="131">
        <v>2</v>
      </c>
      <c r="L50" s="132">
        <v>404</v>
      </c>
      <c r="M50" s="133" t="s">
        <v>138</v>
      </c>
      <c r="N50" s="134" t="s">
        <v>181</v>
      </c>
      <c r="O50" s="351">
        <v>2</v>
      </c>
      <c r="P50" s="390">
        <v>5</v>
      </c>
      <c r="Q50" s="349"/>
      <c r="R50" s="349"/>
      <c r="S50" s="349"/>
      <c r="T50" s="349"/>
      <c r="U50" s="349"/>
      <c r="V50" s="349"/>
      <c r="W50" s="349"/>
      <c r="X50" s="349"/>
      <c r="Y50" s="349"/>
      <c r="Z50" s="393"/>
      <c r="AA50" s="98"/>
    </row>
    <row r="51" spans="2:28" ht="72">
      <c r="B51" s="126">
        <v>27</v>
      </c>
      <c r="C51" s="133" t="s">
        <v>134</v>
      </c>
      <c r="D51" s="209">
        <v>2</v>
      </c>
      <c r="E51" s="128">
        <v>45790</v>
      </c>
      <c r="F51" s="129">
        <v>0.375</v>
      </c>
      <c r="G51" s="128">
        <v>45790</v>
      </c>
      <c r="H51" s="129">
        <v>0.6875</v>
      </c>
      <c r="I51" s="210">
        <f t="shared" si="9"/>
        <v>0.3125</v>
      </c>
      <c r="J51" s="104">
        <f t="shared" si="10"/>
        <v>0.625</v>
      </c>
      <c r="K51" s="131">
        <v>2</v>
      </c>
      <c r="L51" s="132">
        <v>301</v>
      </c>
      <c r="M51" s="133" t="s">
        <v>138</v>
      </c>
      <c r="N51" s="134" t="s">
        <v>183</v>
      </c>
      <c r="O51" s="351">
        <v>2</v>
      </c>
      <c r="P51" s="390"/>
      <c r="Q51" s="349"/>
      <c r="R51" s="349"/>
      <c r="S51" s="349"/>
      <c r="T51" s="349"/>
      <c r="U51" s="349"/>
      <c r="V51" s="349"/>
      <c r="W51" s="349"/>
      <c r="X51" s="349"/>
      <c r="Y51" s="349"/>
      <c r="Z51" s="386"/>
      <c r="AA51" s="98"/>
    </row>
    <row r="52" spans="2:28" ht="168" customHeight="1">
      <c r="B52" s="126">
        <v>28</v>
      </c>
      <c r="C52" s="133" t="s">
        <v>134</v>
      </c>
      <c r="D52" s="201">
        <v>2</v>
      </c>
      <c r="E52" s="128">
        <v>45792</v>
      </c>
      <c r="F52" s="129">
        <v>0.5625</v>
      </c>
      <c r="G52" s="128">
        <v>45792</v>
      </c>
      <c r="H52" s="129">
        <v>0.625</v>
      </c>
      <c r="I52" s="210">
        <f t="shared" si="9"/>
        <v>6.25E-2</v>
      </c>
      <c r="J52" s="104">
        <f t="shared" si="10"/>
        <v>0.125</v>
      </c>
      <c r="K52" s="131">
        <v>9</v>
      </c>
      <c r="L52" s="132">
        <v>306</v>
      </c>
      <c r="M52" s="133" t="s">
        <v>138</v>
      </c>
      <c r="N52" s="134" t="s">
        <v>184</v>
      </c>
      <c r="O52" s="352" t="s">
        <v>185</v>
      </c>
      <c r="P52" s="390">
        <v>7</v>
      </c>
      <c r="Q52" s="349"/>
      <c r="R52" s="349"/>
      <c r="S52" s="349"/>
      <c r="T52" s="349"/>
      <c r="U52" s="349"/>
      <c r="V52" s="349"/>
      <c r="W52" s="349"/>
      <c r="X52" s="349"/>
      <c r="Y52" s="349"/>
      <c r="Z52" s="386"/>
      <c r="AA52" s="98"/>
    </row>
    <row r="53" spans="2:28" ht="168" customHeight="1">
      <c r="B53" s="126">
        <v>29</v>
      </c>
      <c r="C53" s="133" t="s">
        <v>134</v>
      </c>
      <c r="D53" s="209">
        <v>2</v>
      </c>
      <c r="E53" s="128">
        <v>45796</v>
      </c>
      <c r="F53" s="129">
        <v>0.375</v>
      </c>
      <c r="G53" s="128">
        <v>45796</v>
      </c>
      <c r="H53" s="129">
        <v>0.6875</v>
      </c>
      <c r="I53" s="210">
        <f t="shared" si="9"/>
        <v>0.3125</v>
      </c>
      <c r="J53" s="104">
        <f t="shared" si="10"/>
        <v>0.625</v>
      </c>
      <c r="K53" s="131">
        <v>8</v>
      </c>
      <c r="L53" s="132">
        <v>209</v>
      </c>
      <c r="M53" s="133" t="s">
        <v>138</v>
      </c>
      <c r="N53" s="134" t="s">
        <v>186</v>
      </c>
      <c r="O53" s="351">
        <v>2</v>
      </c>
      <c r="P53" s="390">
        <v>4</v>
      </c>
      <c r="Q53" s="349"/>
      <c r="R53" s="349"/>
      <c r="S53" s="349"/>
      <c r="T53" s="349"/>
      <c r="U53" s="349"/>
      <c r="V53" s="349"/>
      <c r="W53" s="349"/>
      <c r="X53" s="349"/>
      <c r="Y53" s="349"/>
      <c r="Z53" s="386"/>
      <c r="AA53" s="98"/>
    </row>
    <row r="54" spans="2:28" ht="142.5" customHeight="1">
      <c r="B54" s="126">
        <v>30</v>
      </c>
      <c r="C54" s="133" t="s">
        <v>134</v>
      </c>
      <c r="D54" s="329">
        <v>2</v>
      </c>
      <c r="E54" s="128">
        <v>45797</v>
      </c>
      <c r="F54" s="129">
        <v>0.375</v>
      </c>
      <c r="G54" s="128">
        <v>45797</v>
      </c>
      <c r="H54" s="129">
        <v>0.68055555555555558</v>
      </c>
      <c r="I54" s="210">
        <f t="shared" si="9"/>
        <v>0.30555555555555558</v>
      </c>
      <c r="J54" s="104">
        <f t="shared" si="10"/>
        <v>0.61111111111111116</v>
      </c>
      <c r="K54" s="132" t="s">
        <v>187</v>
      </c>
      <c r="L54" s="132" t="s">
        <v>188</v>
      </c>
      <c r="M54" s="133" t="s">
        <v>138</v>
      </c>
      <c r="N54" s="134" t="s">
        <v>189</v>
      </c>
      <c r="O54" s="353">
        <v>1.5</v>
      </c>
      <c r="P54" s="390">
        <v>9</v>
      </c>
      <c r="Q54" s="349"/>
      <c r="R54" s="349"/>
      <c r="S54" s="349"/>
      <c r="T54" s="349"/>
      <c r="U54" s="349"/>
      <c r="V54" s="349"/>
      <c r="W54" s="349"/>
      <c r="X54" s="349"/>
      <c r="Y54" s="349"/>
      <c r="Z54" s="386"/>
      <c r="AA54" s="156"/>
    </row>
    <row r="55" spans="2:28" ht="120">
      <c r="B55" s="126">
        <v>31</v>
      </c>
      <c r="C55" s="133" t="s">
        <v>134</v>
      </c>
      <c r="D55" s="209">
        <v>2</v>
      </c>
      <c r="E55" s="128">
        <v>45806</v>
      </c>
      <c r="F55" s="129">
        <v>0.375</v>
      </c>
      <c r="G55" s="128">
        <v>45806</v>
      </c>
      <c r="H55" s="129">
        <v>0.69444444444444442</v>
      </c>
      <c r="I55" s="210">
        <f t="shared" si="9"/>
        <v>0.31944444444444442</v>
      </c>
      <c r="J55" s="104">
        <f t="shared" si="10"/>
        <v>0.63888888888888884</v>
      </c>
      <c r="K55" s="132" t="s">
        <v>190</v>
      </c>
      <c r="L55" s="132" t="s">
        <v>191</v>
      </c>
      <c r="M55" s="133" t="s">
        <v>138</v>
      </c>
      <c r="N55" s="134" t="s">
        <v>192</v>
      </c>
      <c r="O55" s="351">
        <v>2</v>
      </c>
      <c r="P55" s="390">
        <v>3</v>
      </c>
      <c r="Q55" s="349"/>
      <c r="R55" s="349"/>
      <c r="S55" s="349"/>
      <c r="T55" s="349"/>
      <c r="U55" s="349"/>
      <c r="V55" s="349"/>
      <c r="W55" s="349"/>
      <c r="X55" s="349"/>
      <c r="Y55" s="349"/>
      <c r="Z55" s="386"/>
      <c r="AA55" s="98"/>
    </row>
    <row r="56" spans="2:28" ht="120">
      <c r="B56" s="126">
        <v>32</v>
      </c>
      <c r="C56" s="133" t="s">
        <v>134</v>
      </c>
      <c r="D56" s="209">
        <v>2</v>
      </c>
      <c r="E56" s="128">
        <v>45807</v>
      </c>
      <c r="F56" s="129">
        <v>0.375</v>
      </c>
      <c r="G56" s="128">
        <v>45807</v>
      </c>
      <c r="H56" s="129">
        <v>0.67361111111111116</v>
      </c>
      <c r="I56" s="210">
        <f t="shared" si="9"/>
        <v>0.29861111111111116</v>
      </c>
      <c r="J56" s="104">
        <f t="shared" si="10"/>
        <v>0.59722222222222232</v>
      </c>
      <c r="K56" s="131">
        <v>2</v>
      </c>
      <c r="L56" s="132">
        <v>201</v>
      </c>
      <c r="M56" s="133" t="s">
        <v>138</v>
      </c>
      <c r="N56" s="134" t="s">
        <v>193</v>
      </c>
      <c r="O56" s="351">
        <v>2</v>
      </c>
      <c r="P56" s="390">
        <v>2</v>
      </c>
      <c r="Q56" s="349"/>
      <c r="R56" s="349"/>
      <c r="S56" s="349"/>
      <c r="T56" s="349"/>
      <c r="U56" s="349"/>
      <c r="V56" s="349"/>
      <c r="W56" s="349"/>
      <c r="X56" s="349"/>
      <c r="Y56" s="349"/>
      <c r="Z56" s="386"/>
      <c r="AA56" s="135"/>
    </row>
    <row r="57" spans="2:28" ht="120">
      <c r="B57" s="126">
        <v>33</v>
      </c>
      <c r="C57" s="133" t="s">
        <v>134</v>
      </c>
      <c r="D57" s="329">
        <v>2</v>
      </c>
      <c r="E57" s="128">
        <v>45824</v>
      </c>
      <c r="F57" s="129">
        <v>0.375</v>
      </c>
      <c r="G57" s="128">
        <v>45824</v>
      </c>
      <c r="H57" s="129">
        <v>0.6875</v>
      </c>
      <c r="I57" s="210">
        <f t="shared" si="9"/>
        <v>0.3125</v>
      </c>
      <c r="J57" s="104">
        <f t="shared" si="10"/>
        <v>0.625</v>
      </c>
      <c r="K57" s="132" t="s">
        <v>194</v>
      </c>
      <c r="L57" s="132" t="s">
        <v>195</v>
      </c>
      <c r="M57" s="133" t="s">
        <v>138</v>
      </c>
      <c r="N57" s="134" t="s">
        <v>196</v>
      </c>
      <c r="O57" s="353">
        <v>1.5</v>
      </c>
      <c r="P57" s="390">
        <v>5</v>
      </c>
      <c r="Q57" s="349"/>
      <c r="R57" s="349"/>
      <c r="S57" s="349"/>
      <c r="T57" s="349"/>
      <c r="U57" s="349"/>
      <c r="V57" s="349"/>
      <c r="W57" s="349"/>
      <c r="X57" s="349"/>
      <c r="Y57" s="349"/>
      <c r="Z57" s="386"/>
      <c r="AA57" s="135"/>
    </row>
    <row r="58" spans="2:28" ht="168.75" thickBot="1">
      <c r="B58" s="387">
        <v>34</v>
      </c>
      <c r="C58" s="354" t="s">
        <v>134</v>
      </c>
      <c r="D58" s="355">
        <v>2</v>
      </c>
      <c r="E58" s="356">
        <v>45825</v>
      </c>
      <c r="F58" s="357">
        <v>0.375</v>
      </c>
      <c r="G58" s="356">
        <v>45825</v>
      </c>
      <c r="H58" s="357">
        <v>0.6875</v>
      </c>
      <c r="I58" s="358">
        <f t="shared" si="9"/>
        <v>0.3125</v>
      </c>
      <c r="J58" s="359">
        <f t="shared" si="10"/>
        <v>0.625</v>
      </c>
      <c r="K58" s="360">
        <v>2</v>
      </c>
      <c r="L58" s="361" t="s">
        <v>197</v>
      </c>
      <c r="M58" s="354" t="s">
        <v>138</v>
      </c>
      <c r="N58" s="362" t="s">
        <v>198</v>
      </c>
      <c r="O58" s="363">
        <v>2</v>
      </c>
      <c r="P58" s="391">
        <v>3</v>
      </c>
      <c r="Q58" s="364"/>
      <c r="R58" s="364"/>
      <c r="S58" s="364"/>
      <c r="T58" s="364"/>
      <c r="U58" s="364"/>
      <c r="V58" s="364"/>
      <c r="W58" s="364"/>
      <c r="X58" s="364"/>
      <c r="Y58" s="364"/>
      <c r="Z58" s="388"/>
      <c r="AA58" s="135"/>
    </row>
    <row r="59" spans="2:28" ht="69.95" customHeight="1" thickBot="1">
      <c r="B59" s="440" t="s">
        <v>210</v>
      </c>
      <c r="C59" s="441"/>
      <c r="D59" s="365">
        <f>SUM(D49:D58)</f>
        <v>18</v>
      </c>
      <c r="E59" s="366"/>
      <c r="F59" s="367"/>
      <c r="G59" s="366"/>
      <c r="H59" s="367"/>
      <c r="I59" s="368">
        <f>SUM(I49:I58)</f>
        <v>2.5486111111111112</v>
      </c>
      <c r="J59" s="368">
        <f>SUM(J49:J58)</f>
        <v>5.0972222222222223</v>
      </c>
      <c r="K59" s="369"/>
      <c r="L59" s="370"/>
      <c r="M59" s="369"/>
      <c r="N59" s="371"/>
      <c r="O59" s="419">
        <f>SUM(O50:O58)</f>
        <v>15</v>
      </c>
      <c r="P59" s="420">
        <f t="shared" ref="P59:Y59" si="11">SUM(P49:P58)</f>
        <v>38.29</v>
      </c>
      <c r="Q59" s="372">
        <f t="shared" si="11"/>
        <v>0</v>
      </c>
      <c r="R59" s="372">
        <f t="shared" si="11"/>
        <v>0</v>
      </c>
      <c r="S59" s="372">
        <f t="shared" si="11"/>
        <v>0</v>
      </c>
      <c r="T59" s="372">
        <f t="shared" si="11"/>
        <v>0</v>
      </c>
      <c r="U59" s="372">
        <f t="shared" si="11"/>
        <v>0</v>
      </c>
      <c r="V59" s="372">
        <f t="shared" si="11"/>
        <v>0</v>
      </c>
      <c r="W59" s="372">
        <f t="shared" si="11"/>
        <v>0</v>
      </c>
      <c r="X59" s="372">
        <f t="shared" si="11"/>
        <v>0</v>
      </c>
      <c r="Y59" s="372">
        <f t="shared" si="11"/>
        <v>0</v>
      </c>
      <c r="Z59" s="373"/>
      <c r="AA59" s="135"/>
    </row>
    <row r="60" spans="2:28" ht="66.75" thickBot="1">
      <c r="O60" s="460">
        <f>O59-D59</f>
        <v>-3</v>
      </c>
      <c r="P60" s="460" t="s">
        <v>220</v>
      </c>
    </row>
    <row r="65" spans="16:16" ht="31.5">
      <c r="P65" s="185"/>
    </row>
  </sheetData>
  <mergeCells count="15">
    <mergeCell ref="B59:C59"/>
    <mergeCell ref="Z3:Z4"/>
    <mergeCell ref="B3:B4"/>
    <mergeCell ref="C3:C4"/>
    <mergeCell ref="D3:D4"/>
    <mergeCell ref="E3:F3"/>
    <mergeCell ref="G3:H3"/>
    <mergeCell ref="K3:K4"/>
    <mergeCell ref="B46:C46"/>
    <mergeCell ref="P3:Y3"/>
    <mergeCell ref="B26:C26"/>
    <mergeCell ref="L3:L4"/>
    <mergeCell ref="M3:M4"/>
    <mergeCell ref="N3:N4"/>
    <mergeCell ref="O3:O4"/>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1D6C-92A0-4692-828D-FFAE6F939F35}">
  <dimension ref="A1"/>
  <sheetViews>
    <sheetView workbookViewId="0"/>
  </sheetViews>
  <sheetFormatPr defaultRowHeight="16.5"/>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vt:lpstr>
      <vt:lpstr>관리소 접수 입력-4차</vt:lpstr>
      <vt:lpstr>시중가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2025-10-17T03:35:24Z</dcterms:modified>
</cp:coreProperties>
</file>
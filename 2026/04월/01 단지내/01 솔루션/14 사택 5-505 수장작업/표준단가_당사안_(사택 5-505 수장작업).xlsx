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78E2378A-E826-4B1F-A698-B212C012F77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9" l="1"/>
  <c r="H7" i="9"/>
  <c r="N7" i="9"/>
  <c r="F9" i="9"/>
  <c r="H9" i="9"/>
  <c r="N9" i="9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18" i="4" l="1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6" i="9"/>
  <c r="F6" i="9"/>
  <c r="H5" i="9"/>
  <c r="F5" i="9"/>
  <c r="J33" i="9" l="1"/>
  <c r="N14" i="9"/>
  <c r="L33" i="9"/>
  <c r="N22" i="9"/>
  <c r="N2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S19" i="4"/>
  <c r="F16" i="5" l="1"/>
  <c r="F26" i="5" s="1"/>
  <c r="F18" i="5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<sst xmlns="http://schemas.openxmlformats.org/spreadsheetml/2006/main" count="240" uniqueCount="172">
  <si>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</si>
  <si>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</si>
  <si>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</si>
  <si>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</si>
  <si>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</si>
  <si>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</si>
  <si>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</si>
  <si>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</si>
  <si>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</si>
  <si>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</si>
  <si>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</si>
  <si>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</si>
  <si>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</si>
  <si>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</si>
  <si>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</si>
  <si>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</si>
  <si>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</si>
  <si>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</si>
  <si>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</si>
  <si>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</si>
  <si>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</si>
  <si>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</si>
  <si>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</si>
  <si>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</si>
  <si>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</si>
  <si>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</si>
  <si>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</si>
  <si>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</si>
  <si>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</si>
  <si>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</si>
  <si>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</si>
  <si>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</si>
  <si>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</si>
  <si>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</si>
  <si>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</si>
  <si>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</si>
  <si>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</si>
  <si>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</si>
  <si>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</si>
  <si>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</si>
  <si>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</si>
  <si>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</si>
  <si>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</si>
  <si>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</si>
  <si>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</si>
  <si>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</si>
  <si>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</si>
  <si>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</si>
  <si>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</si>
  <si>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</si>
  <si>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</si>
  <si>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</si>
  <si>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</si>
  <si>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</si>
  <si>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</si>
  <si>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</si>
  <si>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</si>
  <si>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</si>
  <si>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</si>
  <si>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</si>
  <si>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</si>
  <si>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</si>
  <si>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</si>
  <si>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</si>
  <si>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</si>
  <si>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</si>
  <si>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</si>
  <si>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</si>
  <si>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</si>
  <si>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</si>
  <si>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</si>
  <si>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</si>
  <si>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</si>
  <si>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</si>
  <si>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</si>
  <si>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</si>
  <si>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</si>
  <si>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</si>
  <si>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</si>
  <si>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</si>
  <si>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</si>
  <si>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</si>
  <si>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</si>
  <si>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</si>
  <si>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</si>
  <si>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</si>
  <si>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</si>
  <si>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</si>
  <si>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</si>
  <si>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</si>
  <si>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</si>
  <si>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</si>
  <si>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</si>
  <si>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</si>
  <si>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</si>
  <si>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</si>
  <si>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</si>
  <si>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</si>
  <si>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</si>
  <si>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</si>
  <si>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</si>
  <si>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</si>
  <si>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</si>
  <si>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</si>
  <si>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</si>
  <si>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</si>
  <si>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</si>
  <si>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</si>
  <si>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</si>
  <si>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</si>
  <si>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</si>
  <si>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</si>
  <si>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</si>
  <si>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</si>
  <si>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</si>
  <si>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</si>
  <si>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</si>
  <si>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</si>
  <si>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</si>
  <si>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</si>
  <si>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</si>
  <si>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</si>
  <si>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</si>
  <si>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</si>
  <si>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</si>
  <si>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</si>
  <si>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</si>
  <si>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</si>
  <si>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</si>
  <si>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</si>
  <si>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</si>
  <si>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</si>
  <si>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</si>
  <si>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</si>
  <si>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</si>
  <si>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</si>
  <si>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</si>
  <si>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</si>
  <si>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</si>
  <si>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</si>
  <si>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</si>
  <si>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</si>
  <si>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</si>
  <si>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</si>
  <si>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</si>
  <si>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</si>
  <si>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</si>
  <si>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</si>
  <si>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</si>
  <si>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</si>
  <si>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</si>
  <si>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</si>
  <si>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</si>
  <si>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</si>
  <si>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</si>
  <si>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</si>
  <si>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</si>
  <si>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</si>
  <si>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</si>
  <si>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</si>
  <si>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</si>
  <si>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</si>
  <si>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</si>
  <si>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</si>
  <si>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</si>
  <si>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</si>
  <si>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</si>
  <si>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 xml:space="preserve"> 견적일 : 2026년  01월  23일</t>
    <phoneticPr fontId="11" type="noConversion"/>
  </si>
  <si>
    <t xml:space="preserve"> 공사명 : 사택 5-505 수장공사</t>
    <phoneticPr fontId="11" type="noConversion"/>
  </si>
  <si>
    <t>공사명 : 사택 5-505 수장공사</t>
    <phoneticPr fontId="5" type="noConversion"/>
  </si>
  <si>
    <t>일당 시공량-천장 35㎡ 적산정보 500p 참조, 시공총량24/일당35=0.6857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</si>
  <si>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소요량144/16.51=8.7219R/L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</si>
</sst>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6" fontId="21" fillId="0" borderId="31" xfId="13" applyNumberFormat="1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6" fontId="21" fillId="10" borderId="31" xfId="13" applyNumberFormat="1" applyFont="1" applyFill="1" applyBorder="1" applyAlignment="1">
      <alignment horizontal="center" vertical="center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90" fontId="16" fillId="0" borderId="1" xfId="1" applyNumberFormat="1" applyFont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 wrapText="1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189" fontId="22" fillId="11" borderId="31" xfId="13" applyNumberFormat="1" applyFont="1" applyFill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1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2" fontId="16" fillId="5" borderId="3" xfId="0" applyNumberFormat="1" applyFont="1" applyFill="1" applyBorder="1" applyAlignment="1">
      <alignment horizontal="right" vertical="center" wrapText="1"/>
    </xf>
    <xf numFmtId="192" fontId="16" fillId="6" borderId="3" xfId="1" applyNumberFormat="1" applyFont="1" applyFill="1" applyBorder="1" applyAlignment="1">
      <alignment horizontal="right" vertical="center" wrapText="1"/>
    </xf>
    <xf numFmtId="192" fontId="16" fillId="0" borderId="3" xfId="1" applyNumberFormat="1" applyFont="1" applyFill="1" applyBorder="1" applyAlignment="1">
      <alignment horizontal="right" vertical="center" wrapText="1"/>
    </xf>
    <xf numFmtId="192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right" vertical="center" wrapText="1"/>
    </xf>
    <xf numFmtId="193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183" fontId="16" fillId="5" borderId="3" xfId="0" applyNumberFormat="1" applyFont="1" applyFill="1" applyBorder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2" fontId="16" fillId="5" borderId="3" xfId="1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2" fontId="21" fillId="5" borderId="3" xfId="1" applyNumberFormat="1" applyFont="1" applyFill="1" applyBorder="1" applyAlignment="1">
      <alignment horizontal="right" vertical="center" wrapText="1"/>
    </xf>
    <xf numFmtId="177" fontId="16" fillId="5" borderId="3" xfId="1" applyFont="1" applyFill="1" applyBorder="1" applyAlignment="1">
      <alignment vertical="center"/>
    </xf>
    <xf numFmtId="183" fontId="21" fillId="0" borderId="31" xfId="13" applyNumberFormat="1" applyFont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6" fontId="21" fillId="7" borderId="31" xfId="13" applyNumberFormat="1" applyFont="1" applyFill="1" applyBorder="1" applyAlignment="1">
      <alignment horizontal="center" vertical="center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23" sqref="J2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4" t="s">
        <v>168</v>
      </c>
      <c r="B7" s="175"/>
      <c r="C7" s="176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4" t="s">
        <v>167</v>
      </c>
      <c r="B9" s="175"/>
      <c r="C9" s="176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2"/>
      <c r="B11" s="173"/>
      <c r="C11" s="173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사백이십칠만삼천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754671.08784999989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2864479.219726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3619150.3075759998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128901.56488767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101545.78833928671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13150.179589937628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28931.2401192326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101975.4602222456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153</v>
      </c>
      <c r="D26" s="30">
        <v>1</v>
      </c>
      <c r="E26" s="30" t="s">
        <v>25</v>
      </c>
      <c r="F26" s="43">
        <f>(F16+F17)*3.11%</f>
        <v>112555.57456561358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167576.95137249932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654636.75909648545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4273787.0666724853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4273000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L23" sqref="L23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66"/>
      <c r="O1" s="144" t="s">
        <v>100</v>
      </c>
      <c r="Q1" s="144" t="s">
        <v>100</v>
      </c>
      <c r="S1" s="144" t="s">
        <v>100</v>
      </c>
      <c r="U1" s="144" t="s">
        <v>100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101</v>
      </c>
      <c r="G3" s="148"/>
      <c r="H3" s="148"/>
      <c r="I3" s="148"/>
      <c r="J3" s="188" t="s">
        <v>102</v>
      </c>
      <c r="K3" s="188"/>
      <c r="L3" s="186" t="s">
        <v>47</v>
      </c>
      <c r="M3" s="186" t="s">
        <v>5</v>
      </c>
      <c r="N3" s="182" t="s">
        <v>103</v>
      </c>
      <c r="O3" s="182"/>
      <c r="P3" s="182" t="s">
        <v>104</v>
      </c>
      <c r="Q3" s="182"/>
      <c r="R3" s="183" t="s">
        <v>105</v>
      </c>
      <c r="S3" s="183"/>
      <c r="T3" s="183" t="s">
        <v>106</v>
      </c>
      <c r="U3" s="183"/>
      <c r="V3" s="184" t="s">
        <v>107</v>
      </c>
      <c r="W3" s="180" t="s">
        <v>108</v>
      </c>
      <c r="X3" s="178" t="s">
        <v>45</v>
      </c>
    </row>
    <row r="4" spans="1:24" ht="19.899999999999999" customHeight="1" x14ac:dyDescent="0.3">
      <c r="A4" s="69" t="s">
        <v>109</v>
      </c>
      <c r="B4" s="145"/>
      <c r="C4" s="145"/>
      <c r="D4" s="145"/>
      <c r="E4" s="145"/>
      <c r="F4" s="70" t="s">
        <v>110</v>
      </c>
      <c r="G4" s="70" t="s">
        <v>111</v>
      </c>
      <c r="H4" s="70" t="s">
        <v>112</v>
      </c>
      <c r="I4" s="70" t="s">
        <v>113</v>
      </c>
      <c r="J4" s="142" t="s">
        <v>114</v>
      </c>
      <c r="K4" s="142" t="s">
        <v>115</v>
      </c>
      <c r="L4" s="187"/>
      <c r="M4" s="187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5"/>
      <c r="W4" s="181"/>
      <c r="X4" s="179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158</v>
      </c>
      <c r="I5" s="103"/>
      <c r="J5" s="140" t="s">
        <v>159</v>
      </c>
      <c r="K5" s="140" t="s">
        <v>171</v>
      </c>
      <c r="L5" s="121" t="s">
        <v>164</v>
      </c>
      <c r="M5" s="139">
        <v>8.7218999999999998</v>
      </c>
      <c r="N5" s="161">
        <v>20900</v>
      </c>
      <c r="O5" s="135">
        <f t="shared" ref="O5" si="1">SUM(N5:N5)*M5*$O$2</f>
        <v>152210.23784999998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152210.23784999998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0" t="s">
        <v>122</v>
      </c>
      <c r="K6" s="140" t="s">
        <v>165</v>
      </c>
      <c r="L6" s="75" t="s">
        <v>121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0" t="s">
        <v>123</v>
      </c>
      <c r="K7" s="140" t="s">
        <v>170</v>
      </c>
      <c r="L7" s="75" t="s">
        <v>121</v>
      </c>
      <c r="M7" s="139">
        <v>0.68569999999999998</v>
      </c>
      <c r="N7" s="137"/>
      <c r="O7" s="135">
        <f t="shared" ref="O7:O17" si="13">SUM(N7:N7)*M7*$O$2</f>
        <v>0</v>
      </c>
      <c r="P7" s="134">
        <v>487076</v>
      </c>
      <c r="Q7" s="135">
        <f t="shared" ref="Q7:Q18" si="14">(P7*M7)*$Q$2</f>
        <v>278879.99102199997</v>
      </c>
      <c r="R7" s="136"/>
      <c r="S7" s="135">
        <f t="shared" ref="S7:S18" si="15">R7*M7*$S$2</f>
        <v>0</v>
      </c>
      <c r="T7" s="136"/>
      <c r="U7" s="135">
        <f t="shared" ref="U7:U18" si="16">T7*M7*$U$2</f>
        <v>0</v>
      </c>
      <c r="V7" s="77">
        <f t="shared" ref="V7:V18" si="17">SUM(O7+Q7)+S7+U7</f>
        <v>278879.99102199997</v>
      </c>
      <c r="W7" s="120"/>
      <c r="X7" s="78"/>
    </row>
    <row r="8" spans="1:24" s="149" customFormat="1" ht="38.1" customHeight="1" x14ac:dyDescent="0.3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154</v>
      </c>
      <c r="I8" s="103"/>
      <c r="J8" s="140" t="s">
        <v>155</v>
      </c>
      <c r="K8" s="140" t="s">
        <v>156</v>
      </c>
      <c r="L8" s="121" t="s">
        <v>157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 x14ac:dyDescent="0.3">
      <c r="A9" s="73" t="str">
        <f t="shared" ref="A9:A18" si="18">F9&amp;G9&amp;H9&amp;I9</f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0" t="s">
        <v>125</v>
      </c>
      <c r="K9" s="140" t="s">
        <v>166</v>
      </c>
      <c r="L9" s="75" t="s">
        <v>121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 x14ac:dyDescent="0.3">
      <c r="A10" s="73" t="str">
        <f t="shared" si="18"/>
        <v>M020412614110102</v>
      </c>
      <c r="B10" s="109"/>
      <c r="C10" s="109"/>
      <c r="D10" s="109"/>
      <c r="E10" s="109"/>
      <c r="F10" s="103"/>
      <c r="G10" s="74"/>
      <c r="H10" s="162" t="s">
        <v>150</v>
      </c>
      <c r="I10" s="103"/>
      <c r="J10" s="163" t="s">
        <v>149</v>
      </c>
      <c r="K10" s="163" t="s">
        <v>144</v>
      </c>
      <c r="L10" s="131" t="s">
        <v>143</v>
      </c>
      <c r="M10" s="139">
        <v>0.5</v>
      </c>
      <c r="N10" s="164">
        <v>65500</v>
      </c>
      <c r="O10" s="135">
        <f t="shared" si="13"/>
        <v>27346.25</v>
      </c>
      <c r="P10" s="134"/>
      <c r="Q10" s="135"/>
      <c r="R10" s="136"/>
      <c r="S10" s="135"/>
      <c r="T10" s="136"/>
      <c r="U10" s="135"/>
      <c r="V10" s="77">
        <f t="shared" si="17"/>
        <v>27346.25</v>
      </c>
      <c r="W10" s="120"/>
      <c r="X10" s="78"/>
    </row>
    <row r="11" spans="1:24" s="149" customFormat="1" ht="38.1" customHeight="1" x14ac:dyDescent="0.3">
      <c r="A11" s="73" t="str">
        <f t="shared" si="18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0" t="s">
        <v>127</v>
      </c>
      <c r="K11" s="140" t="s">
        <v>128</v>
      </c>
      <c r="L11" s="121" t="s">
        <v>141</v>
      </c>
      <c r="M11" s="139">
        <v>50</v>
      </c>
      <c r="N11" s="134"/>
      <c r="O11" s="135">
        <f t="shared" si="13"/>
        <v>0</v>
      </c>
      <c r="P11" s="134">
        <v>10432</v>
      </c>
      <c r="Q11" s="135">
        <f t="shared" si="14"/>
        <v>435536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435536</v>
      </c>
      <c r="W11" s="120"/>
      <c r="X11" s="78"/>
    </row>
    <row r="12" spans="1:24" s="149" customFormat="1" ht="38.1" customHeight="1" x14ac:dyDescent="0.3">
      <c r="A12" s="73" t="str">
        <f t="shared" si="18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0" t="s">
        <v>131</v>
      </c>
      <c r="K12" s="140" t="s">
        <v>132</v>
      </c>
      <c r="L12" s="121" t="s">
        <v>129</v>
      </c>
      <c r="M12" s="139">
        <v>50</v>
      </c>
      <c r="N12" s="134"/>
      <c r="O12" s="135">
        <f t="shared" si="13"/>
        <v>0</v>
      </c>
      <c r="P12" s="134">
        <v>6179</v>
      </c>
      <c r="Q12" s="135">
        <f t="shared" si="14"/>
        <v>257973.25</v>
      </c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257973.25</v>
      </c>
      <c r="W12" s="120"/>
      <c r="X12" s="78"/>
    </row>
    <row r="13" spans="1:24" s="149" customFormat="1" ht="38.1" customHeight="1" x14ac:dyDescent="0.3">
      <c r="A13" s="73" t="str">
        <f t="shared" si="18"/>
        <v>M020411810170101</v>
      </c>
      <c r="B13" s="109"/>
      <c r="C13" s="109"/>
      <c r="D13" s="109"/>
      <c r="E13" s="109"/>
      <c r="F13" s="103"/>
      <c r="G13" s="74"/>
      <c r="H13" s="162" t="s">
        <v>145</v>
      </c>
      <c r="I13" s="103"/>
      <c r="J13" s="163" t="s">
        <v>146</v>
      </c>
      <c r="K13" s="163" t="s">
        <v>147</v>
      </c>
      <c r="L13" s="131" t="s">
        <v>143</v>
      </c>
      <c r="M13" s="139">
        <v>0.2</v>
      </c>
      <c r="N13" s="164">
        <v>89800</v>
      </c>
      <c r="O13" s="135">
        <f t="shared" si="13"/>
        <v>14996.599999999999</v>
      </c>
      <c r="P13" s="134"/>
      <c r="Q13" s="135"/>
      <c r="R13" s="136"/>
      <c r="S13" s="135">
        <f t="shared" si="15"/>
        <v>0</v>
      </c>
      <c r="T13" s="136"/>
      <c r="U13" s="135">
        <f t="shared" si="16"/>
        <v>0</v>
      </c>
      <c r="V13" s="77">
        <f t="shared" si="17"/>
        <v>14996.599999999999</v>
      </c>
      <c r="W13" s="120"/>
      <c r="X13" s="78"/>
    </row>
    <row r="14" spans="1:24" s="149" customFormat="1" ht="38.1" customHeight="1" x14ac:dyDescent="0.3">
      <c r="A14" s="73" t="str">
        <f t="shared" si="18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0" t="s">
        <v>134</v>
      </c>
      <c r="K14" s="140" t="s">
        <v>135</v>
      </c>
      <c r="L14" s="121" t="s">
        <v>129</v>
      </c>
      <c r="M14" s="139">
        <v>14</v>
      </c>
      <c r="N14" s="150"/>
      <c r="O14" s="76">
        <f t="shared" si="13"/>
        <v>0</v>
      </c>
      <c r="P14" s="151">
        <v>2422</v>
      </c>
      <c r="Q14" s="76">
        <f t="shared" si="14"/>
        <v>28313.18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28313.18</v>
      </c>
      <c r="W14" s="120"/>
      <c r="X14" s="78"/>
    </row>
    <row r="15" spans="1:24" s="149" customFormat="1" ht="38.1" customHeight="1" x14ac:dyDescent="0.3">
      <c r="A15" s="73" t="str">
        <f t="shared" si="18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0" t="s">
        <v>137</v>
      </c>
      <c r="K15" s="140" t="s">
        <v>132</v>
      </c>
      <c r="L15" s="121" t="s">
        <v>129</v>
      </c>
      <c r="M15" s="139">
        <v>14</v>
      </c>
      <c r="N15" s="122"/>
      <c r="O15" s="76">
        <f t="shared" si="13"/>
        <v>0</v>
      </c>
      <c r="P15" s="151">
        <v>3756</v>
      </c>
      <c r="Q15" s="76">
        <f t="shared" si="14"/>
        <v>43907.64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43907.64</v>
      </c>
      <c r="W15" s="120"/>
      <c r="X15" s="78"/>
    </row>
    <row r="16" spans="1:24" s="149" customFormat="1" ht="38.1" customHeight="1" x14ac:dyDescent="0.3">
      <c r="A16" s="73" t="str">
        <f t="shared" si="18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0" t="s">
        <v>138</v>
      </c>
      <c r="K16" s="140" t="s">
        <v>135</v>
      </c>
      <c r="L16" s="121" t="s">
        <v>129</v>
      </c>
      <c r="M16" s="139">
        <v>1.85</v>
      </c>
      <c r="N16" s="150"/>
      <c r="O16" s="76">
        <f t="shared" si="13"/>
        <v>0</v>
      </c>
      <c r="P16" s="151">
        <v>2422</v>
      </c>
      <c r="Q16" s="76">
        <f t="shared" si="14"/>
        <v>3741.3844999999997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3741.3844999999997</v>
      </c>
      <c r="W16" s="120"/>
      <c r="X16" s="78"/>
    </row>
    <row r="17" spans="1:24" s="149" customFormat="1" ht="38.1" customHeight="1" x14ac:dyDescent="0.3">
      <c r="A17" s="73" t="str">
        <f t="shared" si="18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0" t="s">
        <v>140</v>
      </c>
      <c r="K17" s="140" t="s">
        <v>132</v>
      </c>
      <c r="L17" s="121" t="s">
        <v>129</v>
      </c>
      <c r="M17" s="139">
        <v>1.85</v>
      </c>
      <c r="N17" s="122"/>
      <c r="O17" s="76">
        <f t="shared" si="13"/>
        <v>0</v>
      </c>
      <c r="P17" s="151">
        <v>5677</v>
      </c>
      <c r="Q17" s="76">
        <f t="shared" si="14"/>
        <v>8769.5457500000011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8769.5457500000011</v>
      </c>
      <c r="W17" s="120"/>
      <c r="X17" s="78"/>
    </row>
    <row r="18" spans="1:24" s="149" customFormat="1" ht="38.1" customHeight="1" x14ac:dyDescent="0.3">
      <c r="A18" s="73" t="str">
        <f t="shared" si="18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2" t="s">
        <v>160</v>
      </c>
      <c r="K18" s="152" t="s">
        <v>161</v>
      </c>
      <c r="L18" s="153" t="s">
        <v>162</v>
      </c>
      <c r="M18" s="139">
        <v>97</v>
      </c>
      <c r="N18" s="150"/>
      <c r="O18" s="76">
        <f t="shared" ref="O18" si="19">SUM(N18:N18)*M18*$O$2</f>
        <v>0</v>
      </c>
      <c r="P18" s="165">
        <v>4966</v>
      </c>
      <c r="Q18" s="76">
        <f t="shared" si="14"/>
        <v>402221.17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402221.17</v>
      </c>
      <c r="W18" s="120"/>
      <c r="X18" s="78"/>
    </row>
    <row r="19" spans="1:24" s="159" customFormat="1" ht="38.1" customHeight="1" x14ac:dyDescent="0.3">
      <c r="A19" s="154"/>
      <c r="B19" s="155"/>
      <c r="C19" s="155"/>
      <c r="D19" s="155"/>
      <c r="E19" s="155"/>
      <c r="F19" s="155"/>
      <c r="G19" s="155"/>
      <c r="H19" s="155"/>
      <c r="I19" s="155"/>
      <c r="J19" s="143"/>
      <c r="K19" s="143"/>
      <c r="L19" s="155"/>
      <c r="M19" s="155"/>
      <c r="N19" s="155"/>
      <c r="O19" s="156">
        <f>SUM(O5:O18)</f>
        <v>754671.08784999989</v>
      </c>
      <c r="P19" s="157"/>
      <c r="Q19" s="156">
        <f>SUM(Q5:Q18)</f>
        <v>2864479.219726</v>
      </c>
      <c r="R19" s="157"/>
      <c r="S19" s="156">
        <f>SUM(S5:S18)</f>
        <v>0</v>
      </c>
      <c r="T19" s="157"/>
      <c r="U19" s="156">
        <f>SUM(U5:U18)</f>
        <v>0</v>
      </c>
      <c r="V19" s="158">
        <f>SUM(V5:V18)</f>
        <v>3619150.3075760002</v>
      </c>
      <c r="W19" s="112"/>
      <c r="X19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F43" sqref="F43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191" t="s">
        <v>59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 ht="15" customHeight="1" x14ac:dyDescent="0.3">
      <c r="A2" s="192" t="s">
        <v>60</v>
      </c>
      <c r="B2" s="193" t="s">
        <v>61</v>
      </c>
      <c r="C2" s="194" t="s">
        <v>47</v>
      </c>
      <c r="D2" s="194" t="s">
        <v>62</v>
      </c>
      <c r="E2" s="196" t="s">
        <v>63</v>
      </c>
      <c r="F2" s="193"/>
      <c r="G2" s="193" t="s">
        <v>64</v>
      </c>
      <c r="H2" s="193"/>
      <c r="I2" s="197" t="s">
        <v>65</v>
      </c>
      <c r="J2" s="198"/>
      <c r="K2" s="197" t="s">
        <v>66</v>
      </c>
      <c r="L2" s="198"/>
      <c r="M2" s="196" t="s">
        <v>67</v>
      </c>
      <c r="N2" s="193"/>
      <c r="O2" s="199" t="s">
        <v>68</v>
      </c>
    </row>
    <row r="3" spans="1:15" ht="15" customHeight="1" x14ac:dyDescent="0.3">
      <c r="A3" s="192"/>
      <c r="B3" s="193"/>
      <c r="C3" s="195"/>
      <c r="D3" s="195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0"/>
    </row>
    <row r="4" spans="1:15" ht="15" customHeight="1" x14ac:dyDescent="0.3">
      <c r="A4" s="189" t="s">
        <v>169</v>
      </c>
      <c r="B4" s="19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2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1" si="0">D5*E5</f>
        <v>40166</v>
      </c>
      <c r="G5" s="85">
        <v>8839.9</v>
      </c>
      <c r="H5" s="85">
        <f t="shared" ref="H5:H11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204" t="s">
        <v>151</v>
      </c>
    </row>
    <row r="6" spans="1:15" ht="15" customHeight="1" x14ac:dyDescent="0.3">
      <c r="A6" s="203"/>
      <c r="B6" s="82" t="s">
        <v>75</v>
      </c>
      <c r="C6" s="83" t="s">
        <v>74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1" si="2">F6+H6+J6+L6</f>
        <v>304185.59999999998</v>
      </c>
      <c r="O6" s="205"/>
    </row>
    <row r="7" spans="1:15" ht="15" customHeight="1" x14ac:dyDescent="0.3">
      <c r="A7" s="203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5"/>
    </row>
    <row r="8" spans="1:15" ht="15" customHeight="1" x14ac:dyDescent="0.3">
      <c r="A8" s="203"/>
      <c r="B8" s="167" t="s">
        <v>77</v>
      </c>
      <c r="C8" s="168" t="s">
        <v>74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205"/>
    </row>
    <row r="9" spans="1:15" ht="15" customHeight="1" x14ac:dyDescent="0.3">
      <c r="A9" s="203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205"/>
    </row>
    <row r="10" spans="1:15" ht="15" customHeight="1" x14ac:dyDescent="0.3">
      <c r="A10" s="203"/>
      <c r="B10" s="167" t="s">
        <v>79</v>
      </c>
      <c r="C10" s="168" t="s">
        <v>74</v>
      </c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205"/>
    </row>
    <row r="11" spans="1:15" ht="15" customHeight="1" x14ac:dyDescent="0.3">
      <c r="A11" s="203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205"/>
    </row>
    <row r="12" spans="1:15" ht="15" customHeight="1" x14ac:dyDescent="0.3">
      <c r="A12" s="203"/>
      <c r="B12" s="167" t="s">
        <v>81</v>
      </c>
      <c r="C12" s="168" t="s">
        <v>74</v>
      </c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205"/>
    </row>
    <row r="13" spans="1:15" ht="15" customHeight="1" x14ac:dyDescent="0.3">
      <c r="A13" s="113" t="s">
        <v>82</v>
      </c>
      <c r="B13" s="114"/>
      <c r="C13" s="115"/>
      <c r="D13" s="124">
        <f>SUM(D5:D12)</f>
        <v>144</v>
      </c>
      <c r="E13" s="116"/>
      <c r="F13" s="116">
        <f>SUM(F5:F12)</f>
        <v>152208</v>
      </c>
      <c r="G13" s="116"/>
      <c r="H13" s="116">
        <f>SUM(H5:H12)</f>
        <v>1339605.6000000001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1491813.6</v>
      </c>
      <c r="O13" s="116"/>
    </row>
    <row r="14" spans="1:15" ht="15" customHeight="1" x14ac:dyDescent="0.3">
      <c r="A14" s="206" t="s">
        <v>152</v>
      </c>
      <c r="B14" s="82" t="s">
        <v>83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205"/>
    </row>
    <row r="15" spans="1:15" ht="15" customHeight="1" x14ac:dyDescent="0.3">
      <c r="A15" s="206"/>
      <c r="B15" s="82" t="s">
        <v>84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205"/>
    </row>
    <row r="16" spans="1:15" ht="15" customHeight="1" x14ac:dyDescent="0.3">
      <c r="A16" s="206"/>
      <c r="B16" s="82" t="s">
        <v>85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205"/>
    </row>
    <row r="17" spans="1:15" ht="15" customHeight="1" x14ac:dyDescent="0.3">
      <c r="A17" s="207"/>
      <c r="B17" s="82" t="s">
        <v>86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208"/>
    </row>
    <row r="18" spans="1:15" ht="15" customHeight="1" x14ac:dyDescent="0.3">
      <c r="A18" s="104" t="s">
        <v>82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148</v>
      </c>
      <c r="B20" s="132" t="s">
        <v>144</v>
      </c>
      <c r="C20" s="132" t="s">
        <v>143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209" t="s">
        <v>88</v>
      </c>
      <c r="B21" s="92" t="s">
        <v>89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209"/>
      <c r="B22" s="92" t="s">
        <v>90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209" t="s">
        <v>91</v>
      </c>
      <c r="B23" s="92" t="s">
        <v>89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209"/>
      <c r="B24" s="92" t="s">
        <v>90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146</v>
      </c>
      <c r="B25" s="132" t="s">
        <v>147</v>
      </c>
      <c r="C25" s="132" t="s">
        <v>143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201" t="s">
        <v>92</v>
      </c>
      <c r="B26" s="92" t="s">
        <v>93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201"/>
      <c r="B27" s="92" t="s">
        <v>94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201" t="s">
        <v>95</v>
      </c>
      <c r="B28" s="92" t="s">
        <v>93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201"/>
      <c r="B29" s="92" t="s">
        <v>96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97</v>
      </c>
      <c r="B31" s="82" t="s">
        <v>98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99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753584.4</v>
      </c>
      <c r="G33" s="101"/>
      <c r="H33" s="101">
        <f>H13+H18+H30+H32</f>
        <v>2864507.75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3618092.15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8.7218999999999998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0.68569999999999998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8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50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8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14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1.85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8">
        <f>'내역서(표준단가)'!M18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2026-01-31T06:49:52Z</dcterms:created>
  <dcterms:modified xsi:type="dcterms:W3CDTF">2026-02-01T01:36:14Z</dcterms:modified>
</cp:coreProperties>
</file>
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925\06 작업폴더\02 사택 101동-104동 주차장 주차면 정리\"/>
    </mc:Choice>
  </mc:AlternateContent>
  <xr:revisionPtr revIDLastSave="0" documentId="13_ncr:1_{8B3FA3F2-21E5-4D8B-B1E2-F0BD9DD6A2FD}" xr6:coauthVersionLast="47" xr6:coauthVersionMax="47" xr10:uidLastSave="{00000000-0000-0000-0000-000000000000}"/>
  <bookViews>
    <workbookView xWindow="390" yWindow="0" windowWidth="14490" windowHeight="16245" xr2:uid="{00000000-000D-0000-FFFF-FFFF00000000}"/>
  </bookViews>
  <sheets>
    <sheet name="갑지" sheetId="5" r:id="rId1"/>
    <sheet name="내역서(표준단가)" sheetId="4" r:id="rId2"/>
    <sheet name="시중가 근거서류" sheetId="25" r:id="rId3"/>
    <sheet name="Upload(시중가)" sheetId="22" r:id="rId4"/>
    <sheet name="Upload" sheetId="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E2" i="1"/>
  <c r="D2" i="1"/>
  <c r="C2" i="1"/>
  <c r="B2" i="1"/>
  <c r="O6" i="4"/>
  <c r="U6" i="4"/>
  <c r="S6" i="4"/>
  <c r="Q6" i="4"/>
  <c r="U5" i="4"/>
  <c r="S5" i="4"/>
  <c r="Q5" i="4"/>
  <c r="O5" i="4"/>
  <c r="A5" i="4"/>
  <c r="A2" i="1" s="1"/>
  <c r="V6" i="4" l="1"/>
  <c r="V5" i="4"/>
  <c r="U8" i="4" l="1"/>
  <c r="Q8" i="4"/>
  <c r="S8" i="4" l="1"/>
  <c r="V8" i="4" l="1"/>
  <c r="F18" i="5" l="1"/>
  <c r="O8" i="4" l="1"/>
  <c r="F17" i="5" l="1"/>
  <c r="F16" i="5"/>
  <c r="F26" i="5" l="1"/>
  <c r="F19" i="5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<sst xmlns="http://schemas.openxmlformats.org/spreadsheetml/2006/main" count="130" uniqueCount="107">
  <si>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</si>
  <si>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</si>
  <si>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</si>
  <si>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</si>
  <si>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</si>
  <si>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</si>
  <si>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7" type="noConversion"/>
  </si>
  <si>
    <t xml:space="preserve">금액: </t>
    <phoneticPr fontId="17" type="noConversion"/>
  </si>
  <si>
    <t>원정</t>
    <phoneticPr fontId="19" type="noConversion"/>
  </si>
  <si>
    <t xml:space="preserve">  </t>
  </si>
  <si>
    <t>NO</t>
  </si>
  <si>
    <t>품명</t>
    <phoneticPr fontId="19" type="noConversion"/>
  </si>
  <si>
    <t>규격</t>
    <phoneticPr fontId="19" type="noConversion"/>
  </si>
  <si>
    <t>수량</t>
    <phoneticPr fontId="19" type="noConversion"/>
  </si>
  <si>
    <t>단위</t>
    <phoneticPr fontId="19" type="noConversion"/>
  </si>
  <si>
    <t>금액</t>
    <phoneticPr fontId="19" type="noConversion"/>
  </si>
  <si>
    <t>비고</t>
    <phoneticPr fontId="19" type="noConversion"/>
  </si>
  <si>
    <t>직접비</t>
    <phoneticPr fontId="17" type="noConversion"/>
  </si>
  <si>
    <t>재료비</t>
    <phoneticPr fontId="17" type="noConversion"/>
  </si>
  <si>
    <t>노무비</t>
    <phoneticPr fontId="19" type="noConversion"/>
  </si>
  <si>
    <t>기계/기타경비</t>
    <phoneticPr fontId="17" type="noConversion"/>
  </si>
  <si>
    <t>소계</t>
    <phoneticPr fontId="17" type="noConversion"/>
  </si>
  <si>
    <t>간접비</t>
    <phoneticPr fontId="17" type="noConversion"/>
  </si>
  <si>
    <t>  국민연금</t>
    <phoneticPr fontId="19" type="noConversion"/>
  </si>
  <si>
    <t> 노무비*4.5%</t>
    <phoneticPr fontId="19" type="noConversion"/>
  </si>
  <si>
    <t>식</t>
    <phoneticPr fontId="19" type="noConversion"/>
  </si>
  <si>
    <t>모든공사에 적용</t>
    <phoneticPr fontId="19" type="noConversion"/>
  </si>
  <si>
    <t>  건강보험료</t>
    <phoneticPr fontId="19" type="noConversion"/>
  </si>
  <si>
    <t>모든공사에 적용</t>
    <phoneticPr fontId="19" type="noConversion"/>
  </si>
  <si>
    <t>  장기요양보험료</t>
    <phoneticPr fontId="19" type="noConversion"/>
  </si>
  <si>
    <t>  고용보험료</t>
    <phoneticPr fontId="19" type="noConversion"/>
  </si>
  <si>
    <t>  산재보험료</t>
    <phoneticPr fontId="19" type="noConversion"/>
  </si>
  <si>
    <t xml:space="preserve">  산업안전보건관리비</t>
    <phoneticPr fontId="19" type="noConversion"/>
  </si>
  <si>
    <t>소계</t>
    <phoneticPr fontId="17" type="noConversion"/>
  </si>
  <si>
    <t>합계(단수조정)</t>
    <phoneticPr fontId="17" type="noConversion"/>
  </si>
  <si>
    <t>VAT별도</t>
    <phoneticPr fontId="19" type="noConversion"/>
  </si>
  <si>
    <t>일반관리비/이윤</t>
    <phoneticPr fontId="19" type="noConversion"/>
  </si>
  <si>
    <t> (노무비+간접공사비)*5%</t>
    <phoneticPr fontId="19" type="noConversion"/>
  </si>
  <si>
    <t>등록번호</t>
    <phoneticPr fontId="13" type="noConversion"/>
  </si>
  <si>
    <t>종 목</t>
    <phoneticPr fontId="13" type="noConversion"/>
  </si>
  <si>
    <t>TEL, FAX</t>
    <phoneticPr fontId="13" type="noConversion"/>
  </si>
  <si>
    <t>상 호</t>
    <phoneticPr fontId="13" type="noConversion"/>
  </si>
  <si>
    <t>대표 이사</t>
    <phoneticPr fontId="13" type="noConversion"/>
  </si>
  <si>
    <t>사업장</t>
    <phoneticPr fontId="13" type="noConversion"/>
  </si>
  <si>
    <t>업 태</t>
    <phoneticPr fontId="13" type="noConversion"/>
  </si>
  <si>
    <t>할증기준</t>
    <phoneticPr fontId="11" type="noConversion"/>
  </si>
  <si>
    <t> 노무비*1.01%</t>
    <phoneticPr fontId="19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</si>
  <si>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</si>
  <si>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</si>
  <si>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</si>
  <si>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</si>
  <si>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</si>
  <si>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</si>
  <si>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</si>
  <si>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</si>
  <si>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</si>
  <si>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</si>
  <si>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</si>
  <si>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</si>
  <si>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</si>
  <si>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</si>
  <si>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</si>
  <si>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</si>
  <si>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</si>
  <si>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 xml:space="preserve"> 수신인 : 주식회사 에스엔아이 코퍼레이션</t>
    <phoneticPr fontId="17" type="noConversion"/>
  </si>
  <si>
    <t> 노무비*3.545%</t>
    <phoneticPr fontId="19" type="noConversion"/>
  </si>
  <si>
    <t> 건강보험료*12.95%</t>
    <phoneticPr fontId="19" type="noConversion"/>
  </si>
  <si>
    <t> 노무비*3.56%</t>
    <phoneticPr fontId="19" type="noConversion"/>
  </si>
  <si>
    <t>314-86-35718</t>
    <phoneticPr fontId="11" type="noConversion"/>
  </si>
  <si>
    <t>㈜일성건축</t>
    <phoneticPr fontId="11" type="noConversion"/>
  </si>
  <si>
    <t>상 석 희</t>
    <phoneticPr fontId="11" type="noConversion"/>
  </si>
  <si>
    <t>대전 서구 도마6길 107 (도마동)</t>
    <phoneticPr fontId="11" type="noConversion"/>
  </si>
  <si>
    <t>건설업</t>
    <phoneticPr fontId="11" type="noConversion"/>
  </si>
  <si>
    <t>실내건축,인테리어공사</t>
    <phoneticPr fontId="11" type="noConversion"/>
  </si>
  <si>
    <t>042)527-0995, 042)527-0996</t>
    <phoneticPr fontId="11" type="noConversion"/>
  </si>
  <si>
    <t>인</t>
    <phoneticPr fontId="11" type="noConversion"/>
  </si>
  <si>
    <t>영선,건축</t>
    <phoneticPr fontId="11" type="noConversion"/>
  </si>
  <si>
    <t>단가</t>
    <phoneticPr fontId="13" type="noConversion"/>
  </si>
  <si>
    <t>set</t>
    <phoneticPr fontId="11" type="noConversion"/>
  </si>
  <si>
    <t>L003</t>
    <phoneticPr fontId="11" type="noConversion"/>
  </si>
  <si>
    <t>▼낙찰율</t>
    <phoneticPr fontId="13" type="noConversion"/>
  </si>
  <si>
    <t>▶ 표준 Code(표준단가/품셈/물정/노임) 순서별 입력(Upload 자동반영)</t>
    <phoneticPr fontId="11" type="noConversion"/>
  </si>
  <si>
    <t>주요내역</t>
    <phoneticPr fontId="11" type="noConversion"/>
  </si>
  <si>
    <t>재료비</t>
    <phoneticPr fontId="13" type="noConversion"/>
  </si>
  <si>
    <t>노무비</t>
    <phoneticPr fontId="13" type="noConversion"/>
  </si>
  <si>
    <t>기계경비</t>
  </si>
  <si>
    <t>기타경비(부자재비)</t>
  </si>
  <si>
    <t>합계</t>
    <phoneticPr fontId="13" type="noConversion"/>
  </si>
  <si>
    <t>노무비 할증</t>
    <phoneticPr fontId="11" type="noConversion"/>
  </si>
  <si>
    <t>합계</t>
    <phoneticPr fontId="11" type="noConversion"/>
  </si>
  <si>
    <t>표준단가 D</t>
    <phoneticPr fontId="11" type="noConversion"/>
  </si>
  <si>
    <t>표준품셈 E</t>
    <phoneticPr fontId="11" type="noConversion"/>
  </si>
  <si>
    <t>물가정보 M</t>
    <phoneticPr fontId="11" type="noConversion"/>
  </si>
  <si>
    <t>노임단가 L</t>
    <phoneticPr fontId="11" type="noConversion"/>
  </si>
  <si>
    <t>품목</t>
    <phoneticPr fontId="11" type="noConversion"/>
  </si>
  <si>
    <t>규격</t>
    <phoneticPr fontId="11" type="noConversion"/>
  </si>
  <si>
    <t>품셈/표단</t>
    <phoneticPr fontId="11" type="noConversion"/>
  </si>
  <si>
    <t>금액</t>
  </si>
  <si>
    <t>단가</t>
  </si>
  <si>
    <t> (재료비+노무비)*3.11%</t>
    <phoneticPr fontId="19" type="noConversion"/>
  </si>
  <si>
    <t xml:space="preserve">시중노임단가, 특별인부 </t>
    <phoneticPr fontId="11" type="noConversion"/>
  </si>
  <si>
    <t xml:space="preserve">차선도색 </t>
    <phoneticPr fontId="11" type="noConversion"/>
  </si>
  <si>
    <t>시중가, 전문업체 견적서 첨부</t>
    <phoneticPr fontId="11" type="noConversion"/>
  </si>
  <si>
    <t>차선도색</t>
    <phoneticPr fontId="11" type="noConversion"/>
  </si>
  <si>
    <t>차선도색 차량통제 현장관리원, 1일 작업</t>
    <phoneticPr fontId="11" type="noConversion"/>
  </si>
  <si>
    <t xml:space="preserve"> 견적일 : 2025년  09월  25일</t>
    <phoneticPr fontId="17" type="noConversion"/>
  </si>
  <si>
    <t xml:space="preserve"> 공사명 : 신축사택 보행도 차선 도색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</si>
</sst>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_-* #,##0.0_-;\-* #,##0.0_-;_-* &quot;-&quot;_-;_-@_-"/>
    <numFmt numFmtId="184" formatCode="#,##0;\-#,##0;"/>
    <numFmt numFmtId="185" formatCode="0.000"/>
    <numFmt numFmtId="186" formatCode="###,###,###,##0"/>
  </numFmts>
  <fonts count="40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color rgb="FF000000"/>
      <name val="Arial"/>
      <family val="2"/>
    </font>
    <font>
      <sz val="10"/>
      <color indexed="8"/>
      <name val="Malgun Gothic"/>
      <family val="3"/>
      <charset val="129"/>
    </font>
    <font>
      <sz val="10"/>
      <color rgb="FF000000"/>
      <name val="Malgun Gothic"/>
      <family val="3"/>
      <charset val="129"/>
    </font>
    <font>
      <sz val="9"/>
      <color rgb="FF000000"/>
      <name val="Arial"/>
      <family val="2"/>
    </font>
    <font>
      <b/>
      <sz val="10"/>
      <color rgb="FF000000"/>
      <name val="Arial"/>
      <family val="2"/>
    </font>
    <font>
      <sz val="10"/>
      <name val="맑은 고딕"/>
      <family val="3"/>
      <charset val="129"/>
    </font>
    <font>
      <sz val="10"/>
      <name val="맑은 고딕"/>
      <family val="2"/>
      <charset val="129"/>
    </font>
    <font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</borders>
  <cellStyleXfs count="33">
    <xf numFmtId="0" fontId="0" fillId="0" borderId="0">
      <alignment vertical="center"/>
    </xf>
    <xf numFmtId="177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14" fillId="0" borderId="0"/>
    <xf numFmtId="177" fontId="10" fillId="0" borderId="0" applyFont="0" applyFill="0" applyBorder="0" applyAlignment="0" applyProtection="0">
      <alignment vertical="center"/>
    </xf>
    <xf numFmtId="178" fontId="15" fillId="0" borderId="0" applyFont="0" applyFill="0" applyBorder="0" applyAlignment="0" applyProtection="0"/>
    <xf numFmtId="0" fontId="16" fillId="0" borderId="0"/>
    <xf numFmtId="180" fontId="16" fillId="0" borderId="0" applyFont="0" applyFill="0" applyBorder="0" applyAlignment="0" applyProtection="0"/>
    <xf numFmtId="0" fontId="10" fillId="0" borderId="0">
      <alignment vertical="center"/>
    </xf>
    <xf numFmtId="9" fontId="15" fillId="0" borderId="0" applyFont="0" applyFill="0" applyBorder="0" applyAlignment="0" applyProtection="0"/>
    <xf numFmtId="0" fontId="14" fillId="0" borderId="0"/>
    <xf numFmtId="0" fontId="23" fillId="0" borderId="0"/>
    <xf numFmtId="176" fontId="23" fillId="0" borderId="0" applyFont="0" applyFill="0" applyBorder="0" applyAlignment="0" applyProtection="0"/>
    <xf numFmtId="177" fontId="23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8" fillId="0" borderId="0">
      <alignment vertical="center"/>
    </xf>
    <xf numFmtId="177" fontId="8" fillId="0" borderId="0" applyFont="0" applyFill="0" applyBorder="0" applyAlignment="0" applyProtection="0">
      <alignment vertical="center"/>
    </xf>
    <xf numFmtId="0" fontId="7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157">
    <xf numFmtId="0" fontId="0" fillId="0" borderId="0" xfId="0">
      <alignment vertical="center"/>
    </xf>
    <xf numFmtId="0" fontId="18" fillId="0" borderId="7" xfId="6" applyFont="1" applyBorder="1" applyAlignment="1">
      <alignment horizontal="right" vertical="center"/>
    </xf>
    <xf numFmtId="0" fontId="24" fillId="0" borderId="0" xfId="6" applyFont="1" applyAlignment="1">
      <alignment vertical="center"/>
    </xf>
    <xf numFmtId="0" fontId="25" fillId="0" borderId="0" xfId="3" applyFont="1"/>
    <xf numFmtId="0" fontId="26" fillId="0" borderId="5" xfId="6" applyFont="1" applyBorder="1" applyAlignment="1">
      <alignment horizontal="center" vertical="center"/>
    </xf>
    <xf numFmtId="0" fontId="18" fillId="0" borderId="6" xfId="6" applyFont="1" applyBorder="1" applyAlignment="1">
      <alignment horizontal="right" vertical="center"/>
    </xf>
    <xf numFmtId="0" fontId="18" fillId="5" borderId="25" xfId="6" applyFont="1" applyFill="1" applyBorder="1" applyAlignment="1">
      <alignment horizontal="center" vertical="center"/>
    </xf>
    <xf numFmtId="0" fontId="18" fillId="5" borderId="26" xfId="6" applyFont="1" applyFill="1" applyBorder="1" applyAlignment="1">
      <alignment vertical="center" shrinkToFit="1"/>
    </xf>
    <xf numFmtId="0" fontId="18" fillId="5" borderId="2" xfId="6" applyFont="1" applyFill="1" applyBorder="1" applyAlignment="1">
      <alignment horizontal="center" vertical="center"/>
    </xf>
    <xf numFmtId="0" fontId="18" fillId="5" borderId="27" xfId="6" applyFont="1" applyFill="1" applyBorder="1" applyAlignment="1">
      <alignment vertical="center" shrinkToFit="1"/>
    </xf>
    <xf numFmtId="0" fontId="27" fillId="0" borderId="0" xfId="6" applyFont="1" applyAlignment="1">
      <alignment vertical="center" shrinkToFit="1"/>
    </xf>
    <xf numFmtId="0" fontId="18" fillId="5" borderId="2" xfId="6" applyFont="1" applyFill="1" applyBorder="1" applyAlignment="1">
      <alignment horizontal="center" vertical="center" shrinkToFit="1"/>
    </xf>
    <xf numFmtId="0" fontId="18" fillId="0" borderId="2" xfId="6" applyFont="1" applyBorder="1" applyAlignment="1">
      <alignment horizontal="center" vertical="center"/>
    </xf>
    <xf numFmtId="0" fontId="18" fillId="0" borderId="27" xfId="6" applyFont="1" applyBorder="1" applyAlignment="1">
      <alignment vertical="center"/>
    </xf>
    <xf numFmtId="0" fontId="26" fillId="0" borderId="0" xfId="6" applyFont="1" applyAlignment="1">
      <alignment horizontal="center" vertical="center" shrinkToFit="1"/>
    </xf>
    <xf numFmtId="0" fontId="18" fillId="0" borderId="28" xfId="6" applyFont="1" applyBorder="1" applyAlignment="1">
      <alignment horizontal="center" vertical="center" shrinkToFit="1"/>
    </xf>
    <xf numFmtId="0" fontId="18" fillId="0" borderId="29" xfId="6" applyFont="1" applyBorder="1" applyAlignment="1">
      <alignment vertical="center" shrinkToFit="1"/>
    </xf>
    <xf numFmtId="0" fontId="27" fillId="0" borderId="7" xfId="6" applyFont="1" applyBorder="1" applyAlignment="1">
      <alignment vertical="center"/>
    </xf>
    <xf numFmtId="179" fontId="26" fillId="0" borderId="7" xfId="6" applyNumberFormat="1" applyFont="1" applyBorder="1" applyAlignment="1">
      <alignment vertical="center"/>
    </xf>
    <xf numFmtId="0" fontId="26" fillId="0" borderId="0" xfId="6" applyFont="1" applyAlignment="1">
      <alignment vertical="center" shrinkToFit="1"/>
    </xf>
    <xf numFmtId="0" fontId="18" fillId="0" borderId="8" xfId="6" applyFont="1" applyBorder="1" applyAlignment="1">
      <alignment horizontal="center" vertical="center"/>
    </xf>
    <xf numFmtId="0" fontId="18" fillId="0" borderId="9" xfId="6" applyFont="1" applyBorder="1" applyAlignment="1">
      <alignment horizontal="center" vertical="center"/>
    </xf>
    <xf numFmtId="0" fontId="18" fillId="0" borderId="10" xfId="6" applyFont="1" applyBorder="1" applyAlignment="1">
      <alignment horizontal="center" vertical="center"/>
    </xf>
    <xf numFmtId="0" fontId="28" fillId="0" borderId="11" xfId="6" applyFont="1" applyBorder="1" applyAlignment="1">
      <alignment horizontal="center" vertical="center"/>
    </xf>
    <xf numFmtId="0" fontId="18" fillId="0" borderId="12" xfId="6" applyFont="1" applyBorder="1" applyAlignment="1">
      <alignment vertical="center"/>
    </xf>
    <xf numFmtId="0" fontId="28" fillId="0" borderId="12" xfId="6" applyFont="1" applyBorder="1" applyAlignment="1">
      <alignment vertical="center"/>
    </xf>
    <xf numFmtId="1" fontId="28" fillId="0" borderId="12" xfId="6" applyNumberFormat="1" applyFont="1" applyBorder="1" applyAlignment="1">
      <alignment horizontal="center" vertical="center"/>
    </xf>
    <xf numFmtId="180" fontId="28" fillId="0" borderId="12" xfId="7" applyFont="1" applyBorder="1" applyAlignment="1">
      <alignment horizontal="right" vertical="center"/>
    </xf>
    <xf numFmtId="0" fontId="28" fillId="0" borderId="13" xfId="6" applyFont="1" applyBorder="1" applyAlignment="1">
      <alignment vertical="center"/>
    </xf>
    <xf numFmtId="0" fontId="28" fillId="0" borderId="14" xfId="6" applyFont="1" applyBorder="1" applyAlignment="1">
      <alignment horizontal="center" vertical="center"/>
    </xf>
    <xf numFmtId="0" fontId="28" fillId="0" borderId="15" xfId="6" applyFont="1" applyBorder="1" applyAlignment="1">
      <alignment horizontal="center" vertical="center"/>
    </xf>
    <xf numFmtId="0" fontId="28" fillId="0" borderId="15" xfId="3" applyFont="1" applyBorder="1" applyAlignment="1">
      <alignment horizontal="center" vertical="center"/>
    </xf>
    <xf numFmtId="1" fontId="28" fillId="0" borderId="15" xfId="6" applyNumberFormat="1" applyFont="1" applyBorder="1" applyAlignment="1">
      <alignment horizontal="center" vertical="center"/>
    </xf>
    <xf numFmtId="180" fontId="28" fillId="0" borderId="15" xfId="7" applyFont="1" applyBorder="1" applyAlignment="1">
      <alignment horizontal="right" vertical="center"/>
    </xf>
    <xf numFmtId="0" fontId="28" fillId="0" borderId="16" xfId="6" quotePrefix="1" applyFont="1" applyBorder="1" applyAlignment="1">
      <alignment vertical="center"/>
    </xf>
    <xf numFmtId="0" fontId="28" fillId="0" borderId="16" xfId="6" applyFont="1" applyBorder="1" applyAlignment="1">
      <alignment vertical="center"/>
    </xf>
    <xf numFmtId="0" fontId="18" fillId="8" borderId="15" xfId="6" applyFont="1" applyFill="1" applyBorder="1" applyAlignment="1">
      <alignment vertical="center"/>
    </xf>
    <xf numFmtId="1" fontId="18" fillId="8" borderId="15" xfId="6" applyNumberFormat="1" applyFont="1" applyFill="1" applyBorder="1" applyAlignment="1">
      <alignment horizontal="center" vertical="center"/>
    </xf>
    <xf numFmtId="180" fontId="18" fillId="8" borderId="15" xfId="7" applyFont="1" applyFill="1" applyBorder="1" applyAlignment="1">
      <alignment horizontal="right" vertical="center"/>
    </xf>
    <xf numFmtId="0" fontId="18" fillId="0" borderId="15" xfId="6" applyFont="1" applyBorder="1" applyAlignment="1">
      <alignment vertical="center"/>
    </xf>
    <xf numFmtId="0" fontId="28" fillId="0" borderId="15" xfId="6" applyFont="1" applyBorder="1" applyAlignment="1">
      <alignment vertical="center"/>
    </xf>
    <xf numFmtId="180" fontId="18" fillId="0" borderId="15" xfId="7" applyFont="1" applyFill="1" applyBorder="1" applyAlignment="1">
      <alignment horizontal="right" vertical="center"/>
    </xf>
    <xf numFmtId="0" fontId="28" fillId="0" borderId="15" xfId="8" applyFont="1" applyBorder="1" applyAlignment="1">
      <alignment horizontal="center" vertical="center"/>
    </xf>
    <xf numFmtId="178" fontId="28" fillId="0" borderId="15" xfId="5" applyFont="1" applyFill="1" applyBorder="1" applyAlignment="1">
      <alignment horizontal="right" vertical="center"/>
    </xf>
    <xf numFmtId="0" fontId="28" fillId="5" borderId="15" xfId="8" applyFont="1" applyFill="1" applyBorder="1" applyAlignment="1">
      <alignment horizontal="center" vertical="center"/>
    </xf>
    <xf numFmtId="0" fontId="28" fillId="5" borderId="15" xfId="6" applyFont="1" applyFill="1" applyBorder="1" applyAlignment="1">
      <alignment vertical="center"/>
    </xf>
    <xf numFmtId="0" fontId="28" fillId="5" borderId="15" xfId="6" applyFont="1" applyFill="1" applyBorder="1" applyAlignment="1">
      <alignment horizontal="center" vertical="center"/>
    </xf>
    <xf numFmtId="178" fontId="28" fillId="5" borderId="15" xfId="5" applyFont="1" applyFill="1" applyBorder="1" applyAlignment="1">
      <alignment horizontal="right" vertical="center"/>
    </xf>
    <xf numFmtId="0" fontId="28" fillId="5" borderId="16" xfId="6" applyFont="1" applyFill="1" applyBorder="1" applyAlignment="1">
      <alignment vertical="center"/>
    </xf>
    <xf numFmtId="0" fontId="28" fillId="0" borderId="15" xfId="3" applyFont="1" applyBorder="1" applyAlignment="1">
      <alignment horizontal="left" vertical="center"/>
    </xf>
    <xf numFmtId="9" fontId="18" fillId="8" borderId="15" xfId="3" applyNumberFormat="1" applyFont="1" applyFill="1" applyBorder="1" applyAlignment="1">
      <alignment horizontal="right" vertical="center"/>
    </xf>
    <xf numFmtId="1" fontId="18" fillId="8" borderId="15" xfId="9" applyNumberFormat="1" applyFont="1" applyFill="1" applyBorder="1" applyAlignment="1">
      <alignment horizontal="center" vertical="center"/>
    </xf>
    <xf numFmtId="177" fontId="18" fillId="8" borderId="15" xfId="7" applyNumberFormat="1" applyFont="1" applyFill="1" applyBorder="1" applyAlignment="1">
      <alignment horizontal="right" vertical="center"/>
    </xf>
    <xf numFmtId="9" fontId="28" fillId="0" borderId="15" xfId="3" applyNumberFormat="1" applyFont="1" applyBorder="1" applyAlignment="1">
      <alignment horizontal="right" vertical="center"/>
    </xf>
    <xf numFmtId="1" fontId="28" fillId="0" borderId="15" xfId="9" applyNumberFormat="1" applyFont="1" applyFill="1" applyBorder="1" applyAlignment="1">
      <alignment horizontal="center" vertical="center"/>
    </xf>
    <xf numFmtId="177" fontId="18" fillId="0" borderId="15" xfId="7" applyNumberFormat="1" applyFont="1" applyFill="1" applyBorder="1" applyAlignment="1">
      <alignment horizontal="right" vertical="center"/>
    </xf>
    <xf numFmtId="0" fontId="28" fillId="0" borderId="15" xfId="3" applyFont="1" applyBorder="1" applyAlignment="1">
      <alignment vertical="center"/>
    </xf>
    <xf numFmtId="180" fontId="28" fillId="5" borderId="15" xfId="7" applyFont="1" applyFill="1" applyBorder="1" applyAlignment="1">
      <alignment horizontal="right" vertical="center"/>
    </xf>
    <xf numFmtId="180" fontId="18" fillId="8" borderId="0" xfId="3" applyNumberFormat="1" applyFont="1" applyFill="1" applyAlignment="1">
      <alignment vertical="center"/>
    </xf>
    <xf numFmtId="0" fontId="18" fillId="0" borderId="17" xfId="6" applyFont="1" applyBorder="1" applyAlignment="1">
      <alignment horizontal="center" vertical="center" textRotation="255"/>
    </xf>
    <xf numFmtId="0" fontId="18" fillId="0" borderId="18" xfId="6" applyFont="1" applyBorder="1" applyAlignment="1">
      <alignment vertical="top"/>
    </xf>
    <xf numFmtId="0" fontId="28" fillId="0" borderId="19" xfId="6" applyFont="1" applyBorder="1" applyAlignment="1">
      <alignment vertical="center"/>
    </xf>
    <xf numFmtId="0" fontId="28" fillId="0" borderId="19" xfId="6" applyFont="1" applyBorder="1" applyAlignment="1">
      <alignment horizontal="right" vertical="center"/>
    </xf>
    <xf numFmtId="0" fontId="28" fillId="0" borderId="20" xfId="6" applyFont="1" applyBorder="1" applyAlignment="1">
      <alignment vertical="center"/>
    </xf>
    <xf numFmtId="0" fontId="18" fillId="0" borderId="0" xfId="10" applyFont="1"/>
    <xf numFmtId="181" fontId="26" fillId="0" borderId="0" xfId="1" applyNumberFormat="1" applyFont="1" applyAlignment="1">
      <alignment horizontal="center" vertical="center"/>
    </xf>
    <xf numFmtId="0" fontId="25" fillId="0" borderId="0" xfId="0" applyFont="1">
      <alignment vertical="center"/>
    </xf>
    <xf numFmtId="0" fontId="25" fillId="0" borderId="0" xfId="0" applyFont="1" applyAlignment="1">
      <alignment horizontal="center" vertical="center"/>
    </xf>
    <xf numFmtId="9" fontId="29" fillId="0" borderId="0" xfId="0" applyNumberFormat="1" applyFont="1" applyAlignment="1">
      <alignment horizontal="center" vertical="center"/>
    </xf>
    <xf numFmtId="182" fontId="29" fillId="3" borderId="0" xfId="2" applyNumberFormat="1" applyFont="1" applyFill="1" applyAlignment="1">
      <alignment horizontal="center" vertical="center"/>
    </xf>
    <xf numFmtId="0" fontId="29" fillId="4" borderId="22" xfId="0" applyFont="1" applyFill="1" applyBorder="1" applyAlignment="1">
      <alignment horizontal="center" vertical="center"/>
    </xf>
    <xf numFmtId="0" fontId="29" fillId="4" borderId="6" xfId="0" applyFont="1" applyFill="1" applyBorder="1" applyAlignment="1">
      <alignment horizontal="center" vertical="center"/>
    </xf>
    <xf numFmtId="0" fontId="29" fillId="7" borderId="3" xfId="0" applyFont="1" applyFill="1" applyBorder="1" applyAlignment="1">
      <alignment horizontal="center" vertical="center"/>
    </xf>
    <xf numFmtId="177" fontId="29" fillId="4" borderId="3" xfId="4" applyFont="1" applyFill="1" applyBorder="1" applyAlignment="1">
      <alignment horizontal="center" vertical="center"/>
    </xf>
    <xf numFmtId="178" fontId="29" fillId="4" borderId="3" xfId="5" applyFont="1" applyFill="1" applyBorder="1" applyAlignment="1">
      <alignment horizontal="center" vertical="center"/>
    </xf>
    <xf numFmtId="0" fontId="25" fillId="6" borderId="22" xfId="0" applyFont="1" applyFill="1" applyBorder="1" applyAlignment="1">
      <alignment horizontal="center" vertical="center"/>
    </xf>
    <xf numFmtId="49" fontId="25" fillId="7" borderId="3" xfId="0" applyNumberFormat="1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 vertical="center"/>
    </xf>
    <xf numFmtId="177" fontId="25" fillId="0" borderId="0" xfId="1" applyFont="1" applyFill="1" applyBorder="1" applyAlignment="1">
      <alignment horizontal="center" vertical="center"/>
    </xf>
    <xf numFmtId="0" fontId="25" fillId="0" borderId="0" xfId="3" applyFont="1" applyAlignment="1">
      <alignment horizontal="center" vertical="center" shrinkToFit="1"/>
    </xf>
    <xf numFmtId="49" fontId="25" fillId="0" borderId="0" xfId="0" applyNumberFormat="1" applyFont="1" applyAlignment="1">
      <alignment horizontal="center" vertical="center" wrapText="1"/>
    </xf>
    <xf numFmtId="183" fontId="25" fillId="0" borderId="0" xfId="1" applyNumberFormat="1" applyFont="1" applyFill="1" applyBorder="1" applyAlignment="1">
      <alignment horizontal="center" vertical="center"/>
    </xf>
    <xf numFmtId="177" fontId="25" fillId="0" borderId="0" xfId="1" applyFont="1" applyBorder="1" applyAlignment="1">
      <alignment horizontal="center" vertical="center" wrapText="1"/>
    </xf>
    <xf numFmtId="49" fontId="25" fillId="2" borderId="0" xfId="0" applyNumberFormat="1" applyFont="1" applyFill="1" applyAlignment="1">
      <alignment horizontal="center" vertical="center" wrapText="1"/>
    </xf>
    <xf numFmtId="49" fontId="25" fillId="2" borderId="1" xfId="0" applyNumberFormat="1" applyFont="1" applyFill="1" applyBorder="1" applyAlignment="1">
      <alignment horizontal="center" vertical="center" wrapText="1"/>
    </xf>
    <xf numFmtId="181" fontId="25" fillId="7" borderId="1" xfId="1" applyNumberFormat="1" applyFont="1" applyFill="1" applyBorder="1" applyAlignment="1">
      <alignment horizontal="center" vertical="center"/>
    </xf>
    <xf numFmtId="181" fontId="25" fillId="0" borderId="1" xfId="1" applyNumberFormat="1" applyFont="1" applyBorder="1" applyAlignment="1">
      <alignment horizontal="center" vertical="center"/>
    </xf>
    <xf numFmtId="0" fontId="25" fillId="6" borderId="3" xfId="0" applyFont="1" applyFill="1" applyBorder="1" applyAlignment="1">
      <alignment horizontal="center" vertical="center"/>
    </xf>
    <xf numFmtId="177" fontId="25" fillId="0" borderId="3" xfId="1" applyFont="1" applyFill="1" applyBorder="1" applyAlignment="1">
      <alignment vertical="center" wrapText="1"/>
    </xf>
    <xf numFmtId="9" fontId="25" fillId="0" borderId="3" xfId="0" applyNumberFormat="1" applyFont="1" applyBorder="1">
      <alignment vertical="center"/>
    </xf>
    <xf numFmtId="0" fontId="25" fillId="0" borderId="23" xfId="0" applyFont="1" applyBorder="1">
      <alignment vertical="center"/>
    </xf>
    <xf numFmtId="0" fontId="26" fillId="0" borderId="0" xfId="6" applyFont="1" applyAlignment="1">
      <alignment vertical="center"/>
    </xf>
    <xf numFmtId="0" fontId="18" fillId="0" borderId="4" xfId="6" applyFont="1" applyBorder="1" applyAlignment="1">
      <alignment vertical="center"/>
    </xf>
    <xf numFmtId="49" fontId="25" fillId="0" borderId="3" xfId="0" applyNumberFormat="1" applyFont="1" applyBorder="1" applyAlignment="1">
      <alignment horizontal="center" vertical="center" wrapText="1"/>
    </xf>
    <xf numFmtId="0" fontId="26" fillId="0" borderId="0" xfId="31" applyFont="1">
      <alignment vertical="center"/>
    </xf>
    <xf numFmtId="0" fontId="31" fillId="0" borderId="0" xfId="31" applyFont="1">
      <alignment vertical="center"/>
    </xf>
    <xf numFmtId="0" fontId="26" fillId="0" borderId="0" xfId="31" applyFont="1" applyAlignment="1">
      <alignment horizontal="center" vertical="center"/>
    </xf>
    <xf numFmtId="0" fontId="26" fillId="0" borderId="0" xfId="0" applyFont="1">
      <alignment vertical="center"/>
    </xf>
    <xf numFmtId="177" fontId="26" fillId="0" borderId="0" xfId="1" applyFont="1" applyBorder="1">
      <alignment vertical="center"/>
    </xf>
    <xf numFmtId="184" fontId="25" fillId="5" borderId="3" xfId="0" applyNumberFormat="1" applyFont="1" applyFill="1" applyBorder="1" applyAlignment="1">
      <alignment horizontal="right" vertical="center" wrapText="1"/>
    </xf>
    <xf numFmtId="184" fontId="25" fillId="6" borderId="3" xfId="1" applyNumberFormat="1" applyFont="1" applyFill="1" applyBorder="1" applyAlignment="1">
      <alignment horizontal="right" vertical="center" wrapText="1"/>
    </xf>
    <xf numFmtId="184" fontId="25" fillId="0" borderId="3" xfId="1" applyNumberFormat="1" applyFont="1" applyFill="1" applyBorder="1" applyAlignment="1">
      <alignment horizontal="right" vertical="center" wrapText="1"/>
    </xf>
    <xf numFmtId="184" fontId="25" fillId="5" borderId="3" xfId="0" applyNumberFormat="1" applyFont="1" applyFill="1" applyBorder="1" applyAlignment="1">
      <alignment horizontal="right" vertical="center"/>
    </xf>
    <xf numFmtId="49" fontId="25" fillId="5" borderId="3" xfId="1" applyNumberFormat="1" applyFont="1" applyFill="1" applyBorder="1" applyAlignment="1">
      <alignment horizontal="center" vertical="center"/>
    </xf>
    <xf numFmtId="185" fontId="25" fillId="0" borderId="3" xfId="1" applyNumberFormat="1" applyFont="1" applyFill="1" applyBorder="1" applyAlignment="1">
      <alignment horizontal="center" vertical="center"/>
    </xf>
    <xf numFmtId="0" fontId="25" fillId="0" borderId="0" xfId="0" applyFont="1" applyAlignment="1">
      <alignment vertical="center" wrapText="1"/>
    </xf>
    <xf numFmtId="0" fontId="29" fillId="4" borderId="3" xfId="3" applyFont="1" applyFill="1" applyBorder="1" applyAlignment="1">
      <alignment horizontal="center" vertical="center" wrapText="1"/>
    </xf>
    <xf numFmtId="0" fontId="28" fillId="0" borderId="0" xfId="0" applyFont="1" applyAlignment="1">
      <alignment vertical="center" wrapText="1"/>
    </xf>
    <xf numFmtId="0" fontId="29" fillId="0" borderId="0" xfId="0" applyFont="1" applyAlignment="1">
      <alignment horizontal="center" vertical="center"/>
    </xf>
    <xf numFmtId="0" fontId="29" fillId="9" borderId="24" xfId="0" applyFont="1" applyFill="1" applyBorder="1">
      <alignment vertical="center"/>
    </xf>
    <xf numFmtId="0" fontId="29" fillId="9" borderId="21" xfId="0" applyFont="1" applyFill="1" applyBorder="1">
      <alignment vertical="center"/>
    </xf>
    <xf numFmtId="0" fontId="30" fillId="0" borderId="0" xfId="0" applyFont="1">
      <alignment vertical="center"/>
    </xf>
    <xf numFmtId="0" fontId="28" fillId="10" borderId="0" xfId="0" applyFont="1" applyFill="1">
      <alignment vertical="center"/>
    </xf>
    <xf numFmtId="0" fontId="28" fillId="0" borderId="0" xfId="0" applyFont="1">
      <alignment vertical="center"/>
    </xf>
    <xf numFmtId="177" fontId="18" fillId="10" borderId="0" xfId="0" applyNumberFormat="1" applyFont="1" applyFill="1">
      <alignment vertical="center"/>
    </xf>
    <xf numFmtId="0" fontId="29" fillId="0" borderId="0" xfId="0" applyFont="1">
      <alignment vertical="center"/>
    </xf>
    <xf numFmtId="0" fontId="29" fillId="5" borderId="0" xfId="0" applyFont="1" applyFill="1">
      <alignment vertical="center"/>
    </xf>
    <xf numFmtId="177" fontId="25" fillId="0" borderId="0" xfId="0" applyNumberFormat="1" applyFont="1">
      <alignment vertical="center"/>
    </xf>
    <xf numFmtId="0" fontId="32" fillId="6" borderId="22" xfId="0" applyFont="1" applyFill="1" applyBorder="1" applyAlignment="1">
      <alignment horizontal="center" vertical="center"/>
    </xf>
    <xf numFmtId="49" fontId="34" fillId="7" borderId="3" xfId="0" applyNumberFormat="1" applyFont="1" applyFill="1" applyBorder="1" applyAlignment="1">
      <alignment horizontal="center" vertical="center" wrapText="1"/>
    </xf>
    <xf numFmtId="177" fontId="32" fillId="6" borderId="3" xfId="1" applyFont="1" applyFill="1" applyBorder="1" applyAlignment="1">
      <alignment horizontal="center" vertical="center" wrapText="1"/>
    </xf>
    <xf numFmtId="177" fontId="32" fillId="0" borderId="3" xfId="1" applyFont="1" applyFill="1" applyBorder="1" applyAlignment="1">
      <alignment horizontal="center" vertical="center" wrapText="1"/>
    </xf>
    <xf numFmtId="0" fontId="35" fillId="0" borderId="23" xfId="0" applyFont="1" applyBorder="1" applyAlignment="1">
      <alignment horizontal="center" vertical="center"/>
    </xf>
    <xf numFmtId="0" fontId="32" fillId="6" borderId="3" xfId="0" applyFont="1" applyFill="1" applyBorder="1" applyAlignment="1">
      <alignment horizontal="center" vertical="center"/>
    </xf>
    <xf numFmtId="0" fontId="36" fillId="7" borderId="3" xfId="0" applyFont="1" applyFill="1" applyBorder="1" applyAlignment="1">
      <alignment horizontal="center" vertical="center"/>
    </xf>
    <xf numFmtId="49" fontId="33" fillId="5" borderId="3" xfId="0" applyNumberFormat="1" applyFont="1" applyFill="1" applyBorder="1" applyAlignment="1">
      <alignment horizontal="center" vertical="center"/>
    </xf>
    <xf numFmtId="0" fontId="37" fillId="5" borderId="3" xfId="3" applyFont="1" applyFill="1" applyBorder="1" applyAlignment="1">
      <alignment horizontal="center" vertical="center" shrinkToFit="1"/>
    </xf>
    <xf numFmtId="177" fontId="38" fillId="5" borderId="3" xfId="1" applyFont="1" applyFill="1" applyBorder="1" applyAlignment="1">
      <alignment horizontal="center" vertical="center"/>
    </xf>
    <xf numFmtId="177" fontId="39" fillId="5" borderId="3" xfId="1" applyFont="1" applyFill="1" applyBorder="1" applyAlignment="1">
      <alignment vertical="center"/>
    </xf>
    <xf numFmtId="177" fontId="34" fillId="5" borderId="3" xfId="1" applyFont="1" applyFill="1" applyBorder="1" applyAlignment="1">
      <alignment horizontal="center" vertical="center" wrapText="1"/>
    </xf>
    <xf numFmtId="186" fontId="34" fillId="5" borderId="3" xfId="0" applyNumberFormat="1" applyFont="1" applyFill="1" applyBorder="1" applyAlignment="1">
      <alignment horizontal="right" vertical="center" wrapText="1"/>
    </xf>
    <xf numFmtId="177" fontId="39" fillId="6" borderId="3" xfId="1" applyFont="1" applyFill="1" applyBorder="1" applyAlignment="1">
      <alignment horizontal="center" vertical="center" wrapText="1"/>
    </xf>
    <xf numFmtId="177" fontId="32" fillId="5" borderId="3" xfId="1" applyFont="1" applyFill="1" applyBorder="1" applyAlignment="1">
      <alignment horizontal="center" vertical="center" wrapText="1"/>
    </xf>
    <xf numFmtId="9" fontId="32" fillId="0" borderId="3" xfId="0" applyNumberFormat="1" applyFont="1" applyBorder="1" applyAlignment="1">
      <alignment horizontal="center" vertical="center"/>
    </xf>
    <xf numFmtId="177" fontId="18" fillId="0" borderId="0" xfId="0" applyNumberFormat="1" applyFont="1">
      <alignment vertical="center"/>
    </xf>
    <xf numFmtId="177" fontId="25" fillId="0" borderId="0" xfId="1" applyFont="1">
      <alignment vertical="center"/>
    </xf>
    <xf numFmtId="0" fontId="24" fillId="0" borderId="0" xfId="6" applyFont="1" applyAlignment="1">
      <alignment horizontal="center" vertical="center"/>
    </xf>
    <xf numFmtId="0" fontId="27" fillId="0" borderId="0" xfId="6" applyFont="1" applyAlignment="1">
      <alignment vertical="center"/>
    </xf>
    <xf numFmtId="0" fontId="26" fillId="0" borderId="0" xfId="6" applyFont="1" applyAlignment="1">
      <alignment vertical="center"/>
    </xf>
    <xf numFmtId="0" fontId="18" fillId="0" borderId="4" xfId="6" applyFont="1" applyBorder="1" applyAlignment="1">
      <alignment vertical="center"/>
    </xf>
    <xf numFmtId="0" fontId="18" fillId="0" borderId="5" xfId="6" applyFont="1" applyBorder="1" applyAlignment="1">
      <alignment vertical="center"/>
    </xf>
    <xf numFmtId="0" fontId="18" fillId="0" borderId="6" xfId="6" applyFont="1" applyBorder="1" applyAlignment="1">
      <alignment vertical="center"/>
    </xf>
    <xf numFmtId="0" fontId="18" fillId="0" borderId="4" xfId="6" applyFont="1" applyBorder="1" applyAlignment="1">
      <alignment vertical="center" wrapText="1"/>
    </xf>
    <xf numFmtId="0" fontId="18" fillId="0" borderId="5" xfId="6" applyFont="1" applyBorder="1" applyAlignment="1">
      <alignment vertical="center" wrapText="1"/>
    </xf>
    <xf numFmtId="0" fontId="18" fillId="0" borderId="6" xfId="6" applyFont="1" applyBorder="1" applyAlignment="1">
      <alignment vertical="center" wrapText="1"/>
    </xf>
    <xf numFmtId="0" fontId="29" fillId="0" borderId="0" xfId="0" applyFont="1" applyAlignment="1">
      <alignment horizontal="center" vertical="center"/>
    </xf>
    <xf numFmtId="0" fontId="25" fillId="0" borderId="31" xfId="0" applyFont="1" applyBorder="1" applyAlignment="1">
      <alignment horizontal="center" vertical="center"/>
    </xf>
    <xf numFmtId="0" fontId="25" fillId="0" borderId="32" xfId="0" applyFont="1" applyBorder="1" applyAlignment="1">
      <alignment horizontal="center" vertical="center"/>
    </xf>
    <xf numFmtId="0" fontId="29" fillId="0" borderId="30" xfId="0" applyFont="1" applyBorder="1" applyAlignment="1">
      <alignment horizontal="center" vertical="center"/>
    </xf>
    <xf numFmtId="0" fontId="29" fillId="9" borderId="4" xfId="0" applyFont="1" applyFill="1" applyBorder="1" applyAlignment="1">
      <alignment horizontal="center" vertical="center"/>
    </xf>
    <xf numFmtId="177" fontId="29" fillId="4" borderId="21" xfId="4" applyFont="1" applyFill="1" applyBorder="1" applyAlignment="1">
      <alignment horizontal="center" vertical="center"/>
    </xf>
    <xf numFmtId="178" fontId="29" fillId="4" borderId="21" xfId="5" applyFont="1" applyFill="1" applyBorder="1" applyAlignment="1">
      <alignment horizontal="center" vertical="center"/>
    </xf>
    <xf numFmtId="0" fontId="29" fillId="4" borderId="21" xfId="0" applyFont="1" applyFill="1" applyBorder="1" applyAlignment="1">
      <alignment horizontal="center" vertical="center"/>
    </xf>
    <xf numFmtId="0" fontId="29" fillId="4" borderId="3" xfId="0" applyFont="1" applyFill="1" applyBorder="1" applyAlignment="1">
      <alignment horizontal="center" vertical="center"/>
    </xf>
    <xf numFmtId="0" fontId="29" fillId="4" borderId="21" xfId="3" applyFont="1" applyFill="1" applyBorder="1" applyAlignment="1">
      <alignment horizontal="center" vertical="center"/>
    </xf>
    <xf numFmtId="0" fontId="29" fillId="4" borderId="3" xfId="3" applyFont="1" applyFill="1" applyBorder="1" applyAlignment="1">
      <alignment horizontal="center" vertical="center"/>
    </xf>
    <xf numFmtId="0" fontId="29" fillId="4" borderId="21" xfId="3" applyFont="1" applyFill="1" applyBorder="1" applyAlignment="1">
      <alignment horizontal="center" vertical="center" wrapText="1"/>
    </xf>
  </cellXfs>
  <cellStyles count="33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2 4" xfId="20" xr:uid="{C58DB114-3DFC-48BF-B279-68E81CF1801D}"/>
    <cellStyle name="쉼표 [0] 2 4 2" xfId="23" xr:uid="{3070FDD1-D076-4267-9734-55DC834440C4}"/>
    <cellStyle name="쉼표 [0] 2 4 3" xfId="26" xr:uid="{466D6A9D-2A7A-4571-B4E2-02F547DF6FB9}"/>
    <cellStyle name="쉼표 [0] 2 4 3 2" xfId="32" xr:uid="{ABB5AA14-A386-4574-8F5E-637EC4B6017C}"/>
    <cellStyle name="쉼표 [0] 2 4 4" xfId="28" xr:uid="{513C62A6-0268-4236-890D-F29C52B7A826}"/>
    <cellStyle name="쉼표 [0] 2 4 5" xfId="30" xr:uid="{4F303914-66E8-41EC-B8DE-FCE6BF9299AB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 7" xfId="19" xr:uid="{770BEF39-67CB-4F3D-B0A1-B9F2AC9B03D6}"/>
    <cellStyle name="표준 7 2" xfId="21" xr:uid="{BBDF599D-71D4-4FB2-A99A-2A9C80AF2F9D}"/>
    <cellStyle name="표준 7 2 2" xfId="24" xr:uid="{BCA625FF-3FCE-40BD-81AF-FBF4F681E961}"/>
    <cellStyle name="표준 7 3" xfId="22" xr:uid="{A72D0E51-CAF5-48A9-AF10-3C24C6DC4809}"/>
    <cellStyle name="표준 7 4" xfId="25" xr:uid="{E41D2D8C-4847-4DF4-B71B-D261D8C7B5A5}"/>
    <cellStyle name="표준 7 4 2" xfId="31" xr:uid="{4BA36CB4-0E2E-4DB8-AA3D-9FDE06F21E87}"/>
    <cellStyle name="표준 7 5" xfId="27" xr:uid="{55C0920F-EF39-45A4-B1E9-11488D2D357A}"/>
    <cellStyle name="표준 7 6" xfId="29" xr:uid="{A72395F3-015F-4FD2-8609-F2583A780480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53590</xdr:rowOff>
    </xdr:from>
    <xdr:to>
      <xdr:col>4</xdr:col>
      <xdr:colOff>263771</xdr:colOff>
      <xdr:row>37</xdr:row>
      <xdr:rowOff>131884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9AC30667-1BA4-41DD-BAF7-70164C17321B}"/>
            </a:ext>
          </a:extLst>
        </xdr:cNvPr>
        <xdr:cNvSpPr/>
      </xdr:nvSpPr>
      <xdr:spPr>
        <a:xfrm>
          <a:off x="0" y="222109"/>
          <a:ext cx="4447444" cy="6144987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주차라인 도색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 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전문업체 견적서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146537</xdr:colOff>
      <xdr:row>3</xdr:row>
      <xdr:rowOff>36634</xdr:rowOff>
    </xdr:from>
    <xdr:to>
      <xdr:col>4</xdr:col>
      <xdr:colOff>8780</xdr:colOff>
      <xdr:row>36</xdr:row>
      <xdr:rowOff>153866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3775CE06-C4F7-4289-939D-E4B035CE48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537" y="542192"/>
          <a:ext cx="4045916" cy="56783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topLeftCell="A14" zoomScale="85" zoomScaleNormal="85" workbookViewId="0">
      <selection activeCell="N19" sqref="N19"/>
    </sheetView>
  </sheetViews>
  <sheetFormatPr defaultColWidth="9" defaultRowHeight="12.7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>
      <c r="A2" s="136" t="s">
        <v>6</v>
      </c>
      <c r="B2" s="136"/>
      <c r="C2" s="136"/>
      <c r="D2" s="136"/>
      <c r="E2" s="136"/>
      <c r="F2" s="136"/>
      <c r="G2" s="136"/>
      <c r="H2" s="2"/>
    </row>
    <row r="3" spans="1:9" ht="14.25">
      <c r="A3" s="91"/>
      <c r="B3" s="91"/>
      <c r="C3" s="91"/>
      <c r="D3" s="91"/>
      <c r="E3" s="91"/>
      <c r="F3" s="91"/>
      <c r="G3" s="91"/>
      <c r="H3" s="91"/>
    </row>
    <row r="4" spans="1:9" ht="14.25">
      <c r="A4" s="91"/>
      <c r="B4" s="91"/>
      <c r="C4" s="91"/>
      <c r="D4" s="91"/>
      <c r="E4" s="91"/>
      <c r="H4" s="91"/>
    </row>
    <row r="5" spans="1:9" ht="27" customHeight="1">
      <c r="A5" s="92" t="s">
        <v>64</v>
      </c>
      <c r="B5" s="4"/>
      <c r="C5" s="5"/>
      <c r="D5" s="91"/>
      <c r="E5" s="91"/>
      <c r="F5" s="6" t="s">
        <v>38</v>
      </c>
      <c r="G5" s="7" t="s">
        <v>68</v>
      </c>
      <c r="H5" s="91"/>
    </row>
    <row r="6" spans="1:9" ht="27" customHeight="1">
      <c r="A6" s="91"/>
      <c r="B6" s="91"/>
      <c r="C6" s="91"/>
      <c r="D6" s="91"/>
      <c r="E6" s="91"/>
      <c r="F6" s="8" t="s">
        <v>41</v>
      </c>
      <c r="G6" s="9" t="s">
        <v>69</v>
      </c>
      <c r="H6" s="91"/>
    </row>
    <row r="7" spans="1:9" ht="27" customHeight="1">
      <c r="A7" s="142" t="s">
        <v>106</v>
      </c>
      <c r="B7" s="143"/>
      <c r="C7" s="144"/>
      <c r="D7" s="91"/>
      <c r="E7" s="10"/>
      <c r="F7" s="11" t="s">
        <v>42</v>
      </c>
      <c r="G7" s="9" t="s">
        <v>70</v>
      </c>
      <c r="H7" s="91"/>
    </row>
    <row r="8" spans="1:9" ht="27" customHeight="1">
      <c r="A8" s="91"/>
      <c r="B8" s="91"/>
      <c r="C8" s="91"/>
      <c r="D8" s="91"/>
      <c r="E8" s="91"/>
      <c r="F8" s="8" t="s">
        <v>43</v>
      </c>
      <c r="G8" s="9" t="s">
        <v>71</v>
      </c>
      <c r="H8" s="91"/>
    </row>
    <row r="9" spans="1:9" ht="27" customHeight="1">
      <c r="A9" s="139" t="s">
        <v>105</v>
      </c>
      <c r="B9" s="140"/>
      <c r="C9" s="141"/>
      <c r="D9" s="91"/>
      <c r="E9" s="91"/>
      <c r="F9" s="8" t="s">
        <v>44</v>
      </c>
      <c r="G9" s="9" t="s">
        <v>72</v>
      </c>
      <c r="H9" s="91"/>
    </row>
    <row r="10" spans="1:9" ht="27" customHeight="1">
      <c r="A10" s="91"/>
      <c r="B10" s="91"/>
      <c r="C10" s="91"/>
      <c r="D10" s="91"/>
      <c r="E10" s="91"/>
      <c r="F10" s="12" t="s">
        <v>39</v>
      </c>
      <c r="G10" s="13" t="s">
        <v>73</v>
      </c>
      <c r="H10" s="91"/>
      <c r="I10" s="91"/>
    </row>
    <row r="11" spans="1:9" ht="27" customHeight="1">
      <c r="A11" s="137"/>
      <c r="B11" s="138"/>
      <c r="C11" s="138"/>
      <c r="D11" s="91"/>
      <c r="E11" s="14"/>
      <c r="F11" s="15" t="s">
        <v>40</v>
      </c>
      <c r="G11" s="16" t="s">
        <v>74</v>
      </c>
      <c r="H11" s="14"/>
    </row>
    <row r="12" spans="1:9" ht="18.75" thickBot="1">
      <c r="A12" s="17" t="s">
        <v>7</v>
      </c>
      <c r="B12" s="17" t="str">
        <f>NUMBERSTRING(F31,1)</f>
        <v>삼백일만사천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>
      <c r="A13" s="91"/>
      <c r="B13" s="91"/>
      <c r="C13" s="91"/>
      <c r="D13" s="91"/>
      <c r="E13" s="91"/>
      <c r="F13" s="91"/>
      <c r="G13" s="91"/>
      <c r="H13" s="19"/>
    </row>
    <row r="14" spans="1:9" ht="33" customHeight="1" thickBot="1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>
      <c r="A16" s="29"/>
      <c r="B16" s="30" t="s">
        <v>18</v>
      </c>
      <c r="C16" s="31"/>
      <c r="D16" s="32"/>
      <c r="E16" s="32"/>
      <c r="F16" s="33">
        <f>'내역서(표준단가)'!O8</f>
        <v>2660000</v>
      </c>
      <c r="G16" s="34"/>
    </row>
    <row r="17" spans="1:7" ht="33" customHeight="1">
      <c r="A17" s="29"/>
      <c r="B17" s="30" t="s">
        <v>19</v>
      </c>
      <c r="C17" s="31"/>
      <c r="D17" s="32"/>
      <c r="E17" s="32"/>
      <c r="F17" s="33">
        <f>'내역서(표준단가)'!Q8</f>
        <v>219321</v>
      </c>
      <c r="G17" s="35"/>
    </row>
    <row r="18" spans="1:7" ht="33" customHeight="1">
      <c r="A18" s="29"/>
      <c r="B18" s="30" t="s">
        <v>20</v>
      </c>
      <c r="C18" s="31"/>
      <c r="D18" s="32"/>
      <c r="E18" s="32"/>
      <c r="F18" s="33">
        <f>'내역서(표준단가)'!S8+'내역서(표준단가)'!U8</f>
        <v>0</v>
      </c>
      <c r="G18" s="35"/>
    </row>
    <row r="19" spans="1:7" ht="33" customHeight="1">
      <c r="A19" s="29"/>
      <c r="B19" s="36" t="s">
        <v>21</v>
      </c>
      <c r="C19" s="36"/>
      <c r="D19" s="37"/>
      <c r="E19" s="37"/>
      <c r="F19" s="38">
        <f>F16+F17+F18</f>
        <v>2879321</v>
      </c>
      <c r="G19" s="35"/>
    </row>
    <row r="20" spans="1:7" ht="33" customHeight="1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>
      <c r="A21" s="29"/>
      <c r="B21" s="42" t="s">
        <v>23</v>
      </c>
      <c r="C21" s="40" t="s">
        <v>24</v>
      </c>
      <c r="D21" s="30">
        <v>1</v>
      </c>
      <c r="E21" s="30" t="s">
        <v>25</v>
      </c>
      <c r="F21" s="43">
        <f>F17*4.5%</f>
        <v>9869.4449999999997</v>
      </c>
      <c r="G21" s="35" t="s">
        <v>26</v>
      </c>
    </row>
    <row r="22" spans="1:7" ht="33" customHeight="1">
      <c r="A22" s="29"/>
      <c r="B22" s="44" t="s">
        <v>27</v>
      </c>
      <c r="C22" s="45" t="s">
        <v>65</v>
      </c>
      <c r="D22" s="46">
        <v>1</v>
      </c>
      <c r="E22" s="46" t="s">
        <v>25</v>
      </c>
      <c r="F22" s="47">
        <f>F17*3.545%</f>
        <v>7774.9294500000005</v>
      </c>
      <c r="G22" s="48" t="s">
        <v>28</v>
      </c>
    </row>
    <row r="23" spans="1:7" ht="33" customHeight="1">
      <c r="A23" s="29"/>
      <c r="B23" s="42" t="s">
        <v>29</v>
      </c>
      <c r="C23" s="40" t="s">
        <v>66</v>
      </c>
      <c r="D23" s="30">
        <v>1</v>
      </c>
      <c r="E23" s="30" t="s">
        <v>25</v>
      </c>
      <c r="F23" s="43">
        <f>F22*12.95%</f>
        <v>1006.853363775</v>
      </c>
      <c r="G23" s="35" t="s">
        <v>28</v>
      </c>
    </row>
    <row r="24" spans="1:7" ht="33" customHeight="1">
      <c r="A24" s="29"/>
      <c r="B24" s="42" t="s">
        <v>30</v>
      </c>
      <c r="C24" s="40" t="s">
        <v>46</v>
      </c>
      <c r="D24" s="30">
        <v>1</v>
      </c>
      <c r="E24" s="30" t="s">
        <v>25</v>
      </c>
      <c r="F24" s="43">
        <f>F17*1.01%</f>
        <v>2215.1421</v>
      </c>
      <c r="G24" s="35" t="s">
        <v>28</v>
      </c>
    </row>
    <row r="25" spans="1:7" ht="33" customHeight="1">
      <c r="A25" s="29"/>
      <c r="B25" s="42" t="s">
        <v>31</v>
      </c>
      <c r="C25" s="40" t="s">
        <v>67</v>
      </c>
      <c r="D25" s="30">
        <v>1</v>
      </c>
      <c r="E25" s="30" t="s">
        <v>25</v>
      </c>
      <c r="F25" s="43">
        <f>F17*3.56%</f>
        <v>7807.8275999999996</v>
      </c>
      <c r="G25" s="35" t="s">
        <v>28</v>
      </c>
    </row>
    <row r="26" spans="1:7" ht="33" customHeight="1">
      <c r="A26" s="29"/>
      <c r="B26" s="42" t="s">
        <v>32</v>
      </c>
      <c r="C26" s="49" t="s">
        <v>99</v>
      </c>
      <c r="D26" s="30">
        <v>1</v>
      </c>
      <c r="E26" s="30" t="s">
        <v>25</v>
      </c>
      <c r="F26" s="43">
        <f>(F16+F17)*3.11%</f>
        <v>89546.883099999992</v>
      </c>
      <c r="G26" s="35" t="s">
        <v>26</v>
      </c>
    </row>
    <row r="27" spans="1:7" ht="33" customHeight="1">
      <c r="A27" s="29"/>
      <c r="B27" s="42" t="s">
        <v>36</v>
      </c>
      <c r="C27" s="49" t="s">
        <v>37</v>
      </c>
      <c r="D27" s="30">
        <v>1</v>
      </c>
      <c r="E27" s="30" t="s">
        <v>25</v>
      </c>
      <c r="F27" s="43">
        <f>SUM(F17+F21+F22+F23+F24+F25+F26)*5%</f>
        <v>16877.104030688752</v>
      </c>
      <c r="G27" s="35"/>
    </row>
    <row r="28" spans="1:7" ht="33" customHeight="1">
      <c r="A28" s="29"/>
      <c r="B28" s="36" t="s">
        <v>33</v>
      </c>
      <c r="C28" s="50"/>
      <c r="D28" s="51"/>
      <c r="E28" s="37"/>
      <c r="F28" s="52">
        <f>F21+F22+F23+F24+F25+F26+F27</f>
        <v>135098.18464446373</v>
      </c>
      <c r="G28" s="35"/>
    </row>
    <row r="29" spans="1:7" ht="33" customHeight="1">
      <c r="A29" s="29"/>
      <c r="B29" s="40"/>
      <c r="C29" s="53"/>
      <c r="D29" s="54"/>
      <c r="E29" s="32"/>
      <c r="F29" s="55"/>
      <c r="G29" s="35"/>
    </row>
    <row r="30" spans="1:7" ht="33" customHeight="1">
      <c r="A30" s="29"/>
      <c r="B30" s="56"/>
      <c r="C30" s="53"/>
      <c r="D30" s="54"/>
      <c r="E30" s="32"/>
      <c r="F30" s="57">
        <f>F19+F28+F29</f>
        <v>3014419.1846444639</v>
      </c>
      <c r="G30" s="35"/>
    </row>
    <row r="31" spans="1:7" ht="33" customHeight="1">
      <c r="A31" s="29"/>
      <c r="B31" s="36" t="s">
        <v>34</v>
      </c>
      <c r="C31" s="36"/>
      <c r="D31" s="37"/>
      <c r="E31" s="37"/>
      <c r="F31" s="58">
        <f>ROUNDDOWN(F30,-3)</f>
        <v>3014000</v>
      </c>
      <c r="G31" s="35"/>
    </row>
    <row r="32" spans="1:7" ht="33" customHeight="1" thickBot="1">
      <c r="A32" s="59"/>
      <c r="B32" s="60" t="s">
        <v>35</v>
      </c>
      <c r="C32" s="61"/>
      <c r="D32" s="61"/>
      <c r="E32" s="61"/>
      <c r="F32" s="62"/>
      <c r="G32" s="63"/>
    </row>
    <row r="33" spans="2:2" ht="15.75">
      <c r="B33" s="64"/>
    </row>
    <row r="34" spans="2:2" ht="15.75">
      <c r="B34" s="64"/>
    </row>
  </sheetData>
  <mergeCells count="4">
    <mergeCell ref="A2:G2"/>
    <mergeCell ref="A11:C11"/>
    <mergeCell ref="A9:C9"/>
    <mergeCell ref="A7:C7"/>
  </mergeCells>
  <phoneticPr fontId="11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2"/>
  <sheetViews>
    <sheetView showGridLines="0" zoomScale="80" zoomScaleNormal="80" workbookViewId="0">
      <pane ySplit="4" topLeftCell="A5" activePane="bottomLeft" state="frozen"/>
      <selection pane="bottomLeft" activeCell="Q5" sqref="Q5"/>
    </sheetView>
  </sheetViews>
  <sheetFormatPr defaultColWidth="9" defaultRowHeight="38.1" customHeight="1"/>
  <cols>
    <col min="1" max="1" width="20.875" style="116" bestFit="1" customWidth="1"/>
    <col min="2" max="5" width="18.5" style="116" hidden="1" customWidth="1"/>
    <col min="6" max="9" width="17.625" style="66" hidden="1" customWidth="1"/>
    <col min="10" max="10" width="32.125" style="105" customWidth="1"/>
    <col min="11" max="11" width="30.625" style="105" customWidth="1"/>
    <col min="12" max="12" width="5.25" style="66" bestFit="1" customWidth="1"/>
    <col min="13" max="13" width="6.125" style="66" bestFit="1" customWidth="1"/>
    <col min="14" max="14" width="13" style="66" bestFit="1" customWidth="1"/>
    <col min="15" max="15" width="15.5" style="66" bestFit="1" customWidth="1"/>
    <col min="16" max="16" width="11" style="66" bestFit="1" customWidth="1"/>
    <col min="17" max="17" width="15.5" style="66" customWidth="1"/>
    <col min="18" max="18" width="12.375" style="66" hidden="1" customWidth="1"/>
    <col min="19" max="19" width="8.5" style="66" hidden="1" customWidth="1"/>
    <col min="20" max="20" width="12.625" style="66" hidden="1" customWidth="1"/>
    <col min="21" max="21" width="8.5" style="66" hidden="1" customWidth="1"/>
    <col min="22" max="22" width="16.75" style="66" bestFit="1" customWidth="1"/>
    <col min="23" max="23" width="10.75" style="67" bestFit="1" customWidth="1"/>
    <col min="24" max="24" width="9.125" style="66" bestFit="1" customWidth="1"/>
    <col min="25" max="16384" width="9" style="66"/>
  </cols>
  <sheetData>
    <row r="1" spans="1:24" ht="19.899999999999999" customHeight="1">
      <c r="A1" s="145"/>
      <c r="B1" s="145"/>
      <c r="C1" s="145"/>
      <c r="D1" s="145"/>
      <c r="E1" s="145"/>
      <c r="F1" s="145"/>
      <c r="G1" s="145"/>
      <c r="H1" s="145"/>
      <c r="I1" s="145"/>
      <c r="N1" s="67"/>
      <c r="O1" s="108" t="s">
        <v>80</v>
      </c>
      <c r="Q1" s="108" t="s">
        <v>80</v>
      </c>
      <c r="S1" s="108" t="s">
        <v>80</v>
      </c>
      <c r="U1" s="108" t="s">
        <v>80</v>
      </c>
    </row>
    <row r="2" spans="1:24" ht="19.899999999999999" customHeight="1" thickBot="1">
      <c r="A2" s="145"/>
      <c r="B2" s="145"/>
      <c r="C2" s="145"/>
      <c r="D2" s="145"/>
      <c r="E2" s="145"/>
      <c r="F2" s="145"/>
      <c r="G2" s="145"/>
      <c r="H2" s="145"/>
      <c r="I2" s="145"/>
      <c r="N2" s="68"/>
      <c r="O2" s="69">
        <v>0.83499999999999996</v>
      </c>
      <c r="Q2" s="69">
        <v>0.83499999999999996</v>
      </c>
      <c r="S2" s="69">
        <v>0.83499999999999996</v>
      </c>
      <c r="U2" s="69">
        <v>0.83499999999999996</v>
      </c>
    </row>
    <row r="3" spans="1:24" ht="19.899999999999999" customHeight="1">
      <c r="A3" s="109"/>
      <c r="B3" s="109"/>
      <c r="C3" s="109"/>
      <c r="D3" s="109"/>
      <c r="E3" s="109"/>
      <c r="F3" s="109" t="s">
        <v>81</v>
      </c>
      <c r="G3" s="110"/>
      <c r="H3" s="110"/>
      <c r="I3" s="110"/>
      <c r="J3" s="156" t="s">
        <v>82</v>
      </c>
      <c r="K3" s="156"/>
      <c r="L3" s="154" t="s">
        <v>51</v>
      </c>
      <c r="M3" s="154" t="s">
        <v>5</v>
      </c>
      <c r="N3" s="150" t="s">
        <v>83</v>
      </c>
      <c r="O3" s="150"/>
      <c r="P3" s="150" t="s">
        <v>84</v>
      </c>
      <c r="Q3" s="150"/>
      <c r="R3" s="151" t="s">
        <v>85</v>
      </c>
      <c r="S3" s="151"/>
      <c r="T3" s="151" t="s">
        <v>86</v>
      </c>
      <c r="U3" s="151"/>
      <c r="V3" s="152" t="s">
        <v>87</v>
      </c>
      <c r="W3" s="148" t="s">
        <v>88</v>
      </c>
      <c r="X3" s="146" t="s">
        <v>45</v>
      </c>
    </row>
    <row r="4" spans="1:24" ht="19.899999999999999" customHeight="1">
      <c r="A4" s="70" t="s">
        <v>89</v>
      </c>
      <c r="B4" s="71"/>
      <c r="C4" s="71"/>
      <c r="D4" s="71"/>
      <c r="E4" s="71"/>
      <c r="F4" s="72" t="s">
        <v>90</v>
      </c>
      <c r="G4" s="72" t="s">
        <v>91</v>
      </c>
      <c r="H4" s="72" t="s">
        <v>92</v>
      </c>
      <c r="I4" s="72" t="s">
        <v>93</v>
      </c>
      <c r="J4" s="106" t="s">
        <v>94</v>
      </c>
      <c r="K4" s="106" t="s">
        <v>95</v>
      </c>
      <c r="L4" s="155"/>
      <c r="M4" s="155"/>
      <c r="N4" s="73" t="s">
        <v>96</v>
      </c>
      <c r="O4" s="74" t="s">
        <v>97</v>
      </c>
      <c r="P4" s="73" t="s">
        <v>77</v>
      </c>
      <c r="Q4" s="74" t="s">
        <v>97</v>
      </c>
      <c r="R4" s="74" t="s">
        <v>98</v>
      </c>
      <c r="S4" s="74" t="s">
        <v>97</v>
      </c>
      <c r="T4" s="74" t="s">
        <v>98</v>
      </c>
      <c r="U4" s="74" t="s">
        <v>97</v>
      </c>
      <c r="V4" s="153"/>
      <c r="W4" s="149"/>
      <c r="X4" s="147"/>
    </row>
    <row r="5" spans="1:24" s="111" customFormat="1" ht="38.1" customHeight="1">
      <c r="A5" s="118" t="str">
        <f t="shared" ref="A5" si="0">F5&amp;G5&amp;H5&amp;I5</f>
        <v>L003</v>
      </c>
      <c r="B5" s="123"/>
      <c r="C5" s="123"/>
      <c r="D5" s="123"/>
      <c r="E5" s="123"/>
      <c r="F5" s="119"/>
      <c r="G5" s="124"/>
      <c r="H5" s="124"/>
      <c r="I5" s="119" t="s">
        <v>79</v>
      </c>
      <c r="J5" s="125" t="s">
        <v>104</v>
      </c>
      <c r="K5" s="126" t="s">
        <v>100</v>
      </c>
      <c r="L5" s="127" t="s">
        <v>75</v>
      </c>
      <c r="M5" s="128">
        <v>1</v>
      </c>
      <c r="N5" s="129"/>
      <c r="O5" s="120">
        <f t="shared" ref="O5" si="1">SUM(N5:N5)*M5*$O$2</f>
        <v>0</v>
      </c>
      <c r="P5" s="130">
        <v>219321</v>
      </c>
      <c r="Q5" s="131">
        <f>M5*P5</f>
        <v>219321</v>
      </c>
      <c r="R5" s="121"/>
      <c r="S5" s="120">
        <f t="shared" ref="S5:S6" si="2">R5*M5*$S$2</f>
        <v>0</v>
      </c>
      <c r="T5" s="121"/>
      <c r="U5" s="120">
        <f t="shared" ref="U5:U6" si="3">T5*M5*$U$2</f>
        <v>0</v>
      </c>
      <c r="V5" s="132">
        <f t="shared" ref="V5:V6" si="4">SUM(O5+Q5)+S5+U5</f>
        <v>219321</v>
      </c>
      <c r="W5" s="133"/>
      <c r="X5" s="122"/>
    </row>
    <row r="6" spans="1:24" s="111" customFormat="1" ht="38.1" customHeight="1">
      <c r="A6" s="118">
        <v>999999</v>
      </c>
      <c r="B6" s="123"/>
      <c r="C6" s="123"/>
      <c r="D6" s="123"/>
      <c r="E6" s="123"/>
      <c r="F6" s="119"/>
      <c r="G6" s="124"/>
      <c r="H6" s="124"/>
      <c r="I6" s="119"/>
      <c r="J6" s="125" t="s">
        <v>101</v>
      </c>
      <c r="K6" s="126" t="s">
        <v>102</v>
      </c>
      <c r="L6" s="127" t="s">
        <v>78</v>
      </c>
      <c r="M6" s="128">
        <v>1</v>
      </c>
      <c r="N6" s="129">
        <v>2660000</v>
      </c>
      <c r="O6" s="120">
        <f>M6*N6</f>
        <v>2660000</v>
      </c>
      <c r="P6" s="130"/>
      <c r="Q6" s="131">
        <f>M6*P6</f>
        <v>0</v>
      </c>
      <c r="R6" s="121"/>
      <c r="S6" s="120">
        <f t="shared" si="2"/>
        <v>0</v>
      </c>
      <c r="T6" s="121"/>
      <c r="U6" s="120">
        <f t="shared" si="3"/>
        <v>0</v>
      </c>
      <c r="V6" s="132">
        <f t="shared" si="4"/>
        <v>2660000</v>
      </c>
      <c r="W6" s="133"/>
      <c r="X6" s="122"/>
    </row>
    <row r="7" spans="1:24" s="111" customFormat="1" ht="38.1" customHeight="1">
      <c r="A7" s="75"/>
      <c r="B7" s="87"/>
      <c r="C7" s="87"/>
      <c r="D7" s="87"/>
      <c r="E7" s="87"/>
      <c r="F7" s="72"/>
      <c r="G7" s="72"/>
      <c r="H7" s="72"/>
      <c r="I7" s="76"/>
      <c r="J7" s="93"/>
      <c r="K7" s="93"/>
      <c r="L7" s="103"/>
      <c r="M7" s="104"/>
      <c r="N7" s="102"/>
      <c r="O7" s="100"/>
      <c r="P7" s="99"/>
      <c r="Q7" s="100"/>
      <c r="R7" s="101"/>
      <c r="S7" s="100"/>
      <c r="T7" s="101"/>
      <c r="U7" s="100"/>
      <c r="V7" s="88"/>
      <c r="W7" s="89"/>
      <c r="X7" s="90"/>
    </row>
    <row r="8" spans="1:24" s="113" customFormat="1" ht="38.1" customHeight="1">
      <c r="A8" s="112"/>
      <c r="B8" s="112"/>
      <c r="C8" s="112"/>
      <c r="D8" s="112"/>
      <c r="E8" s="112"/>
      <c r="J8" s="107"/>
      <c r="K8" s="107"/>
      <c r="O8" s="114">
        <f>SUM(O5:O7)</f>
        <v>2660000</v>
      </c>
      <c r="P8" s="115"/>
      <c r="Q8" s="114">
        <f>SUM(Q5:Q7)</f>
        <v>219321</v>
      </c>
      <c r="R8" s="115"/>
      <c r="S8" s="114">
        <f>SUM(S5:S7)</f>
        <v>0</v>
      </c>
      <c r="T8" s="115"/>
      <c r="U8" s="114">
        <f>SUM(U5:U7)</f>
        <v>0</v>
      </c>
      <c r="V8" s="134">
        <f>SUM(V5:V7)</f>
        <v>2879321</v>
      </c>
      <c r="W8" s="77"/>
    </row>
    <row r="10" spans="1:24" ht="38.1" customHeight="1">
      <c r="N10" s="135"/>
    </row>
    <row r="11" spans="1:24" ht="38.1" customHeight="1">
      <c r="N11" s="117"/>
    </row>
    <row r="12" spans="1:24" ht="38.1" customHeight="1">
      <c r="Q12" s="117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11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C1BCF-91AD-4709-9725-F756AB625789}">
  <sheetPr codeName="Sheet3">
    <pageSetUpPr fitToPage="1"/>
  </sheetPr>
  <dimension ref="G1:P1"/>
  <sheetViews>
    <sheetView topLeftCell="A8" zoomScale="160" zoomScaleNormal="160" zoomScaleSheetLayoutView="85" workbookViewId="0"/>
  </sheetViews>
  <sheetFormatPr defaultColWidth="9" defaultRowHeight="14.25"/>
  <cols>
    <col min="1" max="1" width="11.5" style="94" bestFit="1" customWidth="1"/>
    <col min="2" max="2" width="17.875" style="94" customWidth="1"/>
    <col min="3" max="3" width="14.625" style="94" customWidth="1"/>
    <col min="4" max="4" width="10.875" style="94" customWidth="1"/>
    <col min="5" max="5" width="12" style="94" customWidth="1"/>
    <col min="6" max="6" width="10.625" style="94" customWidth="1"/>
    <col min="7" max="7" width="13.625" style="95" customWidth="1"/>
    <col min="8" max="8" width="9.625" style="94" customWidth="1"/>
    <col min="9" max="9" width="13.625" style="94" customWidth="1"/>
    <col min="10" max="10" width="12.75" style="94" customWidth="1"/>
    <col min="11" max="11" width="9.25" style="94" customWidth="1"/>
    <col min="12" max="12" width="13.625" style="95" customWidth="1"/>
    <col min="13" max="13" width="9.625" style="94" customWidth="1"/>
    <col min="14" max="14" width="13.625" style="95" customWidth="1"/>
    <col min="15" max="15" width="18.75" style="96" customWidth="1"/>
    <col min="16" max="16" width="20.875" style="96" customWidth="1"/>
    <col min="17" max="16384" width="9" style="94"/>
  </cols>
  <sheetData/>
  <phoneticPr fontId="11" type="noConversion"/>
  <pageMargins left="0.23622047244094491" right="0.23622047244094491" top="0.55118110236220474" bottom="0.55118110236220474" header="0.31496062992125984" footer="0.31496062992125984"/>
  <pageSetup paperSize="9" scale="61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102EF-017B-4FEE-A334-E138F21D9B1A}">
  <sheetPr codeName="Sheet4"/>
  <dimension ref="A1:R13"/>
  <sheetViews>
    <sheetView workbookViewId="0">
      <selection activeCell="G16" sqref="G16"/>
    </sheetView>
  </sheetViews>
  <sheetFormatPr defaultColWidth="9" defaultRowHeight="14.25"/>
  <cols>
    <col min="1" max="1" width="11.125" style="97" customWidth="1"/>
    <col min="2" max="2" width="13.375" style="97" customWidth="1"/>
    <col min="3" max="3" width="29.125" style="97" bestFit="1" customWidth="1"/>
    <col min="4" max="4" width="30.875" style="97" bestFit="1" customWidth="1"/>
    <col min="5" max="5" width="5" style="97" customWidth="1"/>
    <col min="6" max="6" width="6.25" style="97" customWidth="1"/>
    <col min="7" max="7" width="13" style="97" customWidth="1"/>
    <col min="8" max="8" width="11.875" style="97" customWidth="1"/>
    <col min="9" max="9" width="10" style="97" customWidth="1"/>
    <col min="10" max="10" width="11.875" style="97" customWidth="1"/>
    <col min="11" max="11" width="10" style="97" customWidth="1"/>
    <col min="12" max="12" width="11.875" style="97" customWidth="1"/>
    <col min="13" max="13" width="10" style="97" customWidth="1"/>
    <col min="14" max="14" width="11.875" style="97" customWidth="1"/>
    <col min="15" max="15" width="9.125" style="97" customWidth="1"/>
    <col min="16" max="16" width="11.5" style="97" customWidth="1"/>
    <col min="17" max="17" width="11.75" style="97" customWidth="1"/>
    <col min="18" max="18" width="17.875" style="97" customWidth="1"/>
    <col min="19" max="16384" width="9" style="97"/>
  </cols>
  <sheetData>
    <row r="1" spans="1:18" ht="18" customHeight="1">
      <c r="A1" s="83" t="s">
        <v>47</v>
      </c>
      <c r="B1" s="83" t="s">
        <v>48</v>
      </c>
      <c r="C1" s="83" t="s">
        <v>49</v>
      </c>
      <c r="D1" s="83" t="s">
        <v>50</v>
      </c>
      <c r="E1" s="83" t="s">
        <v>51</v>
      </c>
      <c r="F1" s="83" t="s">
        <v>5</v>
      </c>
      <c r="G1" s="83" t="s">
        <v>52</v>
      </c>
      <c r="H1" s="83" t="s">
        <v>53</v>
      </c>
      <c r="I1" s="83" t="s">
        <v>54</v>
      </c>
      <c r="J1" s="83" t="s">
        <v>55</v>
      </c>
      <c r="K1" s="83" t="s">
        <v>56</v>
      </c>
      <c r="L1" s="83" t="s">
        <v>57</v>
      </c>
      <c r="M1" s="83" t="s">
        <v>58</v>
      </c>
      <c r="N1" s="83" t="s">
        <v>59</v>
      </c>
      <c r="O1" s="83" t="s">
        <v>60</v>
      </c>
      <c r="P1" s="83" t="s">
        <v>61</v>
      </c>
      <c r="Q1" s="83" t="s">
        <v>62</v>
      </c>
      <c r="R1" s="83" t="s">
        <v>63</v>
      </c>
    </row>
    <row r="2" spans="1:18" ht="18" customHeight="1">
      <c r="A2" s="66">
        <v>999999</v>
      </c>
      <c r="B2" s="67" t="s">
        <v>76</v>
      </c>
      <c r="C2" s="78" t="s">
        <v>103</v>
      </c>
      <c r="D2" s="79" t="s">
        <v>102</v>
      </c>
      <c r="E2" s="80" t="s">
        <v>78</v>
      </c>
      <c r="F2" s="81">
        <v>1</v>
      </c>
      <c r="G2" s="82">
        <v>2660000</v>
      </c>
      <c r="H2" s="82"/>
      <c r="I2" s="82"/>
      <c r="J2" s="82"/>
      <c r="K2" s="82"/>
      <c r="L2" s="82"/>
      <c r="M2" s="82"/>
      <c r="N2" s="82"/>
      <c r="O2" s="82"/>
      <c r="P2" s="80"/>
      <c r="Q2" s="80"/>
      <c r="R2" s="80"/>
    </row>
    <row r="3" spans="1:18">
      <c r="G3" s="82"/>
      <c r="H3" s="82"/>
      <c r="I3" s="82"/>
      <c r="J3" s="82"/>
      <c r="K3" s="82"/>
      <c r="L3" s="82"/>
      <c r="M3" s="82"/>
      <c r="N3" s="82"/>
      <c r="O3" s="82"/>
    </row>
    <row r="4" spans="1:18">
      <c r="G4" s="82"/>
      <c r="H4" s="82"/>
      <c r="I4" s="82"/>
      <c r="J4" s="82"/>
      <c r="K4" s="82"/>
      <c r="L4" s="82"/>
      <c r="M4" s="82"/>
      <c r="N4" s="82"/>
      <c r="O4" s="82"/>
    </row>
    <row r="5" spans="1:18">
      <c r="G5" s="82"/>
      <c r="H5" s="82"/>
      <c r="I5" s="82"/>
      <c r="J5" s="82"/>
      <c r="K5" s="82"/>
      <c r="L5" s="82"/>
      <c r="M5" s="82"/>
      <c r="N5" s="82"/>
      <c r="O5" s="82"/>
    </row>
    <row r="6" spans="1:18">
      <c r="G6" s="82"/>
      <c r="H6" s="82"/>
      <c r="I6" s="82"/>
      <c r="J6" s="82"/>
      <c r="K6" s="82"/>
      <c r="L6" s="82"/>
      <c r="M6" s="82"/>
      <c r="N6" s="82"/>
      <c r="O6" s="82"/>
    </row>
    <row r="7" spans="1:18">
      <c r="G7" s="82"/>
      <c r="H7" s="82"/>
      <c r="I7" s="82"/>
      <c r="J7" s="82"/>
      <c r="K7" s="82"/>
      <c r="L7" s="82"/>
      <c r="M7" s="82"/>
      <c r="N7" s="82"/>
      <c r="O7" s="82"/>
    </row>
    <row r="8" spans="1:18">
      <c r="G8" s="82"/>
      <c r="H8" s="82"/>
      <c r="I8" s="82"/>
      <c r="J8" s="82"/>
      <c r="K8" s="82"/>
      <c r="L8" s="82"/>
      <c r="M8" s="82"/>
      <c r="N8" s="82"/>
      <c r="O8" s="82"/>
    </row>
    <row r="9" spans="1:18">
      <c r="G9" s="82"/>
      <c r="H9" s="82"/>
      <c r="I9" s="82"/>
      <c r="J9" s="82"/>
      <c r="K9" s="82"/>
      <c r="L9" s="82"/>
      <c r="M9" s="82"/>
      <c r="N9" s="82"/>
      <c r="O9" s="82"/>
    </row>
    <row r="10" spans="1:18">
      <c r="G10" s="82"/>
      <c r="H10" s="82"/>
      <c r="I10" s="82"/>
      <c r="J10" s="82"/>
      <c r="K10" s="82"/>
      <c r="L10" s="82"/>
      <c r="M10" s="82"/>
      <c r="N10" s="82"/>
      <c r="O10" s="82"/>
    </row>
    <row r="11" spans="1:18">
      <c r="G11" s="82"/>
      <c r="H11" s="82"/>
      <c r="I11" s="82"/>
      <c r="J11" s="82"/>
      <c r="K11" s="82"/>
      <c r="L11" s="82"/>
      <c r="M11" s="82"/>
      <c r="N11" s="82"/>
      <c r="O11" s="82"/>
    </row>
    <row r="12" spans="1:18">
      <c r="G12" s="82"/>
      <c r="H12" s="82"/>
      <c r="I12" s="82"/>
      <c r="J12" s="82"/>
      <c r="K12" s="82"/>
      <c r="L12" s="82"/>
      <c r="M12" s="82"/>
      <c r="N12" s="82"/>
      <c r="O12" s="82"/>
    </row>
    <row r="13" spans="1:18">
      <c r="G13" s="98"/>
      <c r="H13" s="98"/>
      <c r="I13" s="98"/>
      <c r="J13" s="98"/>
      <c r="K13" s="98"/>
      <c r="L13" s="98"/>
      <c r="M13" s="98"/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/>
  <dimension ref="A1:F2"/>
  <sheetViews>
    <sheetView showGridLines="0" zoomScaleNormal="100" workbookViewId="0">
      <selection activeCell="D23" sqref="D23"/>
    </sheetView>
  </sheetViews>
  <sheetFormatPr defaultRowHeight="14.25"/>
  <cols>
    <col min="1" max="1" width="25.125" style="65" customWidth="1"/>
    <col min="2" max="2" width="16.25" style="65" customWidth="1"/>
    <col min="3" max="3" width="22.375" style="65" customWidth="1"/>
    <col min="4" max="4" width="24.125" style="65" customWidth="1"/>
    <col min="5" max="5" width="13" style="65" customWidth="1"/>
    <col min="6" max="6" width="7.5" style="65" customWidth="1"/>
    <col min="7" max="16384" width="9" style="97"/>
  </cols>
  <sheetData>
    <row r="1" spans="1:6" ht="18" customHeight="1">
      <c r="A1" s="84" t="s">
        <v>0</v>
      </c>
      <c r="B1" s="84" t="s">
        <v>1</v>
      </c>
      <c r="C1" s="84" t="s">
        <v>2</v>
      </c>
      <c r="D1" s="84" t="s">
        <v>3</v>
      </c>
      <c r="E1" s="84" t="s">
        <v>4</v>
      </c>
      <c r="F1" s="84" t="s">
        <v>5</v>
      </c>
    </row>
    <row r="2" spans="1:6">
      <c r="A2" s="85" t="str">
        <f>'내역서(표준단가)'!A5</f>
        <v>L003</v>
      </c>
      <c r="B2" s="86">
        <f>'내역서(표준단가)'!F5</f>
        <v>0</v>
      </c>
      <c r="C2" s="86">
        <f>'내역서(표준단가)'!G5</f>
        <v>0</v>
      </c>
      <c r="D2" s="86">
        <f>'내역서(표준단가)'!H5</f>
        <v>0</v>
      </c>
      <c r="E2" s="86" t="str">
        <f>'내역서(표준단가)'!I5</f>
        <v>L003</v>
      </c>
      <c r="F2" s="86">
        <f>'내역서(표준단가)'!M5</f>
        <v>1</v>
      </c>
    </row>
  </sheetData>
  <phoneticPr fontId="1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시중가 근거서류</vt:lpstr>
      <vt:lpstr>Upload(시중가)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2025-09-25T03:37:42Z</dcterms:modified>
</cp:coreProperties>
</file>
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1 사택 1-101 수장공사 및 기타보수\"/>
    </mc:Choice>
  </mc:AlternateContent>
  <xr:revisionPtr revIDLastSave="0" documentId="13_ncr:1_{3556D6CC-6BE6-49E6-AC3E-BD03CCE3F32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U15" i="4" l="1"/>
  <c r="S15" i="4"/>
  <c r="Q15" i="4"/>
  <c r="O15" i="4"/>
  <c r="V15" i="4" s="1"/>
  <c r="A15" i="4"/>
  <c r="U14" i="4"/>
  <c r="S14" i="4"/>
  <c r="Q14" i="4"/>
  <c r="O14" i="4"/>
  <c r="A14" i="4"/>
  <c r="U13" i="4"/>
  <c r="S13" i="4"/>
  <c r="Q13" i="4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L33" i="9"/>
  <c r="J33" i="9"/>
  <c r="H32" i="9"/>
  <c r="N32" i="9" s="1"/>
  <c r="H31" i="9"/>
  <c r="H33" i="9" s="1"/>
  <c r="F31" i="9"/>
  <c r="L29" i="9"/>
  <c r="J29" i="9"/>
  <c r="H29" i="9"/>
  <c r="N28" i="9"/>
  <c r="N29" i="9" s="1"/>
  <c r="H28" i="9"/>
  <c r="L27" i="9"/>
  <c r="J27" i="9"/>
  <c r="H20" i="9"/>
  <c r="F20" i="9"/>
  <c r="H19" i="9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N13" i="9" s="1"/>
  <c r="H12" i="9"/>
  <c r="F12" i="9"/>
  <c r="F15" i="9" s="1"/>
  <c r="L11" i="9"/>
  <c r="L34" i="9" s="1"/>
  <c r="J11" i="9"/>
  <c r="H10" i="9"/>
  <c r="N10" i="9" s="1"/>
  <c r="F10" i="9"/>
  <c r="H9" i="9"/>
  <c r="F9" i="9"/>
  <c r="N9" i="9" s="1"/>
  <c r="H8" i="9"/>
  <c r="F8" i="9"/>
  <c r="N8" i="9" s="1"/>
  <c r="N7" i="9"/>
  <c r="H7" i="9"/>
  <c r="F7" i="9"/>
  <c r="H6" i="9"/>
  <c r="F6" i="9"/>
  <c r="H5" i="9"/>
  <c r="F5" i="9"/>
  <c r="V11" i="4" l="1"/>
  <c r="F11" i="9"/>
  <c r="H15" i="9"/>
  <c r="N27" i="9"/>
  <c r="H11" i="9"/>
  <c r="V8" i="4"/>
  <c r="N6" i="9"/>
  <c r="H27" i="9"/>
  <c r="J34" i="9"/>
  <c r="N20" i="9"/>
  <c r="N31" i="9"/>
  <c r="N33" i="9" s="1"/>
  <c r="V12" i="4"/>
  <c r="V6" i="4"/>
  <c r="V13" i="4"/>
  <c r="V5" i="4"/>
  <c r="V9" i="4"/>
  <c r="V7" i="4"/>
  <c r="V14" i="4"/>
  <c r="N12" i="9"/>
  <c r="N15" i="9" s="1"/>
  <c r="N5" i="9"/>
  <c r="F27" i="9"/>
  <c r="F33" i="9"/>
  <c r="F34" i="9" s="1"/>
  <c r="H34" i="9" l="1"/>
  <c r="N11" i="9"/>
  <c r="N34" i="9" s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A2" i="1" l="1"/>
  <c r="A5" i="1" l="1"/>
  <c r="A3" i="1"/>
  <c r="A10" i="1" l="1"/>
  <c r="A7" i="1"/>
  <c r="A4" i="1" l="1"/>
  <c r="A12" i="1" l="1"/>
  <c r="A11" i="1"/>
  <c r="A9" i="1"/>
  <c r="A8" i="1"/>
  <c r="A6" i="1"/>
  <c r="Q16" i="4" l="1"/>
  <c r="F17" i="5" s="1"/>
  <c r="U16" i="4" l="1"/>
  <c r="O16" i="4"/>
  <c r="F16" i="5" s="1"/>
  <c r="F26" i="5" s="1"/>
  <c r="S16" i="4"/>
  <c r="F18" i="5" l="1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<sst xmlns="http://schemas.openxmlformats.org/spreadsheetml/2006/main" count="228" uniqueCount="172">
  <si>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</si>
  <si>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</si>
  <si>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</si>
  <si>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</si>
  <si>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</si>
  <si>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</si>
  <si>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</si>
  <si>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</si>
  <si>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</si>
  <si>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</si>
  <si>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</si>
  <si>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</si>
  <si>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</si>
  <si>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</si>
  <si>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</si>
  <si>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</si>
  <si>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</si>
  <si>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</si>
  <si>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</si>
  <si>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</si>
  <si>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</si>
  <si>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</si>
  <si>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</si>
  <si>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</si>
  <si>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</si>
  <si>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</si>
  <si>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</si>
  <si>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</si>
  <si>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</si>
  <si>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</si>
  <si>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</si>
  <si>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</si>
  <si>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</si>
  <si>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</si>
  <si>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</si>
  <si>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</si>
  <si>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</si>
  <si>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</si>
  <si>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</si>
  <si>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</si>
  <si>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</si>
  <si>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</si>
  <si>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</si>
  <si>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</si>
  <si>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</si>
  <si>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</si>
  <si>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</si>
  <si>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</si>
  <si>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</si>
  <si>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</si>
  <si>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</si>
  <si>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</si>
  <si>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</si>
  <si>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</si>
  <si>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</si>
  <si>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</si>
  <si>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</si>
  <si>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</si>
  <si>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</si>
  <si>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</si>
  <si>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</si>
  <si>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</si>
  <si>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</si>
  <si>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</si>
  <si>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</si>
  <si>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</si>
  <si>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</si>
  <si>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</si>
  <si>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</si>
  <si>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</si>
  <si>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</si>
  <si>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</si>
  <si>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</si>
  <si>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</si>
  <si>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</si>
  <si>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</si>
  <si>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</si>
  <si>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</si>
  <si>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</si>
  <si>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</si>
  <si>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</si>
  <si>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</si>
  <si>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</si>
  <si>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</si>
  <si>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</si>
  <si>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</si>
  <si>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</si>
  <si>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</si>
  <si>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</si>
  <si>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</si>
  <si>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</si>
  <si>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</si>
  <si>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</si>
  <si>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</si>
  <si>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</si>
  <si>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</si>
  <si>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</si>
  <si>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</si>
  <si>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</si>
  <si>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</si>
  <si>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</si>
  <si>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</si>
  <si>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</si>
  <si>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</si>
  <si>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</si>
  <si>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</si>
  <si>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</si>
  <si>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</si>
  <si>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</si>
  <si>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</si>
  <si>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</si>
  <si>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</si>
  <si>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</si>
  <si>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</si>
  <si>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</si>
  <si>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</si>
  <si>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</si>
  <si>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</si>
  <si>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</si>
  <si>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</si>
  <si>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</si>
  <si>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</si>
  <si>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</si>
  <si>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</si>
  <si>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</si>
  <si>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</si>
  <si>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</si>
  <si>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</si>
  <si>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</si>
  <si>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</si>
  <si>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</si>
  <si>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</si>
  <si>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</si>
  <si>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</si>
  <si>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</si>
  <si>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</si>
  <si>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</si>
  <si>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</si>
  <si>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</si>
  <si>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</si>
  <si>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</si>
  <si>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</si>
  <si>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</si>
  <si>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</si>
  <si>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</si>
  <si>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</si>
  <si>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</si>
  <si>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</si>
  <si>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</si>
  <si>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</si>
  <si>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>5.기타작업</t>
    <phoneticPr fontId="7" type="noConversion"/>
  </si>
  <si>
    <t>코킹재(다우실 1000),1액형 실리콘, 발코니 창호 주위 조인트용(창틀용)</t>
    <phoneticPr fontId="5" type="noConversion"/>
  </si>
  <si>
    <t>270㎖</t>
    <phoneticPr fontId="7" type="noConversion"/>
  </si>
  <si>
    <t>보통인부</t>
    <phoneticPr fontId="5" type="noConversion"/>
  </si>
  <si>
    <t>인</t>
    <phoneticPr fontId="7" type="noConversion"/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</si>
  <si>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</si>
  <si>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</si>
  <si>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</si>
  <si>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</si>
  <si>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>전체면적</t>
    <phoneticPr fontId="5" type="noConversion"/>
  </si>
  <si>
    <t>M020251411670101</t>
  </si>
  <si>
    <t>다우실 1000</t>
    <phoneticPr fontId="5" type="noConversion"/>
  </si>
  <si>
    <t>1액형 실리콘, 발코니 창호 주위 조인트용(창틀용)</t>
    <phoneticPr fontId="5" type="noConversion"/>
  </si>
  <si>
    <t>270㎖</t>
    <phoneticPr fontId="5" type="noConversion"/>
  </si>
  <si>
    <t>L002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</si>
  <si>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5" type="noConversion"/>
  </si>
  <si>
    <t>인</t>
    <phoneticPr fontId="5" type="noConversion"/>
  </si>
  <si>
    <t xml:space="preserve"> 공사명 : 사택 1-101 수장공사</t>
    <phoneticPr fontId="11" type="noConversion"/>
  </si>
  <si>
    <t xml:space="preserve"> 견적일 : 2025 년  09월  22일</t>
    <phoneticPr fontId="11" type="noConversion"/>
  </si>
  <si>
    <t>사택 1-101 수장공사</t>
    <phoneticPr fontId="5" type="noConversion"/>
  </si>
  <si>
    <t>씽크대 상판 전체 실리콘 재코킹작업,뒤베란다 벽면 크랙 전체보수,보수 공사</t>
    <phoneticPr fontId="5" type="noConversion"/>
  </si>
  <si>
    <t>도색(앞,뒤베란다 걸레받이 및 벽면 부분도색(곰팡이제거포함)), 뒤베란다 벽면 크랙 전체보수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</si>
</sst>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#,###,###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6" fontId="24" fillId="0" borderId="31" xfId="13" applyNumberFormat="1" applyFont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8" fontId="24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8" fontId="24" fillId="7" borderId="31" xfId="13" applyNumberFormat="1" applyFont="1" applyFill="1" applyBorder="1" applyAlignment="1">
      <alignment horizontal="center" vertical="center" wrapText="1"/>
    </xf>
    <xf numFmtId="0" fontId="23" fillId="5" borderId="31" xfId="15" applyFont="1" applyFill="1" applyBorder="1">
      <alignment vertical="center"/>
    </xf>
    <xf numFmtId="0" fontId="24" fillId="5" borderId="31" xfId="15" applyFont="1" applyFill="1" applyBorder="1" applyAlignment="1">
      <alignment horizontal="center" vertical="center"/>
    </xf>
    <xf numFmtId="183" fontId="24" fillId="5" borderId="31" xfId="16" applyNumberFormat="1" applyFont="1" applyFill="1" applyBorder="1" applyAlignment="1">
      <alignment vertical="center"/>
    </xf>
    <xf numFmtId="183" fontId="24" fillId="0" borderId="31" xfId="13" applyNumberFormat="1" applyFont="1" applyBorder="1" applyAlignment="1">
      <alignment vertical="center"/>
    </xf>
    <xf numFmtId="0" fontId="24" fillId="5" borderId="31" xfId="15" applyFont="1" applyFill="1" applyBorder="1" applyAlignment="1">
      <alignment horizontal="center" vertical="center" wrapText="1"/>
    </xf>
    <xf numFmtId="193" fontId="24" fillId="5" borderId="31" xfId="0" applyNumberFormat="1" applyFont="1" applyFill="1" applyBorder="1" applyAlignment="1">
      <alignment horizontal="right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 wrapText="1"/>
    </xf>
    <xf numFmtId="177" fontId="30" fillId="5" borderId="3" xfId="1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49" fontId="32" fillId="5" borderId="3" xfId="0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5" borderId="32" xfId="15" applyFont="1" applyFill="1" applyBorder="1" applyAlignment="1">
      <alignment vertical="center" wrapText="1"/>
    </xf>
    <xf numFmtId="0" fontId="19" fillId="5" borderId="35" xfId="15" applyFont="1" applyFill="1" applyBorder="1" applyAlignment="1">
      <alignment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6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2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5" t="s">
        <v>6</v>
      </c>
      <c r="B2" s="185"/>
      <c r="C2" s="185"/>
      <c r="D2" s="185"/>
      <c r="E2" s="185"/>
      <c r="F2" s="185"/>
      <c r="G2" s="185"/>
      <c r="H2" s="2"/>
    </row>
    <row r="3" spans="1:9" ht="14.25">
      <c r="A3" s="122"/>
      <c r="B3" s="122"/>
      <c r="C3" s="122"/>
      <c r="D3" s="122"/>
      <c r="E3" s="122"/>
      <c r="F3" s="122"/>
      <c r="G3" s="122"/>
      <c r="H3" s="122"/>
    </row>
    <row r="4" spans="1:9" ht="14.2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88" t="s">
        <v>167</v>
      </c>
      <c r="B7" s="189"/>
      <c r="C7" s="190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88" t="s">
        <v>168</v>
      </c>
      <c r="B9" s="189"/>
      <c r="C9" s="190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86"/>
      <c r="B11" s="187"/>
      <c r="C11" s="187"/>
      <c r="D11" s="122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삼백구십만육천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'내역서(표준단가)'!O16</f>
        <v>624603.88100000005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'내역서(표준단가)'!Q16</f>
        <v>2673428.9404999996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3298032.8214999996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120304.30232249998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94773.055940724997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12273.110744323887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27001.632299049994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95174.070281799985</v>
      </c>
      <c r="G25" s="35" t="s">
        <v>28</v>
      </c>
    </row>
    <row r="26" spans="1:7" ht="33" customHeight="1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102568.82074864999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156276.19664185244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608371.18897890137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3906404.0104789007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3906000</v>
      </c>
      <c r="G31" s="157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L21" sqref="L21"/>
    </sheetView>
  </sheetViews>
  <sheetFormatPr defaultColWidth="9" defaultRowHeight="38.1" customHeight="1"/>
  <cols>
    <col min="1" max="1" width="22.625" style="152" bestFit="1" customWidth="1"/>
    <col min="2" max="5" width="4.625" style="152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>
      <c r="A1" s="191"/>
      <c r="B1" s="191"/>
      <c r="C1" s="191"/>
      <c r="D1" s="191"/>
      <c r="E1" s="191"/>
      <c r="F1" s="191"/>
      <c r="G1" s="191"/>
      <c r="H1" s="191"/>
      <c r="I1" s="191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>
      <c r="A2" s="191"/>
      <c r="B2" s="191"/>
      <c r="C2" s="191"/>
      <c r="D2" s="191"/>
      <c r="E2" s="191"/>
      <c r="F2" s="191"/>
      <c r="G2" s="191"/>
      <c r="H2" s="191"/>
      <c r="I2" s="19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202" t="s">
        <v>98</v>
      </c>
      <c r="K3" s="202"/>
      <c r="L3" s="200" t="s">
        <v>47</v>
      </c>
      <c r="M3" s="200" t="s">
        <v>5</v>
      </c>
      <c r="N3" s="196" t="s">
        <v>99</v>
      </c>
      <c r="O3" s="196"/>
      <c r="P3" s="196" t="s">
        <v>100</v>
      </c>
      <c r="Q3" s="196"/>
      <c r="R3" s="197" t="s">
        <v>101</v>
      </c>
      <c r="S3" s="197"/>
      <c r="T3" s="197" t="s">
        <v>102</v>
      </c>
      <c r="U3" s="197"/>
      <c r="V3" s="198" t="s">
        <v>103</v>
      </c>
      <c r="W3" s="194" t="s">
        <v>104</v>
      </c>
      <c r="X3" s="192" t="s">
        <v>45</v>
      </c>
    </row>
    <row r="4" spans="1:24" ht="19.899999999999999" customHeight="1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201"/>
      <c r="M4" s="201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9"/>
      <c r="W4" s="195"/>
      <c r="X4" s="193"/>
    </row>
    <row r="5" spans="1:24" s="143" customFormat="1" ht="38.1" customHeight="1">
      <c r="A5" s="73" t="str">
        <f t="shared" ref="A5:A1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34" t="s">
        <v>155</v>
      </c>
      <c r="L5" s="118" t="s">
        <v>149</v>
      </c>
      <c r="M5" s="133">
        <v>10.054</v>
      </c>
      <c r="N5" s="153">
        <v>20900</v>
      </c>
      <c r="O5" s="129">
        <f t="shared" ref="O5:O14" si="1">SUM(N5:N5)*M5*$O$2</f>
        <v>175457.38099999999</v>
      </c>
      <c r="P5" s="128"/>
      <c r="Q5" s="129">
        <f t="shared" ref="Q5:Q14" si="2">(P5*M5)*$Q$2</f>
        <v>0</v>
      </c>
      <c r="R5" s="130"/>
      <c r="S5" s="129">
        <f t="shared" ref="S5:S15" si="3">R5*M5*$S$2</f>
        <v>0</v>
      </c>
      <c r="T5" s="130"/>
      <c r="U5" s="129">
        <f t="shared" ref="U5:U15" si="4">T5*M5*$U$2</f>
        <v>0</v>
      </c>
      <c r="V5" s="77">
        <f t="shared" ref="V5:V15" si="5">SUM(O5+Q5)+S5+U5</f>
        <v>175457.38099999999</v>
      </c>
      <c r="W5" s="117"/>
      <c r="X5" s="78"/>
    </row>
    <row r="6" spans="1:24" s="143" customFormat="1" ht="38.1" customHeight="1">
      <c r="A6" s="73" t="str">
        <f t="shared" si="0"/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34" t="s">
        <v>156</v>
      </c>
      <c r="L6" s="75" t="s">
        <v>117</v>
      </c>
      <c r="M6" s="133">
        <v>2.2829999999999999</v>
      </c>
      <c r="N6" s="131"/>
      <c r="O6" s="129">
        <f t="shared" si="1"/>
        <v>0</v>
      </c>
      <c r="P6" s="128">
        <v>487076</v>
      </c>
      <c r="Q6" s="129">
        <f t="shared" si="2"/>
        <v>928515.41417999985</v>
      </c>
      <c r="R6" s="130"/>
      <c r="S6" s="129">
        <f t="shared" si="3"/>
        <v>0</v>
      </c>
      <c r="T6" s="130"/>
      <c r="U6" s="129">
        <f t="shared" si="4"/>
        <v>0</v>
      </c>
      <c r="V6" s="77">
        <f t="shared" si="5"/>
        <v>928515.41417999985</v>
      </c>
      <c r="W6" s="117"/>
      <c r="X6" s="78"/>
    </row>
    <row r="7" spans="1:24" s="143" customFormat="1" ht="38.1" customHeight="1">
      <c r="A7" s="73" t="str">
        <f t="shared" si="0"/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34" t="s">
        <v>157</v>
      </c>
      <c r="L7" s="75" t="s">
        <v>117</v>
      </c>
      <c r="M7" s="133">
        <v>1.7430000000000001</v>
      </c>
      <c r="N7" s="131"/>
      <c r="O7" s="129">
        <f t="shared" si="1"/>
        <v>0</v>
      </c>
      <c r="P7" s="128">
        <v>487076</v>
      </c>
      <c r="Q7" s="129">
        <f t="shared" si="2"/>
        <v>708892.84577999997</v>
      </c>
      <c r="R7" s="130"/>
      <c r="S7" s="129">
        <f t="shared" si="3"/>
        <v>0</v>
      </c>
      <c r="T7" s="130"/>
      <c r="U7" s="129">
        <f t="shared" si="4"/>
        <v>0</v>
      </c>
      <c r="V7" s="77">
        <f t="shared" si="5"/>
        <v>708892.84577999997</v>
      </c>
      <c r="W7" s="117"/>
      <c r="X7" s="78"/>
    </row>
    <row r="8" spans="1:24" s="143" customFormat="1" ht="38.1" customHeight="1">
      <c r="A8" s="73" t="str">
        <f t="shared" si="0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"/>
        <v>429858</v>
      </c>
      <c r="P8" s="128"/>
      <c r="Q8" s="129">
        <f t="shared" si="2"/>
        <v>0</v>
      </c>
      <c r="R8" s="130"/>
      <c r="S8" s="129">
        <f t="shared" si="3"/>
        <v>0</v>
      </c>
      <c r="T8" s="130"/>
      <c r="U8" s="129">
        <f t="shared" si="4"/>
        <v>0</v>
      </c>
      <c r="V8" s="77">
        <f t="shared" si="5"/>
        <v>429858</v>
      </c>
      <c r="W8" s="117"/>
      <c r="X8" s="78"/>
    </row>
    <row r="9" spans="1:24" s="143" customFormat="1" ht="38.1" customHeight="1">
      <c r="A9" s="73" t="str">
        <f t="shared" si="0"/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158</v>
      </c>
      <c r="L9" s="75" t="s">
        <v>117</v>
      </c>
      <c r="M9" s="133">
        <v>0.64900000000000002</v>
      </c>
      <c r="N9" s="131"/>
      <c r="O9" s="129">
        <f t="shared" si="1"/>
        <v>0</v>
      </c>
      <c r="P9" s="128">
        <v>487076</v>
      </c>
      <c r="Q9" s="129">
        <f t="shared" si="2"/>
        <v>263953.79054000002</v>
      </c>
      <c r="R9" s="130"/>
      <c r="S9" s="129">
        <f t="shared" si="3"/>
        <v>0</v>
      </c>
      <c r="T9" s="130"/>
      <c r="U9" s="129">
        <f t="shared" si="4"/>
        <v>0</v>
      </c>
      <c r="V9" s="77">
        <f t="shared" si="5"/>
        <v>263953.79054000002</v>
      </c>
      <c r="W9" s="117"/>
      <c r="X9" s="78"/>
    </row>
    <row r="10" spans="1:24" s="143" customFormat="1" ht="38.1" customHeight="1">
      <c r="A10" s="73" t="str">
        <f t="shared" si="0"/>
        <v>M020412614110102</v>
      </c>
      <c r="B10" s="107"/>
      <c r="C10" s="107"/>
      <c r="D10" s="107"/>
      <c r="E10" s="107"/>
      <c r="F10" s="101"/>
      <c r="G10" s="74"/>
      <c r="H10" s="154" t="s">
        <v>137</v>
      </c>
      <c r="I10" s="101"/>
      <c r="J10" s="155" t="s">
        <v>136</v>
      </c>
      <c r="K10" s="155" t="s">
        <v>132</v>
      </c>
      <c r="L10" s="125" t="s">
        <v>131</v>
      </c>
      <c r="M10" s="133">
        <v>0.2</v>
      </c>
      <c r="N10" s="156">
        <v>65500</v>
      </c>
      <c r="O10" s="129">
        <f t="shared" si="1"/>
        <v>10938.5</v>
      </c>
      <c r="P10" s="128"/>
      <c r="Q10" s="129"/>
      <c r="R10" s="130"/>
      <c r="S10" s="129"/>
      <c r="T10" s="130"/>
      <c r="U10" s="129"/>
      <c r="V10" s="77">
        <f t="shared" si="5"/>
        <v>10938.5</v>
      </c>
      <c r="W10" s="117"/>
      <c r="X10" s="78"/>
    </row>
    <row r="11" spans="1:24" s="143" customFormat="1" ht="38.1" customHeight="1">
      <c r="A11" s="73" t="str">
        <f t="shared" si="0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"/>
        <v>0</v>
      </c>
      <c r="P11" s="128">
        <v>10432</v>
      </c>
      <c r="Q11" s="129">
        <f t="shared" si="2"/>
        <v>174214.39999999999</v>
      </c>
      <c r="R11" s="130"/>
      <c r="S11" s="129">
        <f t="shared" si="3"/>
        <v>0</v>
      </c>
      <c r="T11" s="130"/>
      <c r="U11" s="129">
        <f t="shared" si="4"/>
        <v>0</v>
      </c>
      <c r="V11" s="77">
        <f t="shared" si="5"/>
        <v>174214.39999999999</v>
      </c>
      <c r="W11" s="117"/>
      <c r="X11" s="78"/>
    </row>
    <row r="12" spans="1:24" s="143" customFormat="1" ht="38.1" customHeight="1">
      <c r="A12" s="73" t="str">
        <f t="shared" si="0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"/>
        <v>0</v>
      </c>
      <c r="P12" s="128">
        <v>6179</v>
      </c>
      <c r="Q12" s="129">
        <f t="shared" si="2"/>
        <v>103189.29999999999</v>
      </c>
      <c r="R12" s="130"/>
      <c r="S12" s="129">
        <f t="shared" si="3"/>
        <v>0</v>
      </c>
      <c r="T12" s="130"/>
      <c r="U12" s="129">
        <f t="shared" si="4"/>
        <v>0</v>
      </c>
      <c r="V12" s="77">
        <f t="shared" si="5"/>
        <v>103189.29999999999</v>
      </c>
      <c r="W12" s="117"/>
      <c r="X12" s="78"/>
    </row>
    <row r="13" spans="1:24" s="143" customFormat="1" ht="38.1" customHeight="1">
      <c r="A13" s="73" t="str">
        <f t="shared" si="0"/>
        <v>E00000801011510701</v>
      </c>
      <c r="B13" s="107"/>
      <c r="C13" s="107"/>
      <c r="D13" s="107"/>
      <c r="E13" s="107"/>
      <c r="F13" s="101"/>
      <c r="G13" s="74" t="s">
        <v>148</v>
      </c>
      <c r="H13" s="74"/>
      <c r="I13" s="101"/>
      <c r="J13" s="144" t="s">
        <v>146</v>
      </c>
      <c r="K13" s="144" t="s">
        <v>159</v>
      </c>
      <c r="L13" s="145" t="s">
        <v>147</v>
      </c>
      <c r="M13" s="133">
        <v>79</v>
      </c>
      <c r="N13" s="131"/>
      <c r="O13" s="129">
        <f t="shared" si="1"/>
        <v>0</v>
      </c>
      <c r="P13" s="153">
        <v>4966</v>
      </c>
      <c r="Q13" s="129">
        <f t="shared" si="2"/>
        <v>327582.19</v>
      </c>
      <c r="R13" s="130"/>
      <c r="S13" s="129">
        <f t="shared" si="3"/>
        <v>0</v>
      </c>
      <c r="T13" s="130"/>
      <c r="U13" s="129">
        <f t="shared" si="4"/>
        <v>0</v>
      </c>
      <c r="V13" s="77">
        <f t="shared" si="5"/>
        <v>327582.19</v>
      </c>
      <c r="W13" s="117"/>
      <c r="X13" s="78"/>
    </row>
    <row r="14" spans="1:24" s="143" customFormat="1" ht="38.1" customHeight="1">
      <c r="A14" s="73" t="str">
        <f t="shared" si="0"/>
        <v>M020251411670101</v>
      </c>
      <c r="B14" s="107"/>
      <c r="C14" s="107"/>
      <c r="D14" s="107"/>
      <c r="E14" s="107"/>
      <c r="F14" s="176"/>
      <c r="G14" s="177"/>
      <c r="H14" s="178" t="s">
        <v>160</v>
      </c>
      <c r="I14" s="179"/>
      <c r="J14" s="180" t="s">
        <v>161</v>
      </c>
      <c r="K14" s="181" t="s">
        <v>162</v>
      </c>
      <c r="L14" s="180" t="s">
        <v>163</v>
      </c>
      <c r="M14" s="133">
        <v>2</v>
      </c>
      <c r="N14" s="182">
        <v>5000</v>
      </c>
      <c r="O14" s="129">
        <f t="shared" si="1"/>
        <v>8350</v>
      </c>
      <c r="P14" s="128"/>
      <c r="Q14" s="76">
        <f t="shared" si="2"/>
        <v>0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8350</v>
      </c>
      <c r="W14" s="117"/>
      <c r="X14" s="78"/>
    </row>
    <row r="15" spans="1:24" s="143" customFormat="1" ht="38.1" customHeight="1">
      <c r="A15" s="73" t="str">
        <f t="shared" si="0"/>
        <v>L002</v>
      </c>
      <c r="B15" s="107"/>
      <c r="C15" s="107"/>
      <c r="D15" s="107"/>
      <c r="E15" s="107"/>
      <c r="F15" s="179"/>
      <c r="G15" s="183"/>
      <c r="H15" s="183"/>
      <c r="I15" s="101" t="s">
        <v>164</v>
      </c>
      <c r="J15" s="184" t="s">
        <v>165</v>
      </c>
      <c r="K15" s="134" t="s">
        <v>153</v>
      </c>
      <c r="L15" s="118" t="s">
        <v>166</v>
      </c>
      <c r="M15" s="133">
        <v>1</v>
      </c>
      <c r="N15" s="131"/>
      <c r="O15" s="129">
        <f t="shared" ref="O15" si="6">SUM(N15:N15)*M15*$O$2</f>
        <v>0</v>
      </c>
      <c r="P15" s="128">
        <v>167081</v>
      </c>
      <c r="Q15" s="129">
        <f t="shared" ref="Q15" si="7">M15*P15</f>
        <v>167081</v>
      </c>
      <c r="R15" s="130"/>
      <c r="S15" s="129">
        <f t="shared" si="3"/>
        <v>0</v>
      </c>
      <c r="T15" s="130"/>
      <c r="U15" s="129">
        <f t="shared" si="4"/>
        <v>0</v>
      </c>
      <c r="V15" s="77">
        <f t="shared" si="5"/>
        <v>167081</v>
      </c>
      <c r="W15" s="117"/>
      <c r="X15" s="78"/>
    </row>
    <row r="16" spans="1:24" s="151" customFormat="1" ht="38.1" customHeight="1">
      <c r="A16" s="146"/>
      <c r="B16" s="147"/>
      <c r="C16" s="147"/>
      <c r="D16" s="147"/>
      <c r="E16" s="147"/>
      <c r="F16" s="147"/>
      <c r="G16" s="147"/>
      <c r="H16" s="147"/>
      <c r="I16" s="147"/>
      <c r="J16" s="137"/>
      <c r="K16" s="137"/>
      <c r="L16" s="147"/>
      <c r="M16" s="147"/>
      <c r="N16" s="147"/>
      <c r="O16" s="148">
        <f>SUM(O5:O15)</f>
        <v>624603.88100000005</v>
      </c>
      <c r="P16" s="149"/>
      <c r="Q16" s="148">
        <f>SUM(Q5:Q15)</f>
        <v>2673428.9404999996</v>
      </c>
      <c r="R16" s="149"/>
      <c r="S16" s="148">
        <f>SUM(S5:S15)</f>
        <v>0</v>
      </c>
      <c r="T16" s="149"/>
      <c r="U16" s="148">
        <f>SUM(U5:U15)</f>
        <v>0</v>
      </c>
      <c r="V16" s="150">
        <f>SUM(V5:V15)</f>
        <v>3298032.8214999996</v>
      </c>
      <c r="W16" s="110"/>
      <c r="X16" s="1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4"/>
  <sheetViews>
    <sheetView topLeftCell="A6" zoomScaleNormal="100" workbookViewId="0">
      <selection activeCell="P27" sqref="P27"/>
    </sheetView>
  </sheetViews>
  <sheetFormatPr defaultColWidth="9" defaultRowHeight="14.25"/>
  <cols>
    <col min="1" max="1" width="22.625" style="100" customWidth="1"/>
    <col min="2" max="2" width="27.625" style="100" customWidth="1"/>
    <col min="3" max="3" width="5.75" style="100" customWidth="1"/>
    <col min="4" max="4" width="6.375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>
      <c r="A1" s="215" t="s">
        <v>59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</row>
    <row r="2" spans="1:15" ht="15" customHeight="1">
      <c r="A2" s="216" t="s">
        <v>60</v>
      </c>
      <c r="B2" s="217" t="s">
        <v>61</v>
      </c>
      <c r="C2" s="218" t="s">
        <v>47</v>
      </c>
      <c r="D2" s="218" t="s">
        <v>62</v>
      </c>
      <c r="E2" s="220" t="s">
        <v>63</v>
      </c>
      <c r="F2" s="217"/>
      <c r="G2" s="217" t="s">
        <v>64</v>
      </c>
      <c r="H2" s="217"/>
      <c r="I2" s="221" t="s">
        <v>65</v>
      </c>
      <c r="J2" s="222"/>
      <c r="K2" s="221" t="s">
        <v>66</v>
      </c>
      <c r="L2" s="222"/>
      <c r="M2" s="220" t="s">
        <v>67</v>
      </c>
      <c r="N2" s="217"/>
      <c r="O2" s="223" t="s">
        <v>68</v>
      </c>
    </row>
    <row r="3" spans="1:15" ht="15" customHeight="1">
      <c r="A3" s="216"/>
      <c r="B3" s="217"/>
      <c r="C3" s="219"/>
      <c r="D3" s="219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24"/>
    </row>
    <row r="4" spans="1:15" ht="15" customHeight="1">
      <c r="A4" s="213" t="s">
        <v>169</v>
      </c>
      <c r="B4" s="214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>
      <c r="A5" s="206" t="s">
        <v>72</v>
      </c>
      <c r="B5" s="82" t="s">
        <v>73</v>
      </c>
      <c r="C5" s="83" t="s">
        <v>74</v>
      </c>
      <c r="D5" s="160">
        <v>55</v>
      </c>
      <c r="E5" s="84">
        <v>1057</v>
      </c>
      <c r="F5" s="84">
        <f t="shared" ref="F5:F10" si="0">D5*E5</f>
        <v>58135</v>
      </c>
      <c r="G5" s="84">
        <v>8839.9</v>
      </c>
      <c r="H5" s="84">
        <f t="shared" ref="H5:H10" si="1">D5*G5</f>
        <v>486194.5</v>
      </c>
      <c r="I5" s="84"/>
      <c r="J5" s="84"/>
      <c r="K5" s="84"/>
      <c r="L5" s="84"/>
      <c r="M5" s="84"/>
      <c r="N5" s="84">
        <f>F5+H5+J5+L5</f>
        <v>544329.5</v>
      </c>
      <c r="O5" s="208"/>
    </row>
    <row r="6" spans="1:15" ht="15" customHeight="1">
      <c r="A6" s="207"/>
      <c r="B6" s="82" t="s">
        <v>75</v>
      </c>
      <c r="C6" s="83" t="s">
        <v>74</v>
      </c>
      <c r="D6" s="160">
        <v>37</v>
      </c>
      <c r="E6" s="84">
        <v>1057</v>
      </c>
      <c r="F6" s="84">
        <f t="shared" si="0"/>
        <v>39109</v>
      </c>
      <c r="G6" s="84">
        <v>11617.4</v>
      </c>
      <c r="H6" s="84">
        <f t="shared" si="1"/>
        <v>429843.8</v>
      </c>
      <c r="I6" s="84"/>
      <c r="J6" s="84"/>
      <c r="K6" s="84"/>
      <c r="L6" s="84"/>
      <c r="M6" s="84"/>
      <c r="N6" s="84">
        <f t="shared" ref="N6:N10" si="2">F6+H6+J6+L6</f>
        <v>468952.8</v>
      </c>
      <c r="O6" s="209"/>
    </row>
    <row r="7" spans="1:15" ht="15" customHeight="1">
      <c r="A7" s="207"/>
      <c r="B7" s="82" t="s">
        <v>76</v>
      </c>
      <c r="C7" s="83" t="s">
        <v>74</v>
      </c>
      <c r="D7" s="160">
        <v>30</v>
      </c>
      <c r="E7" s="84">
        <v>1057</v>
      </c>
      <c r="F7" s="84">
        <f t="shared" si="0"/>
        <v>31710</v>
      </c>
      <c r="G7" s="84">
        <v>8839.9</v>
      </c>
      <c r="H7" s="84">
        <f t="shared" si="1"/>
        <v>265197</v>
      </c>
      <c r="I7" s="84"/>
      <c r="J7" s="84"/>
      <c r="K7" s="84"/>
      <c r="L7" s="84"/>
      <c r="M7" s="84"/>
      <c r="N7" s="84">
        <f t="shared" si="2"/>
        <v>296907</v>
      </c>
      <c r="O7" s="209"/>
    </row>
    <row r="8" spans="1:15" ht="15" customHeight="1">
      <c r="A8" s="207"/>
      <c r="B8" s="82" t="s">
        <v>77</v>
      </c>
      <c r="C8" s="83" t="s">
        <v>74</v>
      </c>
      <c r="D8" s="160">
        <v>12</v>
      </c>
      <c r="E8" s="84">
        <v>1057</v>
      </c>
      <c r="F8" s="84">
        <f t="shared" si="0"/>
        <v>12684</v>
      </c>
      <c r="G8" s="84">
        <v>11617.4</v>
      </c>
      <c r="H8" s="84">
        <f t="shared" si="1"/>
        <v>139408.79999999999</v>
      </c>
      <c r="I8" s="84"/>
      <c r="J8" s="84"/>
      <c r="K8" s="84"/>
      <c r="L8" s="84"/>
      <c r="M8" s="84"/>
      <c r="N8" s="84">
        <f t="shared" si="2"/>
        <v>152092.79999999999</v>
      </c>
      <c r="O8" s="209"/>
    </row>
    <row r="9" spans="1:15" ht="15" customHeight="1">
      <c r="A9" s="207"/>
      <c r="B9" s="82" t="s">
        <v>78</v>
      </c>
      <c r="C9" s="83" t="s">
        <v>74</v>
      </c>
      <c r="D9" s="160">
        <v>20</v>
      </c>
      <c r="E9" s="84">
        <v>1057</v>
      </c>
      <c r="F9" s="84">
        <f t="shared" si="0"/>
        <v>21140</v>
      </c>
      <c r="G9" s="84">
        <v>8839.9</v>
      </c>
      <c r="H9" s="84">
        <f t="shared" si="1"/>
        <v>176798</v>
      </c>
      <c r="I9" s="84"/>
      <c r="J9" s="84"/>
      <c r="K9" s="84"/>
      <c r="L9" s="84"/>
      <c r="M9" s="84"/>
      <c r="N9" s="84">
        <f t="shared" si="2"/>
        <v>197938</v>
      </c>
      <c r="O9" s="209"/>
    </row>
    <row r="10" spans="1:15" ht="15" customHeight="1">
      <c r="A10" s="207"/>
      <c r="B10" s="82" t="s">
        <v>79</v>
      </c>
      <c r="C10" s="83" t="s">
        <v>74</v>
      </c>
      <c r="D10" s="160">
        <v>12</v>
      </c>
      <c r="E10" s="84">
        <v>1057</v>
      </c>
      <c r="F10" s="84">
        <f t="shared" si="0"/>
        <v>12684</v>
      </c>
      <c r="G10" s="84">
        <v>11617.4</v>
      </c>
      <c r="H10" s="84">
        <f t="shared" si="1"/>
        <v>139408.79999999999</v>
      </c>
      <c r="I10" s="84"/>
      <c r="J10" s="84"/>
      <c r="K10" s="84"/>
      <c r="L10" s="84"/>
      <c r="M10" s="84"/>
      <c r="N10" s="84">
        <f t="shared" si="2"/>
        <v>152092.79999999999</v>
      </c>
      <c r="O10" s="209"/>
    </row>
    <row r="11" spans="1:15" ht="15" customHeight="1">
      <c r="A11" s="111" t="s">
        <v>80</v>
      </c>
      <c r="B11" s="112"/>
      <c r="C11" s="113"/>
      <c r="D11" s="161">
        <f>SUM(D5:D10)</f>
        <v>166</v>
      </c>
      <c r="E11" s="114"/>
      <c r="F11" s="114">
        <f>SUM(F5:F10)</f>
        <v>175462</v>
      </c>
      <c r="G11" s="114"/>
      <c r="H11" s="114">
        <f>SUM(H5:H10)</f>
        <v>1636850.9000000001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1812312.9000000001</v>
      </c>
      <c r="O11" s="114"/>
    </row>
    <row r="12" spans="1:15" ht="15" customHeight="1">
      <c r="A12" s="210" t="s">
        <v>138</v>
      </c>
      <c r="B12" s="82" t="s">
        <v>81</v>
      </c>
      <c r="C12" s="83" t="s">
        <v>74</v>
      </c>
      <c r="D12" s="158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09"/>
    </row>
    <row r="13" spans="1:15" ht="15" customHeight="1">
      <c r="A13" s="210"/>
      <c r="B13" s="82" t="s">
        <v>82</v>
      </c>
      <c r="C13" s="83" t="s">
        <v>74</v>
      </c>
      <c r="D13" s="159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09"/>
    </row>
    <row r="14" spans="1:15" ht="15" customHeight="1">
      <c r="A14" s="210"/>
      <c r="B14" s="82" t="s">
        <v>83</v>
      </c>
      <c r="C14" s="83" t="s">
        <v>74</v>
      </c>
      <c r="D14" s="159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09"/>
    </row>
    <row r="15" spans="1:15" ht="15" customHeight="1">
      <c r="A15" s="102" t="s">
        <v>80</v>
      </c>
      <c r="B15" s="85"/>
      <c r="C15" s="89"/>
      <c r="D15" s="162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>
      <c r="A17" s="163" t="s">
        <v>135</v>
      </c>
      <c r="B17" s="126" t="s">
        <v>132</v>
      </c>
      <c r="C17" s="126" t="s">
        <v>131</v>
      </c>
      <c r="D17" s="115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>
      <c r="A18" s="205" t="s">
        <v>85</v>
      </c>
      <c r="B18" s="164" t="s">
        <v>86</v>
      </c>
      <c r="C18" s="165" t="s">
        <v>74</v>
      </c>
      <c r="D18" s="166">
        <v>20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84"/>
    </row>
    <row r="19" spans="1:15" ht="15" customHeight="1">
      <c r="A19" s="205"/>
      <c r="B19" s="90" t="s">
        <v>87</v>
      </c>
      <c r="C19" s="91" t="s">
        <v>74</v>
      </c>
      <c r="D19" s="92"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11" t="s">
        <v>171</v>
      </c>
    </row>
    <row r="20" spans="1:15" ht="15" customHeight="1">
      <c r="A20" s="205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2"/>
    </row>
    <row r="21" spans="1:15" ht="15" customHeight="1">
      <c r="A21" s="205"/>
      <c r="B21" s="164" t="s">
        <v>87</v>
      </c>
      <c r="C21" s="165" t="s">
        <v>74</v>
      </c>
      <c r="D21" s="166">
        <v>20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84"/>
    </row>
    <row r="22" spans="1:15" ht="15" customHeight="1">
      <c r="A22" s="127" t="s">
        <v>133</v>
      </c>
      <c r="B22" s="168" t="s">
        <v>134</v>
      </c>
      <c r="C22" s="168" t="s">
        <v>131</v>
      </c>
      <c r="D22" s="169">
        <v>0.2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84"/>
    </row>
    <row r="23" spans="1:15" ht="15" customHeight="1">
      <c r="A23" s="205" t="s">
        <v>89</v>
      </c>
      <c r="B23" s="164" t="s">
        <v>90</v>
      </c>
      <c r="C23" s="165" t="s">
        <v>74</v>
      </c>
      <c r="D23" s="166">
        <v>10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84"/>
    </row>
    <row r="24" spans="1:15" ht="15" customHeight="1">
      <c r="A24" s="205"/>
      <c r="B24" s="164" t="s">
        <v>91</v>
      </c>
      <c r="C24" s="165" t="s">
        <v>74</v>
      </c>
      <c r="D24" s="166">
        <v>10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84"/>
    </row>
    <row r="25" spans="1:15" ht="15" customHeight="1">
      <c r="A25" s="205" t="s">
        <v>92</v>
      </c>
      <c r="B25" s="164" t="s">
        <v>90</v>
      </c>
      <c r="C25" s="165" t="s">
        <v>74</v>
      </c>
      <c r="D25" s="166">
        <v>2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84"/>
    </row>
    <row r="26" spans="1:15" ht="15" customHeight="1">
      <c r="A26" s="205"/>
      <c r="B26" s="164" t="s">
        <v>93</v>
      </c>
      <c r="C26" s="165" t="s">
        <v>74</v>
      </c>
      <c r="D26" s="166">
        <v>2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84"/>
    </row>
    <row r="27" spans="1:15" ht="15" customHeight="1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>
      <c r="A30" s="170" t="s">
        <v>150</v>
      </c>
      <c r="B30" s="171"/>
      <c r="C30" s="171"/>
      <c r="D30" s="171"/>
      <c r="E30" s="172"/>
      <c r="F30" s="172"/>
      <c r="G30" s="172"/>
      <c r="H30" s="172"/>
      <c r="I30" s="173"/>
      <c r="J30" s="173"/>
      <c r="K30" s="173"/>
      <c r="L30" s="173"/>
      <c r="M30" s="173"/>
      <c r="N30" s="173"/>
      <c r="O30" s="173"/>
    </row>
    <row r="31" spans="1:15" ht="21.75" customHeight="1">
      <c r="A31" s="203" t="s">
        <v>170</v>
      </c>
      <c r="B31" s="174" t="s">
        <v>151</v>
      </c>
      <c r="C31" s="171" t="s">
        <v>152</v>
      </c>
      <c r="D31" s="171">
        <v>2</v>
      </c>
      <c r="E31" s="172">
        <v>4175</v>
      </c>
      <c r="F31" s="172">
        <f>D31*E31</f>
        <v>8350</v>
      </c>
      <c r="G31" s="175"/>
      <c r="H31" s="172">
        <f t="shared" ref="H31:H32" si="8">D31*G31</f>
        <v>0</v>
      </c>
      <c r="I31" s="173"/>
      <c r="J31" s="173"/>
      <c r="K31" s="173"/>
      <c r="L31" s="173"/>
      <c r="M31" s="173"/>
      <c r="N31" s="119">
        <f t="shared" ref="N31:N32" si="9">F31+H31+J31+L31</f>
        <v>8350</v>
      </c>
      <c r="O31" s="173"/>
    </row>
    <row r="32" spans="1:15" ht="46.5" customHeight="1">
      <c r="A32" s="204"/>
      <c r="B32" s="171" t="s">
        <v>153</v>
      </c>
      <c r="C32" s="171" t="s">
        <v>154</v>
      </c>
      <c r="D32" s="171">
        <v>1</v>
      </c>
      <c r="E32" s="172"/>
      <c r="F32" s="172"/>
      <c r="G32" s="175">
        <v>167081</v>
      </c>
      <c r="H32" s="172">
        <f t="shared" si="8"/>
        <v>167081</v>
      </c>
      <c r="I32" s="173"/>
      <c r="J32" s="173"/>
      <c r="K32" s="173"/>
      <c r="L32" s="173"/>
      <c r="M32" s="173"/>
      <c r="N32" s="119">
        <f t="shared" si="9"/>
        <v>167081</v>
      </c>
      <c r="O32" s="173"/>
    </row>
    <row r="33" spans="1:15" ht="15" customHeight="1">
      <c r="A33" s="102" t="s">
        <v>80</v>
      </c>
      <c r="B33" s="85"/>
      <c r="C33" s="86"/>
      <c r="D33" s="96"/>
      <c r="E33" s="98"/>
      <c r="F33" s="99">
        <f>SUM(F31:F32)</f>
        <v>8350</v>
      </c>
      <c r="G33" s="99"/>
      <c r="H33" s="99">
        <f>SUM(H31:H32)</f>
        <v>167081</v>
      </c>
      <c r="I33" s="98"/>
      <c r="J33" s="99">
        <f>SUM(J31:J32)</f>
        <v>0</v>
      </c>
      <c r="K33" s="98"/>
      <c r="L33" s="99">
        <f>SUM(L31:L32)</f>
        <v>0</v>
      </c>
      <c r="M33" s="98"/>
      <c r="N33" s="99">
        <f>SUM(N31:N32)</f>
        <v>175431</v>
      </c>
      <c r="O33" s="98"/>
    </row>
    <row r="34" spans="1:15" ht="15" customHeight="1">
      <c r="A34" s="102" t="s">
        <v>130</v>
      </c>
      <c r="B34" s="85"/>
      <c r="C34" s="86"/>
      <c r="D34" s="96"/>
      <c r="E34" s="98"/>
      <c r="F34" s="99">
        <f>F11+F15+F27+F29+F33</f>
        <v>625694.1</v>
      </c>
      <c r="G34" s="99"/>
      <c r="H34" s="99">
        <f>H11+H15+H27+H29+H33</f>
        <v>2673668.4700000002</v>
      </c>
      <c r="I34" s="98"/>
      <c r="J34" s="99">
        <f>J11+J15+J27+J29+J33</f>
        <v>0</v>
      </c>
      <c r="K34" s="98"/>
      <c r="L34" s="99">
        <f>L11+L15+L27+L29+L33</f>
        <v>0</v>
      </c>
      <c r="M34" s="98"/>
      <c r="N34" s="99">
        <f>N11+N15+N27+N29+N33</f>
        <v>3299362.5700000003</v>
      </c>
      <c r="O34" s="98"/>
    </row>
  </sheetData>
  <mergeCells count="2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1:A32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L33" sqref="L33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10.054</v>
      </c>
    </row>
    <row r="3" spans="1:6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2.2829999999999999</v>
      </c>
    </row>
    <row r="4" spans="1:6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1.7430000000000001</v>
      </c>
    </row>
    <row r="5" spans="1:6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  <row r="11" spans="1:6">
      <c r="A11" s="105" t="str">
        <f>'내역서(표준단가)'!A14</f>
        <v>M020251411670101</v>
      </c>
      <c r="B11" s="106">
        <f>'내역서(표준단가)'!F14</f>
        <v>0</v>
      </c>
      <c r="C11" s="106">
        <f>'내역서(표준단가)'!G14</f>
        <v>0</v>
      </c>
      <c r="D11" s="106" t="str">
        <f>'내역서(표준단가)'!H14</f>
        <v>M020251411670101</v>
      </c>
      <c r="E11" s="106">
        <f>'내역서(표준단가)'!I14</f>
        <v>0</v>
      </c>
      <c r="F11" s="116">
        <f>'내역서(표준단가)'!M14</f>
        <v>2</v>
      </c>
    </row>
    <row r="12" spans="1:6">
      <c r="A12" s="105" t="str">
        <f>'내역서(표준단가)'!A15</f>
        <v>L002</v>
      </c>
      <c r="B12" s="106">
        <f>'내역서(표준단가)'!F15</f>
        <v>0</v>
      </c>
      <c r="C12" s="106">
        <f>'내역서(표준단가)'!G15</f>
        <v>0</v>
      </c>
      <c r="D12" s="106">
        <f>'내역서(표준단가)'!H15</f>
        <v>0</v>
      </c>
      <c r="E12" s="106" t="str">
        <f>'내역서(표준단가)'!I15</f>
        <v>L002</v>
      </c>
      <c r="F12" s="116">
        <f>'내역서(표준단가)'!M15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2025-09-25T06:07:23Z</dcterms:modified>
</cp:coreProperties>
</file>
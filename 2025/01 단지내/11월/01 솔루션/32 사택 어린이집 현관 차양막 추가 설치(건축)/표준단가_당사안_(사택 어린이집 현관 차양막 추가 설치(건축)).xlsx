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916\06 작업폴더\01 사택 어린이집 현관 차양막 추가 설치(건축)\"/>
    </mc:Choice>
  </mc:AlternateContent>
  <xr:revisionPtr revIDLastSave="0" documentId="13_ncr:1_{CC6CCBD6-68E1-48E3-A936-87481872E3C3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갑지" sheetId="5" r:id="rId1"/>
    <sheet name="내역서(표준단가)" sheetId="4" r:id="rId2"/>
    <sheet name="upload(시중가)" sheetId="6" r:id="rId3"/>
    <sheet name="시중가 근거서류" sheetId="7" r:id="rId4"/>
    <sheet name="Upload" sheetId="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E3" i="1"/>
  <c r="D3" i="1"/>
  <c r="C3" i="1"/>
  <c r="B3" i="1"/>
  <c r="F2" i="1"/>
  <c r="E2" i="1"/>
  <c r="D2" i="1"/>
  <c r="C2" i="1"/>
  <c r="B2" i="1"/>
  <c r="O7" i="4"/>
  <c r="U7" i="4"/>
  <c r="S7" i="4"/>
  <c r="Q7" i="4"/>
  <c r="U6" i="4"/>
  <c r="S6" i="4"/>
  <c r="Q6" i="4"/>
  <c r="O6" i="4"/>
  <c r="A6" i="4"/>
  <c r="A3" i="1" s="1"/>
  <c r="U5" i="4"/>
  <c r="S5" i="4"/>
  <c r="Q5" i="4"/>
  <c r="O5" i="4"/>
  <c r="A5" i="4"/>
  <c r="A2" i="1" s="1"/>
  <c r="O8" i="4"/>
  <c r="Q8" i="4"/>
  <c r="S8" i="4"/>
  <c r="U8" i="4"/>
  <c r="V7" i="4" l="1"/>
  <c r="V8" i="4"/>
  <c r="V5" i="4"/>
  <c r="V6" i="4"/>
  <c r="U9" i="4" l="1"/>
  <c r="Q9" i="4"/>
  <c r="S9" i="4" l="1"/>
  <c r="V9" i="4" l="1"/>
  <c r="F18" i="5" l="1"/>
  <c r="O9" i="4" l="1"/>
  <c r="F17" i="5" l="1"/>
  <c r="F16" i="5"/>
  <c r="F26" i="5" l="1"/>
  <c r="F19" i="5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<sst xmlns="http://schemas.openxmlformats.org/spreadsheetml/2006/main" count="134" uniqueCount="112">
  <si>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</si>
  <si>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</si>
  <si>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</si>
  <si>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</si>
  <si>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</si>
  <si>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</si>
  <si>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3" type="noConversion"/>
  </si>
  <si>
    <t xml:space="preserve">금액: </t>
    <phoneticPr fontId="13" type="noConversion"/>
  </si>
  <si>
    <t>원정</t>
    <phoneticPr fontId="15" type="noConversion"/>
  </si>
  <si>
    <t xml:space="preserve">  </t>
  </si>
  <si>
    <t>NO</t>
  </si>
  <si>
    <t>품명</t>
    <phoneticPr fontId="15" type="noConversion"/>
  </si>
  <si>
    <t>규격</t>
    <phoneticPr fontId="15" type="noConversion"/>
  </si>
  <si>
    <t>수량</t>
    <phoneticPr fontId="15" type="noConversion"/>
  </si>
  <si>
    <t>단위</t>
    <phoneticPr fontId="15" type="noConversion"/>
  </si>
  <si>
    <t>금액</t>
    <phoneticPr fontId="15" type="noConversion"/>
  </si>
  <si>
    <t>비고</t>
    <phoneticPr fontId="15" type="noConversion"/>
  </si>
  <si>
    <t>직접비</t>
    <phoneticPr fontId="13" type="noConversion"/>
  </si>
  <si>
    <t>재료비</t>
    <phoneticPr fontId="13" type="noConversion"/>
  </si>
  <si>
    <t>노무비</t>
    <phoneticPr fontId="15" type="noConversion"/>
  </si>
  <si>
    <t>기계/기타경비</t>
    <phoneticPr fontId="13" type="noConversion"/>
  </si>
  <si>
    <t>소계</t>
    <phoneticPr fontId="13" type="noConversion"/>
  </si>
  <si>
    <t>간접비</t>
    <phoneticPr fontId="13" type="noConversion"/>
  </si>
  <si>
    <t>  국민연금</t>
    <phoneticPr fontId="15" type="noConversion"/>
  </si>
  <si>
    <t> 노무비*4.5%</t>
    <phoneticPr fontId="15" type="noConversion"/>
  </si>
  <si>
    <t>식</t>
    <phoneticPr fontId="15" type="noConversion"/>
  </si>
  <si>
    <t>모든공사에 적용</t>
    <phoneticPr fontId="15" type="noConversion"/>
  </si>
  <si>
    <t>  건강보험료</t>
    <phoneticPr fontId="15" type="noConversion"/>
  </si>
  <si>
    <t>모든공사에 적용</t>
    <phoneticPr fontId="15" type="noConversion"/>
  </si>
  <si>
    <t>  장기요양보험료</t>
    <phoneticPr fontId="15" type="noConversion"/>
  </si>
  <si>
    <t>  고용보험료</t>
    <phoneticPr fontId="15" type="noConversion"/>
  </si>
  <si>
    <t>  산재보험료</t>
    <phoneticPr fontId="15" type="noConversion"/>
  </si>
  <si>
    <t xml:space="preserve">  산업안전보건관리비</t>
    <phoneticPr fontId="15" type="noConversion"/>
  </si>
  <si>
    <t>소계</t>
    <phoneticPr fontId="13" type="noConversion"/>
  </si>
  <si>
    <t>합계(단수조정)</t>
    <phoneticPr fontId="13" type="noConversion"/>
  </si>
  <si>
    <t>VAT별도</t>
    <phoneticPr fontId="15" type="noConversion"/>
  </si>
  <si>
    <t> (재료비+노무비)*2.93%</t>
    <phoneticPr fontId="15" type="noConversion"/>
  </si>
  <si>
    <t>일반관리비/이윤</t>
    <phoneticPr fontId="15" type="noConversion"/>
  </si>
  <si>
    <t> (노무비+간접공사비)*5%</t>
    <phoneticPr fontId="15" type="noConversion"/>
  </si>
  <si>
    <t>등록번호</t>
    <phoneticPr fontId="9" type="noConversion"/>
  </si>
  <si>
    <t>종 목</t>
    <phoneticPr fontId="9" type="noConversion"/>
  </si>
  <si>
    <t>TEL, FAX</t>
    <phoneticPr fontId="9" type="noConversion"/>
  </si>
  <si>
    <t>상 호</t>
    <phoneticPr fontId="9" type="noConversion"/>
  </si>
  <si>
    <t>대표 이사</t>
    <phoneticPr fontId="9" type="noConversion"/>
  </si>
  <si>
    <t>사업장</t>
    <phoneticPr fontId="9" type="noConversion"/>
  </si>
  <si>
    <t>업 태</t>
    <phoneticPr fontId="9" type="noConversion"/>
  </si>
  <si>
    <t>할증기준</t>
    <phoneticPr fontId="7" type="noConversion"/>
  </si>
  <si>
    <t> 노무비*1.01%</t>
    <phoneticPr fontId="15" type="noConversion"/>
  </si>
  <si>
    <t>단위</t>
  </si>
  <si>
    <t xml:space="preserve"> 수신인 : 주식회사 에스엔아이 코퍼레이션</t>
    <phoneticPr fontId="13" type="noConversion"/>
  </si>
  <si>
    <t> 노무비*3.545%</t>
    <phoneticPr fontId="15" type="noConversion"/>
  </si>
  <si>
    <t> 건강보험료*12.95%</t>
    <phoneticPr fontId="15" type="noConversion"/>
  </si>
  <si>
    <t> 노무비*3.56%</t>
    <phoneticPr fontId="15" type="noConversion"/>
  </si>
  <si>
    <t>314-86-35718</t>
    <phoneticPr fontId="7" type="noConversion"/>
  </si>
  <si>
    <t>㈜일성건축</t>
    <phoneticPr fontId="7" type="noConversion"/>
  </si>
  <si>
    <t>상 석 희</t>
    <phoneticPr fontId="7" type="noConversion"/>
  </si>
  <si>
    <t>대전 서구 도마6길 107 (도마동)</t>
    <phoneticPr fontId="7" type="noConversion"/>
  </si>
  <si>
    <t>건설업</t>
    <phoneticPr fontId="7" type="noConversion"/>
  </si>
  <si>
    <t>실내건축,인테리어공사</t>
    <phoneticPr fontId="7" type="noConversion"/>
  </si>
  <si>
    <t>042)527-0995, 042)527-0996</t>
    <phoneticPr fontId="7" type="noConversion"/>
  </si>
  <si>
    <t>인</t>
    <phoneticPr fontId="7" type="noConversion"/>
  </si>
  <si>
    <t>L002</t>
  </si>
  <si>
    <t>▼낙찰율</t>
    <phoneticPr fontId="9" type="noConversion"/>
  </si>
  <si>
    <t>▶ 표준 Code(표준단가/품셈/물정/노임) 순서별 입력(Upload 자동반영)</t>
    <phoneticPr fontId="7" type="noConversion"/>
  </si>
  <si>
    <t>주요내역</t>
    <phoneticPr fontId="7" type="noConversion"/>
  </si>
  <si>
    <t>재료비</t>
    <phoneticPr fontId="9" type="noConversion"/>
  </si>
  <si>
    <t>노무비</t>
    <phoneticPr fontId="9" type="noConversion"/>
  </si>
  <si>
    <t>기계경비</t>
  </si>
  <si>
    <t>기타경비(부자재비)</t>
  </si>
  <si>
    <t>합계</t>
    <phoneticPr fontId="9" type="noConversion"/>
  </si>
  <si>
    <t>노무비 할증</t>
    <phoneticPr fontId="7" type="noConversion"/>
  </si>
  <si>
    <t>합계</t>
    <phoneticPr fontId="7" type="noConversion"/>
  </si>
  <si>
    <t>표준단가 D</t>
    <phoneticPr fontId="7" type="noConversion"/>
  </si>
  <si>
    <t>표준품셈 E</t>
    <phoneticPr fontId="7" type="noConversion"/>
  </si>
  <si>
    <t>물가정보 M</t>
    <phoneticPr fontId="7" type="noConversion"/>
  </si>
  <si>
    <t>노임단가 L</t>
    <phoneticPr fontId="7" type="noConversion"/>
  </si>
  <si>
    <t>품목</t>
    <phoneticPr fontId="7" type="noConversion"/>
  </si>
  <si>
    <t>규격</t>
    <phoneticPr fontId="7" type="noConversion"/>
  </si>
  <si>
    <t>품셈/표단</t>
    <phoneticPr fontId="7" type="noConversion"/>
  </si>
  <si>
    <t>금액</t>
  </si>
  <si>
    <t>단가</t>
    <phoneticPr fontId="9" type="noConversion"/>
  </si>
  <si>
    <t>단가</t>
  </si>
  <si>
    <t>L003</t>
    <phoneticPr fontId="7" type="noConversion"/>
  </si>
  <si>
    <t>표준내역코드</t>
  </si>
  <si>
    <t>세부공종</t>
  </si>
  <si>
    <t>품명</t>
  </si>
  <si>
    <t>규격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</si>
  <si>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</si>
  <si>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</si>
  <si>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</si>
  <si>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</si>
  <si>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</si>
  <si>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</si>
  <si>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</si>
  <si>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</si>
  <si>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</si>
  <si>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</si>
  <si>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</si>
  <si>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</si>
  <si>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>영선,건축</t>
    <phoneticPr fontId="7" type="noConversion"/>
  </si>
  <si>
    <t>SET</t>
    <phoneticPr fontId="7" type="noConversion"/>
  </si>
  <si>
    <t>특별인부, 접이식 어닝 설치</t>
    <phoneticPr fontId="7" type="noConversion"/>
  </si>
  <si>
    <t>set</t>
    <phoneticPr fontId="7" type="noConversion"/>
  </si>
  <si>
    <t>보통인부, 접이식 어닝 설치</t>
    <phoneticPr fontId="7" type="noConversion"/>
  </si>
  <si>
    <t xml:space="preserve"> 공사명 : 사택 어린이집 현관 옆 보도 전동 차양막 설치 </t>
    <phoneticPr fontId="13" type="noConversion"/>
  </si>
  <si>
    <t xml:space="preserve"> 견적일 : 2025년  09월  12일</t>
    <phoneticPr fontId="13" type="noConversion"/>
  </si>
  <si>
    <t xml:space="preserve">  전문업체 견적서 첨부</t>
    <phoneticPr fontId="7" type="noConversion"/>
  </si>
  <si>
    <t>특별인부 2인, 시중노임단가</t>
    <phoneticPr fontId="7" type="noConversion"/>
  </si>
  <si>
    <t>사다리 보조자 1인, 시중노임단가</t>
    <phoneticPr fontId="7" type="noConversion"/>
  </si>
  <si>
    <t>전동 접이식 어닝</t>
    <phoneticPr fontId="7" type="noConversion"/>
  </si>
  <si>
    <t>전동 접이식 어닝, 5.6m*1.5m*2ea+2채널 리모컨</t>
    <phoneticPr fontId="7" type="noConversion"/>
  </si>
  <si>
    <t>5.6m*1.5m*2ea+2채널 리모컨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</si>
</sst>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_(* #,##0_);_(* \(#,##0\);_(* &quot;-&quot;_);_(@_)"/>
    <numFmt numFmtId="177" formatCode="_(&quot;₩&quot;* #,##0_);_(&quot;₩&quot;* \(#,##0\);_(&quot;₩&quot;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_-* #,##0.0_-;\-* #,##0.0_-;_-* &quot;-&quot;_-;_-@_-"/>
    <numFmt numFmtId="184" formatCode="#,###,###,###"/>
    <numFmt numFmtId="185" formatCode="###,###,###,##0"/>
    <numFmt numFmtId="186" formatCode="#,##0.0_);\(#,##0.0\)"/>
  </numFmts>
  <fonts count="4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11"/>
      <color rgb="FF000000"/>
      <name val="맑은 고딕"/>
      <family val="2"/>
      <scheme val="minor"/>
    </font>
    <font>
      <sz val="9"/>
      <color rgb="FF000000"/>
      <name val="LG스마트체 Regular"/>
      <family val="3"/>
      <charset val="129"/>
    </font>
    <font>
      <sz val="10"/>
      <name val="맑은 고딕"/>
      <family val="3"/>
      <charset val="129"/>
    </font>
    <font>
      <sz val="9"/>
      <color rgb="FF000000"/>
      <name val="Arial"/>
      <family val="2"/>
    </font>
    <font>
      <b/>
      <sz val="10"/>
      <color rgb="FF000000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9"/>
      <color indexed="8"/>
      <name val="Malgun Gothic"/>
      <family val="3"/>
      <charset val="129"/>
    </font>
    <font>
      <sz val="9"/>
      <color rgb="FF000000"/>
      <name val="Malgun Gothic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0"/>
      <color indexed="8"/>
      <name val="맑은 고딕"/>
      <family val="2"/>
      <scheme val="minor"/>
    </font>
    <font>
      <sz val="10"/>
      <name val="Arial"/>
      <family val="2"/>
    </font>
    <font>
      <sz val="10"/>
      <name val="맑은 고딕"/>
      <family val="2"/>
      <scheme val="minor"/>
    </font>
    <font>
      <sz val="9"/>
      <name val="Malgun Gothic"/>
      <family val="3"/>
      <charset val="129"/>
    </font>
    <font>
      <sz val="10"/>
      <name val="Malgun Gothic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</borders>
  <cellStyleXfs count="22">
    <xf numFmtId="0" fontId="0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0" fillId="0" borderId="0"/>
    <xf numFmtId="176" fontId="6" fillId="0" borderId="0" applyFont="0" applyFill="0" applyBorder="0" applyAlignment="0" applyProtection="0">
      <alignment vertical="center"/>
    </xf>
    <xf numFmtId="178" fontId="11" fillId="0" borderId="0" applyFont="0" applyFill="0" applyBorder="0" applyAlignment="0" applyProtection="0"/>
    <xf numFmtId="0" fontId="12" fillId="0" borderId="0"/>
    <xf numFmtId="180" fontId="12" fillId="0" borderId="0" applyFont="0" applyFill="0" applyBorder="0" applyAlignment="0" applyProtection="0"/>
    <xf numFmtId="0" fontId="6" fillId="0" borderId="0">
      <alignment vertical="center"/>
    </xf>
    <xf numFmtId="9" fontId="11" fillId="0" borderId="0" applyFont="0" applyFill="0" applyBorder="0" applyAlignment="0" applyProtection="0"/>
    <xf numFmtId="0" fontId="10" fillId="0" borderId="0"/>
    <xf numFmtId="0" fontId="19" fillId="0" borderId="0"/>
    <xf numFmtId="177" fontId="19" fillId="0" borderId="0" applyFont="0" applyFill="0" applyBorder="0" applyAlignment="0" applyProtection="0"/>
    <xf numFmtId="176" fontId="19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49">
    <xf numFmtId="0" fontId="0" fillId="0" borderId="0" xfId="0">
      <alignment vertical="center"/>
    </xf>
    <xf numFmtId="0" fontId="14" fillId="0" borderId="7" xfId="6" applyFont="1" applyBorder="1" applyAlignment="1">
      <alignment horizontal="right" vertical="center"/>
    </xf>
    <xf numFmtId="0" fontId="20" fillId="0" borderId="0" xfId="6" applyFont="1" applyAlignment="1">
      <alignment vertical="center"/>
    </xf>
    <xf numFmtId="0" fontId="21" fillId="0" borderId="0" xfId="3" applyFont="1"/>
    <xf numFmtId="0" fontId="22" fillId="0" borderId="0" xfId="3" applyFont="1"/>
    <xf numFmtId="0" fontId="23" fillId="0" borderId="0" xfId="6" applyFont="1" applyAlignment="1">
      <alignment vertical="center"/>
    </xf>
    <xf numFmtId="0" fontId="14" fillId="0" borderId="4" xfId="6" applyFont="1" applyBorder="1" applyAlignment="1">
      <alignment vertical="center"/>
    </xf>
    <xf numFmtId="0" fontId="23" fillId="0" borderId="5" xfId="6" applyFont="1" applyBorder="1" applyAlignment="1">
      <alignment horizontal="center" vertical="center"/>
    </xf>
    <xf numFmtId="0" fontId="14" fillId="0" borderId="6" xfId="6" applyFont="1" applyBorder="1" applyAlignment="1">
      <alignment horizontal="right" vertical="center"/>
    </xf>
    <xf numFmtId="0" fontId="14" fillId="5" borderId="25" xfId="6" applyFont="1" applyFill="1" applyBorder="1" applyAlignment="1">
      <alignment horizontal="center" vertical="center"/>
    </xf>
    <xf numFmtId="0" fontId="14" fillId="5" borderId="26" xfId="6" applyFont="1" applyFill="1" applyBorder="1" applyAlignment="1">
      <alignment vertical="center" shrinkToFit="1"/>
    </xf>
    <xf numFmtId="0" fontId="14" fillId="5" borderId="2" xfId="6" applyFont="1" applyFill="1" applyBorder="1" applyAlignment="1">
      <alignment horizontal="center" vertical="center"/>
    </xf>
    <xf numFmtId="0" fontId="14" fillId="5" borderId="27" xfId="6" applyFont="1" applyFill="1" applyBorder="1" applyAlignment="1">
      <alignment vertical="center" shrinkToFit="1"/>
    </xf>
    <xf numFmtId="0" fontId="24" fillId="0" borderId="0" xfId="6" applyFont="1" applyAlignment="1">
      <alignment vertical="center" shrinkToFit="1"/>
    </xf>
    <xf numFmtId="0" fontId="14" fillId="5" borderId="2" xfId="6" applyFont="1" applyFill="1" applyBorder="1" applyAlignment="1">
      <alignment horizontal="center" vertical="center" shrinkToFit="1"/>
    </xf>
    <xf numFmtId="0" fontId="14" fillId="0" borderId="2" xfId="6" applyFont="1" applyBorder="1" applyAlignment="1">
      <alignment horizontal="center" vertical="center"/>
    </xf>
    <xf numFmtId="0" fontId="14" fillId="0" borderId="27" xfId="6" applyFont="1" applyBorder="1" applyAlignment="1">
      <alignment vertical="center"/>
    </xf>
    <xf numFmtId="0" fontId="23" fillId="0" borderId="0" xfId="6" applyFont="1" applyAlignment="1">
      <alignment horizontal="center" vertical="center" shrinkToFit="1"/>
    </xf>
    <xf numFmtId="0" fontId="14" fillId="0" borderId="28" xfId="6" applyFont="1" applyBorder="1" applyAlignment="1">
      <alignment horizontal="center" vertical="center" shrinkToFit="1"/>
    </xf>
    <xf numFmtId="0" fontId="14" fillId="0" borderId="29" xfId="6" applyFont="1" applyBorder="1" applyAlignment="1">
      <alignment vertical="center" shrinkToFit="1"/>
    </xf>
    <xf numFmtId="0" fontId="24" fillId="0" borderId="7" xfId="6" applyFont="1" applyBorder="1" applyAlignment="1">
      <alignment vertical="center"/>
    </xf>
    <xf numFmtId="179" fontId="23" fillId="0" borderId="7" xfId="6" applyNumberFormat="1" applyFont="1" applyBorder="1" applyAlignment="1">
      <alignment vertical="center"/>
    </xf>
    <xf numFmtId="0" fontId="23" fillId="0" borderId="0" xfId="6" applyFont="1" applyAlignment="1">
      <alignment vertical="center" shrinkToFit="1"/>
    </xf>
    <xf numFmtId="0" fontId="14" fillId="0" borderId="8" xfId="6" applyFont="1" applyBorder="1" applyAlignment="1">
      <alignment horizontal="center" vertical="center"/>
    </xf>
    <xf numFmtId="0" fontId="14" fillId="0" borderId="9" xfId="6" applyFont="1" applyBorder="1" applyAlignment="1">
      <alignment horizontal="center" vertical="center"/>
    </xf>
    <xf numFmtId="0" fontId="14" fillId="0" borderId="10" xfId="6" applyFont="1" applyBorder="1" applyAlignment="1">
      <alignment horizontal="center" vertical="center"/>
    </xf>
    <xf numFmtId="0" fontId="25" fillId="0" borderId="11" xfId="6" applyFont="1" applyBorder="1" applyAlignment="1">
      <alignment horizontal="center" vertical="center"/>
    </xf>
    <xf numFmtId="0" fontId="14" fillId="0" borderId="12" xfId="6" applyFont="1" applyBorder="1" applyAlignment="1">
      <alignment vertical="center"/>
    </xf>
    <xf numFmtId="0" fontId="25" fillId="0" borderId="12" xfId="6" applyFont="1" applyBorder="1" applyAlignment="1">
      <alignment vertical="center"/>
    </xf>
    <xf numFmtId="1" fontId="25" fillId="0" borderId="12" xfId="6" applyNumberFormat="1" applyFont="1" applyBorder="1" applyAlignment="1">
      <alignment horizontal="center" vertical="center"/>
    </xf>
    <xf numFmtId="180" fontId="25" fillId="0" borderId="12" xfId="7" applyFont="1" applyBorder="1" applyAlignment="1">
      <alignment horizontal="right" vertical="center"/>
    </xf>
    <xf numFmtId="0" fontId="25" fillId="0" borderId="13" xfId="6" applyFont="1" applyBorder="1" applyAlignment="1">
      <alignment vertical="center"/>
    </xf>
    <xf numFmtId="0" fontId="25" fillId="0" borderId="14" xfId="6" applyFont="1" applyBorder="1" applyAlignment="1">
      <alignment horizontal="center" vertical="center"/>
    </xf>
    <xf numFmtId="0" fontId="25" fillId="0" borderId="15" xfId="6" applyFont="1" applyBorder="1" applyAlignment="1">
      <alignment horizontal="center" vertical="center"/>
    </xf>
    <xf numFmtId="0" fontId="25" fillId="0" borderId="15" xfId="3" applyFont="1" applyBorder="1" applyAlignment="1">
      <alignment horizontal="center" vertical="center"/>
    </xf>
    <xf numFmtId="1" fontId="25" fillId="0" borderId="15" xfId="6" applyNumberFormat="1" applyFont="1" applyBorder="1" applyAlignment="1">
      <alignment horizontal="center" vertical="center"/>
    </xf>
    <xf numFmtId="180" fontId="25" fillId="0" borderId="15" xfId="7" applyFont="1" applyBorder="1" applyAlignment="1">
      <alignment horizontal="right" vertical="center"/>
    </xf>
    <xf numFmtId="0" fontId="25" fillId="0" borderId="16" xfId="6" quotePrefix="1" applyFont="1" applyBorder="1" applyAlignment="1">
      <alignment vertical="center"/>
    </xf>
    <xf numFmtId="0" fontId="25" fillId="0" borderId="16" xfId="6" applyFont="1" applyBorder="1" applyAlignment="1">
      <alignment vertical="center"/>
    </xf>
    <xf numFmtId="0" fontId="14" fillId="8" borderId="15" xfId="6" applyFont="1" applyFill="1" applyBorder="1" applyAlignment="1">
      <alignment vertical="center"/>
    </xf>
    <xf numFmtId="1" fontId="14" fillId="8" borderId="15" xfId="6" applyNumberFormat="1" applyFont="1" applyFill="1" applyBorder="1" applyAlignment="1">
      <alignment horizontal="center" vertical="center"/>
    </xf>
    <xf numFmtId="180" fontId="14" fillId="8" borderId="15" xfId="7" applyFont="1" applyFill="1" applyBorder="1" applyAlignment="1">
      <alignment horizontal="right" vertical="center"/>
    </xf>
    <xf numFmtId="0" fontId="14" fillId="0" borderId="15" xfId="6" applyFont="1" applyBorder="1" applyAlignment="1">
      <alignment vertical="center"/>
    </xf>
    <xf numFmtId="0" fontId="25" fillId="0" borderId="15" xfId="6" applyFont="1" applyBorder="1" applyAlignment="1">
      <alignment vertical="center"/>
    </xf>
    <xf numFmtId="180" fontId="14" fillId="0" borderId="15" xfId="7" applyFont="1" applyFill="1" applyBorder="1" applyAlignment="1">
      <alignment horizontal="right" vertical="center"/>
    </xf>
    <xf numFmtId="0" fontId="25" fillId="0" borderId="15" xfId="8" applyFont="1" applyBorder="1" applyAlignment="1">
      <alignment horizontal="center" vertical="center"/>
    </xf>
    <xf numFmtId="178" fontId="25" fillId="0" borderId="15" xfId="5" applyFont="1" applyFill="1" applyBorder="1" applyAlignment="1">
      <alignment horizontal="right" vertical="center"/>
    </xf>
    <xf numFmtId="0" fontId="25" fillId="5" borderId="15" xfId="8" applyFont="1" applyFill="1" applyBorder="1" applyAlignment="1">
      <alignment horizontal="center" vertical="center"/>
    </xf>
    <xf numFmtId="0" fontId="25" fillId="5" borderId="15" xfId="6" applyFont="1" applyFill="1" applyBorder="1" applyAlignment="1">
      <alignment vertical="center"/>
    </xf>
    <xf numFmtId="0" fontId="25" fillId="5" borderId="15" xfId="6" applyFont="1" applyFill="1" applyBorder="1" applyAlignment="1">
      <alignment horizontal="center" vertical="center"/>
    </xf>
    <xf numFmtId="178" fontId="25" fillId="5" borderId="15" xfId="5" applyFont="1" applyFill="1" applyBorder="1" applyAlignment="1">
      <alignment horizontal="right" vertical="center"/>
    </xf>
    <xf numFmtId="0" fontId="25" fillId="5" borderId="16" xfId="6" applyFont="1" applyFill="1" applyBorder="1" applyAlignment="1">
      <alignment vertical="center"/>
    </xf>
    <xf numFmtId="0" fontId="25" fillId="0" borderId="15" xfId="3" applyFont="1" applyBorder="1" applyAlignment="1">
      <alignment horizontal="left" vertical="center"/>
    </xf>
    <xf numFmtId="9" fontId="14" fillId="8" borderId="15" xfId="3" applyNumberFormat="1" applyFont="1" applyFill="1" applyBorder="1" applyAlignment="1">
      <alignment horizontal="right" vertical="center"/>
    </xf>
    <xf numFmtId="1" fontId="14" fillId="8" borderId="15" xfId="9" applyNumberFormat="1" applyFont="1" applyFill="1" applyBorder="1" applyAlignment="1">
      <alignment horizontal="center" vertical="center"/>
    </xf>
    <xf numFmtId="176" fontId="14" fillId="8" borderId="15" xfId="7" applyNumberFormat="1" applyFont="1" applyFill="1" applyBorder="1" applyAlignment="1">
      <alignment horizontal="right" vertical="center"/>
    </xf>
    <xf numFmtId="9" fontId="25" fillId="0" borderId="15" xfId="3" applyNumberFormat="1" applyFont="1" applyBorder="1" applyAlignment="1">
      <alignment horizontal="right" vertical="center"/>
    </xf>
    <xf numFmtId="1" fontId="25" fillId="0" borderId="15" xfId="9" applyNumberFormat="1" applyFont="1" applyFill="1" applyBorder="1" applyAlignment="1">
      <alignment horizontal="center" vertical="center"/>
    </xf>
    <xf numFmtId="176" fontId="14" fillId="0" borderId="15" xfId="7" applyNumberFormat="1" applyFont="1" applyFill="1" applyBorder="1" applyAlignment="1">
      <alignment horizontal="right" vertical="center"/>
    </xf>
    <xf numFmtId="0" fontId="25" fillId="0" borderId="15" xfId="3" applyFont="1" applyBorder="1" applyAlignment="1">
      <alignment vertical="center"/>
    </xf>
    <xf numFmtId="180" fontId="25" fillId="5" borderId="15" xfId="7" applyFont="1" applyFill="1" applyBorder="1" applyAlignment="1">
      <alignment horizontal="right" vertical="center"/>
    </xf>
    <xf numFmtId="180" fontId="14" fillId="8" borderId="0" xfId="3" applyNumberFormat="1" applyFont="1" applyFill="1" applyAlignment="1">
      <alignment vertical="center"/>
    </xf>
    <xf numFmtId="0" fontId="14" fillId="0" borderId="17" xfId="6" applyFont="1" applyBorder="1" applyAlignment="1">
      <alignment horizontal="center" vertical="center" textRotation="255"/>
    </xf>
    <xf numFmtId="0" fontId="14" fillId="0" borderId="18" xfId="6" applyFont="1" applyBorder="1" applyAlignment="1">
      <alignment vertical="top"/>
    </xf>
    <xf numFmtId="0" fontId="25" fillId="0" borderId="19" xfId="6" applyFont="1" applyBorder="1" applyAlignment="1">
      <alignment vertical="center"/>
    </xf>
    <xf numFmtId="0" fontId="25" fillId="0" borderId="19" xfId="6" applyFont="1" applyBorder="1" applyAlignment="1">
      <alignment horizontal="right" vertical="center"/>
    </xf>
    <xf numFmtId="0" fontId="25" fillId="0" borderId="20" xfId="6" applyFont="1" applyBorder="1" applyAlignment="1">
      <alignment vertical="center"/>
    </xf>
    <xf numFmtId="0" fontId="14" fillId="0" borderId="0" xfId="10" applyFont="1"/>
    <xf numFmtId="0" fontId="27" fillId="0" borderId="0" xfId="0" applyFont="1">
      <alignment vertical="center"/>
    </xf>
    <xf numFmtId="181" fontId="23" fillId="0" borderId="0" xfId="1" applyNumberFormat="1" applyFont="1" applyAlignment="1">
      <alignment horizontal="center" vertical="center"/>
    </xf>
    <xf numFmtId="0" fontId="21" fillId="0" borderId="0" xfId="0" applyFont="1">
      <alignment vertical="center"/>
    </xf>
    <xf numFmtId="0" fontId="21" fillId="0" borderId="0" xfId="0" applyFont="1" applyAlignment="1">
      <alignment horizontal="center" vertical="center"/>
    </xf>
    <xf numFmtId="0" fontId="28" fillId="0" borderId="0" xfId="0" applyFont="1">
      <alignment vertical="center"/>
    </xf>
    <xf numFmtId="0" fontId="25" fillId="0" borderId="0" xfId="0" applyFont="1">
      <alignment vertical="center"/>
    </xf>
    <xf numFmtId="0" fontId="26" fillId="5" borderId="0" xfId="0" applyFont="1" applyFill="1">
      <alignment vertical="center"/>
    </xf>
    <xf numFmtId="176" fontId="21" fillId="0" borderId="0" xfId="0" applyNumberFormat="1" applyFont="1">
      <alignment vertical="center"/>
    </xf>
    <xf numFmtId="49" fontId="21" fillId="2" borderId="1" xfId="0" applyNumberFormat="1" applyFont="1" applyFill="1" applyBorder="1" applyAlignment="1">
      <alignment horizontal="center" vertical="center" wrapText="1"/>
    </xf>
    <xf numFmtId="181" fontId="21" fillId="7" borderId="1" xfId="1" applyNumberFormat="1" applyFont="1" applyFill="1" applyBorder="1" applyAlignment="1">
      <alignment horizontal="center" vertical="center"/>
    </xf>
    <xf numFmtId="181" fontId="21" fillId="0" borderId="1" xfId="1" applyNumberFormat="1" applyFont="1" applyBorder="1" applyAlignment="1">
      <alignment horizontal="center" vertical="center"/>
    </xf>
    <xf numFmtId="0" fontId="30" fillId="0" borderId="0" xfId="0" applyFont="1">
      <alignment vertical="center"/>
    </xf>
    <xf numFmtId="0" fontId="22" fillId="0" borderId="0" xfId="0" applyFont="1">
      <alignment vertical="center"/>
    </xf>
    <xf numFmtId="0" fontId="22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9" fontId="31" fillId="0" borderId="0" xfId="0" applyNumberFormat="1" applyFont="1" applyAlignment="1">
      <alignment horizontal="center" vertical="center"/>
    </xf>
    <xf numFmtId="182" fontId="31" fillId="3" borderId="0" xfId="2" applyNumberFormat="1" applyFont="1" applyFill="1" applyAlignment="1">
      <alignment horizontal="center" vertical="center"/>
    </xf>
    <xf numFmtId="0" fontId="31" fillId="9" borderId="24" xfId="0" applyFont="1" applyFill="1" applyBorder="1">
      <alignment vertical="center"/>
    </xf>
    <xf numFmtId="0" fontId="31" fillId="9" borderId="21" xfId="0" applyFont="1" applyFill="1" applyBorder="1">
      <alignment vertical="center"/>
    </xf>
    <xf numFmtId="0" fontId="31" fillId="4" borderId="22" xfId="0" applyFont="1" applyFill="1" applyBorder="1" applyAlignment="1">
      <alignment horizontal="center" vertical="center"/>
    </xf>
    <xf numFmtId="0" fontId="31" fillId="4" borderId="3" xfId="0" applyFont="1" applyFill="1" applyBorder="1" applyAlignment="1">
      <alignment horizontal="center" vertical="center"/>
    </xf>
    <xf numFmtId="0" fontId="31" fillId="7" borderId="3" xfId="0" applyFont="1" applyFill="1" applyBorder="1" applyAlignment="1">
      <alignment horizontal="center" vertical="center"/>
    </xf>
    <xf numFmtId="0" fontId="31" fillId="4" borderId="3" xfId="3" applyFont="1" applyFill="1" applyBorder="1" applyAlignment="1">
      <alignment horizontal="center" vertical="center"/>
    </xf>
    <xf numFmtId="176" fontId="31" fillId="4" borderId="3" xfId="4" applyFont="1" applyFill="1" applyBorder="1" applyAlignment="1">
      <alignment horizontal="center" vertical="center"/>
    </xf>
    <xf numFmtId="178" fontId="31" fillId="4" borderId="3" xfId="5" applyFont="1" applyFill="1" applyBorder="1" applyAlignment="1">
      <alignment horizontal="center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3" xfId="0" applyFont="1" applyFill="1" applyBorder="1" applyAlignment="1">
      <alignment horizontal="center" vertical="center"/>
    </xf>
    <xf numFmtId="49" fontId="22" fillId="7" borderId="3" xfId="0" applyNumberFormat="1" applyFont="1" applyFill="1" applyBorder="1" applyAlignment="1">
      <alignment horizontal="center" vertical="center" wrapText="1"/>
    </xf>
    <xf numFmtId="49" fontId="22" fillId="5" borderId="3" xfId="0" applyNumberFormat="1" applyFont="1" applyFill="1" applyBorder="1" applyAlignment="1">
      <alignment horizontal="center" vertical="center" wrapText="1"/>
    </xf>
    <xf numFmtId="176" fontId="29" fillId="5" borderId="3" xfId="1" applyFont="1" applyFill="1" applyBorder="1" applyAlignment="1">
      <alignment horizontal="center" vertical="center"/>
    </xf>
    <xf numFmtId="0" fontId="22" fillId="0" borderId="3" xfId="0" applyFont="1" applyBorder="1">
      <alignment vertical="center"/>
    </xf>
    <xf numFmtId="176" fontId="22" fillId="6" borderId="3" xfId="1" applyFont="1" applyFill="1" applyBorder="1" applyAlignment="1">
      <alignment horizontal="center" vertical="center" wrapText="1"/>
    </xf>
    <xf numFmtId="185" fontId="22" fillId="0" borderId="3" xfId="0" applyNumberFormat="1" applyFont="1" applyBorder="1" applyAlignment="1">
      <alignment horizontal="right" vertical="center" wrapText="1"/>
    </xf>
    <xf numFmtId="176" fontId="22" fillId="0" borderId="3" xfId="1" applyFont="1" applyFill="1" applyBorder="1" applyAlignment="1">
      <alignment horizontal="center" vertical="center" wrapText="1"/>
    </xf>
    <xf numFmtId="9" fontId="22" fillId="0" borderId="3" xfId="0" applyNumberFormat="1" applyFont="1" applyBorder="1" applyAlignment="1">
      <alignment horizontal="center" vertical="center"/>
    </xf>
    <xf numFmtId="0" fontId="22" fillId="0" borderId="23" xfId="0" applyFont="1" applyBorder="1" applyAlignment="1">
      <alignment horizontal="center" vertical="center"/>
    </xf>
    <xf numFmtId="0" fontId="22" fillId="5" borderId="3" xfId="0" applyFont="1" applyFill="1" applyBorder="1">
      <alignment vertical="center"/>
    </xf>
    <xf numFmtId="49" fontId="29" fillId="7" borderId="3" xfId="0" applyNumberFormat="1" applyFont="1" applyFill="1" applyBorder="1" applyAlignment="1">
      <alignment horizontal="center" vertical="center" wrapText="1"/>
    </xf>
    <xf numFmtId="0" fontId="29" fillId="7" borderId="3" xfId="0" applyFont="1" applyFill="1" applyBorder="1" applyAlignment="1">
      <alignment horizontal="center" vertical="center"/>
    </xf>
    <xf numFmtId="49" fontId="29" fillId="5" borderId="3" xfId="0" applyNumberFormat="1" applyFont="1" applyFill="1" applyBorder="1" applyAlignment="1">
      <alignment horizontal="center" vertical="center" wrapText="1"/>
    </xf>
    <xf numFmtId="0" fontId="29" fillId="5" borderId="3" xfId="3" applyFont="1" applyFill="1" applyBorder="1" applyAlignment="1">
      <alignment horizontal="center" vertical="center" shrinkToFit="1"/>
    </xf>
    <xf numFmtId="176" fontId="29" fillId="5" borderId="3" xfId="20" applyFont="1" applyFill="1" applyBorder="1" applyAlignment="1">
      <alignment horizontal="center" vertical="center"/>
    </xf>
    <xf numFmtId="184" fontId="22" fillId="0" borderId="3" xfId="0" applyNumberFormat="1" applyFont="1" applyBorder="1" applyAlignment="1">
      <alignment horizontal="right" vertical="center" wrapText="1"/>
    </xf>
    <xf numFmtId="183" fontId="22" fillId="5" borderId="3" xfId="1" applyNumberFormat="1" applyFont="1" applyFill="1" applyBorder="1" applyAlignment="1">
      <alignment horizontal="center" vertical="center"/>
    </xf>
    <xf numFmtId="0" fontId="32" fillId="5" borderId="3" xfId="0" applyFont="1" applyFill="1" applyBorder="1" applyAlignment="1">
      <alignment horizontal="center" vertical="center"/>
    </xf>
    <xf numFmtId="0" fontId="22" fillId="10" borderId="0" xfId="0" applyFont="1" applyFill="1">
      <alignment vertical="center"/>
    </xf>
    <xf numFmtId="176" fontId="31" fillId="10" borderId="0" xfId="0" applyNumberFormat="1" applyFont="1" applyFill="1">
      <alignment vertical="center"/>
    </xf>
    <xf numFmtId="0" fontId="31" fillId="0" borderId="0" xfId="0" applyFont="1">
      <alignment vertical="center"/>
    </xf>
    <xf numFmtId="176" fontId="31" fillId="0" borderId="0" xfId="0" applyNumberFormat="1" applyFont="1">
      <alignment vertical="center"/>
    </xf>
    <xf numFmtId="185" fontId="29" fillId="5" borderId="3" xfId="0" applyNumberFormat="1" applyFont="1" applyFill="1" applyBorder="1" applyAlignment="1">
      <alignment horizontal="right" vertical="center" wrapText="1"/>
    </xf>
    <xf numFmtId="186" fontId="29" fillId="5" borderId="3" xfId="1" applyNumberFormat="1" applyFont="1" applyFill="1" applyBorder="1" applyAlignment="1">
      <alignment horizontal="center" vertical="center"/>
    </xf>
    <xf numFmtId="176" fontId="34" fillId="5" borderId="0" xfId="19" applyFont="1" applyFill="1" applyBorder="1" applyAlignment="1">
      <alignment horizontal="center" vertical="center" wrapText="1"/>
    </xf>
    <xf numFmtId="49" fontId="33" fillId="7" borderId="0" xfId="0" applyNumberFormat="1" applyFont="1" applyFill="1" applyAlignment="1">
      <alignment horizontal="center" vertical="center"/>
    </xf>
    <xf numFmtId="0" fontId="29" fillId="5" borderId="3" xfId="0" applyFont="1" applyFill="1" applyBorder="1" applyAlignment="1">
      <alignment horizontal="center" vertical="center"/>
    </xf>
    <xf numFmtId="0" fontId="1" fillId="0" borderId="0" xfId="21">
      <alignment vertical="center"/>
    </xf>
    <xf numFmtId="0" fontId="35" fillId="0" borderId="0" xfId="21" applyFont="1">
      <alignment vertical="center"/>
    </xf>
    <xf numFmtId="0" fontId="1" fillId="0" borderId="0" xfId="21" applyAlignment="1">
      <alignment horizontal="center" vertical="center"/>
    </xf>
    <xf numFmtId="49" fontId="34" fillId="2" borderId="1" xfId="0" applyNumberFormat="1" applyFont="1" applyFill="1" applyBorder="1" applyAlignment="1">
      <alignment horizontal="center" vertical="center" wrapText="1"/>
    </xf>
    <xf numFmtId="49" fontId="34" fillId="2" borderId="31" xfId="0" applyNumberFormat="1" applyFont="1" applyFill="1" applyBorder="1" applyAlignment="1">
      <alignment horizontal="center" vertical="center" wrapText="1"/>
    </xf>
    <xf numFmtId="0" fontId="36" fillId="0" borderId="0" xfId="0" applyFont="1" applyAlignment="1">
      <alignment horizontal="center" vertical="center"/>
    </xf>
    <xf numFmtId="183" fontId="37" fillId="0" borderId="0" xfId="1" applyNumberFormat="1" applyFont="1" applyFill="1" applyBorder="1" applyAlignment="1">
      <alignment horizontal="center" vertical="center"/>
    </xf>
    <xf numFmtId="176" fontId="38" fillId="0" borderId="0" xfId="1" applyFont="1" applyBorder="1">
      <alignment vertical="center"/>
    </xf>
    <xf numFmtId="176" fontId="39" fillId="0" borderId="0" xfId="1" applyFont="1" applyBorder="1" applyAlignment="1">
      <alignment horizontal="center" vertical="center" wrapText="1"/>
    </xf>
    <xf numFmtId="49" fontId="40" fillId="5" borderId="3" xfId="0" applyNumberFormat="1" applyFont="1" applyFill="1" applyBorder="1" applyAlignment="1">
      <alignment horizontal="center" vertical="center"/>
    </xf>
    <xf numFmtId="0" fontId="20" fillId="0" borderId="0" xfId="6" applyFont="1" applyAlignment="1">
      <alignment horizontal="center" vertical="center"/>
    </xf>
    <xf numFmtId="0" fontId="24" fillId="0" borderId="0" xfId="6" applyFont="1" applyAlignment="1">
      <alignment vertical="center"/>
    </xf>
    <xf numFmtId="0" fontId="23" fillId="0" borderId="0" xfId="6" applyFont="1" applyAlignment="1">
      <alignment vertical="center"/>
    </xf>
    <xf numFmtId="0" fontId="14" fillId="0" borderId="4" xfId="6" applyFont="1" applyBorder="1" applyAlignment="1">
      <alignment vertical="center"/>
    </xf>
    <xf numFmtId="0" fontId="14" fillId="0" borderId="5" xfId="6" applyFont="1" applyBorder="1" applyAlignment="1">
      <alignment vertical="center"/>
    </xf>
    <xf numFmtId="0" fontId="14" fillId="0" borderId="6" xfId="6" applyFont="1" applyBorder="1" applyAlignment="1">
      <alignment vertical="center"/>
    </xf>
    <xf numFmtId="0" fontId="31" fillId="0" borderId="0" xfId="0" applyFont="1" applyAlignment="1">
      <alignment horizontal="center" vertical="center"/>
    </xf>
    <xf numFmtId="0" fontId="22" fillId="0" borderId="30" xfId="0" applyFont="1" applyBorder="1" applyAlignment="1">
      <alignment horizontal="center" vertical="center"/>
    </xf>
    <xf numFmtId="0" fontId="22" fillId="0" borderId="23" xfId="0" applyFont="1" applyBorder="1" applyAlignment="1">
      <alignment horizontal="center" vertical="center"/>
    </xf>
    <xf numFmtId="0" fontId="31" fillId="0" borderId="21" xfId="0" applyFont="1" applyBorder="1" applyAlignment="1">
      <alignment horizontal="center" vertical="center"/>
    </xf>
    <xf numFmtId="0" fontId="31" fillId="9" borderId="3" xfId="0" applyFont="1" applyFill="1" applyBorder="1" applyAlignment="1">
      <alignment horizontal="center" vertical="center"/>
    </xf>
    <xf numFmtId="176" fontId="31" fillId="4" borderId="21" xfId="4" applyFont="1" applyFill="1" applyBorder="1" applyAlignment="1">
      <alignment horizontal="center" vertical="center"/>
    </xf>
    <xf numFmtId="178" fontId="31" fillId="4" borderId="21" xfId="5" applyFont="1" applyFill="1" applyBorder="1" applyAlignment="1">
      <alignment horizontal="center" vertical="center"/>
    </xf>
    <xf numFmtId="0" fontId="31" fillId="4" borderId="21" xfId="0" applyFont="1" applyFill="1" applyBorder="1" applyAlignment="1">
      <alignment horizontal="center" vertical="center"/>
    </xf>
    <xf numFmtId="0" fontId="31" fillId="4" borderId="3" xfId="0" applyFont="1" applyFill="1" applyBorder="1" applyAlignment="1">
      <alignment horizontal="center" vertical="center"/>
    </xf>
    <xf numFmtId="0" fontId="31" fillId="4" borderId="21" xfId="3" applyFont="1" applyFill="1" applyBorder="1" applyAlignment="1">
      <alignment horizontal="center" vertical="center"/>
    </xf>
    <xf numFmtId="0" fontId="31" fillId="4" borderId="3" xfId="3" applyFont="1" applyFill="1" applyBorder="1" applyAlignment="1">
      <alignment horizontal="center" vertical="center"/>
    </xf>
  </cellXfs>
  <cellStyles count="22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2 4" xfId="20" xr:uid="{AD148722-423A-4282-AB89-B25CA43FD636}"/>
    <cellStyle name="쉼표 [0] 3" xfId="16" xr:uid="{8F7BE219-40E1-4BBB-A9BD-02188B74B2A3}"/>
    <cellStyle name="쉼표 [0] 5" xfId="19" xr:uid="{102D9B0E-8891-4355-9DFD-4C015B526379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 5 2" xfId="21" xr:uid="{3DA874BE-3DCC-45CB-9BA9-8472FA97B10B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190500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40821</xdr:colOff>
      <xdr:row>0</xdr:row>
      <xdr:rowOff>117020</xdr:rowOff>
    </xdr:from>
    <xdr:to>
      <xdr:col>9</xdr:col>
      <xdr:colOff>790575</xdr:colOff>
      <xdr:row>21</xdr:row>
      <xdr:rowOff>123825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3DA167C6-1F01-4CDD-B57C-31FB5E1664B7}"/>
            </a:ext>
          </a:extLst>
        </xdr:cNvPr>
        <xdr:cNvSpPr/>
      </xdr:nvSpPr>
      <xdr:spPr>
        <a:xfrm>
          <a:off x="40821" y="117020"/>
          <a:ext cx="9617529" cy="440735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접이식 어닝 근거서류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3</xdr:col>
      <xdr:colOff>66675</xdr:colOff>
      <xdr:row>2</xdr:row>
      <xdr:rowOff>38100</xdr:rowOff>
    </xdr:from>
    <xdr:to>
      <xdr:col>6</xdr:col>
      <xdr:colOff>43960</xdr:colOff>
      <xdr:row>20</xdr:row>
      <xdr:rowOff>19049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EC5811D8-D48F-42D3-B652-ED72B090F4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19475" y="457200"/>
          <a:ext cx="2682385" cy="3752849"/>
        </a:xfrm>
        <a:prstGeom prst="rect">
          <a:avLst/>
        </a:prstGeom>
      </xdr:spPr>
    </xdr:pic>
    <xdr:clientData/>
  </xdr:twoCellAnchor>
  <xdr:twoCellAnchor editAs="oneCell">
    <xdr:from>
      <xdr:col>6</xdr:col>
      <xdr:colOff>457200</xdr:colOff>
      <xdr:row>2</xdr:row>
      <xdr:rowOff>28576</xdr:rowOff>
    </xdr:from>
    <xdr:to>
      <xdr:col>9</xdr:col>
      <xdr:colOff>288862</xdr:colOff>
      <xdr:row>19</xdr:row>
      <xdr:rowOff>161926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FE118B08-2463-4797-BFE7-9282372FF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15100" y="447676"/>
          <a:ext cx="2641537" cy="3695700"/>
        </a:xfrm>
        <a:prstGeom prst="rect">
          <a:avLst/>
        </a:prstGeom>
      </xdr:spPr>
    </xdr:pic>
    <xdr:clientData/>
  </xdr:twoCellAnchor>
  <xdr:twoCellAnchor editAs="oneCell">
    <xdr:from>
      <xdr:col>0</xdr:col>
      <xdr:colOff>361950</xdr:colOff>
      <xdr:row>2</xdr:row>
      <xdr:rowOff>76200</xdr:rowOff>
    </xdr:from>
    <xdr:to>
      <xdr:col>2</xdr:col>
      <xdr:colOff>628650</xdr:colOff>
      <xdr:row>20</xdr:row>
      <xdr:rowOff>45989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FB6AA176-BC4E-EDA9-9BC5-68B5746BEF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495300"/>
          <a:ext cx="2505075" cy="37416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topLeftCell="A14" zoomScale="85" zoomScaleNormal="85" workbookViewId="0">
      <selection activeCell="F31" sqref="F31"/>
    </sheetView>
  </sheetViews>
  <sheetFormatPr defaultColWidth="9" defaultRowHeight="13.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9" width="9" style="3"/>
    <col min="10" max="16384" width="9" style="4"/>
  </cols>
  <sheetData>
    <row r="2" spans="1:9" ht="33">
      <c r="A2" s="132" t="s">
        <v>6</v>
      </c>
      <c r="B2" s="132"/>
      <c r="C2" s="132"/>
      <c r="D2" s="132"/>
      <c r="E2" s="132"/>
      <c r="F2" s="132"/>
      <c r="G2" s="132"/>
      <c r="H2" s="2"/>
    </row>
    <row r="3" spans="1:9" ht="14.25">
      <c r="A3" s="5"/>
      <c r="B3" s="5"/>
      <c r="C3" s="5"/>
      <c r="D3" s="5"/>
      <c r="E3" s="5"/>
      <c r="F3" s="5"/>
      <c r="G3" s="5"/>
      <c r="H3" s="5"/>
    </row>
    <row r="4" spans="1:9" ht="14.25">
      <c r="A4" s="5"/>
      <c r="B4" s="5"/>
      <c r="C4" s="5"/>
      <c r="D4" s="5"/>
      <c r="E4" s="5"/>
      <c r="H4" s="5"/>
    </row>
    <row r="5" spans="1:9" ht="27" customHeight="1">
      <c r="A5" s="6" t="s">
        <v>49</v>
      </c>
      <c r="B5" s="7"/>
      <c r="C5" s="8"/>
      <c r="D5" s="5"/>
      <c r="E5" s="5"/>
      <c r="F5" s="9" t="s">
        <v>39</v>
      </c>
      <c r="G5" s="10" t="s">
        <v>53</v>
      </c>
      <c r="H5" s="5"/>
    </row>
    <row r="6" spans="1:9" ht="27" customHeight="1">
      <c r="A6" s="5"/>
      <c r="B6" s="5"/>
      <c r="C6" s="5"/>
      <c r="D6" s="5"/>
      <c r="E6" s="5"/>
      <c r="F6" s="11" t="s">
        <v>42</v>
      </c>
      <c r="G6" s="12" t="s">
        <v>54</v>
      </c>
      <c r="H6" s="5"/>
    </row>
    <row r="7" spans="1:9" ht="27" customHeight="1">
      <c r="A7" s="135" t="s">
        <v>104</v>
      </c>
      <c r="B7" s="136"/>
      <c r="C7" s="137"/>
      <c r="D7" s="5"/>
      <c r="E7" s="13"/>
      <c r="F7" s="14" t="s">
        <v>43</v>
      </c>
      <c r="G7" s="12" t="s">
        <v>55</v>
      </c>
      <c r="H7" s="5"/>
    </row>
    <row r="8" spans="1:9" ht="27" customHeight="1">
      <c r="A8" s="5"/>
      <c r="B8" s="5"/>
      <c r="C8" s="5"/>
      <c r="D8" s="5"/>
      <c r="E8" s="5"/>
      <c r="F8" s="11" t="s">
        <v>44</v>
      </c>
      <c r="G8" s="12" t="s">
        <v>56</v>
      </c>
      <c r="H8" s="5"/>
    </row>
    <row r="9" spans="1:9" ht="27" customHeight="1">
      <c r="A9" s="135" t="s">
        <v>105</v>
      </c>
      <c r="B9" s="136"/>
      <c r="C9" s="137"/>
      <c r="D9" s="5"/>
      <c r="E9" s="5"/>
      <c r="F9" s="11" t="s">
        <v>45</v>
      </c>
      <c r="G9" s="12" t="s">
        <v>57</v>
      </c>
      <c r="H9" s="5"/>
    </row>
    <row r="10" spans="1:9" ht="27" customHeight="1">
      <c r="A10" s="5"/>
      <c r="B10" s="5"/>
      <c r="C10" s="5"/>
      <c r="D10" s="5"/>
      <c r="E10" s="5"/>
      <c r="F10" s="15" t="s">
        <v>40</v>
      </c>
      <c r="G10" s="16" t="s">
        <v>58</v>
      </c>
      <c r="H10" s="5"/>
      <c r="I10" s="5"/>
    </row>
    <row r="11" spans="1:9" ht="27" customHeight="1">
      <c r="A11" s="133"/>
      <c r="B11" s="134"/>
      <c r="C11" s="134"/>
      <c r="D11" s="5"/>
      <c r="E11" s="17"/>
      <c r="F11" s="18" t="s">
        <v>41</v>
      </c>
      <c r="G11" s="19" t="s">
        <v>59</v>
      </c>
      <c r="H11" s="17"/>
    </row>
    <row r="12" spans="1:9" ht="18.75" thickBot="1">
      <c r="A12" s="20" t="s">
        <v>7</v>
      </c>
      <c r="B12" s="20" t="str">
        <f>NUMBERSTRING(F31,1)</f>
        <v>삼백칠십이만칠천</v>
      </c>
      <c r="C12" s="21"/>
      <c r="D12" s="1" t="s">
        <v>8</v>
      </c>
      <c r="E12" s="1" t="s">
        <v>9</v>
      </c>
      <c r="F12" s="1" t="s">
        <v>9</v>
      </c>
      <c r="G12" s="1"/>
      <c r="H12" s="22"/>
    </row>
    <row r="13" spans="1:9" ht="15.75" thickTop="1" thickBot="1">
      <c r="A13" s="5"/>
      <c r="B13" s="5"/>
      <c r="C13" s="5"/>
      <c r="D13" s="5"/>
      <c r="E13" s="5"/>
      <c r="F13" s="5"/>
      <c r="G13" s="5"/>
      <c r="H13" s="22"/>
    </row>
    <row r="14" spans="1:9" ht="33" customHeight="1" thickBot="1">
      <c r="A14" s="23" t="s">
        <v>10</v>
      </c>
      <c r="B14" s="24" t="s">
        <v>11</v>
      </c>
      <c r="C14" s="24" t="s">
        <v>12</v>
      </c>
      <c r="D14" s="24" t="s">
        <v>13</v>
      </c>
      <c r="E14" s="24" t="s">
        <v>14</v>
      </c>
      <c r="F14" s="24" t="s">
        <v>15</v>
      </c>
      <c r="G14" s="25" t="s">
        <v>16</v>
      </c>
      <c r="H14" s="22"/>
    </row>
    <row r="15" spans="1:9" ht="33" customHeight="1" thickTop="1">
      <c r="A15" s="26"/>
      <c r="B15" s="27" t="s">
        <v>17</v>
      </c>
      <c r="C15" s="28"/>
      <c r="D15" s="29"/>
      <c r="E15" s="29"/>
      <c r="F15" s="30"/>
      <c r="G15" s="31"/>
    </row>
    <row r="16" spans="1:9" ht="33" customHeight="1">
      <c r="A16" s="32"/>
      <c r="B16" s="33" t="s">
        <v>18</v>
      </c>
      <c r="C16" s="34"/>
      <c r="D16" s="35"/>
      <c r="E16" s="35"/>
      <c r="F16" s="36">
        <f>'내역서(표준단가)'!O9</f>
        <v>2900000</v>
      </c>
      <c r="G16" s="37"/>
    </row>
    <row r="17" spans="1:9" ht="33" customHeight="1">
      <c r="A17" s="32"/>
      <c r="B17" s="33" t="s">
        <v>19</v>
      </c>
      <c r="C17" s="34"/>
      <c r="D17" s="35"/>
      <c r="E17" s="35"/>
      <c r="F17" s="36">
        <f>'내역서(표준단가)'!Q9</f>
        <v>605723</v>
      </c>
      <c r="G17" s="38"/>
      <c r="H17" s="4"/>
      <c r="I17" s="4"/>
    </row>
    <row r="18" spans="1:9" ht="33" customHeight="1">
      <c r="A18" s="32"/>
      <c r="B18" s="33" t="s">
        <v>20</v>
      </c>
      <c r="C18" s="34"/>
      <c r="D18" s="35"/>
      <c r="E18" s="35"/>
      <c r="F18" s="36">
        <f>'내역서(표준단가)'!S9+'내역서(표준단가)'!U9</f>
        <v>0</v>
      </c>
      <c r="G18" s="38"/>
      <c r="H18" s="4"/>
      <c r="I18" s="4"/>
    </row>
    <row r="19" spans="1:9" ht="33" customHeight="1">
      <c r="A19" s="32"/>
      <c r="B19" s="39" t="s">
        <v>21</v>
      </c>
      <c r="C19" s="39"/>
      <c r="D19" s="40"/>
      <c r="E19" s="40"/>
      <c r="F19" s="41">
        <f>F16+F17+F18</f>
        <v>3505723</v>
      </c>
      <c r="G19" s="38"/>
      <c r="H19" s="4"/>
      <c r="I19" s="4"/>
    </row>
    <row r="20" spans="1:9" ht="33" customHeight="1">
      <c r="A20" s="32"/>
      <c r="B20" s="42" t="s">
        <v>22</v>
      </c>
      <c r="C20" s="43"/>
      <c r="D20" s="35"/>
      <c r="E20" s="35"/>
      <c r="F20" s="44"/>
      <c r="G20" s="38"/>
      <c r="H20" s="4"/>
      <c r="I20" s="4"/>
    </row>
    <row r="21" spans="1:9" ht="33" customHeight="1">
      <c r="A21" s="32"/>
      <c r="B21" s="45" t="s">
        <v>23</v>
      </c>
      <c r="C21" s="43" t="s">
        <v>24</v>
      </c>
      <c r="D21" s="33">
        <v>1</v>
      </c>
      <c r="E21" s="33" t="s">
        <v>25</v>
      </c>
      <c r="F21" s="46">
        <f>F17*4.5%</f>
        <v>27257.535</v>
      </c>
      <c r="G21" s="38" t="s">
        <v>26</v>
      </c>
      <c r="H21" s="4"/>
      <c r="I21" s="4"/>
    </row>
    <row r="22" spans="1:9" ht="33" customHeight="1">
      <c r="A22" s="32"/>
      <c r="B22" s="47" t="s">
        <v>27</v>
      </c>
      <c r="C22" s="48" t="s">
        <v>50</v>
      </c>
      <c r="D22" s="49">
        <v>1</v>
      </c>
      <c r="E22" s="49" t="s">
        <v>25</v>
      </c>
      <c r="F22" s="50">
        <f>F17*3.545%</f>
        <v>21472.880350000003</v>
      </c>
      <c r="G22" s="51" t="s">
        <v>28</v>
      </c>
      <c r="H22" s="4"/>
      <c r="I22" s="4"/>
    </row>
    <row r="23" spans="1:9" ht="33" customHeight="1">
      <c r="A23" s="32"/>
      <c r="B23" s="45" t="s">
        <v>29</v>
      </c>
      <c r="C23" s="43" t="s">
        <v>51</v>
      </c>
      <c r="D23" s="33">
        <v>1</v>
      </c>
      <c r="E23" s="33" t="s">
        <v>25</v>
      </c>
      <c r="F23" s="46">
        <f>F22*12.95%</f>
        <v>2780.7380053250004</v>
      </c>
      <c r="G23" s="38" t="s">
        <v>28</v>
      </c>
      <c r="H23" s="4"/>
      <c r="I23" s="4"/>
    </row>
    <row r="24" spans="1:9" ht="33" customHeight="1">
      <c r="A24" s="32"/>
      <c r="B24" s="45" t="s">
        <v>30</v>
      </c>
      <c r="C24" s="43" t="s">
        <v>47</v>
      </c>
      <c r="D24" s="33">
        <v>1</v>
      </c>
      <c r="E24" s="33" t="s">
        <v>25</v>
      </c>
      <c r="F24" s="46">
        <f>F17*1.01%</f>
        <v>6117.8022999999994</v>
      </c>
      <c r="G24" s="38" t="s">
        <v>28</v>
      </c>
      <c r="H24" s="4"/>
      <c r="I24" s="4"/>
    </row>
    <row r="25" spans="1:9" ht="33" customHeight="1">
      <c r="A25" s="32"/>
      <c r="B25" s="45" t="s">
        <v>31</v>
      </c>
      <c r="C25" s="43" t="s">
        <v>52</v>
      </c>
      <c r="D25" s="33">
        <v>1</v>
      </c>
      <c r="E25" s="33" t="s">
        <v>25</v>
      </c>
      <c r="F25" s="46">
        <f>F17*3.56%</f>
        <v>21563.738799999999</v>
      </c>
      <c r="G25" s="38" t="s">
        <v>28</v>
      </c>
      <c r="H25" s="4"/>
      <c r="I25" s="4"/>
    </row>
    <row r="26" spans="1:9" ht="33" customHeight="1">
      <c r="A26" s="32"/>
      <c r="B26" s="45" t="s">
        <v>32</v>
      </c>
      <c r="C26" s="52" t="s">
        <v>36</v>
      </c>
      <c r="D26" s="33">
        <v>1</v>
      </c>
      <c r="E26" s="33" t="s">
        <v>25</v>
      </c>
      <c r="F26" s="46">
        <f>(F16+F17)*2.93%</f>
        <v>102717.68390000002</v>
      </c>
      <c r="G26" s="38" t="s">
        <v>26</v>
      </c>
      <c r="H26" s="4"/>
      <c r="I26" s="4"/>
    </row>
    <row r="27" spans="1:9" ht="33" customHeight="1">
      <c r="A27" s="32"/>
      <c r="B27" s="45" t="s">
        <v>37</v>
      </c>
      <c r="C27" s="52" t="s">
        <v>38</v>
      </c>
      <c r="D27" s="33">
        <v>1</v>
      </c>
      <c r="E27" s="33" t="s">
        <v>25</v>
      </c>
      <c r="F27" s="46">
        <f>SUM(F17+F21+F22+F23+F24+F25+F26)*5%</f>
        <v>39381.668917766256</v>
      </c>
      <c r="G27" s="38"/>
      <c r="H27" s="4"/>
      <c r="I27" s="4"/>
    </row>
    <row r="28" spans="1:9" ht="33" customHeight="1">
      <c r="A28" s="32"/>
      <c r="B28" s="39" t="s">
        <v>33</v>
      </c>
      <c r="C28" s="53"/>
      <c r="D28" s="54"/>
      <c r="E28" s="40"/>
      <c r="F28" s="55">
        <f>F21+F22+F23+F24+F25+F26+F27</f>
        <v>221292.04727309127</v>
      </c>
      <c r="G28" s="38"/>
      <c r="H28" s="4"/>
      <c r="I28" s="4"/>
    </row>
    <row r="29" spans="1:9" ht="33" customHeight="1">
      <c r="A29" s="32"/>
      <c r="B29" s="43"/>
      <c r="C29" s="56"/>
      <c r="D29" s="57"/>
      <c r="E29" s="35"/>
      <c r="F29" s="58"/>
      <c r="G29" s="38"/>
      <c r="H29" s="4"/>
      <c r="I29" s="4"/>
    </row>
    <row r="30" spans="1:9" ht="33" customHeight="1">
      <c r="A30" s="32"/>
      <c r="B30" s="59"/>
      <c r="C30" s="56"/>
      <c r="D30" s="57"/>
      <c r="E30" s="35"/>
      <c r="F30" s="60">
        <f>F19+F28+F29</f>
        <v>3727015.047273091</v>
      </c>
      <c r="G30" s="38"/>
      <c r="H30" s="4"/>
      <c r="I30" s="4"/>
    </row>
    <row r="31" spans="1:9" ht="33" customHeight="1">
      <c r="A31" s="32"/>
      <c r="B31" s="39" t="s">
        <v>34</v>
      </c>
      <c r="C31" s="39"/>
      <c r="D31" s="40"/>
      <c r="E31" s="40"/>
      <c r="F31" s="61">
        <f>ROUNDDOWN(F30,-3)</f>
        <v>3727000</v>
      </c>
      <c r="G31" s="38"/>
      <c r="H31" s="4"/>
      <c r="I31" s="4"/>
    </row>
    <row r="32" spans="1:9" ht="33" customHeight="1" thickBot="1">
      <c r="A32" s="62"/>
      <c r="B32" s="63" t="s">
        <v>35</v>
      </c>
      <c r="C32" s="64"/>
      <c r="D32" s="64"/>
      <c r="E32" s="64"/>
      <c r="F32" s="65"/>
      <c r="G32" s="66"/>
      <c r="H32" s="4"/>
      <c r="I32" s="4"/>
    </row>
    <row r="33" spans="2:2" s="4" customFormat="1" ht="15.75">
      <c r="B33" s="67"/>
    </row>
    <row r="34" spans="2:2" s="4" customFormat="1" ht="15.75">
      <c r="B34" s="67"/>
    </row>
  </sheetData>
  <mergeCells count="4">
    <mergeCell ref="A2:G2"/>
    <mergeCell ref="A11:C11"/>
    <mergeCell ref="A9:C9"/>
    <mergeCell ref="A7:C7"/>
  </mergeCells>
  <phoneticPr fontId="7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3"/>
  <sheetViews>
    <sheetView showGridLines="0" zoomScale="90" zoomScaleNormal="90" workbookViewId="0">
      <selection activeCell="K18" sqref="K18"/>
    </sheetView>
  </sheetViews>
  <sheetFormatPr defaultColWidth="9" defaultRowHeight="12.75"/>
  <cols>
    <col min="1" max="1" width="19.375" style="74" bestFit="1" customWidth="1"/>
    <col min="2" max="5" width="18.5" style="74" hidden="1" customWidth="1"/>
    <col min="6" max="6" width="18.875" style="70" hidden="1" customWidth="1"/>
    <col min="7" max="7" width="19.25" style="70" hidden="1" customWidth="1"/>
    <col min="8" max="8" width="16.625" style="70" hidden="1" customWidth="1"/>
    <col min="9" max="9" width="10.125" style="70" hidden="1" customWidth="1"/>
    <col min="10" max="10" width="38.125" style="70" bestFit="1" customWidth="1"/>
    <col min="11" max="11" width="26.375" style="70" bestFit="1" customWidth="1"/>
    <col min="12" max="12" width="7.625" style="70" customWidth="1"/>
    <col min="13" max="13" width="6.75" style="70" customWidth="1"/>
    <col min="14" max="14" width="10.25" style="70" bestFit="1" customWidth="1"/>
    <col min="15" max="15" width="15.5" style="70" bestFit="1" customWidth="1"/>
    <col min="16" max="16" width="10.25" style="70" bestFit="1" customWidth="1"/>
    <col min="17" max="17" width="16.375" style="70" customWidth="1"/>
    <col min="18" max="18" width="6.375" style="70" hidden="1" customWidth="1"/>
    <col min="19" max="19" width="8.5" style="70" hidden="1" customWidth="1"/>
    <col min="20" max="20" width="6.375" style="70" hidden="1" customWidth="1"/>
    <col min="21" max="21" width="8.5" style="70" hidden="1" customWidth="1"/>
    <col min="22" max="22" width="17.25" style="70" customWidth="1"/>
    <col min="23" max="23" width="10.625" style="71" bestFit="1" customWidth="1"/>
    <col min="24" max="24" width="8.5" style="70" bestFit="1" customWidth="1"/>
    <col min="25" max="16384" width="9" style="70"/>
  </cols>
  <sheetData>
    <row r="1" spans="1:24" ht="24.95" customHeight="1">
      <c r="A1" s="138"/>
      <c r="B1" s="138"/>
      <c r="C1" s="138"/>
      <c r="D1" s="138"/>
      <c r="E1" s="138"/>
      <c r="F1" s="138"/>
      <c r="G1" s="138"/>
      <c r="H1" s="138"/>
      <c r="I1" s="138"/>
      <c r="J1" s="80"/>
      <c r="K1" s="80"/>
      <c r="L1" s="80"/>
      <c r="M1" s="80"/>
      <c r="N1" s="81"/>
      <c r="O1" s="82" t="s">
        <v>62</v>
      </c>
      <c r="P1" s="80"/>
      <c r="Q1" s="82" t="s">
        <v>62</v>
      </c>
      <c r="R1" s="80"/>
      <c r="S1" s="82" t="s">
        <v>62</v>
      </c>
      <c r="T1" s="80"/>
      <c r="U1" s="82" t="s">
        <v>62</v>
      </c>
      <c r="V1" s="80"/>
      <c r="W1" s="81"/>
      <c r="X1" s="80"/>
    </row>
    <row r="2" spans="1:24" ht="24.95" customHeight="1" thickBot="1">
      <c r="A2" s="138"/>
      <c r="B2" s="138"/>
      <c r="C2" s="138"/>
      <c r="D2" s="138"/>
      <c r="E2" s="138"/>
      <c r="F2" s="138"/>
      <c r="G2" s="138"/>
      <c r="H2" s="138"/>
      <c r="I2" s="138"/>
      <c r="J2" s="80"/>
      <c r="K2" s="80"/>
      <c r="L2" s="80"/>
      <c r="M2" s="80"/>
      <c r="N2" s="83"/>
      <c r="O2" s="84">
        <v>0.83499999999999996</v>
      </c>
      <c r="P2" s="80"/>
      <c r="Q2" s="84">
        <v>0.83499999999999996</v>
      </c>
      <c r="R2" s="80"/>
      <c r="S2" s="84">
        <v>0.83499999999999996</v>
      </c>
      <c r="T2" s="80"/>
      <c r="U2" s="84">
        <v>0.83499999999999996</v>
      </c>
      <c r="V2" s="80"/>
      <c r="W2" s="81"/>
      <c r="X2" s="80"/>
    </row>
    <row r="3" spans="1:24" ht="24.95" customHeight="1">
      <c r="A3" s="85"/>
      <c r="B3" s="86"/>
      <c r="C3" s="86"/>
      <c r="D3" s="86"/>
      <c r="E3" s="86"/>
      <c r="F3" s="86" t="s">
        <v>63</v>
      </c>
      <c r="G3" s="86"/>
      <c r="H3" s="86"/>
      <c r="I3" s="86"/>
      <c r="J3" s="147" t="s">
        <v>64</v>
      </c>
      <c r="K3" s="147"/>
      <c r="L3" s="147" t="s">
        <v>48</v>
      </c>
      <c r="M3" s="147" t="s">
        <v>5</v>
      </c>
      <c r="N3" s="143" t="s">
        <v>65</v>
      </c>
      <c r="O3" s="143"/>
      <c r="P3" s="143" t="s">
        <v>66</v>
      </c>
      <c r="Q3" s="143"/>
      <c r="R3" s="144" t="s">
        <v>67</v>
      </c>
      <c r="S3" s="144"/>
      <c r="T3" s="144" t="s">
        <v>68</v>
      </c>
      <c r="U3" s="144"/>
      <c r="V3" s="145" t="s">
        <v>69</v>
      </c>
      <c r="W3" s="141" t="s">
        <v>70</v>
      </c>
      <c r="X3" s="139" t="s">
        <v>46</v>
      </c>
    </row>
    <row r="4" spans="1:24" ht="24.95" customHeight="1">
      <c r="A4" s="87" t="s">
        <v>71</v>
      </c>
      <c r="B4" s="88"/>
      <c r="C4" s="88"/>
      <c r="D4" s="88"/>
      <c r="E4" s="88"/>
      <c r="F4" s="89" t="s">
        <v>72</v>
      </c>
      <c r="G4" s="89" t="s">
        <v>73</v>
      </c>
      <c r="H4" s="89" t="s">
        <v>74</v>
      </c>
      <c r="I4" s="89" t="s">
        <v>75</v>
      </c>
      <c r="J4" s="90" t="s">
        <v>76</v>
      </c>
      <c r="K4" s="90" t="s">
        <v>77</v>
      </c>
      <c r="L4" s="148"/>
      <c r="M4" s="148"/>
      <c r="N4" s="91" t="s">
        <v>78</v>
      </c>
      <c r="O4" s="92" t="s">
        <v>79</v>
      </c>
      <c r="P4" s="91" t="s">
        <v>80</v>
      </c>
      <c r="Q4" s="92" t="s">
        <v>79</v>
      </c>
      <c r="R4" s="92" t="s">
        <v>81</v>
      </c>
      <c r="S4" s="92" t="s">
        <v>79</v>
      </c>
      <c r="T4" s="92" t="s">
        <v>81</v>
      </c>
      <c r="U4" s="92" t="s">
        <v>79</v>
      </c>
      <c r="V4" s="146"/>
      <c r="W4" s="142"/>
      <c r="X4" s="140"/>
    </row>
    <row r="5" spans="1:24" s="72" customFormat="1" ht="24.95" customHeight="1">
      <c r="A5" s="93" t="str">
        <f t="shared" ref="A5:A6" si="0">F5&amp;G5&amp;H5&amp;I5</f>
        <v>L003</v>
      </c>
      <c r="B5" s="94"/>
      <c r="C5" s="94"/>
      <c r="D5" s="94"/>
      <c r="E5" s="94"/>
      <c r="F5" s="105"/>
      <c r="G5" s="106"/>
      <c r="H5" s="105"/>
      <c r="I5" s="95" t="s">
        <v>82</v>
      </c>
      <c r="J5" s="107" t="s">
        <v>101</v>
      </c>
      <c r="K5" s="108" t="s">
        <v>107</v>
      </c>
      <c r="L5" s="121" t="s">
        <v>60</v>
      </c>
      <c r="M5" s="109">
        <v>2</v>
      </c>
      <c r="N5" s="104"/>
      <c r="O5" s="99">
        <f t="shared" ref="O5:O6" si="1">SUM(N5:N5)*M5*$O$2</f>
        <v>0</v>
      </c>
      <c r="P5" s="110">
        <v>219321</v>
      </c>
      <c r="Q5" s="99">
        <f>M5*P5</f>
        <v>438642</v>
      </c>
      <c r="R5" s="101"/>
      <c r="S5" s="99">
        <f t="shared" ref="S5:S6" si="2">R5*M5*$S$2</f>
        <v>0</v>
      </c>
      <c r="T5" s="101"/>
      <c r="U5" s="99">
        <f t="shared" ref="U5:U6" si="3">T5*M5*$U$2</f>
        <v>0</v>
      </c>
      <c r="V5" s="101">
        <f t="shared" ref="V5:V7" si="4">SUM(O5+Q5)+S5+U5</f>
        <v>438642</v>
      </c>
      <c r="W5" s="111"/>
      <c r="X5" s="103"/>
    </row>
    <row r="6" spans="1:24" s="72" customFormat="1" ht="24.95" customHeight="1">
      <c r="A6" s="93" t="str">
        <f t="shared" si="0"/>
        <v>L002</v>
      </c>
      <c r="B6" s="94"/>
      <c r="C6" s="94"/>
      <c r="D6" s="94"/>
      <c r="E6" s="94"/>
      <c r="F6" s="105"/>
      <c r="G6" s="106"/>
      <c r="H6" s="105"/>
      <c r="I6" s="95" t="s">
        <v>61</v>
      </c>
      <c r="J6" s="107" t="s">
        <v>103</v>
      </c>
      <c r="K6" s="108" t="s">
        <v>108</v>
      </c>
      <c r="L6" s="121" t="s">
        <v>60</v>
      </c>
      <c r="M6" s="109">
        <v>1</v>
      </c>
      <c r="N6" s="104"/>
      <c r="O6" s="99">
        <f t="shared" si="1"/>
        <v>0</v>
      </c>
      <c r="P6" s="110">
        <v>167081</v>
      </c>
      <c r="Q6" s="99">
        <f>M6*P6</f>
        <v>167081</v>
      </c>
      <c r="R6" s="101"/>
      <c r="S6" s="99">
        <f t="shared" si="2"/>
        <v>0</v>
      </c>
      <c r="T6" s="101"/>
      <c r="U6" s="99">
        <f t="shared" si="3"/>
        <v>0</v>
      </c>
      <c r="V6" s="101">
        <f t="shared" si="4"/>
        <v>167081</v>
      </c>
      <c r="W6" s="111"/>
      <c r="X6" s="103"/>
    </row>
    <row r="7" spans="1:24" s="79" customFormat="1" ht="24.95" customHeight="1">
      <c r="A7" s="93">
        <v>999999</v>
      </c>
      <c r="B7" s="94"/>
      <c r="C7" s="94"/>
      <c r="D7" s="94"/>
      <c r="E7" s="94"/>
      <c r="F7" s="95"/>
      <c r="G7" s="95"/>
      <c r="H7" s="120"/>
      <c r="I7" s="89"/>
      <c r="J7" s="131" t="s">
        <v>110</v>
      </c>
      <c r="K7" s="131" t="s">
        <v>106</v>
      </c>
      <c r="L7" s="112" t="s">
        <v>102</v>
      </c>
      <c r="M7" s="118">
        <v>1</v>
      </c>
      <c r="N7" s="119">
        <v>2900000</v>
      </c>
      <c r="O7" s="99">
        <f>M7*N7</f>
        <v>2900000</v>
      </c>
      <c r="P7" s="117"/>
      <c r="Q7" s="99">
        <f t="shared" ref="Q7" si="5">(P7*M7)*$Q$2</f>
        <v>0</v>
      </c>
      <c r="R7" s="101"/>
      <c r="S7" s="99">
        <f t="shared" ref="S7" si="6">R7*M7*$S$2</f>
        <v>0</v>
      </c>
      <c r="T7" s="101"/>
      <c r="U7" s="99">
        <f t="shared" ref="U7" si="7">T7*M7*$U$2</f>
        <v>0</v>
      </c>
      <c r="V7" s="101">
        <f t="shared" si="4"/>
        <v>2900000</v>
      </c>
      <c r="W7" s="102"/>
      <c r="X7" s="103"/>
    </row>
    <row r="8" spans="1:24" s="79" customFormat="1" ht="24.95" customHeight="1">
      <c r="A8" s="93"/>
      <c r="B8" s="94"/>
      <c r="C8" s="94"/>
      <c r="D8" s="94"/>
      <c r="E8" s="94"/>
      <c r="F8" s="95"/>
      <c r="G8" s="89"/>
      <c r="H8" s="89"/>
      <c r="I8" s="89"/>
      <c r="J8" s="96"/>
      <c r="K8" s="96"/>
      <c r="L8" s="97"/>
      <c r="M8" s="97"/>
      <c r="N8" s="98"/>
      <c r="O8" s="99">
        <f t="shared" ref="O8" si="8">SUM(N8:N8)*M8*$O$2</f>
        <v>0</v>
      </c>
      <c r="P8" s="100"/>
      <c r="Q8" s="99">
        <f t="shared" ref="Q8" si="9">(P8*M8)*$Q$2</f>
        <v>0</v>
      </c>
      <c r="R8" s="101"/>
      <c r="S8" s="99">
        <f t="shared" ref="S8" si="10">R8*M8*$S$2</f>
        <v>0</v>
      </c>
      <c r="T8" s="101"/>
      <c r="U8" s="99">
        <f t="shared" ref="U8" si="11">T8*M8*$U$2</f>
        <v>0</v>
      </c>
      <c r="V8" s="101">
        <f t="shared" ref="V8" si="12">SUM(O8+Q8)+S8+U8</f>
        <v>0</v>
      </c>
      <c r="W8" s="102"/>
      <c r="X8" s="103"/>
    </row>
    <row r="9" spans="1:24" s="73" customFormat="1" ht="19.899999999999999" customHeight="1">
      <c r="A9" s="113"/>
      <c r="B9" s="113"/>
      <c r="C9" s="113"/>
      <c r="D9" s="113"/>
      <c r="E9" s="113"/>
      <c r="F9" s="80"/>
      <c r="G9" s="80"/>
      <c r="H9" s="80"/>
      <c r="I9" s="80"/>
      <c r="J9" s="80"/>
      <c r="K9" s="80"/>
      <c r="L9" s="80"/>
      <c r="M9" s="80"/>
      <c r="N9" s="80"/>
      <c r="O9" s="114">
        <f>SUM(O5:O8)</f>
        <v>2900000</v>
      </c>
      <c r="P9" s="115"/>
      <c r="Q9" s="114">
        <f>SUM(Q5:Q8)</f>
        <v>605723</v>
      </c>
      <c r="R9" s="115"/>
      <c r="S9" s="114">
        <f>SUM(S5:S8)</f>
        <v>0</v>
      </c>
      <c r="T9" s="115"/>
      <c r="U9" s="114">
        <f>SUM(U5:U8)</f>
        <v>0</v>
      </c>
      <c r="V9" s="116">
        <f>SUM(V5:V8)</f>
        <v>3505723</v>
      </c>
      <c r="W9" s="81"/>
      <c r="X9" s="80"/>
    </row>
    <row r="13" spans="1:24">
      <c r="Q13" s="75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7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35FD4-8CE8-4859-AD5C-3022D77775D9}">
  <dimension ref="A1:R2"/>
  <sheetViews>
    <sheetView workbookViewId="0">
      <selection activeCell="D12" sqref="D12"/>
    </sheetView>
  </sheetViews>
  <sheetFormatPr defaultRowHeight="16.5"/>
  <cols>
    <col min="1" max="1" width="11.125" style="68" customWidth="1"/>
    <col min="2" max="2" width="13.375" style="68" customWidth="1"/>
    <col min="3" max="3" width="26.75" style="68" customWidth="1"/>
    <col min="4" max="4" width="40.125" style="68" customWidth="1"/>
    <col min="5" max="5" width="5" style="68" customWidth="1"/>
    <col min="6" max="6" width="6.25" style="68" customWidth="1"/>
    <col min="7" max="7" width="10" style="68" customWidth="1"/>
    <col min="8" max="8" width="11.875" style="68" customWidth="1"/>
    <col min="9" max="9" width="10" style="68" customWidth="1"/>
    <col min="10" max="10" width="11.875" style="68" customWidth="1"/>
    <col min="11" max="11" width="10" style="68" customWidth="1"/>
    <col min="12" max="12" width="11.875" style="68" customWidth="1"/>
    <col min="13" max="13" width="10" style="68" customWidth="1"/>
    <col min="14" max="14" width="11.875" style="68" customWidth="1"/>
    <col min="15" max="15" width="9.125" style="68" customWidth="1"/>
    <col min="16" max="16" width="11.5" style="68" customWidth="1"/>
    <col min="17" max="17" width="11.75" style="68" customWidth="1"/>
    <col min="18" max="18" width="17.875" style="68" customWidth="1"/>
  </cols>
  <sheetData>
    <row r="1" spans="1:18" s="68" customFormat="1">
      <c r="A1" s="125" t="s">
        <v>83</v>
      </c>
      <c r="B1" s="126" t="s">
        <v>84</v>
      </c>
      <c r="C1" s="126" t="s">
        <v>85</v>
      </c>
      <c r="D1" s="126" t="s">
        <v>86</v>
      </c>
      <c r="E1" s="126" t="s">
        <v>48</v>
      </c>
      <c r="F1" s="126" t="s">
        <v>5</v>
      </c>
      <c r="G1" s="126" t="s">
        <v>87</v>
      </c>
      <c r="H1" s="126" t="s">
        <v>88</v>
      </c>
      <c r="I1" s="126" t="s">
        <v>89</v>
      </c>
      <c r="J1" s="126" t="s">
        <v>90</v>
      </c>
      <c r="K1" s="126" t="s">
        <v>91</v>
      </c>
      <c r="L1" s="126" t="s">
        <v>92</v>
      </c>
      <c r="M1" s="126" t="s">
        <v>93</v>
      </c>
      <c r="N1" s="126" t="s">
        <v>94</v>
      </c>
      <c r="O1" s="126" t="s">
        <v>95</v>
      </c>
      <c r="P1" s="126" t="s">
        <v>96</v>
      </c>
      <c r="Q1" s="126" t="s">
        <v>97</v>
      </c>
      <c r="R1" s="126" t="s">
        <v>98</v>
      </c>
    </row>
    <row r="2" spans="1:18">
      <c r="A2" s="127">
        <v>999999</v>
      </c>
      <c r="B2" s="127" t="s">
        <v>99</v>
      </c>
      <c r="C2" s="127" t="s">
        <v>109</v>
      </c>
      <c r="D2" s="127" t="s">
        <v>111</v>
      </c>
      <c r="E2" s="127" t="s">
        <v>100</v>
      </c>
      <c r="F2" s="128">
        <v>1</v>
      </c>
      <c r="G2" s="129">
        <v>2900000</v>
      </c>
      <c r="H2" s="130"/>
      <c r="I2" s="130"/>
      <c r="J2" s="130"/>
      <c r="K2" s="130"/>
      <c r="L2" s="130"/>
      <c r="M2" s="130"/>
    </row>
  </sheetData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05F79-8ED0-43D4-8689-BBD170F7BC3D}">
  <dimension ref="G1:P1"/>
  <sheetViews>
    <sheetView zoomScale="250" zoomScaleNormal="250" workbookViewId="0">
      <selection activeCell="E28" sqref="E28"/>
    </sheetView>
  </sheetViews>
  <sheetFormatPr defaultColWidth="9" defaultRowHeight="16.5"/>
  <cols>
    <col min="1" max="1" width="11.5" style="122" bestFit="1" customWidth="1"/>
    <col min="2" max="2" width="17.875" style="122" customWidth="1"/>
    <col min="3" max="3" width="14.625" style="122" customWidth="1"/>
    <col min="4" max="4" width="10.875" style="122" customWidth="1"/>
    <col min="5" max="5" width="14" style="122" customWidth="1"/>
    <col min="6" max="6" width="10.625" style="122" customWidth="1"/>
    <col min="7" max="7" width="13.625" style="123" customWidth="1"/>
    <col min="8" max="8" width="9.625" style="122" customWidth="1"/>
    <col min="9" max="9" width="13.625" style="122" customWidth="1"/>
    <col min="10" max="10" width="12.75" style="122" customWidth="1"/>
    <col min="11" max="11" width="9.25" style="122" customWidth="1"/>
    <col min="12" max="12" width="13.625" style="123" customWidth="1"/>
    <col min="13" max="13" width="9.625" style="122" customWidth="1"/>
    <col min="14" max="14" width="13.625" style="123" customWidth="1"/>
    <col min="15" max="15" width="19.75" style="124" bestFit="1" customWidth="1"/>
    <col min="16" max="16" width="12.25" style="124" bestFit="1" customWidth="1"/>
    <col min="17" max="16384" width="9" style="122"/>
  </cols>
  <sheetData/>
  <phoneticPr fontId="7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3"/>
  <sheetViews>
    <sheetView showGridLines="0" zoomScaleNormal="100" workbookViewId="0">
      <selection activeCell="F28" sqref="F28"/>
    </sheetView>
  </sheetViews>
  <sheetFormatPr defaultColWidth="9" defaultRowHeight="16.5"/>
  <cols>
    <col min="1" max="1" width="25.125" style="69" customWidth="1"/>
    <col min="2" max="2" width="16.25" style="69" customWidth="1"/>
    <col min="3" max="3" width="22.375" style="69" customWidth="1"/>
    <col min="4" max="4" width="24.125" style="69" customWidth="1"/>
    <col min="5" max="5" width="13" style="69" customWidth="1"/>
    <col min="6" max="6" width="7.5" style="69" customWidth="1"/>
    <col min="7" max="16384" width="9" style="68"/>
  </cols>
  <sheetData>
    <row r="1" spans="1:6" ht="18" customHeight="1">
      <c r="A1" s="76" t="s">
        <v>0</v>
      </c>
      <c r="B1" s="76" t="s">
        <v>1</v>
      </c>
      <c r="C1" s="76" t="s">
        <v>2</v>
      </c>
      <c r="D1" s="76" t="s">
        <v>3</v>
      </c>
      <c r="E1" s="76" t="s">
        <v>4</v>
      </c>
      <c r="F1" s="76" t="s">
        <v>5</v>
      </c>
    </row>
    <row r="2" spans="1:6">
      <c r="A2" s="77" t="str">
        <f>'내역서(표준단가)'!A5</f>
        <v>L003</v>
      </c>
      <c r="B2" s="78">
        <f>'내역서(표준단가)'!F5</f>
        <v>0</v>
      </c>
      <c r="C2" s="78">
        <f>'내역서(표준단가)'!G5</f>
        <v>0</v>
      </c>
      <c r="D2" s="78">
        <f>'내역서(표준단가)'!H5</f>
        <v>0</v>
      </c>
      <c r="E2" s="78" t="str">
        <f>'내역서(표준단가)'!I5</f>
        <v>L003</v>
      </c>
      <c r="F2" s="78">
        <f>'내역서(표준단가)'!M5</f>
        <v>2</v>
      </c>
    </row>
    <row r="3" spans="1:6">
      <c r="A3" s="77" t="str">
        <f>'내역서(표준단가)'!A6</f>
        <v>L002</v>
      </c>
      <c r="B3" s="78">
        <f>'내역서(표준단가)'!F6</f>
        <v>0</v>
      </c>
      <c r="C3" s="78">
        <f>'내역서(표준단가)'!G6</f>
        <v>0</v>
      </c>
      <c r="D3" s="78">
        <f>'내역서(표준단가)'!H6</f>
        <v>0</v>
      </c>
      <c r="E3" s="78" t="str">
        <f>'내역서(표준단가)'!I6</f>
        <v>L002</v>
      </c>
      <c r="F3" s="78">
        <f>'내역서(표준단가)'!M6</f>
        <v>1</v>
      </c>
    </row>
  </sheetData>
  <phoneticPr fontId="7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upload(시중가)</vt:lpstr>
      <vt:lpstr>시중가 근거서류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2024-05-29T05:45:41Z</cp:lastPrinted>
  <dcterms:created xsi:type="dcterms:W3CDTF">2020-09-15T23:52:51Z</dcterms:created>
  <dcterms:modified xsi:type="dcterms:W3CDTF">2025-09-16T07:14:10Z</dcterms:modified>
</cp:coreProperties>
</file>
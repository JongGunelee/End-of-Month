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2993912B-32AD-44F7-84BC-1B251A94E71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9" l="1"/>
  <c r="J13" i="9"/>
  <c r="D13" i="9"/>
  <c r="H11" i="9"/>
  <c r="F11" i="9"/>
  <c r="H9" i="9"/>
  <c r="F9" i="9"/>
  <c r="N9" i="9" s="1"/>
  <c r="P7" i="9"/>
  <c r="H7" i="9"/>
  <c r="F7" i="9"/>
  <c r="N7" i="9" s="1"/>
  <c r="H5" i="9"/>
  <c r="F5" i="9"/>
  <c r="F13" i="9" s="1"/>
  <c r="N5" i="9" l="1"/>
  <c r="N11" i="9"/>
  <c r="N13" i="9"/>
  <c r="H13" i="9"/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7" i="4"/>
  <c r="O7" i="4"/>
  <c r="M7" i="4"/>
  <c r="K7" i="4"/>
  <c r="R7" i="4" l="1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33" i="9" l="1"/>
  <c r="J33" i="9"/>
  <c r="N14" i="9"/>
  <c r="N15" i="9"/>
  <c r="N17" i="9"/>
  <c r="F30" i="9"/>
  <c r="N27" i="9"/>
  <c r="H18" i="9"/>
  <c r="N23" i="9"/>
  <c r="N28" i="9"/>
  <c r="N16" i="9"/>
  <c r="H30" i="9"/>
  <c r="N26" i="9"/>
  <c r="N24" i="9"/>
  <c r="N21" i="9"/>
  <c r="N31" i="9"/>
  <c r="N32" i="9" s="1"/>
  <c r="F18" i="9"/>
  <c r="F33" i="9" l="1"/>
  <c r="H33" i="9"/>
  <c r="N18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F17" i="5" s="1"/>
  <c r="R8" i="4"/>
  <c r="R11" i="4"/>
  <c r="R14" i="4"/>
  <c r="R15" i="4"/>
  <c r="R10" i="4"/>
  <c r="R13" i="4"/>
  <c r="R16" i="4"/>
  <c r="F21" i="5" l="1"/>
  <c r="F22" i="5"/>
  <c r="R18" i="4"/>
  <c r="Q18" i="4"/>
  <c r="F16" i="5"/>
  <c r="O18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<sst xmlns="http://schemas.openxmlformats.org/spreadsheetml/2006/main" count="236" uniqueCount="170">
  <si>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</si>
  <si>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</si>
  <si>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</si>
  <si>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</si>
  <si>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</si>
  <si>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</si>
  <si>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</si>
  <si>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</si>
  <si>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</si>
  <si>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</si>
  <si>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</si>
  <si>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</si>
  <si>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</si>
  <si>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</si>
  <si>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</si>
  <si>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</si>
  <si>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</si>
  <si>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</si>
  <si>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</si>
  <si>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</si>
  <si>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</si>
  <si>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</si>
  <si>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</si>
  <si>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</si>
  <si>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</si>
  <si>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</si>
  <si>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</si>
  <si>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</si>
  <si>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</si>
  <si>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</si>
  <si>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</si>
  <si>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</si>
  <si>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</si>
  <si>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</si>
  <si>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</si>
  <si>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</si>
  <si>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</si>
  <si>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</si>
  <si>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</si>
  <si>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</si>
  <si>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</si>
  <si>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</si>
  <si>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</si>
  <si>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</si>
  <si>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</si>
  <si>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</si>
  <si>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</si>
  <si>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</si>
  <si>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</si>
  <si>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</si>
  <si>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</si>
  <si>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</si>
  <si>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</si>
  <si>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</si>
  <si>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</si>
  <si>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</si>
  <si>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</si>
  <si>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</si>
  <si>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</si>
  <si>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</si>
  <si>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</si>
  <si>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</si>
  <si>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</si>
  <si>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</si>
  <si>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</si>
  <si>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</si>
  <si>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</si>
  <si>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</si>
  <si>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</si>
  <si>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</si>
  <si>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</si>
  <si>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</si>
  <si>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</si>
  <si>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</si>
  <si>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</si>
  <si>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</si>
  <si>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</si>
  <si>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</si>
  <si>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</si>
  <si>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</si>
  <si>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</si>
  <si>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</si>
  <si>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</si>
  <si>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</si>
  <si>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</si>
  <si>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</si>
  <si>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</si>
  <si>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</si>
  <si>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</si>
  <si>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</si>
  <si>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</si>
  <si>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</si>
  <si>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</si>
  <si>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</si>
  <si>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</si>
  <si>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</si>
  <si>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</si>
  <si>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</si>
  <si>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</si>
  <si>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</si>
  <si>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</si>
  <si>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</si>
  <si>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</si>
  <si>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</si>
  <si>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</si>
  <si>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</si>
  <si>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</si>
  <si>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</si>
  <si>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</si>
  <si>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</si>
  <si>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</si>
  <si>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</si>
  <si>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</si>
  <si>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</si>
  <si>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</si>
  <si>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</si>
  <si>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</si>
  <si>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</si>
  <si>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</si>
  <si>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</si>
  <si>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</si>
  <si>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</si>
  <si>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</si>
  <si>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</si>
  <si>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</si>
  <si>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</si>
  <si>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</si>
  <si>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</si>
  <si>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</si>
  <si>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</si>
  <si>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</si>
  <si>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</si>
  <si>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</si>
  <si>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</si>
  <si>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</si>
  <si>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</si>
  <si>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</si>
  <si>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</si>
  <si>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</si>
  <si>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</si>
  <si>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</si>
  <si>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</si>
  <si>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</si>
  <si>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</si>
  <si>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</si>
  <si>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</si>
  <si>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</si>
  <si>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</si>
  <si>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</si>
  <si>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</si>
  <si>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</si>
  <si>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</si>
  <si>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</si>
  <si>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</si>
  <si>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</si>
  <si>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</si>
  <si>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</si>
  <si>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</si>
  <si>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</si>
  <si>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</si>
  <si>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</si>
  <si>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</si>
  <si>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</si>
  <si>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</si>
  <si>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</si>
  <si>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</si>
  <si>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02월  25일</t>
    <phoneticPr fontId="5" type="noConversion"/>
  </si>
  <si>
    <t xml:space="preserve"> 공사명 : 사택 8-204 수장작업</t>
    <phoneticPr fontId="11" type="noConversion"/>
  </si>
  <si>
    <t>사택 8-204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</si>
  <si>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소요량136/16.51=8.2374R/L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</si>
</sst>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13" borderId="31" xfId="13" applyNumberFormat="1" applyFont="1" applyFill="1" applyBorder="1" applyAlignment="1">
      <alignment horizontal="center" vertical="center"/>
    </xf>
    <xf numFmtId="177" fontId="21" fillId="13" borderId="31" xfId="13" applyFont="1" applyFill="1" applyBorder="1" applyAlignment="1">
      <alignment horizontal="center" vertical="center"/>
    </xf>
    <xf numFmtId="190" fontId="21" fillId="13" borderId="31" xfId="13" applyNumberFormat="1" applyFont="1" applyFill="1" applyBorder="1" applyAlignment="1">
      <alignment horizontal="center" vertical="center"/>
    </xf>
    <xf numFmtId="183" fontId="28" fillId="13" borderId="31" xfId="13" applyNumberFormat="1" applyFont="1" applyFill="1" applyBorder="1" applyAlignment="1">
      <alignment horizontal="right" vertical="center" wrapText="1"/>
    </xf>
    <xf numFmtId="183" fontId="21" fillId="13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21" sqref="I2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167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166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사백삼십팔만육천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'내역서(표준단가)'!K18</f>
        <v>831970.33609999996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'내역서(표준단가)'!M18</f>
        <v>2889314.0161779998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'내역서(표준단가)'!O18+'내역서(표준단가)'!Q18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3721284.3522779997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164</v>
      </c>
      <c r="D21" s="168">
        <v>1</v>
      </c>
      <c r="E21" s="168" t="s">
        <v>24</v>
      </c>
      <c r="F21" s="169">
        <f>F17*4.75%</f>
        <v>137242.41576845499</v>
      </c>
      <c r="G21" s="35" t="s">
        <v>25</v>
      </c>
    </row>
    <row r="22" spans="1:7" ht="33" customHeight="1">
      <c r="A22" s="29"/>
      <c r="B22" s="170" t="s">
        <v>26</v>
      </c>
      <c r="C22" s="167" t="s">
        <v>165</v>
      </c>
      <c r="D22" s="171">
        <v>1</v>
      </c>
      <c r="E22" s="171" t="s">
        <v>24</v>
      </c>
      <c r="F22" s="172">
        <f>F17*3.595%</f>
        <v>103870.83888159911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13451.273635167085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29182.071563397796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102859.57897593679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109033.63152174541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169247.69132621508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664887.50167251623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4386171.8539505163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4386000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zoomScale="90" zoomScaleNormal="90" workbookViewId="0">
      <pane ySplit="4" topLeftCell="A5" activePane="bottomLeft" state="frozen"/>
      <selection pane="bottomLeft" activeCell="G5" sqref="G5:I17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150</v>
      </c>
      <c r="E5" s="94"/>
      <c r="F5" s="130" t="s">
        <v>151</v>
      </c>
      <c r="G5" s="130" t="s">
        <v>169</v>
      </c>
      <c r="H5" s="110" t="s">
        <v>159</v>
      </c>
      <c r="I5" s="129">
        <v>8.2373999999999992</v>
      </c>
      <c r="J5" s="155">
        <v>20900</v>
      </c>
      <c r="K5" s="126">
        <f t="shared" ref="K5" si="1">SUM(J5:J5)*I5*$K$2</f>
        <v>143754.98609999998</v>
      </c>
      <c r="L5" s="125"/>
      <c r="M5" s="126">
        <f t="shared" ref="M5:M16" si="2">(L5*I5)*$M$2</f>
        <v>0</v>
      </c>
      <c r="N5" s="127"/>
      <c r="O5" s="126">
        <f t="shared" ref="O5:O16" si="3">N5*I5*$O$2</f>
        <v>0</v>
      </c>
      <c r="P5" s="127"/>
      <c r="Q5" s="126">
        <f t="shared" ref="Q5:Q16" si="4">P5*I5*$Q$2</f>
        <v>0</v>
      </c>
      <c r="R5" s="73">
        <f t="shared" ref="R5:R16" si="5">SUM(K5+M5)+O5+Q5</f>
        <v>143754.98609999998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160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7" si="11">B7&amp;C7&amp;D7&amp;E7</f>
        <v>M020809012520101</v>
      </c>
      <c r="B7" s="94"/>
      <c r="C7" s="70"/>
      <c r="D7" s="70" t="s">
        <v>153</v>
      </c>
      <c r="E7" s="94"/>
      <c r="F7" s="130" t="s">
        <v>154</v>
      </c>
      <c r="G7" s="130" t="s">
        <v>155</v>
      </c>
      <c r="H7" s="110" t="s">
        <v>152</v>
      </c>
      <c r="I7" s="129">
        <v>59.5</v>
      </c>
      <c r="J7" s="157">
        <v>13000</v>
      </c>
      <c r="K7" s="126">
        <f t="shared" ref="K7:K16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161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M020412614110102</v>
      </c>
      <c r="B9" s="94"/>
      <c r="C9" s="70"/>
      <c r="D9" s="121" t="s">
        <v>147</v>
      </c>
      <c r="E9" s="94"/>
      <c r="F9" s="133" t="s">
        <v>146</v>
      </c>
      <c r="G9" s="133" t="s">
        <v>141</v>
      </c>
      <c r="H9" s="122" t="s">
        <v>140</v>
      </c>
      <c r="I9" s="129">
        <v>0.5</v>
      </c>
      <c r="J9" s="155">
        <v>65500</v>
      </c>
      <c r="K9" s="126">
        <f t="shared" si="12"/>
        <v>27346.25</v>
      </c>
      <c r="L9" s="125"/>
      <c r="M9" s="126"/>
      <c r="N9" s="127"/>
      <c r="O9" s="126"/>
      <c r="P9" s="127"/>
      <c r="Q9" s="126"/>
      <c r="R9" s="73">
        <f t="shared" si="5"/>
        <v>27346.25</v>
      </c>
      <c r="S9" s="109"/>
      <c r="T9" s="74"/>
    </row>
    <row r="10" spans="1:20" s="139" customFormat="1" ht="38.1" customHeight="1">
      <c r="A10" s="69" t="str">
        <f t="shared" si="11"/>
        <v>E00000803061120402</v>
      </c>
      <c r="B10" s="94"/>
      <c r="C10" s="70" t="s">
        <v>123</v>
      </c>
      <c r="D10" s="70"/>
      <c r="E10" s="94"/>
      <c r="F10" s="130" t="s">
        <v>124</v>
      </c>
      <c r="G10" s="130" t="s">
        <v>125</v>
      </c>
      <c r="H10" s="110" t="s">
        <v>138</v>
      </c>
      <c r="I10" s="129">
        <v>48</v>
      </c>
      <c r="J10" s="125"/>
      <c r="K10" s="126">
        <f t="shared" si="12"/>
        <v>0</v>
      </c>
      <c r="L10" s="158">
        <v>10752</v>
      </c>
      <c r="M10" s="126">
        <f t="shared" si="2"/>
        <v>430940.15999999997</v>
      </c>
      <c r="N10" s="127"/>
      <c r="O10" s="126">
        <f t="shared" si="3"/>
        <v>0</v>
      </c>
      <c r="P10" s="127"/>
      <c r="Q10" s="126">
        <f t="shared" si="4"/>
        <v>0</v>
      </c>
      <c r="R10" s="73">
        <f t="shared" si="5"/>
        <v>430940.15999999997</v>
      </c>
      <c r="S10" s="109"/>
      <c r="T10" s="74"/>
    </row>
    <row r="11" spans="1:20" s="139" customFormat="1" ht="38.1" customHeight="1">
      <c r="A11" s="69" t="str">
        <f t="shared" si="11"/>
        <v>E00000803061300201</v>
      </c>
      <c r="B11" s="94"/>
      <c r="C11" s="70" t="s">
        <v>127</v>
      </c>
      <c r="D11" s="70"/>
      <c r="E11" s="94"/>
      <c r="F11" s="130" t="s">
        <v>128</v>
      </c>
      <c r="G11" s="130" t="s">
        <v>129</v>
      </c>
      <c r="H11" s="110" t="s">
        <v>126</v>
      </c>
      <c r="I11" s="129">
        <v>48</v>
      </c>
      <c r="J11" s="125"/>
      <c r="K11" s="126">
        <f t="shared" si="12"/>
        <v>0</v>
      </c>
      <c r="L11" s="156">
        <v>6368</v>
      </c>
      <c r="M11" s="126">
        <f t="shared" si="2"/>
        <v>255229.44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255229.44</v>
      </c>
      <c r="S11" s="109"/>
      <c r="T11" s="74"/>
    </row>
    <row r="12" spans="1:20" s="139" customFormat="1" ht="38.1" customHeight="1">
      <c r="A12" s="69" t="str">
        <f t="shared" si="11"/>
        <v>M020411810170101</v>
      </c>
      <c r="B12" s="94"/>
      <c r="C12" s="70"/>
      <c r="D12" s="121" t="s">
        <v>142</v>
      </c>
      <c r="E12" s="94"/>
      <c r="F12" s="133" t="s">
        <v>143</v>
      </c>
      <c r="G12" s="133" t="s">
        <v>144</v>
      </c>
      <c r="H12" s="122" t="s">
        <v>140</v>
      </c>
      <c r="I12" s="129">
        <v>0.2</v>
      </c>
      <c r="J12" s="165">
        <v>89800</v>
      </c>
      <c r="K12" s="126">
        <f t="shared" si="12"/>
        <v>14996.599999999999</v>
      </c>
      <c r="L12" s="125"/>
      <c r="M12" s="126"/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14996.599999999999</v>
      </c>
      <c r="S12" s="109"/>
      <c r="T12" s="74"/>
    </row>
    <row r="13" spans="1:20" s="139" customFormat="1" ht="38.1" customHeight="1">
      <c r="A13" s="69" t="str">
        <f t="shared" si="11"/>
        <v>E00000803061120802</v>
      </c>
      <c r="B13" s="94"/>
      <c r="C13" s="70" t="s">
        <v>130</v>
      </c>
      <c r="D13" s="70"/>
      <c r="E13" s="94"/>
      <c r="F13" s="130" t="s">
        <v>131</v>
      </c>
      <c r="G13" s="130" t="s">
        <v>132</v>
      </c>
      <c r="H13" s="110" t="s">
        <v>126</v>
      </c>
      <c r="I13" s="129">
        <v>16</v>
      </c>
      <c r="J13" s="140"/>
      <c r="K13" s="72">
        <f t="shared" si="12"/>
        <v>0</v>
      </c>
      <c r="L13" s="156">
        <v>2496</v>
      </c>
      <c r="M13" s="72">
        <f t="shared" si="2"/>
        <v>33346.559999999998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33346.559999999998</v>
      </c>
      <c r="S13" s="109"/>
      <c r="T13" s="74"/>
    </row>
    <row r="14" spans="1:20" s="139" customFormat="1" ht="38.1" customHeight="1">
      <c r="A14" s="69" t="str">
        <f t="shared" si="11"/>
        <v>E00000803061300701</v>
      </c>
      <c r="B14" s="94"/>
      <c r="C14" s="70" t="s">
        <v>133</v>
      </c>
      <c r="D14" s="70"/>
      <c r="E14" s="94"/>
      <c r="F14" s="130" t="s">
        <v>134</v>
      </c>
      <c r="G14" s="130" t="s">
        <v>129</v>
      </c>
      <c r="H14" s="110" t="s">
        <v>126</v>
      </c>
      <c r="I14" s="129">
        <v>16</v>
      </c>
      <c r="J14" s="111"/>
      <c r="K14" s="72">
        <f t="shared" si="12"/>
        <v>0</v>
      </c>
      <c r="L14" s="156">
        <v>3871</v>
      </c>
      <c r="M14" s="72">
        <f t="shared" si="2"/>
        <v>51716.56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51716.56</v>
      </c>
      <c r="S14" s="109"/>
      <c r="T14" s="74"/>
    </row>
    <row r="15" spans="1:20" s="139" customFormat="1" ht="38.1" customHeight="1">
      <c r="A15" s="69" t="str">
        <f t="shared" si="11"/>
        <v>E00000803061120802</v>
      </c>
      <c r="B15" s="94"/>
      <c r="C15" s="70" t="s">
        <v>130</v>
      </c>
      <c r="D15" s="70"/>
      <c r="E15" s="94"/>
      <c r="F15" s="130" t="s">
        <v>135</v>
      </c>
      <c r="G15" s="130" t="s">
        <v>132</v>
      </c>
      <c r="H15" s="110" t="s">
        <v>126</v>
      </c>
      <c r="I15" s="129">
        <v>2</v>
      </c>
      <c r="J15" s="140"/>
      <c r="K15" s="72">
        <f t="shared" si="12"/>
        <v>0</v>
      </c>
      <c r="L15" s="156">
        <v>2496</v>
      </c>
      <c r="M15" s="72">
        <f t="shared" si="2"/>
        <v>4168.32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4168.32</v>
      </c>
      <c r="S15" s="109"/>
      <c r="T15" s="74"/>
    </row>
    <row r="16" spans="1:20" s="139" customFormat="1" ht="38.1" customHeight="1">
      <c r="A16" s="69" t="str">
        <f t="shared" si="11"/>
        <v>E00000803061300401</v>
      </c>
      <c r="B16" s="94"/>
      <c r="C16" s="70" t="s">
        <v>136</v>
      </c>
      <c r="D16" s="70"/>
      <c r="E16" s="94"/>
      <c r="F16" s="130" t="s">
        <v>137</v>
      </c>
      <c r="G16" s="130" t="s">
        <v>129</v>
      </c>
      <c r="H16" s="110" t="s">
        <v>126</v>
      </c>
      <c r="I16" s="129">
        <v>2</v>
      </c>
      <c r="J16" s="111"/>
      <c r="K16" s="72">
        <f t="shared" si="12"/>
        <v>0</v>
      </c>
      <c r="L16" s="156">
        <v>5851</v>
      </c>
      <c r="M16" s="72">
        <f t="shared" si="2"/>
        <v>9771.17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9771.17</v>
      </c>
      <c r="S16" s="109"/>
      <c r="T16" s="74"/>
    </row>
    <row r="17" spans="1:20" s="139" customFormat="1" ht="38.1" customHeight="1">
      <c r="A17" s="69" t="str">
        <f t="shared" si="11"/>
        <v>E00000801011510701</v>
      </c>
      <c r="B17" s="94"/>
      <c r="C17" s="70" t="s">
        <v>158</v>
      </c>
      <c r="D17" s="70"/>
      <c r="E17" s="94"/>
      <c r="F17" s="159" t="s">
        <v>162</v>
      </c>
      <c r="G17" s="71" t="s">
        <v>157</v>
      </c>
      <c r="H17" s="160" t="s">
        <v>163</v>
      </c>
      <c r="I17" s="129">
        <v>100</v>
      </c>
      <c r="J17" s="140"/>
      <c r="K17" s="72">
        <f t="shared" ref="K17" si="13">SUM(J17:J17)*I17*$K$2</f>
        <v>0</v>
      </c>
      <c r="L17" s="156">
        <v>5131</v>
      </c>
      <c r="M17" s="72">
        <f t="shared" ref="M17" si="14">(L17*I17)*$M$2</f>
        <v>428438.5</v>
      </c>
      <c r="N17" s="73"/>
      <c r="O17" s="72">
        <f t="shared" ref="O17" si="15">N17*I17*$O$2</f>
        <v>0</v>
      </c>
      <c r="P17" s="73"/>
      <c r="Q17" s="72">
        <f t="shared" ref="Q17" si="16">P17*I17*$Q$2</f>
        <v>0</v>
      </c>
      <c r="R17" s="73">
        <f t="shared" ref="R17" si="17">SUM(K17+M17)+O17+Q17</f>
        <v>428438.5</v>
      </c>
      <c r="S17" s="109"/>
      <c r="T17" s="74"/>
    </row>
    <row r="18" spans="1:20" s="146" customFormat="1" ht="38.1" customHeight="1">
      <c r="A18" s="141"/>
      <c r="B18" s="142"/>
      <c r="C18" s="142"/>
      <c r="D18" s="142"/>
      <c r="E18" s="142"/>
      <c r="F18" s="134"/>
      <c r="G18" s="134"/>
      <c r="H18" s="142"/>
      <c r="I18" s="142"/>
      <c r="J18" s="142"/>
      <c r="K18" s="143">
        <f>SUM(K5:K17)</f>
        <v>831970.33609999996</v>
      </c>
      <c r="L18" s="144"/>
      <c r="M18" s="143">
        <f>SUM(M5:M17)</f>
        <v>2889314.0161779998</v>
      </c>
      <c r="N18" s="144"/>
      <c r="O18" s="143">
        <f>SUM(O5:O17)</f>
        <v>0</v>
      </c>
      <c r="P18" s="144"/>
      <c r="Q18" s="143">
        <f>SUM(Q5:Q17)</f>
        <v>0</v>
      </c>
      <c r="R18" s="145">
        <f>SUM(R5:R17)</f>
        <v>3721284.3522780002</v>
      </c>
      <c r="S18" s="102"/>
      <c r="T18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G37" sqref="G37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8" t="s">
        <v>58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6" ht="15" customHeight="1">
      <c r="A2" s="199" t="s">
        <v>59</v>
      </c>
      <c r="B2" s="200" t="s">
        <v>60</v>
      </c>
      <c r="C2" s="201" t="s">
        <v>47</v>
      </c>
      <c r="D2" s="201" t="s">
        <v>61</v>
      </c>
      <c r="E2" s="203" t="s">
        <v>62</v>
      </c>
      <c r="F2" s="200"/>
      <c r="G2" s="200" t="s">
        <v>63</v>
      </c>
      <c r="H2" s="200"/>
      <c r="I2" s="204" t="s">
        <v>64</v>
      </c>
      <c r="J2" s="205"/>
      <c r="K2" s="204" t="s">
        <v>65</v>
      </c>
      <c r="L2" s="205"/>
      <c r="M2" s="203" t="s">
        <v>66</v>
      </c>
      <c r="N2" s="200"/>
      <c r="O2" s="206" t="s">
        <v>67</v>
      </c>
    </row>
    <row r="3" spans="1:16" ht="15" customHeight="1">
      <c r="A3" s="199"/>
      <c r="B3" s="200"/>
      <c r="C3" s="202"/>
      <c r="D3" s="202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7"/>
    </row>
    <row r="4" spans="1:16" ht="15" customHeight="1">
      <c r="A4" s="196" t="s">
        <v>168</v>
      </c>
      <c r="B4" s="19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9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1" si="0">D5*E5</f>
        <v>42280</v>
      </c>
      <c r="G5" s="161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11" t="s">
        <v>148</v>
      </c>
    </row>
    <row r="6" spans="1:16" ht="15" customHeight="1">
      <c r="A6" s="210"/>
      <c r="B6" s="173" t="s">
        <v>74</v>
      </c>
      <c r="C6" s="174" t="s">
        <v>73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12"/>
    </row>
    <row r="7" spans="1:16" ht="15" customHeight="1">
      <c r="A7" s="210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12"/>
      <c r="P7" s="108">
        <f>D6+D8+D10+D12</f>
        <v>0</v>
      </c>
    </row>
    <row r="8" spans="1:16" ht="15" customHeight="1">
      <c r="A8" s="210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12"/>
    </row>
    <row r="9" spans="1:16" ht="15" customHeight="1">
      <c r="A9" s="210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12"/>
    </row>
    <row r="10" spans="1:16" ht="15" customHeight="1">
      <c r="A10" s="210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12"/>
    </row>
    <row r="11" spans="1:16" ht="15" customHeight="1">
      <c r="A11" s="210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12"/>
    </row>
    <row r="12" spans="1:16" ht="15" customHeight="1">
      <c r="A12" s="210"/>
      <c r="B12" s="173" t="s">
        <v>80</v>
      </c>
      <c r="C12" s="174" t="s">
        <v>73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212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213" t="s">
        <v>149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12"/>
    </row>
    <row r="15" spans="1:16" ht="15" customHeight="1">
      <c r="A15" s="213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12"/>
    </row>
    <row r="16" spans="1:16" ht="15" customHeight="1">
      <c r="A16" s="213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12"/>
    </row>
    <row r="17" spans="1:15" ht="15" customHeight="1">
      <c r="A17" s="214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5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16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16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16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16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208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208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208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208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156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831967.6</v>
      </c>
      <c r="G33" s="92"/>
      <c r="H33" s="92">
        <f>H13+H18+H30+H32</f>
        <v>2889458.5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3721426.1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G25" sqref="G25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8.2373999999999992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>
      <c r="A6" s="98" t="str">
        <f>'내역서(표준단가)'!A9</f>
        <v>M020412614110102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M020412614110102</v>
      </c>
      <c r="E6" s="99">
        <f>'내역서(표준단가)'!E9</f>
        <v>0</v>
      </c>
      <c r="F6" s="107">
        <f>'내역서(표준단가)'!I9</f>
        <v>0.5</v>
      </c>
    </row>
    <row r="7" spans="1:6">
      <c r="A7" s="98" t="str">
        <f>'내역서(표준단가)'!A10</f>
        <v>E00000803061120402</v>
      </c>
      <c r="B7" s="99">
        <f>'내역서(표준단가)'!B10</f>
        <v>0</v>
      </c>
      <c r="C7" s="99" t="str">
        <f>'내역서(표준단가)'!C10</f>
        <v>E00000803061120402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48</v>
      </c>
    </row>
    <row r="8" spans="1:6">
      <c r="A8" s="98" t="str">
        <f>'내역서(표준단가)'!A11</f>
        <v>E00000803061300201</v>
      </c>
      <c r="B8" s="99">
        <f>'내역서(표준단가)'!B11</f>
        <v>0</v>
      </c>
      <c r="C8" s="99" t="str">
        <f>'내역서(표준단가)'!C11</f>
        <v>E00000803061300201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M020411810170101</v>
      </c>
      <c r="B9" s="99">
        <f>'내역서(표준단가)'!B12</f>
        <v>0</v>
      </c>
      <c r="C9" s="99">
        <f>'내역서(표준단가)'!C12</f>
        <v>0</v>
      </c>
      <c r="D9" s="99" t="str">
        <f>'내역서(표준단가)'!D12</f>
        <v>M020411810170101</v>
      </c>
      <c r="E9" s="99">
        <f>'내역서(표준단가)'!E12</f>
        <v>0</v>
      </c>
      <c r="F9" s="107">
        <f>'내역서(표준단가)'!I12</f>
        <v>0.2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16</v>
      </c>
    </row>
    <row r="11" spans="1:6">
      <c r="A11" s="98" t="str">
        <f>'내역서(표준단가)'!A14</f>
        <v>E00000803061300701</v>
      </c>
      <c r="B11" s="99">
        <f>'내역서(표준단가)'!B14</f>
        <v>0</v>
      </c>
      <c r="C11" s="99" t="str">
        <f>'내역서(표준단가)'!C14</f>
        <v>E00000803061300701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E00000803061120802</v>
      </c>
      <c r="B12" s="99">
        <f>'내역서(표준단가)'!B15</f>
        <v>0</v>
      </c>
      <c r="C12" s="99" t="str">
        <f>'내역서(표준단가)'!C15</f>
        <v>E00000803061120802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2</v>
      </c>
    </row>
    <row r="13" spans="1:6">
      <c r="A13" s="98" t="str">
        <f>'내역서(표준단가)'!A16</f>
        <v>E00000803061300401</v>
      </c>
      <c r="B13" s="99">
        <f>'내역서(표준단가)'!B16</f>
        <v>0</v>
      </c>
      <c r="C13" s="99" t="str">
        <f>'내역서(표준단가)'!C16</f>
        <v>E00000803061300401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E00000801011510701</v>
      </c>
      <c r="B14" s="99">
        <f>'내역서(표준단가)'!B17</f>
        <v>0</v>
      </c>
      <c r="C14" s="99" t="str">
        <f>'내역서(표준단가)'!C17</f>
        <v>E00000801011510701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2026-03-03T06:51:18Z</dcterms:modified>
</cp:coreProperties>
</file>
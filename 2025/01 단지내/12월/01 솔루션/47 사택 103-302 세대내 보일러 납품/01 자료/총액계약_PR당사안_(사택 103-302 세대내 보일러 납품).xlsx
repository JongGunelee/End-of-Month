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630BFE31-9704-4BD5-B1DA-3E5C6FED4EE2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S7" i="2"/>
  <c r="Q7" i="2"/>
  <c r="O7" i="2"/>
  <c r="U6" i="2"/>
  <c r="S6" i="2"/>
  <c r="Q6" i="2"/>
  <c r="O6" i="2"/>
  <c r="V6" i="2" s="1"/>
  <c r="A6" i="2"/>
  <c r="U5" i="2"/>
  <c r="U7" i="2" s="1"/>
  <c r="S5" i="2"/>
  <c r="Q5" i="2"/>
  <c r="O5" i="2"/>
  <c r="J22" i="4" l="1"/>
  <c r="J24" i="4"/>
  <c r="J23" i="4"/>
  <c r="J26" i="4"/>
  <c r="J25" i="4"/>
  <c r="J27" i="4" s="1"/>
  <c r="K9" i="3"/>
  <c r="D9" i="3"/>
  <c r="V5" i="2"/>
  <c r="V7" i="2" s="1"/>
  <c r="J28" i="4" l="1"/>
  <c r="J20" i="4" s="1"/>
  <c r="J30" i="4" s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<sst xmlns="http://schemas.openxmlformats.org/spreadsheetml/2006/main" count="144" uniqueCount="126">
  <si>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</si>
  <si>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</si>
  <si>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</si>
  <si>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>상      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</si>
  <si>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</si>
  <si>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네번타는보일러-30K</t>
  </si>
  <si>
    <t>GTX-8000</t>
  </si>
  <si>
    <t>업      태</t>
  </si>
  <si>
    <t>주      소</t>
  </si>
  <si>
    <t>823-9444       FAX 823-9511</t>
  </si>
  <si>
    <t>보일러,버너,배관자재,에어컨</t>
  </si>
  <si>
    <t>GRV-300(601)</t>
  </si>
  <si>
    <t>314-19-99933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</si>
  <si>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</si>
  <si>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</si>
  <si>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</si>
  <si>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</si>
  <si>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</si>
  <si>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</si>
  <si>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도소매</t>
  </si>
  <si>
    <t>수 량</t>
  </si>
  <si>
    <t>콘트롤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</si>
  <si>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</si>
  <si>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</si>
  <si>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</si>
  <si>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합계</t>
  </si>
  <si>
    <t>SET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</si>
  <si>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</si>
  <si>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</si>
  <si>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  김 태 용</t>
  </si>
  <si>
    <t>기 타 사 항</t>
  </si>
  <si>
    <t>할증기준</t>
  </si>
  <si>
    <t>종   목</t>
  </si>
  <si>
    <t>세    액</t>
  </si>
  <si>
    <t>가스밸브</t>
  </si>
  <si>
    <t>품     명</t>
  </si>
  <si>
    <t>열교환기</t>
  </si>
  <si>
    <t>성   명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</si>
  <si>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</si>
  <si>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</si>
  <si>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등 록 번 호</t>
  </si>
  <si>
    <t>단    가</t>
  </si>
  <si>
    <t>비   고</t>
  </si>
  <si>
    <t>합 계 금 액</t>
  </si>
  <si>
    <t>규     격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</si>
  <si>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</si>
  <si>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</si>
  <si>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기계경비</t>
    </r>
  </si>
  <si>
    <t>공 급 가 액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</si>
  <si>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</si>
  <si>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</si>
  <si>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</si>
  <si>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</si>
  <si>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</si>
  <si>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 xml:space="preserve"> 대전광역시 유성구 계룡로 16번길 48, 1층(구암동)</t>
  </si>
  <si>
    <t xml:space="preserve">  ※ LG사택 103동 302호</t>
  </si>
  <si>
    <t>103동 302호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</si>
  <si>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</si>
  <si>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</si>
  <si>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</si>
  <si>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</si>
  <si>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</si>
  <si>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</si>
  <si>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</si>
  <si>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</si>
  <si>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</si>
  <si>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</si>
  <si>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</si>
  <si>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</si>
  <si>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</si>
  <si>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</si>
  <si>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</si>
  <si>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</si>
  <si>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</si>
  <si>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</si>
  <si>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</si>
  <si>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</si>
  <si>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</si>
  <si>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</si>
  <si>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</si>
  <si>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</si>
  <si>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</si>
  <si>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</si>
  <si>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</si>
  <si>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</si>
  <si>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</si>
  <si>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</si>
  <si>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</si>
  <si>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</si>
  <si>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</si>
  <si>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</si>
  <si>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</si>
  <si>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</si>
  <si>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</si>
  <si>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</si>
  <si>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</si>
  <si>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</si>
  <si>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</si>
  <si>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</si>
  <si>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</si>
  <si>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</si>
  <si>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</si>
  <si>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</si>
  <si>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</si>
  <si>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</si>
  <si>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</si>
  <si>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</si>
  <si>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</si>
  <si>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</si>
  <si>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</si>
  <si>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</si>
  <si>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</si>
  <si>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</si>
  <si>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</si>
  <si>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</si>
  <si>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</si>
  <si>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</si>
  <si>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</si>
  <si>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</si>
  <si>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</si>
  <si>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</si>
  <si>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</si>
  <si>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</si>
  <si>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</si>
  <si>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103-302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</si>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</sst>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D95E3240-D44B-4A2A-87A9-9AB1D32BCBD7}"/>
    <cellStyle name="백분율 2 3" xfId="6" xr:uid="{00000000-0005-0000-0000-000006000000}"/>
    <cellStyle name="쉼표 [0] 17" xfId="2" xr:uid="{00000000-0005-0000-0000-000002000000}"/>
    <cellStyle name="쉼표 [0] 17 2" xfId="20" xr:uid="{B650E2C2-C6A1-4BD6-A39C-14559B77E936}"/>
    <cellStyle name="쉼표 [0] 2" xfId="13" xr:uid="{D6830BB2-9491-482F-A11F-6F80D6BF5BB1}"/>
    <cellStyle name="쉼표 [0] 2 2 2" xfId="5" xr:uid="{00000000-0005-0000-0000-000005000000}"/>
    <cellStyle name="쉼표 [0] 2 2 29" xfId="14" xr:uid="{21CBFDBB-9933-4A7A-B326-1264F3569039}"/>
    <cellStyle name="쉼표 [0] 2 3" xfId="4" xr:uid="{00000000-0005-0000-0000-000004000000}"/>
    <cellStyle name="쉼표 [0] 2 84" xfId="18" xr:uid="{FF12F5C7-E5FA-44DA-A222-013C2EB9C200}"/>
    <cellStyle name="쉼표 [0] 5" xfId="16" xr:uid="{1B564C47-983D-4C93-AC91-5F7888AE3714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BC83508C-4E23-4922-89BC-A207D1E66A8F}"/>
    <cellStyle name="표준 10 2" xfId="10" xr:uid="{949268B3-C38B-41C5-B841-A9FE445AFC66}"/>
    <cellStyle name="표준 2" xfId="17" xr:uid="{08A7C840-BDEB-40B6-96A7-7DC890A3EDD2}"/>
    <cellStyle name="표준 3 2" xfId="3" xr:uid="{00000000-0005-0000-0000-000003000000}"/>
    <cellStyle name="표준 7" xfId="7" xr:uid="{00000000-0005-0000-0000-000007000000}"/>
    <cellStyle name="표준_p1공장 외벽청소(08.03.17)" xfId="11" xr:uid="{7DB1567E-466C-405C-A616-531E0ED5016B}"/>
    <cellStyle name="표준_P456 공장 및 복지동 전면 유리창 청소건 라상혁님_1129(최종)" xfId="12" xr:uid="{9EB21699-C3A4-461B-8EEE-7A5E269496A9}"/>
    <cellStyle name="표준_S&amp;D_MAIN VALVE_최빈_2" xfId="9" xr:uid="{791F447D-FAF4-4982-B86E-EB0C818F6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D0B878-3131-43A6-BA0D-58CECFA0C9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CB05-691D-43B7-B6C6-9FFB3931A21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46</v>
      </c>
      <c r="Q1" s="44" t="s">
        <v>46</v>
      </c>
      <c r="S1" s="44" t="s">
        <v>46</v>
      </c>
      <c r="U1" s="44" t="s">
        <v>46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38</v>
      </c>
      <c r="K3" s="234"/>
      <c r="L3" s="234" t="s">
        <v>16</v>
      </c>
      <c r="M3" s="234" t="s">
        <v>13</v>
      </c>
      <c r="N3" s="240" t="s">
        <v>15</v>
      </c>
      <c r="O3" s="240"/>
      <c r="P3" s="240" t="s">
        <v>23</v>
      </c>
      <c r="Q3" s="240"/>
      <c r="R3" s="241" t="s">
        <v>47</v>
      </c>
      <c r="S3" s="241"/>
      <c r="T3" s="241" t="s">
        <v>4</v>
      </c>
      <c r="U3" s="241"/>
      <c r="V3" s="242" t="s">
        <v>27</v>
      </c>
      <c r="W3" s="236" t="s">
        <v>50</v>
      </c>
      <c r="X3" s="238" t="s">
        <v>31</v>
      </c>
    </row>
    <row r="4" spans="1:24" ht="19.899999999999999" customHeight="1">
      <c r="A4" s="39" t="s">
        <v>27</v>
      </c>
      <c r="B4" s="38"/>
      <c r="C4" s="38"/>
      <c r="D4" s="38"/>
      <c r="E4" s="38"/>
      <c r="F4" s="37"/>
      <c r="G4" s="37"/>
      <c r="H4" s="37"/>
      <c r="I4" s="37"/>
      <c r="J4" s="36" t="s">
        <v>14</v>
      </c>
      <c r="K4" s="36" t="s">
        <v>28</v>
      </c>
      <c r="L4" s="235"/>
      <c r="M4" s="235"/>
      <c r="N4" s="35" t="s">
        <v>49</v>
      </c>
      <c r="O4" s="34" t="s">
        <v>17</v>
      </c>
      <c r="P4" s="35" t="s">
        <v>24</v>
      </c>
      <c r="Q4" s="34" t="s">
        <v>17</v>
      </c>
      <c r="R4" s="34" t="s">
        <v>24</v>
      </c>
      <c r="S4" s="34" t="s">
        <v>17</v>
      </c>
      <c r="T4" s="34" t="s">
        <v>24</v>
      </c>
      <c r="U4" s="34" t="s">
        <v>17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56</v>
      </c>
      <c r="K5" s="32" t="s">
        <v>1</v>
      </c>
      <c r="L5" s="31" t="s">
        <v>26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1" sqref="D21:R21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53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2</v>
      </c>
      <c r="B3" s="246"/>
      <c r="C3" s="246"/>
      <c r="D3" s="246"/>
      <c r="E3" s="246"/>
      <c r="F3" s="247" t="s">
        <v>40</v>
      </c>
      <c r="G3" s="248"/>
      <c r="H3" s="247"/>
      <c r="I3" s="249" t="s">
        <v>12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</v>
      </c>
      <c r="G4" s="250"/>
      <c r="H4" s="247"/>
      <c r="I4" s="249" t="s">
        <v>39</v>
      </c>
      <c r="J4" s="249"/>
      <c r="K4" s="249"/>
      <c r="L4" s="249"/>
      <c r="M4" s="249"/>
      <c r="N4" s="249" t="s">
        <v>37</v>
      </c>
      <c r="O4" s="249"/>
      <c r="P4" s="249"/>
      <c r="Q4" s="251" t="s">
        <v>29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52</v>
      </c>
      <c r="B5" s="252"/>
      <c r="C5" s="252"/>
      <c r="D5" s="252"/>
      <c r="E5" s="252"/>
      <c r="F5" s="247" t="s">
        <v>8</v>
      </c>
      <c r="G5" s="248"/>
      <c r="H5" s="247"/>
      <c r="I5" s="249" t="s">
        <v>54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7</v>
      </c>
      <c r="G6" s="250"/>
      <c r="H6" s="247"/>
      <c r="I6" s="249" t="s">
        <v>19</v>
      </c>
      <c r="J6" s="249"/>
      <c r="K6" s="249" t="s">
        <v>32</v>
      </c>
      <c r="L6" s="249"/>
      <c r="M6" s="249"/>
      <c r="N6" s="249" t="s">
        <v>10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51</v>
      </c>
      <c r="B7" s="252"/>
      <c r="C7" s="252"/>
      <c r="D7" s="252"/>
      <c r="E7" s="252"/>
      <c r="F7" s="247" t="s">
        <v>45</v>
      </c>
      <c r="G7" s="250"/>
      <c r="H7" s="247"/>
      <c r="I7" s="249" t="s">
        <v>9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22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43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18</v>
      </c>
      <c r="B10" s="260" t="s">
        <v>35</v>
      </c>
      <c r="C10" s="261"/>
      <c r="D10" s="262" t="s">
        <v>44</v>
      </c>
      <c r="E10" s="263"/>
      <c r="F10" s="51" t="s">
        <v>20</v>
      </c>
      <c r="G10" s="262" t="s">
        <v>41</v>
      </c>
      <c r="H10" s="264"/>
      <c r="I10" s="264"/>
      <c r="J10" s="263"/>
      <c r="K10" s="262" t="s">
        <v>48</v>
      </c>
      <c r="L10" s="264"/>
      <c r="M10" s="264"/>
      <c r="N10" s="263"/>
      <c r="O10" s="262" t="s">
        <v>33</v>
      </c>
      <c r="P10" s="264"/>
      <c r="Q10" s="263"/>
      <c r="R10" s="51" t="s">
        <v>42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36</v>
      </c>
      <c r="C11" s="266"/>
      <c r="D11" s="267" t="s">
        <v>5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21</v>
      </c>
      <c r="C12" s="266"/>
      <c r="D12" s="267" t="s">
        <v>6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34</v>
      </c>
      <c r="C13" s="266"/>
      <c r="D13" s="267" t="s">
        <v>11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25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30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2025-10-01T23:48:10Z</dcterms:modified>
  <cp:version>1300.0100.01</cp:version>
</cp:coreProperties>
</file>
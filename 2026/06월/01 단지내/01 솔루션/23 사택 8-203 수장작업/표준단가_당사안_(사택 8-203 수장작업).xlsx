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F6919816-1F28-4F3F-8742-8EE7CE3A9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K10" i="4"/>
  <c r="O10" i="4"/>
  <c r="Q10" i="4"/>
  <c r="R10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5" i="4"/>
  <c r="O15" i="4"/>
  <c r="M15" i="4"/>
  <c r="K15" i="4"/>
  <c r="N33" i="9" l="1"/>
  <c r="R15" i="4"/>
  <c r="K7" i="4"/>
  <c r="M7" i="4"/>
  <c r="O7" i="4"/>
  <c r="Q7" i="4"/>
  <c r="R7" i="4" l="1"/>
  <c r="Q14" i="4" l="1"/>
  <c r="O14" i="4"/>
  <c r="M14" i="4"/>
  <c r="K14" i="4"/>
  <c r="Q13" i="4"/>
  <c r="O13" i="4"/>
  <c r="M13" i="4"/>
  <c r="K13" i="4"/>
  <c r="Q12" i="4"/>
  <c r="O12" i="4"/>
  <c r="M12" i="4"/>
  <c r="K12" i="4"/>
  <c r="Q11" i="4"/>
  <c r="O11" i="4"/>
  <c r="M11" i="4"/>
  <c r="K11" i="4"/>
  <c r="Q9" i="4"/>
  <c r="O9" i="4"/>
  <c r="M9" i="4"/>
  <c r="K9" i="4"/>
  <c r="K16" i="4" l="1"/>
  <c r="M16" i="4"/>
  <c r="F17" i="5" s="1"/>
  <c r="R9" i="4"/>
  <c r="R12" i="4"/>
  <c r="R13" i="4"/>
  <c r="R11" i="4"/>
  <c r="R14" i="4"/>
  <c r="F21" i="5" l="1"/>
  <c r="F22" i="5"/>
  <c r="R16" i="4"/>
  <c r="Q16" i="4"/>
  <c r="F16" i="5"/>
  <c r="O16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<sst xmlns="http://schemas.openxmlformats.org/spreadsheetml/2006/main" count="228" uniqueCount="164">
  <si>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</si>
  <si>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</si>
  <si>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</si>
  <si>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</si>
  <si>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</si>
  <si>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</si>
  <si>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</si>
  <si>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</si>
  <si>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</si>
  <si>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</si>
  <si>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</si>
  <si>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</si>
  <si>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</si>
  <si>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</si>
  <si>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</si>
  <si>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</si>
  <si>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</si>
  <si>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</si>
  <si>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</si>
  <si>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</si>
  <si>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</si>
  <si>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</si>
  <si>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</si>
  <si>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</si>
  <si>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</si>
  <si>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</si>
  <si>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</si>
  <si>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</si>
  <si>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</si>
  <si>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</si>
  <si>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</si>
  <si>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</si>
  <si>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</si>
  <si>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</si>
  <si>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</si>
  <si>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</si>
  <si>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</si>
  <si>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</si>
  <si>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</si>
  <si>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</si>
  <si>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</si>
  <si>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</si>
  <si>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</si>
  <si>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</si>
  <si>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</si>
  <si>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</si>
  <si>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</si>
  <si>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</si>
  <si>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</si>
  <si>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</si>
  <si>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</si>
  <si>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</si>
  <si>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</si>
  <si>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</si>
  <si>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</si>
  <si>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</si>
  <si>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</si>
  <si>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</si>
  <si>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</si>
  <si>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</si>
  <si>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</si>
  <si>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</si>
  <si>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</si>
  <si>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</si>
  <si>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</si>
  <si>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</si>
  <si>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</si>
  <si>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</si>
  <si>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</si>
  <si>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</si>
  <si>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</si>
  <si>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</si>
  <si>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</si>
  <si>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</si>
  <si>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</si>
  <si>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</si>
  <si>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</si>
  <si>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</si>
  <si>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</si>
  <si>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</si>
  <si>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</si>
  <si>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</si>
  <si>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</si>
  <si>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</si>
  <si>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</si>
  <si>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</si>
  <si>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</si>
  <si>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</si>
  <si>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</si>
  <si>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</si>
  <si>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</si>
  <si>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</si>
  <si>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</si>
  <si>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</si>
  <si>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</si>
  <si>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</si>
  <si>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</si>
  <si>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</si>
  <si>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</si>
  <si>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</si>
  <si>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</si>
  <si>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</si>
  <si>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</si>
  <si>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</si>
  <si>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</si>
  <si>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</si>
  <si>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</si>
  <si>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</si>
  <si>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</si>
  <si>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</si>
  <si>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</si>
  <si>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</si>
  <si>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</si>
  <si>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</si>
  <si>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</si>
  <si>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</si>
  <si>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</si>
  <si>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</si>
  <si>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</si>
  <si>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</si>
  <si>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</si>
  <si>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</si>
  <si>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</si>
  <si>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</si>
  <si>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</si>
  <si>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</si>
  <si>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</si>
  <si>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</si>
  <si>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</si>
  <si>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</si>
  <si>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</si>
  <si>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</si>
  <si>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</si>
  <si>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</si>
  <si>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</si>
  <si>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</si>
  <si>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</si>
  <si>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</si>
  <si>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</si>
  <si>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</si>
  <si>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</si>
  <si>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</si>
  <si>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</si>
  <si>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</si>
  <si>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</si>
  <si>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</si>
  <si>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</si>
  <si>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</si>
  <si>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</si>
  <si>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</si>
  <si>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</si>
  <si>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</si>
  <si>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</si>
  <si>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</si>
  <si>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</si>
  <si>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</si>
  <si>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</si>
  <si>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</si>
  <si>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</si>
  <si>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8-203 수장작업</t>
    <phoneticPr fontId="11" type="noConversion"/>
  </si>
  <si>
    <t xml:space="preserve"> 견적일 : 2026년  04월  14일</t>
    <phoneticPr fontId="5" type="noConversion"/>
  </si>
  <si>
    <t>사택 8-203 수장작업</t>
    <phoneticPr fontId="5" type="noConversion"/>
  </si>
  <si>
    <t>일당 시공량-천장 35㎡ 적산정보 500p 참조, 시공총량24㎡/일당35㎡=0.6857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</si>
  <si>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소요량160/16.51=9.6910R/L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</si>
</sst>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49" fontId="21" fillId="7" borderId="31" xfId="0" applyNumberFormat="1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159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160</v>
      </c>
      <c r="B9" s="161"/>
      <c r="C9" s="162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삼백구십만삼천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'내역서(표준단가)'!K16</f>
        <v>829991.58649999998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'내역서(표준단가)'!M16</f>
        <v>2495414.283667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'내역서(표준단가)'!O16+'내역서(표준단가)'!Q16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3325405.8701670002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157</v>
      </c>
      <c r="D21" s="166">
        <v>1</v>
      </c>
      <c r="E21" s="166" t="s">
        <v>24</v>
      </c>
      <c r="F21" s="167">
        <f>F17*4.75%</f>
        <v>118532.1784741825</v>
      </c>
      <c r="G21" s="35" t="s">
        <v>25</v>
      </c>
    </row>
    <row r="22" spans="1:7" ht="33" customHeight="1">
      <c r="A22" s="29"/>
      <c r="B22" s="168" t="s">
        <v>26</v>
      </c>
      <c r="C22" s="165" t="s">
        <v>158</v>
      </c>
      <c r="D22" s="169">
        <v>1</v>
      </c>
      <c r="E22" s="169" t="s">
        <v>24</v>
      </c>
      <c r="F22" s="170">
        <f>F17*3.595%</f>
        <v>89710.143497828656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11617.46358296881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25203.6842650367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88836.748498545203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97434.391995893122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146337.44469907274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577672.05501352774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3903077.9251805278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3903000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6"/>
  <sheetViews>
    <sheetView showGridLines="0" zoomScale="90" zoomScaleNormal="90" workbookViewId="0">
      <pane ySplit="4" topLeftCell="A5" activePane="bottomLeft" state="frozen"/>
      <selection pane="bottomLeft" activeCell="A10" sqref="A10:XFD12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143</v>
      </c>
      <c r="E5" s="94"/>
      <c r="F5" s="130" t="s">
        <v>144</v>
      </c>
      <c r="G5" s="130" t="s">
        <v>163</v>
      </c>
      <c r="H5" s="110" t="s">
        <v>152</v>
      </c>
      <c r="I5" s="129">
        <v>9.6910000000000007</v>
      </c>
      <c r="J5" s="155">
        <v>20900</v>
      </c>
      <c r="K5" s="126">
        <f t="shared" ref="K5" si="1">SUM(J5:J5)*I5*$K$2</f>
        <v>169122.4865</v>
      </c>
      <c r="L5" s="125"/>
      <c r="M5" s="126">
        <f t="shared" ref="M5:M14" si="2">(L5*I5)*$M$2</f>
        <v>0</v>
      </c>
      <c r="N5" s="127"/>
      <c r="O5" s="126">
        <f t="shared" ref="O5:O14" si="3">N5*I5*$O$2</f>
        <v>0</v>
      </c>
      <c r="P5" s="127"/>
      <c r="Q5" s="126">
        <f t="shared" ref="Q5:Q14" si="4">P5*I5*$Q$2</f>
        <v>0</v>
      </c>
      <c r="R5" s="73">
        <f t="shared" ref="R5:R14" si="5">SUM(K5+M5)+O5+Q5</f>
        <v>169122.4865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153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5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162</v>
      </c>
      <c r="H7" s="71" t="s">
        <v>119</v>
      </c>
      <c r="I7" s="129">
        <v>0.68569999999999998</v>
      </c>
      <c r="J7" s="128"/>
      <c r="K7" s="126">
        <f t="shared" ref="K7:K14" si="12">SUM(J7:J7)*I7*$K$2</f>
        <v>0</v>
      </c>
      <c r="L7" s="156">
        <v>510462</v>
      </c>
      <c r="M7" s="126">
        <f t="shared" si="2"/>
        <v>292269.86748899997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292269.86748899997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146</v>
      </c>
      <c r="E8" s="94"/>
      <c r="F8" s="130" t="s">
        <v>147</v>
      </c>
      <c r="G8" s="130" t="s">
        <v>148</v>
      </c>
      <c r="H8" s="110" t="s">
        <v>145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154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M020411810170101</v>
      </c>
      <c r="B10" s="94"/>
      <c r="C10" s="70"/>
      <c r="D10" s="121" t="s">
        <v>137</v>
      </c>
      <c r="E10" s="94"/>
      <c r="F10" s="133" t="s">
        <v>138</v>
      </c>
      <c r="G10" s="133" t="s">
        <v>139</v>
      </c>
      <c r="H10" s="122" t="s">
        <v>135</v>
      </c>
      <c r="I10" s="129">
        <v>0.2</v>
      </c>
      <c r="J10" s="163">
        <v>89800</v>
      </c>
      <c r="K10" s="126">
        <f t="shared" si="12"/>
        <v>14996.599999999999</v>
      </c>
      <c r="L10" s="125"/>
      <c r="M10" s="126"/>
      <c r="N10" s="127"/>
      <c r="O10" s="126">
        <f t="shared" si="3"/>
        <v>0</v>
      </c>
      <c r="P10" s="127"/>
      <c r="Q10" s="126">
        <f t="shared" si="4"/>
        <v>0</v>
      </c>
      <c r="R10" s="73">
        <f t="shared" si="5"/>
        <v>14996.599999999999</v>
      </c>
      <c r="S10" s="109"/>
      <c r="T10" s="74"/>
    </row>
    <row r="11" spans="1:20" s="139" customFormat="1" ht="38.1" customHeight="1">
      <c r="A11" s="69" t="str">
        <f t="shared" si="11"/>
        <v>E00000803061120802</v>
      </c>
      <c r="B11" s="94"/>
      <c r="C11" s="70" t="s">
        <v>126</v>
      </c>
      <c r="D11" s="70"/>
      <c r="E11" s="94"/>
      <c r="F11" s="130" t="s">
        <v>127</v>
      </c>
      <c r="G11" s="130" t="s">
        <v>128</v>
      </c>
      <c r="H11" s="110" t="s">
        <v>124</v>
      </c>
      <c r="I11" s="129">
        <v>16</v>
      </c>
      <c r="J11" s="140"/>
      <c r="K11" s="72">
        <f t="shared" si="12"/>
        <v>0</v>
      </c>
      <c r="L11" s="156">
        <v>2496</v>
      </c>
      <c r="M11" s="72">
        <f t="shared" si="2"/>
        <v>33346.559999999998</v>
      </c>
      <c r="N11" s="73"/>
      <c r="O11" s="72">
        <f t="shared" si="3"/>
        <v>0</v>
      </c>
      <c r="P11" s="73"/>
      <c r="Q11" s="72">
        <f t="shared" si="4"/>
        <v>0</v>
      </c>
      <c r="R11" s="73">
        <f t="shared" si="5"/>
        <v>33346.559999999998</v>
      </c>
      <c r="S11" s="109"/>
      <c r="T11" s="74"/>
    </row>
    <row r="12" spans="1:20" s="139" customFormat="1" ht="38.1" customHeight="1">
      <c r="A12" s="69" t="str">
        <f t="shared" si="11"/>
        <v>E00000803061300701</v>
      </c>
      <c r="B12" s="94"/>
      <c r="C12" s="70" t="s">
        <v>129</v>
      </c>
      <c r="D12" s="70"/>
      <c r="E12" s="94"/>
      <c r="F12" s="130" t="s">
        <v>130</v>
      </c>
      <c r="G12" s="130" t="s">
        <v>125</v>
      </c>
      <c r="H12" s="110" t="s">
        <v>124</v>
      </c>
      <c r="I12" s="129">
        <v>16</v>
      </c>
      <c r="J12" s="111"/>
      <c r="K12" s="72">
        <f t="shared" si="12"/>
        <v>0</v>
      </c>
      <c r="L12" s="156">
        <v>3871</v>
      </c>
      <c r="M12" s="72">
        <f t="shared" si="2"/>
        <v>51716.56</v>
      </c>
      <c r="N12" s="73"/>
      <c r="O12" s="72">
        <f t="shared" si="3"/>
        <v>0</v>
      </c>
      <c r="P12" s="73"/>
      <c r="Q12" s="72">
        <f t="shared" si="4"/>
        <v>0</v>
      </c>
      <c r="R12" s="73">
        <f t="shared" si="5"/>
        <v>51716.56</v>
      </c>
      <c r="S12" s="109"/>
      <c r="T12" s="74"/>
    </row>
    <row r="13" spans="1:20" s="139" customFormat="1" ht="38.1" customHeight="1">
      <c r="A13" s="69" t="str">
        <f t="shared" si="11"/>
        <v>E00000803061120802</v>
      </c>
      <c r="B13" s="94"/>
      <c r="C13" s="70" t="s">
        <v>126</v>
      </c>
      <c r="D13" s="70"/>
      <c r="E13" s="94"/>
      <c r="F13" s="130" t="s">
        <v>131</v>
      </c>
      <c r="G13" s="130" t="s">
        <v>128</v>
      </c>
      <c r="H13" s="110" t="s">
        <v>124</v>
      </c>
      <c r="I13" s="129">
        <v>2</v>
      </c>
      <c r="J13" s="140"/>
      <c r="K13" s="72">
        <f t="shared" si="12"/>
        <v>0</v>
      </c>
      <c r="L13" s="156">
        <v>2496</v>
      </c>
      <c r="M13" s="72">
        <f t="shared" si="2"/>
        <v>4168.32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4168.32</v>
      </c>
      <c r="S13" s="109"/>
      <c r="T13" s="74"/>
    </row>
    <row r="14" spans="1:20" s="139" customFormat="1" ht="38.1" customHeight="1">
      <c r="A14" s="69" t="str">
        <f t="shared" si="11"/>
        <v>E00000803061300401</v>
      </c>
      <c r="B14" s="94"/>
      <c r="C14" s="70" t="s">
        <v>132</v>
      </c>
      <c r="D14" s="70"/>
      <c r="E14" s="94"/>
      <c r="F14" s="130" t="s">
        <v>133</v>
      </c>
      <c r="G14" s="130" t="s">
        <v>125</v>
      </c>
      <c r="H14" s="110" t="s">
        <v>124</v>
      </c>
      <c r="I14" s="129">
        <v>2</v>
      </c>
      <c r="J14" s="111"/>
      <c r="K14" s="72">
        <f t="shared" si="12"/>
        <v>0</v>
      </c>
      <c r="L14" s="156">
        <v>5851</v>
      </c>
      <c r="M14" s="72">
        <f t="shared" si="2"/>
        <v>9771.17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9771.17</v>
      </c>
      <c r="S14" s="109"/>
      <c r="T14" s="74"/>
    </row>
    <row r="15" spans="1:20" s="139" customFormat="1" ht="38.1" customHeight="1">
      <c r="A15" s="69" t="str">
        <f t="shared" si="11"/>
        <v>E00000801011510701</v>
      </c>
      <c r="B15" s="94"/>
      <c r="C15" s="70" t="s">
        <v>151</v>
      </c>
      <c r="D15" s="70"/>
      <c r="E15" s="94"/>
      <c r="F15" s="158" t="s">
        <v>155</v>
      </c>
      <c r="G15" s="71" t="s">
        <v>150</v>
      </c>
      <c r="H15" s="159" t="s">
        <v>156</v>
      </c>
      <c r="I15" s="129">
        <v>100</v>
      </c>
      <c r="J15" s="140"/>
      <c r="K15" s="72">
        <f t="shared" ref="K15" si="13">SUM(J15:J15)*I15*$K$2</f>
        <v>0</v>
      </c>
      <c r="L15" s="156">
        <v>5131</v>
      </c>
      <c r="M15" s="72">
        <f t="shared" ref="M15" si="14">(L15*I15)*$M$2</f>
        <v>428438.5</v>
      </c>
      <c r="N15" s="73"/>
      <c r="O15" s="72">
        <f t="shared" ref="O15" si="15">N15*I15*$O$2</f>
        <v>0</v>
      </c>
      <c r="P15" s="73"/>
      <c r="Q15" s="72">
        <f t="shared" ref="Q15" si="16">P15*I15*$Q$2</f>
        <v>0</v>
      </c>
      <c r="R15" s="73">
        <f t="shared" ref="R15" si="17">SUM(K15+M15)+O15+Q15</f>
        <v>428438.5</v>
      </c>
      <c r="S15" s="109"/>
      <c r="T15" s="74"/>
    </row>
    <row r="16" spans="1:20" s="146" customFormat="1" ht="38.1" customHeight="1">
      <c r="A16" s="141"/>
      <c r="B16" s="142"/>
      <c r="C16" s="142"/>
      <c r="D16" s="142"/>
      <c r="E16" s="142"/>
      <c r="F16" s="134"/>
      <c r="G16" s="134"/>
      <c r="H16" s="142"/>
      <c r="I16" s="142"/>
      <c r="J16" s="142"/>
      <c r="K16" s="143">
        <f>SUM(K5:K15)</f>
        <v>829991.58649999998</v>
      </c>
      <c r="L16" s="144"/>
      <c r="M16" s="143">
        <f>SUM(M5:M15)</f>
        <v>2495414.283667</v>
      </c>
      <c r="N16" s="144"/>
      <c r="O16" s="143">
        <f>SUM(O5:O15)</f>
        <v>0</v>
      </c>
      <c r="P16" s="144"/>
      <c r="Q16" s="143">
        <f>SUM(Q5:Q15)</f>
        <v>0</v>
      </c>
      <c r="R16" s="145">
        <f>SUM(R5:R15)</f>
        <v>3325405.8701669998</v>
      </c>
      <c r="S16" s="102"/>
      <c r="T16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7" t="s">
        <v>58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</row>
    <row r="2" spans="1:16" ht="15" customHeight="1">
      <c r="A2" s="208" t="s">
        <v>59</v>
      </c>
      <c r="B2" s="209" t="s">
        <v>60</v>
      </c>
      <c r="C2" s="210" t="s">
        <v>47</v>
      </c>
      <c r="D2" s="210" t="s">
        <v>61</v>
      </c>
      <c r="E2" s="212" t="s">
        <v>62</v>
      </c>
      <c r="F2" s="209"/>
      <c r="G2" s="209" t="s">
        <v>63</v>
      </c>
      <c r="H2" s="209"/>
      <c r="I2" s="213" t="s">
        <v>64</v>
      </c>
      <c r="J2" s="214"/>
      <c r="K2" s="213" t="s">
        <v>65</v>
      </c>
      <c r="L2" s="214"/>
      <c r="M2" s="212" t="s">
        <v>66</v>
      </c>
      <c r="N2" s="209"/>
      <c r="O2" s="215" t="s">
        <v>67</v>
      </c>
    </row>
    <row r="3" spans="1:16" ht="15" customHeight="1">
      <c r="A3" s="208"/>
      <c r="B3" s="209"/>
      <c r="C3" s="211"/>
      <c r="D3" s="211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6"/>
    </row>
    <row r="4" spans="1:16" ht="15" customHeight="1">
      <c r="A4" s="205" t="s">
        <v>161</v>
      </c>
      <c r="B4" s="206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7" t="s">
        <v>71</v>
      </c>
      <c r="B5" s="78" t="s">
        <v>72</v>
      </c>
      <c r="C5" s="79" t="s">
        <v>73</v>
      </c>
      <c r="D5" s="148">
        <v>40</v>
      </c>
      <c r="E5" s="160">
        <v>1057</v>
      </c>
      <c r="F5" s="80">
        <f t="shared" ref="F5:F11" si="0">D5*E5</f>
        <v>42280</v>
      </c>
      <c r="G5" s="160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9" t="s">
        <v>141</v>
      </c>
    </row>
    <row r="6" spans="1:16" ht="15" customHeight="1">
      <c r="A6" s="198"/>
      <c r="B6" s="78" t="s">
        <v>74</v>
      </c>
      <c r="C6" s="79" t="s">
        <v>73</v>
      </c>
      <c r="D6" s="148">
        <v>24</v>
      </c>
      <c r="E6" s="160">
        <v>1057</v>
      </c>
      <c r="F6" s="80">
        <f t="shared" si="0"/>
        <v>25368</v>
      </c>
      <c r="G6" s="160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1" si="2">F6+H6+J6+L6</f>
        <v>317640</v>
      </c>
      <c r="O6" s="200"/>
    </row>
    <row r="7" spans="1:16" ht="15" customHeight="1">
      <c r="A7" s="198"/>
      <c r="B7" s="78" t="s">
        <v>75</v>
      </c>
      <c r="C7" s="79" t="s">
        <v>73</v>
      </c>
      <c r="D7" s="148">
        <v>32</v>
      </c>
      <c r="E7" s="160">
        <v>1057</v>
      </c>
      <c r="F7" s="80">
        <f t="shared" si="0"/>
        <v>33824</v>
      </c>
      <c r="G7" s="160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00"/>
      <c r="P7" s="108">
        <f>D6+D8+D10+D12</f>
        <v>24</v>
      </c>
    </row>
    <row r="8" spans="1:16" ht="15" customHeight="1">
      <c r="A8" s="198"/>
      <c r="B8" s="171" t="s">
        <v>76</v>
      </c>
      <c r="C8" s="172" t="s">
        <v>73</v>
      </c>
      <c r="D8" s="173"/>
      <c r="E8" s="174"/>
      <c r="F8" s="175"/>
      <c r="G8" s="174"/>
      <c r="H8" s="175"/>
      <c r="I8" s="175"/>
      <c r="J8" s="175"/>
      <c r="K8" s="175"/>
      <c r="L8" s="175"/>
      <c r="M8" s="175"/>
      <c r="N8" s="175"/>
      <c r="O8" s="200"/>
    </row>
    <row r="9" spans="1:16" ht="15" customHeight="1">
      <c r="A9" s="198"/>
      <c r="B9" s="78" t="s">
        <v>77</v>
      </c>
      <c r="C9" s="79" t="s">
        <v>73</v>
      </c>
      <c r="D9" s="148">
        <v>32</v>
      </c>
      <c r="E9" s="160">
        <v>1057</v>
      </c>
      <c r="F9" s="80">
        <f t="shared" si="0"/>
        <v>33824</v>
      </c>
      <c r="G9" s="160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0"/>
    </row>
    <row r="10" spans="1:16" ht="15" customHeight="1">
      <c r="A10" s="198"/>
      <c r="B10" s="171" t="s">
        <v>78</v>
      </c>
      <c r="C10" s="172" t="s">
        <v>73</v>
      </c>
      <c r="D10" s="173"/>
      <c r="E10" s="174"/>
      <c r="F10" s="175"/>
      <c r="G10" s="174"/>
      <c r="H10" s="175"/>
      <c r="I10" s="175"/>
      <c r="J10" s="175"/>
      <c r="K10" s="175"/>
      <c r="L10" s="175"/>
      <c r="M10" s="175"/>
      <c r="N10" s="175"/>
      <c r="O10" s="200"/>
    </row>
    <row r="11" spans="1:16" ht="15" customHeight="1">
      <c r="A11" s="198"/>
      <c r="B11" s="78" t="s">
        <v>79</v>
      </c>
      <c r="C11" s="79" t="s">
        <v>73</v>
      </c>
      <c r="D11" s="148">
        <v>32</v>
      </c>
      <c r="E11" s="160">
        <v>1057</v>
      </c>
      <c r="F11" s="80">
        <f t="shared" si="0"/>
        <v>33824</v>
      </c>
      <c r="G11" s="160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0"/>
    </row>
    <row r="12" spans="1:16" ht="15" customHeight="1">
      <c r="A12" s="198"/>
      <c r="B12" s="171" t="s">
        <v>80</v>
      </c>
      <c r="C12" s="172" t="s">
        <v>73</v>
      </c>
      <c r="D12" s="173"/>
      <c r="E12" s="174"/>
      <c r="F12" s="175"/>
      <c r="G12" s="174"/>
      <c r="H12" s="175"/>
      <c r="I12" s="175"/>
      <c r="J12" s="175"/>
      <c r="K12" s="175"/>
      <c r="L12" s="175"/>
      <c r="M12" s="175"/>
      <c r="N12" s="175"/>
      <c r="O12" s="200"/>
    </row>
    <row r="13" spans="1:16" ht="15" customHeight="1">
      <c r="A13" s="103" t="s">
        <v>81</v>
      </c>
      <c r="B13" s="104"/>
      <c r="C13" s="105"/>
      <c r="D13" s="149">
        <f>SUM(D5:D12)</f>
        <v>160</v>
      </c>
      <c r="E13" s="112"/>
      <c r="F13" s="106">
        <f>SUM(F5:F12)</f>
        <v>169120</v>
      </c>
      <c r="G13" s="106"/>
      <c r="H13" s="106">
        <f>SUM(H5:H12)</f>
        <v>1552448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1721568</v>
      </c>
      <c r="O13" s="106"/>
    </row>
    <row r="14" spans="1:16" ht="15" customHeight="1">
      <c r="A14" s="201" t="s">
        <v>142</v>
      </c>
      <c r="B14" s="78" t="s">
        <v>82</v>
      </c>
      <c r="C14" s="79" t="s">
        <v>73</v>
      </c>
      <c r="D14" s="113">
        <v>28.9</v>
      </c>
      <c r="E14" s="160">
        <v>10855</v>
      </c>
      <c r="F14" s="114">
        <f>D14*E14</f>
        <v>313709.5</v>
      </c>
      <c r="G14" s="160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0"/>
    </row>
    <row r="15" spans="1:16" ht="15" customHeight="1">
      <c r="A15" s="201"/>
      <c r="B15" s="78" t="s">
        <v>83</v>
      </c>
      <c r="C15" s="79" t="s">
        <v>73</v>
      </c>
      <c r="D15" s="115">
        <v>12.4</v>
      </c>
      <c r="E15" s="160">
        <v>10855</v>
      </c>
      <c r="F15" s="114">
        <f>D15*E15</f>
        <v>134602</v>
      </c>
      <c r="G15" s="160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0"/>
    </row>
    <row r="16" spans="1:16" ht="15" customHeight="1">
      <c r="A16" s="201"/>
      <c r="B16" s="78" t="s">
        <v>84</v>
      </c>
      <c r="C16" s="79" t="s">
        <v>73</v>
      </c>
      <c r="D16" s="115">
        <v>9.9</v>
      </c>
      <c r="E16" s="160">
        <v>10855</v>
      </c>
      <c r="F16" s="114">
        <f>D16*E16</f>
        <v>107464.5</v>
      </c>
      <c r="G16" s="160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0"/>
    </row>
    <row r="17" spans="1:15" ht="15" customHeight="1">
      <c r="A17" s="202"/>
      <c r="B17" s="78" t="s">
        <v>85</v>
      </c>
      <c r="C17" s="79" t="s">
        <v>73</v>
      </c>
      <c r="D17" s="115">
        <v>8.3000000000000007</v>
      </c>
      <c r="E17" s="160">
        <v>10855</v>
      </c>
      <c r="F17" s="114">
        <f>D17*E17</f>
        <v>90096.500000000015</v>
      </c>
      <c r="G17" s="160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3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140</v>
      </c>
      <c r="B20" s="176" t="s">
        <v>136</v>
      </c>
      <c r="C20" s="176" t="s">
        <v>135</v>
      </c>
      <c r="D20" s="177"/>
      <c r="E20" s="174"/>
      <c r="F20" s="175"/>
      <c r="G20" s="175"/>
      <c r="H20" s="175"/>
      <c r="I20" s="175"/>
      <c r="J20" s="175"/>
      <c r="K20" s="175"/>
      <c r="L20" s="175"/>
      <c r="M20" s="175"/>
      <c r="N20" s="175"/>
      <c r="O20" s="80"/>
    </row>
    <row r="21" spans="1:15" ht="15" customHeight="1">
      <c r="A21" s="204" t="s">
        <v>87</v>
      </c>
      <c r="B21" s="171" t="s">
        <v>88</v>
      </c>
      <c r="C21" s="172" t="s">
        <v>73</v>
      </c>
      <c r="D21" s="177"/>
      <c r="E21" s="175"/>
      <c r="F21" s="175"/>
      <c r="G21" s="174"/>
      <c r="H21" s="175"/>
      <c r="I21" s="175"/>
      <c r="J21" s="175"/>
      <c r="K21" s="175"/>
      <c r="L21" s="175"/>
      <c r="M21" s="175"/>
      <c r="N21" s="175"/>
      <c r="O21" s="80"/>
    </row>
    <row r="22" spans="1:15" ht="15" customHeight="1">
      <c r="A22" s="204"/>
      <c r="B22" s="171" t="s">
        <v>89</v>
      </c>
      <c r="C22" s="172" t="s">
        <v>73</v>
      </c>
      <c r="D22" s="177"/>
      <c r="E22" s="175"/>
      <c r="F22" s="175"/>
      <c r="G22" s="174"/>
      <c r="H22" s="175"/>
      <c r="I22" s="175"/>
      <c r="J22" s="175"/>
      <c r="K22" s="175"/>
      <c r="L22" s="175"/>
      <c r="M22" s="175"/>
      <c r="N22" s="175"/>
      <c r="O22" s="80"/>
    </row>
    <row r="23" spans="1:15" ht="15" customHeight="1">
      <c r="A23" s="204" t="s">
        <v>90</v>
      </c>
      <c r="B23" s="171" t="s">
        <v>88</v>
      </c>
      <c r="C23" s="172" t="s">
        <v>73</v>
      </c>
      <c r="D23" s="177"/>
      <c r="E23" s="175"/>
      <c r="F23" s="175"/>
      <c r="G23" s="174"/>
      <c r="H23" s="175"/>
      <c r="I23" s="175"/>
      <c r="J23" s="175"/>
      <c r="K23" s="175"/>
      <c r="L23" s="175"/>
      <c r="M23" s="175"/>
      <c r="N23" s="175"/>
      <c r="O23" s="80"/>
    </row>
    <row r="24" spans="1:15" ht="15" customHeight="1">
      <c r="A24" s="204"/>
      <c r="B24" s="171" t="s">
        <v>89</v>
      </c>
      <c r="C24" s="172" t="s">
        <v>73</v>
      </c>
      <c r="D24" s="177"/>
      <c r="E24" s="175"/>
      <c r="F24" s="175"/>
      <c r="G24" s="174"/>
      <c r="H24" s="175"/>
      <c r="I24" s="175"/>
      <c r="J24" s="175"/>
      <c r="K24" s="175"/>
      <c r="L24" s="175"/>
      <c r="M24" s="175"/>
      <c r="N24" s="175"/>
      <c r="O24" s="80"/>
    </row>
    <row r="25" spans="1:15" ht="15" customHeight="1">
      <c r="A25" s="124" t="s">
        <v>138</v>
      </c>
      <c r="B25" s="123" t="s">
        <v>139</v>
      </c>
      <c r="C25" s="123" t="s">
        <v>135</v>
      </c>
      <c r="D25" s="151">
        <v>0.2</v>
      </c>
      <c r="E25" s="160">
        <v>74983</v>
      </c>
      <c r="F25" s="117">
        <f t="shared" ref="F25:F27" si="4">D25*E25</f>
        <v>14996.6</v>
      </c>
      <c r="G25" s="80"/>
      <c r="H25" s="80"/>
      <c r="I25" s="80"/>
      <c r="J25" s="80"/>
      <c r="K25" s="80"/>
      <c r="L25" s="80"/>
      <c r="M25" s="80"/>
      <c r="N25" s="117">
        <f t="shared" ref="N25:N29" si="5">F25+H25+J25+L25</f>
        <v>14996.6</v>
      </c>
      <c r="O25" s="80"/>
    </row>
    <row r="26" spans="1:15" ht="15" customHeight="1">
      <c r="A26" s="196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ref="F26:F29" si="6">D26*E26</f>
        <v>0</v>
      </c>
      <c r="G26" s="160">
        <v>2084</v>
      </c>
      <c r="H26" s="80">
        <f t="shared" ref="H26:H27" si="7">D26*G26</f>
        <v>33344</v>
      </c>
      <c r="I26" s="80"/>
      <c r="J26" s="80"/>
      <c r="K26" s="80"/>
      <c r="L26" s="114"/>
      <c r="M26" s="80"/>
      <c r="N26" s="114">
        <f t="shared" si="5"/>
        <v>33344</v>
      </c>
      <c r="O26" s="80"/>
    </row>
    <row r="27" spans="1:15" ht="15" customHeight="1">
      <c r="A27" s="196"/>
      <c r="B27" s="85" t="s">
        <v>93</v>
      </c>
      <c r="C27" s="86" t="s">
        <v>73</v>
      </c>
      <c r="D27" s="151">
        <v>16</v>
      </c>
      <c r="E27" s="80"/>
      <c r="F27" s="80">
        <f t="shared" si="4"/>
        <v>0</v>
      </c>
      <c r="G27" s="160">
        <v>3232</v>
      </c>
      <c r="H27" s="80">
        <f t="shared" si="7"/>
        <v>51712</v>
      </c>
      <c r="I27" s="80"/>
      <c r="J27" s="80"/>
      <c r="K27" s="80"/>
      <c r="L27" s="114"/>
      <c r="M27" s="80"/>
      <c r="N27" s="114">
        <f t="shared" si="5"/>
        <v>51712</v>
      </c>
      <c r="O27" s="80"/>
    </row>
    <row r="28" spans="1:15" ht="15" customHeight="1">
      <c r="A28" s="196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0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5"/>
        <v>4168</v>
      </c>
      <c r="O28" s="80"/>
    </row>
    <row r="29" spans="1:15" ht="15" customHeight="1">
      <c r="A29" s="196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0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5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14996.6</v>
      </c>
      <c r="G30" s="83"/>
      <c r="H30" s="83">
        <f>SUM(H19:H29)</f>
        <v>98996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113992.6</v>
      </c>
      <c r="O30" s="83"/>
    </row>
    <row r="31" spans="1:15" ht="15" customHeight="1">
      <c r="A31" s="101" t="s">
        <v>96</v>
      </c>
      <c r="B31" s="78" t="s">
        <v>149</v>
      </c>
      <c r="C31" s="79" t="s">
        <v>73</v>
      </c>
      <c r="D31" s="153">
        <v>100</v>
      </c>
      <c r="E31" s="114"/>
      <c r="F31" s="114"/>
      <c r="G31" s="160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134</v>
      </c>
      <c r="B33" s="81"/>
      <c r="C33" s="82"/>
      <c r="D33" s="154"/>
      <c r="E33" s="91"/>
      <c r="F33" s="92">
        <f>F13+F18+F30+F32</f>
        <v>829989.1</v>
      </c>
      <c r="G33" s="92"/>
      <c r="H33" s="92">
        <f>H13+H18+H30+H32</f>
        <v>2495570.5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3325559.6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="120" zoomScaleNormal="120" workbookViewId="0">
      <selection activeCell="E29" sqref="E29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9.6910000000000007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0.68569999999999998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M020411810170101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M020411810170101</v>
      </c>
      <c r="E7" s="99">
        <f>'내역서(표준단가)'!E10</f>
        <v>0</v>
      </c>
      <c r="F7" s="107">
        <f>'내역서(표준단가)'!I10</f>
        <v>0.2</v>
      </c>
    </row>
    <row r="8" spans="1:6">
      <c r="A8" s="98" t="str">
        <f>'내역서(표준단가)'!A11</f>
        <v>E00000803061120802</v>
      </c>
      <c r="B8" s="99">
        <f>'내역서(표준단가)'!B11</f>
        <v>0</v>
      </c>
      <c r="C8" s="99" t="str">
        <f>'내역서(표준단가)'!C11</f>
        <v>E00000803061120802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16</v>
      </c>
    </row>
    <row r="9" spans="1:6">
      <c r="A9" s="98" t="str">
        <f>'내역서(표준단가)'!A12</f>
        <v>E00000803061300701</v>
      </c>
      <c r="B9" s="99">
        <f>'내역서(표준단가)'!B12</f>
        <v>0</v>
      </c>
      <c r="C9" s="99" t="str">
        <f>'내역서(표준단가)'!C12</f>
        <v>E00000803061300701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16</v>
      </c>
    </row>
    <row r="10" spans="1:6">
      <c r="A10" s="98" t="str">
        <f>'내역서(표준단가)'!A13</f>
        <v>E00000803061120802</v>
      </c>
      <c r="B10" s="99">
        <f>'내역서(표준단가)'!B13</f>
        <v>0</v>
      </c>
      <c r="C10" s="99" t="str">
        <f>'내역서(표준단가)'!C13</f>
        <v>E00000803061120802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2</v>
      </c>
    </row>
    <row r="11" spans="1:6">
      <c r="A11" s="98" t="str">
        <f>'내역서(표준단가)'!A14</f>
        <v>E00000803061300401</v>
      </c>
      <c r="B11" s="99">
        <f>'내역서(표준단가)'!B14</f>
        <v>0</v>
      </c>
      <c r="C11" s="99" t="str">
        <f>'내역서(표준단가)'!C14</f>
        <v>E00000803061300401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2</v>
      </c>
    </row>
    <row r="12" spans="1:6">
      <c r="A12" s="98" t="str">
        <f>'내역서(표준단가)'!A15</f>
        <v>E00000801011510701</v>
      </c>
      <c r="B12" s="99">
        <f>'내역서(표준단가)'!B15</f>
        <v>0</v>
      </c>
      <c r="C12" s="99" t="str">
        <f>'내역서(표준단가)'!C15</f>
        <v>E00000801011510701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2026-05-09T06:46:11Z</dcterms:modified>
</cp:coreProperties>
</file>
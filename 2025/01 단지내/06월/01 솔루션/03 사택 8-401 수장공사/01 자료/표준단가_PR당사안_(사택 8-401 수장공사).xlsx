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07\06 작업폴더\01 사택 8-401 수장공사\01 자료\"/>
    </mc:Choice>
  </mc:AlternateContent>
  <xr:revisionPtr revIDLastSave="0" documentId="13_ncr:1_{21C30700-FEEB-4E69-B678-E104DCA32BB9}" xr6:coauthVersionLast="47" xr6:coauthVersionMax="47" xr10:uidLastSave="{00000000-0000-0000-0000-000000000000}"/>
  <bookViews>
    <workbookView xWindow="195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4" i="11" l="1"/>
  <c r="J23" i="11"/>
  <c r="J26" i="11"/>
  <c r="J25" i="11"/>
  <c r="J27" i="11" s="1"/>
  <c r="J22" i="11"/>
  <c r="U5" i="4"/>
  <c r="S5" i="4"/>
  <c r="Q5" i="4"/>
  <c r="O5" i="4"/>
  <c r="A5" i="4"/>
  <c r="A2" i="1" s="1"/>
  <c r="J28" i="11" l="1"/>
  <c r="J20" i="11"/>
  <c r="V5" i="4"/>
  <c r="U6" i="4"/>
  <c r="S6" i="4"/>
  <c r="Q6" i="4"/>
  <c r="O6" i="4"/>
  <c r="A6" i="4"/>
  <c r="A3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2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<sst xmlns="http://schemas.openxmlformats.org/spreadsheetml/2006/main" count="253" uniqueCount="185">
  <si>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</si>
  <si>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</si>
  <si>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</si>
  <si>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</si>
  <si>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</si>
  <si>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</si>
  <si>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</si>
  <si>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</si>
  <si>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</si>
  <si>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</si>
  <si>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</si>
  <si>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</si>
  <si>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</si>
  <si>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</si>
  <si>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</si>
  <si>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</si>
  <si>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</si>
  <si>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</si>
  <si>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</si>
  <si>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</si>
  <si>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</si>
  <si>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</si>
  <si>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</si>
  <si>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</si>
  <si>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</si>
  <si>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</si>
  <si>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</si>
  <si>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</si>
  <si>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</si>
  <si>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</si>
  <si>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</si>
  <si>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</si>
  <si>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</si>
  <si>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</si>
  <si>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</si>
  <si>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</si>
  <si>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</si>
  <si>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</si>
  <si>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</si>
  <si>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</si>
  <si>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</si>
  <si>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</si>
  <si>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</si>
  <si>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</si>
  <si>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</si>
  <si>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</si>
  <si>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</si>
  <si>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</si>
  <si>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</si>
  <si>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</si>
  <si>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</si>
  <si>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</si>
  <si>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</si>
  <si>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</si>
  <si>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</si>
  <si>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</si>
  <si>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</si>
  <si>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</si>
  <si>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</si>
  <si>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</si>
  <si>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</si>
  <si>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</si>
  <si>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</si>
  <si>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</si>
  <si>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</si>
  <si>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</si>
  <si>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</si>
  <si>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</si>
  <si>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</si>
  <si>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</si>
  <si>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</si>
  <si>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</si>
  <si>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</si>
  <si>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</si>
  <si>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</si>
  <si>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</si>
  <si>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</si>
  <si>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</si>
  <si>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</si>
  <si>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</si>
  <si>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</si>
  <si>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</si>
  <si>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</si>
  <si>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</si>
  <si>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</si>
  <si>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</si>
  <si>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</si>
  <si>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</si>
  <si>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</si>
  <si>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</si>
  <si>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</si>
  <si>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</si>
  <si>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</si>
  <si>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</si>
  <si>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</si>
  <si>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</si>
  <si>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</si>
  <si>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</si>
  <si>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</si>
  <si>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</si>
  <si>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</si>
  <si>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</si>
  <si>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</si>
  <si>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</si>
  <si>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</si>
  <si>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</si>
  <si>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</si>
  <si>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</si>
  <si>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</si>
  <si>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</si>
  <si>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</si>
  <si>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</si>
  <si>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</si>
  <si>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</si>
  <si>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</si>
  <si>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</si>
  <si>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</si>
  <si>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</si>
  <si>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사택 8-401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</si>
  <si>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</si>
  <si>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</si>
  <si>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</si>
  <si>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</si>
  <si>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</si>
  <si>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</si>
  <si>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</si>
  <si>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</si>
  <si>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</si>
  <si>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</si>
  <si>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</si>
  <si>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</si>
  <si>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</si>
  <si>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</si>
  <si>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</si>
  <si>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</si>
  <si>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</si>
  <si>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</si>
  <si>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</si>
  <si>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</si>
  <si>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</si>
  <si>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</si>
  <si>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</si>
  <si>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</si>
  <si>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</si>
  <si>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</si>
  <si>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</si>
  <si>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</si>
  <si>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</si>
  <si>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</si>
  <si>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</si>
  <si>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</si>
  <si>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</si>
  <si>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</si>
  <si>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</si>
  <si>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</si>
  <si>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</si>
  <si>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</si>
  <si>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</si>
  <si>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</si>
  <si>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</si>
  <si>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</si>
  <si>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</si>
  <si>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</si>
  <si>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</si>
  <si>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</si>
  <si>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</si>
  <si>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</si>
  <si>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</si>
  <si>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</si>
  <si>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</si>
  <si>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</si>
  <si>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</si>
  <si>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</si>
  <si>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</si>
  <si>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</si>
  <si>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</si>
  <si>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</si>
  <si>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</si>
  <si>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</si>
  <si>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</si>
  <si>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</si>
  <si>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</si>
  <si>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</si>
  <si>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8-401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</si>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</sst>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26" fillId="0" borderId="10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2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B13AE36-2D51-4E57-A206-7AC242ECE0CC}"/>
    <cellStyle name="쉼표 [0] 2 84" xfId="24" xr:uid="{19301F3D-A345-4297-915C-3C902B1514FB}"/>
    <cellStyle name="쉼표 [0] 3" xfId="14" xr:uid="{8F7BE219-40E1-4BBB-A9BD-02188B74B2A3}"/>
    <cellStyle name="쉼표 [0] 4" xfId="21" xr:uid="{7AFF09CA-EF4A-4BAC-A412-C3ABEC3E723F}"/>
    <cellStyle name="쉼표 [0] 5" xfId="23" xr:uid="{8649C738-5E5B-4171-947B-BA024695DE2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1685BE1-6342-4A46-AF55-DF3A19FFC3C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EB35EB1-8C9C-4D13-8D0C-B1D0FA62BD0A}"/>
    <cellStyle name="표준_P456 공장 및 복지동 전면 유리창 청소건 라상혁님_1129(최종)" xfId="20" xr:uid="{E4BC3337-6A82-4119-A359-3AAEA0F435DF}"/>
    <cellStyle name="표준_S&amp;D_MAIN VALVE_최빈_2" xfId="17" xr:uid="{F70CA73B-19C0-4818-AB2B-97371017E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ED2B9E3-FEC4-42BB-8F2C-0F38F5A3C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039D-1E69-4765-B0E0-B6E14FD3C57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8" t="s">
        <v>119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 x14ac:dyDescent="0.3">
      <c r="A4" s="108" t="s">
        <v>120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184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61" t="s">
        <v>121</v>
      </c>
      <c r="B7" s="262"/>
      <c r="C7" s="263"/>
      <c r="D7" s="171">
        <v>2025</v>
      </c>
      <c r="E7" s="121" t="s">
        <v>122</v>
      </c>
      <c r="F7" s="172">
        <v>4</v>
      </c>
      <c r="G7" s="121" t="s">
        <v>123</v>
      </c>
      <c r="H7" s="172">
        <v>7</v>
      </c>
      <c r="I7" s="121" t="s">
        <v>124</v>
      </c>
      <c r="J7" s="122"/>
      <c r="K7" s="264" t="s">
        <v>125</v>
      </c>
      <c r="L7" s="123" t="s">
        <v>126</v>
      </c>
      <c r="M7" s="123" t="s">
        <v>127</v>
      </c>
      <c r="N7" s="123" t="s">
        <v>128</v>
      </c>
      <c r="O7" s="124" t="s">
        <v>129</v>
      </c>
    </row>
    <row r="8" spans="1:15" ht="23.25" customHeight="1" x14ac:dyDescent="0.3">
      <c r="A8" s="267" t="s">
        <v>130</v>
      </c>
      <c r="B8" s="268"/>
      <c r="C8" s="269"/>
      <c r="D8" s="270" t="s">
        <v>131</v>
      </c>
      <c r="E8" s="271"/>
      <c r="F8" s="271"/>
      <c r="G8" s="272"/>
      <c r="H8" s="273" t="s">
        <v>132</v>
      </c>
      <c r="I8" s="271"/>
      <c r="J8" s="274"/>
      <c r="K8" s="265"/>
      <c r="L8" s="125" t="s">
        <v>133</v>
      </c>
      <c r="M8" s="125" t="s">
        <v>134</v>
      </c>
      <c r="N8" s="125" t="s">
        <v>135</v>
      </c>
      <c r="O8" s="126" t="s">
        <v>136</v>
      </c>
    </row>
    <row r="9" spans="1:15" ht="23.25" customHeight="1" x14ac:dyDescent="0.3">
      <c r="A9" s="267" t="s">
        <v>137</v>
      </c>
      <c r="B9" s="268"/>
      <c r="C9" s="269"/>
      <c r="D9" s="275" t="s">
        <v>138</v>
      </c>
      <c r="E9" s="276"/>
      <c r="F9" s="276"/>
      <c r="G9" s="276"/>
      <c r="H9" s="276"/>
      <c r="I9" s="276"/>
      <c r="J9" s="277"/>
      <c r="K9" s="265"/>
      <c r="L9" s="125" t="s">
        <v>139</v>
      </c>
      <c r="M9" s="278" t="s">
        <v>140</v>
      </c>
      <c r="N9" s="268"/>
      <c r="O9" s="269"/>
    </row>
    <row r="10" spans="1:15" ht="23.25" customHeight="1" thickBot="1" x14ac:dyDescent="0.35">
      <c r="A10" s="279" t="s">
        <v>141</v>
      </c>
      <c r="B10" s="280"/>
      <c r="C10" s="281"/>
      <c r="D10" s="282" t="s">
        <v>142</v>
      </c>
      <c r="E10" s="283"/>
      <c r="F10" s="283"/>
      <c r="G10" s="283"/>
      <c r="H10" s="283"/>
      <c r="I10" s="283"/>
      <c r="J10" s="284"/>
      <c r="K10" s="266"/>
      <c r="L10" s="127" t="s">
        <v>143</v>
      </c>
      <c r="M10" s="127" t="s">
        <v>144</v>
      </c>
      <c r="N10" s="127" t="s">
        <v>145</v>
      </c>
      <c r="O10" s="128" t="s">
        <v>146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54" t="s">
        <v>183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147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7" t="str">
        <f>"견 적 금 액 : 一金"&amp;NUMBERSTRING(M32,1) &amp; "원정""(\"&amp; TEXT(M32,"#,###")&amp;"원) [VAT 별도]"</f>
        <v>견 적 금 액 : 一金오백오십칠만일천칠백이십오원정"(\5,571,725원)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 x14ac:dyDescent="0.35">
      <c r="A17" s="137" t="s">
        <v>148</v>
      </c>
      <c r="B17" s="247" t="s">
        <v>149</v>
      </c>
      <c r="C17" s="248"/>
      <c r="D17" s="248"/>
      <c r="E17" s="248"/>
      <c r="F17" s="248"/>
      <c r="G17" s="249"/>
      <c r="H17" s="138" t="s">
        <v>150</v>
      </c>
      <c r="I17" s="139" t="s">
        <v>151</v>
      </c>
      <c r="J17" s="250" t="s">
        <v>152</v>
      </c>
      <c r="K17" s="251"/>
      <c r="L17" s="251"/>
      <c r="M17" s="252"/>
      <c r="N17" s="247" t="s">
        <v>153</v>
      </c>
      <c r="O17" s="253"/>
    </row>
    <row r="18" spans="1:17" ht="28.5" customHeight="1" x14ac:dyDescent="0.3">
      <c r="A18" s="140">
        <v>1</v>
      </c>
      <c r="B18" s="241" t="s">
        <v>52</v>
      </c>
      <c r="C18" s="242"/>
      <c r="D18" s="242"/>
      <c r="E18" s="242"/>
      <c r="F18" s="242"/>
      <c r="G18" s="243"/>
      <c r="H18" s="173">
        <v>1</v>
      </c>
      <c r="I18" s="174" t="s">
        <v>6</v>
      </c>
      <c r="J18" s="244">
        <f>IFERROR(LOOKUP(2, 1/(TRIM('내역서(표준단가)'!O4:O100)&lt;&gt;""), '내역서(표준단가)'!O4:O100), "-")</f>
        <v>897493.73800000001</v>
      </c>
      <c r="K18" s="244"/>
      <c r="L18" s="244"/>
      <c r="M18" s="244"/>
      <c r="N18" s="245"/>
      <c r="O18" s="246"/>
    </row>
    <row r="19" spans="1:17" ht="28.5" customHeight="1" x14ac:dyDescent="0.3">
      <c r="A19" s="141">
        <v>2</v>
      </c>
      <c r="B19" s="221" t="s">
        <v>53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3489621.2138039996</v>
      </c>
      <c r="K19" s="225"/>
      <c r="L19" s="225"/>
      <c r="M19" s="226"/>
      <c r="N19" s="227"/>
      <c r="O19" s="228"/>
    </row>
    <row r="20" spans="1:17" ht="28.5" customHeight="1" x14ac:dyDescent="0.3">
      <c r="A20" s="141">
        <v>3</v>
      </c>
      <c r="B20" s="229" t="s">
        <v>154</v>
      </c>
      <c r="C20" s="230"/>
      <c r="D20" s="230"/>
      <c r="E20" s="230"/>
      <c r="F20" s="230"/>
      <c r="G20" s="231"/>
      <c r="H20" s="142">
        <v>1</v>
      </c>
      <c r="I20" s="142" t="s">
        <v>6</v>
      </c>
      <c r="J20" s="232">
        <f>IFERROR(SUM(J21:M29),"-")</f>
        <v>592675.05695027998</v>
      </c>
      <c r="K20" s="233"/>
      <c r="L20" s="233"/>
      <c r="M20" s="234"/>
      <c r="N20" s="235"/>
      <c r="O20" s="236"/>
      <c r="P20" s="143"/>
    </row>
    <row r="21" spans="1:17" ht="28.5" customHeight="1" x14ac:dyDescent="0.3">
      <c r="A21" s="140"/>
      <c r="B21" s="144"/>
      <c r="C21" s="213" t="s">
        <v>155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156</v>
      </c>
      <c r="O21" s="220"/>
    </row>
    <row r="22" spans="1:17" ht="28.5" customHeight="1" x14ac:dyDescent="0.3">
      <c r="A22" s="140"/>
      <c r="B22" s="144"/>
      <c r="C22" s="207" t="s">
        <v>157</v>
      </c>
      <c r="D22" s="208"/>
      <c r="E22" s="208"/>
      <c r="F22" s="208"/>
      <c r="G22" s="209"/>
      <c r="H22" s="145">
        <v>3.11</v>
      </c>
      <c r="I22" s="145" t="s">
        <v>158</v>
      </c>
      <c r="J22" s="210">
        <f>IFERROR((J18+J19)*H22%,"-")</f>
        <v>136439.2750011044</v>
      </c>
      <c r="K22" s="211"/>
      <c r="L22" s="211"/>
      <c r="M22" s="212"/>
      <c r="N22" s="203" t="s">
        <v>159</v>
      </c>
      <c r="O22" s="204"/>
    </row>
    <row r="23" spans="1:17" ht="28.5" customHeight="1" x14ac:dyDescent="0.3">
      <c r="A23" s="140"/>
      <c r="B23" s="144"/>
      <c r="C23" s="207" t="s">
        <v>160</v>
      </c>
      <c r="D23" s="208"/>
      <c r="E23" s="208"/>
      <c r="F23" s="208"/>
      <c r="G23" s="209"/>
      <c r="H23" s="145">
        <v>3.56</v>
      </c>
      <c r="I23" s="145" t="s">
        <v>161</v>
      </c>
      <c r="J23" s="210">
        <f>IFERROR(J19*H23%,"-")</f>
        <v>124230.51521142239</v>
      </c>
      <c r="K23" s="211"/>
      <c r="L23" s="211"/>
      <c r="M23" s="212"/>
      <c r="N23" s="203" t="s">
        <v>162</v>
      </c>
      <c r="O23" s="204"/>
    </row>
    <row r="24" spans="1:17" ht="28.5" customHeight="1" x14ac:dyDescent="0.3">
      <c r="A24" s="140"/>
      <c r="B24" s="144"/>
      <c r="C24" s="207" t="s">
        <v>163</v>
      </c>
      <c r="D24" s="208"/>
      <c r="E24" s="208"/>
      <c r="F24" s="208"/>
      <c r="G24" s="209"/>
      <c r="H24" s="145">
        <v>1.01</v>
      </c>
      <c r="I24" s="145" t="s">
        <v>161</v>
      </c>
      <c r="J24" s="210">
        <f>IFERROR(J19*H24%,"-")</f>
        <v>35245.174259420397</v>
      </c>
      <c r="K24" s="211"/>
      <c r="L24" s="211"/>
      <c r="M24" s="212"/>
      <c r="N24" s="203" t="s">
        <v>164</v>
      </c>
      <c r="O24" s="204"/>
    </row>
    <row r="25" spans="1:17" ht="28.5" customHeight="1" x14ac:dyDescent="0.3">
      <c r="A25" s="140"/>
      <c r="B25" s="144"/>
      <c r="C25" s="207" t="s">
        <v>165</v>
      </c>
      <c r="D25" s="208"/>
      <c r="E25" s="208"/>
      <c r="F25" s="208"/>
      <c r="G25" s="209"/>
      <c r="H25" s="146">
        <v>3.5449999999999999</v>
      </c>
      <c r="I25" s="145" t="s">
        <v>161</v>
      </c>
      <c r="J25" s="210">
        <f>IFERROR(J19*H25%,"-")</f>
        <v>123707.0720293518</v>
      </c>
      <c r="K25" s="211"/>
      <c r="L25" s="211"/>
      <c r="M25" s="212"/>
      <c r="N25" s="203" t="s">
        <v>166</v>
      </c>
      <c r="O25" s="204"/>
      <c r="Q25" s="143"/>
    </row>
    <row r="26" spans="1:17" ht="28.5" customHeight="1" x14ac:dyDescent="0.3">
      <c r="A26" s="140"/>
      <c r="B26" s="144"/>
      <c r="C26" s="207" t="s">
        <v>167</v>
      </c>
      <c r="D26" s="208"/>
      <c r="E26" s="208"/>
      <c r="F26" s="208"/>
      <c r="G26" s="209"/>
      <c r="H26" s="145">
        <v>4.5</v>
      </c>
      <c r="I26" s="145" t="s">
        <v>161</v>
      </c>
      <c r="J26" s="210">
        <f>IFERROR(J19*H26%,"-")</f>
        <v>157032.95462117999</v>
      </c>
      <c r="K26" s="211"/>
      <c r="L26" s="211"/>
      <c r="M26" s="212"/>
      <c r="N26" s="203" t="s">
        <v>168</v>
      </c>
      <c r="O26" s="204"/>
      <c r="Q26" s="147"/>
    </row>
    <row r="27" spans="1:17" ht="28.5" customHeight="1" x14ac:dyDescent="0.3">
      <c r="A27" s="140"/>
      <c r="B27" s="144"/>
      <c r="C27" s="197" t="s">
        <v>169</v>
      </c>
      <c r="D27" s="198"/>
      <c r="E27" s="198"/>
      <c r="F27" s="198"/>
      <c r="G27" s="199"/>
      <c r="H27" s="148">
        <v>12.95</v>
      </c>
      <c r="I27" s="149" t="s">
        <v>161</v>
      </c>
      <c r="J27" s="200">
        <f>IFERROR($H$27*J25%,"-")</f>
        <v>16020.065827801058</v>
      </c>
      <c r="K27" s="201"/>
      <c r="L27" s="201"/>
      <c r="M27" s="202"/>
      <c r="N27" s="203" t="s">
        <v>170</v>
      </c>
      <c r="O27" s="204"/>
    </row>
    <row r="28" spans="1:17" ht="28.5" customHeight="1" x14ac:dyDescent="0.3">
      <c r="A28" s="140"/>
      <c r="B28" s="144"/>
      <c r="C28" s="197" t="s">
        <v>171</v>
      </c>
      <c r="D28" s="198"/>
      <c r="E28" s="198"/>
      <c r="F28" s="198"/>
      <c r="G28" s="199"/>
      <c r="H28" s="148">
        <v>8.1000000000000003E-2</v>
      </c>
      <c r="I28" s="149" t="s">
        <v>161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172</v>
      </c>
      <c r="O28" s="206"/>
    </row>
    <row r="29" spans="1:17" ht="28.5" customHeight="1" x14ac:dyDescent="0.3">
      <c r="A29" s="150"/>
      <c r="B29" s="151"/>
      <c r="C29" s="177" t="s">
        <v>173</v>
      </c>
      <c r="D29" s="178"/>
      <c r="E29" s="178"/>
      <c r="F29" s="178"/>
      <c r="G29" s="179"/>
      <c r="H29" s="152">
        <v>1</v>
      </c>
      <c r="I29" s="153" t="s">
        <v>174</v>
      </c>
      <c r="J29" s="180">
        <f>34*0</f>
        <v>0</v>
      </c>
      <c r="K29" s="181"/>
      <c r="L29" s="181"/>
      <c r="M29" s="182"/>
      <c r="N29" s="183" t="s">
        <v>175</v>
      </c>
      <c r="O29" s="184"/>
    </row>
    <row r="30" spans="1:17" ht="28.5" customHeight="1" x14ac:dyDescent="0.3">
      <c r="A30" s="150">
        <v>4</v>
      </c>
      <c r="B30" s="151"/>
      <c r="C30" s="177" t="s">
        <v>176</v>
      </c>
      <c r="D30" s="178"/>
      <c r="E30" s="178"/>
      <c r="F30" s="178"/>
      <c r="G30" s="179"/>
      <c r="H30" s="153">
        <v>5</v>
      </c>
      <c r="I30" s="154" t="s">
        <v>177</v>
      </c>
      <c r="J30" s="190">
        <f>IFERROR(IF(ISNUMBER(H30), SUM(J18:M20) * (H30 / 100), "-"), "-")</f>
        <v>248989.50043771398</v>
      </c>
      <c r="K30" s="191"/>
      <c r="L30" s="191"/>
      <c r="M30" s="192"/>
      <c r="N30" s="193" t="s">
        <v>178</v>
      </c>
      <c r="O30" s="194"/>
    </row>
    <row r="31" spans="1:17" ht="28.5" customHeight="1" thickBot="1" x14ac:dyDescent="0.35">
      <c r="A31" s="150">
        <v>5</v>
      </c>
      <c r="B31" s="151"/>
      <c r="C31" s="177" t="s">
        <v>179</v>
      </c>
      <c r="D31" s="178"/>
      <c r="E31" s="178"/>
      <c r="F31" s="178"/>
      <c r="G31" s="179"/>
      <c r="H31" s="153">
        <v>7.5</v>
      </c>
      <c r="I31" s="154" t="s">
        <v>161</v>
      </c>
      <c r="J31" s="180">
        <f>IFERROR(SUM(J18:M20, J30) * (H31 / 100), "-")+-49212</f>
        <v>342946.46318939951</v>
      </c>
      <c r="K31" s="181"/>
      <c r="L31" s="181"/>
      <c r="M31" s="182"/>
      <c r="N31" s="195" t="s">
        <v>180</v>
      </c>
      <c r="O31" s="196"/>
      <c r="Q31" s="155"/>
    </row>
    <row r="32" spans="1:17" ht="28.5" customHeight="1" thickBot="1" x14ac:dyDescent="0.35">
      <c r="A32" s="185" t="s">
        <v>181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5571725</v>
      </c>
      <c r="N32" s="188"/>
      <c r="O32" s="189"/>
      <c r="P32" s="159"/>
    </row>
    <row r="33" spans="1:15" x14ac:dyDescent="0.3">
      <c r="A33" s="160" t="s">
        <v>182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0.5" style="101" bestFit="1" customWidth="1"/>
    <col min="2" max="5" width="4.625" style="101" hidden="1" customWidth="1"/>
    <col min="6" max="6" width="9" style="87" hidden="1" customWidth="1"/>
    <col min="7" max="9" width="12.625" style="87" hidden="1" customWidth="1"/>
    <col min="10" max="11" width="30.625" style="81" customWidth="1"/>
    <col min="12" max="12" width="12.25" style="87" bestFit="1" customWidth="1"/>
    <col min="13" max="13" width="8.25" style="87" customWidth="1"/>
    <col min="14" max="14" width="10.625" style="87" bestFit="1" customWidth="1"/>
    <col min="15" max="15" width="12.75" style="87" bestFit="1" customWidth="1"/>
    <col min="16" max="16" width="12" style="87" bestFit="1" customWidth="1"/>
    <col min="17" max="17" width="15" style="87" bestFit="1" customWidth="1"/>
    <col min="18" max="18" width="9" style="87" customWidth="1"/>
    <col min="19" max="19" width="8.375" style="87" bestFit="1" customWidth="1"/>
    <col min="20" max="20" width="10.5" style="87" customWidth="1"/>
    <col min="21" max="21" width="8.375" style="87" bestFit="1" customWidth="1"/>
    <col min="22" max="22" width="15.625" style="87" bestFit="1" customWidth="1"/>
    <col min="23" max="23" width="10.625" style="2" bestFit="1" customWidth="1"/>
    <col min="24" max="24" width="8.5" style="87" bestFit="1" customWidth="1"/>
    <col min="25" max="16384" width="9" style="87"/>
  </cols>
  <sheetData>
    <row r="1" spans="1:24" ht="19.899999999999999" customHeight="1" x14ac:dyDescent="0.3">
      <c r="A1" s="285"/>
      <c r="B1" s="285"/>
      <c r="C1" s="285"/>
      <c r="D1" s="285"/>
      <c r="E1" s="285"/>
      <c r="F1" s="285"/>
      <c r="G1" s="285"/>
      <c r="H1" s="285"/>
      <c r="I1" s="285"/>
      <c r="N1" s="2"/>
      <c r="O1" s="85" t="s">
        <v>49</v>
      </c>
      <c r="Q1" s="85" t="s">
        <v>49</v>
      </c>
      <c r="S1" s="85" t="s">
        <v>49</v>
      </c>
      <c r="U1" s="85" t="s">
        <v>49</v>
      </c>
    </row>
    <row r="2" spans="1:24" ht="19.899999999999999" customHeight="1" thickBot="1" x14ac:dyDescent="0.35">
      <c r="A2" s="285"/>
      <c r="B2" s="285"/>
      <c r="C2" s="285"/>
      <c r="D2" s="285"/>
      <c r="E2" s="285"/>
      <c r="F2" s="285"/>
      <c r="G2" s="285"/>
      <c r="H2" s="285"/>
      <c r="I2" s="28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8"/>
      <c r="B3" s="89"/>
      <c r="C3" s="89"/>
      <c r="D3" s="89"/>
      <c r="E3" s="89"/>
      <c r="F3" s="89" t="s">
        <v>50</v>
      </c>
      <c r="G3" s="89"/>
      <c r="H3" s="89"/>
      <c r="I3" s="89"/>
      <c r="J3" s="296" t="s">
        <v>51</v>
      </c>
      <c r="K3" s="296"/>
      <c r="L3" s="294" t="s">
        <v>8</v>
      </c>
      <c r="M3" s="294" t="s">
        <v>5</v>
      </c>
      <c r="N3" s="290" t="s">
        <v>52</v>
      </c>
      <c r="O3" s="290"/>
      <c r="P3" s="290" t="s">
        <v>53</v>
      </c>
      <c r="Q3" s="290"/>
      <c r="R3" s="291" t="s">
        <v>54</v>
      </c>
      <c r="S3" s="291"/>
      <c r="T3" s="291" t="s">
        <v>55</v>
      </c>
      <c r="U3" s="291"/>
      <c r="V3" s="292" t="s">
        <v>56</v>
      </c>
      <c r="W3" s="288" t="s">
        <v>57</v>
      </c>
      <c r="X3" s="286" t="s">
        <v>7</v>
      </c>
    </row>
    <row r="4" spans="1:24" ht="19.899999999999999" customHeight="1" x14ac:dyDescent="0.3">
      <c r="A4" s="5" t="s">
        <v>58</v>
      </c>
      <c r="B4" s="86"/>
      <c r="C4" s="86"/>
      <c r="D4" s="86"/>
      <c r="E4" s="86"/>
      <c r="F4" s="6" t="s">
        <v>59</v>
      </c>
      <c r="G4" s="6" t="s">
        <v>60</v>
      </c>
      <c r="H4" s="6" t="s">
        <v>61</v>
      </c>
      <c r="I4" s="6" t="s">
        <v>62</v>
      </c>
      <c r="J4" s="82" t="s">
        <v>63</v>
      </c>
      <c r="K4" s="82" t="s">
        <v>64</v>
      </c>
      <c r="L4" s="295"/>
      <c r="M4" s="295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3"/>
      <c r="W4" s="289"/>
      <c r="X4" s="287"/>
    </row>
    <row r="5" spans="1:24" s="90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104</v>
      </c>
      <c r="I5" s="39"/>
      <c r="J5" s="80" t="s">
        <v>105</v>
      </c>
      <c r="K5" s="80" t="s">
        <v>114</v>
      </c>
      <c r="L5" s="59" t="s">
        <v>113</v>
      </c>
      <c r="M5" s="79">
        <v>11.992000000000001</v>
      </c>
      <c r="N5" s="102">
        <v>20900</v>
      </c>
      <c r="O5" s="74">
        <f t="shared" ref="O5" si="1">SUM(N5:N5)*M5*$O$2</f>
        <v>209278.38800000001</v>
      </c>
      <c r="P5" s="73"/>
      <c r="Q5" s="74">
        <f t="shared" ref="Q5:Q17" si="2">(P5*M5)*$Q$2</f>
        <v>0</v>
      </c>
      <c r="R5" s="75"/>
      <c r="S5" s="74">
        <f t="shared" ref="S5:S17" si="3">R5*M5*$S$2</f>
        <v>0</v>
      </c>
      <c r="T5" s="75"/>
      <c r="U5" s="74">
        <f t="shared" ref="U5:U17" si="4">T5*M5*$U$2</f>
        <v>0</v>
      </c>
      <c r="V5" s="13">
        <f t="shared" ref="V5:V17" si="5">SUM(O5+Q5)+S5+U5</f>
        <v>209278.38800000001</v>
      </c>
      <c r="W5" s="58"/>
      <c r="X5" s="14"/>
    </row>
    <row r="6" spans="1:24" s="90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80" t="s">
        <v>71</v>
      </c>
      <c r="K6" s="80" t="s">
        <v>115</v>
      </c>
      <c r="L6" s="11" t="s">
        <v>70</v>
      </c>
      <c r="M6" s="79">
        <v>2.956</v>
      </c>
      <c r="N6" s="76"/>
      <c r="O6" s="74">
        <f t="shared" ref="O6" si="6">SUM(N6:N6)*M6*$O$2</f>
        <v>0</v>
      </c>
      <c r="P6" s="73">
        <v>487076</v>
      </c>
      <c r="Q6" s="74">
        <f t="shared" ref="Q6" si="7">(P6*M6)*$Q$2</f>
        <v>1202230.2077599999</v>
      </c>
      <c r="R6" s="75"/>
      <c r="S6" s="74">
        <f t="shared" ref="S6" si="8">R6*M6*$S$2</f>
        <v>0</v>
      </c>
      <c r="T6" s="75"/>
      <c r="U6" s="74">
        <f t="shared" ref="U6" si="9">T6*M6*$U$2</f>
        <v>0</v>
      </c>
      <c r="V6" s="13">
        <f t="shared" ref="V6" si="10">SUM(O6+Q6)+S6+U6</f>
        <v>1202230.2077599999</v>
      </c>
      <c r="W6" s="58"/>
      <c r="X6" s="14"/>
    </row>
    <row r="7" spans="1:24" s="90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80" t="s">
        <v>72</v>
      </c>
      <c r="K7" s="80" t="s">
        <v>116</v>
      </c>
      <c r="L7" s="11" t="s">
        <v>70</v>
      </c>
      <c r="M7" s="79">
        <v>1.7709999999999999</v>
      </c>
      <c r="N7" s="76"/>
      <c r="O7" s="74">
        <f t="shared" ref="O7:O17" si="12">SUM(N7:N7)*M7*$O$2</f>
        <v>0</v>
      </c>
      <c r="P7" s="73">
        <v>487076</v>
      </c>
      <c r="Q7" s="74">
        <f t="shared" si="2"/>
        <v>720280.68265999993</v>
      </c>
      <c r="R7" s="75"/>
      <c r="S7" s="74">
        <f t="shared" si="3"/>
        <v>0</v>
      </c>
      <c r="T7" s="75"/>
      <c r="U7" s="74">
        <f t="shared" si="4"/>
        <v>0</v>
      </c>
      <c r="V7" s="13">
        <f t="shared" si="5"/>
        <v>720280.68265999993</v>
      </c>
      <c r="W7" s="58"/>
      <c r="X7" s="14"/>
    </row>
    <row r="8" spans="1:24" s="90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107</v>
      </c>
      <c r="I8" s="39"/>
      <c r="J8" s="80" t="s">
        <v>108</v>
      </c>
      <c r="K8" s="80" t="s">
        <v>109</v>
      </c>
      <c r="L8" s="59" t="s">
        <v>106</v>
      </c>
      <c r="M8" s="79">
        <v>59.5</v>
      </c>
      <c r="N8" s="77">
        <v>13000</v>
      </c>
      <c r="O8" s="74">
        <f t="shared" si="12"/>
        <v>645872.5</v>
      </c>
      <c r="P8" s="73"/>
      <c r="Q8" s="74">
        <f t="shared" si="2"/>
        <v>0</v>
      </c>
      <c r="R8" s="75"/>
      <c r="S8" s="74">
        <f t="shared" si="3"/>
        <v>0</v>
      </c>
      <c r="T8" s="75"/>
      <c r="U8" s="74">
        <f t="shared" si="4"/>
        <v>0</v>
      </c>
      <c r="V8" s="13">
        <f t="shared" si="5"/>
        <v>645872.5</v>
      </c>
      <c r="W8" s="58"/>
      <c r="X8" s="14"/>
    </row>
    <row r="9" spans="1:24" s="90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80" t="s">
        <v>74</v>
      </c>
      <c r="K9" s="80" t="s">
        <v>117</v>
      </c>
      <c r="L9" s="11" t="s">
        <v>70</v>
      </c>
      <c r="M9" s="79">
        <v>0.97540000000000004</v>
      </c>
      <c r="N9" s="76"/>
      <c r="O9" s="74">
        <f t="shared" si="12"/>
        <v>0</v>
      </c>
      <c r="P9" s="73">
        <v>487076</v>
      </c>
      <c r="Q9" s="74">
        <f t="shared" si="2"/>
        <v>396703.43188400002</v>
      </c>
      <c r="R9" s="75"/>
      <c r="S9" s="74">
        <f t="shared" si="3"/>
        <v>0</v>
      </c>
      <c r="T9" s="75"/>
      <c r="U9" s="74">
        <f t="shared" si="4"/>
        <v>0</v>
      </c>
      <c r="V9" s="13">
        <f t="shared" si="5"/>
        <v>396703.43188400002</v>
      </c>
      <c r="W9" s="58"/>
      <c r="X9" s="14"/>
    </row>
    <row r="10" spans="1:24" s="90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9" t="s">
        <v>99</v>
      </c>
      <c r="I10" s="39"/>
      <c r="J10" s="83" t="s">
        <v>98</v>
      </c>
      <c r="K10" s="83" t="s">
        <v>93</v>
      </c>
      <c r="L10" s="70" t="s">
        <v>92</v>
      </c>
      <c r="M10" s="79">
        <v>0.5</v>
      </c>
      <c r="N10" s="78">
        <v>65500</v>
      </c>
      <c r="O10" s="74">
        <f t="shared" si="12"/>
        <v>27346.25</v>
      </c>
      <c r="P10" s="73"/>
      <c r="Q10" s="74"/>
      <c r="R10" s="75"/>
      <c r="S10" s="74"/>
      <c r="T10" s="75"/>
      <c r="U10" s="74"/>
      <c r="V10" s="13">
        <f t="shared" si="5"/>
        <v>27346.25</v>
      </c>
      <c r="W10" s="58"/>
      <c r="X10" s="14"/>
    </row>
    <row r="11" spans="1:24" s="90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80" t="s">
        <v>76</v>
      </c>
      <c r="K11" s="80" t="s">
        <v>77</v>
      </c>
      <c r="L11" s="59" t="s">
        <v>90</v>
      </c>
      <c r="M11" s="79">
        <v>48</v>
      </c>
      <c r="N11" s="73"/>
      <c r="O11" s="74">
        <f t="shared" si="12"/>
        <v>0</v>
      </c>
      <c r="P11" s="73">
        <v>10432</v>
      </c>
      <c r="Q11" s="74">
        <f t="shared" si="2"/>
        <v>418114.56</v>
      </c>
      <c r="R11" s="75"/>
      <c r="S11" s="74">
        <f t="shared" si="3"/>
        <v>0</v>
      </c>
      <c r="T11" s="75"/>
      <c r="U11" s="74">
        <f t="shared" si="4"/>
        <v>0</v>
      </c>
      <c r="V11" s="13">
        <f t="shared" si="5"/>
        <v>418114.56</v>
      </c>
      <c r="W11" s="58"/>
      <c r="X11" s="14"/>
    </row>
    <row r="12" spans="1:24" s="90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80" t="s">
        <v>80</v>
      </c>
      <c r="K12" s="80" t="s">
        <v>81</v>
      </c>
      <c r="L12" s="59" t="s">
        <v>78</v>
      </c>
      <c r="M12" s="79">
        <v>48</v>
      </c>
      <c r="N12" s="73"/>
      <c r="O12" s="74">
        <f t="shared" si="12"/>
        <v>0</v>
      </c>
      <c r="P12" s="73">
        <v>6179</v>
      </c>
      <c r="Q12" s="74">
        <f t="shared" si="2"/>
        <v>247654.31999999998</v>
      </c>
      <c r="R12" s="75"/>
      <c r="S12" s="74">
        <f t="shared" si="3"/>
        <v>0</v>
      </c>
      <c r="T12" s="75"/>
      <c r="U12" s="74">
        <f t="shared" si="4"/>
        <v>0</v>
      </c>
      <c r="V12" s="13">
        <f t="shared" si="5"/>
        <v>247654.31999999998</v>
      </c>
      <c r="W12" s="58"/>
      <c r="X12" s="14"/>
    </row>
    <row r="13" spans="1:24" s="90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9" t="s">
        <v>94</v>
      </c>
      <c r="I13" s="39"/>
      <c r="J13" s="83" t="s">
        <v>95</v>
      </c>
      <c r="K13" s="83" t="s">
        <v>96</v>
      </c>
      <c r="L13" s="70" t="s">
        <v>92</v>
      </c>
      <c r="M13" s="79">
        <v>0.2</v>
      </c>
      <c r="N13" s="78">
        <v>89800</v>
      </c>
      <c r="O13" s="74">
        <f t="shared" si="12"/>
        <v>14996.599999999999</v>
      </c>
      <c r="P13" s="73"/>
      <c r="Q13" s="74"/>
      <c r="R13" s="75"/>
      <c r="S13" s="74">
        <f t="shared" si="3"/>
        <v>0</v>
      </c>
      <c r="T13" s="75"/>
      <c r="U13" s="74">
        <f t="shared" si="4"/>
        <v>0</v>
      </c>
      <c r="V13" s="13">
        <f t="shared" si="5"/>
        <v>14996.599999999999</v>
      </c>
      <c r="W13" s="58"/>
      <c r="X13" s="14"/>
    </row>
    <row r="14" spans="1:24" s="90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80" t="s">
        <v>83</v>
      </c>
      <c r="K14" s="80" t="s">
        <v>84</v>
      </c>
      <c r="L14" s="59" t="s">
        <v>78</v>
      </c>
      <c r="M14" s="79">
        <v>16</v>
      </c>
      <c r="N14" s="91"/>
      <c r="O14" s="12">
        <f t="shared" si="12"/>
        <v>0</v>
      </c>
      <c r="P14" s="92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8"/>
      <c r="X14" s="14"/>
    </row>
    <row r="15" spans="1:24" s="90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80" t="s">
        <v>86</v>
      </c>
      <c r="K15" s="80" t="s">
        <v>81</v>
      </c>
      <c r="L15" s="59" t="s">
        <v>78</v>
      </c>
      <c r="M15" s="79">
        <v>16</v>
      </c>
      <c r="N15" s="60"/>
      <c r="O15" s="12">
        <f t="shared" si="12"/>
        <v>0</v>
      </c>
      <c r="P15" s="92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8"/>
      <c r="X15" s="14"/>
    </row>
    <row r="16" spans="1:24" s="90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80" t="s">
        <v>87</v>
      </c>
      <c r="K16" s="80" t="s">
        <v>84</v>
      </c>
      <c r="L16" s="59" t="s">
        <v>78</v>
      </c>
      <c r="M16" s="79">
        <v>1.1000000000000001</v>
      </c>
      <c r="N16" s="91"/>
      <c r="O16" s="12">
        <f t="shared" si="12"/>
        <v>0</v>
      </c>
      <c r="P16" s="92">
        <v>2422</v>
      </c>
      <c r="Q16" s="12">
        <f t="shared" si="2"/>
        <v>2224.607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2224.607</v>
      </c>
      <c r="W16" s="58"/>
      <c r="X16" s="14"/>
    </row>
    <row r="17" spans="1:24" s="90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80" t="s">
        <v>89</v>
      </c>
      <c r="K17" s="80" t="s">
        <v>81</v>
      </c>
      <c r="L17" s="59" t="s">
        <v>78</v>
      </c>
      <c r="M17" s="79">
        <v>1.1000000000000001</v>
      </c>
      <c r="N17" s="60"/>
      <c r="O17" s="12">
        <f t="shared" si="12"/>
        <v>0</v>
      </c>
      <c r="P17" s="92">
        <v>5677</v>
      </c>
      <c r="Q17" s="12">
        <f t="shared" si="2"/>
        <v>5214.3245000000006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5214.3245000000006</v>
      </c>
      <c r="W17" s="58"/>
      <c r="X17" s="14"/>
    </row>
    <row r="18" spans="1:24" s="90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93" t="s">
        <v>102</v>
      </c>
      <c r="K18" s="93" t="s">
        <v>111</v>
      </c>
      <c r="L18" s="94" t="s">
        <v>103</v>
      </c>
      <c r="M18" s="79">
        <v>100</v>
      </c>
      <c r="N18" s="91"/>
      <c r="O18" s="12">
        <f t="shared" ref="O18" si="13">SUM(N18:N18)*M18*$O$2</f>
        <v>0</v>
      </c>
      <c r="P18" s="103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8"/>
      <c r="X18" s="14"/>
    </row>
    <row r="19" spans="1:24" s="100" customFormat="1" ht="38.1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84"/>
      <c r="K19" s="84"/>
      <c r="L19" s="96"/>
      <c r="M19" s="96"/>
      <c r="N19" s="96"/>
      <c r="O19" s="97">
        <f>SUM(O5:O18)</f>
        <v>897493.73800000001</v>
      </c>
      <c r="P19" s="98"/>
      <c r="Q19" s="97">
        <f>SUM(Q5:Q18)</f>
        <v>3489621.2138039996</v>
      </c>
      <c r="R19" s="98"/>
      <c r="S19" s="97">
        <f>SUM(S5:S18)</f>
        <v>0</v>
      </c>
      <c r="T19" s="98"/>
      <c r="U19" s="97">
        <f>SUM(U5:U18)</f>
        <v>0</v>
      </c>
      <c r="V19" s="99">
        <f>SUM(V5:V18)</f>
        <v>4387114.951804</v>
      </c>
      <c r="W19" s="48"/>
      <c r="X19" s="9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Q15" sqref="Q15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307" t="s">
        <v>9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</row>
    <row r="2" spans="1:16" ht="15" customHeight="1" x14ac:dyDescent="0.3">
      <c r="A2" s="308" t="s">
        <v>10</v>
      </c>
      <c r="B2" s="309" t="s">
        <v>11</v>
      </c>
      <c r="C2" s="310" t="s">
        <v>8</v>
      </c>
      <c r="D2" s="310" t="s">
        <v>12</v>
      </c>
      <c r="E2" s="312" t="s">
        <v>13</v>
      </c>
      <c r="F2" s="309"/>
      <c r="G2" s="309" t="s">
        <v>14</v>
      </c>
      <c r="H2" s="309"/>
      <c r="I2" s="313" t="s">
        <v>15</v>
      </c>
      <c r="J2" s="314"/>
      <c r="K2" s="313" t="s">
        <v>16</v>
      </c>
      <c r="L2" s="314"/>
      <c r="M2" s="312" t="s">
        <v>17</v>
      </c>
      <c r="N2" s="309"/>
      <c r="O2" s="315" t="s">
        <v>18</v>
      </c>
    </row>
    <row r="3" spans="1:16" ht="15" customHeight="1" x14ac:dyDescent="0.3">
      <c r="A3" s="308"/>
      <c r="B3" s="309"/>
      <c r="C3" s="311"/>
      <c r="D3" s="311"/>
      <c r="E3" s="68" t="s">
        <v>19</v>
      </c>
      <c r="F3" s="68" t="s">
        <v>20</v>
      </c>
      <c r="G3" s="16" t="s">
        <v>19</v>
      </c>
      <c r="H3" s="68" t="s">
        <v>21</v>
      </c>
      <c r="I3" s="68"/>
      <c r="J3" s="68"/>
      <c r="K3" s="16" t="s">
        <v>19</v>
      </c>
      <c r="L3" s="68" t="s">
        <v>21</v>
      </c>
      <c r="M3" s="16" t="s">
        <v>19</v>
      </c>
      <c r="N3" s="68" t="s">
        <v>21</v>
      </c>
      <c r="O3" s="316"/>
    </row>
    <row r="4" spans="1:16" ht="15" customHeight="1" x14ac:dyDescent="0.3">
      <c r="A4" s="305" t="s">
        <v>118</v>
      </c>
      <c r="B4" s="30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298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00" t="s">
        <v>100</v>
      </c>
    </row>
    <row r="6" spans="1:16" ht="15" customHeight="1" x14ac:dyDescent="0.3">
      <c r="A6" s="299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01"/>
    </row>
    <row r="7" spans="1:16" ht="15" customHeight="1" x14ac:dyDescent="0.3">
      <c r="A7" s="299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01"/>
      <c r="P7" s="56"/>
    </row>
    <row r="8" spans="1:16" ht="15" customHeight="1" x14ac:dyDescent="0.3">
      <c r="A8" s="299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301"/>
    </row>
    <row r="9" spans="1:16" ht="15" customHeight="1" x14ac:dyDescent="0.3">
      <c r="A9" s="299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01"/>
    </row>
    <row r="10" spans="1:16" ht="15" customHeight="1" x14ac:dyDescent="0.3">
      <c r="A10" s="299"/>
      <c r="B10" s="18" t="s">
        <v>29</v>
      </c>
      <c r="C10" s="19" t="s">
        <v>24</v>
      </c>
      <c r="D10" s="20">
        <v>11</v>
      </c>
      <c r="E10" s="21">
        <v>1057</v>
      </c>
      <c r="F10" s="21">
        <f t="shared" si="0"/>
        <v>11627</v>
      </c>
      <c r="G10" s="21">
        <v>11617.4</v>
      </c>
      <c r="H10" s="21">
        <f t="shared" si="1"/>
        <v>127791.4</v>
      </c>
      <c r="I10" s="21"/>
      <c r="J10" s="21"/>
      <c r="K10" s="21"/>
      <c r="L10" s="21"/>
      <c r="M10" s="21"/>
      <c r="N10" s="21">
        <f t="shared" si="2"/>
        <v>139418.4</v>
      </c>
      <c r="O10" s="301"/>
    </row>
    <row r="11" spans="1:16" ht="15" customHeight="1" x14ac:dyDescent="0.3">
      <c r="A11" s="299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01"/>
    </row>
    <row r="12" spans="1:16" ht="15" customHeight="1" x14ac:dyDescent="0.3">
      <c r="A12" s="299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01"/>
    </row>
    <row r="13" spans="1:16" ht="15" customHeight="1" x14ac:dyDescent="0.3">
      <c r="A13" s="49" t="s">
        <v>32</v>
      </c>
      <c r="B13" s="50"/>
      <c r="C13" s="51"/>
      <c r="D13" s="52">
        <v>198</v>
      </c>
      <c r="E13" s="61"/>
      <c r="F13" s="53">
        <f>SUM(F5:F12)</f>
        <v>209286</v>
      </c>
      <c r="G13" s="53"/>
      <c r="H13" s="53">
        <f>SUM(H5:H12)</f>
        <v>1922505.1999999997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2131791.1999999997</v>
      </c>
      <c r="O13" s="53"/>
    </row>
    <row r="14" spans="1:16" ht="15" customHeight="1" x14ac:dyDescent="0.3">
      <c r="A14" s="302" t="s">
        <v>101</v>
      </c>
      <c r="B14" s="18" t="s">
        <v>33</v>
      </c>
      <c r="C14" s="19" t="s">
        <v>24</v>
      </c>
      <c r="D14" s="62">
        <v>28.9</v>
      </c>
      <c r="E14" s="21">
        <v>10855</v>
      </c>
      <c r="F14" s="63">
        <f>D14*E14</f>
        <v>313709.5</v>
      </c>
      <c r="G14" s="21">
        <v>6668.1</v>
      </c>
      <c r="H14" s="63">
        <f>D14*G14</f>
        <v>192708.09</v>
      </c>
      <c r="I14" s="63"/>
      <c r="J14" s="63"/>
      <c r="K14" s="21"/>
      <c r="L14" s="63"/>
      <c r="M14" s="21"/>
      <c r="N14" s="63">
        <f t="shared" ref="N14:N17" si="3">F14+H14+J14+L14</f>
        <v>506417.58999999997</v>
      </c>
      <c r="O14" s="301"/>
    </row>
    <row r="15" spans="1:16" ht="15" customHeight="1" x14ac:dyDescent="0.3">
      <c r="A15" s="302"/>
      <c r="B15" s="18" t="s">
        <v>34</v>
      </c>
      <c r="C15" s="19" t="s">
        <v>24</v>
      </c>
      <c r="D15" s="64">
        <v>12.4</v>
      </c>
      <c r="E15" s="21">
        <v>10855</v>
      </c>
      <c r="F15" s="63">
        <f>D15*E15</f>
        <v>134602</v>
      </c>
      <c r="G15" s="21">
        <v>6668.1</v>
      </c>
      <c r="H15" s="63">
        <f>D15*G15</f>
        <v>82684.44</v>
      </c>
      <c r="I15" s="63"/>
      <c r="J15" s="63"/>
      <c r="K15" s="21"/>
      <c r="L15" s="63"/>
      <c r="M15" s="21"/>
      <c r="N15" s="63">
        <f t="shared" si="3"/>
        <v>217286.44</v>
      </c>
      <c r="O15" s="301"/>
    </row>
    <row r="16" spans="1:16" ht="15" customHeight="1" x14ac:dyDescent="0.3">
      <c r="A16" s="302"/>
      <c r="B16" s="18" t="s">
        <v>35</v>
      </c>
      <c r="C16" s="19" t="s">
        <v>24</v>
      </c>
      <c r="D16" s="64">
        <v>9.9</v>
      </c>
      <c r="E16" s="21">
        <v>10855</v>
      </c>
      <c r="F16" s="63">
        <f>D16*E16</f>
        <v>107464.5</v>
      </c>
      <c r="G16" s="21">
        <v>6668.1</v>
      </c>
      <c r="H16" s="63">
        <f>D16*G16</f>
        <v>66014.19</v>
      </c>
      <c r="I16" s="63"/>
      <c r="J16" s="63"/>
      <c r="K16" s="21"/>
      <c r="L16" s="63"/>
      <c r="M16" s="21"/>
      <c r="N16" s="63">
        <f t="shared" si="3"/>
        <v>173478.69</v>
      </c>
      <c r="O16" s="301"/>
    </row>
    <row r="17" spans="1:15" ht="15" customHeight="1" x14ac:dyDescent="0.3">
      <c r="A17" s="303"/>
      <c r="B17" s="18" t="s">
        <v>36</v>
      </c>
      <c r="C17" s="19" t="s">
        <v>24</v>
      </c>
      <c r="D17" s="64">
        <v>8.3000000000000007</v>
      </c>
      <c r="E17" s="21">
        <v>10855</v>
      </c>
      <c r="F17" s="63">
        <f>D17*E17</f>
        <v>90096.500000000015</v>
      </c>
      <c r="G17" s="21">
        <v>6668.1</v>
      </c>
      <c r="H17" s="63">
        <f>D17*G17</f>
        <v>55345.23000000001</v>
      </c>
      <c r="I17" s="63"/>
      <c r="J17" s="63"/>
      <c r="K17" s="21"/>
      <c r="L17" s="63"/>
      <c r="M17" s="21"/>
      <c r="N17" s="63">
        <f t="shared" si="3"/>
        <v>145441.73000000004</v>
      </c>
      <c r="O17" s="304"/>
    </row>
    <row r="18" spans="1:15" ht="15" customHeight="1" x14ac:dyDescent="0.3">
      <c r="A18" s="40" t="s">
        <v>32</v>
      </c>
      <c r="B18" s="23"/>
      <c r="C18" s="27"/>
      <c r="D18" s="57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5" t="s">
        <v>97</v>
      </c>
      <c r="B20" s="71" t="s">
        <v>93</v>
      </c>
      <c r="C20" s="71" t="s">
        <v>92</v>
      </c>
      <c r="D20" s="54">
        <v>0.5</v>
      </c>
      <c r="E20" s="21">
        <v>54693</v>
      </c>
      <c r="F20" s="63">
        <f>D20*E20</f>
        <v>27346.5</v>
      </c>
      <c r="G20" s="21"/>
      <c r="H20" s="21"/>
      <c r="I20" s="21"/>
      <c r="J20" s="21"/>
      <c r="K20" s="21"/>
      <c r="L20" s="21"/>
      <c r="M20" s="21"/>
      <c r="N20" s="66">
        <f t="shared" ref="N20:N29" si="4">F20+H20+J20+L20</f>
        <v>27346.5</v>
      </c>
      <c r="O20" s="21"/>
    </row>
    <row r="21" spans="1:15" ht="15" customHeight="1" x14ac:dyDescent="0.3">
      <c r="A21" s="297" t="s">
        <v>38</v>
      </c>
      <c r="B21" s="28" t="s">
        <v>39</v>
      </c>
      <c r="C21" s="29" t="s">
        <v>24</v>
      </c>
      <c r="D21" s="30">
        <v>24</v>
      </c>
      <c r="E21" s="66"/>
      <c r="F21" s="66">
        <f>D21*E21</f>
        <v>0</v>
      </c>
      <c r="G21" s="66">
        <v>8711</v>
      </c>
      <c r="H21" s="66">
        <f t="shared" ref="H21:H27" si="5">D21*G21</f>
        <v>209064</v>
      </c>
      <c r="I21" s="66"/>
      <c r="J21" s="66"/>
      <c r="K21" s="66"/>
      <c r="L21" s="66"/>
      <c r="M21" s="66"/>
      <c r="N21" s="66">
        <f t="shared" si="4"/>
        <v>209064</v>
      </c>
      <c r="O21" s="21"/>
    </row>
    <row r="22" spans="1:15" ht="15" customHeight="1" x14ac:dyDescent="0.3">
      <c r="A22" s="297"/>
      <c r="B22" s="28" t="s">
        <v>40</v>
      </c>
      <c r="C22" s="29" t="s">
        <v>24</v>
      </c>
      <c r="D22" s="30">
        <v>24</v>
      </c>
      <c r="E22" s="66"/>
      <c r="F22" s="66">
        <f t="shared" ref="F22:F29" si="6">D22*E22</f>
        <v>0</v>
      </c>
      <c r="G22" s="66">
        <v>5159</v>
      </c>
      <c r="H22" s="66">
        <f t="shared" si="5"/>
        <v>123816</v>
      </c>
      <c r="I22" s="66"/>
      <c r="J22" s="66"/>
      <c r="K22" s="66"/>
      <c r="L22" s="66"/>
      <c r="M22" s="66"/>
      <c r="N22" s="66">
        <f t="shared" si="4"/>
        <v>123816</v>
      </c>
      <c r="O22" s="21"/>
    </row>
    <row r="23" spans="1:15" ht="15" customHeight="1" x14ac:dyDescent="0.3">
      <c r="A23" s="297" t="s">
        <v>41</v>
      </c>
      <c r="B23" s="28" t="s">
        <v>39</v>
      </c>
      <c r="C23" s="29" t="s">
        <v>24</v>
      </c>
      <c r="D23" s="30">
        <v>24</v>
      </c>
      <c r="E23" s="66"/>
      <c r="F23" s="66">
        <f>D23*E23</f>
        <v>0</v>
      </c>
      <c r="G23" s="66">
        <v>8711</v>
      </c>
      <c r="H23" s="66">
        <f t="shared" si="5"/>
        <v>209064</v>
      </c>
      <c r="I23" s="66"/>
      <c r="J23" s="66"/>
      <c r="K23" s="66"/>
      <c r="L23" s="66"/>
      <c r="M23" s="66"/>
      <c r="N23" s="66">
        <f t="shared" si="4"/>
        <v>209064</v>
      </c>
      <c r="O23" s="21"/>
    </row>
    <row r="24" spans="1:15" ht="15" customHeight="1" x14ac:dyDescent="0.3">
      <c r="A24" s="297"/>
      <c r="B24" s="28" t="s">
        <v>40</v>
      </c>
      <c r="C24" s="29" t="s">
        <v>24</v>
      </c>
      <c r="D24" s="30">
        <v>24</v>
      </c>
      <c r="E24" s="66"/>
      <c r="F24" s="66">
        <f t="shared" ref="F24:F27" si="7">D24*E24</f>
        <v>0</v>
      </c>
      <c r="G24" s="66">
        <v>5159</v>
      </c>
      <c r="H24" s="66">
        <f t="shared" si="5"/>
        <v>123816</v>
      </c>
      <c r="I24" s="66"/>
      <c r="J24" s="66"/>
      <c r="K24" s="66"/>
      <c r="L24" s="66"/>
      <c r="M24" s="66"/>
      <c r="N24" s="66">
        <f t="shared" si="4"/>
        <v>123816</v>
      </c>
      <c r="O24" s="21"/>
    </row>
    <row r="25" spans="1:15" ht="15" customHeight="1" x14ac:dyDescent="0.3">
      <c r="A25" s="72" t="s">
        <v>95</v>
      </c>
      <c r="B25" s="71" t="s">
        <v>96</v>
      </c>
      <c r="C25" s="71" t="s">
        <v>92</v>
      </c>
      <c r="D25" s="54">
        <v>0.2</v>
      </c>
      <c r="E25" s="21">
        <v>74987</v>
      </c>
      <c r="F25" s="66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6">
        <f t="shared" si="4"/>
        <v>14997.400000000001</v>
      </c>
      <c r="O25" s="21"/>
    </row>
    <row r="26" spans="1:15" ht="15" customHeight="1" x14ac:dyDescent="0.3">
      <c r="A26" s="297" t="s">
        <v>42</v>
      </c>
      <c r="B26" s="28" t="s">
        <v>43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3"/>
      <c r="M26" s="21"/>
      <c r="N26" s="63">
        <f t="shared" si="4"/>
        <v>32352</v>
      </c>
      <c r="O26" s="21"/>
    </row>
    <row r="27" spans="1:15" ht="15" customHeight="1" x14ac:dyDescent="0.3">
      <c r="A27" s="297"/>
      <c r="B27" s="28" t="s">
        <v>44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3"/>
      <c r="M27" s="21"/>
      <c r="N27" s="63">
        <f t="shared" si="4"/>
        <v>50176</v>
      </c>
      <c r="O27" s="21"/>
    </row>
    <row r="28" spans="1:15" ht="15" customHeight="1" x14ac:dyDescent="0.3">
      <c r="A28" s="297" t="s">
        <v>45</v>
      </c>
      <c r="B28" s="28" t="s">
        <v>43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3"/>
      <c r="M28" s="21"/>
      <c r="N28" s="63">
        <f t="shared" si="4"/>
        <v>4044</v>
      </c>
      <c r="O28" s="21"/>
    </row>
    <row r="29" spans="1:15" ht="15" customHeight="1" x14ac:dyDescent="0.3">
      <c r="A29" s="297"/>
      <c r="B29" s="28" t="s">
        <v>46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3"/>
      <c r="M29" s="21"/>
      <c r="N29" s="63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47</v>
      </c>
      <c r="B31" s="18" t="s">
        <v>110</v>
      </c>
      <c r="C31" s="19" t="s">
        <v>24</v>
      </c>
      <c r="D31" s="67">
        <v>100</v>
      </c>
      <c r="E31" s="63"/>
      <c r="F31" s="63"/>
      <c r="G31" s="21">
        <v>4147</v>
      </c>
      <c r="H31" s="63">
        <f>D31*G31</f>
        <v>414700</v>
      </c>
      <c r="I31" s="63"/>
      <c r="J31" s="63"/>
      <c r="K31" s="63"/>
      <c r="L31" s="63"/>
      <c r="M31" s="63"/>
      <c r="N31" s="63">
        <f>F31+H31+J31+L31</f>
        <v>414700</v>
      </c>
      <c r="O31" s="33" t="s">
        <v>48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897502.4</v>
      </c>
      <c r="G33" s="37"/>
      <c r="H33" s="37">
        <f>H13+H18+H30+H32</f>
        <v>3495769.15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4393271.5499999989</v>
      </c>
      <c r="O33" s="36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11.992000000000001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1.7709999999999999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1.1000000000000001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1.1000000000000001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2025-04-07T03:29:00Z</dcterms:modified>
</cp:coreProperties>
</file>
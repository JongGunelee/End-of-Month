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18\06 작업폴더\01 사택 102-405외 2세대 고장 보일러 납품\"/>
    </mc:Choice>
  </mc:AlternateContent>
  <xr:revisionPtr revIDLastSave="0" documentId="13_ncr:1_{0D75936B-01B2-4331-8418-E4C712BBACC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2" r:id="rId1"/>
    <sheet name="내역서(표준단가)" sheetId="3" r:id="rId2"/>
    <sheet name="증빙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F19" i="2" s="1"/>
  <c r="F30" i="2" s="1"/>
  <c r="F31" i="2" s="1"/>
  <c r="B12" i="2" s="1"/>
  <c r="F16" i="2"/>
  <c r="U8" i="3"/>
  <c r="S8" i="3"/>
  <c r="Q8" i="3"/>
  <c r="O8" i="3"/>
  <c r="V8" i="3" s="1"/>
  <c r="A8" i="3"/>
  <c r="U7" i="3"/>
  <c r="S7" i="3"/>
  <c r="Q7" i="3"/>
  <c r="O7" i="3"/>
  <c r="U6" i="3"/>
  <c r="S6" i="3"/>
  <c r="Q6" i="3"/>
  <c r="O6" i="3"/>
  <c r="U5" i="3"/>
  <c r="S5" i="3"/>
  <c r="Q5" i="3"/>
  <c r="O5" i="3"/>
  <c r="F28" i="2"/>
  <c r="Q9" i="3" l="1"/>
  <c r="S9" i="3"/>
  <c r="U9" i="3"/>
  <c r="V6" i="3"/>
  <c r="V5" i="3"/>
  <c r="O9" i="3"/>
  <c r="V7" i="3"/>
  <c r="V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FF7100BD-7043-4178-A58E-C6D4C848DD9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<sst xmlns="http://schemas.openxmlformats.org/spreadsheetml/2006/main" count="93" uniqueCount="69">
  <si>
    <t xml:space="preserve"> 수신인 : 주식회사 에스엔아이 코퍼레이션</t>
    <phoneticPr fontId="7" type="noConversion"/>
  </si>
  <si>
    <t>등록번호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</si>
  <si>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</si>
  <si>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</si>
  <si>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</si>
  <si>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 xml:space="preserve"> 견적일 : 2024 년  4월  19일</t>
    <phoneticPr fontId="7" type="noConversion"/>
  </si>
  <si>
    <t>업 태</t>
    <phoneticPr fontId="13" type="noConversion"/>
  </si>
  <si>
    <t>종 목</t>
    <phoneticPr fontId="13" type="noConversion"/>
  </si>
  <si>
    <t>TEL, FAX</t>
    <phoneticPr fontId="13" type="noConversion"/>
  </si>
  <si>
    <t xml:space="preserve">금액: </t>
    <phoneticPr fontId="7" type="noConversion"/>
  </si>
  <si>
    <t>원정</t>
    <phoneticPr fontId="4" type="noConversion"/>
  </si>
  <si>
    <t xml:space="preserve">  </t>
  </si>
  <si>
    <t>NO</t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</si>
  <si>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</si>
  <si>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</si>
  <si>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</si>
  <si>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</si>
  <si>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금액</t>
    <phoneticPr fontId="4" type="noConversion"/>
  </si>
  <si>
    <t>비고</t>
    <phoneticPr fontId="4" type="noConversion"/>
  </si>
  <si>
    <t>직접비</t>
    <phoneticPr fontId="7" type="noConversion"/>
  </si>
  <si>
    <t>재료비</t>
    <phoneticPr fontId="7" type="noConversion"/>
  </si>
  <si>
    <t>노무비</t>
    <phoneticPr fontId="4" type="noConversion"/>
  </si>
  <si>
    <t>기계/기타경비</t>
    <phoneticPr fontId="7" type="noConversion"/>
  </si>
  <si>
    <t>소계</t>
    <phoneticPr fontId="7" type="noConversion"/>
  </si>
  <si>
    <t>간접비</t>
    <phoneticPr fontId="7" type="noConversion"/>
  </si>
  <si>
    <t>  국민연금</t>
    <phoneticPr fontId="4" type="noConversion"/>
  </si>
  <si>
    <t> 노무비*4.5%</t>
    <phoneticPr fontId="4" type="noConversion"/>
  </si>
  <si>
    <t>식</t>
    <phoneticPr fontId="4" type="noConversion"/>
  </si>
  <si>
    <t>모든공사에 적용</t>
    <phoneticPr fontId="4" type="noConversion"/>
  </si>
  <si>
    <t>  건강보험료</t>
    <phoneticPr fontId="4" type="noConversion"/>
  </si>
  <si>
    <t> 노무비*3.545%</t>
    <phoneticPr fontId="4" type="noConversion"/>
  </si>
  <si>
    <t>  장기요양보험료</t>
    <phoneticPr fontId="4" type="noConversion"/>
  </si>
  <si>
    <t> 건강보험료*12.95%</t>
    <phoneticPr fontId="4" type="noConversion"/>
  </si>
  <si>
    <t>  고용보험료</t>
    <phoneticPr fontId="4" type="noConversion"/>
  </si>
  <si>
    <t> 노무비*1.01%</t>
    <phoneticPr fontId="4" type="noConversion"/>
  </si>
  <si>
    <t>  산재보험료</t>
    <phoneticPr fontId="4" type="noConversion"/>
  </si>
  <si>
    <t> 노무비*3.56%</t>
    <phoneticPr fontId="4" type="noConversion"/>
  </si>
  <si>
    <t xml:space="preserve">  산업안전보건관리비</t>
    <phoneticPr fontId="4" type="noConversion"/>
  </si>
  <si>
    <t> (재료비+노무비)*2.93%</t>
    <phoneticPr fontId="4" type="noConversion"/>
  </si>
  <si>
    <t>일반관리비/이윤</t>
    <phoneticPr fontId="4" type="noConversion"/>
  </si>
  <si>
    <t> (노무비+간접공사비)*5%</t>
    <phoneticPr fontId="4" type="noConversion"/>
  </si>
  <si>
    <t>합계(단수조정)</t>
    <phoneticPr fontId="7" type="noConversion"/>
  </si>
  <si>
    <t>VAT별도</t>
    <phoneticPr fontId="4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</si>
  <si>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</si>
  <si>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</si>
  <si>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</si>
  <si>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</si>
  <si>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</si>
  <si>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</si>
  <si>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</si>
  <si>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</si>
  <si>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</si>
  <si>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</si>
  <si>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21" type="noConversion"/>
  </si>
  <si>
    <t>할증기준</t>
    <phoneticPr fontId="2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</si>
  <si>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</si>
  <si>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</si>
  <si>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</si>
  <si>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</si>
  <si>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</si>
  <si>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</si>
  <si>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</si>
  <si>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  <phoneticPr fontId="4" type="noConversion"/>
  </si>
  <si>
    <t>거꾸로ECO콘덴싱L20-27H 외</t>
    <phoneticPr fontId="4" type="noConversion"/>
  </si>
  <si>
    <t xml:space="preserve"> 공사명 : 사택 102-405외 2세대 고장 보일러 납품</t>
    <phoneticPr fontId="7" type="noConversion"/>
  </si>
  <si>
    <t>견 적 서</t>
  </si>
  <si>
    <t>102동 405호</t>
    <phoneticPr fontId="4" type="noConversion"/>
  </si>
  <si>
    <t>103동 206호</t>
    <phoneticPr fontId="4" type="noConversion"/>
  </si>
  <si>
    <t>103동 401호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</si>
</sst>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₩&quot;* #,##0_);_(&quot;₩&quot;* \(#,##0\);_(&quot;₩&quot;* &quot;-&quot;_);_(@_)"/>
    <numFmt numFmtId="41" formatCode="_(* #,##0_);_(* \(#,##0\);_(* &quot;-&quot;_);_(@_)"/>
    <numFmt numFmtId="176" formatCode="_(* #,##0_);_(* \(#,##0\);_(* &quot;-&quot;_);_(@_)"/>
    <numFmt numFmtId="177" formatCode="###,#00,000"/>
    <numFmt numFmtId="178" formatCode="_-* #,##0_-;&quot;₩&quot;\!\-* #,##0_-;_-* &quot;-&quot;_-;_-@_-"/>
    <numFmt numFmtId="179" formatCode="_ * #,##0_ ;_ * \-#,##0_ ;_ * &quot;-&quot;_ ;_ @_ "/>
    <numFmt numFmtId="180" formatCode="0.0%"/>
    <numFmt numFmtId="181" formatCode="###,###,###,##0"/>
    <numFmt numFmtId="182" formatCode="_-* #,##0.0_-;\-* #,##0.0_-;_-* &quot;-&quot;_-;_-@_-"/>
    <numFmt numFmtId="183" formatCode="#,###,###,###"/>
  </numFmts>
  <fonts count="3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26"/>
      <color rgb="FF000000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Arial"/>
      <family val="2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6">
    <xf numFmtId="0" fontId="0" fillId="0" borderId="0">
      <alignment vertical="center"/>
    </xf>
    <xf numFmtId="0" fontId="3" fillId="0" borderId="0" xfId="0" applyFont="1">
      <alignment vertical="center"/>
    </xf>
    <xf numFmtId="0" fontId="5" fillId="0" borderId="0"/>
    <xf numFmtId="0" fontId="8" fillId="0" borderId="0"/>
    <xf numFmtId="178" fontId="5" fillId="0" borderId="0" applyFont="0" applyFill="0" applyBorder="0" applyAlignment="0" applyProtection="0"/>
    <xf numFmtId="0" fontId="2" fillId="0" borderId="0">
      <alignment vertical="center"/>
    </xf>
    <xf numFmtId="17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8" fillId="0" borderId="0"/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3" fillId="0" borderId="0"/>
    <xf numFmtId="42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0" fontId="3" fillId="0" borderId="0" xfId="1" applyFont="1" applyBorder="1">
      <alignment vertical="center"/>
    </xf>
    <xf numFmtId="0" fontId="6" fillId="0" borderId="0" xfId="2" applyFont="1" applyAlignment="1">
      <alignment vertical="center"/>
    </xf>
    <xf numFmtId="0" fontId="9" fillId="0" borderId="0" xfId="3" applyFont="1"/>
    <xf numFmtId="0" fontId="10" fillId="0" borderId="0" xfId="3" applyFont="1"/>
    <xf numFmtId="0" fontId="11" fillId="0" borderId="0" xfId="2" applyFont="1" applyAlignment="1">
      <alignment vertical="center"/>
    </xf>
    <xf numFmtId="0" fontId="12" fillId="0" borderId="1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right" vertical="center"/>
    </xf>
    <xf numFmtId="0" fontId="12" fillId="3" borderId="4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vertical="center" shrinkToFit="1"/>
    </xf>
    <xf numFmtId="0" fontId="12" fillId="3" borderId="6" xfId="2" applyFont="1" applyFill="1" applyBorder="1" applyAlignment="1">
      <alignment horizontal="center" vertical="center"/>
    </xf>
    <xf numFmtId="0" fontId="12" fillId="3" borderId="7" xfId="2" applyFont="1" applyFill="1" applyBorder="1" applyAlignment="1">
      <alignment vertical="center" shrinkToFit="1"/>
    </xf>
    <xf numFmtId="0" fontId="14" fillId="0" borderId="0" xfId="2" applyFont="1" applyAlignment="1">
      <alignment vertical="center" shrinkToFit="1"/>
    </xf>
    <xf numFmtId="0" fontId="12" fillId="3" borderId="6" xfId="2" applyFont="1" applyFill="1" applyBorder="1" applyAlignment="1">
      <alignment horizontal="center" vertical="center" shrinkToFit="1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1" fillId="0" borderId="0" xfId="2" applyFont="1" applyAlignment="1">
      <alignment horizontal="center" vertical="center" shrinkToFit="1"/>
    </xf>
    <xf numFmtId="0" fontId="12" fillId="0" borderId="8" xfId="2" applyFont="1" applyBorder="1" applyAlignment="1">
      <alignment horizontal="center" vertical="center" shrinkToFit="1"/>
    </xf>
    <xf numFmtId="0" fontId="12" fillId="0" borderId="9" xfId="2" applyFont="1" applyBorder="1" applyAlignment="1">
      <alignment vertical="center" shrinkToFit="1"/>
    </xf>
    <xf numFmtId="0" fontId="14" fillId="0" borderId="10" xfId="2" applyFont="1" applyBorder="1" applyAlignment="1">
      <alignment vertical="center"/>
    </xf>
    <xf numFmtId="177" fontId="11" fillId="0" borderId="10" xfId="2" applyNumberFormat="1" applyFont="1" applyBorder="1" applyAlignment="1">
      <alignment vertical="center"/>
    </xf>
    <xf numFmtId="0" fontId="12" fillId="0" borderId="10" xfId="2" applyFont="1" applyBorder="1" applyAlignment="1">
      <alignment horizontal="right" vertical="center"/>
    </xf>
    <xf numFmtId="0" fontId="11" fillId="0" borderId="0" xfId="2" applyFont="1" applyAlignment="1">
      <alignment vertical="center" shrinkToFit="1"/>
    </xf>
    <xf numFmtId="0" fontId="12" fillId="0" borderId="1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2" fillId="0" borderId="15" xfId="2" applyFont="1" applyBorder="1" applyAlignment="1">
      <alignment vertical="center"/>
    </xf>
    <xf numFmtId="0" fontId="15" fillId="0" borderId="15" xfId="2" applyFont="1" applyBorder="1" applyAlignment="1">
      <alignment vertical="center"/>
    </xf>
    <xf numFmtId="1" fontId="15" fillId="0" borderId="15" xfId="2" applyNumberFormat="1" applyFont="1" applyBorder="1" applyAlignment="1">
      <alignment horizontal="center" vertical="center"/>
    </xf>
    <xf numFmtId="178" fontId="15" fillId="0" borderId="15" xfId="4" applyFont="1" applyBorder="1" applyAlignment="1">
      <alignment horizontal="right" vertical="center"/>
    </xf>
    <xf numFmtId="0" fontId="15" fillId="0" borderId="16" xfId="2" applyFont="1" applyBorder="1" applyAlignment="1">
      <alignment vertical="center"/>
    </xf>
    <xf numFmtId="0" fontId="15" fillId="0" borderId="17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1" fontId="15" fillId="0" borderId="18" xfId="2" applyNumberFormat="1" applyFont="1" applyBorder="1" applyAlignment="1">
      <alignment horizontal="center" vertical="center"/>
    </xf>
    <xf numFmtId="178" fontId="15" fillId="0" borderId="18" xfId="4" applyFont="1" applyBorder="1" applyAlignment="1">
      <alignment horizontal="right" vertical="center"/>
    </xf>
    <xf numFmtId="0" fontId="15" fillId="0" borderId="19" xfId="2" quotePrefix="1" applyFont="1" applyBorder="1" applyAlignment="1">
      <alignment vertical="center"/>
    </xf>
    <xf numFmtId="0" fontId="15" fillId="0" borderId="19" xfId="2" applyFont="1" applyBorder="1" applyAlignment="1">
      <alignment vertical="center"/>
    </xf>
    <xf numFmtId="0" fontId="12" fillId="4" borderId="18" xfId="2" applyFont="1" applyFill="1" applyBorder="1" applyAlignment="1">
      <alignment vertical="center"/>
    </xf>
    <xf numFmtId="1" fontId="12" fillId="4" borderId="18" xfId="2" applyNumberFormat="1" applyFont="1" applyFill="1" applyBorder="1" applyAlignment="1">
      <alignment horizontal="center" vertical="center"/>
    </xf>
    <xf numFmtId="178" fontId="12" fillId="4" borderId="18" xfId="4" applyFont="1" applyFill="1" applyBorder="1" applyAlignment="1">
      <alignment horizontal="right" vertical="center"/>
    </xf>
    <xf numFmtId="0" fontId="12" fillId="0" borderId="18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178" fontId="12" fillId="0" borderId="18" xfId="4" applyFont="1" applyFill="1" applyBorder="1" applyAlignment="1">
      <alignment horizontal="right" vertical="center"/>
    </xf>
    <xf numFmtId="0" fontId="15" fillId="0" borderId="18" xfId="5" applyFont="1" applyBorder="1" applyAlignment="1">
      <alignment horizontal="center" vertical="center"/>
    </xf>
    <xf numFmtId="179" fontId="15" fillId="0" borderId="18" xfId="6" applyFont="1" applyFill="1" applyBorder="1" applyAlignment="1">
      <alignment horizontal="right" vertical="center"/>
    </xf>
    <xf numFmtId="0" fontId="15" fillId="3" borderId="18" xfId="5" applyFont="1" applyFill="1" applyBorder="1" applyAlignment="1">
      <alignment horizontal="center" vertical="center"/>
    </xf>
    <xf numFmtId="0" fontId="15" fillId="3" borderId="18" xfId="2" applyFont="1" applyFill="1" applyBorder="1" applyAlignment="1">
      <alignment vertical="center"/>
    </xf>
    <xf numFmtId="0" fontId="15" fillId="3" borderId="18" xfId="2" applyFont="1" applyFill="1" applyBorder="1" applyAlignment="1">
      <alignment horizontal="center" vertical="center"/>
    </xf>
    <xf numFmtId="179" fontId="15" fillId="3" borderId="18" xfId="6" applyFont="1" applyFill="1" applyBorder="1" applyAlignment="1">
      <alignment horizontal="right" vertical="center"/>
    </xf>
    <xf numFmtId="0" fontId="15" fillId="3" borderId="19" xfId="2" applyFont="1" applyFill="1" applyBorder="1" applyAlignment="1">
      <alignment vertical="center"/>
    </xf>
    <xf numFmtId="0" fontId="15" fillId="0" borderId="18" xfId="3" applyFont="1" applyBorder="1" applyAlignment="1">
      <alignment horizontal="left" vertical="center"/>
    </xf>
    <xf numFmtId="9" fontId="12" fillId="4" borderId="18" xfId="3" applyNumberFormat="1" applyFont="1" applyFill="1" applyBorder="1" applyAlignment="1">
      <alignment horizontal="right" vertical="center"/>
    </xf>
    <xf numFmtId="1" fontId="12" fillId="4" borderId="18" xfId="7" applyNumberFormat="1" applyFont="1" applyFill="1" applyBorder="1" applyAlignment="1">
      <alignment horizontal="center" vertical="center"/>
    </xf>
    <xf numFmtId="176" fontId="12" fillId="4" borderId="18" xfId="4" applyNumberFormat="1" applyFont="1" applyFill="1" applyBorder="1" applyAlignment="1">
      <alignment horizontal="right" vertical="center"/>
    </xf>
    <xf numFmtId="9" fontId="15" fillId="0" borderId="18" xfId="3" applyNumberFormat="1" applyFont="1" applyBorder="1" applyAlignment="1">
      <alignment horizontal="right" vertical="center"/>
    </xf>
    <xf numFmtId="1" fontId="15" fillId="0" borderId="18" xfId="7" applyNumberFormat="1" applyFont="1" applyFill="1" applyBorder="1" applyAlignment="1">
      <alignment horizontal="center" vertical="center"/>
    </xf>
    <xf numFmtId="176" fontId="12" fillId="0" borderId="18" xfId="4" applyNumberFormat="1" applyFont="1" applyFill="1" applyBorder="1" applyAlignment="1">
      <alignment horizontal="right" vertical="center"/>
    </xf>
    <xf numFmtId="0" fontId="15" fillId="0" borderId="18" xfId="3" applyFont="1" applyBorder="1" applyAlignment="1">
      <alignment vertical="center"/>
    </xf>
    <xf numFmtId="178" fontId="15" fillId="3" borderId="18" xfId="4" applyFont="1" applyFill="1" applyBorder="1" applyAlignment="1">
      <alignment horizontal="right" vertical="center"/>
    </xf>
    <xf numFmtId="178" fontId="12" fillId="4" borderId="0" xfId="3" applyNumberFormat="1" applyFont="1" applyFill="1" applyAlignment="1">
      <alignment vertical="center"/>
    </xf>
    <xf numFmtId="0" fontId="12" fillId="0" borderId="20" xfId="2" applyFont="1" applyBorder="1" applyAlignment="1">
      <alignment horizontal="center" vertical="center" textRotation="255"/>
    </xf>
    <xf numFmtId="0" fontId="12" fillId="0" borderId="21" xfId="2" applyFont="1" applyBorder="1" applyAlignment="1">
      <alignment vertical="top"/>
    </xf>
    <xf numFmtId="176" fontId="15" fillId="0" borderId="22" xfId="8" applyFont="1" applyBorder="1" applyAlignment="1">
      <alignment vertical="center"/>
    </xf>
    <xf numFmtId="0" fontId="15" fillId="0" borderId="22" xfId="2" applyFont="1" applyBorder="1" applyAlignment="1">
      <alignment vertical="center"/>
    </xf>
    <xf numFmtId="0" fontId="15" fillId="0" borderId="22" xfId="2" applyFont="1" applyBorder="1" applyAlignment="1">
      <alignment horizontal="right" vertical="center"/>
    </xf>
    <xf numFmtId="0" fontId="15" fillId="0" borderId="23" xfId="2" applyFont="1" applyBorder="1" applyAlignment="1">
      <alignment vertical="center"/>
    </xf>
    <xf numFmtId="0" fontId="12" fillId="0" borderId="0" xfId="9" applyFont="1"/>
    <xf numFmtId="0" fontId="19" fillId="0" borderId="0" xfId="10" applyFont="1">
      <alignment vertical="center"/>
    </xf>
    <xf numFmtId="0" fontId="19" fillId="0" borderId="0" xfId="10" applyFont="1" applyAlignment="1">
      <alignment horizontal="center" vertical="center"/>
    </xf>
    <xf numFmtId="0" fontId="18" fillId="0" borderId="0" xfId="10" applyFont="1" applyAlignment="1">
      <alignment horizontal="center" vertical="center"/>
    </xf>
    <xf numFmtId="9" fontId="18" fillId="0" borderId="0" xfId="10" applyNumberFormat="1" applyFont="1" applyAlignment="1">
      <alignment horizontal="center" vertical="center"/>
    </xf>
    <xf numFmtId="180" fontId="18" fillId="5" borderId="0" xfId="11" applyNumberFormat="1" applyFont="1" applyFill="1" applyAlignment="1">
      <alignment horizontal="center" vertical="center"/>
    </xf>
    <xf numFmtId="0" fontId="18" fillId="6" borderId="24" xfId="10" applyFont="1" applyFill="1" applyBorder="1">
      <alignment vertical="center"/>
    </xf>
    <xf numFmtId="0" fontId="18" fillId="6" borderId="25" xfId="10" applyFont="1" applyFill="1" applyBorder="1">
      <alignment vertical="center"/>
    </xf>
    <xf numFmtId="0" fontId="18" fillId="7" borderId="28" xfId="10" applyFont="1" applyFill="1" applyBorder="1" applyAlignment="1">
      <alignment horizontal="center" vertical="center"/>
    </xf>
    <xf numFmtId="0" fontId="18" fillId="7" borderId="3" xfId="10" applyFont="1" applyFill="1" applyBorder="1" applyAlignment="1">
      <alignment horizontal="center" vertical="center"/>
    </xf>
    <xf numFmtId="0" fontId="18" fillId="8" borderId="29" xfId="10" applyFont="1" applyFill="1" applyBorder="1" applyAlignment="1">
      <alignment horizontal="center" vertical="center"/>
    </xf>
    <xf numFmtId="0" fontId="18" fillId="7" borderId="29" xfId="3" applyFont="1" applyFill="1" applyBorder="1" applyAlignment="1">
      <alignment horizontal="center" vertical="center"/>
    </xf>
    <xf numFmtId="176" fontId="18" fillId="7" borderId="29" xfId="12" applyFont="1" applyFill="1" applyBorder="1" applyAlignment="1">
      <alignment horizontal="center" vertical="center"/>
    </xf>
    <xf numFmtId="179" fontId="18" fillId="7" borderId="29" xfId="6" applyFont="1" applyFill="1" applyBorder="1" applyAlignment="1">
      <alignment horizontal="center" vertical="center"/>
    </xf>
    <xf numFmtId="0" fontId="19" fillId="9" borderId="28" xfId="10" applyFont="1" applyFill="1" applyBorder="1" applyAlignment="1">
      <alignment horizontal="center" vertical="center"/>
    </xf>
    <xf numFmtId="0" fontId="19" fillId="9" borderId="3" xfId="10" applyFont="1" applyFill="1" applyBorder="1" applyAlignment="1">
      <alignment horizontal="center" vertical="center"/>
    </xf>
    <xf numFmtId="49" fontId="23" fillId="8" borderId="29" xfId="10" applyNumberFormat="1" applyFont="1" applyFill="1" applyBorder="1" applyAlignment="1">
      <alignment horizontal="center" vertical="center" wrapText="1"/>
    </xf>
    <xf numFmtId="0" fontId="19" fillId="8" borderId="29" xfId="10" applyFont="1" applyFill="1" applyBorder="1" applyAlignment="1">
      <alignment horizontal="center" vertical="center"/>
    </xf>
    <xf numFmtId="0" fontId="24" fillId="8" borderId="29" xfId="10" applyFont="1" applyFill="1" applyBorder="1" applyAlignment="1">
      <alignment horizontal="center" vertical="center"/>
    </xf>
    <xf numFmtId="49" fontId="25" fillId="8" borderId="29" xfId="10" applyNumberFormat="1" applyFont="1" applyFill="1" applyBorder="1" applyAlignment="1">
      <alignment horizontal="center" vertical="center" wrapText="1"/>
    </xf>
    <xf numFmtId="49" fontId="25" fillId="3" borderId="29" xfId="10" applyNumberFormat="1" applyFont="1" applyFill="1" applyBorder="1" applyAlignment="1">
      <alignment horizontal="center" vertical="center" wrapText="1"/>
    </xf>
    <xf numFmtId="176" fontId="26" fillId="0" borderId="29" xfId="8" applyFont="1" applyBorder="1" applyAlignment="1">
      <alignment horizontal="center" vertical="center"/>
    </xf>
    <xf numFmtId="176" fontId="19" fillId="0" borderId="29" xfId="8" applyFont="1" applyBorder="1">
      <alignment vertical="center"/>
    </xf>
    <xf numFmtId="176" fontId="19" fillId="9" borderId="29" xfId="8" applyFont="1" applyFill="1" applyBorder="1" applyAlignment="1">
      <alignment horizontal="center" vertical="center" wrapText="1"/>
    </xf>
    <xf numFmtId="181" fontId="23" fillId="3" borderId="29" xfId="10" applyNumberFormat="1" applyFont="1" applyFill="1" applyBorder="1" applyAlignment="1">
      <alignment horizontal="right" vertical="center" wrapText="1"/>
    </xf>
    <xf numFmtId="176" fontId="19" fillId="0" borderId="29" xfId="8" applyFont="1" applyFill="1" applyBorder="1" applyAlignment="1">
      <alignment horizontal="center" vertical="center" wrapText="1"/>
    </xf>
    <xf numFmtId="182" fontId="19" fillId="3" borderId="29" xfId="8" applyNumberFormat="1" applyFont="1" applyFill="1" applyBorder="1" applyAlignment="1">
      <alignment horizontal="center" vertical="center"/>
    </xf>
    <xf numFmtId="0" fontId="26" fillId="0" borderId="31" xfId="10" applyFont="1" applyBorder="1" applyAlignment="1">
      <alignment horizontal="center" vertical="center"/>
    </xf>
    <xf numFmtId="0" fontId="26" fillId="0" borderId="0" xfId="10" applyFont="1">
      <alignment vertical="center"/>
    </xf>
    <xf numFmtId="49" fontId="19" fillId="8" borderId="29" xfId="10" applyNumberFormat="1" applyFont="1" applyFill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/>
    </xf>
    <xf numFmtId="182" fontId="26" fillId="0" borderId="29" xfId="8" applyNumberFormat="1" applyFont="1" applyFill="1" applyBorder="1" applyAlignment="1">
      <alignment horizontal="center" vertical="center"/>
    </xf>
    <xf numFmtId="0" fontId="19" fillId="0" borderId="29" xfId="10" applyFont="1" applyBorder="1">
      <alignment vertical="center"/>
    </xf>
    <xf numFmtId="183" fontId="25" fillId="3" borderId="29" xfId="10" applyNumberFormat="1" applyFont="1" applyFill="1" applyBorder="1" applyAlignment="1">
      <alignment horizontal="right" vertical="center" wrapText="1"/>
    </xf>
    <xf numFmtId="9" fontId="26" fillId="0" borderId="29" xfId="10" applyNumberFormat="1" applyFont="1" applyBorder="1" applyAlignment="1">
      <alignment horizontal="center" vertical="center"/>
    </xf>
    <xf numFmtId="0" fontId="28" fillId="2" borderId="0" xfId="10" applyFont="1" applyFill="1">
      <alignment vertical="center"/>
    </xf>
    <xf numFmtId="0" fontId="28" fillId="0" borderId="0" xfId="10" applyFont="1">
      <alignment vertical="center"/>
    </xf>
    <xf numFmtId="176" fontId="29" fillId="2" borderId="0" xfId="10" applyNumberFormat="1" applyFont="1" applyFill="1">
      <alignment vertical="center"/>
    </xf>
    <xf numFmtId="0" fontId="29" fillId="0" borderId="0" xfId="10" applyFont="1">
      <alignment vertical="center"/>
    </xf>
    <xf numFmtId="176" fontId="29" fillId="0" borderId="0" xfId="10" applyNumberFormat="1" applyFont="1">
      <alignment vertical="center"/>
    </xf>
    <xf numFmtId="0" fontId="28" fillId="0" borderId="0" xfId="10" applyFont="1" applyAlignment="1">
      <alignment horizontal="center" vertical="center"/>
    </xf>
    <xf numFmtId="0" fontId="18" fillId="3" borderId="0" xfId="10" applyFont="1" applyFill="1">
      <alignment vertical="center"/>
    </xf>
    <xf numFmtId="176" fontId="19" fillId="0" borderId="0" xfId="10" applyNumberFormat="1" applyFont="1">
      <alignment vertical="center"/>
    </xf>
    <xf numFmtId="0" fontId="23" fillId="3" borderId="29" xfId="10" applyFont="1" applyFill="1" applyBorder="1" applyAlignment="1">
      <alignment horizontal="center" vertical="center" wrapText="1"/>
    </xf>
    <xf numFmtId="0" fontId="26" fillId="0" borderId="29" xfId="3" applyFont="1" applyBorder="1" applyAlignment="1">
      <alignment horizontal="left" vertical="center" shrinkToFit="1"/>
    </xf>
    <xf numFmtId="0" fontId="12" fillId="0" borderId="2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4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22" fillId="0" borderId="27" xfId="10" applyFont="1" applyBorder="1" applyAlignment="1">
      <alignment horizontal="center" vertical="center"/>
    </xf>
    <xf numFmtId="0" fontId="19" fillId="0" borderId="30" xfId="10" applyFont="1" applyBorder="1" applyAlignment="1">
      <alignment horizontal="center" vertical="center"/>
    </xf>
    <xf numFmtId="0" fontId="18" fillId="0" borderId="0" xfId="10" applyFont="1" applyAlignment="1">
      <alignment horizontal="center" vertical="center"/>
    </xf>
    <xf numFmtId="0" fontId="18" fillId="7" borderId="25" xfId="3" applyFont="1" applyFill="1" applyBorder="1" applyAlignment="1">
      <alignment horizontal="center" vertical="center"/>
    </xf>
    <xf numFmtId="0" fontId="18" fillId="7" borderId="29" xfId="3" applyFont="1" applyFill="1" applyBorder="1" applyAlignment="1">
      <alignment horizontal="center" vertical="center"/>
    </xf>
    <xf numFmtId="176" fontId="18" fillId="7" borderId="25" xfId="12" applyFont="1" applyFill="1" applyBorder="1" applyAlignment="1">
      <alignment horizontal="center" vertical="center"/>
    </xf>
    <xf numFmtId="179" fontId="18" fillId="7" borderId="25" xfId="6" applyFont="1" applyFill="1" applyBorder="1" applyAlignment="1">
      <alignment horizontal="center" vertical="center"/>
    </xf>
    <xf numFmtId="0" fontId="18" fillId="7" borderId="25" xfId="10" applyFont="1" applyFill="1" applyBorder="1" applyAlignment="1">
      <alignment horizontal="center" vertical="center"/>
    </xf>
    <xf numFmtId="0" fontId="18" fillId="7" borderId="29" xfId="10" applyFont="1" applyFill="1" applyBorder="1" applyAlignment="1">
      <alignment horizontal="center" vertical="center"/>
    </xf>
    <xf numFmtId="0" fontId="18" fillId="6" borderId="26" xfId="10" applyFont="1" applyFill="1" applyBorder="1" applyAlignment="1">
      <alignment horizontal="center" vertical="center"/>
    </xf>
    <xf numFmtId="0" fontId="18" fillId="6" borderId="1" xfId="10" applyFont="1" applyFill="1" applyBorder="1" applyAlignment="1">
      <alignment horizontal="center" vertical="center"/>
    </xf>
  </cellXfs>
  <cellStyles count="35">
    <cellStyle name="백분율 2" xfId="11" xr:uid="{2B10CADE-BE76-4FC3-9296-790057B1091E}"/>
    <cellStyle name="백분율 2 64" xfId="7" xr:uid="{35DF0185-0BB4-4862-B009-2C429B82AAFD}"/>
    <cellStyle name="쉼표 [0] 17" xfId="6" xr:uid="{71236A7E-371C-4442-AAB4-2712B526172A}"/>
    <cellStyle name="쉼표 [0] 2" xfId="8" xr:uid="{33E53E37-69D9-4167-89D2-E0FECF3B6D00}"/>
    <cellStyle name="쉼표 [0] 2 2" xfId="12" xr:uid="{05DAFAB8-DCC4-489B-9622-B6F39FCE0B17}"/>
    <cellStyle name="쉼표 [0] 2 2 2" xfId="23" xr:uid="{13765760-DB79-45F1-91BB-A9CDD661209C}"/>
    <cellStyle name="쉼표 [0] 2 2 29" xfId="18" xr:uid="{405CD194-05BF-4586-A9BA-3B4CB27A3417}"/>
    <cellStyle name="쉼표 [0] 2 3" xfId="32" xr:uid="{C5DECE68-9FC6-4F5C-A936-D3BBE261F879}"/>
    <cellStyle name="쉼표 [0] 2 4" xfId="25" xr:uid="{83EEDDAA-927E-4FBB-92CA-55AD5C13D59F}"/>
    <cellStyle name="쉼표 [0] 2 4 2" xfId="28" xr:uid="{D81648CE-741A-4D7D-A706-606355693233}"/>
    <cellStyle name="쉼표 [0] 2 4 3" xfId="31" xr:uid="{A416DFD4-134E-40FA-9586-5F36AF54667C}"/>
    <cellStyle name="쉼표 [0] 2 5" xfId="14" xr:uid="{9F106D8B-D95A-42C5-A3FB-55F1D5E18011}"/>
    <cellStyle name="쉼표 [0] 3" xfId="21" xr:uid="{215DAF94-9D44-48FC-8315-AB2AE8358FBD}"/>
    <cellStyle name="쉼표 [0] 4" xfId="34" xr:uid="{018879C5-0537-4AC6-B08F-DF368DB52973}"/>
    <cellStyle name="쉼표 [0] 5" xfId="13" xr:uid="{8A28061E-2CF2-4D72-96B5-FB86C7CEB52E}"/>
    <cellStyle name="쉼표 [0]_봉강빌딩신축공사" xfId="4" xr:uid="{A706FEA7-22D7-4A20-8AF4-53FE6B14315F}"/>
    <cellStyle name="통화 [0] 2 2" xfId="17" xr:uid="{7E419137-409E-43C5-9365-BD1D146C410E}"/>
    <cellStyle name="표준" xfId="0" builtinId="0"/>
    <cellStyle name="표준 10 10 2" xfId="3" xr:uid="{2081DF96-D663-429B-8490-7F49C35A808E}"/>
    <cellStyle name="표준 10 31" xfId="16" xr:uid="{05956B1C-0D1A-41E1-A957-38A2340A658B}"/>
    <cellStyle name="표준 2" xfId="5" xr:uid="{60FE9811-9F1C-4F85-8C11-D1AA4496F484}"/>
    <cellStyle name="표준 2 10 5" xfId="9" xr:uid="{3D387D0A-D56F-418F-B0D3-607AB5906EB8}"/>
    <cellStyle name="표준 2 2" xfId="15" xr:uid="{37D0A3D8-199D-4587-8161-4B0BAF7898EB}"/>
    <cellStyle name="표준 3" xfId="10" xr:uid="{A4E717B3-B93D-4653-A24D-9C0ADE1CEE5E}"/>
    <cellStyle name="표준 3 2" xfId="19" xr:uid="{93DF21CA-5781-4402-9C38-CF07089563E3}"/>
    <cellStyle name="표준 4" xfId="20" xr:uid="{8A91D1CC-FE83-4771-A0C5-263AA4ECC80B}"/>
    <cellStyle name="표준 4 2" xfId="35" xr:uid="{E34C8058-B148-488D-AFF5-B96278B21875}"/>
    <cellStyle name="표준 5" xfId="22" xr:uid="{0FD24706-E833-4872-91C5-E4D654C90D89}"/>
    <cellStyle name="표준 7" xfId="24" xr:uid="{95CC0CE4-10D8-42C5-A6D0-A457354A8B93}"/>
    <cellStyle name="표준 7 2" xfId="26" xr:uid="{2DCBE4BF-5762-4D6B-A0F7-9FDA801AEE67}"/>
    <cellStyle name="표준 7 2 2" xfId="29" xr:uid="{D295440B-6F33-4622-8E05-FB3BE04884F8}"/>
    <cellStyle name="표준 7 3" xfId="27" xr:uid="{F1D11B93-DBAB-467C-BBC1-F8AEC483568B}"/>
    <cellStyle name="표준 7 4" xfId="30" xr:uid="{BDF3AF1D-7BB4-479F-903D-CBCCDCDCA400}"/>
    <cellStyle name="표준 7 5" xfId="33" xr:uid="{A2A4A82B-F31C-46E3-8CB6-071AECF950B2}"/>
    <cellStyle name="표준_봉강빌딩신축공사" xfId="2" xr:uid="{D3BFF656-9C27-4D45-A78C-9EBB47036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</xdr:colOff>
      <xdr:row>0</xdr:row>
      <xdr:rowOff>0</xdr:rowOff>
    </xdr:from>
    <xdr:to>
      <xdr:col>16</xdr:col>
      <xdr:colOff>559173</xdr:colOff>
      <xdr:row>39</xdr:row>
      <xdr:rowOff>95250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0E26C0-963B-5F0B-77A6-39F075E3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" y="0"/>
          <a:ext cx="11224372" cy="699407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17</xdr:col>
      <xdr:colOff>71437</xdr:colOff>
      <xdr:row>0</xdr:row>
      <xdr:rowOff>700</xdr:rowOff>
    </xdr:from>
    <xdr:to>
      <xdr:col>34</xdr:col>
      <xdr:colOff>261937</xdr:colOff>
      <xdr:row>39</xdr:row>
      <xdr:rowOff>94549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E504944-9C41-5E44-98C8-36563A60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6187" y="700"/>
          <a:ext cx="11525250" cy="699267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0</xdr:colOff>
      <xdr:row>41</xdr:row>
      <xdr:rowOff>27214</xdr:rowOff>
    </xdr:from>
    <xdr:to>
      <xdr:col>16</xdr:col>
      <xdr:colOff>561975</xdr:colOff>
      <xdr:row>80</xdr:row>
      <xdr:rowOff>132669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F87F576-C5AC-68D6-DAED-1001E33F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9821"/>
          <a:ext cx="11229975" cy="7004277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8C63-9DAC-4991-B03B-3A3987CCE4C6}">
  <sheetPr>
    <pageSetUpPr fitToPage="1"/>
  </sheetPr>
  <dimension ref="A2:I34"/>
  <sheetViews>
    <sheetView showGridLines="0" tabSelected="1" topLeftCell="A11" zoomScale="85" zoomScaleNormal="85" workbookViewId="0">
      <selection activeCell="A2" sqref="A2:G2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19" t="s">
        <v>65</v>
      </c>
      <c r="B2" s="119"/>
      <c r="C2" s="119"/>
      <c r="D2" s="119"/>
      <c r="E2" s="119"/>
      <c r="F2" s="119"/>
      <c r="G2" s="11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0</v>
      </c>
      <c r="B5" s="7"/>
      <c r="C5" s="8"/>
      <c r="D5" s="5"/>
      <c r="E5" s="5"/>
      <c r="F5" s="9" t="s">
        <v>1</v>
      </c>
      <c r="G5" s="10"/>
      <c r="H5" s="5"/>
    </row>
    <row r="6" spans="1:9" ht="27" customHeight="1">
      <c r="A6" s="5"/>
      <c r="B6" s="5"/>
      <c r="C6" s="5"/>
      <c r="D6" s="5"/>
      <c r="E6" s="5"/>
      <c r="F6" s="11" t="s">
        <v>2</v>
      </c>
      <c r="G6" s="12"/>
      <c r="H6" s="5"/>
    </row>
    <row r="7" spans="1:9" ht="27" customHeight="1">
      <c r="A7" s="1" t="s">
        <v>64</v>
      </c>
      <c r="B7" s="114"/>
      <c r="C7" s="115"/>
      <c r="D7" s="5"/>
      <c r="E7" s="13"/>
      <c r="F7" s="14" t="s">
        <v>3</v>
      </c>
      <c r="G7" s="12"/>
      <c r="H7" s="5"/>
    </row>
    <row r="8" spans="1:9" ht="27" customHeight="1">
      <c r="A8" s="5"/>
      <c r="B8" s="5"/>
      <c r="C8" s="5"/>
      <c r="D8" s="5"/>
      <c r="E8" s="5"/>
      <c r="F8" s="11" t="s">
        <v>4</v>
      </c>
      <c r="G8" s="12"/>
      <c r="H8" s="5"/>
    </row>
    <row r="9" spans="1:9" ht="27" customHeight="1">
      <c r="A9" s="116" t="s">
        <v>5</v>
      </c>
      <c r="B9" s="114"/>
      <c r="C9" s="115"/>
      <c r="D9" s="5"/>
      <c r="E9" s="5"/>
      <c r="F9" s="11" t="s">
        <v>6</v>
      </c>
      <c r="G9" s="12"/>
      <c r="H9" s="5"/>
    </row>
    <row r="10" spans="1:9" ht="27" customHeight="1">
      <c r="A10" s="5"/>
      <c r="B10" s="5"/>
      <c r="C10" s="5"/>
      <c r="D10" s="5"/>
      <c r="E10" s="5"/>
      <c r="F10" s="15" t="s">
        <v>7</v>
      </c>
      <c r="G10" s="16"/>
      <c r="H10" s="5"/>
      <c r="I10" s="5"/>
    </row>
    <row r="11" spans="1:9" ht="27" customHeight="1">
      <c r="A11" s="117"/>
      <c r="B11" s="118"/>
      <c r="C11" s="118"/>
      <c r="D11" s="5"/>
      <c r="E11" s="17"/>
      <c r="F11" s="18" t="s">
        <v>8</v>
      </c>
      <c r="G11" s="19"/>
      <c r="H11" s="17"/>
    </row>
    <row r="12" spans="1:9" ht="18.75" thickBot="1">
      <c r="A12" s="20" t="s">
        <v>9</v>
      </c>
      <c r="B12" s="20" t="str">
        <f>NUMBERSTRING(F31,1)</f>
        <v>삼백만</v>
      </c>
      <c r="C12" s="21"/>
      <c r="D12" s="22" t="s">
        <v>10</v>
      </c>
      <c r="E12" s="22" t="s">
        <v>11</v>
      </c>
      <c r="F12" s="22" t="s">
        <v>11</v>
      </c>
      <c r="G12" s="22"/>
      <c r="H12" s="23"/>
    </row>
    <row r="13" spans="1:9" ht="15.75" thickTop="1" thickBot="1">
      <c r="A13" s="5"/>
      <c r="B13" s="5"/>
      <c r="C13" s="5"/>
      <c r="D13" s="5"/>
      <c r="E13" s="5"/>
      <c r="F13" s="5"/>
      <c r="G13" s="5"/>
      <c r="H13" s="23"/>
    </row>
    <row r="14" spans="1:9" ht="33" customHeight="1" thickBot="1">
      <c r="A14" s="24" t="s">
        <v>12</v>
      </c>
      <c r="B14" s="25" t="s">
        <v>13</v>
      </c>
      <c r="C14" s="25" t="s">
        <v>14</v>
      </c>
      <c r="D14" s="25" t="s">
        <v>15</v>
      </c>
      <c r="E14" s="25" t="s">
        <v>16</v>
      </c>
      <c r="F14" s="25" t="s">
        <v>17</v>
      </c>
      <c r="G14" s="26" t="s">
        <v>18</v>
      </c>
      <c r="H14" s="23"/>
    </row>
    <row r="15" spans="1:9" ht="33" customHeight="1" thickTop="1">
      <c r="A15" s="27"/>
      <c r="B15" s="28" t="s">
        <v>19</v>
      </c>
      <c r="C15" s="29"/>
      <c r="D15" s="30"/>
      <c r="E15" s="30"/>
      <c r="F15" s="31"/>
      <c r="G15" s="32"/>
    </row>
    <row r="16" spans="1:9" ht="33" customHeight="1">
      <c r="A16" s="33"/>
      <c r="B16" s="34" t="s">
        <v>20</v>
      </c>
      <c r="C16" s="35"/>
      <c r="D16" s="36"/>
      <c r="E16" s="36"/>
      <c r="F16" s="37">
        <f>'내역서(표준단가)'!O9</f>
        <v>2850000</v>
      </c>
      <c r="G16" s="38"/>
    </row>
    <row r="17" spans="1:9" ht="33" customHeight="1">
      <c r="A17" s="33"/>
      <c r="B17" s="34" t="s">
        <v>21</v>
      </c>
      <c r="C17" s="35"/>
      <c r="D17" s="36"/>
      <c r="E17" s="36"/>
      <c r="F17" s="37">
        <f>'내역서(표준단가)'!Q9</f>
        <v>150000</v>
      </c>
      <c r="G17" s="39"/>
      <c r="H17" s="4"/>
      <c r="I17" s="4"/>
    </row>
    <row r="18" spans="1:9" ht="33" customHeight="1">
      <c r="A18" s="33"/>
      <c r="B18" s="34" t="s">
        <v>22</v>
      </c>
      <c r="C18" s="35"/>
      <c r="D18" s="36"/>
      <c r="E18" s="36"/>
      <c r="F18" s="37">
        <v>0</v>
      </c>
      <c r="G18" s="39"/>
      <c r="H18" s="4"/>
      <c r="I18" s="4"/>
    </row>
    <row r="19" spans="1:9" ht="33" customHeight="1">
      <c r="A19" s="33"/>
      <c r="B19" s="40" t="s">
        <v>23</v>
      </c>
      <c r="C19" s="40"/>
      <c r="D19" s="41"/>
      <c r="E19" s="41"/>
      <c r="F19" s="42">
        <f>F16+F17+F18</f>
        <v>3000000</v>
      </c>
      <c r="G19" s="39"/>
      <c r="H19" s="4"/>
      <c r="I19" s="4"/>
    </row>
    <row r="20" spans="1:9" ht="33" customHeight="1">
      <c r="A20" s="33"/>
      <c r="B20" s="43" t="s">
        <v>24</v>
      </c>
      <c r="C20" s="44"/>
      <c r="D20" s="36"/>
      <c r="E20" s="36"/>
      <c r="F20" s="45"/>
      <c r="G20" s="39"/>
      <c r="H20" s="4"/>
      <c r="I20" s="4"/>
    </row>
    <row r="21" spans="1:9" ht="33" customHeight="1">
      <c r="A21" s="33"/>
      <c r="B21" s="46" t="s">
        <v>25</v>
      </c>
      <c r="C21" s="44" t="s">
        <v>26</v>
      </c>
      <c r="D21" s="34">
        <v>1</v>
      </c>
      <c r="E21" s="34" t="s">
        <v>27</v>
      </c>
      <c r="F21" s="47"/>
      <c r="G21" s="39" t="s">
        <v>28</v>
      </c>
      <c r="H21" s="4"/>
      <c r="I21" s="4"/>
    </row>
    <row r="22" spans="1:9" ht="33" customHeight="1">
      <c r="A22" s="33"/>
      <c r="B22" s="48" t="s">
        <v>29</v>
      </c>
      <c r="C22" s="49" t="s">
        <v>30</v>
      </c>
      <c r="D22" s="50">
        <v>1</v>
      </c>
      <c r="E22" s="50" t="s">
        <v>27</v>
      </c>
      <c r="F22" s="51"/>
      <c r="G22" s="52" t="s">
        <v>28</v>
      </c>
      <c r="H22" s="4"/>
      <c r="I22" s="4"/>
    </row>
    <row r="23" spans="1:9" ht="33" customHeight="1">
      <c r="A23" s="33"/>
      <c r="B23" s="46" t="s">
        <v>31</v>
      </c>
      <c r="C23" s="44" t="s">
        <v>32</v>
      </c>
      <c r="D23" s="34">
        <v>1</v>
      </c>
      <c r="E23" s="34" t="s">
        <v>27</v>
      </c>
      <c r="F23" s="47"/>
      <c r="G23" s="39" t="s">
        <v>28</v>
      </c>
      <c r="H23" s="4"/>
      <c r="I23" s="4"/>
    </row>
    <row r="24" spans="1:9" ht="33" customHeight="1">
      <c r="A24" s="33"/>
      <c r="B24" s="46" t="s">
        <v>33</v>
      </c>
      <c r="C24" s="44" t="s">
        <v>34</v>
      </c>
      <c r="D24" s="34">
        <v>1</v>
      </c>
      <c r="E24" s="34" t="s">
        <v>27</v>
      </c>
      <c r="F24" s="47"/>
      <c r="G24" s="39" t="s">
        <v>28</v>
      </c>
      <c r="H24" s="4"/>
      <c r="I24" s="4"/>
    </row>
    <row r="25" spans="1:9" ht="33" customHeight="1">
      <c r="A25" s="33"/>
      <c r="B25" s="46" t="s">
        <v>35</v>
      </c>
      <c r="C25" s="44" t="s">
        <v>36</v>
      </c>
      <c r="D25" s="34">
        <v>1</v>
      </c>
      <c r="E25" s="34" t="s">
        <v>27</v>
      </c>
      <c r="F25" s="47"/>
      <c r="G25" s="39" t="s">
        <v>28</v>
      </c>
      <c r="H25" s="4"/>
      <c r="I25" s="4"/>
    </row>
    <row r="26" spans="1:9" ht="33" customHeight="1">
      <c r="A26" s="33"/>
      <c r="B26" s="46" t="s">
        <v>37</v>
      </c>
      <c r="C26" s="53" t="s">
        <v>38</v>
      </c>
      <c r="D26" s="34">
        <v>1</v>
      </c>
      <c r="E26" s="34" t="s">
        <v>27</v>
      </c>
      <c r="F26" s="47"/>
      <c r="G26" s="39" t="s">
        <v>28</v>
      </c>
      <c r="H26" s="4"/>
      <c r="I26" s="4"/>
    </row>
    <row r="27" spans="1:9" ht="33" customHeight="1">
      <c r="A27" s="33"/>
      <c r="B27" s="46" t="s">
        <v>39</v>
      </c>
      <c r="C27" s="53" t="s">
        <v>40</v>
      </c>
      <c r="D27" s="34">
        <v>1</v>
      </c>
      <c r="E27" s="34" t="s">
        <v>27</v>
      </c>
      <c r="F27" s="47"/>
      <c r="G27" s="39"/>
      <c r="H27" s="4"/>
      <c r="I27" s="4"/>
    </row>
    <row r="28" spans="1:9" ht="33" customHeight="1">
      <c r="A28" s="33"/>
      <c r="B28" s="40" t="s">
        <v>23</v>
      </c>
      <c r="C28" s="54"/>
      <c r="D28" s="55"/>
      <c r="E28" s="41"/>
      <c r="F28" s="56">
        <f>F21+F22+F23+F24+F25+F26+F27</f>
        <v>0</v>
      </c>
      <c r="G28" s="39"/>
      <c r="H28" s="4"/>
      <c r="I28" s="4"/>
    </row>
    <row r="29" spans="1:9" ht="33" customHeight="1">
      <c r="A29" s="33"/>
      <c r="B29" s="44"/>
      <c r="C29" s="57"/>
      <c r="D29" s="58"/>
      <c r="E29" s="36"/>
      <c r="F29" s="59"/>
      <c r="G29" s="39"/>
      <c r="H29" s="4"/>
      <c r="I29" s="4"/>
    </row>
    <row r="30" spans="1:9" ht="33" customHeight="1">
      <c r="A30" s="33"/>
      <c r="B30" s="60"/>
      <c r="C30" s="57"/>
      <c r="D30" s="58"/>
      <c r="E30" s="36"/>
      <c r="F30" s="61">
        <f>F19+F28+F29</f>
        <v>3000000</v>
      </c>
      <c r="G30" s="39"/>
      <c r="H30" s="4"/>
      <c r="I30" s="4"/>
    </row>
    <row r="31" spans="1:9" ht="33" customHeight="1">
      <c r="A31" s="33"/>
      <c r="B31" s="40" t="s">
        <v>41</v>
      </c>
      <c r="C31" s="40"/>
      <c r="D31" s="41"/>
      <c r="E31" s="41"/>
      <c r="F31" s="62">
        <f>ROUNDDOWN(F30,-3)</f>
        <v>3000000</v>
      </c>
      <c r="G31" s="39"/>
      <c r="H31" s="4"/>
      <c r="I31" s="4"/>
    </row>
    <row r="32" spans="1:9" ht="33" customHeight="1" thickBot="1">
      <c r="A32" s="63"/>
      <c r="B32" s="64" t="s">
        <v>42</v>
      </c>
      <c r="C32" s="65"/>
      <c r="D32" s="66"/>
      <c r="E32" s="66"/>
      <c r="F32" s="67"/>
      <c r="G32" s="68"/>
      <c r="H32" s="4"/>
      <c r="I32" s="4"/>
    </row>
    <row r="33" spans="2:2" s="4" customFormat="1" ht="15.75">
      <c r="B33" s="69"/>
    </row>
    <row r="34" spans="2:2" s="4" customFormat="1" ht="15.75">
      <c r="B34" s="69"/>
    </row>
  </sheetData>
  <mergeCells count="4">
    <mergeCell ref="A7:C7"/>
    <mergeCell ref="A9:C9"/>
    <mergeCell ref="A11:C11"/>
    <mergeCell ref="A2:G2"/>
  </mergeCells>
  <phoneticPr fontId="4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112F-025F-406A-AB9F-D54ECFA70A3A}">
  <sheetPr>
    <tabColor rgb="FFFFFF00"/>
    <pageSetUpPr fitToPage="1"/>
  </sheetPr>
  <dimension ref="A1:X13"/>
  <sheetViews>
    <sheetView showGridLines="0" zoomScale="115" zoomScaleNormal="115" workbookViewId="0">
      <selection activeCell="K18" sqref="K18"/>
    </sheetView>
  </sheetViews>
  <sheetFormatPr defaultColWidth="9" defaultRowHeight="12.75"/>
  <cols>
    <col min="1" max="1" width="11.375" style="110" customWidth="1"/>
    <col min="2" max="5" width="18.5" style="110" hidden="1" customWidth="1"/>
    <col min="6" max="6" width="60.25" style="70" hidden="1" customWidth="1"/>
    <col min="7" max="7" width="10.125" style="70" hidden="1" customWidth="1"/>
    <col min="8" max="8" width="16.625" style="70" hidden="1" customWidth="1"/>
    <col min="9" max="9" width="10.125" style="70" hidden="1" customWidth="1"/>
    <col min="10" max="10" width="10.75" style="70" customWidth="1"/>
    <col min="11" max="11" width="22.875" style="70" customWidth="1"/>
    <col min="12" max="12" width="5.25" style="70" bestFit="1" customWidth="1"/>
    <col min="13" max="13" width="6.375" style="70" bestFit="1" customWidth="1"/>
    <col min="14" max="14" width="10.125" style="70" bestFit="1" customWidth="1"/>
    <col min="15" max="15" width="12" style="70" bestFit="1" customWidth="1"/>
    <col min="16" max="16" width="10.625" style="70" customWidth="1"/>
    <col min="17" max="17" width="12.25" style="70" bestFit="1" customWidth="1"/>
    <col min="18" max="18" width="6.375" style="70" hidden="1" customWidth="1"/>
    <col min="19" max="19" width="8.5" style="70" hidden="1" customWidth="1"/>
    <col min="20" max="20" width="6.375" style="70" hidden="1" customWidth="1"/>
    <col min="21" max="21" width="8.5" style="70" hidden="1" customWidth="1"/>
    <col min="22" max="22" width="12" style="70" bestFit="1" customWidth="1"/>
    <col min="23" max="23" width="10.625" style="71" bestFit="1" customWidth="1"/>
    <col min="24" max="24" width="8.5" style="70" bestFit="1" customWidth="1"/>
    <col min="25" max="16384" width="9" style="70"/>
  </cols>
  <sheetData>
    <row r="1" spans="1:24" ht="19.899999999999999" customHeight="1">
      <c r="A1" s="122"/>
      <c r="B1" s="122"/>
      <c r="C1" s="122"/>
      <c r="D1" s="122"/>
      <c r="E1" s="122"/>
      <c r="F1" s="122"/>
      <c r="G1" s="122"/>
      <c r="H1" s="122"/>
      <c r="I1" s="122"/>
      <c r="N1" s="71"/>
      <c r="O1" s="72" t="s">
        <v>43</v>
      </c>
      <c r="Q1" s="72" t="s">
        <v>43</v>
      </c>
      <c r="S1" s="72" t="s">
        <v>43</v>
      </c>
      <c r="U1" s="72" t="s">
        <v>43</v>
      </c>
    </row>
    <row r="2" spans="1:24" ht="19.899999999999999" customHeight="1" thickBot="1">
      <c r="A2" s="122"/>
      <c r="B2" s="122"/>
      <c r="C2" s="122"/>
      <c r="D2" s="122"/>
      <c r="E2" s="122"/>
      <c r="F2" s="122"/>
      <c r="G2" s="122"/>
      <c r="H2" s="122"/>
      <c r="I2" s="122"/>
      <c r="N2" s="73"/>
      <c r="O2" s="74">
        <v>1</v>
      </c>
      <c r="Q2" s="74">
        <v>1</v>
      </c>
      <c r="S2" s="74">
        <v>1</v>
      </c>
      <c r="U2" s="74">
        <v>1</v>
      </c>
    </row>
    <row r="3" spans="1:24" ht="19.899999999999999" customHeight="1">
      <c r="A3" s="75"/>
      <c r="B3" s="75"/>
      <c r="C3" s="75"/>
      <c r="D3" s="75"/>
      <c r="E3" s="75"/>
      <c r="F3" s="75" t="s">
        <v>44</v>
      </c>
      <c r="G3" s="76"/>
      <c r="H3" s="76"/>
      <c r="I3" s="76"/>
      <c r="J3" s="123" t="s">
        <v>45</v>
      </c>
      <c r="K3" s="123"/>
      <c r="L3" s="123" t="s">
        <v>46</v>
      </c>
      <c r="M3" s="123" t="s">
        <v>47</v>
      </c>
      <c r="N3" s="125" t="s">
        <v>48</v>
      </c>
      <c r="O3" s="125"/>
      <c r="P3" s="125" t="s">
        <v>49</v>
      </c>
      <c r="Q3" s="125"/>
      <c r="R3" s="126" t="s">
        <v>50</v>
      </c>
      <c r="S3" s="126"/>
      <c r="T3" s="126" t="s">
        <v>51</v>
      </c>
      <c r="U3" s="126"/>
      <c r="V3" s="127" t="s">
        <v>52</v>
      </c>
      <c r="W3" s="129" t="s">
        <v>53</v>
      </c>
      <c r="X3" s="120" t="s">
        <v>54</v>
      </c>
    </row>
    <row r="4" spans="1:24" ht="19.899999999999999" customHeight="1">
      <c r="A4" s="77" t="s">
        <v>55</v>
      </c>
      <c r="B4" s="78"/>
      <c r="C4" s="78"/>
      <c r="D4" s="78"/>
      <c r="E4" s="78"/>
      <c r="F4" s="79"/>
      <c r="G4" s="79"/>
      <c r="H4" s="79"/>
      <c r="I4" s="79"/>
      <c r="J4" s="80" t="s">
        <v>56</v>
      </c>
      <c r="K4" s="80" t="s">
        <v>57</v>
      </c>
      <c r="L4" s="124"/>
      <c r="M4" s="124"/>
      <c r="N4" s="81" t="s">
        <v>58</v>
      </c>
      <c r="O4" s="82" t="s">
        <v>59</v>
      </c>
      <c r="P4" s="81" t="s">
        <v>60</v>
      </c>
      <c r="Q4" s="82" t="s">
        <v>59</v>
      </c>
      <c r="R4" s="82" t="s">
        <v>61</v>
      </c>
      <c r="S4" s="82" t="s">
        <v>59</v>
      </c>
      <c r="T4" s="82" t="s">
        <v>61</v>
      </c>
      <c r="U4" s="82" t="s">
        <v>59</v>
      </c>
      <c r="V4" s="128"/>
      <c r="W4" s="130"/>
      <c r="X4" s="121"/>
    </row>
    <row r="5" spans="1:24" s="97" customFormat="1" ht="19.899999999999999" customHeight="1">
      <c r="A5" s="83">
        <v>999999</v>
      </c>
      <c r="B5" s="84"/>
      <c r="C5" s="84"/>
      <c r="D5" s="84"/>
      <c r="E5" s="84"/>
      <c r="F5" s="85"/>
      <c r="G5" s="86"/>
      <c r="H5" s="87"/>
      <c r="I5" s="88"/>
      <c r="J5" s="112" t="s">
        <v>66</v>
      </c>
      <c r="K5" s="112" t="s">
        <v>63</v>
      </c>
      <c r="L5" s="89" t="s">
        <v>62</v>
      </c>
      <c r="M5" s="90">
        <v>1</v>
      </c>
      <c r="N5" s="91">
        <v>950000</v>
      </c>
      <c r="O5" s="92">
        <f t="shared" ref="O5:O7" si="0">SUM(N5:N5)*M5*$O$2</f>
        <v>950000</v>
      </c>
      <c r="P5" s="93">
        <v>50000</v>
      </c>
      <c r="Q5" s="92">
        <f t="shared" ref="Q5:Q8" si="1">(P5*M5)*$Q$2</f>
        <v>50000</v>
      </c>
      <c r="R5" s="94"/>
      <c r="S5" s="92">
        <f t="shared" ref="S5:S8" si="2">R5*M5*$S$2</f>
        <v>0</v>
      </c>
      <c r="T5" s="94"/>
      <c r="U5" s="92">
        <f t="shared" ref="U5:U8" si="3">T5*M5*$U$2</f>
        <v>0</v>
      </c>
      <c r="V5" s="94">
        <f t="shared" ref="V5:V8" si="4">SUM(O5+Q5)+S5+U5</f>
        <v>1000000</v>
      </c>
      <c r="W5" s="95"/>
      <c r="X5" s="96"/>
    </row>
    <row r="6" spans="1:24" s="97" customFormat="1" ht="19.899999999999999" customHeight="1">
      <c r="A6" s="83">
        <v>999999</v>
      </c>
      <c r="B6" s="84"/>
      <c r="C6" s="84"/>
      <c r="D6" s="84"/>
      <c r="E6" s="84"/>
      <c r="F6" s="85"/>
      <c r="G6" s="86"/>
      <c r="H6" s="87"/>
      <c r="I6" s="88"/>
      <c r="J6" s="112" t="s">
        <v>67</v>
      </c>
      <c r="K6" s="112" t="s">
        <v>63</v>
      </c>
      <c r="L6" s="89" t="s">
        <v>62</v>
      </c>
      <c r="M6" s="90">
        <v>1</v>
      </c>
      <c r="N6" s="91">
        <v>950000</v>
      </c>
      <c r="O6" s="92">
        <f t="shared" si="0"/>
        <v>950000</v>
      </c>
      <c r="P6" s="93">
        <v>50000</v>
      </c>
      <c r="Q6" s="92">
        <f t="shared" si="1"/>
        <v>50000</v>
      </c>
      <c r="R6" s="94"/>
      <c r="S6" s="92">
        <f t="shared" si="2"/>
        <v>0</v>
      </c>
      <c r="T6" s="94"/>
      <c r="U6" s="92">
        <f t="shared" si="3"/>
        <v>0</v>
      </c>
      <c r="V6" s="94">
        <f t="shared" si="4"/>
        <v>1000000</v>
      </c>
      <c r="W6" s="95"/>
      <c r="X6" s="96"/>
    </row>
    <row r="7" spans="1:24" s="97" customFormat="1" ht="19.899999999999999" customHeight="1">
      <c r="A7" s="83">
        <v>999999</v>
      </c>
      <c r="B7" s="84"/>
      <c r="C7" s="84"/>
      <c r="D7" s="84"/>
      <c r="E7" s="84"/>
      <c r="F7" s="85"/>
      <c r="G7" s="86"/>
      <c r="H7" s="87"/>
      <c r="I7" s="88"/>
      <c r="J7" s="112" t="s">
        <v>68</v>
      </c>
      <c r="K7" s="112" t="s">
        <v>63</v>
      </c>
      <c r="L7" s="89" t="s">
        <v>62</v>
      </c>
      <c r="M7" s="90">
        <v>1</v>
      </c>
      <c r="N7" s="91">
        <v>950000</v>
      </c>
      <c r="O7" s="92">
        <f t="shared" si="0"/>
        <v>950000</v>
      </c>
      <c r="P7" s="93">
        <v>50000</v>
      </c>
      <c r="Q7" s="92">
        <f t="shared" si="1"/>
        <v>50000</v>
      </c>
      <c r="R7" s="94"/>
      <c r="S7" s="92">
        <f t="shared" si="2"/>
        <v>0</v>
      </c>
      <c r="T7" s="94"/>
      <c r="U7" s="92">
        <f t="shared" si="3"/>
        <v>0</v>
      </c>
      <c r="V7" s="94">
        <f t="shared" si="4"/>
        <v>1000000</v>
      </c>
      <c r="W7" s="95"/>
      <c r="X7" s="96"/>
    </row>
    <row r="8" spans="1:24" s="97" customFormat="1" ht="19.899999999999999" customHeight="1">
      <c r="A8" s="83" t="str">
        <f t="shared" ref="A8" si="5">F8&amp;G8&amp;H8&amp;I8</f>
        <v/>
      </c>
      <c r="B8" s="84"/>
      <c r="C8" s="84"/>
      <c r="D8" s="84"/>
      <c r="E8" s="84"/>
      <c r="F8" s="98"/>
      <c r="G8" s="86"/>
      <c r="H8" s="87"/>
      <c r="I8" s="88"/>
      <c r="J8" s="113"/>
      <c r="K8" s="113"/>
      <c r="L8" s="99"/>
      <c r="M8" s="100"/>
      <c r="N8" s="101"/>
      <c r="O8" s="92">
        <f t="shared" ref="O8" si="6">SUM(N8:N8)*M8*$O$2</f>
        <v>0</v>
      </c>
      <c r="P8" s="102"/>
      <c r="Q8" s="92">
        <f t="shared" si="1"/>
        <v>0</v>
      </c>
      <c r="R8" s="94"/>
      <c r="S8" s="92">
        <f t="shared" si="2"/>
        <v>0</v>
      </c>
      <c r="T8" s="94"/>
      <c r="U8" s="92">
        <f t="shared" si="3"/>
        <v>0</v>
      </c>
      <c r="V8" s="94">
        <f t="shared" si="4"/>
        <v>0</v>
      </c>
      <c r="W8" s="103"/>
      <c r="X8" s="96"/>
    </row>
    <row r="9" spans="1:24" s="105" customFormat="1" ht="19.899999999999999" customHeight="1">
      <c r="A9" s="104"/>
      <c r="B9" s="104"/>
      <c r="C9" s="104"/>
      <c r="D9" s="104"/>
      <c r="E9" s="104"/>
      <c r="O9" s="106">
        <f>SUM(O5:O8)</f>
        <v>2850000</v>
      </c>
      <c r="P9" s="107"/>
      <c r="Q9" s="106">
        <f>SUM(Q5:Q8)</f>
        <v>150000</v>
      </c>
      <c r="R9" s="107"/>
      <c r="S9" s="106">
        <f>SUM(S5:S8)</f>
        <v>0</v>
      </c>
      <c r="T9" s="107"/>
      <c r="U9" s="106">
        <f>SUM(U5:U8)</f>
        <v>0</v>
      </c>
      <c r="V9" s="108">
        <f>SUM(V5:V8)</f>
        <v>3000000</v>
      </c>
      <c r="W9" s="109"/>
    </row>
    <row r="13" spans="1:24">
      <c r="Q13" s="111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4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"/>
  <sheetViews>
    <sheetView topLeftCell="A2" zoomScale="70" zoomScaleNormal="70" zoomScaleSheetLayoutView="100" workbookViewId="0"/>
  </sheetViews>
  <sheetFormatPr defaultColWidth="8.75" defaultRowHeight="13.5"/>
  <cols>
    <col min="1" max="16384" width="8.75" style="1"/>
  </cols>
  <sheetData/>
  <phoneticPr fontId="4" type="noConversion"/>
  <printOptions horizontalCentered="1" verticalCentered="1"/>
  <pageMargins left="0.44555556774139404" right="0.37972220778465271" top="0.59416669607162476" bottom="0.52791666984558105" header="0.31486111879348755" footer="0.31486111879348755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증빙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76</cp:revision>
  <cp:lastPrinted>2024-11-26T07:28:34Z</cp:lastPrinted>
  <dcterms:created xsi:type="dcterms:W3CDTF">2020-02-03T04:33:40Z</dcterms:created>
  <dcterms:modified xsi:type="dcterms:W3CDTF">2025-04-18T05:00:07Z</dcterms:modified>
  <cp:version>1300.0100.01</cp:version>
</cp:coreProperties>
</file>
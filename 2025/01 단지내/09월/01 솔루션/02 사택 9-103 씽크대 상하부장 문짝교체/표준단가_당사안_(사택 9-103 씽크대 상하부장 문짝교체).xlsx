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1\06 작업폴더\05 사택 9-103 씽크대 상하부장 문짝교체\"/>
    </mc:Choice>
  </mc:AlternateContent>
  <xr:revisionPtr revIDLastSave="0" documentId="13_ncr:1_{25832000-3985-4007-80A1-BBE5CF080F8B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4" l="1"/>
  <c r="F2" i="1" l="1"/>
  <c r="E2" i="1"/>
  <c r="D2" i="1"/>
  <c r="C2" i="1"/>
  <c r="B2" i="1"/>
  <c r="U5" i="4"/>
  <c r="S5" i="4"/>
  <c r="O5" i="4"/>
  <c r="V5" i="4" s="1"/>
  <c r="A5" i="4"/>
  <c r="A2" i="1" s="1"/>
  <c r="U6" i="4"/>
  <c r="S6" i="4"/>
  <c r="Q6" i="4"/>
  <c r="O6" i="4"/>
  <c r="V6" i="4" l="1"/>
  <c r="U7" i="4"/>
  <c r="Q7" i="4"/>
  <c r="S7" i="4" l="1"/>
  <c r="V7" i="4" l="1"/>
  <c r="F18" i="5" l="1"/>
  <c r="O7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<sst xmlns="http://schemas.openxmlformats.org/spreadsheetml/2006/main" count="130" uniqueCount="108">
  <si>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</si>
  <si>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</si>
  <si>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</si>
  <si>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</si>
  <si>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</si>
  <si>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</si>
  <si>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</si>
  <si>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</si>
  <si>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</si>
  <si>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</si>
  <si>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</si>
  <si>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</si>
  <si>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</si>
  <si>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</si>
  <si>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</si>
  <si>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</si>
  <si>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</si>
  <si>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</si>
  <si>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</si>
  <si>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</si>
  <si>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</si>
  <si>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</si>
  <si>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</si>
  <si>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</si>
  <si>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</si>
  <si>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</si>
  <si>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</si>
  <si>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</si>
  <si>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</si>
  <si>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</si>
  <si>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</si>
  <si>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</si>
  <si>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</si>
  <si>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</si>
  <si>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</si>
  <si>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</si>
  <si>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</si>
  <si>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</si>
  <si>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</si>
  <si>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</si>
  <si>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</si>
  <si>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</si>
  <si>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</si>
  <si>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</si>
  <si>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</si>
  <si>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</si>
  <si>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</si>
  <si>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</si>
  <si>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</si>
  <si>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</si>
  <si>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</si>
  <si>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</si>
  <si>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</si>
  <si>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</si>
  <si>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</si>
  <si>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</si>
  <si>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</si>
  <si>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</si>
  <si>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</si>
  <si>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</si>
  <si>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</si>
  <si>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</si>
  <si>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</si>
  <si>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</si>
  <si>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</si>
  <si>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</si>
  <si>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</si>
  <si>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</si>
  <si>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</si>
  <si>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</si>
  <si>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</si>
  <si>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</si>
  <si>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</si>
  <si>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</si>
  <si>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</si>
  <si>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</si>
  <si>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</si>
  <si>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</si>
  <si>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</si>
  <si>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</si>
  <si>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</si>
  <si>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</si>
  <si>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</si>
  <si>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</si>
  <si>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</si>
  <si>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</si>
  <si>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</si>
  <si>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</si>
  <si>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</si>
  <si>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</si>
  <si>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</si>
  <si>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</si>
  <si>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</si>
  <si>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</si>
  <si>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</si>
  <si>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</si>
  <si>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</si>
  <si>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</si>
  <si>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</si>
  <si>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</si>
  <si>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9동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</si>
  <si>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</si>
  <si>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</si>
  <si>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</si>
  <si>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</si>
  <si>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</si>
  <si>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 xml:space="preserve"> 공사명 : 사택 9-103 씽크대 상하부장 문짝교체</t>
    <phoneticPr fontId="12" type="noConversion"/>
  </si>
  <si>
    <t xml:space="preserve"> 견적일 : 2025년  06월  30일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</si>
</sst>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8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9" fillId="0" borderId="0" xfId="6" applyFont="1" applyAlignment="1">
      <alignment vertical="center"/>
    </xf>
    <xf numFmtId="0" fontId="20" fillId="0" borderId="0" xfId="3" applyFont="1"/>
    <xf numFmtId="0" fontId="21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22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21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22" fillId="0" borderId="7" xfId="6" applyFont="1" applyBorder="1" applyAlignment="1">
      <alignment vertical="center"/>
    </xf>
    <xf numFmtId="179" fontId="21" fillId="0" borderId="7" xfId="6" applyNumberFormat="1" applyFont="1" applyBorder="1" applyAlignment="1">
      <alignment vertical="center"/>
    </xf>
    <xf numFmtId="0" fontId="21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3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3" fillId="0" borderId="12" xfId="6" applyFont="1" applyBorder="1" applyAlignment="1">
      <alignment vertical="center"/>
    </xf>
    <xf numFmtId="1" fontId="23" fillId="0" borderId="12" xfId="6" applyNumberFormat="1" applyFont="1" applyBorder="1" applyAlignment="1">
      <alignment horizontal="center" vertical="center"/>
    </xf>
    <xf numFmtId="180" fontId="23" fillId="0" borderId="12" xfId="7" applyFont="1" applyBorder="1" applyAlignment="1">
      <alignment horizontal="right" vertical="center"/>
    </xf>
    <xf numFmtId="0" fontId="23" fillId="0" borderId="13" xfId="6" applyFont="1" applyBorder="1" applyAlignment="1">
      <alignment vertical="center"/>
    </xf>
    <xf numFmtId="0" fontId="23" fillId="0" borderId="14" xfId="6" applyFont="1" applyBorder="1" applyAlignment="1">
      <alignment horizontal="center" vertical="center"/>
    </xf>
    <xf numFmtId="0" fontId="23" fillId="0" borderId="15" xfId="6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1" fontId="23" fillId="0" borderId="15" xfId="6" applyNumberFormat="1" applyFont="1" applyBorder="1" applyAlignment="1">
      <alignment horizontal="center" vertical="center"/>
    </xf>
    <xf numFmtId="180" fontId="23" fillId="0" borderId="15" xfId="7" applyFont="1" applyBorder="1" applyAlignment="1">
      <alignment horizontal="right" vertical="center"/>
    </xf>
    <xf numFmtId="0" fontId="23" fillId="0" borderId="16" xfId="6" quotePrefix="1" applyFont="1" applyBorder="1" applyAlignment="1">
      <alignment vertical="center"/>
    </xf>
    <xf numFmtId="0" fontId="23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3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3" fillId="0" borderId="15" xfId="8" applyFont="1" applyBorder="1" applyAlignment="1">
      <alignment horizontal="center" vertical="center"/>
    </xf>
    <xf numFmtId="178" fontId="23" fillId="0" borderId="15" xfId="5" applyFont="1" applyFill="1" applyBorder="1" applyAlignment="1">
      <alignment horizontal="right" vertical="center"/>
    </xf>
    <xf numFmtId="0" fontId="23" fillId="5" borderId="15" xfId="8" applyFont="1" applyFill="1" applyBorder="1" applyAlignment="1">
      <alignment horizontal="center" vertical="center"/>
    </xf>
    <xf numFmtId="0" fontId="23" fillId="5" borderId="15" xfId="6" applyFont="1" applyFill="1" applyBorder="1" applyAlignment="1">
      <alignment vertical="center"/>
    </xf>
    <xf numFmtId="0" fontId="23" fillId="5" borderId="15" xfId="6" applyFont="1" applyFill="1" applyBorder="1" applyAlignment="1">
      <alignment horizontal="center" vertical="center"/>
    </xf>
    <xf numFmtId="178" fontId="23" fillId="5" borderId="15" xfId="5" applyFont="1" applyFill="1" applyBorder="1" applyAlignment="1">
      <alignment horizontal="right" vertical="center"/>
    </xf>
    <xf numFmtId="0" fontId="23" fillId="5" borderId="16" xfId="6" applyFont="1" applyFill="1" applyBorder="1" applyAlignment="1">
      <alignment vertical="center"/>
    </xf>
    <xf numFmtId="0" fontId="23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3" fillId="0" borderId="15" xfId="3" applyNumberFormat="1" applyFont="1" applyBorder="1" applyAlignment="1">
      <alignment horizontal="right" vertical="center"/>
    </xf>
    <xf numFmtId="1" fontId="23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3" fillId="0" borderId="15" xfId="3" applyFont="1" applyBorder="1" applyAlignment="1">
      <alignment vertical="center"/>
    </xf>
    <xf numFmtId="180" fontId="23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3" fillId="0" borderId="19" xfId="6" applyFont="1" applyBorder="1" applyAlignment="1">
      <alignment vertical="center"/>
    </xf>
    <xf numFmtId="0" fontId="23" fillId="0" borderId="19" xfId="6" applyFont="1" applyBorder="1" applyAlignment="1">
      <alignment horizontal="right" vertical="center"/>
    </xf>
    <xf numFmtId="0" fontId="23" fillId="0" borderId="20" xfId="6" applyFont="1" applyBorder="1" applyAlignment="1">
      <alignment vertical="center"/>
    </xf>
    <xf numFmtId="0" fontId="13" fillId="0" borderId="0" xfId="10" applyFont="1"/>
    <xf numFmtId="181" fontId="21" fillId="0" borderId="0" xfId="1" applyNumberFormat="1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9" fontId="24" fillId="0" borderId="0" xfId="0" applyNumberFormat="1" applyFont="1" applyAlignment="1">
      <alignment horizontal="center" vertical="center"/>
    </xf>
    <xf numFmtId="182" fontId="24" fillId="3" borderId="0" xfId="2" applyNumberFormat="1" applyFont="1" applyFill="1" applyAlignment="1">
      <alignment horizontal="center" vertical="center"/>
    </xf>
    <xf numFmtId="0" fontId="24" fillId="4" borderId="22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177" fontId="24" fillId="4" borderId="3" xfId="4" applyFont="1" applyFill="1" applyBorder="1" applyAlignment="1">
      <alignment horizontal="center" vertical="center"/>
    </xf>
    <xf numFmtId="178" fontId="24" fillId="4" borderId="3" xfId="5" applyFont="1" applyFill="1" applyBorder="1" applyAlignment="1">
      <alignment horizontal="center" vertical="center"/>
    </xf>
    <xf numFmtId="0" fontId="20" fillId="6" borderId="22" xfId="0" applyFont="1" applyFill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49" fontId="20" fillId="7" borderId="3" xfId="0" applyNumberFormat="1" applyFont="1" applyFill="1" applyBorder="1" applyAlignment="1">
      <alignment horizontal="center" vertical="center" wrapText="1"/>
    </xf>
    <xf numFmtId="49" fontId="20" fillId="5" borderId="3" xfId="0" applyNumberFormat="1" applyFont="1" applyFill="1" applyBorder="1" applyAlignment="1">
      <alignment horizontal="center" vertical="center" wrapText="1"/>
    </xf>
    <xf numFmtId="177" fontId="20" fillId="0" borderId="3" xfId="1" applyFont="1" applyFill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83" fontId="20" fillId="5" borderId="3" xfId="1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49" fontId="20" fillId="2" borderId="1" xfId="0" applyNumberFormat="1" applyFont="1" applyFill="1" applyBorder="1" applyAlignment="1">
      <alignment horizontal="center" vertical="center" wrapText="1"/>
    </xf>
    <xf numFmtId="49" fontId="20" fillId="2" borderId="33" xfId="0" applyNumberFormat="1" applyFont="1" applyFill="1" applyBorder="1" applyAlignment="1">
      <alignment horizontal="center" vertical="center" wrapText="1"/>
    </xf>
    <xf numFmtId="49" fontId="20" fillId="2" borderId="34" xfId="0" applyNumberFormat="1" applyFont="1" applyFill="1" applyBorder="1" applyAlignment="1">
      <alignment horizontal="center" vertical="center" wrapText="1"/>
    </xf>
    <xf numFmtId="184" fontId="20" fillId="0" borderId="0" xfId="0" applyNumberFormat="1" applyFont="1">
      <alignment vertical="center"/>
    </xf>
    <xf numFmtId="181" fontId="20" fillId="7" borderId="1" xfId="1" applyNumberFormat="1" applyFont="1" applyFill="1" applyBorder="1" applyAlignment="1">
      <alignment horizontal="center" vertical="center"/>
    </xf>
    <xf numFmtId="181" fontId="20" fillId="0" borderId="1" xfId="1" applyNumberFormat="1" applyFont="1" applyBorder="1" applyAlignment="1">
      <alignment horizontal="center" vertical="center"/>
    </xf>
    <xf numFmtId="185" fontId="20" fillId="0" borderId="0" xfId="0" applyNumberFormat="1" applyFont="1">
      <alignment vertical="center"/>
    </xf>
    <xf numFmtId="0" fontId="20" fillId="7" borderId="4" xfId="0" applyFont="1" applyFill="1" applyBorder="1" applyAlignment="1">
      <alignment horizontal="center"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20" fillId="0" borderId="6" xfId="0" applyNumberFormat="1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 wrapText="1"/>
    </xf>
    <xf numFmtId="49" fontId="25" fillId="7" borderId="3" xfId="0" applyNumberFormat="1" applyFont="1" applyFill="1" applyBorder="1" applyAlignment="1">
      <alignment horizontal="center" vertical="center" wrapText="1"/>
    </xf>
    <xf numFmtId="0" fontId="21" fillId="0" borderId="0" xfId="19" applyFont="1">
      <alignment vertical="center"/>
    </xf>
    <xf numFmtId="0" fontId="26" fillId="0" borderId="0" xfId="19" applyFont="1">
      <alignment vertical="center"/>
    </xf>
    <xf numFmtId="0" fontId="21" fillId="0" borderId="0" xfId="19" applyFont="1" applyAlignment="1">
      <alignment horizontal="center" vertical="center"/>
    </xf>
    <xf numFmtId="0" fontId="21" fillId="0" borderId="0" xfId="0" applyFont="1">
      <alignment vertical="center"/>
    </xf>
    <xf numFmtId="186" fontId="20" fillId="5" borderId="3" xfId="0" applyNumberFormat="1" applyFont="1" applyFill="1" applyBorder="1" applyAlignment="1">
      <alignment horizontal="right" vertical="center" wrapText="1"/>
    </xf>
    <xf numFmtId="186" fontId="20" fillId="0" borderId="3" xfId="0" applyNumberFormat="1" applyFont="1" applyBorder="1" applyAlignment="1">
      <alignment horizontal="right" vertical="center"/>
    </xf>
    <xf numFmtId="186" fontId="20" fillId="6" borderId="3" xfId="1" applyNumberFormat="1" applyFont="1" applyFill="1" applyBorder="1" applyAlignment="1">
      <alignment horizontal="right" vertical="center" wrapText="1"/>
    </xf>
    <xf numFmtId="186" fontId="20" fillId="0" borderId="3" xfId="1" applyNumberFormat="1" applyFont="1" applyFill="1" applyBorder="1" applyAlignment="1">
      <alignment horizontal="right" vertical="center" wrapText="1"/>
    </xf>
    <xf numFmtId="187" fontId="20" fillId="0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 wrapText="1"/>
    </xf>
    <xf numFmtId="0" fontId="24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9" borderId="24" xfId="0" applyFont="1" applyFill="1" applyBorder="1">
      <alignment vertical="center"/>
    </xf>
    <xf numFmtId="0" fontId="24" fillId="9" borderId="21" xfId="0" applyFont="1" applyFill="1" applyBorder="1">
      <alignment vertical="center"/>
    </xf>
    <xf numFmtId="0" fontId="25" fillId="0" borderId="0" xfId="0" applyFont="1">
      <alignment vertical="center"/>
    </xf>
    <xf numFmtId="0" fontId="23" fillId="10" borderId="0" xfId="0" applyFont="1" applyFill="1">
      <alignment vertical="center"/>
    </xf>
    <xf numFmtId="0" fontId="23" fillId="0" borderId="0" xfId="0" applyFont="1">
      <alignment vertical="center"/>
    </xf>
    <xf numFmtId="177" fontId="23" fillId="10" borderId="0" xfId="0" applyNumberFormat="1" applyFont="1" applyFill="1">
      <alignment vertical="center"/>
    </xf>
    <xf numFmtId="0" fontId="24" fillId="5" borderId="0" xfId="0" applyFont="1" applyFill="1">
      <alignment vertical="center"/>
    </xf>
    <xf numFmtId="177" fontId="20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0" fontId="19" fillId="0" borderId="0" xfId="6" applyFont="1" applyAlignment="1">
      <alignment horizontal="center" vertical="center"/>
    </xf>
    <xf numFmtId="0" fontId="22" fillId="0" borderId="0" xfId="6" applyFont="1" applyAlignment="1">
      <alignment vertical="center"/>
    </xf>
    <xf numFmtId="0" fontId="21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177" fontId="24" fillId="4" borderId="21" xfId="4" applyFont="1" applyFill="1" applyBorder="1" applyAlignment="1">
      <alignment horizontal="center" vertical="center"/>
    </xf>
    <xf numFmtId="178" fontId="24" fillId="4" borderId="21" xfId="5" applyFont="1" applyFill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/>
    </xf>
    <xf numFmtId="0" fontId="24" fillId="4" borderId="3" xfId="3" applyFont="1" applyFill="1" applyBorder="1" applyAlignment="1">
      <alignment horizontal="center" vertical="center"/>
    </xf>
    <xf numFmtId="0" fontId="24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107497</xdr:rowOff>
    </xdr:from>
    <xdr:to>
      <xdr:col>14</xdr:col>
      <xdr:colOff>266701</xdr:colOff>
      <xdr:row>35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1" y="736147"/>
          <a:ext cx="13468350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_9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333375</xdr:colOff>
      <xdr:row>5</xdr:row>
      <xdr:rowOff>200024</xdr:rowOff>
    </xdr:from>
    <xdr:to>
      <xdr:col>4</xdr:col>
      <xdr:colOff>371475</xdr:colOff>
      <xdr:row>39</xdr:row>
      <xdr:rowOff>21961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BFE6A2C-F6E6-460F-8345-FB13F1E6C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247774"/>
          <a:ext cx="4219575" cy="5983880"/>
        </a:xfrm>
        <a:prstGeom prst="rect">
          <a:avLst/>
        </a:prstGeom>
      </xdr:spPr>
    </xdr:pic>
    <xdr:clientData/>
  </xdr:twoCellAnchor>
  <xdr:twoCellAnchor editAs="oneCell">
    <xdr:from>
      <xdr:col>4</xdr:col>
      <xdr:colOff>590550</xdr:colOff>
      <xdr:row>5</xdr:row>
      <xdr:rowOff>207890</xdr:rowOff>
    </xdr:from>
    <xdr:to>
      <xdr:col>9</xdr:col>
      <xdr:colOff>314325</xdr:colOff>
      <xdr:row>39</xdr:row>
      <xdr:rowOff>18725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20532B3-1197-4DEA-80B8-AC395ACDE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72025" y="1255640"/>
          <a:ext cx="4257675" cy="5982303"/>
        </a:xfrm>
        <a:prstGeom prst="rect">
          <a:avLst/>
        </a:prstGeom>
      </xdr:spPr>
    </xdr:pic>
    <xdr:clientData/>
  </xdr:twoCellAnchor>
  <xdr:twoCellAnchor editAs="oneCell">
    <xdr:from>
      <xdr:col>9</xdr:col>
      <xdr:colOff>447674</xdr:colOff>
      <xdr:row>6</xdr:row>
      <xdr:rowOff>19050</xdr:rowOff>
    </xdr:from>
    <xdr:to>
      <xdr:col>14</xdr:col>
      <xdr:colOff>151112</xdr:colOff>
      <xdr:row>38</xdr:row>
      <xdr:rowOff>145072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C4AF797B-B43F-4302-A22C-A9DB925F1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049" y="1276350"/>
          <a:ext cx="4189713" cy="590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L14" sqref="L14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0" t="s">
        <v>6</v>
      </c>
      <c r="B2" s="120"/>
      <c r="C2" s="120"/>
      <c r="D2" s="120"/>
      <c r="E2" s="120"/>
      <c r="F2" s="120"/>
      <c r="G2" s="120"/>
      <c r="H2" s="2"/>
    </row>
    <row r="3" spans="1:9" ht="14.25" x14ac:dyDescent="0.2">
      <c r="A3" s="92"/>
      <c r="B3" s="92"/>
      <c r="C3" s="92"/>
      <c r="D3" s="92"/>
      <c r="E3" s="92"/>
      <c r="F3" s="92"/>
      <c r="G3" s="92"/>
      <c r="H3" s="92"/>
    </row>
    <row r="4" spans="1:9" ht="14.25" x14ac:dyDescent="0.2">
      <c r="A4" s="92"/>
      <c r="B4" s="92"/>
      <c r="C4" s="92"/>
      <c r="D4" s="92"/>
      <c r="E4" s="92"/>
      <c r="H4" s="92"/>
    </row>
    <row r="5" spans="1:9" ht="27" customHeight="1" x14ac:dyDescent="0.2">
      <c r="A5" s="93" t="s">
        <v>64</v>
      </c>
      <c r="B5" s="4"/>
      <c r="C5" s="5"/>
      <c r="D5" s="92"/>
      <c r="E5" s="92"/>
      <c r="F5" s="6" t="s">
        <v>38</v>
      </c>
      <c r="G5" s="7" t="s">
        <v>68</v>
      </c>
      <c r="H5" s="92"/>
    </row>
    <row r="6" spans="1:9" ht="27" customHeight="1" x14ac:dyDescent="0.2">
      <c r="A6" s="92"/>
      <c r="B6" s="92"/>
      <c r="C6" s="92"/>
      <c r="D6" s="92"/>
      <c r="E6" s="92"/>
      <c r="F6" s="8" t="s">
        <v>41</v>
      </c>
      <c r="G6" s="9" t="s">
        <v>69</v>
      </c>
      <c r="H6" s="92"/>
    </row>
    <row r="7" spans="1:9" ht="27" customHeight="1" x14ac:dyDescent="0.2">
      <c r="A7" s="123" t="s">
        <v>106</v>
      </c>
      <c r="B7" s="124"/>
      <c r="C7" s="125"/>
      <c r="D7" s="92"/>
      <c r="E7" s="10"/>
      <c r="F7" s="11" t="s">
        <v>42</v>
      </c>
      <c r="G7" s="9" t="s">
        <v>70</v>
      </c>
      <c r="H7" s="92"/>
    </row>
    <row r="8" spans="1:9" ht="27" customHeight="1" x14ac:dyDescent="0.2">
      <c r="A8" s="92"/>
      <c r="B8" s="92"/>
      <c r="C8" s="92"/>
      <c r="D8" s="92"/>
      <c r="E8" s="92"/>
      <c r="F8" s="8" t="s">
        <v>43</v>
      </c>
      <c r="G8" s="9" t="s">
        <v>71</v>
      </c>
      <c r="H8" s="92"/>
    </row>
    <row r="9" spans="1:9" ht="27" customHeight="1" x14ac:dyDescent="0.2">
      <c r="A9" s="123" t="s">
        <v>107</v>
      </c>
      <c r="B9" s="124"/>
      <c r="C9" s="125"/>
      <c r="D9" s="92"/>
      <c r="E9" s="92"/>
      <c r="F9" s="8" t="s">
        <v>44</v>
      </c>
      <c r="G9" s="9" t="s">
        <v>72</v>
      </c>
      <c r="H9" s="92"/>
    </row>
    <row r="10" spans="1:9" ht="27" customHeight="1" x14ac:dyDescent="0.2">
      <c r="A10" s="92"/>
      <c r="B10" s="92"/>
      <c r="C10" s="92"/>
      <c r="D10" s="92"/>
      <c r="E10" s="92"/>
      <c r="F10" s="12" t="s">
        <v>39</v>
      </c>
      <c r="G10" s="13" t="s">
        <v>73</v>
      </c>
      <c r="H10" s="92"/>
      <c r="I10" s="92"/>
    </row>
    <row r="11" spans="1:9" ht="27" customHeight="1" x14ac:dyDescent="0.2">
      <c r="A11" s="121"/>
      <c r="B11" s="122"/>
      <c r="C11" s="122"/>
      <c r="D11" s="92"/>
      <c r="E11" s="14"/>
      <c r="F11" s="15" t="s">
        <v>40</v>
      </c>
      <c r="G11" s="16" t="s">
        <v>74</v>
      </c>
      <c r="H11" s="14"/>
    </row>
    <row r="12" spans="1:9" ht="18.75" thickBot="1" x14ac:dyDescent="0.25">
      <c r="A12" s="17" t="s">
        <v>7</v>
      </c>
      <c r="B12" s="17" t="str">
        <f>NUMBERSTRING(F31,1)</f>
        <v>일백일십사만오천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92"/>
      <c r="B13" s="92"/>
      <c r="C13" s="92"/>
      <c r="D13" s="92"/>
      <c r="E13" s="92"/>
      <c r="F13" s="92"/>
      <c r="G13" s="92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'내역서(표준단가)'!O7</f>
        <v>850000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'내역서(표준단가)'!Q7</f>
        <v>219321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'내역서(표준단가)'!S7+'내역서(표준단가)'!U7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1069321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23</v>
      </c>
      <c r="C21" s="40" t="s">
        <v>24</v>
      </c>
      <c r="D21" s="30">
        <v>1</v>
      </c>
      <c r="E21" s="30" t="s">
        <v>25</v>
      </c>
      <c r="F21" s="43">
        <f>F17*4.5%</f>
        <v>9869.4449999999997</v>
      </c>
      <c r="G21" s="35" t="s">
        <v>26</v>
      </c>
    </row>
    <row r="22" spans="1:7" ht="33" customHeight="1" x14ac:dyDescent="0.2">
      <c r="A22" s="29"/>
      <c r="B22" s="44" t="s">
        <v>27</v>
      </c>
      <c r="C22" s="45" t="s">
        <v>65</v>
      </c>
      <c r="D22" s="46">
        <v>1</v>
      </c>
      <c r="E22" s="46" t="s">
        <v>25</v>
      </c>
      <c r="F22" s="47">
        <f>F17*3.545%</f>
        <v>7774.9294500000005</v>
      </c>
      <c r="G22" s="48" t="s">
        <v>28</v>
      </c>
    </row>
    <row r="23" spans="1:7" ht="33" customHeight="1" x14ac:dyDescent="0.2">
      <c r="A23" s="29"/>
      <c r="B23" s="42" t="s">
        <v>29</v>
      </c>
      <c r="C23" s="40" t="s">
        <v>66</v>
      </c>
      <c r="D23" s="30">
        <v>1</v>
      </c>
      <c r="E23" s="30" t="s">
        <v>25</v>
      </c>
      <c r="F23" s="43">
        <f>F22*12.95%</f>
        <v>1006.853363775</v>
      </c>
      <c r="G23" s="35" t="s">
        <v>28</v>
      </c>
    </row>
    <row r="24" spans="1:7" ht="33" customHeight="1" x14ac:dyDescent="0.2">
      <c r="A24" s="29"/>
      <c r="B24" s="42" t="s">
        <v>30</v>
      </c>
      <c r="C24" s="40" t="s">
        <v>46</v>
      </c>
      <c r="D24" s="30">
        <v>1</v>
      </c>
      <c r="E24" s="30" t="s">
        <v>25</v>
      </c>
      <c r="F24" s="43">
        <f>F17*1.01%</f>
        <v>2215.1421</v>
      </c>
      <c r="G24" s="35" t="s">
        <v>28</v>
      </c>
    </row>
    <row r="25" spans="1:7" ht="33" customHeight="1" x14ac:dyDescent="0.2">
      <c r="A25" s="29"/>
      <c r="B25" s="42" t="s">
        <v>31</v>
      </c>
      <c r="C25" s="40" t="s">
        <v>67</v>
      </c>
      <c r="D25" s="30">
        <v>1</v>
      </c>
      <c r="E25" s="30" t="s">
        <v>25</v>
      </c>
      <c r="F25" s="43">
        <f>F17*3.56%</f>
        <v>7807.8275999999996</v>
      </c>
      <c r="G25" s="35" t="s">
        <v>28</v>
      </c>
    </row>
    <row r="26" spans="1:7" ht="33" customHeight="1" x14ac:dyDescent="0.2">
      <c r="A26" s="29"/>
      <c r="B26" s="42" t="s">
        <v>32</v>
      </c>
      <c r="C26" s="49" t="s">
        <v>105</v>
      </c>
      <c r="D26" s="30">
        <v>1</v>
      </c>
      <c r="E26" s="30" t="s">
        <v>25</v>
      </c>
      <c r="F26" s="43">
        <f>(F16+F17)*3.11%</f>
        <v>33255.883099999999</v>
      </c>
      <c r="G26" s="35" t="s">
        <v>26</v>
      </c>
    </row>
    <row r="27" spans="1:7" ht="33" customHeight="1" x14ac:dyDescent="0.2">
      <c r="A27" s="29"/>
      <c r="B27" s="42" t="s">
        <v>36</v>
      </c>
      <c r="C27" s="49" t="s">
        <v>37</v>
      </c>
      <c r="D27" s="30">
        <v>1</v>
      </c>
      <c r="E27" s="30" t="s">
        <v>25</v>
      </c>
      <c r="F27" s="43">
        <f>SUM(F17+F21+F22+F23+F24+F25+F26)*5%</f>
        <v>14062.554030688751</v>
      </c>
      <c r="G27" s="35"/>
    </row>
    <row r="28" spans="1:7" ht="33" customHeight="1" x14ac:dyDescent="0.2">
      <c r="A28" s="29"/>
      <c r="B28" s="36" t="s">
        <v>33</v>
      </c>
      <c r="C28" s="50"/>
      <c r="D28" s="51"/>
      <c r="E28" s="37"/>
      <c r="F28" s="52">
        <f>F21+F22+F23+F24+F25+F26+F27</f>
        <v>75992.63464446376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1145313.6346444637</v>
      </c>
      <c r="G30" s="35"/>
    </row>
    <row r="31" spans="1:7" ht="33" customHeight="1" x14ac:dyDescent="0.2">
      <c r="A31" s="29"/>
      <c r="B31" s="36" t="s">
        <v>34</v>
      </c>
      <c r="C31" s="36"/>
      <c r="D31" s="37"/>
      <c r="E31" s="37"/>
      <c r="F31" s="58">
        <f>ROUNDDOWN(F30,-3)</f>
        <v>1145000</v>
      </c>
      <c r="G31" s="35"/>
    </row>
    <row r="32" spans="1:7" ht="33" customHeight="1" thickBot="1" x14ac:dyDescent="0.25">
      <c r="A32" s="59"/>
      <c r="B32" s="60" t="s">
        <v>35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116" bestFit="1" customWidth="1"/>
    <col min="2" max="5" width="18.5" style="116" hidden="1" customWidth="1"/>
    <col min="6" max="6" width="20.625" style="66" hidden="1" customWidth="1"/>
    <col min="7" max="7" width="15.125" style="66" hidden="1" customWidth="1"/>
    <col min="8" max="8" width="14.625" style="66" hidden="1" customWidth="1"/>
    <col min="9" max="9" width="13.875" style="66" hidden="1" customWidth="1"/>
    <col min="10" max="11" width="30.625" style="106" customWidth="1"/>
    <col min="12" max="12" width="5" style="66" bestFit="1" customWidth="1"/>
    <col min="13" max="13" width="6.5" style="66" bestFit="1" customWidth="1"/>
    <col min="14" max="14" width="10.25" style="66" bestFit="1" customWidth="1"/>
    <col min="15" max="15" width="12.5" style="66" bestFit="1" customWidth="1"/>
    <col min="16" max="16" width="8.25" style="66" customWidth="1"/>
    <col min="17" max="17" width="12.5" style="66" bestFit="1" customWidth="1"/>
    <col min="18" max="18" width="6.375" style="66" customWidth="1"/>
    <col min="19" max="19" width="8.25" style="66" bestFit="1" customWidth="1"/>
    <col min="20" max="20" width="6.375" style="66" customWidth="1"/>
    <col min="21" max="21" width="8.25" style="66" bestFit="1" customWidth="1"/>
    <col min="22" max="22" width="14.5" style="66" bestFit="1" customWidth="1"/>
    <col min="23" max="23" width="10.625" style="67" bestFit="1" customWidth="1"/>
    <col min="24" max="24" width="8.5" style="66" bestFit="1" customWidth="1"/>
    <col min="25" max="16384" width="9" style="66"/>
  </cols>
  <sheetData>
    <row r="1" spans="1:24" ht="19.899999999999999" customHeight="1" x14ac:dyDescent="0.3">
      <c r="A1" s="126"/>
      <c r="B1" s="126"/>
      <c r="C1" s="126"/>
      <c r="D1" s="126"/>
      <c r="E1" s="126"/>
      <c r="F1" s="126"/>
      <c r="G1" s="126"/>
      <c r="H1" s="126"/>
      <c r="I1" s="126"/>
      <c r="N1" s="67"/>
      <c r="O1" s="109" t="s">
        <v>80</v>
      </c>
      <c r="Q1" s="109" t="s">
        <v>80</v>
      </c>
      <c r="S1" s="109" t="s">
        <v>80</v>
      </c>
      <c r="U1" s="109" t="s">
        <v>80</v>
      </c>
    </row>
    <row r="2" spans="1:24" ht="19.899999999999999" customHeight="1" thickBot="1" x14ac:dyDescent="0.35">
      <c r="A2" s="126"/>
      <c r="B2" s="126"/>
      <c r="C2" s="126"/>
      <c r="D2" s="126"/>
      <c r="E2" s="126"/>
      <c r="F2" s="126"/>
      <c r="G2" s="126"/>
      <c r="H2" s="126"/>
      <c r="I2" s="126"/>
      <c r="N2" s="68"/>
      <c r="O2" s="69">
        <v>0.83499999999999996</v>
      </c>
      <c r="Q2" s="69">
        <v>0.83499999999999996</v>
      </c>
      <c r="S2" s="69">
        <v>0.83499999999999996</v>
      </c>
      <c r="U2" s="69">
        <v>0.83499999999999996</v>
      </c>
    </row>
    <row r="3" spans="1:24" ht="19.899999999999999" customHeight="1" x14ac:dyDescent="0.3">
      <c r="A3" s="110"/>
      <c r="B3" s="110"/>
      <c r="C3" s="110"/>
      <c r="D3" s="110"/>
      <c r="E3" s="110"/>
      <c r="F3" s="110" t="s">
        <v>81</v>
      </c>
      <c r="G3" s="111"/>
      <c r="H3" s="111"/>
      <c r="I3" s="111"/>
      <c r="J3" s="137" t="s">
        <v>82</v>
      </c>
      <c r="K3" s="137"/>
      <c r="L3" s="135" t="s">
        <v>51</v>
      </c>
      <c r="M3" s="135" t="s">
        <v>5</v>
      </c>
      <c r="N3" s="131" t="s">
        <v>83</v>
      </c>
      <c r="O3" s="131"/>
      <c r="P3" s="131" t="s">
        <v>84</v>
      </c>
      <c r="Q3" s="131"/>
      <c r="R3" s="132" t="s">
        <v>85</v>
      </c>
      <c r="S3" s="132"/>
      <c r="T3" s="132" t="s">
        <v>86</v>
      </c>
      <c r="U3" s="132"/>
      <c r="V3" s="133" t="s">
        <v>87</v>
      </c>
      <c r="W3" s="129" t="s">
        <v>88</v>
      </c>
      <c r="X3" s="127" t="s">
        <v>45</v>
      </c>
    </row>
    <row r="4" spans="1:24" ht="19.899999999999999" customHeight="1" x14ac:dyDescent="0.3">
      <c r="A4" s="70" t="s">
        <v>89</v>
      </c>
      <c r="B4" s="71"/>
      <c r="C4" s="71"/>
      <c r="D4" s="71"/>
      <c r="E4" s="71"/>
      <c r="F4" s="72" t="s">
        <v>90</v>
      </c>
      <c r="G4" s="72" t="s">
        <v>91</v>
      </c>
      <c r="H4" s="72" t="s">
        <v>92</v>
      </c>
      <c r="I4" s="72" t="s">
        <v>93</v>
      </c>
      <c r="J4" s="107" t="s">
        <v>94</v>
      </c>
      <c r="K4" s="107" t="s">
        <v>95</v>
      </c>
      <c r="L4" s="136"/>
      <c r="M4" s="136"/>
      <c r="N4" s="73" t="s">
        <v>96</v>
      </c>
      <c r="O4" s="74" t="s">
        <v>97</v>
      </c>
      <c r="P4" s="73" t="s">
        <v>98</v>
      </c>
      <c r="Q4" s="74" t="s">
        <v>97</v>
      </c>
      <c r="R4" s="74" t="s">
        <v>99</v>
      </c>
      <c r="S4" s="74" t="s">
        <v>97</v>
      </c>
      <c r="T4" s="74" t="s">
        <v>99</v>
      </c>
      <c r="U4" s="74" t="s">
        <v>97</v>
      </c>
      <c r="V4" s="134"/>
      <c r="W4" s="130"/>
      <c r="X4" s="128"/>
    </row>
    <row r="5" spans="1:24" s="112" customFormat="1" ht="38.1" customHeight="1" x14ac:dyDescent="0.3">
      <c r="A5" s="75" t="str">
        <f t="shared" ref="A5" si="0">F5&amp;G5&amp;H5&amp;I5</f>
        <v>L003</v>
      </c>
      <c r="B5" s="76"/>
      <c r="C5" s="76"/>
      <c r="D5" s="76"/>
      <c r="E5" s="76"/>
      <c r="F5" s="77"/>
      <c r="G5" s="81"/>
      <c r="H5" s="91"/>
      <c r="I5" s="96" t="s">
        <v>101</v>
      </c>
      <c r="J5" s="94" t="s">
        <v>102</v>
      </c>
      <c r="K5" s="95" t="s">
        <v>103</v>
      </c>
      <c r="L5" s="78" t="s">
        <v>104</v>
      </c>
      <c r="M5" s="105">
        <v>1</v>
      </c>
      <c r="N5" s="102"/>
      <c r="O5" s="103">
        <f>M5*N5</f>
        <v>0</v>
      </c>
      <c r="P5" s="101">
        <v>219321</v>
      </c>
      <c r="Q5" s="103">
        <f>M5*P5</f>
        <v>219321</v>
      </c>
      <c r="R5" s="104"/>
      <c r="S5" s="103">
        <f t="shared" ref="S5" si="1">R5*M5*$S$2</f>
        <v>0</v>
      </c>
      <c r="T5" s="104"/>
      <c r="U5" s="103">
        <f t="shared" ref="U5" si="2">T5*M5*$U$2</f>
        <v>0</v>
      </c>
      <c r="V5" s="79">
        <f t="shared" ref="V5" si="3">SUM(O5+Q5)+S5+U5</f>
        <v>219321</v>
      </c>
      <c r="W5" s="82"/>
      <c r="X5" s="80"/>
    </row>
    <row r="6" spans="1:24" s="112" customFormat="1" ht="38.1" customHeight="1" x14ac:dyDescent="0.3">
      <c r="A6" s="75"/>
      <c r="B6" s="76"/>
      <c r="C6" s="76"/>
      <c r="D6" s="76"/>
      <c r="E6" s="76"/>
      <c r="F6" s="77"/>
      <c r="G6" s="81"/>
      <c r="H6" s="81"/>
      <c r="I6" s="77"/>
      <c r="J6" s="95" t="s">
        <v>100</v>
      </c>
      <c r="K6" s="95" t="s">
        <v>75</v>
      </c>
      <c r="L6" s="78" t="s">
        <v>76</v>
      </c>
      <c r="M6" s="105">
        <v>1</v>
      </c>
      <c r="N6" s="102">
        <v>850000</v>
      </c>
      <c r="O6" s="103">
        <f>M6*N6</f>
        <v>850000</v>
      </c>
      <c r="P6" s="101"/>
      <c r="Q6" s="103">
        <f t="shared" ref="Q6" si="4">(P6*M6)*$Q$2</f>
        <v>0</v>
      </c>
      <c r="R6" s="104"/>
      <c r="S6" s="103">
        <f t="shared" ref="S6" si="5">R6*M6*$S$2</f>
        <v>0</v>
      </c>
      <c r="T6" s="104"/>
      <c r="U6" s="103">
        <f t="shared" ref="U6" si="6">T6*M6*$U$2</f>
        <v>0</v>
      </c>
      <c r="V6" s="79">
        <f t="shared" ref="V6" si="7">SUM(O6+Q6)+S6+U6</f>
        <v>850000</v>
      </c>
      <c r="W6" s="82"/>
      <c r="X6" s="80"/>
    </row>
    <row r="7" spans="1:24" s="114" customFormat="1" ht="38.1" customHeight="1" x14ac:dyDescent="0.3">
      <c r="A7" s="113"/>
      <c r="B7" s="113"/>
      <c r="C7" s="113"/>
      <c r="D7" s="113"/>
      <c r="E7" s="113"/>
      <c r="J7" s="108"/>
      <c r="K7" s="108"/>
      <c r="O7" s="118">
        <f>SUM(O5:O6)</f>
        <v>850000</v>
      </c>
      <c r="Q7" s="118">
        <f>SUM(Q5:Q6)</f>
        <v>219321</v>
      </c>
      <c r="S7" s="115">
        <f>SUM(S5:S6)</f>
        <v>0</v>
      </c>
      <c r="U7" s="115">
        <f>SUM(U5:U6)</f>
        <v>0</v>
      </c>
      <c r="V7" s="119">
        <f>SUM(V5:V6)</f>
        <v>1069321</v>
      </c>
      <c r="W7" s="83"/>
    </row>
    <row r="11" spans="1:24" ht="38.1" customHeight="1" x14ac:dyDescent="0.3">
      <c r="Q11" s="11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="130" zoomScaleNormal="130" zoomScaleSheetLayoutView="85" workbookViewId="0">
      <selection activeCell="P28" sqref="P28"/>
    </sheetView>
  </sheetViews>
  <sheetFormatPr defaultColWidth="9" defaultRowHeight="14.25" x14ac:dyDescent="0.3"/>
  <cols>
    <col min="1" max="1" width="11.5" style="97" bestFit="1" customWidth="1"/>
    <col min="2" max="2" width="17.875" style="97" customWidth="1"/>
    <col min="3" max="3" width="14.625" style="97" customWidth="1"/>
    <col min="4" max="4" width="10.875" style="97" customWidth="1"/>
    <col min="5" max="5" width="12" style="97" customWidth="1"/>
    <col min="6" max="6" width="10.625" style="97" customWidth="1"/>
    <col min="7" max="7" width="13.625" style="98" customWidth="1"/>
    <col min="8" max="8" width="9.625" style="97" customWidth="1"/>
    <col min="9" max="9" width="13.625" style="97" customWidth="1"/>
    <col min="10" max="10" width="12.75" style="97" customWidth="1"/>
    <col min="11" max="11" width="9.25" style="97" customWidth="1"/>
    <col min="12" max="12" width="13.625" style="98" customWidth="1"/>
    <col min="13" max="13" width="9.625" style="97" customWidth="1"/>
    <col min="14" max="14" width="13.625" style="98" customWidth="1"/>
    <col min="15" max="15" width="19.75" style="99" bestFit="1" customWidth="1"/>
    <col min="16" max="16" width="12.25" style="99" bestFit="1" customWidth="1"/>
    <col min="17" max="16384" width="9" style="9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G17" sqref="G17"/>
    </sheetView>
  </sheetViews>
  <sheetFormatPr defaultColWidth="9" defaultRowHeight="14.25" x14ac:dyDescent="0.3"/>
  <cols>
    <col min="1" max="1" width="11.125" style="100" customWidth="1"/>
    <col min="2" max="2" width="13.375" style="100" customWidth="1"/>
    <col min="3" max="3" width="38.75" style="100" customWidth="1"/>
    <col min="4" max="4" width="28.75" style="100" customWidth="1"/>
    <col min="5" max="5" width="5" style="100" customWidth="1"/>
    <col min="6" max="6" width="6.25" style="100" customWidth="1"/>
    <col min="7" max="7" width="10" style="100" customWidth="1"/>
    <col min="8" max="8" width="11.875" style="100" customWidth="1"/>
    <col min="9" max="9" width="10" style="100" customWidth="1"/>
    <col min="10" max="10" width="11.875" style="100" customWidth="1"/>
    <col min="11" max="11" width="10" style="100" customWidth="1"/>
    <col min="12" max="12" width="11.875" style="100" customWidth="1"/>
    <col min="13" max="13" width="10" style="100" customWidth="1"/>
    <col min="14" max="14" width="11.875" style="100" customWidth="1"/>
    <col min="15" max="15" width="9.125" style="100" customWidth="1"/>
    <col min="16" max="16" width="11.5" style="100" customWidth="1"/>
    <col min="17" max="17" width="11.75" style="100" customWidth="1"/>
    <col min="18" max="18" width="17.875" style="100" customWidth="1"/>
    <col min="19" max="16384" width="9" style="100"/>
  </cols>
  <sheetData>
    <row r="1" spans="1:18" ht="18" customHeight="1" x14ac:dyDescent="0.3">
      <c r="A1" s="84" t="s">
        <v>47</v>
      </c>
      <c r="B1" s="85" t="s">
        <v>48</v>
      </c>
      <c r="C1" s="86" t="s">
        <v>49</v>
      </c>
      <c r="D1" s="86" t="s">
        <v>50</v>
      </c>
      <c r="E1" s="86" t="s">
        <v>51</v>
      </c>
      <c r="F1" s="86" t="s">
        <v>5</v>
      </c>
      <c r="G1" s="85" t="s">
        <v>52</v>
      </c>
      <c r="H1" s="85" t="s">
        <v>53</v>
      </c>
      <c r="I1" s="85" t="s">
        <v>54</v>
      </c>
      <c r="J1" s="85" t="s">
        <v>55</v>
      </c>
      <c r="K1" s="85" t="s">
        <v>56</v>
      </c>
      <c r="L1" s="85" t="s">
        <v>57</v>
      </c>
      <c r="M1" s="85" t="s">
        <v>58</v>
      </c>
      <c r="N1" s="85" t="s">
        <v>59</v>
      </c>
      <c r="O1" s="85" t="s">
        <v>60</v>
      </c>
      <c r="P1" s="85" t="s">
        <v>61</v>
      </c>
      <c r="Q1" s="85" t="s">
        <v>62</v>
      </c>
      <c r="R1" s="85" t="s">
        <v>63</v>
      </c>
    </row>
    <row r="2" spans="1:18" x14ac:dyDescent="0.3">
      <c r="A2" s="67">
        <v>999999</v>
      </c>
      <c r="B2" s="67" t="s">
        <v>77</v>
      </c>
      <c r="C2" s="67" t="s">
        <v>100</v>
      </c>
      <c r="D2" s="67" t="s">
        <v>78</v>
      </c>
      <c r="E2" s="67" t="s">
        <v>79</v>
      </c>
      <c r="F2" s="87">
        <v>1</v>
      </c>
      <c r="G2" s="90">
        <v>850000</v>
      </c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A2" sqref="A2"/>
    </sheetView>
  </sheetViews>
  <sheetFormatPr defaultColWidth="9" defaultRowHeight="14.25" x14ac:dyDescent="0.3"/>
  <cols>
    <col min="1" max="1" width="25.125" style="65" customWidth="1"/>
    <col min="2" max="2" width="16.25" style="65" customWidth="1"/>
    <col min="3" max="3" width="22.375" style="65" customWidth="1"/>
    <col min="4" max="4" width="24.125" style="65" customWidth="1"/>
    <col min="5" max="5" width="13" style="65" customWidth="1"/>
    <col min="6" max="6" width="7.5" style="65" customWidth="1"/>
    <col min="7" max="16384" width="9" style="100"/>
  </cols>
  <sheetData>
    <row r="1" spans="1:7" ht="18" customHeight="1" x14ac:dyDescent="0.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66"/>
    </row>
    <row r="2" spans="1:7" x14ac:dyDescent="0.3">
      <c r="A2" s="88" t="str">
        <f>'내역서(표준단가)'!A5</f>
        <v>L003</v>
      </c>
      <c r="B2" s="89">
        <f>'내역서(표준단가)'!F5</f>
        <v>0</v>
      </c>
      <c r="C2" s="89">
        <f>'내역서(표준단가)'!G5</f>
        <v>0</v>
      </c>
      <c r="D2" s="89">
        <f>'내역서(표준단가)'!H5</f>
        <v>0</v>
      </c>
      <c r="E2" s="89" t="str">
        <f>'내역서(표준단가)'!I5</f>
        <v>L003</v>
      </c>
      <c r="F2" s="89">
        <f>'내역서(표준단가)'!M5</f>
        <v>1</v>
      </c>
      <c r="G2" s="66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2025-06-30T21:28:28Z</dcterms:modified>
</cp:coreProperties>
</file>
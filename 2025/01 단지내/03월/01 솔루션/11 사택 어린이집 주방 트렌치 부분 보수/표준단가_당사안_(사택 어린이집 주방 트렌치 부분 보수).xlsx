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220\06 작업폴더\01 사택 어린이집 주방 트렌치 부분 보수\"/>
    </mc:Choice>
  </mc:AlternateContent>
  <xr:revisionPtr revIDLastSave="0" documentId="13_ncr:1_{23A3146A-791D-4BE3-A3D8-AF17C3048779}" xr6:coauthVersionLast="47" xr6:coauthVersionMax="47" xr10:uidLastSave="{00000000-0000-0000-0000-000000000000}"/>
  <bookViews>
    <workbookView xWindow="-60" yWindow="-60" windowWidth="28920" windowHeight="15600" activeTab="1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U6" i="4" l="1"/>
  <c r="S6" i="4"/>
  <c r="Q6" i="4"/>
  <c r="O6" i="4"/>
  <c r="A6" i="4"/>
  <c r="A3" i="1" s="1"/>
  <c r="U7" i="4"/>
  <c r="S7" i="4"/>
  <c r="Q7" i="4"/>
  <c r="O7" i="4"/>
  <c r="A7" i="4"/>
  <c r="V6" i="4" l="1"/>
  <c r="V7" i="4"/>
  <c r="F2" i="1" l="1"/>
  <c r="E2" i="1"/>
  <c r="D2" i="1"/>
  <c r="C2" i="1"/>
  <c r="B2" i="1"/>
  <c r="A5" i="4"/>
  <c r="A2" i="1" s="1"/>
  <c r="U5" i="4"/>
  <c r="S5" i="4"/>
  <c r="Q5" i="4"/>
  <c r="O5" i="4"/>
  <c r="V5" i="4" l="1"/>
  <c r="U8" i="4" l="1"/>
  <c r="Q8" i="4"/>
  <c r="S8" i="4" l="1"/>
  <c r="V8" i="4" l="1"/>
  <c r="F18" i="5" l="1"/>
  <c r="O8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<sst xmlns="http://schemas.openxmlformats.org/spreadsheetml/2006/main" count="109" uniqueCount="90">
  <si>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</si>
  <si>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</si>
  <si>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</si>
  <si>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</si>
  <si>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</si>
  <si>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</si>
  <si>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</si>
  <si>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</si>
  <si>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17" type="noConversion"/>
  </si>
  <si>
    <t xml:space="preserve">  </t>
  </si>
  <si>
    <t>NO</t>
  </si>
  <si>
    <t>품명</t>
    <phoneticPr fontId="17" type="noConversion"/>
  </si>
  <si>
    <t>규격</t>
    <phoneticPr fontId="17" type="noConversion"/>
  </si>
  <si>
    <t>수량</t>
    <phoneticPr fontId="17" type="noConversion"/>
  </si>
  <si>
    <t>단위</t>
    <phoneticPr fontId="17" type="noConversion"/>
  </si>
  <si>
    <t>금액</t>
    <phoneticPr fontId="17" type="noConversion"/>
  </si>
  <si>
    <t>비고</t>
    <phoneticPr fontId="17" type="noConversion"/>
  </si>
  <si>
    <t>직접비</t>
    <phoneticPr fontId="15" type="noConversion"/>
  </si>
  <si>
    <t>재료비</t>
    <phoneticPr fontId="15" type="noConversion"/>
  </si>
  <si>
    <t>노무비</t>
    <phoneticPr fontId="17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</si>
  <si>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</si>
  <si>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</si>
  <si>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</si>
  <si>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17" type="noConversion"/>
  </si>
  <si>
    <t> 노무비*4.5%</t>
    <phoneticPr fontId="17" type="noConversion"/>
  </si>
  <si>
    <t>식</t>
    <phoneticPr fontId="17" type="noConversion"/>
  </si>
  <si>
    <t>모든공사에 적용</t>
    <phoneticPr fontId="17" type="noConversion"/>
  </si>
  <si>
    <t>  건강보험료</t>
    <phoneticPr fontId="17" type="noConversion"/>
  </si>
  <si>
    <t>모든공사에 적용</t>
    <phoneticPr fontId="17" type="noConversion"/>
  </si>
  <si>
    <t>  장기요양보험료</t>
    <phoneticPr fontId="17" type="noConversion"/>
  </si>
  <si>
    <t>  고용보험료</t>
    <phoneticPr fontId="17" type="noConversion"/>
  </si>
  <si>
    <t>  산재보험료</t>
    <phoneticPr fontId="17" type="noConversion"/>
  </si>
  <si>
    <t xml:space="preserve">  산업안전보건관리비</t>
    <phoneticPr fontId="17" type="noConversion"/>
  </si>
  <si>
    <t>소계</t>
    <phoneticPr fontId="15" type="noConversion"/>
  </si>
  <si>
    <t>합계(단수조정)</t>
    <phoneticPr fontId="15" type="noConversion"/>
  </si>
  <si>
    <t>VAT별도</t>
    <phoneticPr fontId="17" type="noConversion"/>
  </si>
  <si>
    <t>일반관리비/이윤</t>
    <phoneticPr fontId="17" type="noConversion"/>
  </si>
  <si>
    <t> (노무비+간접공사비)*5%</t>
    <phoneticPr fontId="17" type="noConversion"/>
  </si>
  <si>
    <t>등록번호</t>
    <phoneticPr fontId="11" type="noConversion"/>
  </si>
  <si>
    <t>종 목</t>
    <phoneticPr fontId="11" type="noConversion"/>
  </si>
  <si>
    <t>TEL, FAX</t>
    <phoneticPr fontId="11" type="noConversion"/>
  </si>
  <si>
    <t>상 호</t>
    <phoneticPr fontId="11" type="noConversion"/>
  </si>
  <si>
    <t>대표 이사</t>
    <phoneticPr fontId="11" type="noConversion"/>
  </si>
  <si>
    <t>사업장</t>
    <phoneticPr fontId="11" type="noConversion"/>
  </si>
  <si>
    <t>업 태</t>
    <phoneticPr fontId="11" type="noConversion"/>
  </si>
  <si>
    <t>할증기준</t>
    <phoneticPr fontId="9" type="noConversion"/>
  </si>
  <si>
    <t> 노무비*1.01%</t>
    <phoneticPr fontId="17" type="noConversion"/>
  </si>
  <si>
    <t xml:space="preserve"> 수신인 : 주식회사 에스엔아이 코퍼레이션</t>
    <phoneticPr fontId="15" type="noConversion"/>
  </si>
  <si>
    <t> 노무비*3.545%</t>
    <phoneticPr fontId="17" type="noConversion"/>
  </si>
  <si>
    <t> 건강보험료*12.95%</t>
    <phoneticPr fontId="17" type="noConversion"/>
  </si>
  <si>
    <t> 노무비*3.56%</t>
    <phoneticPr fontId="17" type="noConversion"/>
  </si>
  <si>
    <t>314-86-35718</t>
    <phoneticPr fontId="9" type="noConversion"/>
  </si>
  <si>
    <t>㈜일성건축</t>
    <phoneticPr fontId="9" type="noConversion"/>
  </si>
  <si>
    <t>상 석 희</t>
    <phoneticPr fontId="9" type="noConversion"/>
  </si>
  <si>
    <t>대전 서구 도마6길 107 (도마동)</t>
    <phoneticPr fontId="9" type="noConversion"/>
  </si>
  <si>
    <t>건설업</t>
    <phoneticPr fontId="9" type="noConversion"/>
  </si>
  <si>
    <t>실내건축,인테리어공사</t>
    <phoneticPr fontId="9" type="noConversion"/>
  </si>
  <si>
    <t>042)527-0995, 042)527-0996</t>
    <phoneticPr fontId="9" type="noConversion"/>
  </si>
  <si>
    <t>인</t>
    <phoneticPr fontId="9" type="noConversion"/>
  </si>
  <si>
    <t>시중노임단가</t>
    <phoneticPr fontId="9" type="noConversion"/>
  </si>
  <si>
    <t>L003</t>
  </si>
  <si>
    <t>특별인부</t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</si>
  <si>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</si>
  <si>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</si>
  <si>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</si>
  <si>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단위</t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</si>
  <si>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</si>
  <si>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</si>
  <si>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</si>
  <si>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</si>
  <si>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</si>
  <si>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</si>
  <si>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</si>
  <si>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</si>
  <si>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</si>
  <si>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</si>
  <si>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</si>
  <si>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</si>
  <si>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</si>
  <si>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</si>
  <si>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</si>
  <si>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</si>
  <si>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</si>
  <si>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건축물보양</t>
  </si>
  <si>
    <t>보양지 붙이기</t>
  </si>
  <si>
    <t> (재료비+노무비)*3.11%</t>
    <phoneticPr fontId="17" type="noConversion"/>
  </si>
  <si>
    <t xml:space="preserve"> 공사명 : 어린이집 주방 트렌치 메지보수</t>
    <phoneticPr fontId="15" type="noConversion"/>
  </si>
  <si>
    <t xml:space="preserve"> 견적일 : 2025년  02월  19일</t>
    <phoneticPr fontId="15" type="noConversion"/>
  </si>
  <si>
    <t>M010550710050102</t>
  </si>
  <si>
    <t>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</si>
</sst>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_(* #,##0.0_);_(* \(#,##0.0\);_(* &quot;-&quot;_);_(@_)"/>
    <numFmt numFmtId="185" formatCode="#,##0_ "/>
  </numFmts>
  <fonts count="3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b/>
      <sz val="10"/>
      <color theme="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indexed="8"/>
      <name val="맑은 고딕"/>
      <family val="2"/>
      <scheme val="minor"/>
    </font>
    <font>
      <sz val="10"/>
      <color theme="1"/>
      <name val="돋움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8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8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8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1" fillId="0" borderId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16" fillId="0" borderId="7" xfId="6" applyFont="1" applyBorder="1" applyAlignment="1">
      <alignment horizontal="right" vertical="center"/>
    </xf>
    <xf numFmtId="0" fontId="22" fillId="0" borderId="0" xfId="6" applyFont="1" applyAlignment="1">
      <alignment vertical="center"/>
    </xf>
    <xf numFmtId="0" fontId="23" fillId="0" borderId="0" xfId="3" applyFont="1"/>
    <xf numFmtId="0" fontId="24" fillId="0" borderId="0" xfId="3" applyFont="1"/>
    <xf numFmtId="0" fontId="25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0" fontId="25" fillId="0" borderId="5" xfId="6" applyFont="1" applyBorder="1" applyAlignment="1">
      <alignment horizontal="center" vertical="center"/>
    </xf>
    <xf numFmtId="0" fontId="16" fillId="0" borderId="6" xfId="6" applyFont="1" applyBorder="1" applyAlignment="1">
      <alignment horizontal="right" vertical="center"/>
    </xf>
    <xf numFmtId="0" fontId="16" fillId="5" borderId="25" xfId="6" applyFont="1" applyFill="1" applyBorder="1" applyAlignment="1">
      <alignment horizontal="center" vertical="center"/>
    </xf>
    <xf numFmtId="0" fontId="16" fillId="5" borderId="26" xfId="6" applyFont="1" applyFill="1" applyBorder="1" applyAlignment="1">
      <alignment vertical="center" shrinkToFit="1"/>
    </xf>
    <xf numFmtId="0" fontId="16" fillId="5" borderId="2" xfId="6" applyFont="1" applyFill="1" applyBorder="1" applyAlignment="1">
      <alignment horizontal="center" vertical="center"/>
    </xf>
    <xf numFmtId="0" fontId="16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6" fillId="0" borderId="28" xfId="6" applyFont="1" applyBorder="1" applyAlignment="1">
      <alignment horizontal="center" vertical="center" shrinkToFit="1"/>
    </xf>
    <xf numFmtId="0" fontId="16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6" fillId="0" borderId="8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/>
    </xf>
    <xf numFmtId="0" fontId="16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6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6" fillId="8" borderId="15" xfId="6" applyFont="1" applyFill="1" applyBorder="1" applyAlignment="1">
      <alignment vertical="center"/>
    </xf>
    <xf numFmtId="1" fontId="16" fillId="8" borderId="15" xfId="6" applyNumberFormat="1" applyFont="1" applyFill="1" applyBorder="1" applyAlignment="1">
      <alignment horizontal="center" vertical="center"/>
    </xf>
    <xf numFmtId="180" fontId="16" fillId="8" borderId="15" xfId="7" applyFont="1" applyFill="1" applyBorder="1" applyAlignment="1">
      <alignment horizontal="right" vertical="center"/>
    </xf>
    <xf numFmtId="0" fontId="16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6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6" fillId="8" borderId="15" xfId="3" applyNumberFormat="1" applyFont="1" applyFill="1" applyBorder="1" applyAlignment="1">
      <alignment horizontal="right" vertical="center"/>
    </xf>
    <xf numFmtId="1" fontId="16" fillId="8" borderId="15" xfId="9" applyNumberFormat="1" applyFont="1" applyFill="1" applyBorder="1" applyAlignment="1">
      <alignment horizontal="center" vertical="center"/>
    </xf>
    <xf numFmtId="177" fontId="16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6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6" fillId="8" borderId="0" xfId="3" applyNumberFormat="1" applyFont="1" applyFill="1" applyAlignment="1">
      <alignment vertical="center"/>
    </xf>
    <xf numFmtId="0" fontId="16" fillId="0" borderId="17" xfId="6" applyFont="1" applyBorder="1" applyAlignment="1">
      <alignment horizontal="center" vertical="center" textRotation="255"/>
    </xf>
    <xf numFmtId="0" fontId="16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6" fillId="0" borderId="0" xfId="10" applyFont="1"/>
    <xf numFmtId="0" fontId="29" fillId="0" borderId="0" xfId="0" applyFont="1">
      <alignment vertical="center"/>
    </xf>
    <xf numFmtId="181" fontId="25" fillId="0" borderId="0" xfId="1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30" fillId="9" borderId="24" xfId="0" applyFont="1" applyFill="1" applyBorder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49" fontId="23" fillId="7" borderId="3" xfId="0" applyNumberFormat="1" applyFont="1" applyFill="1" applyBorder="1" applyAlignment="1">
      <alignment horizontal="center" vertical="center" wrapText="1"/>
    </xf>
    <xf numFmtId="49" fontId="28" fillId="7" borderId="3" xfId="0" applyNumberFormat="1" applyFont="1" applyFill="1" applyBorder="1" applyAlignment="1">
      <alignment horizontal="center" vertical="center" wrapText="1"/>
    </xf>
    <xf numFmtId="49" fontId="23" fillId="5" borderId="3" xfId="0" applyNumberFormat="1" applyFont="1" applyFill="1" applyBorder="1" applyAlignment="1">
      <alignment horizontal="center" vertical="center" wrapText="1"/>
    </xf>
    <xf numFmtId="177" fontId="23" fillId="5" borderId="3" xfId="1" applyFont="1" applyFill="1" applyBorder="1" applyAlignment="1">
      <alignment horizontal="center" vertical="center"/>
    </xf>
    <xf numFmtId="184" fontId="23" fillId="5" borderId="3" xfId="1" applyNumberFormat="1" applyFont="1" applyFill="1" applyBorder="1" applyAlignment="1">
      <alignment horizontal="center" vertical="center"/>
    </xf>
    <xf numFmtId="177" fontId="23" fillId="6" borderId="3" xfId="1" applyFont="1" applyFill="1" applyBorder="1" applyAlignment="1">
      <alignment horizontal="center" vertical="center" wrapText="1"/>
    </xf>
    <xf numFmtId="177" fontId="23" fillId="0" borderId="3" xfId="1" applyFont="1" applyFill="1" applyBorder="1" applyAlignment="1">
      <alignment horizontal="center" vertical="center" wrapText="1"/>
    </xf>
    <xf numFmtId="0" fontId="31" fillId="0" borderId="0" xfId="0" applyFont="1">
      <alignment vertical="center"/>
    </xf>
    <xf numFmtId="0" fontId="28" fillId="7" borderId="3" xfId="0" applyFont="1" applyFill="1" applyBorder="1" applyAlignment="1">
      <alignment horizontal="center"/>
    </xf>
    <xf numFmtId="0" fontId="23" fillId="5" borderId="3" xfId="3" applyFont="1" applyFill="1" applyBorder="1" applyAlignment="1">
      <alignment horizontal="center" vertical="center" shrinkToFit="1"/>
    </xf>
    <xf numFmtId="0" fontId="23" fillId="5" borderId="3" xfId="0" applyFont="1" applyFill="1" applyBorder="1" applyAlignment="1">
      <alignment horizontal="center" vertical="center"/>
    </xf>
    <xf numFmtId="0" fontId="23" fillId="10" borderId="33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8" fillId="5" borderId="0" xfId="0" applyFont="1" applyFill="1">
      <alignment vertical="center"/>
    </xf>
    <xf numFmtId="177" fontId="23" fillId="0" borderId="0" xfId="0" applyNumberFormat="1" applyFont="1">
      <alignment vertical="center"/>
    </xf>
    <xf numFmtId="183" fontId="23" fillId="5" borderId="3" xfId="0" applyNumberFormat="1" applyFont="1" applyFill="1" applyBorder="1" applyAlignment="1">
      <alignment horizontal="right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181" fontId="23" fillId="7" borderId="1" xfId="1" applyNumberFormat="1" applyFont="1" applyFill="1" applyBorder="1" applyAlignment="1">
      <alignment horizontal="center" vertical="center"/>
    </xf>
    <xf numFmtId="181" fontId="23" fillId="0" borderId="1" xfId="1" applyNumberFormat="1" applyFont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9" fontId="23" fillId="0" borderId="3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5" borderId="0" xfId="0" applyFont="1" applyFill="1">
      <alignment vertical="center"/>
    </xf>
    <xf numFmtId="177" fontId="28" fillId="10" borderId="0" xfId="0" applyNumberFormat="1" applyFont="1" applyFill="1">
      <alignment vertical="center"/>
    </xf>
    <xf numFmtId="0" fontId="28" fillId="0" borderId="0" xfId="0" applyFont="1">
      <alignment vertical="center"/>
    </xf>
    <xf numFmtId="177" fontId="28" fillId="0" borderId="0" xfId="0" applyNumberFormat="1" applyFont="1">
      <alignment vertical="center"/>
    </xf>
    <xf numFmtId="0" fontId="32" fillId="7" borderId="3" xfId="0" applyFont="1" applyFill="1" applyBorder="1" applyAlignment="1">
      <alignment horizontal="center"/>
    </xf>
    <xf numFmtId="0" fontId="34" fillId="7" borderId="3" xfId="0" applyFont="1" applyFill="1" applyBorder="1" applyAlignment="1">
      <alignment horizontal="center" vertical="center"/>
    </xf>
    <xf numFmtId="0" fontId="33" fillId="5" borderId="3" xfId="0" applyFont="1" applyFill="1" applyBorder="1" applyAlignment="1">
      <alignment horizontal="center" vertical="center"/>
    </xf>
    <xf numFmtId="0" fontId="32" fillId="5" borderId="3" xfId="0" applyFont="1" applyFill="1" applyBorder="1" applyAlignment="1">
      <alignment horizontal="center" vertical="center"/>
    </xf>
    <xf numFmtId="49" fontId="34" fillId="5" borderId="3" xfId="0" applyNumberFormat="1" applyFont="1" applyFill="1" applyBorder="1" applyAlignment="1">
      <alignment horizontal="center" vertical="center"/>
    </xf>
    <xf numFmtId="177" fontId="35" fillId="5" borderId="3" xfId="1" applyFont="1" applyFill="1" applyBorder="1" applyAlignment="1">
      <alignment horizontal="center" vertical="center" wrapText="1"/>
    </xf>
    <xf numFmtId="177" fontId="32" fillId="5" borderId="3" xfId="1" applyFont="1" applyFill="1" applyBorder="1" applyAlignment="1"/>
    <xf numFmtId="185" fontId="35" fillId="5" borderId="3" xfId="0" applyNumberFormat="1" applyFont="1" applyFill="1" applyBorder="1" applyAlignment="1">
      <alignment vertical="center" wrapText="1"/>
    </xf>
    <xf numFmtId="0" fontId="36" fillId="0" borderId="15" xfId="3" applyFont="1" applyBorder="1" applyAlignment="1">
      <alignment horizontal="left" vertical="center"/>
    </xf>
    <xf numFmtId="178" fontId="36" fillId="0" borderId="15" xfId="5" applyFont="1" applyFill="1" applyBorder="1" applyAlignment="1">
      <alignment horizontal="right" vertical="center"/>
    </xf>
    <xf numFmtId="0" fontId="22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</cellXfs>
  <cellStyles count="2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8" zoomScale="85" zoomScaleNormal="85" workbookViewId="0">
      <selection activeCell="I16" sqref="I16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47</v>
      </c>
      <c r="B5" s="7"/>
      <c r="C5" s="8"/>
      <c r="D5" s="5"/>
      <c r="E5" s="5"/>
      <c r="F5" s="9" t="s">
        <v>38</v>
      </c>
      <c r="G5" s="10" t="s">
        <v>51</v>
      </c>
      <c r="H5" s="5"/>
    </row>
    <row r="6" spans="1:9" ht="27" customHeight="1">
      <c r="A6" s="5"/>
      <c r="B6" s="5"/>
      <c r="C6" s="5"/>
      <c r="D6" s="5"/>
      <c r="E6" s="5"/>
      <c r="F6" s="11" t="s">
        <v>41</v>
      </c>
      <c r="G6" s="12" t="s">
        <v>52</v>
      </c>
      <c r="H6" s="5"/>
    </row>
    <row r="7" spans="1:9" ht="27" customHeight="1">
      <c r="A7" s="124" t="s">
        <v>86</v>
      </c>
      <c r="B7" s="125"/>
      <c r="C7" s="126"/>
      <c r="D7" s="5"/>
      <c r="E7" s="13"/>
      <c r="F7" s="14" t="s">
        <v>42</v>
      </c>
      <c r="G7" s="12" t="s">
        <v>53</v>
      </c>
      <c r="H7" s="5"/>
    </row>
    <row r="8" spans="1:9" ht="27" customHeight="1">
      <c r="A8" s="5"/>
      <c r="B8" s="5"/>
      <c r="C8" s="5"/>
      <c r="D8" s="5"/>
      <c r="E8" s="5"/>
      <c r="F8" s="11" t="s">
        <v>43</v>
      </c>
      <c r="G8" s="12" t="s">
        <v>54</v>
      </c>
      <c r="H8" s="5"/>
    </row>
    <row r="9" spans="1:9" ht="27" customHeight="1">
      <c r="A9" s="124" t="s">
        <v>87</v>
      </c>
      <c r="B9" s="125"/>
      <c r="C9" s="126"/>
      <c r="D9" s="5"/>
      <c r="E9" s="5"/>
      <c r="F9" s="11" t="s">
        <v>44</v>
      </c>
      <c r="G9" s="12" t="s">
        <v>55</v>
      </c>
      <c r="H9" s="5"/>
    </row>
    <row r="10" spans="1:9" ht="27" customHeight="1">
      <c r="A10" s="5"/>
      <c r="B10" s="5"/>
      <c r="C10" s="5"/>
      <c r="D10" s="5"/>
      <c r="E10" s="5"/>
      <c r="F10" s="15" t="s">
        <v>39</v>
      </c>
      <c r="G10" s="16" t="s">
        <v>56</v>
      </c>
      <c r="H10" s="5"/>
      <c r="I10" s="5"/>
    </row>
    <row r="11" spans="1:9" ht="27" customHeight="1">
      <c r="A11" s="122"/>
      <c r="B11" s="123"/>
      <c r="C11" s="123"/>
      <c r="D11" s="5"/>
      <c r="E11" s="17"/>
      <c r="F11" s="18" t="s">
        <v>40</v>
      </c>
      <c r="G11" s="19" t="s">
        <v>57</v>
      </c>
      <c r="H11" s="17"/>
    </row>
    <row r="12" spans="1:9" ht="18.75" thickBot="1">
      <c r="A12" s="20" t="s">
        <v>7</v>
      </c>
      <c r="B12" s="20" t="str">
        <f>NUMBERSTRING(F31,1)</f>
        <v>팔십일만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'내역서(표준단가)'!O8</f>
        <v>6888.75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'내역서(표준단가)'!Q8</f>
        <v>658653.96250000002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'내역서(표준단가)'!S8+'내역서(표준단가)'!U8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665542.71250000002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29639.4283125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48</v>
      </c>
      <c r="D22" s="49">
        <v>1</v>
      </c>
      <c r="E22" s="49" t="s">
        <v>25</v>
      </c>
      <c r="F22" s="50">
        <f>F17*3.545%</f>
        <v>23349.282970625001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49</v>
      </c>
      <c r="D23" s="33">
        <v>1</v>
      </c>
      <c r="E23" s="33" t="s">
        <v>25</v>
      </c>
      <c r="F23" s="46">
        <f>F22*12.95%</f>
        <v>3023.7321446959377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6652.4050212499997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50</v>
      </c>
      <c r="D25" s="33">
        <v>1</v>
      </c>
      <c r="E25" s="33" t="s">
        <v>25</v>
      </c>
      <c r="F25" s="46">
        <f>F17*3.56%</f>
        <v>23448.081065000002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119" t="s">
        <v>85</v>
      </c>
      <c r="D26" s="33">
        <v>1</v>
      </c>
      <c r="E26" s="33" t="s">
        <v>25</v>
      </c>
      <c r="F26" s="120">
        <f>(F16+F17)*3.11%</f>
        <v>20698.37835875</v>
      </c>
      <c r="G26" s="38" t="s">
        <v>26</v>
      </c>
      <c r="H26" s="4"/>
      <c r="I26" s="4"/>
    </row>
    <row r="27" spans="1:9" ht="33" customHeight="1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38273.263518641055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145084.571391462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810627.28389146202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810000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tabSelected="1" zoomScale="70" zoomScaleNormal="70" workbookViewId="0">
      <selection activeCell="AD38" sqref="AD38"/>
    </sheetView>
  </sheetViews>
  <sheetFormatPr defaultColWidth="9" defaultRowHeight="12.75"/>
  <cols>
    <col min="1" max="1" width="16.75" style="98" bestFit="1" customWidth="1"/>
    <col min="2" max="5" width="18.5" style="98" hidden="1" customWidth="1"/>
    <col min="6" max="9" width="13.625" style="71" hidden="1" customWidth="1"/>
    <col min="10" max="10" width="19.375" style="71" customWidth="1"/>
    <col min="11" max="11" width="18.25" style="71" customWidth="1"/>
    <col min="12" max="12" width="9" style="71" bestFit="1" customWidth="1"/>
    <col min="13" max="13" width="5.875" style="71" bestFit="1" customWidth="1"/>
    <col min="14" max="14" width="9.875" style="71" bestFit="1" customWidth="1"/>
    <col min="15" max="15" width="11.125" style="71" bestFit="1" customWidth="1"/>
    <col min="16" max="16" width="8" style="71" bestFit="1" customWidth="1"/>
    <col min="17" max="17" width="12.75" style="71" bestFit="1" customWidth="1"/>
    <col min="18" max="18" width="6.125" style="71" hidden="1" customWidth="1"/>
    <col min="19" max="19" width="8.625" style="71" hidden="1" customWidth="1"/>
    <col min="20" max="20" width="6.125" style="71" hidden="1" customWidth="1"/>
    <col min="21" max="21" width="8.625" style="71" hidden="1" customWidth="1"/>
    <col min="22" max="22" width="12.625" style="71" bestFit="1" customWidth="1"/>
    <col min="23" max="23" width="10.125" style="72" bestFit="1" customWidth="1"/>
    <col min="24" max="24" width="8" style="71" bestFit="1" customWidth="1"/>
    <col min="25" max="16384" width="9" style="71"/>
  </cols>
  <sheetData>
    <row r="1" spans="1:24" ht="19.899999999999999" customHeight="1">
      <c r="A1" s="127"/>
      <c r="B1" s="127"/>
      <c r="C1" s="127"/>
      <c r="D1" s="127"/>
      <c r="E1" s="127"/>
      <c r="F1" s="127"/>
      <c r="G1" s="127"/>
      <c r="H1" s="127"/>
      <c r="I1" s="127"/>
      <c r="N1" s="72"/>
      <c r="O1" s="70" t="s">
        <v>62</v>
      </c>
      <c r="Q1" s="70" t="s">
        <v>62</v>
      </c>
      <c r="S1" s="70" t="s">
        <v>62</v>
      </c>
      <c r="U1" s="70" t="s">
        <v>62</v>
      </c>
    </row>
    <row r="2" spans="1:24" ht="19.899999999999999" customHeight="1" thickBot="1">
      <c r="A2" s="127"/>
      <c r="B2" s="127"/>
      <c r="C2" s="127"/>
      <c r="D2" s="127"/>
      <c r="E2" s="127"/>
      <c r="F2" s="127"/>
      <c r="G2" s="127"/>
      <c r="H2" s="127"/>
      <c r="I2" s="127"/>
      <c r="N2" s="73"/>
      <c r="O2" s="74">
        <v>0.83499999999999996</v>
      </c>
      <c r="Q2" s="74">
        <v>0.83499999999999996</v>
      </c>
      <c r="S2" s="74">
        <v>0.83499999999999996</v>
      </c>
      <c r="U2" s="74">
        <v>0.83499999999999996</v>
      </c>
    </row>
    <row r="3" spans="1:24" ht="19.899999999999999" customHeight="1">
      <c r="A3" s="75"/>
      <c r="B3" s="76"/>
      <c r="C3" s="76"/>
      <c r="D3" s="76"/>
      <c r="E3" s="76"/>
      <c r="F3" s="76" t="s">
        <v>63</v>
      </c>
      <c r="G3" s="77"/>
      <c r="H3" s="77"/>
      <c r="I3" s="77"/>
      <c r="J3" s="136" t="s">
        <v>64</v>
      </c>
      <c r="K3" s="136"/>
      <c r="L3" s="136" t="s">
        <v>65</v>
      </c>
      <c r="M3" s="136" t="s">
        <v>5</v>
      </c>
      <c r="N3" s="132" t="s">
        <v>66</v>
      </c>
      <c r="O3" s="132"/>
      <c r="P3" s="132" t="s">
        <v>67</v>
      </c>
      <c r="Q3" s="132"/>
      <c r="R3" s="133" t="s">
        <v>68</v>
      </c>
      <c r="S3" s="133"/>
      <c r="T3" s="133" t="s">
        <v>69</v>
      </c>
      <c r="U3" s="133"/>
      <c r="V3" s="134" t="s">
        <v>70</v>
      </c>
      <c r="W3" s="130" t="s">
        <v>71</v>
      </c>
      <c r="X3" s="128" t="s">
        <v>45</v>
      </c>
    </row>
    <row r="4" spans="1:24" ht="19.899999999999999" customHeight="1">
      <c r="A4" s="78" t="s">
        <v>72</v>
      </c>
      <c r="B4" s="79"/>
      <c r="C4" s="79"/>
      <c r="D4" s="79"/>
      <c r="E4" s="79"/>
      <c r="F4" s="80" t="s">
        <v>73</v>
      </c>
      <c r="G4" s="80" t="s">
        <v>74</v>
      </c>
      <c r="H4" s="80" t="s">
        <v>75</v>
      </c>
      <c r="I4" s="80" t="s">
        <v>76</v>
      </c>
      <c r="J4" s="81" t="s">
        <v>77</v>
      </c>
      <c r="K4" s="81" t="s">
        <v>78</v>
      </c>
      <c r="L4" s="137"/>
      <c r="M4" s="137"/>
      <c r="N4" s="82" t="s">
        <v>79</v>
      </c>
      <c r="O4" s="83" t="s">
        <v>80</v>
      </c>
      <c r="P4" s="82" t="s">
        <v>81</v>
      </c>
      <c r="Q4" s="83" t="s">
        <v>80</v>
      </c>
      <c r="R4" s="83" t="s">
        <v>82</v>
      </c>
      <c r="S4" s="83" t="s">
        <v>80</v>
      </c>
      <c r="T4" s="83" t="s">
        <v>82</v>
      </c>
      <c r="U4" s="83" t="s">
        <v>80</v>
      </c>
      <c r="V4" s="135"/>
      <c r="W4" s="131"/>
      <c r="X4" s="129"/>
    </row>
    <row r="5" spans="1:24" s="92" customFormat="1" ht="19.899999999999999" customHeight="1">
      <c r="A5" s="84" t="str">
        <f t="shared" ref="A5" si="0">F5&amp;G5&amp;H5&amp;I5</f>
        <v>M010550710050102</v>
      </c>
      <c r="B5" s="104"/>
      <c r="C5" s="104"/>
      <c r="D5" s="104"/>
      <c r="E5" s="104"/>
      <c r="F5" s="85"/>
      <c r="G5" s="111"/>
      <c r="H5" s="112" t="s">
        <v>88</v>
      </c>
      <c r="I5" s="86"/>
      <c r="J5" s="113" t="s">
        <v>83</v>
      </c>
      <c r="K5" s="114" t="s">
        <v>84</v>
      </c>
      <c r="L5" s="115" t="s">
        <v>89</v>
      </c>
      <c r="M5" s="89">
        <v>0.5</v>
      </c>
      <c r="N5" s="116">
        <v>16500</v>
      </c>
      <c r="O5" s="90">
        <f t="shared" ref="O5" si="1">SUM(N5:N5)*M5*$O$2</f>
        <v>6888.75</v>
      </c>
      <c r="P5" s="117">
        <v>1655</v>
      </c>
      <c r="Q5" s="90">
        <f t="shared" ref="Q5" si="2">(P5*M5)*$Q$2</f>
        <v>690.96249999999998</v>
      </c>
      <c r="R5" s="91"/>
      <c r="S5" s="90">
        <f t="shared" ref="S5" si="3">R5*M5*$S$2</f>
        <v>0</v>
      </c>
      <c r="T5" s="91"/>
      <c r="U5" s="90">
        <f t="shared" ref="U5" si="4">T5*M5*$U$2</f>
        <v>0</v>
      </c>
      <c r="V5" s="91">
        <f t="shared" ref="V5" si="5">SUM(O5+Q5)+S5+U5</f>
        <v>7579.7124999999996</v>
      </c>
      <c r="W5" s="105"/>
      <c r="X5" s="106"/>
    </row>
    <row r="6" spans="1:24" s="92" customFormat="1" ht="19.899999999999999" customHeight="1">
      <c r="A6" s="84" t="str">
        <f t="shared" ref="A6:A7" si="6">F6&amp;G6&amp;H6&amp;I6</f>
        <v>L003</v>
      </c>
      <c r="B6" s="104"/>
      <c r="C6" s="104"/>
      <c r="D6" s="104"/>
      <c r="E6" s="104"/>
      <c r="F6" s="80"/>
      <c r="G6" s="93"/>
      <c r="H6" s="80"/>
      <c r="I6" s="85" t="s">
        <v>60</v>
      </c>
      <c r="J6" s="87" t="s">
        <v>61</v>
      </c>
      <c r="K6" s="94" t="s">
        <v>59</v>
      </c>
      <c r="L6" s="95" t="s">
        <v>58</v>
      </c>
      <c r="M6" s="89">
        <v>3</v>
      </c>
      <c r="N6" s="100"/>
      <c r="O6" s="90">
        <f t="shared" ref="O6" si="7">SUM(N6:N6)*M6*$O$2</f>
        <v>0</v>
      </c>
      <c r="P6" s="118">
        <v>219321</v>
      </c>
      <c r="Q6" s="90">
        <f>M6*P6</f>
        <v>657963</v>
      </c>
      <c r="R6" s="91"/>
      <c r="S6" s="90">
        <f t="shared" ref="S6:S7" si="8">R6*M6*$S$2</f>
        <v>0</v>
      </c>
      <c r="T6" s="91"/>
      <c r="U6" s="90">
        <f t="shared" ref="U6:U7" si="9">T6*M6*$U$2</f>
        <v>0</v>
      </c>
      <c r="V6" s="91">
        <f t="shared" ref="V6:V7" si="10">SUM(O6+Q6)+S6+U6</f>
        <v>657963</v>
      </c>
      <c r="W6" s="105"/>
      <c r="X6" s="106"/>
    </row>
    <row r="7" spans="1:24" s="92" customFormat="1" ht="19.899999999999999" customHeight="1">
      <c r="A7" s="84" t="str">
        <f t="shared" si="6"/>
        <v/>
      </c>
      <c r="B7" s="104"/>
      <c r="C7" s="104"/>
      <c r="D7" s="104"/>
      <c r="E7" s="104"/>
      <c r="F7" s="85"/>
      <c r="G7" s="80"/>
      <c r="H7" s="80"/>
      <c r="I7" s="86"/>
      <c r="J7" s="87"/>
      <c r="K7" s="87"/>
      <c r="L7" s="88"/>
      <c r="M7" s="89"/>
      <c r="N7" s="100"/>
      <c r="O7" s="90">
        <f t="shared" ref="O7" si="11">SUM(N7:N7)*M7*$O$2</f>
        <v>0</v>
      </c>
      <c r="P7" s="100"/>
      <c r="Q7" s="90">
        <f t="shared" ref="Q7" si="12">(P7*M7)*$Q$2</f>
        <v>0</v>
      </c>
      <c r="R7" s="91"/>
      <c r="S7" s="90">
        <f t="shared" si="8"/>
        <v>0</v>
      </c>
      <c r="T7" s="91"/>
      <c r="U7" s="90">
        <f t="shared" si="9"/>
        <v>0</v>
      </c>
      <c r="V7" s="91">
        <f t="shared" si="10"/>
        <v>0</v>
      </c>
      <c r="W7" s="105"/>
      <c r="X7" s="106"/>
    </row>
    <row r="8" spans="1:24" s="97" customFormat="1" ht="19.899999999999999" customHeight="1">
      <c r="A8" s="96"/>
      <c r="B8" s="107"/>
      <c r="C8" s="107"/>
      <c r="D8" s="107"/>
      <c r="E8" s="107"/>
      <c r="F8" s="71"/>
      <c r="G8" s="71"/>
      <c r="H8" s="71"/>
      <c r="I8" s="71"/>
      <c r="J8" s="71"/>
      <c r="K8" s="71"/>
      <c r="L8" s="71"/>
      <c r="M8" s="71"/>
      <c r="N8" s="71"/>
      <c r="O8" s="108">
        <f>SUM(O5:O7)</f>
        <v>6888.75</v>
      </c>
      <c r="P8" s="109"/>
      <c r="Q8" s="108">
        <f>SUM(Q5:Q7)</f>
        <v>658653.96250000002</v>
      </c>
      <c r="R8" s="109"/>
      <c r="S8" s="110">
        <f>SUM(S5:S7)</f>
        <v>0</v>
      </c>
      <c r="T8" s="109"/>
      <c r="U8" s="110">
        <f>SUM(U5:U7)</f>
        <v>0</v>
      </c>
      <c r="V8" s="110">
        <f>SUM(V5:V7)</f>
        <v>665542.71250000002</v>
      </c>
      <c r="W8" s="72"/>
      <c r="X8" s="71"/>
    </row>
    <row r="12" spans="1:24">
      <c r="Q12" s="9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9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3"/>
  <sheetViews>
    <sheetView showGridLines="0" zoomScaleNormal="100" workbookViewId="0">
      <selection activeCell="H22" sqref="H22"/>
    </sheetView>
  </sheetViews>
  <sheetFormatPr defaultColWidth="9" defaultRowHeight="16.5"/>
  <cols>
    <col min="1" max="1" width="25.125" style="69" customWidth="1"/>
    <col min="2" max="2" width="16.25" style="69" customWidth="1"/>
    <col min="3" max="3" width="22.375" style="69" customWidth="1"/>
    <col min="4" max="4" width="24.125" style="69" customWidth="1"/>
    <col min="5" max="5" width="13" style="69" customWidth="1"/>
    <col min="6" max="6" width="7.5" style="69" customWidth="1"/>
    <col min="7" max="16384" width="9" style="68"/>
  </cols>
  <sheetData>
    <row r="1" spans="1:6" ht="18" customHeight="1">
      <c r="A1" s="101" t="s">
        <v>0</v>
      </c>
      <c r="B1" s="101" t="s">
        <v>1</v>
      </c>
      <c r="C1" s="101" t="s">
        <v>2</v>
      </c>
      <c r="D1" s="101" t="s">
        <v>3</v>
      </c>
      <c r="E1" s="101" t="s">
        <v>4</v>
      </c>
      <c r="F1" s="101" t="s">
        <v>5</v>
      </c>
    </row>
    <row r="2" spans="1:6">
      <c r="A2" s="102" t="str">
        <f>'내역서(표준단가)'!A5</f>
        <v>M010550710050102</v>
      </c>
      <c r="B2" s="103">
        <f>'내역서(표준단가)'!F5</f>
        <v>0</v>
      </c>
      <c r="C2" s="103">
        <f>'내역서(표준단가)'!G5</f>
        <v>0</v>
      </c>
      <c r="D2" s="103" t="str">
        <f>'내역서(표준단가)'!H5</f>
        <v>M010550710050102</v>
      </c>
      <c r="E2" s="103">
        <f>'내역서(표준단가)'!I5</f>
        <v>0</v>
      </c>
      <c r="F2" s="103">
        <f>'내역서(표준단가)'!M5</f>
        <v>0.5</v>
      </c>
    </row>
    <row r="3" spans="1:6">
      <c r="A3" s="102" t="str">
        <f>'내역서(표준단가)'!A6</f>
        <v>L003</v>
      </c>
      <c r="B3" s="103">
        <f>'내역서(표준단가)'!F6</f>
        <v>0</v>
      </c>
      <c r="C3" s="103">
        <f>'내역서(표준단가)'!G6</f>
        <v>0</v>
      </c>
      <c r="D3" s="103">
        <f>'내역서(표준단가)'!H6</f>
        <v>0</v>
      </c>
      <c r="E3" s="103" t="str">
        <f>'내역서(표준단가)'!I6</f>
        <v>L003</v>
      </c>
      <c r="F3" s="103">
        <f>'내역서(표준단가)'!M6</f>
        <v>3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2025-02-19T23:55:53Z</dcterms:modified>
</cp:coreProperties>
</file>
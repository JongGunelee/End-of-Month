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1 기숙사 A동 804호 공동 현관 방화문 보수\"/>
    </mc:Choice>
  </mc:AlternateContent>
  <xr:revisionPtr revIDLastSave="0" documentId="13_ncr:1_{056E5473-FA0C-4528-85C9-9368B98C837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F2" i="1"/>
  <c r="E2" i="1"/>
  <c r="D2" i="1"/>
  <c r="C2" i="1"/>
  <c r="B2" i="1"/>
  <c r="A5" i="4"/>
  <c r="A2" i="1" s="1"/>
  <c r="Q6" i="4"/>
  <c r="Q5" i="4"/>
  <c r="O5" i="4" l="1"/>
  <c r="A8" i="4" l="1"/>
  <c r="A7" i="4"/>
  <c r="A6" i="4"/>
  <c r="A3" i="1" s="1"/>
  <c r="U8" i="4" l="1"/>
  <c r="S8" i="4"/>
  <c r="Q8" i="4"/>
  <c r="O8" i="4"/>
  <c r="U7" i="4"/>
  <c r="S7" i="4"/>
  <c r="Q7" i="4"/>
  <c r="O7" i="4"/>
  <c r="U6" i="4"/>
  <c r="S6" i="4"/>
  <c r="O6" i="4"/>
  <c r="U5" i="4"/>
  <c r="S5" i="4"/>
  <c r="V5" i="4" l="1"/>
  <c r="V6" i="4"/>
  <c r="V7" i="4"/>
  <c r="V8" i="4"/>
  <c r="U9" i="4"/>
  <c r="Q9" i="4"/>
  <c r="S9" i="4" l="1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<sst xmlns="http://schemas.openxmlformats.org/spreadsheetml/2006/main" count="109" uniqueCount="90">
  <si>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</si>
  <si>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</si>
  <si>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</si>
  <si>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</si>
  <si>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</si>
  <si>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</si>
  <si>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</si>
  <si>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</si>
  <si>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</si>
  <si>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</si>
  <si>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</si>
  <si>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</si>
  <si>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</si>
  <si>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</si>
  <si>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</si>
  <si>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</si>
  <si>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</si>
  <si>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</si>
  <si>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</si>
  <si>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</si>
  <si>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</si>
  <si>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</si>
  <si>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</si>
  <si>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</si>
  <si>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</si>
  <si>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</si>
  <si>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</si>
  <si>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</si>
  <si>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</si>
  <si>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</si>
  <si>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</si>
  <si>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</si>
  <si>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</si>
  <si>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</si>
  <si>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</si>
  <si>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</si>
  <si>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</si>
  <si>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★ 작성방법</t>
    <phoneticPr fontId="7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</si>
  <si>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</si>
  <si>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</si>
  <si>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</si>
  <si>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</si>
  <si>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</si>
  <si>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</si>
  <si>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</si>
  <si>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</si>
  <si>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</si>
  <si>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</si>
  <si>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</si>
  <si>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</si>
  <si>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</si>
  <si>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</si>
  <si>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</si>
  <si>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</si>
  <si>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</si>
  <si>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</si>
  <si>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</si>
  <si>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</si>
  <si>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</si>
  <si>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</si>
  <si>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</si>
  <si>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</si>
  <si>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</si>
  <si>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</si>
  <si>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</si>
  <si>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</si>
  <si>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</si>
  <si>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</si>
  <si>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</si>
  <si>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</si>
  <si>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</si>
  <si>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</si>
  <si>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</si>
  <si>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</si>
  <si>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</si>
  <si>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</si>
  <si>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</si>
  <si>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</si>
  <si>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</si>
  <si>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</si>
  <si>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</si>
  <si>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</si>
  <si>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 xml:space="preserve"> 견적일 : 2025년  06월  23일</t>
    <phoneticPr fontId="13" type="noConversion"/>
  </si>
  <si>
    <t xml:space="preserve"> 공사명 : 기숙사 A804호 공동 현관 방화문 보수</t>
    <phoneticPr fontId="13" type="noConversion"/>
  </si>
  <si>
    <t>L009</t>
  </si>
  <si>
    <t>L003</t>
  </si>
  <si>
    <t>A804호 공동현관 방화문 보수</t>
    <phoneticPr fontId="7" type="noConversion"/>
  </si>
  <si>
    <t>철공</t>
    <phoneticPr fontId="7" type="noConversion"/>
  </si>
  <si>
    <t>특벽인부</t>
    <phoneticPr fontId="7" type="noConversion"/>
  </si>
  <si>
    <t>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</si>
</sst>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 "/>
  </numFmts>
  <fonts count="3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9"/>
      <color rgb="FF000000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6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16" fillId="2" borderId="0" xfId="0" applyNumberFormat="1" applyFont="1" applyFill="1" applyAlignment="1">
      <alignment horizontal="center" vertical="center" wrapText="1"/>
    </xf>
    <xf numFmtId="49" fontId="21" fillId="7" borderId="3" xfId="0" applyNumberFormat="1" applyFont="1" applyFill="1" applyBorder="1" applyAlignment="1">
      <alignment horizontal="center" vertical="center" wrapText="1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0" xfId="3" applyFont="1"/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5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4" fillId="0" borderId="0" xfId="10" applyFont="1"/>
    <xf numFmtId="0" fontId="2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9" fillId="6" borderId="2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 wrapText="1"/>
    </xf>
    <xf numFmtId="0" fontId="29" fillId="0" borderId="3" xfId="0" applyFont="1" applyBorder="1">
      <alignment vertical="center"/>
    </xf>
    <xf numFmtId="177" fontId="29" fillId="6" borderId="3" xfId="1" applyFont="1" applyFill="1" applyBorder="1" applyAlignment="1">
      <alignment horizontal="center" vertical="center" wrapText="1"/>
    </xf>
    <xf numFmtId="177" fontId="29" fillId="0" borderId="3" xfId="1" applyFont="1" applyFill="1" applyBorder="1" applyAlignment="1">
      <alignment horizontal="center" vertical="center" wrapText="1"/>
    </xf>
    <xf numFmtId="183" fontId="29" fillId="5" borderId="3" xfId="1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0" xfId="0" applyFont="1">
      <alignment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184" fontId="21" fillId="5" borderId="3" xfId="0" applyNumberFormat="1" applyFont="1" applyFill="1" applyBorder="1" applyAlignment="1">
      <alignment horizontal="right" vertical="center" wrapText="1"/>
    </xf>
    <xf numFmtId="183" fontId="33" fillId="0" borderId="3" xfId="1" applyNumberFormat="1" applyFont="1" applyFill="1" applyBorder="1" applyAlignment="1">
      <alignment horizontal="center" vertical="center"/>
    </xf>
    <xf numFmtId="0" fontId="33" fillId="0" borderId="3" xfId="3" applyFont="1" applyBorder="1" applyAlignment="1">
      <alignment horizontal="left" vertical="center" shrinkToFit="1"/>
    </xf>
    <xf numFmtId="0" fontId="34" fillId="0" borderId="3" xfId="3" applyFont="1" applyBorder="1" applyAlignment="1">
      <alignment horizontal="center" vertical="center"/>
    </xf>
    <xf numFmtId="9" fontId="33" fillId="0" borderId="3" xfId="0" applyNumberFormat="1" applyFont="1" applyBorder="1" applyAlignment="1">
      <alignment horizontal="center" vertical="center"/>
    </xf>
    <xf numFmtId="0" fontId="35" fillId="10" borderId="0" xfId="0" applyFont="1" applyFill="1">
      <alignment vertical="center"/>
    </xf>
    <xf numFmtId="0" fontId="35" fillId="0" borderId="0" xfId="0" applyFont="1">
      <alignment vertical="center"/>
    </xf>
    <xf numFmtId="177" fontId="36" fillId="10" borderId="0" xfId="0" applyNumberFormat="1" applyFont="1" applyFill="1">
      <alignment vertical="center"/>
    </xf>
    <xf numFmtId="0" fontId="36" fillId="0" borderId="0" xfId="0" applyFont="1">
      <alignment vertical="center"/>
    </xf>
    <xf numFmtId="177" fontId="3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28" fillId="5" borderId="0" xfId="0" applyFont="1" applyFill="1">
      <alignment vertical="center"/>
    </xf>
    <xf numFmtId="177" fontId="29" fillId="0" borderId="0" xfId="0" applyNumberFormat="1" applyFont="1">
      <alignment vertical="center"/>
    </xf>
    <xf numFmtId="0" fontId="37" fillId="0" borderId="0" xfId="0" applyFont="1">
      <alignment vertical="center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181" fontId="25" fillId="0" borderId="0" xfId="1" applyNumberFormat="1" applyFont="1" applyAlignment="1">
      <alignment horizontal="center" vertical="center"/>
    </xf>
    <xf numFmtId="0" fontId="38" fillId="0" borderId="3" xfId="3" applyFont="1" applyBorder="1" applyAlignment="1">
      <alignment horizontal="center" vertical="center" shrinkToFit="1"/>
    </xf>
    <xf numFmtId="49" fontId="29" fillId="7" borderId="33" xfId="0" applyNumberFormat="1" applyFont="1" applyFill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center" vertical="center"/>
    </xf>
    <xf numFmtId="0" fontId="32" fillId="7" borderId="33" xfId="0" applyFont="1" applyFill="1" applyBorder="1" applyAlignment="1">
      <alignment horizontal="center" vertical="center"/>
    </xf>
    <xf numFmtId="49" fontId="21" fillId="7" borderId="33" xfId="0" applyNumberFormat="1" applyFont="1" applyFill="1" applyBorder="1" applyAlignment="1">
      <alignment horizontal="center" vertical="center" wrapText="1"/>
    </xf>
    <xf numFmtId="0" fontId="33" fillId="0" borderId="33" xfId="3" applyFont="1" applyBorder="1" applyAlignment="1">
      <alignment horizontal="left" vertical="center" shrinkToFit="1"/>
    </xf>
    <xf numFmtId="0" fontId="34" fillId="0" borderId="33" xfId="3" applyFont="1" applyBorder="1" applyAlignment="1">
      <alignment horizontal="center" vertical="center"/>
    </xf>
    <xf numFmtId="183" fontId="33" fillId="0" borderId="33" xfId="1" applyNumberFormat="1" applyFont="1" applyFill="1" applyBorder="1" applyAlignment="1">
      <alignment horizontal="center" vertical="center"/>
    </xf>
    <xf numFmtId="0" fontId="29" fillId="0" borderId="33" xfId="0" applyFont="1" applyBorder="1">
      <alignment vertical="center"/>
    </xf>
    <xf numFmtId="177" fontId="29" fillId="6" borderId="33" xfId="1" applyFont="1" applyFill="1" applyBorder="1" applyAlignment="1">
      <alignment horizontal="center" vertical="center" wrapText="1"/>
    </xf>
    <xf numFmtId="184" fontId="21" fillId="5" borderId="33" xfId="0" applyNumberFormat="1" applyFont="1" applyFill="1" applyBorder="1" applyAlignment="1">
      <alignment horizontal="right" vertical="center" wrapText="1"/>
    </xf>
    <xf numFmtId="185" fontId="6" fillId="5" borderId="3" xfId="0" applyNumberFormat="1" applyFont="1" applyFill="1" applyBorder="1" applyAlignment="1">
      <alignment horizontal="center" vertical="center" wrapText="1"/>
    </xf>
    <xf numFmtId="49" fontId="6" fillId="7" borderId="3" xfId="0" applyNumberFormat="1" applyFont="1" applyFill="1" applyBorder="1" applyAlignment="1">
      <alignment horizontal="center" vertical="center" wrapText="1"/>
    </xf>
    <xf numFmtId="0" fontId="22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14" fillId="0" borderId="4" xfId="6" applyFont="1" applyBorder="1" applyAlignment="1">
      <alignment vertical="center" wrapText="1"/>
    </xf>
    <xf numFmtId="0" fontId="14" fillId="0" borderId="5" xfId="6" applyFont="1" applyBorder="1" applyAlignment="1">
      <alignment vertical="center" wrapText="1"/>
    </xf>
    <xf numFmtId="0" fontId="14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8" fillId="9" borderId="30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7" zoomScale="85" zoomScaleNormal="85" workbookViewId="0">
      <selection activeCell="J17" sqref="J17"/>
    </sheetView>
  </sheetViews>
  <sheetFormatPr defaultColWidth="9" defaultRowHeight="13.5"/>
  <cols>
    <col min="1" max="1" width="9.875" style="6" customWidth="1"/>
    <col min="2" max="2" width="24.25" style="6" customWidth="1"/>
    <col min="3" max="3" width="27" style="6" customWidth="1"/>
    <col min="4" max="5" width="9" style="6"/>
    <col min="6" max="6" width="23.5" style="6" customWidth="1"/>
    <col min="7" max="7" width="44.75" style="6" customWidth="1"/>
    <col min="8" max="8" width="11.25" style="6" customWidth="1"/>
    <col min="9" max="9" width="9" style="6"/>
    <col min="10" max="16384" width="9" style="7"/>
  </cols>
  <sheetData>
    <row r="2" spans="1:9" ht="33">
      <c r="A2" s="126" t="s">
        <v>6</v>
      </c>
      <c r="B2" s="126"/>
      <c r="C2" s="126"/>
      <c r="D2" s="126"/>
      <c r="E2" s="126"/>
      <c r="F2" s="126"/>
      <c r="G2" s="126"/>
      <c r="H2" s="5"/>
    </row>
    <row r="3" spans="1:9" ht="14.25">
      <c r="A3" s="8"/>
      <c r="B3" s="8"/>
      <c r="C3" s="8"/>
      <c r="D3" s="8"/>
      <c r="E3" s="8"/>
      <c r="F3" s="8"/>
      <c r="G3" s="8"/>
      <c r="H3" s="8"/>
    </row>
    <row r="4" spans="1:9" ht="14.25">
      <c r="A4" s="8"/>
      <c r="B4" s="8"/>
      <c r="C4" s="8"/>
      <c r="D4" s="8"/>
      <c r="E4" s="8"/>
      <c r="H4" s="8"/>
    </row>
    <row r="5" spans="1:9" ht="27" customHeight="1">
      <c r="A5" s="9" t="s">
        <v>49</v>
      </c>
      <c r="B5" s="10"/>
      <c r="C5" s="11"/>
      <c r="D5" s="8"/>
      <c r="E5" s="8"/>
      <c r="F5" s="12" t="s">
        <v>40</v>
      </c>
      <c r="G5" s="13" t="s">
        <v>53</v>
      </c>
      <c r="H5" s="8"/>
    </row>
    <row r="6" spans="1:9" ht="27" customHeight="1">
      <c r="A6" s="8"/>
      <c r="B6" s="8"/>
      <c r="C6" s="8"/>
      <c r="D6" s="8"/>
      <c r="E6" s="8"/>
      <c r="F6" s="14" t="s">
        <v>43</v>
      </c>
      <c r="G6" s="15" t="s">
        <v>54</v>
      </c>
      <c r="H6" s="8"/>
    </row>
    <row r="7" spans="1:9" ht="27" customHeight="1">
      <c r="A7" s="132" t="s">
        <v>83</v>
      </c>
      <c r="B7" s="133"/>
      <c r="C7" s="134"/>
      <c r="D7" s="8"/>
      <c r="E7" s="16"/>
      <c r="F7" s="17" t="s">
        <v>44</v>
      </c>
      <c r="G7" s="15" t="s">
        <v>55</v>
      </c>
      <c r="H7" s="8"/>
    </row>
    <row r="8" spans="1:9" ht="27" customHeight="1">
      <c r="A8" s="8"/>
      <c r="B8" s="8"/>
      <c r="C8" s="8"/>
      <c r="D8" s="8"/>
      <c r="E8" s="8"/>
      <c r="F8" s="14" t="s">
        <v>45</v>
      </c>
      <c r="G8" s="15" t="s">
        <v>56</v>
      </c>
      <c r="H8" s="8"/>
    </row>
    <row r="9" spans="1:9" ht="27" customHeight="1">
      <c r="A9" s="129" t="s">
        <v>82</v>
      </c>
      <c r="B9" s="130"/>
      <c r="C9" s="131"/>
      <c r="D9" s="8"/>
      <c r="E9" s="8"/>
      <c r="F9" s="14" t="s">
        <v>46</v>
      </c>
      <c r="G9" s="15" t="s">
        <v>57</v>
      </c>
      <c r="H9" s="8"/>
    </row>
    <row r="10" spans="1:9" ht="27" customHeight="1">
      <c r="A10" s="8"/>
      <c r="B10" s="8"/>
      <c r="C10" s="8"/>
      <c r="D10" s="8"/>
      <c r="E10" s="8"/>
      <c r="F10" s="18" t="s">
        <v>41</v>
      </c>
      <c r="G10" s="19" t="s">
        <v>58</v>
      </c>
      <c r="H10" s="8"/>
      <c r="I10" s="8"/>
    </row>
    <row r="11" spans="1:9" ht="27" customHeight="1">
      <c r="A11" s="127"/>
      <c r="B11" s="128"/>
      <c r="C11" s="128"/>
      <c r="D11" s="8"/>
      <c r="E11" s="20"/>
      <c r="F11" s="21" t="s">
        <v>42</v>
      </c>
      <c r="G11" s="22" t="s">
        <v>59</v>
      </c>
      <c r="H11" s="20"/>
    </row>
    <row r="12" spans="1:9" ht="18.75" thickBot="1">
      <c r="A12" s="23" t="s">
        <v>7</v>
      </c>
      <c r="B12" s="23" t="str">
        <f>NUMBERSTRING(F31,1)</f>
        <v>오십오만육천</v>
      </c>
      <c r="C12" s="24"/>
      <c r="D12" s="2" t="s">
        <v>8</v>
      </c>
      <c r="E12" s="2" t="s">
        <v>9</v>
      </c>
      <c r="F12" s="2" t="s">
        <v>9</v>
      </c>
      <c r="G12" s="2"/>
      <c r="H12" s="25"/>
    </row>
    <row r="13" spans="1:9" ht="15.75" thickTop="1" thickBot="1">
      <c r="A13" s="8"/>
      <c r="B13" s="8"/>
      <c r="C13" s="8"/>
      <c r="D13" s="8"/>
      <c r="E13" s="8"/>
      <c r="F13" s="8"/>
      <c r="G13" s="8"/>
      <c r="H13" s="25"/>
    </row>
    <row r="14" spans="1:9" ht="33" customHeight="1" thickBot="1">
      <c r="A14" s="26" t="s">
        <v>10</v>
      </c>
      <c r="B14" s="27" t="s">
        <v>11</v>
      </c>
      <c r="C14" s="27" t="s">
        <v>12</v>
      </c>
      <c r="D14" s="27" t="s">
        <v>13</v>
      </c>
      <c r="E14" s="27" t="s">
        <v>14</v>
      </c>
      <c r="F14" s="27" t="s">
        <v>15</v>
      </c>
      <c r="G14" s="28" t="s">
        <v>16</v>
      </c>
      <c r="H14" s="25"/>
    </row>
    <row r="15" spans="1:9" ht="33" customHeight="1" thickTop="1">
      <c r="A15" s="29"/>
      <c r="B15" s="30" t="s">
        <v>17</v>
      </c>
      <c r="C15" s="31"/>
      <c r="D15" s="32"/>
      <c r="E15" s="32"/>
      <c r="F15" s="33"/>
      <c r="G15" s="34"/>
    </row>
    <row r="16" spans="1:9" ht="33" customHeight="1">
      <c r="A16" s="35"/>
      <c r="B16" s="36" t="s">
        <v>18</v>
      </c>
      <c r="C16" s="37"/>
      <c r="D16" s="38"/>
      <c r="E16" s="38"/>
      <c r="F16" s="39">
        <f>'내역서(표준단가)'!O9</f>
        <v>0</v>
      </c>
      <c r="G16" s="40"/>
    </row>
    <row r="17" spans="1:9" ht="33" customHeight="1">
      <c r="A17" s="35"/>
      <c r="B17" s="36" t="s">
        <v>19</v>
      </c>
      <c r="C17" s="37"/>
      <c r="D17" s="38"/>
      <c r="E17" s="38"/>
      <c r="F17" s="39">
        <f>'내역서(표준단가)'!Q9</f>
        <v>456801</v>
      </c>
      <c r="G17" s="41"/>
      <c r="H17" s="7"/>
      <c r="I17" s="7"/>
    </row>
    <row r="18" spans="1:9" ht="33" customHeight="1">
      <c r="A18" s="35"/>
      <c r="B18" s="36" t="s">
        <v>20</v>
      </c>
      <c r="C18" s="37"/>
      <c r="D18" s="38"/>
      <c r="E18" s="38"/>
      <c r="F18" s="39">
        <f>'내역서(표준단가)'!S9+'내역서(표준단가)'!U9</f>
        <v>0</v>
      </c>
      <c r="G18" s="41"/>
      <c r="H18" s="7"/>
      <c r="I18" s="7"/>
    </row>
    <row r="19" spans="1:9" ht="33" customHeight="1">
      <c r="A19" s="35"/>
      <c r="B19" s="42" t="s">
        <v>21</v>
      </c>
      <c r="C19" s="42"/>
      <c r="D19" s="43"/>
      <c r="E19" s="43"/>
      <c r="F19" s="44">
        <f>F16+F17+F18</f>
        <v>456801</v>
      </c>
      <c r="G19" s="41"/>
      <c r="H19" s="7"/>
      <c r="I19" s="7"/>
    </row>
    <row r="20" spans="1:9" ht="33" customHeight="1">
      <c r="A20" s="35"/>
      <c r="B20" s="45" t="s">
        <v>22</v>
      </c>
      <c r="C20" s="46"/>
      <c r="D20" s="38"/>
      <c r="E20" s="38"/>
      <c r="F20" s="47"/>
      <c r="G20" s="41"/>
      <c r="H20" s="7"/>
      <c r="I20" s="7"/>
    </row>
    <row r="21" spans="1:9" ht="33" customHeight="1">
      <c r="A21" s="35"/>
      <c r="B21" s="48" t="s">
        <v>23</v>
      </c>
      <c r="C21" s="46" t="s">
        <v>24</v>
      </c>
      <c r="D21" s="36">
        <v>1</v>
      </c>
      <c r="E21" s="36" t="s">
        <v>25</v>
      </c>
      <c r="F21" s="49">
        <f>F17*4.5%</f>
        <v>20556.044999999998</v>
      </c>
      <c r="G21" s="41" t="s">
        <v>26</v>
      </c>
      <c r="H21" s="7"/>
      <c r="I21" s="7"/>
    </row>
    <row r="22" spans="1:9" ht="33" customHeight="1">
      <c r="A22" s="35"/>
      <c r="B22" s="50" t="s">
        <v>27</v>
      </c>
      <c r="C22" s="51" t="s">
        <v>50</v>
      </c>
      <c r="D22" s="52">
        <v>1</v>
      </c>
      <c r="E22" s="52" t="s">
        <v>25</v>
      </c>
      <c r="F22" s="53">
        <f>F17*3.545%</f>
        <v>16193.595450000001</v>
      </c>
      <c r="G22" s="54" t="s">
        <v>28</v>
      </c>
      <c r="H22" s="7"/>
      <c r="I22" s="7"/>
    </row>
    <row r="23" spans="1:9" ht="33" customHeight="1">
      <c r="A23" s="35"/>
      <c r="B23" s="48" t="s">
        <v>29</v>
      </c>
      <c r="C23" s="46" t="s">
        <v>51</v>
      </c>
      <c r="D23" s="36">
        <v>1</v>
      </c>
      <c r="E23" s="36" t="s">
        <v>25</v>
      </c>
      <c r="F23" s="49">
        <f>F22*12.95%</f>
        <v>2097.0706107750002</v>
      </c>
      <c r="G23" s="41" t="s">
        <v>28</v>
      </c>
      <c r="H23" s="7"/>
      <c r="I23" s="7"/>
    </row>
    <row r="24" spans="1:9" ht="33" customHeight="1">
      <c r="A24" s="35"/>
      <c r="B24" s="48" t="s">
        <v>30</v>
      </c>
      <c r="C24" s="46" t="s">
        <v>48</v>
      </c>
      <c r="D24" s="36">
        <v>1</v>
      </c>
      <c r="E24" s="36" t="s">
        <v>25</v>
      </c>
      <c r="F24" s="49">
        <f>F17*1.01%</f>
        <v>4613.6900999999998</v>
      </c>
      <c r="G24" s="41" t="s">
        <v>28</v>
      </c>
      <c r="H24" s="7"/>
      <c r="I24" s="7"/>
    </row>
    <row r="25" spans="1:9" ht="33" customHeight="1">
      <c r="A25" s="35"/>
      <c r="B25" s="48" t="s">
        <v>31</v>
      </c>
      <c r="C25" s="46" t="s">
        <v>52</v>
      </c>
      <c r="D25" s="36">
        <v>1</v>
      </c>
      <c r="E25" s="36" t="s">
        <v>25</v>
      </c>
      <c r="F25" s="49">
        <f>F17*3.56%</f>
        <v>16262.115599999999</v>
      </c>
      <c r="G25" s="41" t="s">
        <v>28</v>
      </c>
      <c r="H25" s="7"/>
      <c r="I25" s="7"/>
    </row>
    <row r="26" spans="1:9" ht="33" customHeight="1">
      <c r="A26" s="35"/>
      <c r="B26" s="48" t="s">
        <v>32</v>
      </c>
      <c r="C26" s="55" t="s">
        <v>36</v>
      </c>
      <c r="D26" s="36">
        <v>1</v>
      </c>
      <c r="E26" s="36" t="s">
        <v>25</v>
      </c>
      <c r="F26" s="49">
        <f>(F16+F17)*2.93%</f>
        <v>13384.269300000002</v>
      </c>
      <c r="G26" s="41" t="s">
        <v>26</v>
      </c>
      <c r="H26" s="7"/>
      <c r="I26" s="7"/>
    </row>
    <row r="27" spans="1:9" ht="33" customHeight="1">
      <c r="A27" s="35"/>
      <c r="B27" s="48" t="s">
        <v>38</v>
      </c>
      <c r="C27" s="55" t="s">
        <v>39</v>
      </c>
      <c r="D27" s="36">
        <v>1</v>
      </c>
      <c r="E27" s="36" t="s">
        <v>25</v>
      </c>
      <c r="F27" s="49">
        <f>SUM(F17+F21+F22+F23+F24+F25+F26)*5%</f>
        <v>26495.389303038755</v>
      </c>
      <c r="G27" s="41"/>
      <c r="H27" s="7"/>
      <c r="I27" s="7"/>
    </row>
    <row r="28" spans="1:9" ht="33" customHeight="1">
      <c r="A28" s="35"/>
      <c r="B28" s="42" t="s">
        <v>33</v>
      </c>
      <c r="C28" s="56"/>
      <c r="D28" s="57"/>
      <c r="E28" s="43"/>
      <c r="F28" s="58">
        <f>F21+F22+F23+F24+F25+F26+F27</f>
        <v>99602.17536381376</v>
      </c>
      <c r="G28" s="41"/>
      <c r="H28" s="7"/>
      <c r="I28" s="7"/>
    </row>
    <row r="29" spans="1:9" ht="33" customHeight="1">
      <c r="A29" s="35"/>
      <c r="B29" s="46"/>
      <c r="C29" s="59"/>
      <c r="D29" s="60"/>
      <c r="E29" s="38"/>
      <c r="F29" s="61"/>
      <c r="G29" s="41"/>
      <c r="H29" s="7"/>
      <c r="I29" s="7"/>
    </row>
    <row r="30" spans="1:9" ht="33" customHeight="1">
      <c r="A30" s="35"/>
      <c r="B30" s="62"/>
      <c r="C30" s="59"/>
      <c r="D30" s="60"/>
      <c r="E30" s="38"/>
      <c r="F30" s="63">
        <f>F19+F28+F29</f>
        <v>556403.17536381376</v>
      </c>
      <c r="G30" s="41"/>
      <c r="H30" s="7"/>
      <c r="I30" s="7"/>
    </row>
    <row r="31" spans="1:9" ht="33" customHeight="1">
      <c r="A31" s="35"/>
      <c r="B31" s="42" t="s">
        <v>34</v>
      </c>
      <c r="C31" s="42"/>
      <c r="D31" s="43"/>
      <c r="E31" s="43"/>
      <c r="F31" s="64">
        <f>ROUNDDOWN(F30,-3)</f>
        <v>556000</v>
      </c>
      <c r="G31" s="41"/>
      <c r="H31" s="7"/>
      <c r="I31" s="7"/>
    </row>
    <row r="32" spans="1:9" ht="33" customHeight="1" thickBot="1">
      <c r="A32" s="65"/>
      <c r="B32" s="66" t="s">
        <v>35</v>
      </c>
      <c r="C32" s="67"/>
      <c r="D32" s="67"/>
      <c r="E32" s="67"/>
      <c r="F32" s="68"/>
      <c r="G32" s="69"/>
      <c r="H32" s="7"/>
      <c r="I32" s="7"/>
    </row>
    <row r="33" spans="2:2" s="7" customFormat="1" ht="15.75">
      <c r="B33" s="70"/>
    </row>
    <row r="34" spans="2:2" s="7" customFormat="1" ht="15.75">
      <c r="B34" s="70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90" zoomScaleNormal="90" workbookViewId="0">
      <selection activeCell="T23" sqref="T23"/>
    </sheetView>
  </sheetViews>
  <sheetFormatPr defaultColWidth="9" defaultRowHeight="12.75"/>
  <cols>
    <col min="1" max="1" width="17.5" style="107" bestFit="1" customWidth="1"/>
    <col min="2" max="5" width="18.5" style="107" hidden="1" customWidth="1"/>
    <col min="6" max="6" width="15.75" style="72" hidden="1" customWidth="1"/>
    <col min="7" max="7" width="12.75" style="72" hidden="1" customWidth="1"/>
    <col min="8" max="8" width="16.625" style="72" hidden="1" customWidth="1"/>
    <col min="9" max="9" width="10.125" style="72" hidden="1" customWidth="1"/>
    <col min="10" max="10" width="38.125" style="72" bestFit="1" customWidth="1"/>
    <col min="11" max="11" width="25.125" style="72" bestFit="1" customWidth="1"/>
    <col min="12" max="12" width="5.25" style="72" bestFit="1" customWidth="1"/>
    <col min="13" max="13" width="6.375" style="72" bestFit="1" customWidth="1"/>
    <col min="14" max="14" width="10.125" style="72" bestFit="1" customWidth="1"/>
    <col min="15" max="15" width="10.5" style="72" bestFit="1" customWidth="1"/>
    <col min="16" max="16" width="7.625" style="72" bestFit="1" customWidth="1"/>
    <col min="17" max="17" width="12.25" style="72" bestFit="1" customWidth="1"/>
    <col min="18" max="18" width="6.375" style="72" bestFit="1" customWidth="1"/>
    <col min="19" max="19" width="8.5" style="72" bestFit="1" customWidth="1"/>
    <col min="20" max="20" width="6.375" style="72" bestFit="1" customWidth="1"/>
    <col min="21" max="21" width="8.5" style="72" bestFit="1" customWidth="1"/>
    <col min="22" max="22" width="12.25" style="72" bestFit="1" customWidth="1"/>
    <col min="23" max="23" width="10.625" style="73" bestFit="1" customWidth="1"/>
    <col min="24" max="24" width="8.5" style="72" bestFit="1" customWidth="1"/>
    <col min="25" max="16384" width="9" style="72"/>
  </cols>
  <sheetData>
    <row r="1" spans="1:24" ht="19.899999999999999" customHeight="1">
      <c r="A1" s="135"/>
      <c r="B1" s="135"/>
      <c r="C1" s="135"/>
      <c r="D1" s="135"/>
      <c r="E1" s="135"/>
      <c r="F1" s="135"/>
      <c r="G1" s="135"/>
      <c r="H1" s="135"/>
      <c r="I1" s="135"/>
      <c r="N1" s="73"/>
      <c r="O1" s="71" t="s">
        <v>60</v>
      </c>
      <c r="Q1" s="71" t="s">
        <v>60</v>
      </c>
      <c r="S1" s="71" t="s">
        <v>60</v>
      </c>
      <c r="U1" s="71" t="s">
        <v>60</v>
      </c>
    </row>
    <row r="2" spans="1:24" ht="19.899999999999999" customHeight="1" thickBot="1">
      <c r="A2" s="135"/>
      <c r="B2" s="135"/>
      <c r="C2" s="135"/>
      <c r="D2" s="135"/>
      <c r="E2" s="135"/>
      <c r="F2" s="135"/>
      <c r="G2" s="135"/>
      <c r="H2" s="135"/>
      <c r="I2" s="135"/>
      <c r="N2" s="74"/>
      <c r="O2" s="75">
        <v>0.83499999999999996</v>
      </c>
      <c r="Q2" s="75">
        <v>0.83499999999999996</v>
      </c>
      <c r="S2" s="75">
        <v>0.83499999999999996</v>
      </c>
      <c r="U2" s="75">
        <v>0.83499999999999996</v>
      </c>
    </row>
    <row r="3" spans="1:24" ht="19.899999999999999" customHeight="1">
      <c r="A3" s="76"/>
      <c r="B3" s="76"/>
      <c r="C3" s="76"/>
      <c r="D3" s="76"/>
      <c r="E3" s="76"/>
      <c r="F3" s="76" t="s">
        <v>61</v>
      </c>
      <c r="G3" s="77"/>
      <c r="H3" s="77"/>
      <c r="I3" s="77"/>
      <c r="J3" s="144" t="s">
        <v>62</v>
      </c>
      <c r="K3" s="144"/>
      <c r="L3" s="144" t="s">
        <v>63</v>
      </c>
      <c r="M3" s="144" t="s">
        <v>64</v>
      </c>
      <c r="N3" s="140" t="s">
        <v>65</v>
      </c>
      <c r="O3" s="140"/>
      <c r="P3" s="140" t="s">
        <v>66</v>
      </c>
      <c r="Q3" s="140"/>
      <c r="R3" s="141" t="s">
        <v>67</v>
      </c>
      <c r="S3" s="141"/>
      <c r="T3" s="141" t="s">
        <v>68</v>
      </c>
      <c r="U3" s="141"/>
      <c r="V3" s="142" t="s">
        <v>69</v>
      </c>
      <c r="W3" s="138" t="s">
        <v>70</v>
      </c>
      <c r="X3" s="136" t="s">
        <v>47</v>
      </c>
    </row>
    <row r="4" spans="1:24" ht="19.899999999999999" customHeight="1">
      <c r="A4" s="78" t="s">
        <v>71</v>
      </c>
      <c r="B4" s="79"/>
      <c r="C4" s="79"/>
      <c r="D4" s="79"/>
      <c r="E4" s="79"/>
      <c r="F4" s="80" t="s">
        <v>72</v>
      </c>
      <c r="G4" s="80" t="s">
        <v>73</v>
      </c>
      <c r="H4" s="80" t="s">
        <v>74</v>
      </c>
      <c r="I4" s="80" t="s">
        <v>75</v>
      </c>
      <c r="J4" s="81" t="s">
        <v>76</v>
      </c>
      <c r="K4" s="81" t="s">
        <v>77</v>
      </c>
      <c r="L4" s="145"/>
      <c r="M4" s="145"/>
      <c r="N4" s="82" t="s">
        <v>78</v>
      </c>
      <c r="O4" s="83" t="s">
        <v>79</v>
      </c>
      <c r="P4" s="82" t="s">
        <v>80</v>
      </c>
      <c r="Q4" s="83" t="s">
        <v>79</v>
      </c>
      <c r="R4" s="83" t="s">
        <v>81</v>
      </c>
      <c r="S4" s="83" t="s">
        <v>79</v>
      </c>
      <c r="T4" s="83" t="s">
        <v>81</v>
      </c>
      <c r="U4" s="83" t="s">
        <v>79</v>
      </c>
      <c r="V4" s="143"/>
      <c r="W4" s="139"/>
      <c r="X4" s="137"/>
    </row>
    <row r="5" spans="1:24" s="94" customFormat="1" ht="19.899999999999999" customHeight="1">
      <c r="A5" s="84" t="str">
        <f t="shared" ref="A5:A8" si="0">F5&amp;G5&amp;H5&amp;I5</f>
        <v>L009</v>
      </c>
      <c r="B5" s="85"/>
      <c r="C5" s="85"/>
      <c r="D5" s="85"/>
      <c r="E5" s="85"/>
      <c r="F5" s="95"/>
      <c r="G5" s="86"/>
      <c r="H5" s="87"/>
      <c r="I5" s="125" t="s">
        <v>84</v>
      </c>
      <c r="J5" s="88" t="s">
        <v>86</v>
      </c>
      <c r="K5" s="88" t="s">
        <v>87</v>
      </c>
      <c r="L5" s="88" t="s">
        <v>89</v>
      </c>
      <c r="M5" s="97">
        <v>1</v>
      </c>
      <c r="N5" s="89"/>
      <c r="O5" s="90">
        <f>M5*N5</f>
        <v>0</v>
      </c>
      <c r="P5" s="124">
        <v>237480</v>
      </c>
      <c r="Q5" s="90">
        <f>M5*P5</f>
        <v>237480</v>
      </c>
      <c r="R5" s="91"/>
      <c r="S5" s="90">
        <f t="shared" ref="S5:S8" si="1">R5*M5*$S$2</f>
        <v>0</v>
      </c>
      <c r="T5" s="91"/>
      <c r="U5" s="90">
        <f t="shared" ref="U5:U8" si="2">T5*M5*$U$2</f>
        <v>0</v>
      </c>
      <c r="V5" s="91">
        <f t="shared" ref="V5:V8" si="3">SUM(O5+Q5)+S5+U5</f>
        <v>237480</v>
      </c>
      <c r="W5" s="92"/>
      <c r="X5" s="93"/>
    </row>
    <row r="6" spans="1:24" s="94" customFormat="1" ht="19.899999999999999" customHeight="1">
      <c r="A6" s="84" t="str">
        <f t="shared" si="0"/>
        <v>L003</v>
      </c>
      <c r="B6" s="85"/>
      <c r="C6" s="85"/>
      <c r="D6" s="85"/>
      <c r="E6" s="85"/>
      <c r="F6" s="95"/>
      <c r="G6" s="86"/>
      <c r="H6" s="87"/>
      <c r="I6" s="125" t="s">
        <v>85</v>
      </c>
      <c r="J6" s="98"/>
      <c r="K6" s="113" t="s">
        <v>88</v>
      </c>
      <c r="L6" s="88" t="s">
        <v>89</v>
      </c>
      <c r="M6" s="97">
        <v>1</v>
      </c>
      <c r="N6" s="89"/>
      <c r="O6" s="90">
        <f t="shared" ref="O6:O8" si="4">SUM(N6:N6)*M6*$O$2</f>
        <v>0</v>
      </c>
      <c r="P6" s="124">
        <v>219321</v>
      </c>
      <c r="Q6" s="90">
        <f>M6*P6</f>
        <v>219321</v>
      </c>
      <c r="R6" s="91"/>
      <c r="S6" s="90">
        <f t="shared" si="1"/>
        <v>0</v>
      </c>
      <c r="T6" s="91"/>
      <c r="U6" s="90">
        <f t="shared" si="2"/>
        <v>0</v>
      </c>
      <c r="V6" s="91">
        <f t="shared" si="3"/>
        <v>219321</v>
      </c>
      <c r="W6" s="100"/>
      <c r="X6" s="93"/>
    </row>
    <row r="7" spans="1:24" s="94" customFormat="1" ht="19.899999999999999" customHeight="1">
      <c r="A7" s="84" t="str">
        <f t="shared" si="0"/>
        <v/>
      </c>
      <c r="B7" s="85"/>
      <c r="C7" s="85"/>
      <c r="D7" s="85"/>
      <c r="E7" s="85"/>
      <c r="F7" s="114"/>
      <c r="G7" s="115"/>
      <c r="H7" s="116"/>
      <c r="I7" s="117"/>
      <c r="J7" s="118"/>
      <c r="K7" s="118"/>
      <c r="L7" s="119"/>
      <c r="M7" s="120"/>
      <c r="N7" s="121"/>
      <c r="O7" s="122">
        <f t="shared" si="4"/>
        <v>0</v>
      </c>
      <c r="P7" s="123"/>
      <c r="Q7" s="122">
        <f t="shared" ref="Q7:Q8" si="5">(P7*M7)*$Q$2</f>
        <v>0</v>
      </c>
      <c r="R7" s="91"/>
      <c r="S7" s="90">
        <f t="shared" si="1"/>
        <v>0</v>
      </c>
      <c r="T7" s="91"/>
      <c r="U7" s="90">
        <f t="shared" si="2"/>
        <v>0</v>
      </c>
      <c r="V7" s="91">
        <f t="shared" si="3"/>
        <v>0</v>
      </c>
      <c r="W7" s="100"/>
      <c r="X7" s="93"/>
    </row>
    <row r="8" spans="1:24" s="94" customFormat="1" ht="19.899999999999999" customHeight="1">
      <c r="A8" s="84" t="str">
        <f t="shared" si="0"/>
        <v/>
      </c>
      <c r="B8" s="85"/>
      <c r="C8" s="85"/>
      <c r="D8" s="85"/>
      <c r="E8" s="85"/>
      <c r="F8" s="95"/>
      <c r="G8" s="86"/>
      <c r="H8" s="87"/>
      <c r="I8" s="4"/>
      <c r="J8" s="98"/>
      <c r="K8" s="98"/>
      <c r="L8" s="99"/>
      <c r="M8" s="97"/>
      <c r="N8" s="89"/>
      <c r="O8" s="90">
        <f t="shared" si="4"/>
        <v>0</v>
      </c>
      <c r="P8" s="96"/>
      <c r="Q8" s="90">
        <f t="shared" si="5"/>
        <v>0</v>
      </c>
      <c r="R8" s="91"/>
      <c r="S8" s="90">
        <f t="shared" si="1"/>
        <v>0</v>
      </c>
      <c r="T8" s="91"/>
      <c r="U8" s="90">
        <f t="shared" si="2"/>
        <v>0</v>
      </c>
      <c r="V8" s="91">
        <f t="shared" si="3"/>
        <v>0</v>
      </c>
      <c r="W8" s="100"/>
      <c r="X8" s="93"/>
    </row>
    <row r="9" spans="1:24" s="102" customFormat="1" ht="19.899999999999999" customHeight="1">
      <c r="A9" s="101"/>
      <c r="B9" s="101"/>
      <c r="C9" s="101"/>
      <c r="D9" s="101"/>
      <c r="E9" s="101"/>
      <c r="O9" s="103">
        <f>SUM(O5:O8)</f>
        <v>0</v>
      </c>
      <c r="P9" s="104"/>
      <c r="Q9" s="103">
        <f>SUM(Q5:Q8)</f>
        <v>456801</v>
      </c>
      <c r="R9" s="104"/>
      <c r="S9" s="103">
        <f>SUM(S5:S8)</f>
        <v>0</v>
      </c>
      <c r="T9" s="104"/>
      <c r="U9" s="103">
        <f>SUM(U5:U8)</f>
        <v>0</v>
      </c>
      <c r="V9" s="105">
        <f>SUM(V5:V8)</f>
        <v>456801</v>
      </c>
      <c r="W9" s="106"/>
    </row>
    <row r="13" spans="1:24">
      <c r="Q13" s="10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3"/>
  <sheetViews>
    <sheetView showGridLines="0" zoomScaleNormal="100" workbookViewId="0">
      <selection activeCell="D15" sqref="D15"/>
    </sheetView>
  </sheetViews>
  <sheetFormatPr defaultColWidth="9" defaultRowHeight="16.5"/>
  <cols>
    <col min="1" max="1" width="25.125" style="112" customWidth="1"/>
    <col min="2" max="2" width="16.25" style="112" customWidth="1"/>
    <col min="3" max="3" width="22.375" style="112" customWidth="1"/>
    <col min="4" max="4" width="24.125" style="112" customWidth="1"/>
    <col min="5" max="5" width="13" style="112" customWidth="1"/>
    <col min="6" max="6" width="7.5" style="112" customWidth="1"/>
    <col min="7" max="16384" width="9" style="109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37</v>
      </c>
    </row>
    <row r="2" spans="1:8">
      <c r="A2" s="110" t="str">
        <f>'내역서(표준단가)'!A5</f>
        <v>L009</v>
      </c>
      <c r="B2" s="111">
        <f>'내역서(표준단가)'!F5</f>
        <v>0</v>
      </c>
      <c r="C2" s="111">
        <f>'내역서(표준단가)'!G5</f>
        <v>0</v>
      </c>
      <c r="D2" s="111">
        <f>'내역서(표준단가)'!H5</f>
        <v>0</v>
      </c>
      <c r="E2" s="111" t="str">
        <f>'내역서(표준단가)'!I5</f>
        <v>L009</v>
      </c>
      <c r="F2" s="111">
        <f>'내역서(표준단가)'!M5</f>
        <v>1</v>
      </c>
    </row>
    <row r="3" spans="1:8">
      <c r="A3" s="110" t="str">
        <f>'내역서(표준단가)'!A6</f>
        <v>L003</v>
      </c>
      <c r="B3" s="111">
        <f>'내역서(표준단가)'!F6</f>
        <v>0</v>
      </c>
      <c r="C3" s="111">
        <f>'내역서(표준단가)'!G6</f>
        <v>0</v>
      </c>
      <c r="D3" s="111">
        <f>'내역서(표준단가)'!H6</f>
        <v>0</v>
      </c>
      <c r="E3" s="111" t="str">
        <f>'내역서(표준단가)'!I6</f>
        <v>L003</v>
      </c>
      <c r="F3" s="111">
        <f>'내역서(표준단가)'!M6</f>
        <v>1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2025-06-25T07:01:56Z</dcterms:modified>
</cp:coreProperties>
</file>
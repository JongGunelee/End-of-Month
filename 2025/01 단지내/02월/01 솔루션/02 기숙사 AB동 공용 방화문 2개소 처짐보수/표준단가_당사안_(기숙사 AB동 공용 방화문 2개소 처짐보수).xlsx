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1 기숙사 AB동 공용 방화문 2개소 처짐보수\"/>
    </mc:Choice>
  </mc:AlternateContent>
  <xr:revisionPtr revIDLastSave="0" documentId="13_ncr:1_{2FCE4B61-6BD3-4B3D-950D-6FCBE0564BA2}" xr6:coauthVersionLast="47" xr6:coauthVersionMax="47" xr10:uidLastSave="{00000000-0000-0000-0000-000000000000}"/>
  <bookViews>
    <workbookView xWindow="1560" yWindow="720" windowWidth="14610" windowHeight="1548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4" i="1" s="1"/>
  <c r="O7" i="4"/>
  <c r="Q7" i="4"/>
  <c r="S7" i="4"/>
  <c r="U7" i="4"/>
  <c r="F4" i="1"/>
  <c r="E4" i="1"/>
  <c r="D4" i="1"/>
  <c r="C4" i="1"/>
  <c r="B4" i="1"/>
  <c r="F3" i="1"/>
  <c r="E3" i="1"/>
  <c r="D3" i="1"/>
  <c r="C3" i="1"/>
  <c r="B3" i="1"/>
  <c r="A6" i="4"/>
  <c r="A3" i="1" s="1"/>
  <c r="V7" i="4" l="1"/>
  <c r="F2" i="1"/>
  <c r="E2" i="1"/>
  <c r="D2" i="1"/>
  <c r="C2" i="1"/>
  <c r="B2" i="1"/>
  <c r="U5" i="4" l="1"/>
  <c r="S5" i="4"/>
  <c r="Q5" i="4"/>
  <c r="O5" i="4"/>
  <c r="A5" i="4"/>
  <c r="A2" i="1" s="1"/>
  <c r="V5" i="4" l="1"/>
  <c r="A8" i="4" l="1"/>
  <c r="U8" i="4" l="1"/>
  <c r="S8" i="4"/>
  <c r="Q8" i="4"/>
  <c r="O8" i="4"/>
  <c r="U6" i="4"/>
  <c r="S6" i="4"/>
  <c r="Q6" i="4"/>
  <c r="O6" i="4"/>
  <c r="V6" i="4" l="1"/>
  <c r="V8" i="4"/>
  <c r="U9" i="4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<sst xmlns="http://schemas.openxmlformats.org/spreadsheetml/2006/main" count="116" uniqueCount="93">
  <si>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</si>
  <si>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</si>
  <si>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</si>
  <si>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</si>
  <si>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</si>
  <si>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</si>
  <si>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</si>
  <si>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</si>
  <si>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</si>
  <si>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</si>
  <si>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</si>
  <si>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</si>
  <si>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</si>
  <si>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</si>
  <si>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</si>
  <si>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</si>
  <si>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</si>
  <si>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</si>
  <si>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</si>
  <si>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</si>
  <si>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</si>
  <si>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</si>
  <si>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</si>
  <si>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</si>
  <si>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</si>
  <si>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</si>
  <si>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</si>
  <si>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</si>
  <si>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</si>
  <si>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</si>
  <si>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</si>
  <si>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</si>
  <si>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</si>
  <si>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</si>
  <si>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</si>
  <si>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</si>
  <si>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</si>
  <si>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</si>
  <si>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</si>
  <si>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</si>
  <si>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</si>
  <si>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</si>
  <si>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</si>
  <si>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</si>
  <si>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</si>
  <si>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</si>
  <si>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</si>
  <si>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</si>
  <si>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</si>
  <si>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</si>
  <si>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</si>
  <si>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</si>
  <si>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</si>
  <si>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</si>
  <si>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</si>
  <si>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</si>
  <si>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</si>
  <si>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</si>
  <si>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</si>
  <si>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</si>
  <si>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L003</t>
  </si>
  <si>
    <t>인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</si>
  <si>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</si>
  <si>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</si>
  <si>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</si>
  <si>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</si>
  <si>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</si>
  <si>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</si>
  <si>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</si>
  <si>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</si>
  <si>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</si>
  <si>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</si>
  <si>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</si>
  <si>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</si>
  <si>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</si>
  <si>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</si>
  <si>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</si>
  <si>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</si>
  <si>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</si>
  <si>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</si>
  <si>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</si>
  <si>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</si>
  <si>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2024 년  12월  30일</t>
    <phoneticPr fontId="11" type="noConversion"/>
  </si>
  <si>
    <t xml:space="preserve"> 공사명 : 기숙사 A동 소방 점검 지적사항 보수(건축)</t>
    <phoneticPr fontId="11" type="noConversion"/>
  </si>
  <si>
    <t xml:space="preserve">② A동 10층 E/V홀 4번 방화문 연동 시 문틀에 고정되어 폐쇄 안됨(끼임현상) </t>
    <phoneticPr fontId="5" type="noConversion"/>
  </si>
  <si>
    <t xml:space="preserve">⑤ B동 8층 E/V홀 4번 방화문 연동 시 바닥걸림으로 방화문 폐쇄 안됨 </t>
    <phoneticPr fontId="5" type="noConversion"/>
  </si>
  <si>
    <t xml:space="preserve">*작업내용-작업의뢰서 2.5번 </t>
    <phoneticPr fontId="5" type="noConversion"/>
  </si>
  <si>
    <t>L009</t>
  </si>
  <si>
    <t>L002</t>
  </si>
  <si>
    <t>철공*2일 작업</t>
    <phoneticPr fontId="5" type="noConversion"/>
  </si>
  <si>
    <t>특령인부*2일 작업</t>
    <phoneticPr fontId="5" type="noConversion"/>
  </si>
  <si>
    <t>화기 잠시자*2일 작업</t>
    <phoneticPr fontId="5" type="noConversion"/>
  </si>
  <si>
    <t>시중노임단가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</si>
</sst>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name val="LG스마트체 Regular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5" fillId="0" borderId="0" xfId="0" applyFont="1">
      <alignment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0" xfId="0" applyFont="1">
      <alignment vertical="center"/>
    </xf>
    <xf numFmtId="9" fontId="26" fillId="0" borderId="3" xfId="0" applyNumberFormat="1" applyFont="1" applyBorder="1" applyAlignment="1">
      <alignment horizontal="center"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12" fillId="10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183" fontId="29" fillId="0" borderId="3" xfId="1" applyNumberFormat="1" applyFont="1" applyFill="1" applyBorder="1" applyAlignment="1">
      <alignment horizontal="center" vertical="center"/>
    </xf>
    <xf numFmtId="49" fontId="27" fillId="5" borderId="3" xfId="0" applyNumberFormat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19" fillId="5" borderId="3" xfId="0" applyFont="1" applyFill="1" applyBorder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49" fontId="19" fillId="7" borderId="34" xfId="0" applyNumberFormat="1" applyFont="1" applyFill="1" applyBorder="1" applyAlignment="1">
      <alignment horizontal="center" vertical="center" wrapText="1"/>
    </xf>
    <xf numFmtId="0" fontId="19" fillId="7" borderId="34" xfId="0" applyFont="1" applyFill="1" applyBorder="1" applyAlignment="1">
      <alignment horizontal="center" vertical="center"/>
    </xf>
    <xf numFmtId="0" fontId="19" fillId="0" borderId="34" xfId="3" applyFont="1" applyBorder="1" applyAlignment="1">
      <alignment horizontal="left" vertical="center" shrinkToFit="1"/>
    </xf>
    <xf numFmtId="0" fontId="19" fillId="0" borderId="34" xfId="3" applyFont="1" applyBorder="1" applyAlignment="1">
      <alignment horizontal="center" vertical="center"/>
    </xf>
    <xf numFmtId="183" fontId="19" fillId="0" borderId="34" xfId="1" applyNumberFormat="1" applyFont="1" applyFill="1" applyBorder="1" applyAlignment="1">
      <alignment horizontal="center" vertical="center"/>
    </xf>
    <xf numFmtId="0" fontId="19" fillId="0" borderId="34" xfId="0" applyFont="1" applyBorder="1">
      <alignment vertical="center"/>
    </xf>
    <xf numFmtId="177" fontId="19" fillId="6" borderId="34" xfId="1" applyFont="1" applyFill="1" applyBorder="1" applyAlignment="1">
      <alignment horizontal="center" vertical="center" wrapText="1"/>
    </xf>
    <xf numFmtId="184" fontId="19" fillId="5" borderId="34" xfId="0" applyNumberFormat="1" applyFont="1" applyFill="1" applyBorder="1" applyAlignment="1">
      <alignment horizontal="right" vertical="center" wrapText="1"/>
    </xf>
    <xf numFmtId="177" fontId="19" fillId="0" borderId="34" xfId="1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/>
    </xf>
    <xf numFmtId="184" fontId="28" fillId="5" borderId="3" xfId="0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N16" sqref="N1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3" t="s">
        <v>6</v>
      </c>
      <c r="B2" s="123"/>
      <c r="C2" s="123"/>
      <c r="D2" s="123"/>
      <c r="E2" s="123"/>
      <c r="F2" s="123"/>
      <c r="G2" s="123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26" t="s">
        <v>83</v>
      </c>
      <c r="B7" s="127"/>
      <c r="C7" s="128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26" t="s">
        <v>82</v>
      </c>
      <c r="B9" s="127"/>
      <c r="C9" s="128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24"/>
      <c r="B11" s="125"/>
      <c r="C11" s="125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일백삼십일만사천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'내역서(표준단가)'!O9</f>
        <v>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'내역서(표준단가)'!Q9</f>
        <v>1079120.95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'내역서(표준단가)'!S9+'내역서(표준단가)'!U9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1079120.95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48560.442749999995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38254.8376775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4954.0014792362499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10899.121594999999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38416.705819999996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31618.243835000001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62591.215157836807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235294.56831457303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1314415.518314573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1314000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70" zoomScaleNormal="70" workbookViewId="0">
      <selection activeCell="J6" sqref="J6"/>
    </sheetView>
  </sheetViews>
  <sheetFormatPr defaultColWidth="9" defaultRowHeight="12.75"/>
  <cols>
    <col min="1" max="1" width="19.375" style="100" bestFit="1" customWidth="1"/>
    <col min="2" max="5" width="18.5" style="100" hidden="1" customWidth="1"/>
    <col min="6" max="6" width="16.75" style="71" hidden="1" customWidth="1"/>
    <col min="7" max="7" width="15.5" style="71" hidden="1" customWidth="1"/>
    <col min="8" max="8" width="16.625" style="71" hidden="1" customWidth="1"/>
    <col min="9" max="9" width="10.125" style="71" hidden="1" customWidth="1"/>
    <col min="10" max="10" width="38.125" style="71" bestFit="1" customWidth="1"/>
    <col min="11" max="11" width="26.375" style="71" bestFit="1" customWidth="1"/>
    <col min="12" max="12" width="5.25" style="71" bestFit="1" customWidth="1"/>
    <col min="13" max="13" width="8.125" style="71" bestFit="1" customWidth="1"/>
    <col min="14" max="14" width="10.25" style="71" bestFit="1" customWidth="1"/>
    <col min="15" max="15" width="15.5" style="71" bestFit="1" customWidth="1"/>
    <col min="16" max="16" width="10.25" style="71" bestFit="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5.5" style="71" bestFit="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19.899999999999999" customHeight="1">
      <c r="A1" s="129"/>
      <c r="B1" s="129"/>
      <c r="C1" s="129"/>
      <c r="D1" s="129"/>
      <c r="E1" s="129"/>
      <c r="F1" s="129"/>
      <c r="G1" s="129"/>
      <c r="H1" s="129"/>
      <c r="I1" s="129"/>
      <c r="N1" s="72"/>
      <c r="O1" s="70" t="s">
        <v>62</v>
      </c>
      <c r="Q1" s="70" t="s">
        <v>62</v>
      </c>
      <c r="S1" s="70" t="s">
        <v>62</v>
      </c>
      <c r="U1" s="70" t="s">
        <v>62</v>
      </c>
    </row>
    <row r="2" spans="1:24" ht="19.899999999999999" customHeight="1" thickBot="1">
      <c r="A2" s="129"/>
      <c r="B2" s="129"/>
      <c r="C2" s="129"/>
      <c r="D2" s="129"/>
      <c r="E2" s="129"/>
      <c r="F2" s="129"/>
      <c r="G2" s="129"/>
      <c r="H2" s="129"/>
      <c r="I2" s="129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>
      <c r="A3" s="75"/>
      <c r="B3" s="75"/>
      <c r="C3" s="75"/>
      <c r="D3" s="75"/>
      <c r="E3" s="75"/>
      <c r="F3" s="75" t="s">
        <v>63</v>
      </c>
      <c r="G3" s="76"/>
      <c r="H3" s="76"/>
      <c r="I3" s="76"/>
      <c r="J3" s="138" t="s">
        <v>64</v>
      </c>
      <c r="K3" s="138"/>
      <c r="L3" s="138" t="s">
        <v>48</v>
      </c>
      <c r="M3" s="138" t="s">
        <v>5</v>
      </c>
      <c r="N3" s="134" t="s">
        <v>65</v>
      </c>
      <c r="O3" s="134"/>
      <c r="P3" s="134" t="s">
        <v>66</v>
      </c>
      <c r="Q3" s="134"/>
      <c r="R3" s="135" t="s">
        <v>67</v>
      </c>
      <c r="S3" s="135"/>
      <c r="T3" s="135" t="s">
        <v>68</v>
      </c>
      <c r="U3" s="135"/>
      <c r="V3" s="136" t="s">
        <v>69</v>
      </c>
      <c r="W3" s="132" t="s">
        <v>70</v>
      </c>
      <c r="X3" s="130" t="s">
        <v>46</v>
      </c>
    </row>
    <row r="4" spans="1:24" ht="19.899999999999999" customHeight="1">
      <c r="A4" s="77" t="s">
        <v>71</v>
      </c>
      <c r="B4" s="78"/>
      <c r="C4" s="78"/>
      <c r="D4" s="78"/>
      <c r="E4" s="78"/>
      <c r="F4" s="79" t="s">
        <v>72</v>
      </c>
      <c r="G4" s="79" t="s">
        <v>73</v>
      </c>
      <c r="H4" s="79" t="s">
        <v>74</v>
      </c>
      <c r="I4" s="79" t="s">
        <v>75</v>
      </c>
      <c r="J4" s="80" t="s">
        <v>76</v>
      </c>
      <c r="K4" s="80" t="s">
        <v>77</v>
      </c>
      <c r="L4" s="139"/>
      <c r="M4" s="139"/>
      <c r="N4" s="81" t="s">
        <v>78</v>
      </c>
      <c r="O4" s="82" t="s">
        <v>79</v>
      </c>
      <c r="P4" s="81" t="s">
        <v>80</v>
      </c>
      <c r="Q4" s="82" t="s">
        <v>79</v>
      </c>
      <c r="R4" s="82" t="s">
        <v>81</v>
      </c>
      <c r="S4" s="82" t="s">
        <v>79</v>
      </c>
      <c r="T4" s="82" t="s">
        <v>81</v>
      </c>
      <c r="U4" s="82" t="s">
        <v>79</v>
      </c>
      <c r="V4" s="137"/>
      <c r="W4" s="133"/>
      <c r="X4" s="131"/>
    </row>
    <row r="5" spans="1:24" s="92" customFormat="1" ht="20.100000000000001" customHeight="1">
      <c r="A5" s="83" t="str">
        <f t="shared" ref="A5:A7" si="0">F5&amp;G5&amp;H5&amp;I5</f>
        <v>L009</v>
      </c>
      <c r="B5" s="121"/>
      <c r="C5" s="121"/>
      <c r="D5" s="121"/>
      <c r="E5" s="121"/>
      <c r="F5" s="85"/>
      <c r="G5" s="84"/>
      <c r="H5" s="84"/>
      <c r="I5" s="105" t="s">
        <v>87</v>
      </c>
      <c r="J5" s="107" t="s">
        <v>89</v>
      </c>
      <c r="K5" s="86" t="s">
        <v>92</v>
      </c>
      <c r="L5" s="110" t="s">
        <v>61</v>
      </c>
      <c r="M5" s="106">
        <v>2</v>
      </c>
      <c r="N5" s="88"/>
      <c r="O5" s="89">
        <f t="shared" ref="O5" si="1">SUM(N5:N5)*M5*$O$2</f>
        <v>0</v>
      </c>
      <c r="P5" s="122">
        <v>230289</v>
      </c>
      <c r="Q5" s="89">
        <f t="shared" ref="Q5" si="2">M5*P5</f>
        <v>460578</v>
      </c>
      <c r="R5" s="90"/>
      <c r="S5" s="89">
        <f t="shared" ref="S5" si="3">R5*M5*$S$2</f>
        <v>0</v>
      </c>
      <c r="T5" s="90"/>
      <c r="U5" s="89">
        <f t="shared" ref="U5" si="4">T5*M5*$U$2</f>
        <v>0</v>
      </c>
      <c r="V5" s="90">
        <f t="shared" ref="V5" si="5">SUM(O5+Q5)+S5+U5</f>
        <v>460578</v>
      </c>
      <c r="W5" s="87"/>
      <c r="X5" s="91"/>
    </row>
    <row r="6" spans="1:24" s="92" customFormat="1" ht="19.899999999999999" customHeight="1">
      <c r="A6" s="83" t="str">
        <f t="shared" si="0"/>
        <v>L003</v>
      </c>
      <c r="B6" s="121"/>
      <c r="C6" s="121"/>
      <c r="D6" s="121"/>
      <c r="E6" s="121"/>
      <c r="F6" s="85"/>
      <c r="G6" s="84"/>
      <c r="H6" s="84"/>
      <c r="I6" s="105" t="s">
        <v>60</v>
      </c>
      <c r="J6" s="86" t="s">
        <v>90</v>
      </c>
      <c r="K6" s="86" t="s">
        <v>92</v>
      </c>
      <c r="L6" s="110" t="s">
        <v>61</v>
      </c>
      <c r="M6" s="106">
        <v>2</v>
      </c>
      <c r="N6" s="88"/>
      <c r="O6" s="89">
        <f t="shared" ref="O6:O8" si="6">SUM(N6:N6)*M6*$O$2</f>
        <v>0</v>
      </c>
      <c r="P6" s="122">
        <v>208527</v>
      </c>
      <c r="Q6" s="89">
        <f t="shared" ref="Q6:Q8" si="7">(P6*M6)*$Q$2</f>
        <v>348240.08999999997</v>
      </c>
      <c r="R6" s="90"/>
      <c r="S6" s="89">
        <f t="shared" ref="S6:S8" si="8">R6*M6*$S$2</f>
        <v>0</v>
      </c>
      <c r="T6" s="90"/>
      <c r="U6" s="89">
        <f t="shared" ref="U6:U8" si="9">T6*M6*$U$2</f>
        <v>0</v>
      </c>
      <c r="V6" s="90">
        <f t="shared" ref="V6:V8" si="10">SUM(O6+Q6)+S6+U6</f>
        <v>348240.08999999997</v>
      </c>
      <c r="W6" s="87"/>
      <c r="X6" s="91"/>
    </row>
    <row r="7" spans="1:24" s="92" customFormat="1" ht="19.899999999999999" customHeight="1">
      <c r="A7" s="83" t="str">
        <f t="shared" si="0"/>
        <v>L002</v>
      </c>
      <c r="B7" s="121"/>
      <c r="C7" s="121"/>
      <c r="D7" s="121"/>
      <c r="E7" s="121"/>
      <c r="F7" s="85"/>
      <c r="G7" s="84"/>
      <c r="H7" s="84"/>
      <c r="I7" s="105" t="s">
        <v>88</v>
      </c>
      <c r="J7" s="86" t="s">
        <v>91</v>
      </c>
      <c r="K7" s="86" t="s">
        <v>92</v>
      </c>
      <c r="L7" s="110" t="s">
        <v>61</v>
      </c>
      <c r="M7" s="106">
        <v>2</v>
      </c>
      <c r="N7" s="88"/>
      <c r="O7" s="89">
        <f t="shared" si="6"/>
        <v>0</v>
      </c>
      <c r="P7" s="122">
        <v>161858</v>
      </c>
      <c r="Q7" s="89">
        <f t="shared" si="7"/>
        <v>270302.86</v>
      </c>
      <c r="R7" s="90"/>
      <c r="S7" s="89">
        <f t="shared" si="8"/>
        <v>0</v>
      </c>
      <c r="T7" s="90"/>
      <c r="U7" s="89">
        <f t="shared" si="9"/>
        <v>0</v>
      </c>
      <c r="V7" s="90">
        <f t="shared" si="10"/>
        <v>270302.86</v>
      </c>
      <c r="W7" s="87"/>
      <c r="X7" s="91"/>
    </row>
    <row r="8" spans="1:24" s="92" customFormat="1" ht="19.899999999999999" customHeight="1">
      <c r="A8" s="83" t="str">
        <f t="shared" ref="A8" si="11">F8&amp;G8&amp;H8&amp;I8</f>
        <v/>
      </c>
      <c r="B8" s="111"/>
      <c r="C8" s="111"/>
      <c r="D8" s="111"/>
      <c r="E8" s="111"/>
      <c r="F8" s="112"/>
      <c r="G8" s="113"/>
      <c r="H8" s="113"/>
      <c r="I8" s="112"/>
      <c r="J8" s="114"/>
      <c r="K8" s="114"/>
      <c r="L8" s="115"/>
      <c r="M8" s="116"/>
      <c r="N8" s="117"/>
      <c r="O8" s="118">
        <f t="shared" si="6"/>
        <v>0</v>
      </c>
      <c r="P8" s="119"/>
      <c r="Q8" s="118">
        <f t="shared" si="7"/>
        <v>0</v>
      </c>
      <c r="R8" s="120"/>
      <c r="S8" s="118">
        <f t="shared" si="8"/>
        <v>0</v>
      </c>
      <c r="T8" s="120"/>
      <c r="U8" s="118">
        <f t="shared" si="9"/>
        <v>0</v>
      </c>
      <c r="V8" s="120">
        <f t="shared" si="10"/>
        <v>0</v>
      </c>
      <c r="W8" s="93"/>
      <c r="X8" s="91"/>
    </row>
    <row r="9" spans="1:24" s="95" customFormat="1" ht="19.899999999999999" customHeight="1">
      <c r="A9" s="94"/>
      <c r="B9" s="94"/>
      <c r="C9" s="94"/>
      <c r="D9" s="94"/>
      <c r="E9" s="94"/>
      <c r="O9" s="96">
        <f>SUM(O5:O8)</f>
        <v>0</v>
      </c>
      <c r="P9" s="97"/>
      <c r="Q9" s="96">
        <f>SUM(Q5:Q8)</f>
        <v>1079120.95</v>
      </c>
      <c r="R9" s="97"/>
      <c r="S9" s="96">
        <f>SUM(S5:S8)</f>
        <v>0</v>
      </c>
      <c r="T9" s="97"/>
      <c r="U9" s="96">
        <f>SUM(U5:U8)</f>
        <v>0</v>
      </c>
      <c r="V9" s="98">
        <f>SUM(V5:V8)</f>
        <v>1079120.95</v>
      </c>
      <c r="W9" s="99"/>
    </row>
    <row r="10" spans="1:24" ht="20.100000000000001" customHeight="1"/>
    <row r="11" spans="1:24" ht="20.100000000000001" customHeight="1">
      <c r="J11" s="108" t="s">
        <v>86</v>
      </c>
      <c r="K11" s="109"/>
    </row>
    <row r="12" spans="1:24" ht="18.75" customHeight="1">
      <c r="J12" s="108" t="s">
        <v>84</v>
      </c>
      <c r="K12" s="109"/>
    </row>
    <row r="13" spans="1:24" ht="20.100000000000001" customHeight="1">
      <c r="J13" s="108" t="s">
        <v>85</v>
      </c>
      <c r="K13" s="109"/>
      <c r="Q13" s="10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I20" sqref="I20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</row>
    <row r="2" spans="1:6">
      <c r="A2" s="103" t="str">
        <f>'내역서(표준단가)'!A5</f>
        <v>L009</v>
      </c>
      <c r="B2" s="104">
        <f>'내역서(표준단가)'!F5</f>
        <v>0</v>
      </c>
      <c r="C2" s="104">
        <f>'내역서(표준단가)'!G5</f>
        <v>0</v>
      </c>
      <c r="D2" s="104">
        <f>'내역서(표준단가)'!H5</f>
        <v>0</v>
      </c>
      <c r="E2" s="104" t="str">
        <f>'내역서(표준단가)'!I5</f>
        <v>L009</v>
      </c>
      <c r="F2" s="104">
        <f>'내역서(표준단가)'!M5</f>
        <v>2</v>
      </c>
    </row>
    <row r="3" spans="1:6">
      <c r="A3" s="103" t="str">
        <f>'내역서(표준단가)'!A6</f>
        <v>L003</v>
      </c>
      <c r="B3" s="104">
        <f>'내역서(표준단가)'!F6</f>
        <v>0</v>
      </c>
      <c r="C3" s="104">
        <f>'내역서(표준단가)'!G6</f>
        <v>0</v>
      </c>
      <c r="D3" s="104">
        <f>'내역서(표준단가)'!H6</f>
        <v>0</v>
      </c>
      <c r="E3" s="104" t="str">
        <f>'내역서(표준단가)'!I6</f>
        <v>L003</v>
      </c>
      <c r="F3" s="104">
        <f>'내역서(표준단가)'!M6</f>
        <v>2</v>
      </c>
    </row>
    <row r="4" spans="1:6">
      <c r="A4" s="103" t="str">
        <f>'내역서(표준단가)'!A7</f>
        <v>L002</v>
      </c>
      <c r="B4" s="104">
        <f>'내역서(표준단가)'!F7</f>
        <v>0</v>
      </c>
      <c r="C4" s="104">
        <f>'내역서(표준단가)'!G7</f>
        <v>0</v>
      </c>
      <c r="D4" s="104">
        <f>'내역서(표준단가)'!H7</f>
        <v>0</v>
      </c>
      <c r="E4" s="104" t="str">
        <f>'내역서(표준단가)'!I7</f>
        <v>L002</v>
      </c>
      <c r="F4" s="104">
        <f>'내역서(표준단가)'!M7</f>
        <v>2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2024-12-31T03:53:14Z</dcterms:modified>
</cp:coreProperties>
</file>
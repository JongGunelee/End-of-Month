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현재_통합_문서"/>
  <xr:revisionPtr revIDLastSave="0" documentId="13_ncr:1_{46ED6450-E68D-49E1-A928-6C7D0B65182E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8" i="9"/>
  <c r="N11" i="9"/>
  <c r="F13" i="9"/>
  <c r="N16" i="9"/>
  <c r="H30" i="9"/>
  <c r="H13" i="9"/>
  <c r="N8" i="9"/>
  <c r="N26" i="9"/>
  <c r="N7" i="9"/>
  <c r="N12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<sst xmlns="http://schemas.openxmlformats.org/spreadsheetml/2006/main" count="240" uniqueCount="172">
  <si>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</si>
  <si>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</si>
  <si>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</si>
  <si>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</si>
  <si>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</si>
  <si>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</si>
  <si>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</si>
  <si>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</si>
  <si>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</si>
  <si>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</si>
  <si>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</si>
  <si>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</si>
  <si>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</si>
  <si>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</si>
  <si>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</si>
  <si>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</si>
  <si>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</si>
  <si>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</si>
  <si>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</si>
  <si>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</si>
  <si>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</si>
  <si>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</si>
  <si>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</si>
  <si>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</si>
  <si>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</si>
  <si>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</si>
  <si>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</si>
  <si>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</si>
  <si>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</si>
  <si>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</si>
  <si>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</si>
  <si>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</si>
  <si>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</si>
  <si>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</si>
  <si>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</si>
  <si>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</si>
  <si>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</si>
  <si>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</si>
  <si>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</si>
  <si>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</si>
  <si>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</si>
  <si>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</si>
  <si>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</si>
  <si>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</si>
  <si>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</si>
  <si>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</si>
  <si>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</si>
  <si>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</si>
  <si>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</si>
  <si>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</si>
  <si>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</si>
  <si>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</si>
  <si>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</si>
  <si>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</si>
  <si>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</si>
  <si>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</si>
  <si>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</si>
  <si>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</si>
  <si>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</si>
  <si>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</si>
  <si>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</si>
  <si>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</si>
  <si>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</si>
  <si>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</si>
  <si>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</si>
  <si>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</si>
  <si>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</si>
  <si>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</si>
  <si>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</si>
  <si>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</si>
  <si>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</si>
  <si>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</si>
  <si>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</si>
  <si>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</si>
  <si>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</si>
  <si>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</si>
  <si>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</si>
  <si>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</si>
  <si>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</si>
  <si>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</si>
  <si>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</si>
  <si>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</si>
  <si>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</si>
  <si>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</si>
  <si>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</si>
  <si>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</si>
  <si>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</si>
  <si>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</si>
  <si>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</si>
  <si>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</si>
  <si>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</si>
  <si>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</si>
  <si>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</si>
  <si>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</si>
  <si>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</si>
  <si>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</si>
  <si>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</si>
  <si>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</si>
  <si>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</si>
  <si>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</si>
  <si>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</si>
  <si>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</si>
  <si>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</si>
  <si>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</si>
  <si>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</si>
  <si>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</si>
  <si>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</si>
  <si>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</si>
  <si>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</si>
  <si>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</si>
  <si>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</si>
  <si>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</si>
  <si>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</si>
  <si>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</si>
  <si>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</si>
  <si>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</si>
  <si>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</si>
  <si>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</si>
  <si>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</si>
  <si>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</si>
  <si>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</si>
  <si>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</si>
  <si>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</si>
  <si>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</si>
  <si>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</si>
  <si>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</si>
  <si>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</si>
  <si>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</si>
  <si>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</si>
  <si>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</si>
  <si>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</si>
  <si>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</si>
  <si>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</si>
  <si>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</si>
  <si>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</si>
  <si>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</si>
  <si>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</si>
  <si>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</si>
  <si>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</si>
  <si>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</si>
  <si>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</si>
  <si>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</si>
  <si>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</si>
  <si>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</si>
  <si>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</si>
  <si>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</si>
  <si>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</si>
  <si>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</si>
  <si>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</si>
  <si>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</si>
  <si>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</si>
  <si>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</si>
  <si>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</si>
  <si>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</si>
  <si>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</si>
  <si>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</si>
  <si>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</si>
  <si>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</si>
  <si>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</si>
  <si>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</si>
  <si>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</si>
  <si>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</si>
  <si>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</si>
  <si>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</si>
  <si>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</si>
  <si>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</si>
  <si>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</si>
  <si>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</si>
  <si>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</si>
  <si>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9-105 수장공사</t>
    <phoneticPr fontId="11" type="noConversion"/>
  </si>
  <si>
    <t xml:space="preserve"> 견적일 : 2026년  07월  30일</t>
    <phoneticPr fontId="5" type="noConversion"/>
  </si>
  <si>
    <t>사택 9-105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</si>
</sst>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3" fontId="28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3" sqref="L23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169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170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사백구십사만오천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886555.23800000001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3301092.7648479999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4187648.0028479998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156801.90633028001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118674.28489628561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15368.319894068987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33341.036924964799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117518.9024285888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122698.0864834464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193274.76509028173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757677.30204791634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4945325.304895916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4945000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I13" sqref="I13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0.3</v>
      </c>
      <c r="J10" s="155">
        <v>65500</v>
      </c>
      <c r="K10" s="126">
        <f t="shared" si="12"/>
        <v>16407.75</v>
      </c>
      <c r="L10" s="125"/>
      <c r="M10" s="126"/>
      <c r="N10" s="127"/>
      <c r="O10" s="126"/>
      <c r="P10" s="127"/>
      <c r="Q10" s="126"/>
      <c r="R10" s="73">
        <f t="shared" si="5"/>
        <v>16407.75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24</v>
      </c>
      <c r="J11" s="125"/>
      <c r="K11" s="126">
        <f t="shared" si="12"/>
        <v>0</v>
      </c>
      <c r="L11" s="158">
        <v>10752</v>
      </c>
      <c r="M11" s="126">
        <f t="shared" si="2"/>
        <v>215470.07999999999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215470.07999999999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24</v>
      </c>
      <c r="J12" s="125"/>
      <c r="K12" s="126">
        <f t="shared" si="12"/>
        <v>0</v>
      </c>
      <c r="L12" s="156">
        <v>6368</v>
      </c>
      <c r="M12" s="126">
        <f t="shared" si="2"/>
        <v>127614.72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127614.72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886555.23800000001</v>
      </c>
      <c r="L19" s="144"/>
      <c r="M19" s="143">
        <f>SUM(M5:M18)</f>
        <v>3301092.7648479999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4187648.0028480003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E37" sqref="E37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7" t="s">
        <v>58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</row>
    <row r="2" spans="1:16" ht="15" customHeight="1">
      <c r="A2" s="208" t="s">
        <v>59</v>
      </c>
      <c r="B2" s="209" t="s">
        <v>60</v>
      </c>
      <c r="C2" s="210" t="s">
        <v>47</v>
      </c>
      <c r="D2" s="210" t="s">
        <v>61</v>
      </c>
      <c r="E2" s="212" t="s">
        <v>62</v>
      </c>
      <c r="F2" s="209"/>
      <c r="G2" s="209" t="s">
        <v>63</v>
      </c>
      <c r="H2" s="209"/>
      <c r="I2" s="213" t="s">
        <v>64</v>
      </c>
      <c r="J2" s="214"/>
      <c r="K2" s="213" t="s">
        <v>65</v>
      </c>
      <c r="L2" s="214"/>
      <c r="M2" s="212" t="s">
        <v>66</v>
      </c>
      <c r="N2" s="209"/>
      <c r="O2" s="215" t="s">
        <v>67</v>
      </c>
    </row>
    <row r="3" spans="1:16" ht="15" customHeight="1">
      <c r="A3" s="208"/>
      <c r="B3" s="209"/>
      <c r="C3" s="211"/>
      <c r="D3" s="211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6"/>
    </row>
    <row r="4" spans="1:16" ht="15" customHeight="1">
      <c r="A4" s="205" t="s">
        <v>171</v>
      </c>
      <c r="B4" s="20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7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9" t="s">
        <v>149</v>
      </c>
    </row>
    <row r="6" spans="1:16" ht="15" customHeight="1">
      <c r="A6" s="198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0"/>
    </row>
    <row r="7" spans="1:16" ht="15" customHeight="1">
      <c r="A7" s="198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0"/>
      <c r="P7" s="108">
        <f>D6+D8+D10+D12</f>
        <v>62</v>
      </c>
    </row>
    <row r="8" spans="1:16" ht="15" customHeight="1">
      <c r="A8" s="198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200"/>
    </row>
    <row r="9" spans="1:16" ht="15" customHeight="1">
      <c r="A9" s="198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0"/>
    </row>
    <row r="10" spans="1:16" ht="15" customHeight="1">
      <c r="A10" s="198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200"/>
    </row>
    <row r="11" spans="1:16" ht="15" customHeight="1">
      <c r="A11" s="198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0"/>
    </row>
    <row r="12" spans="1:16" ht="15" customHeight="1">
      <c r="A12" s="198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00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201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0"/>
    </row>
    <row r="15" spans="1:16" ht="15" customHeight="1">
      <c r="A15" s="201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0"/>
    </row>
    <row r="16" spans="1:16" ht="15" customHeight="1">
      <c r="A16" s="201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0"/>
    </row>
    <row r="17" spans="1:15" ht="15" customHeight="1">
      <c r="A17" s="202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3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0.3</v>
      </c>
      <c r="E20" s="161">
        <v>54693</v>
      </c>
      <c r="F20" s="114">
        <f>D20*E20</f>
        <v>16407.899999999998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16407.899999999998</v>
      </c>
      <c r="O20" s="80"/>
    </row>
    <row r="21" spans="1:15" ht="15" customHeight="1">
      <c r="A21" s="204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04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04" t="s">
        <v>90</v>
      </c>
      <c r="B23" s="173" t="s">
        <v>88</v>
      </c>
      <c r="C23" s="174" t="s">
        <v>73</v>
      </c>
      <c r="D23" s="175"/>
      <c r="E23" s="176"/>
      <c r="F23" s="176"/>
      <c r="G23" s="177"/>
      <c r="H23" s="176"/>
      <c r="I23" s="176"/>
      <c r="J23" s="176"/>
      <c r="K23" s="176"/>
      <c r="L23" s="176"/>
      <c r="M23" s="176"/>
      <c r="N23" s="176"/>
      <c r="O23" s="80"/>
    </row>
    <row r="24" spans="1:15" ht="15" customHeight="1">
      <c r="A24" s="204"/>
      <c r="B24" s="173" t="s">
        <v>89</v>
      </c>
      <c r="C24" s="174" t="s">
        <v>73</v>
      </c>
      <c r="D24" s="175"/>
      <c r="E24" s="176"/>
      <c r="F24" s="176"/>
      <c r="G24" s="177"/>
      <c r="H24" s="176"/>
      <c r="I24" s="176"/>
      <c r="J24" s="176"/>
      <c r="K24" s="176"/>
      <c r="L24" s="176"/>
      <c r="M24" s="176"/>
      <c r="N24" s="176"/>
      <c r="O24" s="80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ref="F25:F27" si="7">D25*E25</f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6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6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6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6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31404.5</v>
      </c>
      <c r="G30" s="83"/>
      <c r="H30" s="83">
        <f>SUM(H19:H29)</f>
        <v>442076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473480.5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886563</v>
      </c>
      <c r="G33" s="92"/>
      <c r="H33" s="92">
        <f>H13+H18+H30+H32</f>
        <v>3301414.5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4187977.5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H28" sqref="H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0.3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24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24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2026-08-03T02:57:08Z</dcterms:modified>
</cp:coreProperties>
</file>
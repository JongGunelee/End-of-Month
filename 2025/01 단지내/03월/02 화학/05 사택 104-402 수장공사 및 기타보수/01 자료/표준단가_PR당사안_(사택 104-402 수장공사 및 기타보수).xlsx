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206\06 작업폴더\01 사택 104-402 수장공사\01 자료\"/>
    </mc:Choice>
  </mc:AlternateContent>
  <xr:revisionPtr revIDLastSave="0" documentId="13_ncr:1_{6BF8626E-E770-419D-AA96-E27D3D63CC5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0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9" l="1"/>
  <c r="L30" i="9"/>
  <c r="J30" i="9"/>
  <c r="H30" i="9"/>
  <c r="F30" i="9"/>
  <c r="N27" i="9"/>
  <c r="L27" i="9"/>
  <c r="J27" i="9"/>
  <c r="H27" i="9"/>
  <c r="N25" i="9"/>
  <c r="L25" i="9"/>
  <c r="J25" i="9"/>
  <c r="H25" i="9"/>
  <c r="F25" i="9"/>
  <c r="N18" i="9"/>
  <c r="L18" i="9"/>
  <c r="J18" i="9"/>
  <c r="H18" i="9"/>
  <c r="F18" i="9"/>
  <c r="D18" i="9"/>
  <c r="N13" i="9"/>
  <c r="L13" i="9"/>
  <c r="J13" i="9"/>
  <c r="H13" i="9"/>
  <c r="F13" i="9"/>
  <c r="D13" i="9"/>
  <c r="O5" i="4" a="1"/>
  <c r="O5" i="4" s="1"/>
  <c r="J21" i="11"/>
  <c r="J19" i="11"/>
  <c r="J30" i="11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U14" i="4"/>
  <c r="S14" i="4"/>
  <c r="Q14" i="4"/>
  <c r="O14" i="4"/>
  <c r="A14" i="4"/>
  <c r="A11" i="10" s="1"/>
  <c r="H29" i="9"/>
  <c r="N29" i="9" s="1"/>
  <c r="H28" i="9"/>
  <c r="N28" i="9" s="1"/>
  <c r="Q13" i="4"/>
  <c r="A13" i="4"/>
  <c r="A10" i="10" s="1"/>
  <c r="A12" i="4"/>
  <c r="A9" i="10" s="1"/>
  <c r="A11" i="4"/>
  <c r="A8" i="10" s="1"/>
  <c r="A10" i="4"/>
  <c r="A7" i="10" s="1"/>
  <c r="A9" i="4"/>
  <c r="A6" i="10" s="1"/>
  <c r="A8" i="4"/>
  <c r="A5" i="10" s="1"/>
  <c r="A7" i="4"/>
  <c r="A4" i="10" s="1"/>
  <c r="A6" i="4"/>
  <c r="A3" i="10" s="1"/>
  <c r="U15" i="4"/>
  <c r="S15" i="4"/>
  <c r="Q15" i="4"/>
  <c r="O15" i="4"/>
  <c r="U13" i="4"/>
  <c r="S13" i="4"/>
  <c r="O13" i="4"/>
  <c r="U12" i="4"/>
  <c r="V12" i="4" s="1"/>
  <c r="S12" i="4"/>
  <c r="Q12" i="4"/>
  <c r="O12" i="4"/>
  <c r="F2" i="10"/>
  <c r="E2" i="10"/>
  <c r="D2" i="10"/>
  <c r="C2" i="10"/>
  <c r="B2" i="10"/>
  <c r="J24" i="11" l="1"/>
  <c r="J27" i="11"/>
  <c r="J26" i="11"/>
  <c r="J28" i="11" s="1"/>
  <c r="J25" i="11"/>
  <c r="V15" i="4"/>
  <c r="V14" i="4"/>
  <c r="V13" i="4"/>
  <c r="H26" i="9"/>
  <c r="N26" i="9" s="1"/>
  <c r="U7" i="4"/>
  <c r="S7" i="4"/>
  <c r="Q7" i="4"/>
  <c r="O7" i="4"/>
  <c r="U5" i="4"/>
  <c r="S5" i="4"/>
  <c r="Q5" i="4"/>
  <c r="A5" i="4"/>
  <c r="U6" i="4"/>
  <c r="S6" i="4"/>
  <c r="Q6" i="4"/>
  <c r="O6" i="4"/>
  <c r="V6" i="4" l="1"/>
  <c r="V7" i="4"/>
  <c r="V5" i="4"/>
  <c r="F20" i="9" l="1"/>
  <c r="N20" i="9" s="1"/>
  <c r="O9" i="4"/>
  <c r="V9" i="4" s="1"/>
  <c r="H24" i="9" l="1"/>
  <c r="F24" i="9"/>
  <c r="H23" i="9"/>
  <c r="F23" i="9"/>
  <c r="H22" i="9"/>
  <c r="F22" i="9"/>
  <c r="H21" i="9"/>
  <c r="F21" i="9"/>
  <c r="H17" i="9"/>
  <c r="F17" i="9"/>
  <c r="H16" i="9"/>
  <c r="F16" i="9"/>
  <c r="H15" i="9"/>
  <c r="F15" i="9"/>
  <c r="H14" i="9"/>
  <c r="F14" i="9"/>
  <c r="J31" i="9"/>
  <c r="H11" i="9"/>
  <c r="F11" i="9"/>
  <c r="H9" i="9"/>
  <c r="F9" i="9"/>
  <c r="H7" i="9"/>
  <c r="F7" i="9"/>
  <c r="H5" i="9"/>
  <c r="F5" i="9"/>
  <c r="L31" i="9" l="1"/>
  <c r="N22" i="9"/>
  <c r="N15" i="9"/>
  <c r="N17" i="9"/>
  <c r="N14" i="9"/>
  <c r="N9" i="9"/>
  <c r="N23" i="9"/>
  <c r="N11" i="9"/>
  <c r="N16" i="9"/>
  <c r="N7" i="9"/>
  <c r="N24" i="9"/>
  <c r="N21" i="9"/>
  <c r="N5" i="9"/>
  <c r="H31" i="9" l="1"/>
  <c r="F31" i="9"/>
  <c r="N31" i="9"/>
  <c r="U11" i="4" l="1"/>
  <c r="S11" i="4"/>
  <c r="Q11" i="4"/>
  <c r="O11" i="4"/>
  <c r="U10" i="4"/>
  <c r="S10" i="4"/>
  <c r="Q10" i="4"/>
  <c r="O10" i="4"/>
  <c r="U8" i="4"/>
  <c r="S8" i="4"/>
  <c r="Q8" i="4"/>
  <c r="O8" i="4"/>
  <c r="Q16" i="4" l="1"/>
  <c r="V8" i="4"/>
  <c r="V11" i="4"/>
  <c r="V10" i="4"/>
  <c r="U16" i="4" l="1"/>
  <c r="O16" i="4"/>
  <c r="J18" i="11" s="1"/>
  <c r="J23" i="11" s="1"/>
  <c r="J22" i="11" s="1"/>
  <c r="J29" i="11" s="1"/>
  <c r="J20" i="11" s="1"/>
  <c r="J32" i="11" s="1"/>
  <c r="M33" i="11" s="1"/>
  <c r="B15" i="11" s="1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<sst xmlns="http://schemas.openxmlformats.org/spreadsheetml/2006/main" count="233" uniqueCount="177">
  <si>
    <t>수량</t>
  </si>
  <si>
    <t>식</t>
    <phoneticPr fontId="11" type="noConversion"/>
  </si>
  <si>
    <t>할증기준</t>
    <phoneticPr fontId="6" type="noConversion"/>
  </si>
  <si>
    <t>단위</t>
  </si>
  <si>
    <t xml:space="preserve"> 내   역   서</t>
    <phoneticPr fontId="11" type="noConversion"/>
  </si>
  <si>
    <t>품        명</t>
    <phoneticPr fontId="11" type="noConversion"/>
  </si>
  <si>
    <t>규      격</t>
  </si>
  <si>
    <t>수 량</t>
    <phoneticPr fontId="11" type="noConversion"/>
  </si>
  <si>
    <t xml:space="preserve">재    료   비   </t>
    <phoneticPr fontId="11" type="noConversion"/>
  </si>
  <si>
    <t>노   무   비</t>
    <phoneticPr fontId="11" type="noConversion"/>
  </si>
  <si>
    <t xml:space="preserve"> 기계경비</t>
    <phoneticPr fontId="8" type="noConversion"/>
  </si>
  <si>
    <t>합  계</t>
    <phoneticPr fontId="11" type="noConversion"/>
  </si>
  <si>
    <t>비  고</t>
    <phoneticPr fontId="11" type="noConversion"/>
  </si>
  <si>
    <t>단   가</t>
    <phoneticPr fontId="11" type="noConversion"/>
  </si>
  <si>
    <t>금     액</t>
    <phoneticPr fontId="11" type="noConversion"/>
  </si>
  <si>
    <t>금    액</t>
    <phoneticPr fontId="11" type="noConversion"/>
  </si>
  <si>
    <t>1.도배</t>
    <phoneticPr fontId="11" type="noConversion"/>
  </si>
  <si>
    <t>거실 벽면</t>
    <phoneticPr fontId="11" type="noConversion"/>
  </si>
  <si>
    <t>㎡</t>
    <phoneticPr fontId="11" type="noConversion"/>
  </si>
  <si>
    <t>거실 천정</t>
    <phoneticPr fontId="11" type="noConversion"/>
  </si>
  <si>
    <t>방A 벽면</t>
    <phoneticPr fontId="11" type="noConversion"/>
  </si>
  <si>
    <t>방A 천정</t>
    <phoneticPr fontId="11" type="noConversion"/>
  </si>
  <si>
    <t>방B 벽면</t>
    <phoneticPr fontId="11" type="noConversion"/>
  </si>
  <si>
    <t>방B 천정</t>
    <phoneticPr fontId="11" type="noConversion"/>
  </si>
  <si>
    <t>방C 벽면</t>
    <phoneticPr fontId="11" type="noConversion"/>
  </si>
  <si>
    <t>방C 천정</t>
    <phoneticPr fontId="11" type="noConversion"/>
  </si>
  <si>
    <t>소 계</t>
    <phoneticPr fontId="8" type="noConversion"/>
  </si>
  <si>
    <t>거실 바닥</t>
    <phoneticPr fontId="11" type="noConversion"/>
  </si>
  <si>
    <t>방A 바닥</t>
    <phoneticPr fontId="11" type="noConversion"/>
  </si>
  <si>
    <t>방B 바닥</t>
    <phoneticPr fontId="11" type="noConversion"/>
  </si>
  <si>
    <t>방C 바닥</t>
    <phoneticPr fontId="11" type="noConversion"/>
  </si>
  <si>
    <t>3.도장</t>
    <phoneticPr fontId="6" type="noConversion"/>
  </si>
  <si>
    <t>붓칠,내벽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</si>
  <si>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</si>
  <si>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</si>
  <si>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</si>
  <si>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</si>
  <si>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</si>
  <si>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</si>
  <si>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</si>
  <si>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</si>
  <si>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</si>
  <si>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</si>
  <si>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</si>
  <si>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</si>
  <si>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</si>
  <si>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</si>
  <si>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</si>
  <si>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</si>
  <si>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</si>
  <si>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</si>
  <si>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</si>
  <si>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</si>
  <si>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</si>
  <si>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</si>
  <si>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</si>
  <si>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</si>
  <si>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</si>
  <si>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</si>
  <si>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</si>
  <si>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</si>
  <si>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</si>
  <si>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</si>
  <si>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</si>
  <si>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</si>
  <si>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</si>
  <si>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</si>
  <si>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</si>
  <si>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</si>
  <si>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</si>
  <si>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</si>
  <si>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</si>
  <si>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</si>
  <si>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r>
      <rPr>
        <sz val="10"/>
        <color rgb="FFFF0000"/>
        <rFont val="맑은 고딕"/>
        <family val="3"/>
        <charset val="129"/>
        <scheme val="minor"/>
      </rPr>
      <t>일당 시공량-벽 46㎡</t>
    </r>
    <r>
      <rPr>
        <sz val="10"/>
        <rFont val="맑은 고딕"/>
        <family val="2"/>
        <scheme val="minor"/>
      </rPr>
      <t>, 적산정보 500p 참조,</t>
    </r>
    <r>
      <rPr>
        <sz val="10"/>
        <color rgb="FFFF0000"/>
        <rFont val="맑은 고딕"/>
        <family val="3"/>
        <charset val="129"/>
        <scheme val="minor"/>
      </rPr>
      <t>시공총량186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일당46</t>
    </r>
    <r>
      <rPr>
        <sz val="10"/>
        <rFont val="맑은 고딕"/>
        <family val="2"/>
        <scheme val="minor"/>
      </rPr>
      <t xml:space="preserve">=4.043, </t>
    </r>
    <phoneticPr fontId="6" type="noConversion"/>
  </si>
  <si>
    <r>
      <rPr>
        <sz val="10"/>
        <color rgb="FFFF0000"/>
        <rFont val="맑은 고딕"/>
        <family val="3"/>
        <charset val="129"/>
        <scheme val="minor"/>
      </rPr>
      <t>일당 시공량-61㎡</t>
    </r>
    <r>
      <rPr>
        <sz val="10"/>
        <rFont val="맑은 고딕"/>
        <family val="2"/>
        <scheme val="minor"/>
      </rPr>
      <t xml:space="preserve"> 적산정보 500p 참조,</t>
    </r>
    <r>
      <rPr>
        <sz val="10"/>
        <color rgb="FFFF0000"/>
        <rFont val="맑은 고딕"/>
        <family val="3"/>
        <charset val="129"/>
        <scheme val="minor"/>
      </rPr>
      <t>시공총량50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일당61</t>
    </r>
    <r>
      <rPr>
        <sz val="10"/>
        <rFont val="맑은 고딕"/>
        <family val="2"/>
        <scheme val="minor"/>
      </rPr>
      <t xml:space="preserve">=0.0.8196, </t>
    </r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</si>
  <si>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</si>
  <si>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</si>
  <si>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</si>
  <si>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</si>
  <si>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</si>
  <si>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</si>
  <si>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E00000801011510601</t>
  </si>
  <si>
    <t>준공청소</t>
  </si>
  <si>
    <t>전체면적</t>
    <phoneticPr fontId="6" type="noConversion"/>
  </si>
  <si>
    <t>(연면적 ㎡당)</t>
  </si>
  <si>
    <t>사택 104-402 수장공사</t>
    <phoneticPr fontId="6" type="noConversion"/>
  </si>
  <si>
    <t>구분</t>
  </si>
  <si>
    <t>표준단가</t>
  </si>
  <si>
    <t>표준품셈</t>
  </si>
  <si>
    <t>물가정보</t>
  </si>
  <si>
    <t>노임단가</t>
  </si>
  <si>
    <t xml:space="preserve">방충망-2개(가운데방, 현관입구방)교체, 걸레받이 교체-3곳(가운데방(1곳), 현관입구방(1곳), 거실(1곳,)문끌림-1개(안방문), 씽크대 상판 전체 실리콘(들뜸) 재코킹작업, 보수 </t>
    <phoneticPr fontId="6" type="noConversion"/>
  </si>
  <si>
    <t>시중노임단가, 특별인부, 자재비 포함</t>
    <phoneticPr fontId="6" type="noConversion"/>
  </si>
  <si>
    <t>인</t>
    <phoneticPr fontId="6" type="noConversion"/>
  </si>
  <si>
    <t>L003</t>
  </si>
  <si>
    <t>5.기타작업</t>
    <phoneticPr fontId="6" type="noConversion"/>
  </si>
  <si>
    <t>L002</t>
    <phoneticPr fontId="6" type="noConversion"/>
  </si>
  <si>
    <t xml:space="preserve">시중노임단가, 보통인부, </t>
    <phoneticPr fontId="6" type="noConversion"/>
  </si>
  <si>
    <t>見  積  書</t>
    <phoneticPr fontId="11" type="noConversion"/>
  </si>
  <si>
    <t>수 신: LG화학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</si>
  <si>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</si>
  <si>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</si>
  <si>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</si>
  <si>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</si>
  <si>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</si>
  <si>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</si>
  <si>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</si>
  <si>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</si>
  <si>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</si>
  <si>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</si>
  <si>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</si>
  <si>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파트너</t>
    <phoneticPr fontId="6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</si>
  <si>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</si>
  <si>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</si>
  <si>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</si>
  <si>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형원준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</si>
  <si>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</si>
  <si>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</si>
  <si>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</si>
  <si>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</si>
  <si>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</si>
  <si>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</si>
  <si>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</si>
  <si>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</si>
  <si>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</si>
  <si>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</si>
  <si>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</si>
  <si>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</si>
  <si>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</si>
  <si>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</si>
  <si>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</si>
  <si>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</si>
  <si>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</si>
  <si>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</si>
  <si>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</si>
  <si>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</si>
  <si>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업체 이윤</t>
    <phoneticPr fontId="11" type="noConversion"/>
  </si>
  <si>
    <t>표준단가는 계약 이윤율 적용</t>
    <phoneticPr fontId="6" type="noConversion"/>
  </si>
  <si>
    <t>안전관리비</t>
    <phoneticPr fontId="11" type="noConversion"/>
  </si>
  <si>
    <t>%</t>
    <phoneticPr fontId="11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</si>
  <si>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</si>
  <si>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</si>
  <si>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</si>
  <si>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</si>
  <si>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</si>
  <si>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</si>
  <si>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</si>
  <si>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</si>
  <si>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</si>
  <si>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</si>
  <si>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1" type="noConversion"/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</si>
  <si>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</si>
  <si>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</si>
  <si>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</si>
  <si>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</si>
  <si>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</si>
  <si>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</si>
  <si>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</si>
  <si>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</si>
  <si>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</si>
  <si>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</si>
  <si>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 + 노무비 + 경비)*7.5%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</si>
  <si>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</si>
  <si>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</si>
  <si>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사택 104-402 수장공사</t>
  </si>
  <si>
    <t>CTO.대전.R&amp;D지원팀  / 이영우&amp;강진국 책임 님 귀하</t>
  </si>
  <si>
    <t>▶ 표준 Code(표준단가/품셈/물정/노임 순서별 입력(Upload 자동반영</t>
  </si>
  <si>
    <t>기타경비(부자재비</t>
  </si>
  <si>
    <t>합지벽지 1R/L=93㎝(고정×17.75m=16.51㎡, 20,900원/16.51=1,265.9(㎡당</t>
  </si>
  <si>
    <t xml:space="preserve"> 기타경비(부자재비</t>
  </si>
  <si>
    <t>광폭합지 벽지(LX하우시스, 휘앙세, 24년 12월 물가자료</t>
  </si>
  <si>
    <t>베란다 수성페인트(전면</t>
  </si>
  <si>
    <t>석고보드면 바탕만들기(줄퍼티</t>
  </si>
  <si>
    <t>베란다 수성페인트(후면</t>
  </si>
  <si>
    <t xml:space="preserve">준공청소(특별인부, </t>
  </si>
  <si>
    <t>방충망-2개(가운데방, 현관입구방교체, 걸레받이 교체-3곳(가운데방(1곳, 현관입구방(1곳, 거실(1곳,문끌림-1개(안방문, 씽크대 상판 전체 실리콘(들뜸 재코킹작업, 시중노임단가, 특별인부, 자재비 포함</t>
  </si>
  <si>
    <t>방충망-2개(가운데방, 현관입구방교체, 걸레받이 교체-3곳(가운데방(1곳, 현관입구방(1곳, 거실(1곳,문끌림-1개(안방문, 씽크대 상판 전체 실리콘(들뜸 재코킹작업, 시중노임단가, 보통인부, 자재비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</si>
</sst>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#,###,###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&quot;공사명:&quot;\ @"/>
    <numFmt numFmtId="192" formatCode="0.000"/>
  </numFmts>
  <fonts count="6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LG스마트체 Regular"/>
      <family val="3"/>
      <charset val="129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LG스마트체 Regular"/>
      <family val="3"/>
      <charset val="129"/>
    </font>
    <font>
      <sz val="9"/>
      <color theme="1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theme="1"/>
      <name val="LG스마트체 Regular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FF0000"/>
      <name val="맑은 고딕"/>
      <family val="2"/>
      <scheme val="minor"/>
    </font>
    <font>
      <sz val="9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51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20" fillId="2" borderId="0" xfId="2" applyNumberFormat="1" applyFont="1" applyFill="1" applyAlignment="1">
      <alignment horizontal="center" vertical="center"/>
    </xf>
    <xf numFmtId="0" fontId="20" fillId="8" borderId="8" xfId="0" applyFont="1" applyFill="1" applyBorder="1">
      <alignment vertical="center"/>
    </xf>
    <xf numFmtId="0" fontId="20" fillId="8" borderId="5" xfId="0" applyFont="1" applyFill="1" applyBorder="1">
      <alignment vertical="center"/>
    </xf>
    <xf numFmtId="0" fontId="20" fillId="3" borderId="6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76" fontId="20" fillId="3" borderId="1" xfId="4" applyFont="1" applyFill="1" applyBorder="1" applyAlignment="1">
      <alignment horizontal="center" vertical="center"/>
    </xf>
    <xf numFmtId="179" fontId="20" fillId="3" borderId="1" xfId="5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6" fontId="16" fillId="5" borderId="1" xfId="1" applyFont="1" applyFill="1" applyBorder="1" applyAlignment="1">
      <alignment horizontal="center" vertical="center" wrapText="1"/>
    </xf>
    <xf numFmtId="176" fontId="16" fillId="0" borderId="1" xfId="1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0" fillId="4" borderId="0" xfId="0" applyFont="1" applyFill="1">
      <alignment vertical="center"/>
    </xf>
    <xf numFmtId="0" fontId="17" fillId="0" borderId="0" xfId="0" applyFont="1">
      <alignment vertical="center"/>
    </xf>
    <xf numFmtId="182" fontId="22" fillId="0" borderId="10" xfId="13" quotePrefix="1" applyNumberFormat="1" applyFont="1" applyBorder="1" applyAlignment="1">
      <alignment horizontal="center" vertical="center"/>
    </xf>
    <xf numFmtId="176" fontId="21" fillId="0" borderId="10" xfId="11" applyFont="1" applyBorder="1" applyAlignment="1">
      <alignment vertical="center"/>
    </xf>
    <xf numFmtId="184" fontId="21" fillId="0" borderId="10" xfId="11" applyNumberFormat="1" applyFont="1" applyBorder="1" applyAlignment="1">
      <alignment horizontal="center" vertical="center"/>
    </xf>
    <xf numFmtId="176" fontId="21" fillId="0" borderId="10" xfId="11" applyFont="1" applyBorder="1" applyAlignment="1">
      <alignment horizontal="center" vertical="center"/>
    </xf>
    <xf numFmtId="185" fontId="21" fillId="0" borderId="10" xfId="11" applyNumberFormat="1" applyFont="1" applyBorder="1" applyAlignment="1">
      <alignment horizontal="center" vertical="center"/>
    </xf>
    <xf numFmtId="182" fontId="21" fillId="4" borderId="10" xfId="11" applyNumberFormat="1" applyFont="1" applyFill="1" applyBorder="1" applyAlignment="1">
      <alignment horizontal="right" vertical="center" wrapText="1"/>
    </xf>
    <xf numFmtId="185" fontId="21" fillId="9" borderId="10" xfId="11" applyNumberFormat="1" applyFont="1" applyFill="1" applyBorder="1" applyAlignment="1">
      <alignment horizontal="center" vertical="center"/>
    </xf>
    <xf numFmtId="184" fontId="21" fillId="10" borderId="10" xfId="11" applyNumberFormat="1" applyFont="1" applyFill="1" applyBorder="1" applyAlignment="1">
      <alignment horizontal="center" vertical="center"/>
    </xf>
    <xf numFmtId="176" fontId="21" fillId="10" borderId="10" xfId="11" applyFont="1" applyFill="1" applyBorder="1" applyAlignment="1">
      <alignment horizontal="center" vertical="center"/>
    </xf>
    <xf numFmtId="185" fontId="22" fillId="10" borderId="10" xfId="11" applyNumberFormat="1" applyFont="1" applyFill="1" applyBorder="1" applyAlignment="1">
      <alignment horizontal="center" vertical="center"/>
    </xf>
    <xf numFmtId="182" fontId="22" fillId="10" borderId="10" xfId="11" applyNumberFormat="1" applyFont="1" applyFill="1" applyBorder="1" applyAlignment="1">
      <alignment horizontal="right" vertical="center" wrapText="1"/>
    </xf>
    <xf numFmtId="182" fontId="21" fillId="0" borderId="10" xfId="11" applyNumberFormat="1" applyFont="1" applyBorder="1" applyAlignment="1">
      <alignment horizontal="center" vertical="center" wrapText="1"/>
    </xf>
    <xf numFmtId="182" fontId="22" fillId="10" borderId="10" xfId="11" applyNumberFormat="1" applyFont="1" applyFill="1" applyBorder="1" applyAlignment="1">
      <alignment horizontal="center" vertical="center" wrapText="1"/>
    </xf>
    <xf numFmtId="184" fontId="21" fillId="4" borderId="10" xfId="11" applyNumberFormat="1" applyFont="1" applyFill="1" applyBorder="1" applyAlignment="1">
      <alignment horizontal="center" vertical="center"/>
    </xf>
    <xf numFmtId="176" fontId="21" fillId="4" borderId="10" xfId="11" applyFont="1" applyFill="1" applyBorder="1" applyAlignment="1">
      <alignment horizontal="center" vertical="center"/>
    </xf>
    <xf numFmtId="182" fontId="21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2" fontId="16" fillId="4" borderId="10" xfId="11" applyNumberFormat="1" applyFont="1" applyFill="1" applyBorder="1" applyAlignment="1">
      <alignment horizontal="center" vertical="center" wrapText="1"/>
    </xf>
    <xf numFmtId="185" fontId="21" fillId="10" borderId="10" xfId="11" applyNumberFormat="1" applyFont="1" applyFill="1" applyBorder="1" applyAlignment="1">
      <alignment horizontal="center" vertical="center"/>
    </xf>
    <xf numFmtId="182" fontId="21" fillId="10" borderId="10" xfId="11" applyNumberFormat="1" applyFont="1" applyFill="1" applyBorder="1" applyAlignment="1">
      <alignment horizontal="right" vertical="center" wrapText="1"/>
    </xf>
    <xf numFmtId="182" fontId="21" fillId="10" borderId="10" xfId="11" applyNumberFormat="1" applyFont="1" applyFill="1" applyBorder="1" applyAlignment="1">
      <alignment vertical="center" wrapText="1"/>
    </xf>
    <xf numFmtId="182" fontId="22" fillId="10" borderId="10" xfId="11" applyNumberFormat="1" applyFont="1" applyFill="1" applyBorder="1" applyAlignment="1">
      <alignment vertical="center" wrapText="1"/>
    </xf>
    <xf numFmtId="0" fontId="17" fillId="0" borderId="0" xfId="13" applyFont="1">
      <alignment vertical="center"/>
    </xf>
    <xf numFmtId="49" fontId="16" fillId="6" borderId="1" xfId="0" applyNumberFormat="1" applyFont="1" applyFill="1" applyBorder="1" applyAlignment="1">
      <alignment horizontal="center" vertical="center"/>
    </xf>
    <xf numFmtId="0" fontId="20" fillId="10" borderId="10" xfId="11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11" xfId="11" applyNumberFormat="1" applyFont="1" applyBorder="1" applyAlignment="1">
      <alignment vertical="center"/>
    </xf>
    <xf numFmtId="0" fontId="20" fillId="0" borderId="14" xfId="11" applyNumberFormat="1" applyFont="1" applyBorder="1" applyAlignment="1">
      <alignment vertical="center"/>
    </xf>
    <xf numFmtId="0" fontId="22" fillId="0" borderId="10" xfId="13" quotePrefix="1" applyFont="1" applyBorder="1" applyAlignment="1">
      <alignment horizontal="center" vertical="center"/>
    </xf>
    <xf numFmtId="0" fontId="19" fillId="0" borderId="0" xfId="0" applyFont="1">
      <alignment vertical="center"/>
    </xf>
    <xf numFmtId="0" fontId="27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>
      <alignment vertical="center"/>
    </xf>
    <xf numFmtId="186" fontId="28" fillId="4" borderId="1" xfId="0" applyNumberFormat="1" applyFont="1" applyFill="1" applyBorder="1" applyAlignment="1">
      <alignment horizontal="right" vertical="center" wrapText="1"/>
    </xf>
    <xf numFmtId="0" fontId="29" fillId="4" borderId="1" xfId="0" applyFont="1" applyFill="1" applyBorder="1" applyAlignment="1">
      <alignment horizontal="center"/>
    </xf>
    <xf numFmtId="187" fontId="28" fillId="4" borderId="1" xfId="1" applyNumberFormat="1" applyFont="1" applyFill="1" applyBorder="1" applyAlignment="1">
      <alignment horizontal="center" vertical="center"/>
    </xf>
    <xf numFmtId="182" fontId="27" fillId="4" borderId="1" xfId="0" applyNumberFormat="1" applyFont="1" applyFill="1" applyBorder="1" applyAlignment="1">
      <alignment vertical="center" wrapText="1"/>
    </xf>
    <xf numFmtId="181" fontId="28" fillId="4" borderId="1" xfId="0" applyNumberFormat="1" applyFont="1" applyFill="1" applyBorder="1" applyAlignment="1">
      <alignment horizontal="right" vertical="center" wrapText="1"/>
    </xf>
    <xf numFmtId="0" fontId="19" fillId="4" borderId="0" xfId="0" applyFont="1" applyFill="1">
      <alignment vertical="center"/>
    </xf>
    <xf numFmtId="0" fontId="19" fillId="4" borderId="0" xfId="0" applyFont="1" applyFill="1" applyAlignment="1">
      <alignment horizontal="center" vertical="center"/>
    </xf>
    <xf numFmtId="49" fontId="28" fillId="4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wrapText="1"/>
    </xf>
    <xf numFmtId="0" fontId="26" fillId="6" borderId="1" xfId="0" applyFont="1" applyFill="1" applyBorder="1" applyAlignment="1">
      <alignment horizontal="center" vertical="center"/>
    </xf>
    <xf numFmtId="187" fontId="28" fillId="0" borderId="1" xfId="1" applyNumberFormat="1" applyFont="1" applyFill="1" applyBorder="1" applyAlignment="1">
      <alignment horizontal="center" vertical="center"/>
    </xf>
    <xf numFmtId="176" fontId="23" fillId="0" borderId="0" xfId="0" applyNumberFormat="1" applyFont="1">
      <alignment vertical="center"/>
    </xf>
    <xf numFmtId="0" fontId="23" fillId="0" borderId="0" xfId="0" applyFont="1">
      <alignment vertical="center"/>
    </xf>
    <xf numFmtId="182" fontId="33" fillId="4" borderId="10" xfId="11" applyNumberFormat="1" applyFont="1" applyFill="1" applyBorder="1" applyAlignment="1">
      <alignment horizontal="right" vertical="center" wrapText="1"/>
    </xf>
    <xf numFmtId="182" fontId="33" fillId="0" borderId="10" xfId="11" applyNumberFormat="1" applyFont="1" applyBorder="1" applyAlignment="1">
      <alignment horizontal="right" vertical="center" wrapText="1"/>
    </xf>
    <xf numFmtId="182" fontId="33" fillId="0" borderId="10" xfId="11" applyNumberFormat="1" applyFont="1" applyFill="1" applyBorder="1" applyAlignment="1">
      <alignment horizontal="right" vertical="center" wrapText="1"/>
    </xf>
    <xf numFmtId="0" fontId="20" fillId="7" borderId="10" xfId="11" applyNumberFormat="1" applyFont="1" applyFill="1" applyBorder="1" applyAlignment="1">
      <alignment horizontal="center" vertical="center"/>
    </xf>
    <xf numFmtId="184" fontId="21" fillId="7" borderId="10" xfId="11" applyNumberFormat="1" applyFont="1" applyFill="1" applyBorder="1" applyAlignment="1">
      <alignment horizontal="center" vertical="center"/>
    </xf>
    <xf numFmtId="176" fontId="21" fillId="7" borderId="10" xfId="11" applyFont="1" applyFill="1" applyBorder="1" applyAlignment="1">
      <alignment horizontal="center" vertical="center"/>
    </xf>
    <xf numFmtId="185" fontId="22" fillId="7" borderId="10" xfId="11" applyNumberFormat="1" applyFont="1" applyFill="1" applyBorder="1" applyAlignment="1">
      <alignment horizontal="center" vertical="center"/>
    </xf>
    <xf numFmtId="182" fontId="22" fillId="7" borderId="10" xfId="11" applyNumberFormat="1" applyFont="1" applyFill="1" applyBorder="1" applyAlignment="1">
      <alignment horizontal="right" vertical="center" wrapText="1"/>
    </xf>
    <xf numFmtId="188" fontId="21" fillId="4" borderId="10" xfId="11" applyNumberFormat="1" applyFont="1" applyFill="1" applyBorder="1" applyAlignment="1">
      <alignment horizontal="center" vertical="center" wrapText="1"/>
    </xf>
    <xf numFmtId="0" fontId="36" fillId="4" borderId="10" xfId="11" applyNumberFormat="1" applyFont="1" applyFill="1" applyBorder="1" applyAlignment="1">
      <alignment vertical="center"/>
    </xf>
    <xf numFmtId="182" fontId="32" fillId="4" borderId="10" xfId="11" applyNumberFormat="1" applyFont="1" applyFill="1" applyBorder="1" applyAlignment="1">
      <alignment horizontal="right" vertical="center" wrapText="1"/>
    </xf>
    <xf numFmtId="49" fontId="37" fillId="4" borderId="10" xfId="0" applyNumberFormat="1" applyFont="1" applyFill="1" applyBorder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176" fontId="35" fillId="4" borderId="0" xfId="1" applyFont="1" applyFill="1" applyBorder="1" applyAlignment="1">
      <alignment horizontal="center" vertical="center" wrapText="1"/>
    </xf>
    <xf numFmtId="176" fontId="36" fillId="5" borderId="1" xfId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49" fontId="34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82" fontId="25" fillId="10" borderId="10" xfId="11" applyNumberFormat="1" applyFont="1" applyFill="1" applyBorder="1" applyAlignment="1">
      <alignment horizontal="right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/>
    </xf>
    <xf numFmtId="176" fontId="28" fillId="0" borderId="1" xfId="1" applyFont="1" applyFill="1" applyBorder="1" applyAlignment="1">
      <alignment horizontal="center" vertical="center" wrapText="1"/>
    </xf>
    <xf numFmtId="176" fontId="39" fillId="4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/>
    <xf numFmtId="176" fontId="0" fillId="4" borderId="0" xfId="1" applyFont="1" applyFill="1" applyAlignment="1"/>
    <xf numFmtId="185" fontId="32" fillId="4" borderId="10" xfId="11" applyNumberFormat="1" applyFont="1" applyFill="1" applyBorder="1" applyAlignment="1">
      <alignment horizontal="center" vertical="center"/>
    </xf>
    <xf numFmtId="182" fontId="41" fillId="4" borderId="10" xfId="11" applyNumberFormat="1" applyFont="1" applyFill="1" applyBorder="1" applyAlignment="1">
      <alignment horizontal="right" vertical="center" wrapText="1"/>
    </xf>
    <xf numFmtId="49" fontId="16" fillId="11" borderId="17" xfId="0" applyNumberFormat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189" fontId="16" fillId="6" borderId="17" xfId="1" applyNumberFormat="1" applyFont="1" applyFill="1" applyBorder="1" applyAlignment="1">
      <alignment horizontal="center" vertical="center"/>
    </xf>
    <xf numFmtId="189" fontId="16" fillId="0" borderId="17" xfId="1" applyNumberFormat="1" applyFont="1" applyBorder="1" applyAlignment="1">
      <alignment horizontal="center" vertical="center"/>
    </xf>
    <xf numFmtId="190" fontId="16" fillId="0" borderId="17" xfId="1" applyNumberFormat="1" applyFont="1" applyBorder="1" applyAlignment="1">
      <alignment horizontal="center" vertical="center"/>
    </xf>
    <xf numFmtId="189" fontId="17" fillId="0" borderId="0" xfId="1" applyNumberFormat="1" applyFont="1" applyAlignment="1">
      <alignment horizontal="center" vertical="center"/>
    </xf>
    <xf numFmtId="0" fontId="26" fillId="6" borderId="1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49" fontId="38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49" fontId="38" fillId="4" borderId="0" xfId="0" applyNumberFormat="1" applyFont="1" applyFill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49" fontId="16" fillId="6" borderId="18" xfId="0" applyNumberFormat="1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/>
    </xf>
    <xf numFmtId="0" fontId="43" fillId="4" borderId="18" xfId="0" applyFont="1" applyFill="1" applyBorder="1" applyAlignment="1">
      <alignment horizontal="center"/>
    </xf>
    <xf numFmtId="0" fontId="0" fillId="4" borderId="18" xfId="0" applyFill="1" applyBorder="1" applyAlignment="1"/>
    <xf numFmtId="187" fontId="28" fillId="4" borderId="18" xfId="1" applyNumberFormat="1" applyFont="1" applyFill="1" applyBorder="1" applyAlignment="1">
      <alignment horizontal="center" vertical="center"/>
    </xf>
    <xf numFmtId="0" fontId="28" fillId="4" borderId="18" xfId="0" applyFont="1" applyFill="1" applyBorder="1">
      <alignment vertical="center"/>
    </xf>
    <xf numFmtId="176" fontId="16" fillId="5" borderId="18" xfId="1" applyFont="1" applyFill="1" applyBorder="1" applyAlignment="1">
      <alignment horizontal="center" vertical="center" wrapText="1"/>
    </xf>
    <xf numFmtId="176" fontId="16" fillId="0" borderId="18" xfId="1" applyFont="1" applyFill="1" applyBorder="1" applyAlignment="1">
      <alignment horizontal="center" vertical="center" wrapText="1"/>
    </xf>
    <xf numFmtId="187" fontId="28" fillId="0" borderId="18" xfId="1" applyNumberFormat="1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49" fontId="35" fillId="6" borderId="1" xfId="0" applyNumberFormat="1" applyFont="1" applyFill="1" applyBorder="1" applyAlignment="1">
      <alignment horizontal="center" vertical="center" wrapText="1"/>
    </xf>
    <xf numFmtId="176" fontId="0" fillId="4" borderId="1" xfId="1" applyFont="1" applyFill="1" applyBorder="1" applyAlignment="1"/>
    <xf numFmtId="176" fontId="26" fillId="4" borderId="1" xfId="1" applyFont="1" applyFill="1" applyBorder="1" applyAlignment="1">
      <alignment horizontal="center" vertical="center"/>
    </xf>
    <xf numFmtId="185" fontId="21" fillId="4" borderId="10" xfId="11" applyNumberFormat="1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184" fontId="21" fillId="12" borderId="10" xfId="11" applyNumberFormat="1" applyFont="1" applyFill="1" applyBorder="1" applyAlignment="1">
      <alignment horizontal="center" vertical="center"/>
    </xf>
    <xf numFmtId="176" fontId="21" fillId="12" borderId="10" xfId="11" applyFont="1" applyFill="1" applyBorder="1" applyAlignment="1">
      <alignment horizontal="center" vertical="center"/>
    </xf>
    <xf numFmtId="185" fontId="21" fillId="12" borderId="10" xfId="11" applyNumberFormat="1" applyFont="1" applyFill="1" applyBorder="1" applyAlignment="1">
      <alignment horizontal="center" vertical="center"/>
    </xf>
    <xf numFmtId="182" fontId="41" fillId="12" borderId="10" xfId="11" applyNumberFormat="1" applyFont="1" applyFill="1" applyBorder="1" applyAlignment="1">
      <alignment horizontal="right" vertical="center" wrapText="1"/>
    </xf>
    <xf numFmtId="182" fontId="33" fillId="12" borderId="10" xfId="11" applyNumberFormat="1" applyFont="1" applyFill="1" applyBorder="1" applyAlignment="1">
      <alignment horizontal="right" vertical="center" wrapText="1"/>
    </xf>
    <xf numFmtId="0" fontId="45" fillId="0" borderId="0" xfId="18" applyFont="1">
      <alignment vertical="center"/>
    </xf>
    <xf numFmtId="0" fontId="44" fillId="0" borderId="23" xfId="17" applyFont="1" applyBorder="1" applyAlignment="1">
      <alignment horizontal="center" vertical="center"/>
    </xf>
    <xf numFmtId="0" fontId="44" fillId="0" borderId="0" xfId="17" applyFont="1" applyAlignment="1">
      <alignment horizontal="center" vertical="center"/>
    </xf>
    <xf numFmtId="0" fontId="44" fillId="0" borderId="24" xfId="17" applyFont="1" applyBorder="1" applyAlignment="1">
      <alignment horizontal="center" vertical="center"/>
    </xf>
    <xf numFmtId="0" fontId="48" fillId="0" borderId="0" xfId="17" applyFont="1" applyAlignment="1">
      <alignment vertical="center"/>
    </xf>
    <xf numFmtId="0" fontId="48" fillId="0" borderId="0" xfId="17" applyFont="1" applyAlignment="1">
      <alignment horizontal="left" vertical="center" textRotation="1"/>
    </xf>
    <xf numFmtId="0" fontId="49" fillId="0" borderId="0" xfId="17" applyFont="1" applyAlignment="1">
      <alignment horizontal="centerContinuous" vertical="center"/>
    </xf>
    <xf numFmtId="0" fontId="49" fillId="0" borderId="24" xfId="17" applyFont="1" applyBorder="1" applyAlignment="1">
      <alignment vertical="center"/>
    </xf>
    <xf numFmtId="0" fontId="50" fillId="0" borderId="23" xfId="17" applyFont="1" applyBorder="1" applyAlignment="1">
      <alignment horizontal="left" vertical="center" indent="2"/>
    </xf>
    <xf numFmtId="0" fontId="45" fillId="0" borderId="9" xfId="17" applyFont="1" applyBorder="1" applyAlignment="1">
      <alignment vertical="center"/>
    </xf>
    <xf numFmtId="0" fontId="45" fillId="0" borderId="0" xfId="17" applyFont="1" applyAlignment="1">
      <alignment vertical="center"/>
    </xf>
    <xf numFmtId="0" fontId="49" fillId="0" borderId="24" xfId="17" applyFont="1" applyBorder="1" applyAlignment="1">
      <alignment horizontal="right" vertical="center"/>
    </xf>
    <xf numFmtId="0" fontId="45" fillId="0" borderId="0" xfId="18" quotePrefix="1" applyFont="1">
      <alignment vertical="center"/>
    </xf>
    <xf numFmtId="0" fontId="50" fillId="0" borderId="23" xfId="17" applyFont="1" applyBorder="1" applyAlignment="1">
      <alignment vertical="center"/>
    </xf>
    <xf numFmtId="0" fontId="50" fillId="0" borderId="0" xfId="17" applyFont="1" applyAlignment="1">
      <alignment vertical="center"/>
    </xf>
    <xf numFmtId="0" fontId="49" fillId="0" borderId="0" xfId="17" applyFont="1" applyAlignment="1">
      <alignment horizontal="right" vertical="center"/>
    </xf>
    <xf numFmtId="0" fontId="50" fillId="0" borderId="24" xfId="17" applyFont="1" applyBorder="1" applyAlignment="1">
      <alignment vertical="center"/>
    </xf>
    <xf numFmtId="0" fontId="45" fillId="0" borderId="26" xfId="17" applyFont="1" applyBorder="1" applyAlignment="1">
      <alignment horizontal="center" vertical="center"/>
    </xf>
    <xf numFmtId="0" fontId="45" fillId="0" borderId="27" xfId="17" applyFont="1" applyBorder="1" applyAlignment="1">
      <alignment horizontal="center" vertical="center"/>
    </xf>
    <xf numFmtId="0" fontId="45" fillId="0" borderId="5" xfId="17" applyFont="1" applyBorder="1" applyAlignment="1">
      <alignment horizontal="center" vertical="center"/>
    </xf>
    <xf numFmtId="0" fontId="45" fillId="0" borderId="16" xfId="17" applyFont="1" applyBorder="1" applyAlignment="1">
      <alignment horizontal="center" vertical="center"/>
    </xf>
    <xf numFmtId="0" fontId="45" fillId="0" borderId="1" xfId="17" applyFont="1" applyBorder="1" applyAlignment="1">
      <alignment horizontal="center" vertical="center"/>
    </xf>
    <xf numFmtId="0" fontId="53" fillId="0" borderId="7" xfId="17" applyFont="1" applyBorder="1" applyAlignment="1">
      <alignment horizontal="center" vertical="center"/>
    </xf>
    <xf numFmtId="0" fontId="45" fillId="0" borderId="36" xfId="17" applyFont="1" applyBorder="1" applyAlignment="1">
      <alignment horizontal="center" vertical="center"/>
    </xf>
    <xf numFmtId="0" fontId="45" fillId="0" borderId="37" xfId="17" applyFont="1" applyBorder="1" applyAlignment="1">
      <alignment horizontal="center" vertical="center"/>
    </xf>
    <xf numFmtId="0" fontId="45" fillId="0" borderId="23" xfId="17" applyFont="1" applyBorder="1" applyAlignment="1">
      <alignment horizontal="center" vertical="center"/>
    </xf>
    <xf numFmtId="0" fontId="45" fillId="0" borderId="0" xfId="17" applyFont="1" applyAlignment="1">
      <alignment horizontal="center" vertical="center"/>
    </xf>
    <xf numFmtId="0" fontId="45" fillId="0" borderId="0" xfId="17" applyFont="1" applyAlignment="1">
      <alignment horizontal="left" vertical="center" indent="1"/>
    </xf>
    <xf numFmtId="0" fontId="49" fillId="0" borderId="0" xfId="17" applyFont="1" applyAlignment="1">
      <alignment vertical="center"/>
    </xf>
    <xf numFmtId="0" fontId="45" fillId="0" borderId="23" xfId="17" applyFont="1" applyBorder="1" applyAlignment="1">
      <alignment vertical="center"/>
    </xf>
    <xf numFmtId="0" fontId="45" fillId="0" borderId="24" xfId="17" applyFont="1" applyBorder="1" applyAlignment="1">
      <alignment vertical="center"/>
    </xf>
    <xf numFmtId="0" fontId="50" fillId="0" borderId="23" xfId="17" applyFont="1" applyBorder="1" applyAlignment="1">
      <alignment horizontal="left" vertical="center" indent="1"/>
    </xf>
    <xf numFmtId="0" fontId="55" fillId="0" borderId="0" xfId="17" applyFont="1" applyAlignment="1">
      <alignment vertical="center"/>
    </xf>
    <xf numFmtId="0" fontId="55" fillId="14" borderId="38" xfId="17" applyFont="1" applyFill="1" applyBorder="1" applyAlignment="1">
      <alignment horizontal="center" vertical="center"/>
    </xf>
    <xf numFmtId="0" fontId="55" fillId="14" borderId="39" xfId="17" applyFont="1" applyFill="1" applyBorder="1" applyAlignment="1">
      <alignment horizontal="center" vertical="center"/>
    </xf>
    <xf numFmtId="3" fontId="55" fillId="14" borderId="39" xfId="17" applyNumberFormat="1" applyFont="1" applyFill="1" applyBorder="1" applyAlignment="1">
      <alignment horizontal="center" vertical="center"/>
    </xf>
    <xf numFmtId="0" fontId="45" fillId="0" borderId="43" xfId="17" applyFont="1" applyBorder="1" applyAlignment="1">
      <alignment horizontal="center" vertical="center"/>
    </xf>
    <xf numFmtId="0" fontId="45" fillId="0" borderId="47" xfId="17" applyFont="1" applyBorder="1" applyAlignment="1">
      <alignment horizontal="center" vertical="center"/>
    </xf>
    <xf numFmtId="0" fontId="45" fillId="0" borderId="12" xfId="20" applyFont="1" applyBorder="1" applyAlignment="1">
      <alignment horizontal="center" vertical="center"/>
    </xf>
    <xf numFmtId="176" fontId="45" fillId="0" borderId="0" xfId="18" applyNumberFormat="1" applyFont="1">
      <alignment vertical="center"/>
    </xf>
    <xf numFmtId="0" fontId="45" fillId="0" borderId="15" xfId="20" applyFont="1" applyBorder="1" applyAlignment="1">
      <alignment horizontal="left" vertical="center" wrapText="1" indent="1"/>
    </xf>
    <xf numFmtId="0" fontId="49" fillId="0" borderId="58" xfId="20" applyFont="1" applyBorder="1" applyAlignment="1">
      <alignment horizontal="center" vertical="center"/>
    </xf>
    <xf numFmtId="192" fontId="49" fillId="0" borderId="58" xfId="20" applyNumberFormat="1" applyFont="1" applyBorder="1" applyAlignment="1">
      <alignment horizontal="center" vertical="center"/>
    </xf>
    <xf numFmtId="177" fontId="45" fillId="0" borderId="0" xfId="18" applyNumberFormat="1" applyFont="1">
      <alignment vertical="center"/>
    </xf>
    <xf numFmtId="2" fontId="49" fillId="0" borderId="60" xfId="20" applyNumberFormat="1" applyFont="1" applyBorder="1" applyAlignment="1">
      <alignment horizontal="center" vertical="center"/>
    </xf>
    <xf numFmtId="0" fontId="49" fillId="0" borderId="63" xfId="20" applyFont="1" applyBorder="1" applyAlignment="1">
      <alignment horizontal="center" vertical="center"/>
    </xf>
    <xf numFmtId="2" fontId="49" fillId="0" borderId="58" xfId="20" applyNumberFormat="1" applyFont="1" applyBorder="1" applyAlignment="1">
      <alignment horizontal="center" vertical="center"/>
    </xf>
    <xf numFmtId="0" fontId="45" fillId="0" borderId="65" xfId="17" applyFont="1" applyBorder="1" applyAlignment="1">
      <alignment horizontal="center" vertical="center"/>
    </xf>
    <xf numFmtId="0" fontId="45" fillId="0" borderId="14" xfId="20" applyFont="1" applyBorder="1" applyAlignment="1">
      <alignment horizontal="left" vertical="center" wrapText="1" indent="1"/>
    </xf>
    <xf numFmtId="1" fontId="49" fillId="0" borderId="66" xfId="20" applyNumberFormat="1" applyFont="1" applyBorder="1" applyAlignment="1">
      <alignment horizontal="center" vertical="center"/>
    </xf>
    <xf numFmtId="0" fontId="49" fillId="0" borderId="66" xfId="20" applyFont="1" applyBorder="1" applyAlignment="1">
      <alignment horizontal="center" vertical="center"/>
    </xf>
    <xf numFmtId="0" fontId="49" fillId="0" borderId="70" xfId="20" applyFont="1" applyBorder="1" applyAlignment="1">
      <alignment horizontal="center" vertical="center"/>
    </xf>
    <xf numFmtId="176" fontId="45" fillId="0" borderId="0" xfId="21" applyFont="1">
      <alignment vertical="center"/>
    </xf>
    <xf numFmtId="176" fontId="58" fillId="15" borderId="40" xfId="17" applyNumberFormat="1" applyFont="1" applyFill="1" applyBorder="1" applyAlignment="1">
      <alignment horizontal="right" vertical="center"/>
    </xf>
    <xf numFmtId="0" fontId="58" fillId="15" borderId="40" xfId="17" applyFont="1" applyFill="1" applyBorder="1" applyAlignment="1">
      <alignment horizontal="right" vertical="center"/>
    </xf>
    <xf numFmtId="176" fontId="58" fillId="15" borderId="72" xfId="21" applyFont="1" applyFill="1" applyBorder="1" applyAlignment="1">
      <alignment horizontal="right" vertical="center"/>
    </xf>
    <xf numFmtId="179" fontId="45" fillId="0" borderId="0" xfId="23" applyFont="1" applyAlignment="1">
      <alignment vertical="center"/>
    </xf>
    <xf numFmtId="49" fontId="49" fillId="0" borderId="23" xfId="17" applyNumberFormat="1" applyFont="1" applyBorder="1" applyAlignment="1">
      <alignment horizontal="left" vertical="center" indent="1"/>
    </xf>
    <xf numFmtId="49" fontId="45" fillId="0" borderId="0" xfId="17" applyNumberFormat="1" applyFont="1" applyAlignment="1">
      <alignment vertical="center"/>
    </xf>
    <xf numFmtId="49" fontId="45" fillId="0" borderId="24" xfId="17" applyNumberFormat="1" applyFont="1" applyBorder="1" applyAlignment="1">
      <alignment vertical="center"/>
    </xf>
    <xf numFmtId="49" fontId="45" fillId="0" borderId="23" xfId="17" applyNumberFormat="1" applyFont="1" applyBorder="1" applyAlignment="1">
      <alignment vertical="center"/>
    </xf>
    <xf numFmtId="0" fontId="50" fillId="0" borderId="0" xfId="20" applyFont="1" applyAlignment="1">
      <alignment horizontal="left" vertical="center"/>
    </xf>
    <xf numFmtId="0" fontId="50" fillId="0" borderId="24" xfId="20" applyFont="1" applyBorder="1" applyAlignment="1">
      <alignment horizontal="left" vertical="center"/>
    </xf>
    <xf numFmtId="0" fontId="59" fillId="0" borderId="0" xfId="18" quotePrefix="1" applyFont="1">
      <alignment vertical="center"/>
    </xf>
    <xf numFmtId="49" fontId="45" fillId="0" borderId="74" xfId="17" applyNumberFormat="1" applyFont="1" applyBorder="1" applyAlignment="1">
      <alignment vertical="center"/>
    </xf>
    <xf numFmtId="49" fontId="45" fillId="0" borderId="75" xfId="17" applyNumberFormat="1" applyFont="1" applyBorder="1" applyAlignment="1">
      <alignment vertical="center"/>
    </xf>
    <xf numFmtId="49" fontId="45" fillId="0" borderId="76" xfId="17" applyNumberFormat="1" applyFont="1" applyBorder="1" applyAlignment="1">
      <alignment vertical="center"/>
    </xf>
    <xf numFmtId="0" fontId="47" fillId="0" borderId="23" xfId="17" applyFont="1" applyBorder="1" applyAlignment="1">
      <alignment horizontal="left" vertical="center"/>
    </xf>
    <xf numFmtId="0" fontId="50" fillId="0" borderId="9" xfId="17" applyFont="1" applyBorder="1" applyAlignment="1">
      <alignment vertical="center"/>
    </xf>
    <xf numFmtId="0" fontId="45" fillId="0" borderId="25" xfId="17" applyFont="1" applyBorder="1" applyAlignment="1">
      <alignment horizontal="right" vertical="center"/>
    </xf>
    <xf numFmtId="0" fontId="45" fillId="0" borderId="44" xfId="20" applyFont="1" applyBorder="1" applyAlignment="1">
      <alignment horizontal="center" vertical="center"/>
    </xf>
    <xf numFmtId="0" fontId="45" fillId="0" borderId="46" xfId="20" applyFont="1" applyBorder="1" applyAlignment="1">
      <alignment horizontal="center" vertical="center"/>
    </xf>
    <xf numFmtId="0" fontId="45" fillId="0" borderId="11" xfId="20" applyFont="1" applyBorder="1" applyAlignment="1">
      <alignment horizontal="center" vertical="center"/>
    </xf>
    <xf numFmtId="0" fontId="49" fillId="0" borderId="54" xfId="20" applyFont="1" applyBorder="1" applyAlignment="1">
      <alignment horizontal="center" vertical="center"/>
    </xf>
    <xf numFmtId="0" fontId="58" fillId="15" borderId="71" xfId="17" applyFont="1" applyFill="1" applyBorder="1" applyAlignment="1">
      <alignment horizontal="center" vertical="center"/>
    </xf>
    <xf numFmtId="0" fontId="58" fillId="15" borderId="40" xfId="17" applyFont="1" applyFill="1" applyBorder="1" applyAlignment="1">
      <alignment horizontal="center" vertical="center"/>
    </xf>
    <xf numFmtId="0" fontId="58" fillId="15" borderId="72" xfId="17" applyFont="1" applyFill="1" applyBorder="1" applyAlignment="1">
      <alignment horizontal="center" vertical="center"/>
    </xf>
    <xf numFmtId="179" fontId="58" fillId="15" borderId="73" xfId="23" applyFont="1" applyFill="1" applyBorder="1" applyAlignment="1">
      <alignment horizontal="center" vertical="center"/>
    </xf>
    <xf numFmtId="179" fontId="58" fillId="15" borderId="42" xfId="23" applyFont="1" applyFill="1" applyBorder="1" applyAlignment="1">
      <alignment horizontal="center" vertical="center"/>
    </xf>
    <xf numFmtId="0" fontId="49" fillId="0" borderId="66" xfId="20" applyFont="1" applyBorder="1" applyAlignment="1">
      <alignment horizontal="left" vertical="center" wrapText="1" indent="1"/>
    </xf>
    <xf numFmtId="0" fontId="49" fillId="0" borderId="67" xfId="20" applyFont="1" applyBorder="1" applyAlignment="1">
      <alignment horizontal="left" vertical="center" wrapText="1" indent="1"/>
    </xf>
    <xf numFmtId="0" fontId="49" fillId="0" borderId="68" xfId="20" applyFont="1" applyBorder="1" applyAlignment="1">
      <alignment horizontal="left" vertical="center" wrapText="1" indent="1"/>
    </xf>
    <xf numFmtId="176" fontId="45" fillId="0" borderId="12" xfId="21" applyFont="1" applyFill="1" applyBorder="1" applyAlignment="1">
      <alignment horizontal="right" vertical="center"/>
    </xf>
    <xf numFmtId="176" fontId="45" fillId="0" borderId="52" xfId="21" applyFont="1" applyFill="1" applyBorder="1" applyAlignment="1">
      <alignment horizontal="right" vertical="center"/>
    </xf>
    <xf numFmtId="176" fontId="45" fillId="0" borderId="13" xfId="21" applyFont="1" applyFill="1" applyBorder="1" applyAlignment="1">
      <alignment horizontal="right" vertical="center"/>
    </xf>
    <xf numFmtId="176" fontId="45" fillId="0" borderId="12" xfId="22" applyFont="1" applyFill="1" applyBorder="1" applyAlignment="1">
      <alignment horizontal="left" vertical="center" wrapText="1"/>
    </xf>
    <xf numFmtId="176" fontId="45" fillId="0" borderId="53" xfId="22" applyFont="1" applyFill="1" applyBorder="1" applyAlignment="1">
      <alignment horizontal="left" vertical="center"/>
    </xf>
    <xf numFmtId="176" fontId="45" fillId="0" borderId="66" xfId="21" applyFont="1" applyBorder="1" applyAlignment="1">
      <alignment horizontal="right" vertical="center"/>
    </xf>
    <xf numFmtId="176" fontId="45" fillId="0" borderId="67" xfId="21" applyFont="1" applyBorder="1" applyAlignment="1">
      <alignment horizontal="right" vertical="center"/>
    </xf>
    <xf numFmtId="176" fontId="45" fillId="0" borderId="68" xfId="21" applyFont="1" applyBorder="1" applyAlignment="1">
      <alignment horizontal="right" vertical="center"/>
    </xf>
    <xf numFmtId="176" fontId="45" fillId="0" borderId="66" xfId="22" applyFont="1" applyBorder="1" applyAlignment="1">
      <alignment horizontal="left" vertical="center"/>
    </xf>
    <xf numFmtId="176" fontId="45" fillId="0" borderId="69" xfId="22" applyFont="1" applyBorder="1" applyAlignment="1">
      <alignment horizontal="left" vertical="center"/>
    </xf>
    <xf numFmtId="0" fontId="49" fillId="0" borderId="60" xfId="20" applyFont="1" applyBorder="1" applyAlignment="1">
      <alignment horizontal="left" vertical="center" wrapText="1" indent="1"/>
    </xf>
    <xf numFmtId="0" fontId="49" fillId="0" borderId="61" xfId="20" applyFont="1" applyBorder="1" applyAlignment="1">
      <alignment horizontal="left" vertical="center" wrapText="1" indent="1"/>
    </xf>
    <xf numFmtId="0" fontId="49" fillId="0" borderId="62" xfId="20" applyFont="1" applyBorder="1" applyAlignment="1">
      <alignment horizontal="left" vertical="center" wrapText="1" indent="1"/>
    </xf>
    <xf numFmtId="176" fontId="45" fillId="0" borderId="58" xfId="21" applyFont="1" applyFill="1" applyBorder="1" applyAlignment="1">
      <alignment horizontal="right" vertical="center"/>
    </xf>
    <xf numFmtId="176" fontId="45" fillId="0" borderId="3" xfId="21" applyFont="1" applyFill="1" applyBorder="1" applyAlignment="1">
      <alignment horizontal="right" vertical="center"/>
    </xf>
    <xf numFmtId="176" fontId="45" fillId="0" borderId="59" xfId="21" applyFont="1" applyFill="1" applyBorder="1" applyAlignment="1">
      <alignment horizontal="right" vertical="center"/>
    </xf>
    <xf numFmtId="176" fontId="45" fillId="0" borderId="58" xfId="22" applyFont="1" applyFill="1" applyBorder="1" applyAlignment="1">
      <alignment horizontal="left" vertical="center"/>
    </xf>
    <xf numFmtId="176" fontId="45" fillId="0" borderId="30" xfId="22" applyFont="1" applyFill="1" applyBorder="1" applyAlignment="1">
      <alignment horizontal="left" vertical="center"/>
    </xf>
    <xf numFmtId="176" fontId="45" fillId="0" borderId="66" xfId="21" applyFont="1" applyFill="1" applyBorder="1" applyAlignment="1">
      <alignment horizontal="right" vertical="center"/>
    </xf>
    <xf numFmtId="176" fontId="45" fillId="0" borderId="67" xfId="21" applyFont="1" applyFill="1" applyBorder="1" applyAlignment="1">
      <alignment horizontal="right" vertical="center"/>
    </xf>
    <xf numFmtId="176" fontId="45" fillId="0" borderId="68" xfId="21" applyFont="1" applyFill="1" applyBorder="1" applyAlignment="1">
      <alignment horizontal="right" vertical="center"/>
    </xf>
    <xf numFmtId="176" fontId="45" fillId="0" borderId="66" xfId="22" applyFont="1" applyFill="1" applyBorder="1" applyAlignment="1">
      <alignment horizontal="left" vertical="center"/>
    </xf>
    <xf numFmtId="176" fontId="45" fillId="0" borderId="69" xfId="22" applyFont="1" applyFill="1" applyBorder="1" applyAlignment="1">
      <alignment horizontal="left" vertical="center"/>
    </xf>
    <xf numFmtId="0" fontId="49" fillId="0" borderId="58" xfId="20" applyFont="1" applyBorder="1" applyAlignment="1">
      <alignment horizontal="left" vertical="center" wrapText="1" indent="1"/>
    </xf>
    <xf numFmtId="0" fontId="49" fillId="0" borderId="3" xfId="20" applyFont="1" applyBorder="1" applyAlignment="1">
      <alignment horizontal="left" vertical="center" wrapText="1" indent="1"/>
    </xf>
    <xf numFmtId="0" fontId="49" fillId="0" borderId="59" xfId="20" applyFont="1" applyBorder="1" applyAlignment="1">
      <alignment horizontal="left" vertical="center" wrapText="1" indent="1"/>
    </xf>
    <xf numFmtId="176" fontId="45" fillId="0" borderId="60" xfId="21" applyFont="1" applyFill="1" applyBorder="1" applyAlignment="1">
      <alignment horizontal="right" vertical="center"/>
    </xf>
    <xf numFmtId="176" fontId="45" fillId="0" borderId="61" xfId="21" applyFont="1" applyFill="1" applyBorder="1" applyAlignment="1">
      <alignment horizontal="right" vertical="center"/>
    </xf>
    <xf numFmtId="176" fontId="45" fillId="0" borderId="62" xfId="21" applyFont="1" applyFill="1" applyBorder="1" applyAlignment="1">
      <alignment horizontal="right" vertical="center"/>
    </xf>
    <xf numFmtId="176" fontId="45" fillId="0" borderId="60" xfId="22" applyFont="1" applyFill="1" applyBorder="1" applyAlignment="1">
      <alignment horizontal="left" vertical="center"/>
    </xf>
    <xf numFmtId="176" fontId="45" fillId="0" borderId="64" xfId="22" applyFont="1" applyFill="1" applyBorder="1" applyAlignment="1">
      <alignment horizontal="left" vertical="center"/>
    </xf>
    <xf numFmtId="0" fontId="49" fillId="0" borderId="54" xfId="20" applyFont="1" applyBorder="1" applyAlignment="1">
      <alignment horizontal="left" vertical="center" wrapText="1" indent="1"/>
    </xf>
    <xf numFmtId="0" fontId="49" fillId="0" borderId="55" xfId="20" applyFont="1" applyBorder="1" applyAlignment="1">
      <alignment horizontal="left" vertical="center" wrapText="1" indent="1"/>
    </xf>
    <xf numFmtId="0" fontId="49" fillId="0" borderId="56" xfId="20" applyFont="1" applyBorder="1" applyAlignment="1">
      <alignment horizontal="left" vertical="center" wrapText="1" indent="1"/>
    </xf>
    <xf numFmtId="176" fontId="45" fillId="0" borderId="54" xfId="21" applyFont="1" applyFill="1" applyBorder="1" applyAlignment="1">
      <alignment horizontal="right" vertical="center"/>
    </xf>
    <xf numFmtId="176" fontId="45" fillId="0" borderId="55" xfId="21" applyFont="1" applyFill="1" applyBorder="1" applyAlignment="1">
      <alignment horizontal="right" vertical="center"/>
    </xf>
    <xf numFmtId="176" fontId="45" fillId="0" borderId="56" xfId="21" applyFont="1" applyFill="1" applyBorder="1" applyAlignment="1">
      <alignment horizontal="right" vertical="center"/>
    </xf>
    <xf numFmtId="176" fontId="45" fillId="0" borderId="54" xfId="22" applyFont="1" applyBorder="1" applyAlignment="1">
      <alignment horizontal="left" vertical="center"/>
    </xf>
    <xf numFmtId="176" fontId="45" fillId="0" borderId="57" xfId="22" applyFont="1" applyBorder="1" applyAlignment="1">
      <alignment horizontal="left" vertical="center"/>
    </xf>
    <xf numFmtId="0" fontId="45" fillId="0" borderId="48" xfId="20" applyFont="1" applyBorder="1" applyAlignment="1">
      <alignment horizontal="center" vertical="center" wrapText="1"/>
    </xf>
    <xf numFmtId="0" fontId="45" fillId="0" borderId="49" xfId="20" applyFont="1" applyBorder="1" applyAlignment="1">
      <alignment horizontal="center" vertical="center" wrapText="1"/>
    </xf>
    <xf numFmtId="0" fontId="45" fillId="0" borderId="50" xfId="20" applyFont="1" applyBorder="1" applyAlignment="1">
      <alignment horizontal="center" vertical="center" wrapText="1"/>
    </xf>
    <xf numFmtId="176" fontId="45" fillId="0" borderId="48" xfId="21" applyFont="1" applyFill="1" applyBorder="1" applyAlignment="1">
      <alignment horizontal="right" vertical="center"/>
    </xf>
    <xf numFmtId="176" fontId="45" fillId="0" borderId="49" xfId="21" applyFont="1" applyFill="1" applyBorder="1" applyAlignment="1">
      <alignment horizontal="right" vertical="center"/>
    </xf>
    <xf numFmtId="176" fontId="45" fillId="0" borderId="50" xfId="21" applyFont="1" applyFill="1" applyBorder="1" applyAlignment="1">
      <alignment horizontal="right" vertical="center"/>
    </xf>
    <xf numFmtId="176" fontId="45" fillId="0" borderId="48" xfId="22" applyFont="1" applyBorder="1" applyAlignment="1">
      <alignment horizontal="left" vertical="center"/>
    </xf>
    <xf numFmtId="176" fontId="45" fillId="0" borderId="51" xfId="22" applyFont="1" applyBorder="1" applyAlignment="1">
      <alignment horizontal="left" vertical="center"/>
    </xf>
    <xf numFmtId="176" fontId="45" fillId="0" borderId="12" xfId="21" applyFont="1" applyBorder="1" applyAlignment="1">
      <alignment horizontal="right" vertical="center"/>
    </xf>
    <xf numFmtId="176" fontId="45" fillId="0" borderId="52" xfId="21" applyFont="1" applyBorder="1" applyAlignment="1">
      <alignment horizontal="right" vertical="center"/>
    </xf>
    <xf numFmtId="176" fontId="45" fillId="0" borderId="13" xfId="21" applyFont="1" applyBorder="1" applyAlignment="1">
      <alignment horizontal="right" vertical="center"/>
    </xf>
    <xf numFmtId="176" fontId="45" fillId="0" borderId="12" xfId="22" applyFont="1" applyBorder="1" applyAlignment="1">
      <alignment horizontal="left" vertical="center"/>
    </xf>
    <xf numFmtId="176" fontId="45" fillId="0" borderId="53" xfId="22" applyFont="1" applyBorder="1" applyAlignment="1">
      <alignment horizontal="left" vertical="center"/>
    </xf>
    <xf numFmtId="0" fontId="56" fillId="13" borderId="0" xfId="19" applyFont="1" applyFill="1" applyAlignment="1">
      <alignment horizontal="left" vertical="center"/>
    </xf>
    <xf numFmtId="0" fontId="56" fillId="13" borderId="24" xfId="19" applyFont="1" applyFill="1" applyBorder="1" applyAlignment="1">
      <alignment horizontal="left" vertical="center"/>
    </xf>
    <xf numFmtId="0" fontId="45" fillId="0" borderId="0" xfId="17" applyFont="1" applyAlignment="1">
      <alignment horizontal="right" vertical="center"/>
    </xf>
    <xf numFmtId="0" fontId="45" fillId="0" borderId="24" xfId="17" applyFont="1" applyBorder="1" applyAlignment="1">
      <alignment horizontal="right" vertical="center"/>
    </xf>
    <xf numFmtId="0" fontId="45" fillId="0" borderId="44" xfId="20" applyFont="1" applyBorder="1" applyAlignment="1">
      <alignment horizontal="center" vertical="center" wrapText="1"/>
    </xf>
    <xf numFmtId="0" fontId="45" fillId="0" borderId="26" xfId="20" applyFont="1" applyBorder="1" applyAlignment="1">
      <alignment horizontal="center" vertical="center" wrapText="1"/>
    </xf>
    <xf numFmtId="0" fontId="45" fillId="0" borderId="45" xfId="20" applyFont="1" applyBorder="1" applyAlignment="1">
      <alignment horizontal="center" vertical="center" wrapText="1"/>
    </xf>
    <xf numFmtId="176" fontId="45" fillId="0" borderId="46" xfId="21" applyFont="1" applyFill="1" applyBorder="1" applyAlignment="1">
      <alignment horizontal="right" vertical="center"/>
    </xf>
    <xf numFmtId="176" fontId="45" fillId="0" borderId="44" xfId="20" applyNumberFormat="1" applyFont="1" applyBorder="1" applyAlignment="1">
      <alignment horizontal="left" vertical="center"/>
    </xf>
    <xf numFmtId="176" fontId="45" fillId="0" borderId="27" xfId="20" applyNumberFormat="1" applyFont="1" applyBorder="1" applyAlignment="1">
      <alignment horizontal="left" vertical="center"/>
    </xf>
    <xf numFmtId="0" fontId="55" fillId="14" borderId="39" xfId="17" applyFont="1" applyFill="1" applyBorder="1" applyAlignment="1">
      <alignment horizontal="center" vertical="center"/>
    </xf>
    <xf numFmtId="0" fontId="55" fillId="14" borderId="40" xfId="17" applyFont="1" applyFill="1" applyBorder="1" applyAlignment="1">
      <alignment horizontal="center" vertical="center"/>
    </xf>
    <xf numFmtId="0" fontId="55" fillId="14" borderId="41" xfId="17" applyFont="1" applyFill="1" applyBorder="1" applyAlignment="1">
      <alignment horizontal="center" vertical="center"/>
    </xf>
    <xf numFmtId="3" fontId="55" fillId="14" borderId="39" xfId="17" applyNumberFormat="1" applyFont="1" applyFill="1" applyBorder="1" applyAlignment="1">
      <alignment horizontal="center" vertical="center"/>
    </xf>
    <xf numFmtId="3" fontId="55" fillId="14" borderId="40" xfId="17" applyNumberFormat="1" applyFont="1" applyFill="1" applyBorder="1" applyAlignment="1">
      <alignment horizontal="center" vertical="center"/>
    </xf>
    <xf numFmtId="3" fontId="55" fillId="14" borderId="41" xfId="17" applyNumberFormat="1" applyFont="1" applyFill="1" applyBorder="1" applyAlignment="1">
      <alignment horizontal="center" vertical="center"/>
    </xf>
    <xf numFmtId="0" fontId="55" fillId="14" borderId="42" xfId="17" applyFont="1" applyFill="1" applyBorder="1" applyAlignment="1">
      <alignment horizontal="center" vertical="center"/>
    </xf>
    <xf numFmtId="191" fontId="54" fillId="13" borderId="0" xfId="17" applyNumberFormat="1" applyFont="1" applyFill="1" applyAlignment="1">
      <alignment horizontal="left" vertical="center"/>
    </xf>
    <xf numFmtId="0" fontId="44" fillId="0" borderId="20" xfId="17" applyFont="1" applyBorder="1" applyAlignment="1">
      <alignment horizontal="center" vertical="center"/>
    </xf>
    <xf numFmtId="0" fontId="44" fillId="0" borderId="21" xfId="17" applyFont="1" applyBorder="1" applyAlignment="1">
      <alignment horizontal="center" vertical="center"/>
    </xf>
    <xf numFmtId="0" fontId="44" fillId="0" borderId="22" xfId="17" applyFont="1" applyBorder="1" applyAlignment="1">
      <alignment horizontal="center" vertical="center"/>
    </xf>
    <xf numFmtId="0" fontId="46" fillId="0" borderId="23" xfId="17" applyFont="1" applyBorder="1" applyAlignment="1" applyProtection="1">
      <alignment horizontal="center" vertical="center"/>
      <protection locked="0"/>
    </xf>
    <xf numFmtId="0" fontId="46" fillId="0" borderId="0" xfId="17" applyFont="1" applyAlignment="1" applyProtection="1">
      <alignment horizontal="center" vertical="center"/>
      <protection locked="0"/>
    </xf>
    <xf numFmtId="0" fontId="46" fillId="0" borderId="24" xfId="17" applyFont="1" applyBorder="1" applyAlignment="1" applyProtection="1">
      <alignment horizontal="center" vertical="center"/>
      <protection locked="0"/>
    </xf>
    <xf numFmtId="0" fontId="45" fillId="9" borderId="25" xfId="17" applyFont="1" applyFill="1" applyBorder="1" applyAlignment="1">
      <alignment horizontal="center" vertical="center"/>
    </xf>
    <xf numFmtId="0" fontId="45" fillId="9" borderId="26" xfId="17" applyFont="1" applyFill="1" applyBorder="1" applyAlignment="1">
      <alignment horizontal="center" vertical="center"/>
    </xf>
    <xf numFmtId="0" fontId="45" fillId="9" borderId="27" xfId="17" applyFont="1" applyFill="1" applyBorder="1" applyAlignment="1">
      <alignment horizontal="center" vertical="center"/>
    </xf>
    <xf numFmtId="0" fontId="45" fillId="0" borderId="28" xfId="17" applyFont="1" applyBorder="1" applyAlignment="1">
      <alignment horizontal="center" vertical="center" wrapText="1"/>
    </xf>
    <xf numFmtId="0" fontId="45" fillId="0" borderId="31" xfId="17" applyFont="1" applyBorder="1" applyAlignment="1">
      <alignment horizontal="center" vertical="center"/>
    </xf>
    <xf numFmtId="0" fontId="45" fillId="0" borderId="35" xfId="17" applyFont="1" applyBorder="1" applyAlignment="1">
      <alignment horizontal="center" vertical="center"/>
    </xf>
    <xf numFmtId="0" fontId="45" fillId="0" borderId="29" xfId="17" applyFont="1" applyBorder="1" applyAlignment="1">
      <alignment horizontal="center" vertical="center"/>
    </xf>
    <xf numFmtId="0" fontId="45" fillId="0" borderId="3" xfId="17" applyFont="1" applyBorder="1" applyAlignment="1">
      <alignment horizontal="center" vertical="center"/>
    </xf>
    <xf numFmtId="0" fontId="45" fillId="0" borderId="30" xfId="17" applyFont="1" applyBorder="1" applyAlignment="1">
      <alignment horizontal="center" vertical="center"/>
    </xf>
    <xf numFmtId="0" fontId="52" fillId="0" borderId="29" xfId="17" applyFont="1" applyBorder="1" applyAlignment="1">
      <alignment horizontal="center" vertical="center"/>
    </xf>
    <xf numFmtId="0" fontId="52" fillId="0" borderId="3" xfId="17" applyFont="1" applyBorder="1" applyAlignment="1">
      <alignment horizontal="center" vertical="center"/>
    </xf>
    <xf numFmtId="0" fontId="52" fillId="0" borderId="4" xfId="17" applyFont="1" applyBorder="1" applyAlignment="1">
      <alignment horizontal="center" vertical="center"/>
    </xf>
    <xf numFmtId="0" fontId="52" fillId="0" borderId="2" xfId="17" applyFont="1" applyBorder="1" applyAlignment="1">
      <alignment horizontal="center" vertical="center"/>
    </xf>
    <xf numFmtId="0" fontId="50" fillId="0" borderId="3" xfId="17" applyFont="1" applyBorder="1" applyAlignment="1">
      <alignment horizontal="center" vertical="center"/>
    </xf>
    <xf numFmtId="0" fontId="50" fillId="0" borderId="30" xfId="17" applyFont="1" applyBorder="1" applyAlignment="1">
      <alignment horizontal="center" vertical="center"/>
    </xf>
    <xf numFmtId="0" fontId="45" fillId="0" borderId="29" xfId="17" applyFont="1" applyBorder="1" applyAlignment="1">
      <alignment horizontal="left" vertical="center" indent="1"/>
    </xf>
    <xf numFmtId="0" fontId="45" fillId="0" borderId="3" xfId="17" applyFont="1" applyBorder="1" applyAlignment="1">
      <alignment horizontal="left" vertical="center" indent="1"/>
    </xf>
    <xf numFmtId="0" fontId="45" fillId="0" borderId="30" xfId="17" applyFont="1" applyBorder="1" applyAlignment="1">
      <alignment horizontal="left" vertical="center" indent="1"/>
    </xf>
    <xf numFmtId="0" fontId="45" fillId="0" borderId="2" xfId="17" applyFont="1" applyBorder="1" applyAlignment="1">
      <alignment horizontal="center" vertical="center"/>
    </xf>
    <xf numFmtId="0" fontId="45" fillId="0" borderId="32" xfId="17" applyFont="1" applyBorder="1" applyAlignment="1">
      <alignment horizontal="center" vertical="center"/>
    </xf>
    <xf numFmtId="0" fontId="45" fillId="0" borderId="33" xfId="17" applyFont="1" applyBorder="1" applyAlignment="1">
      <alignment horizontal="center" vertical="center"/>
    </xf>
    <xf numFmtId="0" fontId="45" fillId="0" borderId="34" xfId="17" applyFont="1" applyBorder="1" applyAlignment="1">
      <alignment horizontal="center" vertical="center"/>
    </xf>
    <xf numFmtId="0" fontId="45" fillId="0" borderId="32" xfId="17" applyFont="1" applyBorder="1" applyAlignment="1">
      <alignment horizontal="left" vertical="center" indent="1"/>
    </xf>
    <xf numFmtId="0" fontId="45" fillId="0" borderId="33" xfId="17" applyFont="1" applyBorder="1" applyAlignment="1">
      <alignment horizontal="left" vertical="center" indent="1"/>
    </xf>
    <xf numFmtId="0" fontId="45" fillId="0" borderId="34" xfId="17" applyFont="1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76" fontId="20" fillId="3" borderId="5" xfId="4" applyFont="1" applyFill="1" applyBorder="1" applyAlignment="1">
      <alignment horizontal="center" vertical="center"/>
    </xf>
    <xf numFmtId="179" fontId="20" fillId="3" borderId="5" xfId="5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182" fontId="16" fillId="0" borderId="11" xfId="11" applyNumberFormat="1" applyFont="1" applyBorder="1" applyAlignment="1">
      <alignment horizontal="center" vertical="center" wrapText="1"/>
    </xf>
    <xf numFmtId="182" fontId="16" fillId="0" borderId="15" xfId="11" applyNumberFormat="1" applyFont="1" applyBorder="1" applyAlignment="1">
      <alignment horizontal="center" vertical="center" wrapText="1"/>
    </xf>
    <xf numFmtId="0" fontId="16" fillId="9" borderId="15" xfId="11" applyNumberFormat="1" applyFont="1" applyFill="1" applyBorder="1" applyAlignment="1">
      <alignment vertical="center"/>
    </xf>
    <xf numFmtId="0" fontId="16" fillId="9" borderId="14" xfId="11" applyNumberFormat="1" applyFont="1" applyFill="1" applyBorder="1" applyAlignment="1">
      <alignment vertical="center"/>
    </xf>
    <xf numFmtId="182" fontId="16" fillId="0" borderId="14" xfId="11" applyNumberFormat="1" applyFont="1" applyBorder="1" applyAlignment="1">
      <alignment horizontal="center" vertical="center" wrapText="1"/>
    </xf>
    <xf numFmtId="0" fontId="18" fillId="0" borderId="9" xfId="13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2" fillId="0" borderId="10" xfId="13" quotePrefix="1" applyFont="1" applyBorder="1" applyAlignment="1">
      <alignment horizontal="center" vertical="center"/>
    </xf>
    <xf numFmtId="0" fontId="22" fillId="0" borderId="11" xfId="13" quotePrefix="1" applyFont="1" applyBorder="1" applyAlignment="1">
      <alignment horizontal="center" vertical="center"/>
    </xf>
    <xf numFmtId="0" fontId="22" fillId="0" borderId="14" xfId="13" quotePrefix="1" applyFont="1" applyBorder="1" applyAlignment="1">
      <alignment horizontal="center" vertical="center"/>
    </xf>
    <xf numFmtId="0" fontId="22" fillId="0" borderId="10" xfId="13" applyFont="1" applyBorder="1" applyAlignment="1">
      <alignment horizontal="center" vertical="center"/>
    </xf>
    <xf numFmtId="0" fontId="22" fillId="0" borderId="12" xfId="13" quotePrefix="1" applyFont="1" applyBorder="1" applyAlignment="1">
      <alignment horizontal="center" vertical="center"/>
    </xf>
    <xf numFmtId="0" fontId="22" fillId="0" borderId="13" xfId="13" quotePrefix="1" applyFont="1" applyBorder="1" applyAlignment="1">
      <alignment horizontal="center" vertical="center"/>
    </xf>
    <xf numFmtId="0" fontId="22" fillId="0" borderId="11" xfId="13" applyFont="1" applyBorder="1" applyAlignment="1">
      <alignment horizontal="center" vertical="center"/>
    </xf>
    <xf numFmtId="0" fontId="22" fillId="0" borderId="14" xfId="13" applyFont="1" applyBorder="1" applyAlignment="1">
      <alignment horizontal="center" vertical="center"/>
    </xf>
    <xf numFmtId="0" fontId="16" fillId="0" borderId="10" xfId="11" applyNumberFormat="1" applyFont="1" applyBorder="1" applyAlignment="1">
      <alignment vertical="center"/>
    </xf>
    <xf numFmtId="0" fontId="16" fillId="0" borderId="11" xfId="11" applyNumberFormat="1" applyFont="1" applyBorder="1" applyAlignment="1">
      <alignment vertical="center"/>
    </xf>
    <xf numFmtId="0" fontId="16" fillId="0" borderId="15" xfId="11" applyNumberFormat="1" applyFont="1" applyBorder="1" applyAlignment="1">
      <alignment vertical="center"/>
    </xf>
    <xf numFmtId="0" fontId="20" fillId="4" borderId="11" xfId="11" applyNumberFormat="1" applyFont="1" applyFill="1" applyBorder="1" applyAlignment="1">
      <alignment vertical="center"/>
    </xf>
    <xf numFmtId="0" fontId="20" fillId="4" borderId="14" xfId="11" applyNumberFormat="1" applyFont="1" applyFill="1" applyBorder="1" applyAlignment="1">
      <alignment vertical="center"/>
    </xf>
    <xf numFmtId="183" fontId="24" fillId="10" borderId="12" xfId="11" applyNumberFormat="1" applyFont="1" applyFill="1" applyBorder="1" applyAlignment="1">
      <alignment vertical="center"/>
    </xf>
    <xf numFmtId="183" fontId="25" fillId="10" borderId="13" xfId="11" applyNumberFormat="1" applyFont="1" applyFill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2098BA9-7F98-4568-BE36-B93EEBE36A4E}"/>
    <cellStyle name="쉼표 [0] 2 84" xfId="24" xr:uid="{39AA9ACF-A9F5-4682-AC2E-645938F03A2A}"/>
    <cellStyle name="쉼표 [0] 3" xfId="14" xr:uid="{8F7BE219-40E1-4BBB-A9BD-02188B74B2A3}"/>
    <cellStyle name="쉼표 [0] 4" xfId="21" xr:uid="{A709F703-8E4B-4C1E-BEEE-C9A3DEEF67CA}"/>
    <cellStyle name="쉼표 [0] 5" xfId="23" xr:uid="{AED489E1-CF02-4F16-B608-4B400F266E6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8B30EE3-E7D1-4394-A9F0-F48AC8966B9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2472640-5AAE-46D5-B843-7D102C2BA191}"/>
    <cellStyle name="표준_P456 공장 및 복지동 전면 유리창 청소건 라상혁님_1129(최종)" xfId="20" xr:uid="{4737AEF0-13AC-4708-AB0C-E93E3B3AA25A}"/>
    <cellStyle name="표준_S&amp;D_MAIN VALVE_최빈_2" xfId="17" xr:uid="{5C2A2A85-F2F7-4C89-934F-8826491513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4E200C-B298-4788-A6B0-01D14AE44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9DD2-6E7F-4065-BDFA-007DB313D7AB}">
  <sheetPr>
    <tabColor rgb="FFFFFF00"/>
  </sheetPr>
  <dimension ref="A1:Y42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135" customWidth="1"/>
    <col min="2" max="2" width="3.875" style="135" customWidth="1"/>
    <col min="3" max="3" width="5" style="135" customWidth="1"/>
    <col min="4" max="4" width="6.25" style="135" customWidth="1"/>
    <col min="5" max="5" width="2.875" style="135" customWidth="1"/>
    <col min="6" max="6" width="4" style="135" customWidth="1"/>
    <col min="7" max="7" width="4.75" style="135" customWidth="1"/>
    <col min="8" max="8" width="5.5" style="135" customWidth="1"/>
    <col min="9" max="9" width="5.375" style="135" customWidth="1"/>
    <col min="10" max="10" width="1.25" style="135" customWidth="1"/>
    <col min="11" max="11" width="4.375" style="135" customWidth="1"/>
    <col min="12" max="12" width="10.375" style="135" customWidth="1"/>
    <col min="13" max="13" width="20.25" style="135" bestFit="1" customWidth="1"/>
    <col min="14" max="14" width="12.875" style="135" customWidth="1"/>
    <col min="15" max="15" width="14.75" style="135" customWidth="1"/>
    <col min="16" max="16" width="2.75" style="135" customWidth="1"/>
    <col min="17" max="17" width="12" style="135" bestFit="1" customWidth="1"/>
    <col min="18" max="18" width="11.375" style="135" bestFit="1" customWidth="1"/>
    <col min="19" max="21" width="9" style="135"/>
    <col min="22" max="22" width="9.25" style="135" bestFit="1" customWidth="1"/>
    <col min="23" max="23" width="9" style="135"/>
    <col min="24" max="24" width="2.125" style="135" customWidth="1"/>
    <col min="25" max="250" width="9" style="135"/>
    <col min="251" max="251" width="5" style="135" customWidth="1"/>
    <col min="252" max="252" width="3.875" style="135" customWidth="1"/>
    <col min="253" max="253" width="5" style="135" customWidth="1"/>
    <col min="254" max="254" width="6.25" style="135" customWidth="1"/>
    <col min="255" max="255" width="2.875" style="135" customWidth="1"/>
    <col min="256" max="256" width="4" style="135" customWidth="1"/>
    <col min="257" max="257" width="4.75" style="135" customWidth="1"/>
    <col min="258" max="258" width="5.5" style="135" customWidth="1"/>
    <col min="259" max="259" width="5.375" style="135" customWidth="1"/>
    <col min="260" max="260" width="1.25" style="135" customWidth="1"/>
    <col min="261" max="261" width="4.375" style="135" customWidth="1"/>
    <col min="262" max="262" width="10.375" style="135" customWidth="1"/>
    <col min="263" max="263" width="16.625" style="135" customWidth="1"/>
    <col min="264" max="264" width="10.875" style="135" customWidth="1"/>
    <col min="265" max="265" width="18.75" style="135" customWidth="1"/>
    <col min="266" max="266" width="14.25" style="135" bestFit="1" customWidth="1"/>
    <col min="267" max="506" width="9" style="135"/>
    <col min="507" max="507" width="5" style="135" customWidth="1"/>
    <col min="508" max="508" width="3.875" style="135" customWidth="1"/>
    <col min="509" max="509" width="5" style="135" customWidth="1"/>
    <col min="510" max="510" width="6.25" style="135" customWidth="1"/>
    <col min="511" max="511" width="2.875" style="135" customWidth="1"/>
    <col min="512" max="512" width="4" style="135" customWidth="1"/>
    <col min="513" max="513" width="4.75" style="135" customWidth="1"/>
    <col min="514" max="514" width="5.5" style="135" customWidth="1"/>
    <col min="515" max="515" width="5.375" style="135" customWidth="1"/>
    <col min="516" max="516" width="1.25" style="135" customWidth="1"/>
    <col min="517" max="517" width="4.375" style="135" customWidth="1"/>
    <col min="518" max="518" width="10.375" style="135" customWidth="1"/>
    <col min="519" max="519" width="16.625" style="135" customWidth="1"/>
    <col min="520" max="520" width="10.875" style="135" customWidth="1"/>
    <col min="521" max="521" width="18.75" style="135" customWidth="1"/>
    <col min="522" max="522" width="14.25" style="135" bestFit="1" customWidth="1"/>
    <col min="523" max="762" width="9" style="135"/>
    <col min="763" max="763" width="5" style="135" customWidth="1"/>
    <col min="764" max="764" width="3.875" style="135" customWidth="1"/>
    <col min="765" max="765" width="5" style="135" customWidth="1"/>
    <col min="766" max="766" width="6.25" style="135" customWidth="1"/>
    <col min="767" max="767" width="2.875" style="135" customWidth="1"/>
    <col min="768" max="768" width="4" style="135" customWidth="1"/>
    <col min="769" max="769" width="4.75" style="135" customWidth="1"/>
    <col min="770" max="770" width="5.5" style="135" customWidth="1"/>
    <col min="771" max="771" width="5.375" style="135" customWidth="1"/>
    <col min="772" max="772" width="1.25" style="135" customWidth="1"/>
    <col min="773" max="773" width="4.375" style="135" customWidth="1"/>
    <col min="774" max="774" width="10.375" style="135" customWidth="1"/>
    <col min="775" max="775" width="16.625" style="135" customWidth="1"/>
    <col min="776" max="776" width="10.875" style="135" customWidth="1"/>
    <col min="777" max="777" width="18.75" style="135" customWidth="1"/>
    <col min="778" max="778" width="14.25" style="135" bestFit="1" customWidth="1"/>
    <col min="779" max="1018" width="9" style="135"/>
    <col min="1019" max="1019" width="5" style="135" customWidth="1"/>
    <col min="1020" max="1020" width="3.875" style="135" customWidth="1"/>
    <col min="1021" max="1021" width="5" style="135" customWidth="1"/>
    <col min="1022" max="1022" width="6.25" style="135" customWidth="1"/>
    <col min="1023" max="1023" width="2.875" style="135" customWidth="1"/>
    <col min="1024" max="1024" width="4" style="135" customWidth="1"/>
    <col min="1025" max="1025" width="4.75" style="135" customWidth="1"/>
    <col min="1026" max="1026" width="5.5" style="135" customWidth="1"/>
    <col min="1027" max="1027" width="5.375" style="135" customWidth="1"/>
    <col min="1028" max="1028" width="1.25" style="135" customWidth="1"/>
    <col min="1029" max="1029" width="4.375" style="135" customWidth="1"/>
    <col min="1030" max="1030" width="10.375" style="135" customWidth="1"/>
    <col min="1031" max="1031" width="16.625" style="135" customWidth="1"/>
    <col min="1032" max="1032" width="10.875" style="135" customWidth="1"/>
    <col min="1033" max="1033" width="18.75" style="135" customWidth="1"/>
    <col min="1034" max="1034" width="14.25" style="135" bestFit="1" customWidth="1"/>
    <col min="1035" max="1274" width="9" style="135"/>
    <col min="1275" max="1275" width="5" style="135" customWidth="1"/>
    <col min="1276" max="1276" width="3.875" style="135" customWidth="1"/>
    <col min="1277" max="1277" width="5" style="135" customWidth="1"/>
    <col min="1278" max="1278" width="6.25" style="135" customWidth="1"/>
    <col min="1279" max="1279" width="2.875" style="135" customWidth="1"/>
    <col min="1280" max="1280" width="4" style="135" customWidth="1"/>
    <col min="1281" max="1281" width="4.75" style="135" customWidth="1"/>
    <col min="1282" max="1282" width="5.5" style="135" customWidth="1"/>
    <col min="1283" max="1283" width="5.375" style="135" customWidth="1"/>
    <col min="1284" max="1284" width="1.25" style="135" customWidth="1"/>
    <col min="1285" max="1285" width="4.375" style="135" customWidth="1"/>
    <col min="1286" max="1286" width="10.375" style="135" customWidth="1"/>
    <col min="1287" max="1287" width="16.625" style="135" customWidth="1"/>
    <col min="1288" max="1288" width="10.875" style="135" customWidth="1"/>
    <col min="1289" max="1289" width="18.75" style="135" customWidth="1"/>
    <col min="1290" max="1290" width="14.25" style="135" bestFit="1" customWidth="1"/>
    <col min="1291" max="1530" width="9" style="135"/>
    <col min="1531" max="1531" width="5" style="135" customWidth="1"/>
    <col min="1532" max="1532" width="3.875" style="135" customWidth="1"/>
    <col min="1533" max="1533" width="5" style="135" customWidth="1"/>
    <col min="1534" max="1534" width="6.25" style="135" customWidth="1"/>
    <col min="1535" max="1535" width="2.875" style="135" customWidth="1"/>
    <col min="1536" max="1536" width="4" style="135" customWidth="1"/>
    <col min="1537" max="1537" width="4.75" style="135" customWidth="1"/>
    <col min="1538" max="1538" width="5.5" style="135" customWidth="1"/>
    <col min="1539" max="1539" width="5.375" style="135" customWidth="1"/>
    <col min="1540" max="1540" width="1.25" style="135" customWidth="1"/>
    <col min="1541" max="1541" width="4.375" style="135" customWidth="1"/>
    <col min="1542" max="1542" width="10.375" style="135" customWidth="1"/>
    <col min="1543" max="1543" width="16.625" style="135" customWidth="1"/>
    <col min="1544" max="1544" width="10.875" style="135" customWidth="1"/>
    <col min="1545" max="1545" width="18.75" style="135" customWidth="1"/>
    <col min="1546" max="1546" width="14.25" style="135" bestFit="1" customWidth="1"/>
    <col min="1547" max="1786" width="9" style="135"/>
    <col min="1787" max="1787" width="5" style="135" customWidth="1"/>
    <col min="1788" max="1788" width="3.875" style="135" customWidth="1"/>
    <col min="1789" max="1789" width="5" style="135" customWidth="1"/>
    <col min="1790" max="1790" width="6.25" style="135" customWidth="1"/>
    <col min="1791" max="1791" width="2.875" style="135" customWidth="1"/>
    <col min="1792" max="1792" width="4" style="135" customWidth="1"/>
    <col min="1793" max="1793" width="4.75" style="135" customWidth="1"/>
    <col min="1794" max="1794" width="5.5" style="135" customWidth="1"/>
    <col min="1795" max="1795" width="5.375" style="135" customWidth="1"/>
    <col min="1796" max="1796" width="1.25" style="135" customWidth="1"/>
    <col min="1797" max="1797" width="4.375" style="135" customWidth="1"/>
    <col min="1798" max="1798" width="10.375" style="135" customWidth="1"/>
    <col min="1799" max="1799" width="16.625" style="135" customWidth="1"/>
    <col min="1800" max="1800" width="10.875" style="135" customWidth="1"/>
    <col min="1801" max="1801" width="18.75" style="135" customWidth="1"/>
    <col min="1802" max="1802" width="14.25" style="135" bestFit="1" customWidth="1"/>
    <col min="1803" max="2042" width="9" style="135"/>
    <col min="2043" max="2043" width="5" style="135" customWidth="1"/>
    <col min="2044" max="2044" width="3.875" style="135" customWidth="1"/>
    <col min="2045" max="2045" width="5" style="135" customWidth="1"/>
    <col min="2046" max="2046" width="6.25" style="135" customWidth="1"/>
    <col min="2047" max="2047" width="2.875" style="135" customWidth="1"/>
    <col min="2048" max="2048" width="4" style="135" customWidth="1"/>
    <col min="2049" max="2049" width="4.75" style="135" customWidth="1"/>
    <col min="2050" max="2050" width="5.5" style="135" customWidth="1"/>
    <col min="2051" max="2051" width="5.375" style="135" customWidth="1"/>
    <col min="2052" max="2052" width="1.25" style="135" customWidth="1"/>
    <col min="2053" max="2053" width="4.375" style="135" customWidth="1"/>
    <col min="2054" max="2054" width="10.375" style="135" customWidth="1"/>
    <col min="2055" max="2055" width="16.625" style="135" customWidth="1"/>
    <col min="2056" max="2056" width="10.875" style="135" customWidth="1"/>
    <col min="2057" max="2057" width="18.75" style="135" customWidth="1"/>
    <col min="2058" max="2058" width="14.25" style="135" bestFit="1" customWidth="1"/>
    <col min="2059" max="2298" width="9" style="135"/>
    <col min="2299" max="2299" width="5" style="135" customWidth="1"/>
    <col min="2300" max="2300" width="3.875" style="135" customWidth="1"/>
    <col min="2301" max="2301" width="5" style="135" customWidth="1"/>
    <col min="2302" max="2302" width="6.25" style="135" customWidth="1"/>
    <col min="2303" max="2303" width="2.875" style="135" customWidth="1"/>
    <col min="2304" max="2304" width="4" style="135" customWidth="1"/>
    <col min="2305" max="2305" width="4.75" style="135" customWidth="1"/>
    <col min="2306" max="2306" width="5.5" style="135" customWidth="1"/>
    <col min="2307" max="2307" width="5.375" style="135" customWidth="1"/>
    <col min="2308" max="2308" width="1.25" style="135" customWidth="1"/>
    <col min="2309" max="2309" width="4.375" style="135" customWidth="1"/>
    <col min="2310" max="2310" width="10.375" style="135" customWidth="1"/>
    <col min="2311" max="2311" width="16.625" style="135" customWidth="1"/>
    <col min="2312" max="2312" width="10.875" style="135" customWidth="1"/>
    <col min="2313" max="2313" width="18.75" style="135" customWidth="1"/>
    <col min="2314" max="2314" width="14.25" style="135" bestFit="1" customWidth="1"/>
    <col min="2315" max="2554" width="9" style="135"/>
    <col min="2555" max="2555" width="5" style="135" customWidth="1"/>
    <col min="2556" max="2556" width="3.875" style="135" customWidth="1"/>
    <col min="2557" max="2557" width="5" style="135" customWidth="1"/>
    <col min="2558" max="2558" width="6.25" style="135" customWidth="1"/>
    <col min="2559" max="2559" width="2.875" style="135" customWidth="1"/>
    <col min="2560" max="2560" width="4" style="135" customWidth="1"/>
    <col min="2561" max="2561" width="4.75" style="135" customWidth="1"/>
    <col min="2562" max="2562" width="5.5" style="135" customWidth="1"/>
    <col min="2563" max="2563" width="5.375" style="135" customWidth="1"/>
    <col min="2564" max="2564" width="1.25" style="135" customWidth="1"/>
    <col min="2565" max="2565" width="4.375" style="135" customWidth="1"/>
    <col min="2566" max="2566" width="10.375" style="135" customWidth="1"/>
    <col min="2567" max="2567" width="16.625" style="135" customWidth="1"/>
    <col min="2568" max="2568" width="10.875" style="135" customWidth="1"/>
    <col min="2569" max="2569" width="18.75" style="135" customWidth="1"/>
    <col min="2570" max="2570" width="14.25" style="135" bestFit="1" customWidth="1"/>
    <col min="2571" max="2810" width="9" style="135"/>
    <col min="2811" max="2811" width="5" style="135" customWidth="1"/>
    <col min="2812" max="2812" width="3.875" style="135" customWidth="1"/>
    <col min="2813" max="2813" width="5" style="135" customWidth="1"/>
    <col min="2814" max="2814" width="6.25" style="135" customWidth="1"/>
    <col min="2815" max="2815" width="2.875" style="135" customWidth="1"/>
    <col min="2816" max="2816" width="4" style="135" customWidth="1"/>
    <col min="2817" max="2817" width="4.75" style="135" customWidth="1"/>
    <col min="2818" max="2818" width="5.5" style="135" customWidth="1"/>
    <col min="2819" max="2819" width="5.375" style="135" customWidth="1"/>
    <col min="2820" max="2820" width="1.25" style="135" customWidth="1"/>
    <col min="2821" max="2821" width="4.375" style="135" customWidth="1"/>
    <col min="2822" max="2822" width="10.375" style="135" customWidth="1"/>
    <col min="2823" max="2823" width="16.625" style="135" customWidth="1"/>
    <col min="2824" max="2824" width="10.875" style="135" customWidth="1"/>
    <col min="2825" max="2825" width="18.75" style="135" customWidth="1"/>
    <col min="2826" max="2826" width="14.25" style="135" bestFit="1" customWidth="1"/>
    <col min="2827" max="3066" width="9" style="135"/>
    <col min="3067" max="3067" width="5" style="135" customWidth="1"/>
    <col min="3068" max="3068" width="3.875" style="135" customWidth="1"/>
    <col min="3069" max="3069" width="5" style="135" customWidth="1"/>
    <col min="3070" max="3070" width="6.25" style="135" customWidth="1"/>
    <col min="3071" max="3071" width="2.875" style="135" customWidth="1"/>
    <col min="3072" max="3072" width="4" style="135" customWidth="1"/>
    <col min="3073" max="3073" width="4.75" style="135" customWidth="1"/>
    <col min="3074" max="3074" width="5.5" style="135" customWidth="1"/>
    <col min="3075" max="3075" width="5.375" style="135" customWidth="1"/>
    <col min="3076" max="3076" width="1.25" style="135" customWidth="1"/>
    <col min="3077" max="3077" width="4.375" style="135" customWidth="1"/>
    <col min="3078" max="3078" width="10.375" style="135" customWidth="1"/>
    <col min="3079" max="3079" width="16.625" style="135" customWidth="1"/>
    <col min="3080" max="3080" width="10.875" style="135" customWidth="1"/>
    <col min="3081" max="3081" width="18.75" style="135" customWidth="1"/>
    <col min="3082" max="3082" width="14.25" style="135" bestFit="1" customWidth="1"/>
    <col min="3083" max="3322" width="9" style="135"/>
    <col min="3323" max="3323" width="5" style="135" customWidth="1"/>
    <col min="3324" max="3324" width="3.875" style="135" customWidth="1"/>
    <col min="3325" max="3325" width="5" style="135" customWidth="1"/>
    <col min="3326" max="3326" width="6.25" style="135" customWidth="1"/>
    <col min="3327" max="3327" width="2.875" style="135" customWidth="1"/>
    <col min="3328" max="3328" width="4" style="135" customWidth="1"/>
    <col min="3329" max="3329" width="4.75" style="135" customWidth="1"/>
    <col min="3330" max="3330" width="5.5" style="135" customWidth="1"/>
    <col min="3331" max="3331" width="5.375" style="135" customWidth="1"/>
    <col min="3332" max="3332" width="1.25" style="135" customWidth="1"/>
    <col min="3333" max="3333" width="4.375" style="135" customWidth="1"/>
    <col min="3334" max="3334" width="10.375" style="135" customWidth="1"/>
    <col min="3335" max="3335" width="16.625" style="135" customWidth="1"/>
    <col min="3336" max="3336" width="10.875" style="135" customWidth="1"/>
    <col min="3337" max="3337" width="18.75" style="135" customWidth="1"/>
    <col min="3338" max="3338" width="14.25" style="135" bestFit="1" customWidth="1"/>
    <col min="3339" max="3578" width="9" style="135"/>
    <col min="3579" max="3579" width="5" style="135" customWidth="1"/>
    <col min="3580" max="3580" width="3.875" style="135" customWidth="1"/>
    <col min="3581" max="3581" width="5" style="135" customWidth="1"/>
    <col min="3582" max="3582" width="6.25" style="135" customWidth="1"/>
    <col min="3583" max="3583" width="2.875" style="135" customWidth="1"/>
    <col min="3584" max="3584" width="4" style="135" customWidth="1"/>
    <col min="3585" max="3585" width="4.75" style="135" customWidth="1"/>
    <col min="3586" max="3586" width="5.5" style="135" customWidth="1"/>
    <col min="3587" max="3587" width="5.375" style="135" customWidth="1"/>
    <col min="3588" max="3588" width="1.25" style="135" customWidth="1"/>
    <col min="3589" max="3589" width="4.375" style="135" customWidth="1"/>
    <col min="3590" max="3590" width="10.375" style="135" customWidth="1"/>
    <col min="3591" max="3591" width="16.625" style="135" customWidth="1"/>
    <col min="3592" max="3592" width="10.875" style="135" customWidth="1"/>
    <col min="3593" max="3593" width="18.75" style="135" customWidth="1"/>
    <col min="3594" max="3594" width="14.25" style="135" bestFit="1" customWidth="1"/>
    <col min="3595" max="3834" width="9" style="135"/>
    <col min="3835" max="3835" width="5" style="135" customWidth="1"/>
    <col min="3836" max="3836" width="3.875" style="135" customWidth="1"/>
    <col min="3837" max="3837" width="5" style="135" customWidth="1"/>
    <col min="3838" max="3838" width="6.25" style="135" customWidth="1"/>
    <col min="3839" max="3839" width="2.875" style="135" customWidth="1"/>
    <col min="3840" max="3840" width="4" style="135" customWidth="1"/>
    <col min="3841" max="3841" width="4.75" style="135" customWidth="1"/>
    <col min="3842" max="3842" width="5.5" style="135" customWidth="1"/>
    <col min="3843" max="3843" width="5.375" style="135" customWidth="1"/>
    <col min="3844" max="3844" width="1.25" style="135" customWidth="1"/>
    <col min="3845" max="3845" width="4.375" style="135" customWidth="1"/>
    <col min="3846" max="3846" width="10.375" style="135" customWidth="1"/>
    <col min="3847" max="3847" width="16.625" style="135" customWidth="1"/>
    <col min="3848" max="3848" width="10.875" style="135" customWidth="1"/>
    <col min="3849" max="3849" width="18.75" style="135" customWidth="1"/>
    <col min="3850" max="3850" width="14.25" style="135" bestFit="1" customWidth="1"/>
    <col min="3851" max="4090" width="9" style="135"/>
    <col min="4091" max="4091" width="5" style="135" customWidth="1"/>
    <col min="4092" max="4092" width="3.875" style="135" customWidth="1"/>
    <col min="4093" max="4093" width="5" style="135" customWidth="1"/>
    <col min="4094" max="4094" width="6.25" style="135" customWidth="1"/>
    <col min="4095" max="4095" width="2.875" style="135" customWidth="1"/>
    <col min="4096" max="4096" width="4" style="135" customWidth="1"/>
    <col min="4097" max="4097" width="4.75" style="135" customWidth="1"/>
    <col min="4098" max="4098" width="5.5" style="135" customWidth="1"/>
    <col min="4099" max="4099" width="5.375" style="135" customWidth="1"/>
    <col min="4100" max="4100" width="1.25" style="135" customWidth="1"/>
    <col min="4101" max="4101" width="4.375" style="135" customWidth="1"/>
    <col min="4102" max="4102" width="10.375" style="135" customWidth="1"/>
    <col min="4103" max="4103" width="16.625" style="135" customWidth="1"/>
    <col min="4104" max="4104" width="10.875" style="135" customWidth="1"/>
    <col min="4105" max="4105" width="18.75" style="135" customWidth="1"/>
    <col min="4106" max="4106" width="14.25" style="135" bestFit="1" customWidth="1"/>
    <col min="4107" max="4346" width="9" style="135"/>
    <col min="4347" max="4347" width="5" style="135" customWidth="1"/>
    <col min="4348" max="4348" width="3.875" style="135" customWidth="1"/>
    <col min="4349" max="4349" width="5" style="135" customWidth="1"/>
    <col min="4350" max="4350" width="6.25" style="135" customWidth="1"/>
    <col min="4351" max="4351" width="2.875" style="135" customWidth="1"/>
    <col min="4352" max="4352" width="4" style="135" customWidth="1"/>
    <col min="4353" max="4353" width="4.75" style="135" customWidth="1"/>
    <col min="4354" max="4354" width="5.5" style="135" customWidth="1"/>
    <col min="4355" max="4355" width="5.375" style="135" customWidth="1"/>
    <col min="4356" max="4356" width="1.25" style="135" customWidth="1"/>
    <col min="4357" max="4357" width="4.375" style="135" customWidth="1"/>
    <col min="4358" max="4358" width="10.375" style="135" customWidth="1"/>
    <col min="4359" max="4359" width="16.625" style="135" customWidth="1"/>
    <col min="4360" max="4360" width="10.875" style="135" customWidth="1"/>
    <col min="4361" max="4361" width="18.75" style="135" customWidth="1"/>
    <col min="4362" max="4362" width="14.25" style="135" bestFit="1" customWidth="1"/>
    <col min="4363" max="4602" width="9" style="135"/>
    <col min="4603" max="4603" width="5" style="135" customWidth="1"/>
    <col min="4604" max="4604" width="3.875" style="135" customWidth="1"/>
    <col min="4605" max="4605" width="5" style="135" customWidth="1"/>
    <col min="4606" max="4606" width="6.25" style="135" customWidth="1"/>
    <col min="4607" max="4607" width="2.875" style="135" customWidth="1"/>
    <col min="4608" max="4608" width="4" style="135" customWidth="1"/>
    <col min="4609" max="4609" width="4.75" style="135" customWidth="1"/>
    <col min="4610" max="4610" width="5.5" style="135" customWidth="1"/>
    <col min="4611" max="4611" width="5.375" style="135" customWidth="1"/>
    <col min="4612" max="4612" width="1.25" style="135" customWidth="1"/>
    <col min="4613" max="4613" width="4.375" style="135" customWidth="1"/>
    <col min="4614" max="4614" width="10.375" style="135" customWidth="1"/>
    <col min="4615" max="4615" width="16.625" style="135" customWidth="1"/>
    <col min="4616" max="4616" width="10.875" style="135" customWidth="1"/>
    <col min="4617" max="4617" width="18.75" style="135" customWidth="1"/>
    <col min="4618" max="4618" width="14.25" style="135" bestFit="1" customWidth="1"/>
    <col min="4619" max="4858" width="9" style="135"/>
    <col min="4859" max="4859" width="5" style="135" customWidth="1"/>
    <col min="4860" max="4860" width="3.875" style="135" customWidth="1"/>
    <col min="4861" max="4861" width="5" style="135" customWidth="1"/>
    <col min="4862" max="4862" width="6.25" style="135" customWidth="1"/>
    <col min="4863" max="4863" width="2.875" style="135" customWidth="1"/>
    <col min="4864" max="4864" width="4" style="135" customWidth="1"/>
    <col min="4865" max="4865" width="4.75" style="135" customWidth="1"/>
    <col min="4866" max="4866" width="5.5" style="135" customWidth="1"/>
    <col min="4867" max="4867" width="5.375" style="135" customWidth="1"/>
    <col min="4868" max="4868" width="1.25" style="135" customWidth="1"/>
    <col min="4869" max="4869" width="4.375" style="135" customWidth="1"/>
    <col min="4870" max="4870" width="10.375" style="135" customWidth="1"/>
    <col min="4871" max="4871" width="16.625" style="135" customWidth="1"/>
    <col min="4872" max="4872" width="10.875" style="135" customWidth="1"/>
    <col min="4873" max="4873" width="18.75" style="135" customWidth="1"/>
    <col min="4874" max="4874" width="14.25" style="135" bestFit="1" customWidth="1"/>
    <col min="4875" max="5114" width="9" style="135"/>
    <col min="5115" max="5115" width="5" style="135" customWidth="1"/>
    <col min="5116" max="5116" width="3.875" style="135" customWidth="1"/>
    <col min="5117" max="5117" width="5" style="135" customWidth="1"/>
    <col min="5118" max="5118" width="6.25" style="135" customWidth="1"/>
    <col min="5119" max="5119" width="2.875" style="135" customWidth="1"/>
    <col min="5120" max="5120" width="4" style="135" customWidth="1"/>
    <col min="5121" max="5121" width="4.75" style="135" customWidth="1"/>
    <col min="5122" max="5122" width="5.5" style="135" customWidth="1"/>
    <col min="5123" max="5123" width="5.375" style="135" customWidth="1"/>
    <col min="5124" max="5124" width="1.25" style="135" customWidth="1"/>
    <col min="5125" max="5125" width="4.375" style="135" customWidth="1"/>
    <col min="5126" max="5126" width="10.375" style="135" customWidth="1"/>
    <col min="5127" max="5127" width="16.625" style="135" customWidth="1"/>
    <col min="5128" max="5128" width="10.875" style="135" customWidth="1"/>
    <col min="5129" max="5129" width="18.75" style="135" customWidth="1"/>
    <col min="5130" max="5130" width="14.25" style="135" bestFit="1" customWidth="1"/>
    <col min="5131" max="5370" width="9" style="135"/>
    <col min="5371" max="5371" width="5" style="135" customWidth="1"/>
    <col min="5372" max="5372" width="3.875" style="135" customWidth="1"/>
    <col min="5373" max="5373" width="5" style="135" customWidth="1"/>
    <col min="5374" max="5374" width="6.25" style="135" customWidth="1"/>
    <col min="5375" max="5375" width="2.875" style="135" customWidth="1"/>
    <col min="5376" max="5376" width="4" style="135" customWidth="1"/>
    <col min="5377" max="5377" width="4.75" style="135" customWidth="1"/>
    <col min="5378" max="5378" width="5.5" style="135" customWidth="1"/>
    <col min="5379" max="5379" width="5.375" style="135" customWidth="1"/>
    <col min="5380" max="5380" width="1.25" style="135" customWidth="1"/>
    <col min="5381" max="5381" width="4.375" style="135" customWidth="1"/>
    <col min="5382" max="5382" width="10.375" style="135" customWidth="1"/>
    <col min="5383" max="5383" width="16.625" style="135" customWidth="1"/>
    <col min="5384" max="5384" width="10.875" style="135" customWidth="1"/>
    <col min="5385" max="5385" width="18.75" style="135" customWidth="1"/>
    <col min="5386" max="5386" width="14.25" style="135" bestFit="1" customWidth="1"/>
    <col min="5387" max="5626" width="9" style="135"/>
    <col min="5627" max="5627" width="5" style="135" customWidth="1"/>
    <col min="5628" max="5628" width="3.875" style="135" customWidth="1"/>
    <col min="5629" max="5629" width="5" style="135" customWidth="1"/>
    <col min="5630" max="5630" width="6.25" style="135" customWidth="1"/>
    <col min="5631" max="5631" width="2.875" style="135" customWidth="1"/>
    <col min="5632" max="5632" width="4" style="135" customWidth="1"/>
    <col min="5633" max="5633" width="4.75" style="135" customWidth="1"/>
    <col min="5634" max="5634" width="5.5" style="135" customWidth="1"/>
    <col min="5635" max="5635" width="5.375" style="135" customWidth="1"/>
    <col min="5636" max="5636" width="1.25" style="135" customWidth="1"/>
    <col min="5637" max="5637" width="4.375" style="135" customWidth="1"/>
    <col min="5638" max="5638" width="10.375" style="135" customWidth="1"/>
    <col min="5639" max="5639" width="16.625" style="135" customWidth="1"/>
    <col min="5640" max="5640" width="10.875" style="135" customWidth="1"/>
    <col min="5641" max="5641" width="18.75" style="135" customWidth="1"/>
    <col min="5642" max="5642" width="14.25" style="135" bestFit="1" customWidth="1"/>
    <col min="5643" max="5882" width="9" style="135"/>
    <col min="5883" max="5883" width="5" style="135" customWidth="1"/>
    <col min="5884" max="5884" width="3.875" style="135" customWidth="1"/>
    <col min="5885" max="5885" width="5" style="135" customWidth="1"/>
    <col min="5886" max="5886" width="6.25" style="135" customWidth="1"/>
    <col min="5887" max="5887" width="2.875" style="135" customWidth="1"/>
    <col min="5888" max="5888" width="4" style="135" customWidth="1"/>
    <col min="5889" max="5889" width="4.75" style="135" customWidth="1"/>
    <col min="5890" max="5890" width="5.5" style="135" customWidth="1"/>
    <col min="5891" max="5891" width="5.375" style="135" customWidth="1"/>
    <col min="5892" max="5892" width="1.25" style="135" customWidth="1"/>
    <col min="5893" max="5893" width="4.375" style="135" customWidth="1"/>
    <col min="5894" max="5894" width="10.375" style="135" customWidth="1"/>
    <col min="5895" max="5895" width="16.625" style="135" customWidth="1"/>
    <col min="5896" max="5896" width="10.875" style="135" customWidth="1"/>
    <col min="5897" max="5897" width="18.75" style="135" customWidth="1"/>
    <col min="5898" max="5898" width="14.25" style="135" bestFit="1" customWidth="1"/>
    <col min="5899" max="6138" width="9" style="135"/>
    <col min="6139" max="6139" width="5" style="135" customWidth="1"/>
    <col min="6140" max="6140" width="3.875" style="135" customWidth="1"/>
    <col min="6141" max="6141" width="5" style="135" customWidth="1"/>
    <col min="6142" max="6142" width="6.25" style="135" customWidth="1"/>
    <col min="6143" max="6143" width="2.875" style="135" customWidth="1"/>
    <col min="6144" max="6144" width="4" style="135" customWidth="1"/>
    <col min="6145" max="6145" width="4.75" style="135" customWidth="1"/>
    <col min="6146" max="6146" width="5.5" style="135" customWidth="1"/>
    <col min="6147" max="6147" width="5.375" style="135" customWidth="1"/>
    <col min="6148" max="6148" width="1.25" style="135" customWidth="1"/>
    <col min="6149" max="6149" width="4.375" style="135" customWidth="1"/>
    <col min="6150" max="6150" width="10.375" style="135" customWidth="1"/>
    <col min="6151" max="6151" width="16.625" style="135" customWidth="1"/>
    <col min="6152" max="6152" width="10.875" style="135" customWidth="1"/>
    <col min="6153" max="6153" width="18.75" style="135" customWidth="1"/>
    <col min="6154" max="6154" width="14.25" style="135" bestFit="1" customWidth="1"/>
    <col min="6155" max="6394" width="9" style="135"/>
    <col min="6395" max="6395" width="5" style="135" customWidth="1"/>
    <col min="6396" max="6396" width="3.875" style="135" customWidth="1"/>
    <col min="6397" max="6397" width="5" style="135" customWidth="1"/>
    <col min="6398" max="6398" width="6.25" style="135" customWidth="1"/>
    <col min="6399" max="6399" width="2.875" style="135" customWidth="1"/>
    <col min="6400" max="6400" width="4" style="135" customWidth="1"/>
    <col min="6401" max="6401" width="4.75" style="135" customWidth="1"/>
    <col min="6402" max="6402" width="5.5" style="135" customWidth="1"/>
    <col min="6403" max="6403" width="5.375" style="135" customWidth="1"/>
    <col min="6404" max="6404" width="1.25" style="135" customWidth="1"/>
    <col min="6405" max="6405" width="4.375" style="135" customWidth="1"/>
    <col min="6406" max="6406" width="10.375" style="135" customWidth="1"/>
    <col min="6407" max="6407" width="16.625" style="135" customWidth="1"/>
    <col min="6408" max="6408" width="10.875" style="135" customWidth="1"/>
    <col min="6409" max="6409" width="18.75" style="135" customWidth="1"/>
    <col min="6410" max="6410" width="14.25" style="135" bestFit="1" customWidth="1"/>
    <col min="6411" max="6650" width="9" style="135"/>
    <col min="6651" max="6651" width="5" style="135" customWidth="1"/>
    <col min="6652" max="6652" width="3.875" style="135" customWidth="1"/>
    <col min="6653" max="6653" width="5" style="135" customWidth="1"/>
    <col min="6654" max="6654" width="6.25" style="135" customWidth="1"/>
    <col min="6655" max="6655" width="2.875" style="135" customWidth="1"/>
    <col min="6656" max="6656" width="4" style="135" customWidth="1"/>
    <col min="6657" max="6657" width="4.75" style="135" customWidth="1"/>
    <col min="6658" max="6658" width="5.5" style="135" customWidth="1"/>
    <col min="6659" max="6659" width="5.375" style="135" customWidth="1"/>
    <col min="6660" max="6660" width="1.25" style="135" customWidth="1"/>
    <col min="6661" max="6661" width="4.375" style="135" customWidth="1"/>
    <col min="6662" max="6662" width="10.375" style="135" customWidth="1"/>
    <col min="6663" max="6663" width="16.625" style="135" customWidth="1"/>
    <col min="6664" max="6664" width="10.875" style="135" customWidth="1"/>
    <col min="6665" max="6665" width="18.75" style="135" customWidth="1"/>
    <col min="6666" max="6666" width="14.25" style="135" bestFit="1" customWidth="1"/>
    <col min="6667" max="6906" width="9" style="135"/>
    <col min="6907" max="6907" width="5" style="135" customWidth="1"/>
    <col min="6908" max="6908" width="3.875" style="135" customWidth="1"/>
    <col min="6909" max="6909" width="5" style="135" customWidth="1"/>
    <col min="6910" max="6910" width="6.25" style="135" customWidth="1"/>
    <col min="6911" max="6911" width="2.875" style="135" customWidth="1"/>
    <col min="6912" max="6912" width="4" style="135" customWidth="1"/>
    <col min="6913" max="6913" width="4.75" style="135" customWidth="1"/>
    <col min="6914" max="6914" width="5.5" style="135" customWidth="1"/>
    <col min="6915" max="6915" width="5.375" style="135" customWidth="1"/>
    <col min="6916" max="6916" width="1.25" style="135" customWidth="1"/>
    <col min="6917" max="6917" width="4.375" style="135" customWidth="1"/>
    <col min="6918" max="6918" width="10.375" style="135" customWidth="1"/>
    <col min="6919" max="6919" width="16.625" style="135" customWidth="1"/>
    <col min="6920" max="6920" width="10.875" style="135" customWidth="1"/>
    <col min="6921" max="6921" width="18.75" style="135" customWidth="1"/>
    <col min="6922" max="6922" width="14.25" style="135" bestFit="1" customWidth="1"/>
    <col min="6923" max="7162" width="9" style="135"/>
    <col min="7163" max="7163" width="5" style="135" customWidth="1"/>
    <col min="7164" max="7164" width="3.875" style="135" customWidth="1"/>
    <col min="7165" max="7165" width="5" style="135" customWidth="1"/>
    <col min="7166" max="7166" width="6.25" style="135" customWidth="1"/>
    <col min="7167" max="7167" width="2.875" style="135" customWidth="1"/>
    <col min="7168" max="7168" width="4" style="135" customWidth="1"/>
    <col min="7169" max="7169" width="4.75" style="135" customWidth="1"/>
    <col min="7170" max="7170" width="5.5" style="135" customWidth="1"/>
    <col min="7171" max="7171" width="5.375" style="135" customWidth="1"/>
    <col min="7172" max="7172" width="1.25" style="135" customWidth="1"/>
    <col min="7173" max="7173" width="4.375" style="135" customWidth="1"/>
    <col min="7174" max="7174" width="10.375" style="135" customWidth="1"/>
    <col min="7175" max="7175" width="16.625" style="135" customWidth="1"/>
    <col min="7176" max="7176" width="10.875" style="135" customWidth="1"/>
    <col min="7177" max="7177" width="18.75" style="135" customWidth="1"/>
    <col min="7178" max="7178" width="14.25" style="135" bestFit="1" customWidth="1"/>
    <col min="7179" max="7418" width="9" style="135"/>
    <col min="7419" max="7419" width="5" style="135" customWidth="1"/>
    <col min="7420" max="7420" width="3.875" style="135" customWidth="1"/>
    <col min="7421" max="7421" width="5" style="135" customWidth="1"/>
    <col min="7422" max="7422" width="6.25" style="135" customWidth="1"/>
    <col min="7423" max="7423" width="2.875" style="135" customWidth="1"/>
    <col min="7424" max="7424" width="4" style="135" customWidth="1"/>
    <col min="7425" max="7425" width="4.75" style="135" customWidth="1"/>
    <col min="7426" max="7426" width="5.5" style="135" customWidth="1"/>
    <col min="7427" max="7427" width="5.375" style="135" customWidth="1"/>
    <col min="7428" max="7428" width="1.25" style="135" customWidth="1"/>
    <col min="7429" max="7429" width="4.375" style="135" customWidth="1"/>
    <col min="7430" max="7430" width="10.375" style="135" customWidth="1"/>
    <col min="7431" max="7431" width="16.625" style="135" customWidth="1"/>
    <col min="7432" max="7432" width="10.875" style="135" customWidth="1"/>
    <col min="7433" max="7433" width="18.75" style="135" customWidth="1"/>
    <col min="7434" max="7434" width="14.25" style="135" bestFit="1" customWidth="1"/>
    <col min="7435" max="7674" width="9" style="135"/>
    <col min="7675" max="7675" width="5" style="135" customWidth="1"/>
    <col min="7676" max="7676" width="3.875" style="135" customWidth="1"/>
    <col min="7677" max="7677" width="5" style="135" customWidth="1"/>
    <col min="7678" max="7678" width="6.25" style="135" customWidth="1"/>
    <col min="7679" max="7679" width="2.875" style="135" customWidth="1"/>
    <col min="7680" max="7680" width="4" style="135" customWidth="1"/>
    <col min="7681" max="7681" width="4.75" style="135" customWidth="1"/>
    <col min="7682" max="7682" width="5.5" style="135" customWidth="1"/>
    <col min="7683" max="7683" width="5.375" style="135" customWidth="1"/>
    <col min="7684" max="7684" width="1.25" style="135" customWidth="1"/>
    <col min="7685" max="7685" width="4.375" style="135" customWidth="1"/>
    <col min="7686" max="7686" width="10.375" style="135" customWidth="1"/>
    <col min="7687" max="7687" width="16.625" style="135" customWidth="1"/>
    <col min="7688" max="7688" width="10.875" style="135" customWidth="1"/>
    <col min="7689" max="7689" width="18.75" style="135" customWidth="1"/>
    <col min="7690" max="7690" width="14.25" style="135" bestFit="1" customWidth="1"/>
    <col min="7691" max="7930" width="9" style="135"/>
    <col min="7931" max="7931" width="5" style="135" customWidth="1"/>
    <col min="7932" max="7932" width="3.875" style="135" customWidth="1"/>
    <col min="7933" max="7933" width="5" style="135" customWidth="1"/>
    <col min="7934" max="7934" width="6.25" style="135" customWidth="1"/>
    <col min="7935" max="7935" width="2.875" style="135" customWidth="1"/>
    <col min="7936" max="7936" width="4" style="135" customWidth="1"/>
    <col min="7937" max="7937" width="4.75" style="135" customWidth="1"/>
    <col min="7938" max="7938" width="5.5" style="135" customWidth="1"/>
    <col min="7939" max="7939" width="5.375" style="135" customWidth="1"/>
    <col min="7940" max="7940" width="1.25" style="135" customWidth="1"/>
    <col min="7941" max="7941" width="4.375" style="135" customWidth="1"/>
    <col min="7942" max="7942" width="10.375" style="135" customWidth="1"/>
    <col min="7943" max="7943" width="16.625" style="135" customWidth="1"/>
    <col min="7944" max="7944" width="10.875" style="135" customWidth="1"/>
    <col min="7945" max="7945" width="18.75" style="135" customWidth="1"/>
    <col min="7946" max="7946" width="14.25" style="135" bestFit="1" customWidth="1"/>
    <col min="7947" max="8186" width="9" style="135"/>
    <col min="8187" max="8187" width="5" style="135" customWidth="1"/>
    <col min="8188" max="8188" width="3.875" style="135" customWidth="1"/>
    <col min="8189" max="8189" width="5" style="135" customWidth="1"/>
    <col min="8190" max="8190" width="6.25" style="135" customWidth="1"/>
    <col min="8191" max="8191" width="2.875" style="135" customWidth="1"/>
    <col min="8192" max="8192" width="4" style="135" customWidth="1"/>
    <col min="8193" max="8193" width="4.75" style="135" customWidth="1"/>
    <col min="8194" max="8194" width="5.5" style="135" customWidth="1"/>
    <col min="8195" max="8195" width="5.375" style="135" customWidth="1"/>
    <col min="8196" max="8196" width="1.25" style="135" customWidth="1"/>
    <col min="8197" max="8197" width="4.375" style="135" customWidth="1"/>
    <col min="8198" max="8198" width="10.375" style="135" customWidth="1"/>
    <col min="8199" max="8199" width="16.625" style="135" customWidth="1"/>
    <col min="8200" max="8200" width="10.875" style="135" customWidth="1"/>
    <col min="8201" max="8201" width="18.75" style="135" customWidth="1"/>
    <col min="8202" max="8202" width="14.25" style="135" bestFit="1" customWidth="1"/>
    <col min="8203" max="8442" width="9" style="135"/>
    <col min="8443" max="8443" width="5" style="135" customWidth="1"/>
    <col min="8444" max="8444" width="3.875" style="135" customWidth="1"/>
    <col min="8445" max="8445" width="5" style="135" customWidth="1"/>
    <col min="8446" max="8446" width="6.25" style="135" customWidth="1"/>
    <col min="8447" max="8447" width="2.875" style="135" customWidth="1"/>
    <col min="8448" max="8448" width="4" style="135" customWidth="1"/>
    <col min="8449" max="8449" width="4.75" style="135" customWidth="1"/>
    <col min="8450" max="8450" width="5.5" style="135" customWidth="1"/>
    <col min="8451" max="8451" width="5.375" style="135" customWidth="1"/>
    <col min="8452" max="8452" width="1.25" style="135" customWidth="1"/>
    <col min="8453" max="8453" width="4.375" style="135" customWidth="1"/>
    <col min="8454" max="8454" width="10.375" style="135" customWidth="1"/>
    <col min="8455" max="8455" width="16.625" style="135" customWidth="1"/>
    <col min="8456" max="8456" width="10.875" style="135" customWidth="1"/>
    <col min="8457" max="8457" width="18.75" style="135" customWidth="1"/>
    <col min="8458" max="8458" width="14.25" style="135" bestFit="1" customWidth="1"/>
    <col min="8459" max="8698" width="9" style="135"/>
    <col min="8699" max="8699" width="5" style="135" customWidth="1"/>
    <col min="8700" max="8700" width="3.875" style="135" customWidth="1"/>
    <col min="8701" max="8701" width="5" style="135" customWidth="1"/>
    <col min="8702" max="8702" width="6.25" style="135" customWidth="1"/>
    <col min="8703" max="8703" width="2.875" style="135" customWidth="1"/>
    <col min="8704" max="8704" width="4" style="135" customWidth="1"/>
    <col min="8705" max="8705" width="4.75" style="135" customWidth="1"/>
    <col min="8706" max="8706" width="5.5" style="135" customWidth="1"/>
    <col min="8707" max="8707" width="5.375" style="135" customWidth="1"/>
    <col min="8708" max="8708" width="1.25" style="135" customWidth="1"/>
    <col min="8709" max="8709" width="4.375" style="135" customWidth="1"/>
    <col min="8710" max="8710" width="10.375" style="135" customWidth="1"/>
    <col min="8711" max="8711" width="16.625" style="135" customWidth="1"/>
    <col min="8712" max="8712" width="10.875" style="135" customWidth="1"/>
    <col min="8713" max="8713" width="18.75" style="135" customWidth="1"/>
    <col min="8714" max="8714" width="14.25" style="135" bestFit="1" customWidth="1"/>
    <col min="8715" max="8954" width="9" style="135"/>
    <col min="8955" max="8955" width="5" style="135" customWidth="1"/>
    <col min="8956" max="8956" width="3.875" style="135" customWidth="1"/>
    <col min="8957" max="8957" width="5" style="135" customWidth="1"/>
    <col min="8958" max="8958" width="6.25" style="135" customWidth="1"/>
    <col min="8959" max="8959" width="2.875" style="135" customWidth="1"/>
    <col min="8960" max="8960" width="4" style="135" customWidth="1"/>
    <col min="8961" max="8961" width="4.75" style="135" customWidth="1"/>
    <col min="8962" max="8962" width="5.5" style="135" customWidth="1"/>
    <col min="8963" max="8963" width="5.375" style="135" customWidth="1"/>
    <col min="8964" max="8964" width="1.25" style="135" customWidth="1"/>
    <col min="8965" max="8965" width="4.375" style="135" customWidth="1"/>
    <col min="8966" max="8966" width="10.375" style="135" customWidth="1"/>
    <col min="8967" max="8967" width="16.625" style="135" customWidth="1"/>
    <col min="8968" max="8968" width="10.875" style="135" customWidth="1"/>
    <col min="8969" max="8969" width="18.75" style="135" customWidth="1"/>
    <col min="8970" max="8970" width="14.25" style="135" bestFit="1" customWidth="1"/>
    <col min="8971" max="9210" width="9" style="135"/>
    <col min="9211" max="9211" width="5" style="135" customWidth="1"/>
    <col min="9212" max="9212" width="3.875" style="135" customWidth="1"/>
    <col min="9213" max="9213" width="5" style="135" customWidth="1"/>
    <col min="9214" max="9214" width="6.25" style="135" customWidth="1"/>
    <col min="9215" max="9215" width="2.875" style="135" customWidth="1"/>
    <col min="9216" max="9216" width="4" style="135" customWidth="1"/>
    <col min="9217" max="9217" width="4.75" style="135" customWidth="1"/>
    <col min="9218" max="9218" width="5.5" style="135" customWidth="1"/>
    <col min="9219" max="9219" width="5.375" style="135" customWidth="1"/>
    <col min="9220" max="9220" width="1.25" style="135" customWidth="1"/>
    <col min="9221" max="9221" width="4.375" style="135" customWidth="1"/>
    <col min="9222" max="9222" width="10.375" style="135" customWidth="1"/>
    <col min="9223" max="9223" width="16.625" style="135" customWidth="1"/>
    <col min="9224" max="9224" width="10.875" style="135" customWidth="1"/>
    <col min="9225" max="9225" width="18.75" style="135" customWidth="1"/>
    <col min="9226" max="9226" width="14.25" style="135" bestFit="1" customWidth="1"/>
    <col min="9227" max="9466" width="9" style="135"/>
    <col min="9467" max="9467" width="5" style="135" customWidth="1"/>
    <col min="9468" max="9468" width="3.875" style="135" customWidth="1"/>
    <col min="9469" max="9469" width="5" style="135" customWidth="1"/>
    <col min="9470" max="9470" width="6.25" style="135" customWidth="1"/>
    <col min="9471" max="9471" width="2.875" style="135" customWidth="1"/>
    <col min="9472" max="9472" width="4" style="135" customWidth="1"/>
    <col min="9473" max="9473" width="4.75" style="135" customWidth="1"/>
    <col min="9474" max="9474" width="5.5" style="135" customWidth="1"/>
    <col min="9475" max="9475" width="5.375" style="135" customWidth="1"/>
    <col min="9476" max="9476" width="1.25" style="135" customWidth="1"/>
    <col min="9477" max="9477" width="4.375" style="135" customWidth="1"/>
    <col min="9478" max="9478" width="10.375" style="135" customWidth="1"/>
    <col min="9479" max="9479" width="16.625" style="135" customWidth="1"/>
    <col min="9480" max="9480" width="10.875" style="135" customWidth="1"/>
    <col min="9481" max="9481" width="18.75" style="135" customWidth="1"/>
    <col min="9482" max="9482" width="14.25" style="135" bestFit="1" customWidth="1"/>
    <col min="9483" max="9722" width="9" style="135"/>
    <col min="9723" max="9723" width="5" style="135" customWidth="1"/>
    <col min="9724" max="9724" width="3.875" style="135" customWidth="1"/>
    <col min="9725" max="9725" width="5" style="135" customWidth="1"/>
    <col min="9726" max="9726" width="6.25" style="135" customWidth="1"/>
    <col min="9727" max="9727" width="2.875" style="135" customWidth="1"/>
    <col min="9728" max="9728" width="4" style="135" customWidth="1"/>
    <col min="9729" max="9729" width="4.75" style="135" customWidth="1"/>
    <col min="9730" max="9730" width="5.5" style="135" customWidth="1"/>
    <col min="9731" max="9731" width="5.375" style="135" customWidth="1"/>
    <col min="9732" max="9732" width="1.25" style="135" customWidth="1"/>
    <col min="9733" max="9733" width="4.375" style="135" customWidth="1"/>
    <col min="9734" max="9734" width="10.375" style="135" customWidth="1"/>
    <col min="9735" max="9735" width="16.625" style="135" customWidth="1"/>
    <col min="9736" max="9736" width="10.875" style="135" customWidth="1"/>
    <col min="9737" max="9737" width="18.75" style="135" customWidth="1"/>
    <col min="9738" max="9738" width="14.25" style="135" bestFit="1" customWidth="1"/>
    <col min="9739" max="9978" width="9" style="135"/>
    <col min="9979" max="9979" width="5" style="135" customWidth="1"/>
    <col min="9980" max="9980" width="3.875" style="135" customWidth="1"/>
    <col min="9981" max="9981" width="5" style="135" customWidth="1"/>
    <col min="9982" max="9982" width="6.25" style="135" customWidth="1"/>
    <col min="9983" max="9983" width="2.875" style="135" customWidth="1"/>
    <col min="9984" max="9984" width="4" style="135" customWidth="1"/>
    <col min="9985" max="9985" width="4.75" style="135" customWidth="1"/>
    <col min="9986" max="9986" width="5.5" style="135" customWidth="1"/>
    <col min="9987" max="9987" width="5.375" style="135" customWidth="1"/>
    <col min="9988" max="9988" width="1.25" style="135" customWidth="1"/>
    <col min="9989" max="9989" width="4.375" style="135" customWidth="1"/>
    <col min="9990" max="9990" width="10.375" style="135" customWidth="1"/>
    <col min="9991" max="9991" width="16.625" style="135" customWidth="1"/>
    <col min="9992" max="9992" width="10.875" style="135" customWidth="1"/>
    <col min="9993" max="9993" width="18.75" style="135" customWidth="1"/>
    <col min="9994" max="9994" width="14.25" style="135" bestFit="1" customWidth="1"/>
    <col min="9995" max="10234" width="9" style="135"/>
    <col min="10235" max="10235" width="5" style="135" customWidth="1"/>
    <col min="10236" max="10236" width="3.875" style="135" customWidth="1"/>
    <col min="10237" max="10237" width="5" style="135" customWidth="1"/>
    <col min="10238" max="10238" width="6.25" style="135" customWidth="1"/>
    <col min="10239" max="10239" width="2.875" style="135" customWidth="1"/>
    <col min="10240" max="10240" width="4" style="135" customWidth="1"/>
    <col min="10241" max="10241" width="4.75" style="135" customWidth="1"/>
    <col min="10242" max="10242" width="5.5" style="135" customWidth="1"/>
    <col min="10243" max="10243" width="5.375" style="135" customWidth="1"/>
    <col min="10244" max="10244" width="1.25" style="135" customWidth="1"/>
    <col min="10245" max="10245" width="4.375" style="135" customWidth="1"/>
    <col min="10246" max="10246" width="10.375" style="135" customWidth="1"/>
    <col min="10247" max="10247" width="16.625" style="135" customWidth="1"/>
    <col min="10248" max="10248" width="10.875" style="135" customWidth="1"/>
    <col min="10249" max="10249" width="18.75" style="135" customWidth="1"/>
    <col min="10250" max="10250" width="14.25" style="135" bestFit="1" customWidth="1"/>
    <col min="10251" max="10490" width="9" style="135"/>
    <col min="10491" max="10491" width="5" style="135" customWidth="1"/>
    <col min="10492" max="10492" width="3.875" style="135" customWidth="1"/>
    <col min="10493" max="10493" width="5" style="135" customWidth="1"/>
    <col min="10494" max="10494" width="6.25" style="135" customWidth="1"/>
    <col min="10495" max="10495" width="2.875" style="135" customWidth="1"/>
    <col min="10496" max="10496" width="4" style="135" customWidth="1"/>
    <col min="10497" max="10497" width="4.75" style="135" customWidth="1"/>
    <col min="10498" max="10498" width="5.5" style="135" customWidth="1"/>
    <col min="10499" max="10499" width="5.375" style="135" customWidth="1"/>
    <col min="10500" max="10500" width="1.25" style="135" customWidth="1"/>
    <col min="10501" max="10501" width="4.375" style="135" customWidth="1"/>
    <col min="10502" max="10502" width="10.375" style="135" customWidth="1"/>
    <col min="10503" max="10503" width="16.625" style="135" customWidth="1"/>
    <col min="10504" max="10504" width="10.875" style="135" customWidth="1"/>
    <col min="10505" max="10505" width="18.75" style="135" customWidth="1"/>
    <col min="10506" max="10506" width="14.25" style="135" bestFit="1" customWidth="1"/>
    <col min="10507" max="10746" width="9" style="135"/>
    <col min="10747" max="10747" width="5" style="135" customWidth="1"/>
    <col min="10748" max="10748" width="3.875" style="135" customWidth="1"/>
    <col min="10749" max="10749" width="5" style="135" customWidth="1"/>
    <col min="10750" max="10750" width="6.25" style="135" customWidth="1"/>
    <col min="10751" max="10751" width="2.875" style="135" customWidth="1"/>
    <col min="10752" max="10752" width="4" style="135" customWidth="1"/>
    <col min="10753" max="10753" width="4.75" style="135" customWidth="1"/>
    <col min="10754" max="10754" width="5.5" style="135" customWidth="1"/>
    <col min="10755" max="10755" width="5.375" style="135" customWidth="1"/>
    <col min="10756" max="10756" width="1.25" style="135" customWidth="1"/>
    <col min="10757" max="10757" width="4.375" style="135" customWidth="1"/>
    <col min="10758" max="10758" width="10.375" style="135" customWidth="1"/>
    <col min="10759" max="10759" width="16.625" style="135" customWidth="1"/>
    <col min="10760" max="10760" width="10.875" style="135" customWidth="1"/>
    <col min="10761" max="10761" width="18.75" style="135" customWidth="1"/>
    <col min="10762" max="10762" width="14.25" style="135" bestFit="1" customWidth="1"/>
    <col min="10763" max="11002" width="9" style="135"/>
    <col min="11003" max="11003" width="5" style="135" customWidth="1"/>
    <col min="11004" max="11004" width="3.875" style="135" customWidth="1"/>
    <col min="11005" max="11005" width="5" style="135" customWidth="1"/>
    <col min="11006" max="11006" width="6.25" style="135" customWidth="1"/>
    <col min="11007" max="11007" width="2.875" style="135" customWidth="1"/>
    <col min="11008" max="11008" width="4" style="135" customWidth="1"/>
    <col min="11009" max="11009" width="4.75" style="135" customWidth="1"/>
    <col min="11010" max="11010" width="5.5" style="135" customWidth="1"/>
    <col min="11011" max="11011" width="5.375" style="135" customWidth="1"/>
    <col min="11012" max="11012" width="1.25" style="135" customWidth="1"/>
    <col min="11013" max="11013" width="4.375" style="135" customWidth="1"/>
    <col min="11014" max="11014" width="10.375" style="135" customWidth="1"/>
    <col min="11015" max="11015" width="16.625" style="135" customWidth="1"/>
    <col min="11016" max="11016" width="10.875" style="135" customWidth="1"/>
    <col min="11017" max="11017" width="18.75" style="135" customWidth="1"/>
    <col min="11018" max="11018" width="14.25" style="135" bestFit="1" customWidth="1"/>
    <col min="11019" max="11258" width="9" style="135"/>
    <col min="11259" max="11259" width="5" style="135" customWidth="1"/>
    <col min="11260" max="11260" width="3.875" style="135" customWidth="1"/>
    <col min="11261" max="11261" width="5" style="135" customWidth="1"/>
    <col min="11262" max="11262" width="6.25" style="135" customWidth="1"/>
    <col min="11263" max="11263" width="2.875" style="135" customWidth="1"/>
    <col min="11264" max="11264" width="4" style="135" customWidth="1"/>
    <col min="11265" max="11265" width="4.75" style="135" customWidth="1"/>
    <col min="11266" max="11266" width="5.5" style="135" customWidth="1"/>
    <col min="11267" max="11267" width="5.375" style="135" customWidth="1"/>
    <col min="11268" max="11268" width="1.25" style="135" customWidth="1"/>
    <col min="11269" max="11269" width="4.375" style="135" customWidth="1"/>
    <col min="11270" max="11270" width="10.375" style="135" customWidth="1"/>
    <col min="11271" max="11271" width="16.625" style="135" customWidth="1"/>
    <col min="11272" max="11272" width="10.875" style="135" customWidth="1"/>
    <col min="11273" max="11273" width="18.75" style="135" customWidth="1"/>
    <col min="11274" max="11274" width="14.25" style="135" bestFit="1" customWidth="1"/>
    <col min="11275" max="11514" width="9" style="135"/>
    <col min="11515" max="11515" width="5" style="135" customWidth="1"/>
    <col min="11516" max="11516" width="3.875" style="135" customWidth="1"/>
    <col min="11517" max="11517" width="5" style="135" customWidth="1"/>
    <col min="11518" max="11518" width="6.25" style="135" customWidth="1"/>
    <col min="11519" max="11519" width="2.875" style="135" customWidth="1"/>
    <col min="11520" max="11520" width="4" style="135" customWidth="1"/>
    <col min="11521" max="11521" width="4.75" style="135" customWidth="1"/>
    <col min="11522" max="11522" width="5.5" style="135" customWidth="1"/>
    <col min="11523" max="11523" width="5.375" style="135" customWidth="1"/>
    <col min="11524" max="11524" width="1.25" style="135" customWidth="1"/>
    <col min="11525" max="11525" width="4.375" style="135" customWidth="1"/>
    <col min="11526" max="11526" width="10.375" style="135" customWidth="1"/>
    <col min="11527" max="11527" width="16.625" style="135" customWidth="1"/>
    <col min="11528" max="11528" width="10.875" style="135" customWidth="1"/>
    <col min="11529" max="11529" width="18.75" style="135" customWidth="1"/>
    <col min="11530" max="11530" width="14.25" style="135" bestFit="1" customWidth="1"/>
    <col min="11531" max="11770" width="9" style="135"/>
    <col min="11771" max="11771" width="5" style="135" customWidth="1"/>
    <col min="11772" max="11772" width="3.875" style="135" customWidth="1"/>
    <col min="11773" max="11773" width="5" style="135" customWidth="1"/>
    <col min="11774" max="11774" width="6.25" style="135" customWidth="1"/>
    <col min="11775" max="11775" width="2.875" style="135" customWidth="1"/>
    <col min="11776" max="11776" width="4" style="135" customWidth="1"/>
    <col min="11777" max="11777" width="4.75" style="135" customWidth="1"/>
    <col min="11778" max="11778" width="5.5" style="135" customWidth="1"/>
    <col min="11779" max="11779" width="5.375" style="135" customWidth="1"/>
    <col min="11780" max="11780" width="1.25" style="135" customWidth="1"/>
    <col min="11781" max="11781" width="4.375" style="135" customWidth="1"/>
    <col min="11782" max="11782" width="10.375" style="135" customWidth="1"/>
    <col min="11783" max="11783" width="16.625" style="135" customWidth="1"/>
    <col min="11784" max="11784" width="10.875" style="135" customWidth="1"/>
    <col min="11785" max="11785" width="18.75" style="135" customWidth="1"/>
    <col min="11786" max="11786" width="14.25" style="135" bestFit="1" customWidth="1"/>
    <col min="11787" max="12026" width="9" style="135"/>
    <col min="12027" max="12027" width="5" style="135" customWidth="1"/>
    <col min="12028" max="12028" width="3.875" style="135" customWidth="1"/>
    <col min="12029" max="12029" width="5" style="135" customWidth="1"/>
    <col min="12030" max="12030" width="6.25" style="135" customWidth="1"/>
    <col min="12031" max="12031" width="2.875" style="135" customWidth="1"/>
    <col min="12032" max="12032" width="4" style="135" customWidth="1"/>
    <col min="12033" max="12033" width="4.75" style="135" customWidth="1"/>
    <col min="12034" max="12034" width="5.5" style="135" customWidth="1"/>
    <col min="12035" max="12035" width="5.375" style="135" customWidth="1"/>
    <col min="12036" max="12036" width="1.25" style="135" customWidth="1"/>
    <col min="12037" max="12037" width="4.375" style="135" customWidth="1"/>
    <col min="12038" max="12038" width="10.375" style="135" customWidth="1"/>
    <col min="12039" max="12039" width="16.625" style="135" customWidth="1"/>
    <col min="12040" max="12040" width="10.875" style="135" customWidth="1"/>
    <col min="12041" max="12041" width="18.75" style="135" customWidth="1"/>
    <col min="12042" max="12042" width="14.25" style="135" bestFit="1" customWidth="1"/>
    <col min="12043" max="12282" width="9" style="135"/>
    <col min="12283" max="12283" width="5" style="135" customWidth="1"/>
    <col min="12284" max="12284" width="3.875" style="135" customWidth="1"/>
    <col min="12285" max="12285" width="5" style="135" customWidth="1"/>
    <col min="12286" max="12286" width="6.25" style="135" customWidth="1"/>
    <col min="12287" max="12287" width="2.875" style="135" customWidth="1"/>
    <col min="12288" max="12288" width="4" style="135" customWidth="1"/>
    <col min="12289" max="12289" width="4.75" style="135" customWidth="1"/>
    <col min="12290" max="12290" width="5.5" style="135" customWidth="1"/>
    <col min="12291" max="12291" width="5.375" style="135" customWidth="1"/>
    <col min="12292" max="12292" width="1.25" style="135" customWidth="1"/>
    <col min="12293" max="12293" width="4.375" style="135" customWidth="1"/>
    <col min="12294" max="12294" width="10.375" style="135" customWidth="1"/>
    <col min="12295" max="12295" width="16.625" style="135" customWidth="1"/>
    <col min="12296" max="12296" width="10.875" style="135" customWidth="1"/>
    <col min="12297" max="12297" width="18.75" style="135" customWidth="1"/>
    <col min="12298" max="12298" width="14.25" style="135" bestFit="1" customWidth="1"/>
    <col min="12299" max="12538" width="9" style="135"/>
    <col min="12539" max="12539" width="5" style="135" customWidth="1"/>
    <col min="12540" max="12540" width="3.875" style="135" customWidth="1"/>
    <col min="12541" max="12541" width="5" style="135" customWidth="1"/>
    <col min="12542" max="12542" width="6.25" style="135" customWidth="1"/>
    <col min="12543" max="12543" width="2.875" style="135" customWidth="1"/>
    <col min="12544" max="12544" width="4" style="135" customWidth="1"/>
    <col min="12545" max="12545" width="4.75" style="135" customWidth="1"/>
    <col min="12546" max="12546" width="5.5" style="135" customWidth="1"/>
    <col min="12547" max="12547" width="5.375" style="135" customWidth="1"/>
    <col min="12548" max="12548" width="1.25" style="135" customWidth="1"/>
    <col min="12549" max="12549" width="4.375" style="135" customWidth="1"/>
    <col min="12550" max="12550" width="10.375" style="135" customWidth="1"/>
    <col min="12551" max="12551" width="16.625" style="135" customWidth="1"/>
    <col min="12552" max="12552" width="10.875" style="135" customWidth="1"/>
    <col min="12553" max="12553" width="18.75" style="135" customWidth="1"/>
    <col min="12554" max="12554" width="14.25" style="135" bestFit="1" customWidth="1"/>
    <col min="12555" max="12794" width="9" style="135"/>
    <col min="12795" max="12795" width="5" style="135" customWidth="1"/>
    <col min="12796" max="12796" width="3.875" style="135" customWidth="1"/>
    <col min="12797" max="12797" width="5" style="135" customWidth="1"/>
    <col min="12798" max="12798" width="6.25" style="135" customWidth="1"/>
    <col min="12799" max="12799" width="2.875" style="135" customWidth="1"/>
    <col min="12800" max="12800" width="4" style="135" customWidth="1"/>
    <col min="12801" max="12801" width="4.75" style="135" customWidth="1"/>
    <col min="12802" max="12802" width="5.5" style="135" customWidth="1"/>
    <col min="12803" max="12803" width="5.375" style="135" customWidth="1"/>
    <col min="12804" max="12804" width="1.25" style="135" customWidth="1"/>
    <col min="12805" max="12805" width="4.375" style="135" customWidth="1"/>
    <col min="12806" max="12806" width="10.375" style="135" customWidth="1"/>
    <col min="12807" max="12807" width="16.625" style="135" customWidth="1"/>
    <col min="12808" max="12808" width="10.875" style="135" customWidth="1"/>
    <col min="12809" max="12809" width="18.75" style="135" customWidth="1"/>
    <col min="12810" max="12810" width="14.25" style="135" bestFit="1" customWidth="1"/>
    <col min="12811" max="13050" width="9" style="135"/>
    <col min="13051" max="13051" width="5" style="135" customWidth="1"/>
    <col min="13052" max="13052" width="3.875" style="135" customWidth="1"/>
    <col min="13053" max="13053" width="5" style="135" customWidth="1"/>
    <col min="13054" max="13054" width="6.25" style="135" customWidth="1"/>
    <col min="13055" max="13055" width="2.875" style="135" customWidth="1"/>
    <col min="13056" max="13056" width="4" style="135" customWidth="1"/>
    <col min="13057" max="13057" width="4.75" style="135" customWidth="1"/>
    <col min="13058" max="13058" width="5.5" style="135" customWidth="1"/>
    <col min="13059" max="13059" width="5.375" style="135" customWidth="1"/>
    <col min="13060" max="13060" width="1.25" style="135" customWidth="1"/>
    <col min="13061" max="13061" width="4.375" style="135" customWidth="1"/>
    <col min="13062" max="13062" width="10.375" style="135" customWidth="1"/>
    <col min="13063" max="13063" width="16.625" style="135" customWidth="1"/>
    <col min="13064" max="13064" width="10.875" style="135" customWidth="1"/>
    <col min="13065" max="13065" width="18.75" style="135" customWidth="1"/>
    <col min="13066" max="13066" width="14.25" style="135" bestFit="1" customWidth="1"/>
    <col min="13067" max="13306" width="9" style="135"/>
    <col min="13307" max="13307" width="5" style="135" customWidth="1"/>
    <col min="13308" max="13308" width="3.875" style="135" customWidth="1"/>
    <col min="13309" max="13309" width="5" style="135" customWidth="1"/>
    <col min="13310" max="13310" width="6.25" style="135" customWidth="1"/>
    <col min="13311" max="13311" width="2.875" style="135" customWidth="1"/>
    <col min="13312" max="13312" width="4" style="135" customWidth="1"/>
    <col min="13313" max="13313" width="4.75" style="135" customWidth="1"/>
    <col min="13314" max="13314" width="5.5" style="135" customWidth="1"/>
    <col min="13315" max="13315" width="5.375" style="135" customWidth="1"/>
    <col min="13316" max="13316" width="1.25" style="135" customWidth="1"/>
    <col min="13317" max="13317" width="4.375" style="135" customWidth="1"/>
    <col min="13318" max="13318" width="10.375" style="135" customWidth="1"/>
    <col min="13319" max="13319" width="16.625" style="135" customWidth="1"/>
    <col min="13320" max="13320" width="10.875" style="135" customWidth="1"/>
    <col min="13321" max="13321" width="18.75" style="135" customWidth="1"/>
    <col min="13322" max="13322" width="14.25" style="135" bestFit="1" customWidth="1"/>
    <col min="13323" max="13562" width="9" style="135"/>
    <col min="13563" max="13563" width="5" style="135" customWidth="1"/>
    <col min="13564" max="13564" width="3.875" style="135" customWidth="1"/>
    <col min="13565" max="13565" width="5" style="135" customWidth="1"/>
    <col min="13566" max="13566" width="6.25" style="135" customWidth="1"/>
    <col min="13567" max="13567" width="2.875" style="135" customWidth="1"/>
    <col min="13568" max="13568" width="4" style="135" customWidth="1"/>
    <col min="13569" max="13569" width="4.75" style="135" customWidth="1"/>
    <col min="13570" max="13570" width="5.5" style="135" customWidth="1"/>
    <col min="13571" max="13571" width="5.375" style="135" customWidth="1"/>
    <col min="13572" max="13572" width="1.25" style="135" customWidth="1"/>
    <col min="13573" max="13573" width="4.375" style="135" customWidth="1"/>
    <col min="13574" max="13574" width="10.375" style="135" customWidth="1"/>
    <col min="13575" max="13575" width="16.625" style="135" customWidth="1"/>
    <col min="13576" max="13576" width="10.875" style="135" customWidth="1"/>
    <col min="13577" max="13577" width="18.75" style="135" customWidth="1"/>
    <col min="13578" max="13578" width="14.25" style="135" bestFit="1" customWidth="1"/>
    <col min="13579" max="13818" width="9" style="135"/>
    <col min="13819" max="13819" width="5" style="135" customWidth="1"/>
    <col min="13820" max="13820" width="3.875" style="135" customWidth="1"/>
    <col min="13821" max="13821" width="5" style="135" customWidth="1"/>
    <col min="13822" max="13822" width="6.25" style="135" customWidth="1"/>
    <col min="13823" max="13823" width="2.875" style="135" customWidth="1"/>
    <col min="13824" max="13824" width="4" style="135" customWidth="1"/>
    <col min="13825" max="13825" width="4.75" style="135" customWidth="1"/>
    <col min="13826" max="13826" width="5.5" style="135" customWidth="1"/>
    <col min="13827" max="13827" width="5.375" style="135" customWidth="1"/>
    <col min="13828" max="13828" width="1.25" style="135" customWidth="1"/>
    <col min="13829" max="13829" width="4.375" style="135" customWidth="1"/>
    <col min="13830" max="13830" width="10.375" style="135" customWidth="1"/>
    <col min="13831" max="13831" width="16.625" style="135" customWidth="1"/>
    <col min="13832" max="13832" width="10.875" style="135" customWidth="1"/>
    <col min="13833" max="13833" width="18.75" style="135" customWidth="1"/>
    <col min="13834" max="13834" width="14.25" style="135" bestFit="1" customWidth="1"/>
    <col min="13835" max="14074" width="9" style="135"/>
    <col min="14075" max="14075" width="5" style="135" customWidth="1"/>
    <col min="14076" max="14076" width="3.875" style="135" customWidth="1"/>
    <col min="14077" max="14077" width="5" style="135" customWidth="1"/>
    <col min="14078" max="14078" width="6.25" style="135" customWidth="1"/>
    <col min="14079" max="14079" width="2.875" style="135" customWidth="1"/>
    <col min="14080" max="14080" width="4" style="135" customWidth="1"/>
    <col min="14081" max="14081" width="4.75" style="135" customWidth="1"/>
    <col min="14082" max="14082" width="5.5" style="135" customWidth="1"/>
    <col min="14083" max="14083" width="5.375" style="135" customWidth="1"/>
    <col min="14084" max="14084" width="1.25" style="135" customWidth="1"/>
    <col min="14085" max="14085" width="4.375" style="135" customWidth="1"/>
    <col min="14086" max="14086" width="10.375" style="135" customWidth="1"/>
    <col min="14087" max="14087" width="16.625" style="135" customWidth="1"/>
    <col min="14088" max="14088" width="10.875" style="135" customWidth="1"/>
    <col min="14089" max="14089" width="18.75" style="135" customWidth="1"/>
    <col min="14090" max="14090" width="14.25" style="135" bestFit="1" customWidth="1"/>
    <col min="14091" max="14330" width="9" style="135"/>
    <col min="14331" max="14331" width="5" style="135" customWidth="1"/>
    <col min="14332" max="14332" width="3.875" style="135" customWidth="1"/>
    <col min="14333" max="14333" width="5" style="135" customWidth="1"/>
    <col min="14334" max="14334" width="6.25" style="135" customWidth="1"/>
    <col min="14335" max="14335" width="2.875" style="135" customWidth="1"/>
    <col min="14336" max="14336" width="4" style="135" customWidth="1"/>
    <col min="14337" max="14337" width="4.75" style="135" customWidth="1"/>
    <col min="14338" max="14338" width="5.5" style="135" customWidth="1"/>
    <col min="14339" max="14339" width="5.375" style="135" customWidth="1"/>
    <col min="14340" max="14340" width="1.25" style="135" customWidth="1"/>
    <col min="14341" max="14341" width="4.375" style="135" customWidth="1"/>
    <col min="14342" max="14342" width="10.375" style="135" customWidth="1"/>
    <col min="14343" max="14343" width="16.625" style="135" customWidth="1"/>
    <col min="14344" max="14344" width="10.875" style="135" customWidth="1"/>
    <col min="14345" max="14345" width="18.75" style="135" customWidth="1"/>
    <col min="14346" max="14346" width="14.25" style="135" bestFit="1" customWidth="1"/>
    <col min="14347" max="14586" width="9" style="135"/>
    <col min="14587" max="14587" width="5" style="135" customWidth="1"/>
    <col min="14588" max="14588" width="3.875" style="135" customWidth="1"/>
    <col min="14589" max="14589" width="5" style="135" customWidth="1"/>
    <col min="14590" max="14590" width="6.25" style="135" customWidth="1"/>
    <col min="14591" max="14591" width="2.875" style="135" customWidth="1"/>
    <col min="14592" max="14592" width="4" style="135" customWidth="1"/>
    <col min="14593" max="14593" width="4.75" style="135" customWidth="1"/>
    <col min="14594" max="14594" width="5.5" style="135" customWidth="1"/>
    <col min="14595" max="14595" width="5.375" style="135" customWidth="1"/>
    <col min="14596" max="14596" width="1.25" style="135" customWidth="1"/>
    <col min="14597" max="14597" width="4.375" style="135" customWidth="1"/>
    <col min="14598" max="14598" width="10.375" style="135" customWidth="1"/>
    <col min="14599" max="14599" width="16.625" style="135" customWidth="1"/>
    <col min="14600" max="14600" width="10.875" style="135" customWidth="1"/>
    <col min="14601" max="14601" width="18.75" style="135" customWidth="1"/>
    <col min="14602" max="14602" width="14.25" style="135" bestFit="1" customWidth="1"/>
    <col min="14603" max="14842" width="9" style="135"/>
    <col min="14843" max="14843" width="5" style="135" customWidth="1"/>
    <col min="14844" max="14844" width="3.875" style="135" customWidth="1"/>
    <col min="14845" max="14845" width="5" style="135" customWidth="1"/>
    <col min="14846" max="14846" width="6.25" style="135" customWidth="1"/>
    <col min="14847" max="14847" width="2.875" style="135" customWidth="1"/>
    <col min="14848" max="14848" width="4" style="135" customWidth="1"/>
    <col min="14849" max="14849" width="4.75" style="135" customWidth="1"/>
    <col min="14850" max="14850" width="5.5" style="135" customWidth="1"/>
    <col min="14851" max="14851" width="5.375" style="135" customWidth="1"/>
    <col min="14852" max="14852" width="1.25" style="135" customWidth="1"/>
    <col min="14853" max="14853" width="4.375" style="135" customWidth="1"/>
    <col min="14854" max="14854" width="10.375" style="135" customWidth="1"/>
    <col min="14855" max="14855" width="16.625" style="135" customWidth="1"/>
    <col min="14856" max="14856" width="10.875" style="135" customWidth="1"/>
    <col min="14857" max="14857" width="18.75" style="135" customWidth="1"/>
    <col min="14858" max="14858" width="14.25" style="135" bestFit="1" customWidth="1"/>
    <col min="14859" max="15098" width="9" style="135"/>
    <col min="15099" max="15099" width="5" style="135" customWidth="1"/>
    <col min="15100" max="15100" width="3.875" style="135" customWidth="1"/>
    <col min="15101" max="15101" width="5" style="135" customWidth="1"/>
    <col min="15102" max="15102" width="6.25" style="135" customWidth="1"/>
    <col min="15103" max="15103" width="2.875" style="135" customWidth="1"/>
    <col min="15104" max="15104" width="4" style="135" customWidth="1"/>
    <col min="15105" max="15105" width="4.75" style="135" customWidth="1"/>
    <col min="15106" max="15106" width="5.5" style="135" customWidth="1"/>
    <col min="15107" max="15107" width="5.375" style="135" customWidth="1"/>
    <col min="15108" max="15108" width="1.25" style="135" customWidth="1"/>
    <col min="15109" max="15109" width="4.375" style="135" customWidth="1"/>
    <col min="15110" max="15110" width="10.375" style="135" customWidth="1"/>
    <col min="15111" max="15111" width="16.625" style="135" customWidth="1"/>
    <col min="15112" max="15112" width="10.875" style="135" customWidth="1"/>
    <col min="15113" max="15113" width="18.75" style="135" customWidth="1"/>
    <col min="15114" max="15114" width="14.25" style="135" bestFit="1" customWidth="1"/>
    <col min="15115" max="15354" width="9" style="135"/>
    <col min="15355" max="15355" width="5" style="135" customWidth="1"/>
    <col min="15356" max="15356" width="3.875" style="135" customWidth="1"/>
    <col min="15357" max="15357" width="5" style="135" customWidth="1"/>
    <col min="15358" max="15358" width="6.25" style="135" customWidth="1"/>
    <col min="15359" max="15359" width="2.875" style="135" customWidth="1"/>
    <col min="15360" max="15360" width="4" style="135" customWidth="1"/>
    <col min="15361" max="15361" width="4.75" style="135" customWidth="1"/>
    <col min="15362" max="15362" width="5.5" style="135" customWidth="1"/>
    <col min="15363" max="15363" width="5.375" style="135" customWidth="1"/>
    <col min="15364" max="15364" width="1.25" style="135" customWidth="1"/>
    <col min="15365" max="15365" width="4.375" style="135" customWidth="1"/>
    <col min="15366" max="15366" width="10.375" style="135" customWidth="1"/>
    <col min="15367" max="15367" width="16.625" style="135" customWidth="1"/>
    <col min="15368" max="15368" width="10.875" style="135" customWidth="1"/>
    <col min="15369" max="15369" width="18.75" style="135" customWidth="1"/>
    <col min="15370" max="15370" width="14.25" style="135" bestFit="1" customWidth="1"/>
    <col min="15371" max="15610" width="9" style="135"/>
    <col min="15611" max="15611" width="5" style="135" customWidth="1"/>
    <col min="15612" max="15612" width="3.875" style="135" customWidth="1"/>
    <col min="15613" max="15613" width="5" style="135" customWidth="1"/>
    <col min="15614" max="15614" width="6.25" style="135" customWidth="1"/>
    <col min="15615" max="15615" width="2.875" style="135" customWidth="1"/>
    <col min="15616" max="15616" width="4" style="135" customWidth="1"/>
    <col min="15617" max="15617" width="4.75" style="135" customWidth="1"/>
    <col min="15618" max="15618" width="5.5" style="135" customWidth="1"/>
    <col min="15619" max="15619" width="5.375" style="135" customWidth="1"/>
    <col min="15620" max="15620" width="1.25" style="135" customWidth="1"/>
    <col min="15621" max="15621" width="4.375" style="135" customWidth="1"/>
    <col min="15622" max="15622" width="10.375" style="135" customWidth="1"/>
    <col min="15623" max="15623" width="16.625" style="135" customWidth="1"/>
    <col min="15624" max="15624" width="10.875" style="135" customWidth="1"/>
    <col min="15625" max="15625" width="18.75" style="135" customWidth="1"/>
    <col min="15626" max="15626" width="14.25" style="135" bestFit="1" customWidth="1"/>
    <col min="15627" max="15866" width="9" style="135"/>
    <col min="15867" max="15867" width="5" style="135" customWidth="1"/>
    <col min="15868" max="15868" width="3.875" style="135" customWidth="1"/>
    <col min="15869" max="15869" width="5" style="135" customWidth="1"/>
    <col min="15870" max="15870" width="6.25" style="135" customWidth="1"/>
    <col min="15871" max="15871" width="2.875" style="135" customWidth="1"/>
    <col min="15872" max="15872" width="4" style="135" customWidth="1"/>
    <col min="15873" max="15873" width="4.75" style="135" customWidth="1"/>
    <col min="15874" max="15874" width="5.5" style="135" customWidth="1"/>
    <col min="15875" max="15875" width="5.375" style="135" customWidth="1"/>
    <col min="15876" max="15876" width="1.25" style="135" customWidth="1"/>
    <col min="15877" max="15877" width="4.375" style="135" customWidth="1"/>
    <col min="15878" max="15878" width="10.375" style="135" customWidth="1"/>
    <col min="15879" max="15879" width="16.625" style="135" customWidth="1"/>
    <col min="15880" max="15880" width="10.875" style="135" customWidth="1"/>
    <col min="15881" max="15881" width="18.75" style="135" customWidth="1"/>
    <col min="15882" max="15882" width="14.25" style="135" bestFit="1" customWidth="1"/>
    <col min="15883" max="16122" width="9" style="135"/>
    <col min="16123" max="16123" width="5" style="135" customWidth="1"/>
    <col min="16124" max="16124" width="3.875" style="135" customWidth="1"/>
    <col min="16125" max="16125" width="5" style="135" customWidth="1"/>
    <col min="16126" max="16126" width="6.25" style="135" customWidth="1"/>
    <col min="16127" max="16127" width="2.875" style="135" customWidth="1"/>
    <col min="16128" max="16128" width="4" style="135" customWidth="1"/>
    <col min="16129" max="16129" width="4.75" style="135" customWidth="1"/>
    <col min="16130" max="16130" width="5.5" style="135" customWidth="1"/>
    <col min="16131" max="16131" width="5.375" style="135" customWidth="1"/>
    <col min="16132" max="16132" width="1.25" style="135" customWidth="1"/>
    <col min="16133" max="16133" width="4.375" style="135" customWidth="1"/>
    <col min="16134" max="16134" width="10.375" style="135" customWidth="1"/>
    <col min="16135" max="16135" width="16.625" style="135" customWidth="1"/>
    <col min="16136" max="16136" width="10.875" style="135" customWidth="1"/>
    <col min="16137" max="16137" width="18.75" style="135" customWidth="1"/>
    <col min="16138" max="16138" width="14.25" style="135" bestFit="1" customWidth="1"/>
    <col min="16139" max="16384" width="9" style="135"/>
  </cols>
  <sheetData>
    <row r="1" spans="1:18" ht="9" customHeight="1">
      <c r="A1" s="287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9"/>
    </row>
    <row r="2" spans="1:18" ht="9.75" customHeight="1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/>
    </row>
    <row r="3" spans="1:18" ht="45">
      <c r="A3" s="290" t="s">
        <v>98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/>
    </row>
    <row r="4" spans="1:18" ht="16.5" customHeight="1">
      <c r="A4" s="202" t="s">
        <v>99</v>
      </c>
      <c r="B4" s="139"/>
      <c r="C4" s="139"/>
      <c r="D4" s="139"/>
      <c r="E4" s="139"/>
      <c r="F4" s="139"/>
      <c r="G4" s="139"/>
      <c r="H4" s="139"/>
      <c r="I4" s="140"/>
      <c r="J4" s="140"/>
      <c r="K4" s="141"/>
      <c r="L4" s="141"/>
      <c r="M4" s="141"/>
      <c r="N4" s="141"/>
      <c r="O4" s="142"/>
    </row>
    <row r="5" spans="1:18" ht="21" customHeight="1">
      <c r="A5" s="143"/>
      <c r="B5" s="203" t="s">
        <v>165</v>
      </c>
      <c r="C5" s="203"/>
      <c r="D5" s="203"/>
      <c r="E5" s="203"/>
      <c r="F5" s="203"/>
      <c r="G5" s="144"/>
      <c r="H5" s="144"/>
      <c r="I5" s="144"/>
      <c r="J5" s="144"/>
      <c r="K5" s="144"/>
      <c r="L5" s="144"/>
      <c r="M5" s="145"/>
      <c r="N5" s="145"/>
      <c r="O5" s="146"/>
      <c r="R5" s="147"/>
    </row>
    <row r="6" spans="1:18" ht="12" customHeight="1" thickBot="1">
      <c r="A6" s="148"/>
      <c r="B6" s="149"/>
      <c r="C6" s="149"/>
      <c r="D6" s="149"/>
      <c r="E6" s="149"/>
      <c r="F6" s="149"/>
      <c r="G6" s="149"/>
      <c r="H6" s="149"/>
      <c r="I6" s="149"/>
      <c r="J6" s="149"/>
      <c r="K6" s="150"/>
      <c r="L6" s="150"/>
      <c r="M6" s="150"/>
      <c r="N6" s="150"/>
      <c r="O6" s="151"/>
    </row>
    <row r="7" spans="1:18" ht="23.25" customHeight="1">
      <c r="A7" s="293" t="s">
        <v>100</v>
      </c>
      <c r="B7" s="294"/>
      <c r="C7" s="295"/>
      <c r="D7" s="204">
        <v>2025</v>
      </c>
      <c r="E7" s="152" t="s">
        <v>101</v>
      </c>
      <c r="F7" s="152">
        <v>2</v>
      </c>
      <c r="G7" s="152" t="s">
        <v>102</v>
      </c>
      <c r="H7" s="152">
        <v>6</v>
      </c>
      <c r="I7" s="152" t="s">
        <v>103</v>
      </c>
      <c r="J7" s="153"/>
      <c r="K7" s="296" t="s">
        <v>104</v>
      </c>
      <c r="L7" s="154" t="s">
        <v>105</v>
      </c>
      <c r="M7" s="154" t="s">
        <v>106</v>
      </c>
      <c r="N7" s="154" t="s">
        <v>107</v>
      </c>
      <c r="O7" s="155" t="s">
        <v>108</v>
      </c>
    </row>
    <row r="8" spans="1:18" ht="23.25" customHeight="1">
      <c r="A8" s="299" t="s">
        <v>109</v>
      </c>
      <c r="B8" s="300"/>
      <c r="C8" s="301"/>
      <c r="D8" s="302" t="s">
        <v>110</v>
      </c>
      <c r="E8" s="303"/>
      <c r="F8" s="303"/>
      <c r="G8" s="304"/>
      <c r="H8" s="305" t="s">
        <v>111</v>
      </c>
      <c r="I8" s="306"/>
      <c r="J8" s="307"/>
      <c r="K8" s="297"/>
      <c r="L8" s="156" t="s">
        <v>112</v>
      </c>
      <c r="M8" s="156" t="s">
        <v>113</v>
      </c>
      <c r="N8" s="156" t="s">
        <v>114</v>
      </c>
      <c r="O8" s="157" t="s">
        <v>115</v>
      </c>
    </row>
    <row r="9" spans="1:18" ht="23.25" customHeight="1">
      <c r="A9" s="299" t="s">
        <v>116</v>
      </c>
      <c r="B9" s="300"/>
      <c r="C9" s="301"/>
      <c r="D9" s="308" t="s">
        <v>117</v>
      </c>
      <c r="E9" s="309"/>
      <c r="F9" s="309"/>
      <c r="G9" s="309"/>
      <c r="H9" s="309"/>
      <c r="I9" s="309"/>
      <c r="J9" s="310"/>
      <c r="K9" s="297"/>
      <c r="L9" s="156" t="s">
        <v>118</v>
      </c>
      <c r="M9" s="311" t="s">
        <v>119</v>
      </c>
      <c r="N9" s="300"/>
      <c r="O9" s="301"/>
    </row>
    <row r="10" spans="1:18" ht="23.25" customHeight="1" thickBot="1">
      <c r="A10" s="312" t="s">
        <v>120</v>
      </c>
      <c r="B10" s="313"/>
      <c r="C10" s="314"/>
      <c r="D10" s="315" t="s">
        <v>121</v>
      </c>
      <c r="E10" s="316"/>
      <c r="F10" s="316"/>
      <c r="G10" s="316"/>
      <c r="H10" s="316"/>
      <c r="I10" s="316"/>
      <c r="J10" s="317"/>
      <c r="K10" s="298"/>
      <c r="L10" s="158" t="s">
        <v>122</v>
      </c>
      <c r="M10" s="158" t="s">
        <v>123</v>
      </c>
      <c r="N10" s="158" t="s">
        <v>124</v>
      </c>
      <c r="O10" s="159" t="s">
        <v>125</v>
      </c>
    </row>
    <row r="11" spans="1:18" ht="21.75" customHeight="1">
      <c r="A11" s="160"/>
      <c r="B11" s="161"/>
      <c r="C11" s="161"/>
      <c r="D11" s="162"/>
      <c r="E11" s="162"/>
      <c r="F11" s="162"/>
      <c r="G11" s="162"/>
      <c r="H11" s="162"/>
      <c r="I11" s="162"/>
      <c r="J11" s="162"/>
      <c r="K11" s="163"/>
      <c r="L11" s="163"/>
      <c r="M11" s="163"/>
      <c r="N11" s="163"/>
      <c r="O11" s="142"/>
    </row>
    <row r="12" spans="1:18" ht="21.75" customHeight="1">
      <c r="A12" s="164"/>
      <c r="B12" s="145"/>
      <c r="C12" s="145"/>
      <c r="D12" s="145"/>
      <c r="E12" s="145"/>
      <c r="F12" s="145"/>
      <c r="G12" s="145"/>
      <c r="H12" s="145"/>
      <c r="I12" s="163"/>
      <c r="J12" s="163"/>
      <c r="K12" s="163"/>
      <c r="L12" s="163"/>
      <c r="M12" s="163"/>
      <c r="N12" s="163"/>
      <c r="O12" s="165"/>
    </row>
    <row r="13" spans="1:18" ht="24" customHeight="1">
      <c r="A13" s="166"/>
      <c r="B13" s="286" t="s">
        <v>164</v>
      </c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167" t="s">
        <v>126</v>
      </c>
      <c r="O13" s="165"/>
    </row>
    <row r="14" spans="1:18" ht="9" customHeight="1">
      <c r="A14" s="166"/>
      <c r="B14" s="145"/>
      <c r="C14" s="145"/>
      <c r="D14" s="145"/>
      <c r="E14" s="145"/>
      <c r="F14" s="145"/>
      <c r="G14" s="145"/>
      <c r="H14" s="145"/>
      <c r="I14" s="163"/>
      <c r="J14" s="163"/>
      <c r="K14" s="163"/>
      <c r="L14" s="163"/>
      <c r="M14" s="163"/>
      <c r="N14" s="163"/>
      <c r="O14" s="165"/>
    </row>
    <row r="15" spans="1:18" ht="25.5" customHeight="1">
      <c r="A15" s="166"/>
      <c r="B15" s="269" t="str">
        <f>"견 적 금 액 : 一金"&amp;NUMBERSTRING(M33,1) &amp; "원정""(\"&amp; TEXT(M33,"#,###")&amp;"원) [VAT 별도]"</f>
        <v>견 적 금 액 : 一金사백칠십구만육천원정"(\4,796,000원) [VAT 별도]</v>
      </c>
      <c r="C15" s="269"/>
      <c r="D15" s="269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70"/>
    </row>
    <row r="16" spans="1:18" ht="15" thickBot="1">
      <c r="A16" s="164"/>
      <c r="B16" s="163"/>
      <c r="C16" s="163"/>
      <c r="D16" s="163"/>
      <c r="E16" s="163"/>
      <c r="F16" s="163"/>
      <c r="G16" s="163"/>
      <c r="H16" s="163"/>
      <c r="I16" s="145"/>
      <c r="J16" s="145"/>
      <c r="K16" s="271"/>
      <c r="L16" s="271"/>
      <c r="M16" s="271"/>
      <c r="N16" s="271"/>
      <c r="O16" s="272"/>
    </row>
    <row r="17" spans="1:17" ht="27.75" customHeight="1" thickBot="1">
      <c r="A17" s="168" t="s">
        <v>127</v>
      </c>
      <c r="B17" s="279" t="s">
        <v>128</v>
      </c>
      <c r="C17" s="280"/>
      <c r="D17" s="280"/>
      <c r="E17" s="280"/>
      <c r="F17" s="280"/>
      <c r="G17" s="281"/>
      <c r="H17" s="169" t="s">
        <v>129</v>
      </c>
      <c r="I17" s="170" t="s">
        <v>130</v>
      </c>
      <c r="J17" s="282" t="s">
        <v>131</v>
      </c>
      <c r="K17" s="283"/>
      <c r="L17" s="283"/>
      <c r="M17" s="284"/>
      <c r="N17" s="279" t="s">
        <v>132</v>
      </c>
      <c r="O17" s="285"/>
    </row>
    <row r="18" spans="1:17" ht="28.5" customHeight="1">
      <c r="A18" s="171">
        <v>1</v>
      </c>
      <c r="B18" s="273" t="s">
        <v>37</v>
      </c>
      <c r="C18" s="274"/>
      <c r="D18" s="274"/>
      <c r="E18" s="274"/>
      <c r="F18" s="274"/>
      <c r="G18" s="275"/>
      <c r="H18" s="205">
        <v>1</v>
      </c>
      <c r="I18" s="206" t="s">
        <v>1</v>
      </c>
      <c r="J18" s="276">
        <f>IFERROR(LOOKUP(2,1/('내역서(표준단가)'!O4:O1048576&lt;&gt;""),'내역서(표준단가)'!O4:O1048576),"-")</f>
        <v>755780.21</v>
      </c>
      <c r="K18" s="276"/>
      <c r="L18" s="276"/>
      <c r="M18" s="276"/>
      <c r="N18" s="277"/>
      <c r="O18" s="278"/>
    </row>
    <row r="19" spans="1:17" ht="28.5" customHeight="1">
      <c r="A19" s="172">
        <v>2</v>
      </c>
      <c r="B19" s="256" t="s">
        <v>38</v>
      </c>
      <c r="C19" s="257"/>
      <c r="D19" s="257"/>
      <c r="E19" s="257"/>
      <c r="F19" s="257"/>
      <c r="G19" s="258"/>
      <c r="H19" s="207">
        <v>1</v>
      </c>
      <c r="I19" s="207" t="s">
        <v>1</v>
      </c>
      <c r="J19" s="259">
        <f>IFERROR(LOOKUP(2,1/('내역서(표준단가)'!Q4:Q1048576&lt;&gt;""),'내역서(표준단가)'!Q4:Q1048576),"-")</f>
        <v>3017716.6667500003</v>
      </c>
      <c r="K19" s="260"/>
      <c r="L19" s="260"/>
      <c r="M19" s="261"/>
      <c r="N19" s="262"/>
      <c r="O19" s="263"/>
    </row>
    <row r="20" spans="1:17" ht="28.5" customHeight="1">
      <c r="A20" s="172">
        <v>3</v>
      </c>
      <c r="B20" s="256" t="s">
        <v>133</v>
      </c>
      <c r="C20" s="257"/>
      <c r="D20" s="257"/>
      <c r="E20" s="257"/>
      <c r="F20" s="257"/>
      <c r="G20" s="258"/>
      <c r="H20" s="173">
        <v>1</v>
      </c>
      <c r="I20" s="173" t="s">
        <v>1</v>
      </c>
      <c r="J20" s="264">
        <f>IFERROR(SUM(J21:M29),"-")</f>
        <v>688374.92037614854</v>
      </c>
      <c r="K20" s="265"/>
      <c r="L20" s="265"/>
      <c r="M20" s="266"/>
      <c r="N20" s="267"/>
      <c r="O20" s="268"/>
      <c r="P20" s="174"/>
    </row>
    <row r="21" spans="1:17" ht="28.5" customHeight="1">
      <c r="A21" s="171"/>
      <c r="B21" s="175"/>
      <c r="C21" s="248" t="s">
        <v>134</v>
      </c>
      <c r="D21" s="249"/>
      <c r="E21" s="249"/>
      <c r="F21" s="249"/>
      <c r="G21" s="250"/>
      <c r="H21" s="208">
        <v>1</v>
      </c>
      <c r="I21" s="208" t="s">
        <v>1</v>
      </c>
      <c r="J21" s="251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52"/>
      <c r="L21" s="252"/>
      <c r="M21" s="253"/>
      <c r="N21" s="254" t="s">
        <v>135</v>
      </c>
      <c r="O21" s="255"/>
    </row>
    <row r="22" spans="1:17" ht="28.5" customHeight="1">
      <c r="A22" s="171"/>
      <c r="B22" s="175"/>
      <c r="C22" s="240" t="s">
        <v>136</v>
      </c>
      <c r="D22" s="241"/>
      <c r="E22" s="241"/>
      <c r="F22" s="241"/>
      <c r="G22" s="242"/>
      <c r="H22" s="176">
        <v>1</v>
      </c>
      <c r="I22" s="176" t="s">
        <v>1</v>
      </c>
      <c r="J22" s="230">
        <f>IFERROR((J19+J21+J23+J24+J25+J26+J27+J28)*5%,"-")</f>
        <v>176480.55176791188</v>
      </c>
      <c r="K22" s="231"/>
      <c r="L22" s="231"/>
      <c r="M22" s="232"/>
      <c r="N22" s="233" t="s">
        <v>137</v>
      </c>
      <c r="O22" s="234"/>
    </row>
    <row r="23" spans="1:17" ht="28.5" customHeight="1">
      <c r="A23" s="171"/>
      <c r="B23" s="175"/>
      <c r="C23" s="240" t="s">
        <v>138</v>
      </c>
      <c r="D23" s="241"/>
      <c r="E23" s="241"/>
      <c r="F23" s="241"/>
      <c r="G23" s="242"/>
      <c r="H23" s="176">
        <v>3.11</v>
      </c>
      <c r="I23" s="176" t="s">
        <v>139</v>
      </c>
      <c r="J23" s="230">
        <f>IFERROR((J18+J19)*H23%,"-")</f>
        <v>117355.752866925</v>
      </c>
      <c r="K23" s="231"/>
      <c r="L23" s="231"/>
      <c r="M23" s="232"/>
      <c r="N23" s="233" t="s">
        <v>140</v>
      </c>
      <c r="O23" s="234"/>
    </row>
    <row r="24" spans="1:17" ht="28.5" customHeight="1">
      <c r="A24" s="171"/>
      <c r="B24" s="175"/>
      <c r="C24" s="240" t="s">
        <v>141</v>
      </c>
      <c r="D24" s="241"/>
      <c r="E24" s="241"/>
      <c r="F24" s="241"/>
      <c r="G24" s="242"/>
      <c r="H24" s="176">
        <v>3.56</v>
      </c>
      <c r="I24" s="176" t="s">
        <v>142</v>
      </c>
      <c r="J24" s="230">
        <f>IFERROR(J19*H24%,"-")</f>
        <v>107430.71333630002</v>
      </c>
      <c r="K24" s="231"/>
      <c r="L24" s="231"/>
      <c r="M24" s="232"/>
      <c r="N24" s="233" t="s">
        <v>143</v>
      </c>
      <c r="O24" s="234"/>
    </row>
    <row r="25" spans="1:17" ht="28.5" customHeight="1">
      <c r="A25" s="171"/>
      <c r="B25" s="175"/>
      <c r="C25" s="240" t="s">
        <v>144</v>
      </c>
      <c r="D25" s="241"/>
      <c r="E25" s="241"/>
      <c r="F25" s="241"/>
      <c r="G25" s="242"/>
      <c r="H25" s="176">
        <v>1.01</v>
      </c>
      <c r="I25" s="176" t="s">
        <v>142</v>
      </c>
      <c r="J25" s="230">
        <f>IFERROR(J19*H25%,"-")</f>
        <v>30478.938334175004</v>
      </c>
      <c r="K25" s="231"/>
      <c r="L25" s="231"/>
      <c r="M25" s="232"/>
      <c r="N25" s="233" t="s">
        <v>145</v>
      </c>
      <c r="O25" s="234"/>
    </row>
    <row r="26" spans="1:17" ht="28.5" customHeight="1">
      <c r="A26" s="171"/>
      <c r="B26" s="175"/>
      <c r="C26" s="240" t="s">
        <v>146</v>
      </c>
      <c r="D26" s="241"/>
      <c r="E26" s="241"/>
      <c r="F26" s="241"/>
      <c r="G26" s="242"/>
      <c r="H26" s="177">
        <v>3.5449999999999999</v>
      </c>
      <c r="I26" s="176" t="s">
        <v>142</v>
      </c>
      <c r="J26" s="230">
        <f>IFERROR(J19*H26%,"-")</f>
        <v>106978.05583628752</v>
      </c>
      <c r="K26" s="231"/>
      <c r="L26" s="231"/>
      <c r="M26" s="232"/>
      <c r="N26" s="233" t="s">
        <v>147</v>
      </c>
      <c r="O26" s="234"/>
      <c r="Q26" s="174"/>
    </row>
    <row r="27" spans="1:17" ht="28.5" customHeight="1">
      <c r="A27" s="171"/>
      <c r="B27" s="175"/>
      <c r="C27" s="240" t="s">
        <v>148</v>
      </c>
      <c r="D27" s="241"/>
      <c r="E27" s="241"/>
      <c r="F27" s="241"/>
      <c r="G27" s="242"/>
      <c r="H27" s="176">
        <v>4.5</v>
      </c>
      <c r="I27" s="176" t="s">
        <v>142</v>
      </c>
      <c r="J27" s="230">
        <f>IFERROR(J19*H27%,"-")</f>
        <v>135797.25000375</v>
      </c>
      <c r="K27" s="231"/>
      <c r="L27" s="231"/>
      <c r="M27" s="232"/>
      <c r="N27" s="233" t="s">
        <v>149</v>
      </c>
      <c r="O27" s="234"/>
      <c r="Q27" s="178"/>
    </row>
    <row r="28" spans="1:17" ht="28.5" customHeight="1">
      <c r="A28" s="171"/>
      <c r="B28" s="175"/>
      <c r="C28" s="227" t="s">
        <v>150</v>
      </c>
      <c r="D28" s="228"/>
      <c r="E28" s="228"/>
      <c r="F28" s="228"/>
      <c r="G28" s="229"/>
      <c r="H28" s="179">
        <v>12.95</v>
      </c>
      <c r="I28" s="180" t="s">
        <v>142</v>
      </c>
      <c r="J28" s="243">
        <f>IFERROR($H$28*J26%,"-")</f>
        <v>13853.658230799232</v>
      </c>
      <c r="K28" s="244"/>
      <c r="L28" s="244"/>
      <c r="M28" s="245"/>
      <c r="N28" s="246" t="s">
        <v>151</v>
      </c>
      <c r="O28" s="247"/>
    </row>
    <row r="29" spans="1:17" ht="28.5" customHeight="1">
      <c r="A29" s="171"/>
      <c r="B29" s="175"/>
      <c r="C29" s="227" t="s">
        <v>152</v>
      </c>
      <c r="D29" s="228"/>
      <c r="E29" s="228"/>
      <c r="F29" s="228"/>
      <c r="G29" s="229"/>
      <c r="H29" s="181">
        <v>8.1000000000000003E-2</v>
      </c>
      <c r="I29" s="176" t="s">
        <v>142</v>
      </c>
      <c r="J29" s="230" t="str">
        <f>IFERROR(IF(SUM(J21:J28,J18:J19)&gt;=10000000,SUM(J21:J28,J18:J19)*H29%,"-"),"-")</f>
        <v>-</v>
      </c>
      <c r="K29" s="231"/>
      <c r="L29" s="231"/>
      <c r="M29" s="232"/>
      <c r="N29" s="233" t="s">
        <v>153</v>
      </c>
      <c r="O29" s="234"/>
    </row>
    <row r="30" spans="1:17" ht="28.5" customHeight="1">
      <c r="A30" s="182"/>
      <c r="B30" s="183"/>
      <c r="C30" s="214" t="s">
        <v>154</v>
      </c>
      <c r="D30" s="215"/>
      <c r="E30" s="215"/>
      <c r="F30" s="215"/>
      <c r="G30" s="216"/>
      <c r="H30" s="184">
        <v>1</v>
      </c>
      <c r="I30" s="185" t="s">
        <v>155</v>
      </c>
      <c r="J30" s="235">
        <f>34*0</f>
        <v>0</v>
      </c>
      <c r="K30" s="236"/>
      <c r="L30" s="236"/>
      <c r="M30" s="237"/>
      <c r="N30" s="238" t="s">
        <v>156</v>
      </c>
      <c r="O30" s="239"/>
    </row>
    <row r="31" spans="1:17" ht="28.5" customHeight="1">
      <c r="A31" s="182">
        <v>4</v>
      </c>
      <c r="B31" s="183"/>
      <c r="C31" s="214" t="s">
        <v>157</v>
      </c>
      <c r="D31" s="215"/>
      <c r="E31" s="215"/>
      <c r="F31" s="215"/>
      <c r="G31" s="216"/>
      <c r="H31" s="185">
        <v>5</v>
      </c>
      <c r="I31" s="186" t="s">
        <v>158</v>
      </c>
      <c r="J31" s="217"/>
      <c r="K31" s="218"/>
      <c r="L31" s="218"/>
      <c r="M31" s="219"/>
      <c r="N31" s="220" t="s">
        <v>159</v>
      </c>
      <c r="O31" s="221"/>
    </row>
    <row r="32" spans="1:17" ht="28.5" customHeight="1" thickBot="1">
      <c r="A32" s="182">
        <v>5</v>
      </c>
      <c r="B32" s="183"/>
      <c r="C32" s="214" t="s">
        <v>160</v>
      </c>
      <c r="D32" s="215"/>
      <c r="E32" s="215"/>
      <c r="F32" s="215"/>
      <c r="G32" s="216"/>
      <c r="H32" s="185">
        <v>7.5</v>
      </c>
      <c r="I32" s="186" t="s">
        <v>142</v>
      </c>
      <c r="J32" s="222">
        <f>IFERROR(SUM(J18:M20)*H32%,"-")</f>
        <v>334640.38478446117</v>
      </c>
      <c r="K32" s="223"/>
      <c r="L32" s="223"/>
      <c r="M32" s="224"/>
      <c r="N32" s="225" t="s">
        <v>161</v>
      </c>
      <c r="O32" s="226"/>
      <c r="Q32" s="187"/>
    </row>
    <row r="33" spans="1:25" ht="28.5" customHeight="1" thickBot="1">
      <c r="A33" s="209" t="s">
        <v>162</v>
      </c>
      <c r="B33" s="210"/>
      <c r="C33" s="210"/>
      <c r="D33" s="210"/>
      <c r="E33" s="210"/>
      <c r="F33" s="210"/>
      <c r="G33" s="210"/>
      <c r="H33" s="210"/>
      <c r="I33" s="211"/>
      <c r="J33" s="188"/>
      <c r="K33" s="189"/>
      <c r="L33" s="189"/>
      <c r="M33" s="190">
        <f>IFERROR(ROUNDDOWN(SUM(J18:M20)+J31+J32,-3),"-")</f>
        <v>4796000</v>
      </c>
      <c r="N33" s="212"/>
      <c r="O33" s="213"/>
      <c r="P33" s="191"/>
    </row>
    <row r="34" spans="1:25">
      <c r="A34" s="192" t="s">
        <v>163</v>
      </c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4"/>
    </row>
    <row r="35" spans="1:25">
      <c r="A35" s="195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4"/>
      <c r="V35" s="187"/>
    </row>
    <row r="36" spans="1:25">
      <c r="A36" s="195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4"/>
    </row>
    <row r="37" spans="1:25" ht="15.7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7"/>
      <c r="Y37" s="198"/>
    </row>
    <row r="38" spans="1:25" ht="15.75">
      <c r="A38" s="195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7"/>
    </row>
    <row r="39" spans="1:25" ht="15" thickBot="1">
      <c r="A39" s="199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1"/>
    </row>
    <row r="41" spans="1:25">
      <c r="M41" s="187"/>
    </row>
    <row r="42" spans="1:25">
      <c r="M42" s="187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selection activeCell="S35" sqref="S35"/>
    </sheetView>
  </sheetViews>
  <sheetFormatPr defaultColWidth="9" defaultRowHeight="12.75"/>
  <cols>
    <col min="1" max="1" width="18" style="18" customWidth="1"/>
    <col min="2" max="5" width="4.625" style="18" hidden="1" customWidth="1"/>
    <col min="6" max="6" width="9" style="2" customWidth="1"/>
    <col min="7" max="9" width="12.625" style="2" customWidth="1"/>
    <col min="10" max="10" width="28.625" style="2" customWidth="1"/>
    <col min="11" max="11" width="26.375" style="2" customWidth="1"/>
    <col min="12" max="12" width="7.375" style="2" customWidth="1"/>
    <col min="13" max="13" width="8.25" style="2" customWidth="1"/>
    <col min="14" max="14" width="10.625" style="2" bestFit="1" customWidth="1"/>
    <col min="15" max="15" width="12.75" style="2" customWidth="1"/>
    <col min="16" max="16" width="12" style="2" bestFit="1" customWidth="1"/>
    <col min="17" max="17" width="13.875" style="2" customWidth="1"/>
    <col min="18" max="18" width="9" style="2" customWidth="1"/>
    <col min="19" max="19" width="8.5" style="2" customWidth="1"/>
    <col min="20" max="20" width="10.5" style="2" customWidth="1"/>
    <col min="21" max="21" width="8.5" style="2" customWidth="1"/>
    <col min="22" max="22" width="15.62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318"/>
      <c r="B1" s="318"/>
      <c r="C1" s="318"/>
      <c r="D1" s="318"/>
      <c r="E1" s="318"/>
      <c r="F1" s="318"/>
      <c r="G1" s="318"/>
      <c r="H1" s="318"/>
      <c r="I1" s="318"/>
      <c r="N1" s="3"/>
      <c r="O1" s="1" t="s">
        <v>35</v>
      </c>
      <c r="Q1" s="1" t="s">
        <v>35</v>
      </c>
      <c r="S1" s="1" t="s">
        <v>35</v>
      </c>
      <c r="U1" s="1" t="s">
        <v>35</v>
      </c>
    </row>
    <row r="2" spans="1:24" ht="19.899999999999999" customHeight="1" thickBot="1">
      <c r="A2" s="318"/>
      <c r="B2" s="318"/>
      <c r="C2" s="318"/>
      <c r="D2" s="318"/>
      <c r="E2" s="318"/>
      <c r="F2" s="318"/>
      <c r="G2" s="318"/>
      <c r="H2" s="318"/>
      <c r="I2" s="318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6"/>
      <c r="B3" s="7"/>
      <c r="C3" s="7"/>
      <c r="D3" s="7"/>
      <c r="E3" s="7"/>
      <c r="F3" s="7" t="s">
        <v>166</v>
      </c>
      <c r="G3" s="7"/>
      <c r="H3" s="7"/>
      <c r="I3" s="7"/>
      <c r="J3" s="327" t="s">
        <v>36</v>
      </c>
      <c r="K3" s="327"/>
      <c r="L3" s="327" t="s">
        <v>3</v>
      </c>
      <c r="M3" s="327" t="s">
        <v>0</v>
      </c>
      <c r="N3" s="323" t="s">
        <v>37</v>
      </c>
      <c r="O3" s="323"/>
      <c r="P3" s="323" t="s">
        <v>38</v>
      </c>
      <c r="Q3" s="323"/>
      <c r="R3" s="324" t="s">
        <v>39</v>
      </c>
      <c r="S3" s="324"/>
      <c r="T3" s="324" t="s">
        <v>167</v>
      </c>
      <c r="U3" s="324"/>
      <c r="V3" s="325" t="s">
        <v>40</v>
      </c>
      <c r="W3" s="321" t="s">
        <v>41</v>
      </c>
      <c r="X3" s="319" t="s">
        <v>2</v>
      </c>
    </row>
    <row r="4" spans="1:24" ht="19.899999999999999" customHeight="1">
      <c r="A4" s="8" t="s">
        <v>42</v>
      </c>
      <c r="B4" s="46"/>
      <c r="C4" s="46"/>
      <c r="D4" s="46"/>
      <c r="E4" s="46"/>
      <c r="F4" s="9" t="s">
        <v>43</v>
      </c>
      <c r="G4" s="9" t="s">
        <v>44</v>
      </c>
      <c r="H4" s="9" t="s">
        <v>45</v>
      </c>
      <c r="I4" s="9" t="s">
        <v>46</v>
      </c>
      <c r="J4" s="47" t="s">
        <v>47</v>
      </c>
      <c r="K4" s="47" t="s">
        <v>48</v>
      </c>
      <c r="L4" s="328"/>
      <c r="M4" s="328"/>
      <c r="N4" s="10" t="s">
        <v>49</v>
      </c>
      <c r="O4" s="11" t="s">
        <v>50</v>
      </c>
      <c r="P4" s="10" t="s">
        <v>51</v>
      </c>
      <c r="Q4" s="11" t="s">
        <v>50</v>
      </c>
      <c r="R4" s="11" t="s">
        <v>52</v>
      </c>
      <c r="S4" s="11" t="s">
        <v>50</v>
      </c>
      <c r="T4" s="11" t="s">
        <v>52</v>
      </c>
      <c r="U4" s="11" t="s">
        <v>50</v>
      </c>
      <c r="V4" s="326"/>
      <c r="W4" s="322"/>
      <c r="X4" s="320"/>
    </row>
    <row r="5" spans="1:24" s="17" customFormat="1" ht="45" customHeight="1">
      <c r="A5" s="12" t="str">
        <f t="shared" ref="A5:A13" si="0">F5&amp;G5&amp;H5&amp;I5</f>
        <v>M020853710050101</v>
      </c>
      <c r="B5" s="48"/>
      <c r="C5" s="48"/>
      <c r="D5" s="48"/>
      <c r="E5" s="48"/>
      <c r="F5" s="44"/>
      <c r="G5" s="13"/>
      <c r="H5" s="88" t="s">
        <v>75</v>
      </c>
      <c r="I5" s="44"/>
      <c r="J5" s="102" t="s">
        <v>76</v>
      </c>
      <c r="K5" s="103" t="s">
        <v>168</v>
      </c>
      <c r="L5" s="62" t="s">
        <v>77</v>
      </c>
      <c r="M5" s="57">
        <v>186</v>
      </c>
      <c r="N5" s="54">
        <v>1266</v>
      </c>
      <c r="O5" s="14" cm="1">
        <f t="array" ref="O5">SUM(N5:N5*M5*$O$2)</f>
        <v>196622.46</v>
      </c>
      <c r="P5" s="59"/>
      <c r="Q5" s="14">
        <f t="shared" ref="Q5" si="1">(P5*M5)*$Q$2</f>
        <v>0</v>
      </c>
      <c r="R5" s="15"/>
      <c r="S5" s="14">
        <f t="shared" ref="S5" si="2">R5*M5*$S$2</f>
        <v>0</v>
      </c>
      <c r="T5" s="15"/>
      <c r="U5" s="14">
        <f t="shared" ref="U5" si="3">T5*M5*$U$2</f>
        <v>0</v>
      </c>
      <c r="V5" s="89">
        <f t="shared" ref="V5" si="4">SUM(O5+Q5)+S5+U5</f>
        <v>196622.46</v>
      </c>
      <c r="W5" s="65"/>
      <c r="X5" s="16"/>
    </row>
    <row r="6" spans="1:24" s="17" customFormat="1" ht="60.75" customHeight="1">
      <c r="A6" s="12" t="str">
        <f t="shared" si="0"/>
        <v>E00000803071260301</v>
      </c>
      <c r="B6" s="48"/>
      <c r="C6" s="48"/>
      <c r="D6" s="48"/>
      <c r="E6" s="48"/>
      <c r="F6" s="44"/>
      <c r="G6" s="64" t="s">
        <v>53</v>
      </c>
      <c r="H6" s="13"/>
      <c r="I6" s="44"/>
      <c r="J6" s="53" t="s">
        <v>55</v>
      </c>
      <c r="K6" s="87" t="s">
        <v>73</v>
      </c>
      <c r="L6" s="53" t="s">
        <v>54</v>
      </c>
      <c r="M6" s="57">
        <v>4.0430000000000001</v>
      </c>
      <c r="N6" s="54"/>
      <c r="O6" s="14">
        <f t="shared" ref="O6" si="5">SUM(N6:N6)*M6*$O$2</f>
        <v>0</v>
      </c>
      <c r="P6" s="58">
        <v>487076</v>
      </c>
      <c r="Q6" s="14">
        <f t="shared" ref="Q6" si="6">(P6*M6)*$Q$2</f>
        <v>1644322.30378</v>
      </c>
      <c r="R6" s="15"/>
      <c r="S6" s="14">
        <f t="shared" ref="S6" si="7">R6*M6*$S$2</f>
        <v>0</v>
      </c>
      <c r="T6" s="15"/>
      <c r="U6" s="14">
        <f t="shared" ref="U6" si="8">T6*M6*$U$2</f>
        <v>0</v>
      </c>
      <c r="V6" s="15">
        <f t="shared" ref="V6" si="9">SUM(O6+Q6)+S6+U6</f>
        <v>1644322.30378</v>
      </c>
      <c r="W6" s="65"/>
      <c r="X6" s="16"/>
    </row>
    <row r="7" spans="1:24" s="17" customFormat="1" ht="19.899999999999999" customHeight="1">
      <c r="A7" s="12" t="str">
        <f t="shared" si="0"/>
        <v>M020809012520101</v>
      </c>
      <c r="B7" s="48"/>
      <c r="C7" s="48"/>
      <c r="D7" s="48"/>
      <c r="E7" s="48"/>
      <c r="F7" s="44"/>
      <c r="G7" s="13"/>
      <c r="H7" s="88" t="s">
        <v>78</v>
      </c>
      <c r="I7" s="44"/>
      <c r="J7" s="104" t="s">
        <v>79</v>
      </c>
      <c r="K7" s="104" t="s">
        <v>80</v>
      </c>
      <c r="L7" s="62" t="s">
        <v>77</v>
      </c>
      <c r="M7" s="57">
        <v>50</v>
      </c>
      <c r="N7" s="90">
        <v>13000</v>
      </c>
      <c r="O7" s="14">
        <f t="shared" ref="O7:O15" si="10">SUM(N7:N7)*M7*$O$2</f>
        <v>542750</v>
      </c>
      <c r="P7" s="59"/>
      <c r="Q7" s="14">
        <f t="shared" ref="Q7:Q11" si="11">(P7*M7)*$Q$2</f>
        <v>0</v>
      </c>
      <c r="R7" s="15"/>
      <c r="S7" s="14">
        <f t="shared" ref="S7:S11" si="12">R7*M7*$S$2</f>
        <v>0</v>
      </c>
      <c r="T7" s="15"/>
      <c r="U7" s="14">
        <f t="shared" ref="U7:U11" si="13">T7*M7*$U$2</f>
        <v>0</v>
      </c>
      <c r="V7" s="89">
        <f t="shared" ref="V7:V11" si="14">SUM(O7+Q7)+S7+U7</f>
        <v>542750</v>
      </c>
      <c r="W7" s="65"/>
      <c r="X7" s="16"/>
    </row>
    <row r="8" spans="1:24" s="17" customFormat="1" ht="45" customHeight="1">
      <c r="A8" s="12" t="str">
        <f t="shared" si="0"/>
        <v>E00000803071260401</v>
      </c>
      <c r="B8" s="48"/>
      <c r="C8" s="48"/>
      <c r="D8" s="48"/>
      <c r="E8" s="48"/>
      <c r="F8" s="44"/>
      <c r="G8" s="64" t="s">
        <v>56</v>
      </c>
      <c r="H8" s="13"/>
      <c r="I8" s="44"/>
      <c r="J8" s="53" t="s">
        <v>57</v>
      </c>
      <c r="K8" s="87" t="s">
        <v>74</v>
      </c>
      <c r="L8" s="53" t="s">
        <v>54</v>
      </c>
      <c r="M8" s="57">
        <v>0.81950000000000001</v>
      </c>
      <c r="N8" s="54"/>
      <c r="O8" s="14">
        <f t="shared" si="10"/>
        <v>0</v>
      </c>
      <c r="P8" s="58">
        <v>487076</v>
      </c>
      <c r="Q8" s="82">
        <f t="shared" si="11"/>
        <v>333297.58296999999</v>
      </c>
      <c r="R8" s="15"/>
      <c r="S8" s="14">
        <f t="shared" si="12"/>
        <v>0</v>
      </c>
      <c r="T8" s="15"/>
      <c r="U8" s="14">
        <f t="shared" si="13"/>
        <v>0</v>
      </c>
      <c r="V8" s="15">
        <f t="shared" si="14"/>
        <v>333297.58296999999</v>
      </c>
      <c r="W8" s="65"/>
      <c r="X8" s="16"/>
    </row>
    <row r="9" spans="1:24" s="17" customFormat="1" ht="19.899999999999999" customHeight="1">
      <c r="A9" s="12" t="str">
        <f t="shared" si="0"/>
        <v>M020412614110102</v>
      </c>
      <c r="B9" s="48"/>
      <c r="C9" s="48"/>
      <c r="D9" s="48"/>
      <c r="E9" s="48"/>
      <c r="F9" s="44"/>
      <c r="G9" s="64"/>
      <c r="H9" s="80" t="s">
        <v>71</v>
      </c>
      <c r="I9" s="44"/>
      <c r="J9" s="107" t="s">
        <v>70</v>
      </c>
      <c r="K9" s="107" t="s">
        <v>68</v>
      </c>
      <c r="L9" s="84" t="s">
        <v>67</v>
      </c>
      <c r="M9" s="57">
        <v>0.3</v>
      </c>
      <c r="N9" s="81">
        <v>65500</v>
      </c>
      <c r="O9" s="14">
        <f t="shared" si="10"/>
        <v>16407.75</v>
      </c>
      <c r="P9" s="58"/>
      <c r="Q9" s="14"/>
      <c r="R9" s="15"/>
      <c r="S9" s="14"/>
      <c r="T9" s="15"/>
      <c r="U9" s="14"/>
      <c r="V9" s="15">
        <f t="shared" si="14"/>
        <v>16407.75</v>
      </c>
      <c r="W9" s="65"/>
      <c r="X9" s="16"/>
    </row>
    <row r="10" spans="1:24" s="17" customFormat="1" ht="19.899999999999999" customHeight="1">
      <c r="A10" s="12" t="str">
        <f t="shared" si="0"/>
        <v>E00000803061120402</v>
      </c>
      <c r="B10" s="48"/>
      <c r="C10" s="48"/>
      <c r="D10" s="48"/>
      <c r="E10" s="48"/>
      <c r="F10" s="44"/>
      <c r="G10" s="64" t="s">
        <v>58</v>
      </c>
      <c r="H10" s="13"/>
      <c r="I10" s="44"/>
      <c r="J10" s="63" t="s">
        <v>59</v>
      </c>
      <c r="K10" s="56" t="s">
        <v>60</v>
      </c>
      <c r="L10" s="85" t="s">
        <v>65</v>
      </c>
      <c r="M10" s="57">
        <v>28</v>
      </c>
      <c r="N10" s="55"/>
      <c r="O10" s="14">
        <f t="shared" si="10"/>
        <v>0</v>
      </c>
      <c r="P10" s="58">
        <v>10432</v>
      </c>
      <c r="Q10" s="14">
        <f t="shared" si="11"/>
        <v>243900.16</v>
      </c>
      <c r="R10" s="15"/>
      <c r="S10" s="14">
        <f t="shared" si="12"/>
        <v>0</v>
      </c>
      <c r="T10" s="15"/>
      <c r="U10" s="14">
        <f t="shared" si="13"/>
        <v>0</v>
      </c>
      <c r="V10" s="15">
        <f t="shared" si="14"/>
        <v>243900.16</v>
      </c>
      <c r="W10" s="65"/>
      <c r="X10" s="16"/>
    </row>
    <row r="11" spans="1:24" s="17" customFormat="1" ht="19.899999999999999" customHeight="1">
      <c r="A11" s="12" t="str">
        <f t="shared" si="0"/>
        <v>E00000803061300201</v>
      </c>
      <c r="B11" s="48"/>
      <c r="C11" s="48"/>
      <c r="D11" s="48"/>
      <c r="E11" s="48"/>
      <c r="F11" s="44"/>
      <c r="G11" s="64" t="s">
        <v>62</v>
      </c>
      <c r="H11" s="13"/>
      <c r="I11" s="44"/>
      <c r="J11" s="63" t="s">
        <v>63</v>
      </c>
      <c r="K11" s="56" t="s">
        <v>64</v>
      </c>
      <c r="L11" s="83" t="s">
        <v>61</v>
      </c>
      <c r="M11" s="57">
        <v>28</v>
      </c>
      <c r="N11" s="55"/>
      <c r="O11" s="14">
        <f t="shared" si="10"/>
        <v>0</v>
      </c>
      <c r="P11" s="58">
        <v>6179</v>
      </c>
      <c r="Q11" s="14">
        <f t="shared" si="11"/>
        <v>144465.01999999999</v>
      </c>
      <c r="R11" s="15"/>
      <c r="S11" s="14">
        <f t="shared" si="12"/>
        <v>0</v>
      </c>
      <c r="T11" s="15"/>
      <c r="U11" s="14">
        <f t="shared" si="13"/>
        <v>0</v>
      </c>
      <c r="V11" s="15">
        <f t="shared" si="14"/>
        <v>144465.01999999999</v>
      </c>
      <c r="W11" s="65"/>
      <c r="X11" s="16"/>
    </row>
    <row r="12" spans="1:24" s="17" customFormat="1" ht="19.899999999999999" customHeight="1">
      <c r="A12" s="12" t="str">
        <f t="shared" si="0"/>
        <v>E00000801011510601</v>
      </c>
      <c r="B12" s="111"/>
      <c r="C12" s="111"/>
      <c r="D12" s="111"/>
      <c r="E12" s="111"/>
      <c r="F12" s="112"/>
      <c r="G12" s="113" t="s">
        <v>81</v>
      </c>
      <c r="H12" s="114"/>
      <c r="I12" s="112"/>
      <c r="J12" s="115" t="s">
        <v>82</v>
      </c>
      <c r="K12" s="116" t="s">
        <v>83</v>
      </c>
      <c r="L12" s="117" t="s">
        <v>84</v>
      </c>
      <c r="M12" s="118">
        <v>96</v>
      </c>
      <c r="N12" s="119"/>
      <c r="O12" s="120">
        <f t="shared" si="10"/>
        <v>0</v>
      </c>
      <c r="P12" s="92">
        <v>3310</v>
      </c>
      <c r="Q12" s="120">
        <f t="shared" ref="Q12:Q15" si="15">(P12*M12)*$Q$2</f>
        <v>265329.59999999998</v>
      </c>
      <c r="R12" s="121"/>
      <c r="S12" s="120">
        <f t="shared" ref="S12:S15" si="16">R12*M12*$S$2</f>
        <v>0</v>
      </c>
      <c r="T12" s="121"/>
      <c r="U12" s="120">
        <f t="shared" ref="U12:U15" si="17">T12*M12*$U$2</f>
        <v>0</v>
      </c>
      <c r="V12" s="121">
        <f t="shared" ref="V12:V15" si="18">SUM(O12+Q12)+S12+U12</f>
        <v>265329.59999999998</v>
      </c>
      <c r="W12" s="122"/>
      <c r="X12" s="123"/>
    </row>
    <row r="13" spans="1:24" s="17" customFormat="1" ht="71.25" customHeight="1">
      <c r="A13" s="12" t="str">
        <f t="shared" si="0"/>
        <v>L003</v>
      </c>
      <c r="B13" s="48"/>
      <c r="C13" s="48"/>
      <c r="D13" s="48"/>
      <c r="E13" s="48"/>
      <c r="F13" s="44"/>
      <c r="G13" s="64"/>
      <c r="H13" s="13"/>
      <c r="I13" s="124" t="s">
        <v>94</v>
      </c>
      <c r="J13" s="108" t="s">
        <v>91</v>
      </c>
      <c r="K13" s="53" t="s">
        <v>92</v>
      </c>
      <c r="L13" s="109" t="s">
        <v>93</v>
      </c>
      <c r="M13" s="57">
        <v>1</v>
      </c>
      <c r="N13" s="110"/>
      <c r="O13" s="14">
        <f t="shared" si="10"/>
        <v>0</v>
      </c>
      <c r="P13" s="126">
        <v>219321</v>
      </c>
      <c r="Q13" s="14">
        <f>M13*P13</f>
        <v>219321</v>
      </c>
      <c r="R13" s="15"/>
      <c r="S13" s="14">
        <f t="shared" si="16"/>
        <v>0</v>
      </c>
      <c r="T13" s="15"/>
      <c r="U13" s="14">
        <f t="shared" si="17"/>
        <v>0</v>
      </c>
      <c r="V13" s="15">
        <f t="shared" si="18"/>
        <v>219321</v>
      </c>
      <c r="W13" s="65"/>
      <c r="X13" s="16"/>
    </row>
    <row r="14" spans="1:24" s="17" customFormat="1" ht="71.25" customHeight="1">
      <c r="A14" s="12" t="str">
        <f t="shared" ref="A14" si="19">F14&amp;G14&amp;H14&amp;I14</f>
        <v>L002</v>
      </c>
      <c r="B14" s="48"/>
      <c r="C14" s="48"/>
      <c r="D14" s="48"/>
      <c r="E14" s="48"/>
      <c r="F14" s="44"/>
      <c r="G14" s="64"/>
      <c r="H14" s="13"/>
      <c r="I14" s="124" t="s">
        <v>96</v>
      </c>
      <c r="J14" s="108" t="s">
        <v>91</v>
      </c>
      <c r="K14" s="53" t="s">
        <v>97</v>
      </c>
      <c r="L14" s="109" t="s">
        <v>93</v>
      </c>
      <c r="M14" s="57">
        <v>1</v>
      </c>
      <c r="N14" s="110"/>
      <c r="O14" s="14">
        <f t="shared" ref="O14" si="20">SUM(N14:N14)*M14*$O$2</f>
        <v>0</v>
      </c>
      <c r="P14" s="126">
        <v>167081</v>
      </c>
      <c r="Q14" s="14">
        <f>M14*P14</f>
        <v>167081</v>
      </c>
      <c r="R14" s="15"/>
      <c r="S14" s="14">
        <f t="shared" ref="S14" si="21">R14*M14*$S$2</f>
        <v>0</v>
      </c>
      <c r="T14" s="15"/>
      <c r="U14" s="14">
        <f t="shared" ref="U14" si="22">T14*M14*$U$2</f>
        <v>0</v>
      </c>
      <c r="V14" s="15">
        <f t="shared" ref="V14" si="23">SUM(O14+Q14)+S14+U14</f>
        <v>167081</v>
      </c>
      <c r="W14" s="65"/>
      <c r="X14" s="16"/>
    </row>
    <row r="15" spans="1:24" s="17" customFormat="1" ht="19.899999999999999" customHeight="1">
      <c r="A15" s="12"/>
      <c r="B15" s="48"/>
      <c r="C15" s="48"/>
      <c r="D15" s="48"/>
      <c r="E15" s="48"/>
      <c r="F15" s="44"/>
      <c r="G15" s="101"/>
      <c r="H15" s="13"/>
      <c r="I15" s="44"/>
      <c r="J15" s="105"/>
      <c r="K15" s="106"/>
      <c r="L15" s="91"/>
      <c r="M15" s="57"/>
      <c r="N15" s="54"/>
      <c r="O15" s="14">
        <f t="shared" si="10"/>
        <v>0</v>
      </c>
      <c r="P15" s="125"/>
      <c r="Q15" s="14">
        <f t="shared" si="15"/>
        <v>0</v>
      </c>
      <c r="R15" s="15"/>
      <c r="S15" s="14">
        <f t="shared" si="16"/>
        <v>0</v>
      </c>
      <c r="T15" s="15"/>
      <c r="U15" s="14">
        <f t="shared" si="17"/>
        <v>0</v>
      </c>
      <c r="V15" s="15">
        <f t="shared" si="18"/>
        <v>0</v>
      </c>
      <c r="W15" s="65"/>
      <c r="X15" s="16"/>
    </row>
    <row r="16" spans="1:24" s="52" customFormat="1" ht="19.899999999999999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6">
        <f>SUM(O5:O15)</f>
        <v>755780.21</v>
      </c>
      <c r="P16" s="67"/>
      <c r="Q16" s="66">
        <f>SUM(Q5:Q15)</f>
        <v>3017716.6667500003</v>
      </c>
      <c r="R16" s="67"/>
      <c r="S16" s="66">
        <f>SUM(S5:S15)</f>
        <v>0</v>
      </c>
      <c r="T16" s="67"/>
      <c r="U16" s="66">
        <f>SUM(U5:U15)</f>
        <v>0</v>
      </c>
      <c r="V16" s="66">
        <f>SUM(V5:V15)</f>
        <v>3773496.8767499998</v>
      </c>
      <c r="W16" s="61"/>
      <c r="X16" s="6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1"/>
  <sheetViews>
    <sheetView zoomScaleNormal="100" workbookViewId="0">
      <selection activeCell="P20" sqref="P20"/>
    </sheetView>
  </sheetViews>
  <sheetFormatPr defaultColWidth="9" defaultRowHeight="14.25"/>
  <cols>
    <col min="1" max="1" width="22.625" style="43" customWidth="1"/>
    <col min="2" max="2" width="27.625" style="43" customWidth="1"/>
    <col min="3" max="3" width="5.75" style="43" customWidth="1"/>
    <col min="4" max="4" width="5.25" style="43" customWidth="1"/>
    <col min="5" max="8" width="20.625" style="43" customWidth="1"/>
    <col min="9" max="12" width="20.625" style="43" hidden="1" customWidth="1"/>
    <col min="13" max="14" width="20.625" style="43" customWidth="1"/>
    <col min="15" max="15" width="32.75" style="43" customWidth="1"/>
    <col min="16" max="16384" width="9" style="19"/>
  </cols>
  <sheetData>
    <row r="1" spans="1:15" ht="27" customHeight="1">
      <c r="A1" s="334" t="s">
        <v>4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</row>
    <row r="2" spans="1:15" ht="15" customHeight="1">
      <c r="A2" s="335" t="s">
        <v>5</v>
      </c>
      <c r="B2" s="336" t="s">
        <v>6</v>
      </c>
      <c r="C2" s="337" t="s">
        <v>3</v>
      </c>
      <c r="D2" s="337" t="s">
        <v>7</v>
      </c>
      <c r="E2" s="339" t="s">
        <v>8</v>
      </c>
      <c r="F2" s="336"/>
      <c r="G2" s="336" t="s">
        <v>9</v>
      </c>
      <c r="H2" s="336"/>
      <c r="I2" s="340" t="s">
        <v>10</v>
      </c>
      <c r="J2" s="341"/>
      <c r="K2" s="340" t="s">
        <v>169</v>
      </c>
      <c r="L2" s="341"/>
      <c r="M2" s="339" t="s">
        <v>11</v>
      </c>
      <c r="N2" s="336"/>
      <c r="O2" s="342" t="s">
        <v>12</v>
      </c>
    </row>
    <row r="3" spans="1:15" ht="15" customHeight="1">
      <c r="A3" s="335"/>
      <c r="B3" s="336"/>
      <c r="C3" s="338"/>
      <c r="D3" s="338"/>
      <c r="E3" s="51" t="s">
        <v>13</v>
      </c>
      <c r="F3" s="51" t="s">
        <v>14</v>
      </c>
      <c r="G3" s="20" t="s">
        <v>13</v>
      </c>
      <c r="H3" s="51" t="s">
        <v>15</v>
      </c>
      <c r="I3" s="51"/>
      <c r="J3" s="51"/>
      <c r="K3" s="20" t="s">
        <v>13</v>
      </c>
      <c r="L3" s="51" t="s">
        <v>15</v>
      </c>
      <c r="M3" s="20" t="s">
        <v>13</v>
      </c>
      <c r="N3" s="51" t="s">
        <v>15</v>
      </c>
      <c r="O3" s="343"/>
    </row>
    <row r="4" spans="1:15" ht="15" customHeight="1">
      <c r="A4" s="349" t="s">
        <v>85</v>
      </c>
      <c r="B4" s="35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 ht="15" customHeight="1">
      <c r="A5" s="345" t="s">
        <v>16</v>
      </c>
      <c r="B5" s="22" t="s">
        <v>17</v>
      </c>
      <c r="C5" s="23" t="s">
        <v>18</v>
      </c>
      <c r="D5" s="24">
        <v>85</v>
      </c>
      <c r="E5" s="94">
        <v>1057</v>
      </c>
      <c r="F5" s="68">
        <f t="shared" ref="F5:F11" si="0">D5*E5</f>
        <v>89845</v>
      </c>
      <c r="G5" s="68">
        <v>8839.9</v>
      </c>
      <c r="H5" s="68">
        <f t="shared" ref="H5:H11" si="1">D5*G5</f>
        <v>751391.5</v>
      </c>
      <c r="I5" s="68"/>
      <c r="J5" s="68"/>
      <c r="K5" s="68"/>
      <c r="L5" s="68"/>
      <c r="M5" s="68"/>
      <c r="N5" s="68">
        <f>F5+H5+J5+L5</f>
        <v>841236.5</v>
      </c>
      <c r="O5" s="329" t="s">
        <v>170</v>
      </c>
    </row>
    <row r="6" spans="1:15" ht="15" customHeight="1">
      <c r="A6" s="346"/>
      <c r="B6" s="130" t="s">
        <v>19</v>
      </c>
      <c r="C6" s="131" t="s">
        <v>18</v>
      </c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330"/>
    </row>
    <row r="7" spans="1:15" ht="15" customHeight="1">
      <c r="A7" s="346"/>
      <c r="B7" s="22" t="s">
        <v>20</v>
      </c>
      <c r="C7" s="23" t="s">
        <v>18</v>
      </c>
      <c r="D7" s="24">
        <v>38</v>
      </c>
      <c r="E7" s="94">
        <v>1057</v>
      </c>
      <c r="F7" s="68">
        <f t="shared" si="0"/>
        <v>40166</v>
      </c>
      <c r="G7" s="68">
        <v>8839.9</v>
      </c>
      <c r="H7" s="68">
        <f t="shared" si="1"/>
        <v>335916.2</v>
      </c>
      <c r="I7" s="68"/>
      <c r="J7" s="68"/>
      <c r="K7" s="68"/>
      <c r="L7" s="68"/>
      <c r="M7" s="68"/>
      <c r="N7" s="68">
        <f t="shared" ref="N7:N11" si="2">F7+H7+J7+L7</f>
        <v>376082.2</v>
      </c>
      <c r="O7" s="330"/>
    </row>
    <row r="8" spans="1:15" ht="15" customHeight="1">
      <c r="A8" s="346"/>
      <c r="B8" s="130" t="s">
        <v>21</v>
      </c>
      <c r="C8" s="131" t="s">
        <v>18</v>
      </c>
      <c r="D8" s="132"/>
      <c r="E8" s="133"/>
      <c r="F8" s="134"/>
      <c r="G8" s="134"/>
      <c r="H8" s="134"/>
      <c r="I8" s="134"/>
      <c r="J8" s="134"/>
      <c r="K8" s="134"/>
      <c r="L8" s="134"/>
      <c r="M8" s="134"/>
      <c r="N8" s="134"/>
      <c r="O8" s="330"/>
    </row>
    <row r="9" spans="1:15" ht="15" customHeight="1">
      <c r="A9" s="346"/>
      <c r="B9" s="22" t="s">
        <v>22</v>
      </c>
      <c r="C9" s="23" t="s">
        <v>18</v>
      </c>
      <c r="D9" s="24">
        <v>32</v>
      </c>
      <c r="E9" s="94">
        <v>1057</v>
      </c>
      <c r="F9" s="68">
        <f t="shared" si="0"/>
        <v>33824</v>
      </c>
      <c r="G9" s="68">
        <v>8839.9</v>
      </c>
      <c r="H9" s="68">
        <f t="shared" si="1"/>
        <v>282876.79999999999</v>
      </c>
      <c r="I9" s="68"/>
      <c r="J9" s="68"/>
      <c r="K9" s="68"/>
      <c r="L9" s="68"/>
      <c r="M9" s="68"/>
      <c r="N9" s="68">
        <f t="shared" si="2"/>
        <v>316700.79999999999</v>
      </c>
      <c r="O9" s="330"/>
    </row>
    <row r="10" spans="1:15" ht="15" customHeight="1">
      <c r="A10" s="346"/>
      <c r="B10" s="130" t="s">
        <v>23</v>
      </c>
      <c r="C10" s="131" t="s">
        <v>18</v>
      </c>
      <c r="D10" s="132"/>
      <c r="E10" s="133"/>
      <c r="F10" s="134"/>
      <c r="G10" s="134"/>
      <c r="H10" s="134"/>
      <c r="I10" s="134"/>
      <c r="J10" s="134"/>
      <c r="K10" s="134"/>
      <c r="L10" s="134"/>
      <c r="M10" s="134"/>
      <c r="N10" s="134"/>
      <c r="O10" s="330"/>
    </row>
    <row r="11" spans="1:15" ht="15" customHeight="1">
      <c r="A11" s="346"/>
      <c r="B11" s="22" t="s">
        <v>24</v>
      </c>
      <c r="C11" s="23" t="s">
        <v>18</v>
      </c>
      <c r="D11" s="24">
        <v>31</v>
      </c>
      <c r="E11" s="94">
        <v>1057</v>
      </c>
      <c r="F11" s="68">
        <f t="shared" si="0"/>
        <v>32767</v>
      </c>
      <c r="G11" s="68">
        <v>8839.9</v>
      </c>
      <c r="H11" s="68">
        <f t="shared" si="1"/>
        <v>274036.89999999997</v>
      </c>
      <c r="I11" s="68"/>
      <c r="J11" s="68"/>
      <c r="K11" s="68"/>
      <c r="L11" s="68"/>
      <c r="M11" s="68"/>
      <c r="N11" s="68">
        <f t="shared" si="2"/>
        <v>306803.89999999997</v>
      </c>
      <c r="O11" s="330"/>
    </row>
    <row r="12" spans="1:15" ht="15" customHeight="1">
      <c r="A12" s="346"/>
      <c r="B12" s="130" t="s">
        <v>25</v>
      </c>
      <c r="C12" s="131" t="s">
        <v>18</v>
      </c>
      <c r="D12" s="132"/>
      <c r="E12" s="133"/>
      <c r="F12" s="134"/>
      <c r="G12" s="134"/>
      <c r="H12" s="134"/>
      <c r="I12" s="134"/>
      <c r="J12" s="134"/>
      <c r="K12" s="134"/>
      <c r="L12" s="134"/>
      <c r="M12" s="134"/>
      <c r="N12" s="134"/>
      <c r="O12" s="330"/>
    </row>
    <row r="13" spans="1:15" ht="15" customHeight="1">
      <c r="A13" s="71" t="s">
        <v>26</v>
      </c>
      <c r="B13" s="72"/>
      <c r="C13" s="73"/>
      <c r="D13" s="74">
        <f>SUM(D5:D11)</f>
        <v>186</v>
      </c>
      <c r="E13" s="75"/>
      <c r="F13" s="75">
        <f>SUM(F5:F12)</f>
        <v>196602</v>
      </c>
      <c r="G13" s="75"/>
      <c r="H13" s="75">
        <f>SUM(H5:H12)</f>
        <v>1644221.4</v>
      </c>
      <c r="I13" s="75"/>
      <c r="J13" s="75">
        <f>SUM(J5:J12)</f>
        <v>0</v>
      </c>
      <c r="K13" s="75"/>
      <c r="L13" s="75">
        <f>SUM(L5:L12)</f>
        <v>0</v>
      </c>
      <c r="M13" s="75"/>
      <c r="N13" s="75">
        <f>SUM(N5:N12)</f>
        <v>1840823.4</v>
      </c>
      <c r="O13" s="75"/>
    </row>
    <row r="14" spans="1:15" ht="15" customHeight="1">
      <c r="A14" s="331" t="s">
        <v>72</v>
      </c>
      <c r="B14" s="22" t="s">
        <v>27</v>
      </c>
      <c r="C14" s="23" t="s">
        <v>18</v>
      </c>
      <c r="D14" s="26">
        <v>27</v>
      </c>
      <c r="E14" s="94">
        <v>10855</v>
      </c>
      <c r="F14" s="69">
        <f>D14*E14</f>
        <v>293085</v>
      </c>
      <c r="G14" s="68">
        <v>6668.1</v>
      </c>
      <c r="H14" s="69">
        <f>D14*G14</f>
        <v>180038.7</v>
      </c>
      <c r="I14" s="69"/>
      <c r="J14" s="69"/>
      <c r="K14" s="68"/>
      <c r="L14" s="69"/>
      <c r="M14" s="68"/>
      <c r="N14" s="69">
        <f t="shared" ref="N14:N17" si="3">F14+H14+J14+L14</f>
        <v>473123.7</v>
      </c>
      <c r="O14" s="330"/>
    </row>
    <row r="15" spans="1:15" ht="15" customHeight="1">
      <c r="A15" s="331"/>
      <c r="B15" s="22" t="s">
        <v>28</v>
      </c>
      <c r="C15" s="23" t="s">
        <v>18</v>
      </c>
      <c r="D15" s="31">
        <v>9</v>
      </c>
      <c r="E15" s="94">
        <v>10855</v>
      </c>
      <c r="F15" s="69">
        <f>D15*E15</f>
        <v>97695</v>
      </c>
      <c r="G15" s="68">
        <v>6668.1</v>
      </c>
      <c r="H15" s="69">
        <f>D15*G15</f>
        <v>60012.9</v>
      </c>
      <c r="I15" s="69"/>
      <c r="J15" s="69"/>
      <c r="K15" s="68"/>
      <c r="L15" s="69"/>
      <c r="M15" s="68"/>
      <c r="N15" s="69">
        <f t="shared" si="3"/>
        <v>157707.9</v>
      </c>
      <c r="O15" s="330"/>
    </row>
    <row r="16" spans="1:15" ht="15" customHeight="1">
      <c r="A16" s="331"/>
      <c r="B16" s="22" t="s">
        <v>29</v>
      </c>
      <c r="C16" s="23" t="s">
        <v>18</v>
      </c>
      <c r="D16" s="31">
        <v>7</v>
      </c>
      <c r="E16" s="94">
        <v>10855</v>
      </c>
      <c r="F16" s="69">
        <f>D16*E16</f>
        <v>75985</v>
      </c>
      <c r="G16" s="68">
        <v>6668.1</v>
      </c>
      <c r="H16" s="69">
        <f>D16*G16</f>
        <v>46676.700000000004</v>
      </c>
      <c r="I16" s="69"/>
      <c r="J16" s="69"/>
      <c r="K16" s="68"/>
      <c r="L16" s="69"/>
      <c r="M16" s="68"/>
      <c r="N16" s="69">
        <f t="shared" si="3"/>
        <v>122661.70000000001</v>
      </c>
      <c r="O16" s="330"/>
    </row>
    <row r="17" spans="1:15" ht="15" customHeight="1">
      <c r="A17" s="332"/>
      <c r="B17" s="22" t="s">
        <v>30</v>
      </c>
      <c r="C17" s="23" t="s">
        <v>18</v>
      </c>
      <c r="D17" s="31">
        <v>7</v>
      </c>
      <c r="E17" s="94">
        <v>10855</v>
      </c>
      <c r="F17" s="69">
        <f>D17*E17</f>
        <v>75985</v>
      </c>
      <c r="G17" s="68">
        <v>6668.1</v>
      </c>
      <c r="H17" s="69">
        <f>D17*G17</f>
        <v>46676.700000000004</v>
      </c>
      <c r="I17" s="69"/>
      <c r="J17" s="69"/>
      <c r="K17" s="68"/>
      <c r="L17" s="69"/>
      <c r="M17" s="68"/>
      <c r="N17" s="69">
        <f t="shared" si="3"/>
        <v>122661.70000000001</v>
      </c>
      <c r="O17" s="333"/>
    </row>
    <row r="18" spans="1:15" ht="15" customHeight="1">
      <c r="A18" s="45" t="s">
        <v>26</v>
      </c>
      <c r="B18" s="27"/>
      <c r="C18" s="32"/>
      <c r="D18" s="32">
        <f>SUM(D14:D17)</f>
        <v>50</v>
      </c>
      <c r="E18" s="30"/>
      <c r="F18" s="30">
        <f>SUM(F14:F17)</f>
        <v>542750</v>
      </c>
      <c r="G18" s="30"/>
      <c r="H18" s="86">
        <f>SUM(H14:H17)</f>
        <v>333405</v>
      </c>
      <c r="I18" s="30"/>
      <c r="J18" s="30">
        <f>SUM(J14:J17)</f>
        <v>0</v>
      </c>
      <c r="K18" s="30"/>
      <c r="L18" s="30">
        <f>SUM(L14:L17)</f>
        <v>0</v>
      </c>
      <c r="M18" s="30"/>
      <c r="N18" s="30">
        <f>SUM(N14:N17)</f>
        <v>876155</v>
      </c>
      <c r="O18" s="30"/>
    </row>
    <row r="19" spans="1:15" ht="15" customHeight="1">
      <c r="A19" s="49" t="s">
        <v>31</v>
      </c>
      <c r="B19" s="33"/>
      <c r="C19" s="34"/>
      <c r="D19" s="3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5" ht="15" customHeight="1">
      <c r="A20" s="77" t="s">
        <v>69</v>
      </c>
      <c r="B20" s="79" t="s">
        <v>68</v>
      </c>
      <c r="C20" s="79" t="s">
        <v>67</v>
      </c>
      <c r="D20" s="76">
        <v>0.3</v>
      </c>
      <c r="E20" s="25">
        <v>54693</v>
      </c>
      <c r="F20" s="69">
        <f>D20*E20</f>
        <v>16407.899999999998</v>
      </c>
      <c r="G20" s="78"/>
      <c r="H20" s="25"/>
      <c r="I20" s="25"/>
      <c r="J20" s="25"/>
      <c r="K20" s="25"/>
      <c r="L20" s="25"/>
      <c r="M20" s="25"/>
      <c r="N20" s="70">
        <f t="shared" ref="N20:N24" si="4">F20+H20+J20+L20</f>
        <v>16407.899999999998</v>
      </c>
      <c r="O20" s="25"/>
    </row>
    <row r="21" spans="1:15" ht="15" customHeight="1">
      <c r="A21" s="344" t="s">
        <v>171</v>
      </c>
      <c r="B21" s="33" t="s">
        <v>172</v>
      </c>
      <c r="C21" s="34" t="s">
        <v>18</v>
      </c>
      <c r="D21" s="35">
        <v>17</v>
      </c>
      <c r="E21" s="70"/>
      <c r="F21" s="70">
        <f>D21*E21</f>
        <v>0</v>
      </c>
      <c r="G21" s="70">
        <v>8711</v>
      </c>
      <c r="H21" s="70">
        <f t="shared" ref="H21:H24" si="5">D21*G21</f>
        <v>148087</v>
      </c>
      <c r="I21" s="70"/>
      <c r="J21" s="70"/>
      <c r="K21" s="70"/>
      <c r="L21" s="70"/>
      <c r="M21" s="70"/>
      <c r="N21" s="70">
        <f t="shared" si="4"/>
        <v>148087</v>
      </c>
      <c r="O21" s="25"/>
    </row>
    <row r="22" spans="1:15" ht="15" customHeight="1">
      <c r="A22" s="344"/>
      <c r="B22" s="33" t="s">
        <v>32</v>
      </c>
      <c r="C22" s="34" t="s">
        <v>18</v>
      </c>
      <c r="D22" s="35">
        <v>17</v>
      </c>
      <c r="E22" s="70"/>
      <c r="F22" s="70">
        <f t="shared" ref="F22" si="6">D22*E22</f>
        <v>0</v>
      </c>
      <c r="G22" s="70">
        <v>5159</v>
      </c>
      <c r="H22" s="70">
        <f t="shared" si="5"/>
        <v>87703</v>
      </c>
      <c r="I22" s="70"/>
      <c r="J22" s="70"/>
      <c r="K22" s="70"/>
      <c r="L22" s="70"/>
      <c r="M22" s="70"/>
      <c r="N22" s="70">
        <f t="shared" si="4"/>
        <v>87703</v>
      </c>
      <c r="O22" s="25"/>
    </row>
    <row r="23" spans="1:15" ht="15" customHeight="1">
      <c r="A23" s="344" t="s">
        <v>173</v>
      </c>
      <c r="B23" s="33" t="s">
        <v>172</v>
      </c>
      <c r="C23" s="34" t="s">
        <v>18</v>
      </c>
      <c r="D23" s="35">
        <v>11</v>
      </c>
      <c r="E23" s="70"/>
      <c r="F23" s="70">
        <f>D23*E23</f>
        <v>0</v>
      </c>
      <c r="G23" s="70">
        <v>8711</v>
      </c>
      <c r="H23" s="70">
        <f t="shared" si="5"/>
        <v>95821</v>
      </c>
      <c r="I23" s="70"/>
      <c r="J23" s="70"/>
      <c r="K23" s="70"/>
      <c r="L23" s="70"/>
      <c r="M23" s="70"/>
      <c r="N23" s="70">
        <f t="shared" si="4"/>
        <v>95821</v>
      </c>
      <c r="O23" s="25"/>
    </row>
    <row r="24" spans="1:15" ht="15" customHeight="1">
      <c r="A24" s="344"/>
      <c r="B24" s="33" t="s">
        <v>32</v>
      </c>
      <c r="C24" s="34" t="s">
        <v>18</v>
      </c>
      <c r="D24" s="35">
        <v>11</v>
      </c>
      <c r="E24" s="70"/>
      <c r="F24" s="70">
        <f t="shared" ref="F24" si="7">D24*E24</f>
        <v>0</v>
      </c>
      <c r="G24" s="70">
        <v>5159</v>
      </c>
      <c r="H24" s="70">
        <f t="shared" si="5"/>
        <v>56749</v>
      </c>
      <c r="I24" s="70"/>
      <c r="J24" s="70"/>
      <c r="K24" s="70"/>
      <c r="L24" s="70"/>
      <c r="M24" s="70"/>
      <c r="N24" s="70">
        <f t="shared" si="4"/>
        <v>56749</v>
      </c>
      <c r="O24" s="25"/>
    </row>
    <row r="25" spans="1:15" ht="15" customHeight="1">
      <c r="A25" s="45" t="s">
        <v>26</v>
      </c>
      <c r="B25" s="36"/>
      <c r="C25" s="37"/>
      <c r="D25" s="29"/>
      <c r="E25" s="30"/>
      <c r="F25" s="30">
        <f>SUM(F19:F24)</f>
        <v>16407.899999999998</v>
      </c>
      <c r="G25" s="30"/>
      <c r="H25" s="30">
        <f>SUM(H19:H24)</f>
        <v>388360</v>
      </c>
      <c r="I25" s="30"/>
      <c r="J25" s="30">
        <f>SUM(J19:J24)</f>
        <v>0</v>
      </c>
      <c r="K25" s="30"/>
      <c r="L25" s="30">
        <f>SUM(L19:L24)</f>
        <v>0</v>
      </c>
      <c r="M25" s="30"/>
      <c r="N25" s="30">
        <f>SUM(N19:N24)</f>
        <v>404767.9</v>
      </c>
      <c r="O25" s="30"/>
    </row>
    <row r="26" spans="1:15" ht="15" customHeight="1">
      <c r="A26" s="50" t="s">
        <v>33</v>
      </c>
      <c r="B26" s="22" t="s">
        <v>174</v>
      </c>
      <c r="C26" s="23" t="s">
        <v>18</v>
      </c>
      <c r="D26" s="93">
        <v>96</v>
      </c>
      <c r="E26" s="69"/>
      <c r="F26" s="69"/>
      <c r="G26" s="94">
        <v>2764</v>
      </c>
      <c r="H26" s="69">
        <f>D26*G26</f>
        <v>265344</v>
      </c>
      <c r="I26" s="69"/>
      <c r="J26" s="69"/>
      <c r="K26" s="69"/>
      <c r="L26" s="69"/>
      <c r="M26" s="69"/>
      <c r="N26" s="69">
        <f>F26+H26+J26+L26</f>
        <v>265344</v>
      </c>
      <c r="O26" s="38" t="s">
        <v>34</v>
      </c>
    </row>
    <row r="27" spans="1:15" ht="15" customHeight="1">
      <c r="A27" s="45" t="s">
        <v>26</v>
      </c>
      <c r="B27" s="27"/>
      <c r="C27" s="28"/>
      <c r="D27" s="39"/>
      <c r="E27" s="40"/>
      <c r="F27" s="40"/>
      <c r="G27" s="40"/>
      <c r="H27" s="30">
        <f>SUM(H26:H26)</f>
        <v>265344</v>
      </c>
      <c r="I27" s="40"/>
      <c r="J27" s="30">
        <f>SUM(J26:J26)</f>
        <v>0</v>
      </c>
      <c r="K27" s="30"/>
      <c r="L27" s="30">
        <f>SUM(L26:L26)</f>
        <v>0</v>
      </c>
      <c r="M27" s="30"/>
      <c r="N27" s="30">
        <f>SUM(N26:N26)</f>
        <v>265344</v>
      </c>
      <c r="O27" s="40"/>
    </row>
    <row r="28" spans="1:15" ht="90" customHeight="1">
      <c r="A28" s="347" t="s">
        <v>95</v>
      </c>
      <c r="B28" s="128" t="s">
        <v>175</v>
      </c>
      <c r="C28" s="129" t="s">
        <v>93</v>
      </c>
      <c r="D28" s="127">
        <v>1</v>
      </c>
      <c r="E28" s="25"/>
      <c r="F28" s="25"/>
      <c r="G28" s="25">
        <v>219321</v>
      </c>
      <c r="H28" s="69">
        <f>D28*G28</f>
        <v>219321</v>
      </c>
      <c r="I28" s="69"/>
      <c r="J28" s="69"/>
      <c r="K28" s="69"/>
      <c r="L28" s="69"/>
      <c r="M28" s="69"/>
      <c r="N28" s="69">
        <f>F28+H28+J28+L28</f>
        <v>219321</v>
      </c>
      <c r="O28" s="25"/>
    </row>
    <row r="29" spans="1:15" ht="90" customHeight="1">
      <c r="A29" s="348"/>
      <c r="B29" s="128" t="s">
        <v>176</v>
      </c>
      <c r="C29" s="129" t="s">
        <v>93</v>
      </c>
      <c r="D29" s="127">
        <v>1</v>
      </c>
      <c r="E29" s="25"/>
      <c r="F29" s="25"/>
      <c r="G29" s="25">
        <v>167081</v>
      </c>
      <c r="H29" s="69">
        <f>D29*G29</f>
        <v>167081</v>
      </c>
      <c r="I29" s="69"/>
      <c r="J29" s="69"/>
      <c r="K29" s="69"/>
      <c r="L29" s="69"/>
      <c r="M29" s="69"/>
      <c r="N29" s="69">
        <f>F29+H29+J29+L29</f>
        <v>167081</v>
      </c>
      <c r="O29" s="25"/>
    </row>
    <row r="30" spans="1:15" ht="15" customHeight="1">
      <c r="A30" s="45" t="s">
        <v>26</v>
      </c>
      <c r="B30" s="27"/>
      <c r="C30" s="28"/>
      <c r="D30" s="39"/>
      <c r="E30" s="40"/>
      <c r="F30" s="30">
        <f>SUM(F28:F29)</f>
        <v>0</v>
      </c>
      <c r="G30" s="30"/>
      <c r="H30" s="30">
        <f>SUM(H28:H29)</f>
        <v>386402</v>
      </c>
      <c r="I30" s="30"/>
      <c r="J30" s="30">
        <f>SUM(J28:J29)</f>
        <v>0</v>
      </c>
      <c r="K30" s="30"/>
      <c r="L30" s="30">
        <f>SUM(L28:L29)</f>
        <v>0</v>
      </c>
      <c r="M30" s="30"/>
      <c r="N30" s="30">
        <f>SUM(N28:N29)</f>
        <v>386402</v>
      </c>
      <c r="O30" s="40"/>
    </row>
    <row r="31" spans="1:15" ht="15" customHeight="1">
      <c r="A31" s="45" t="s">
        <v>66</v>
      </c>
      <c r="B31" s="27"/>
      <c r="C31" s="28"/>
      <c r="D31" s="39"/>
      <c r="E31" s="41"/>
      <c r="F31" s="42">
        <f>F13+F18+F25+F27+F30</f>
        <v>755759.9</v>
      </c>
      <c r="G31" s="42"/>
      <c r="H31" s="42">
        <f>H13+H18+H25+H27+H30</f>
        <v>3017732.4</v>
      </c>
      <c r="I31" s="41"/>
      <c r="J31" s="42">
        <f>J13+J18+J25+J27+J30</f>
        <v>0</v>
      </c>
      <c r="K31" s="41"/>
      <c r="L31" s="42">
        <f>L13+L18+L25+L27+L30</f>
        <v>0</v>
      </c>
      <c r="M31" s="41"/>
      <c r="N31" s="42">
        <f>N13+N18+N25+N27+N30</f>
        <v>3773492.3</v>
      </c>
      <c r="O31" s="41"/>
    </row>
  </sheetData>
  <mergeCells count="19">
    <mergeCell ref="A21:A22"/>
    <mergeCell ref="A23:A24"/>
    <mergeCell ref="A5:A12"/>
    <mergeCell ref="A28:A29"/>
    <mergeCell ref="A4:B4"/>
    <mergeCell ref="O5:O12"/>
    <mergeCell ref="A14:A17"/>
    <mergeCell ref="O14:O1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164D-AC38-4109-81BB-B45DA5D87ED7}">
  <dimension ref="A1:F11"/>
  <sheetViews>
    <sheetView showGridLines="0" zoomScaleNormal="100" workbookViewId="0">
      <selection activeCell="M17" sqref="M17"/>
    </sheetView>
  </sheetViews>
  <sheetFormatPr defaultColWidth="9" defaultRowHeight="16.5"/>
  <cols>
    <col min="1" max="1" width="25.125" style="100" customWidth="1"/>
    <col min="2" max="2" width="16.25" style="100" customWidth="1"/>
    <col min="3" max="3" width="22.375" style="100" customWidth="1"/>
    <col min="4" max="4" width="24.125" style="100" customWidth="1"/>
    <col min="5" max="5" width="13" style="100" customWidth="1"/>
    <col min="6" max="6" width="9" style="100" customWidth="1"/>
    <col min="7" max="16384" width="9" style="96"/>
  </cols>
  <sheetData>
    <row r="1" spans="1:6" ht="18" customHeight="1">
      <c r="A1" s="95" t="s">
        <v>86</v>
      </c>
      <c r="B1" s="95" t="s">
        <v>87</v>
      </c>
      <c r="C1" s="95" t="s">
        <v>88</v>
      </c>
      <c r="D1" s="95" t="s">
        <v>89</v>
      </c>
      <c r="E1" s="95" t="s">
        <v>90</v>
      </c>
      <c r="F1" s="95" t="s">
        <v>0</v>
      </c>
    </row>
    <row r="2" spans="1:6">
      <c r="A2" s="97" t="e">
        <v>#REF!</v>
      </c>
      <c r="B2" s="98">
        <f>'내역서(표준단가)'!F5</f>
        <v>0</v>
      </c>
      <c r="C2" s="98">
        <f>'내역서(표준단가)'!G5</f>
        <v>0</v>
      </c>
      <c r="D2" s="98" t="str">
        <f>'내역서(표준단가)'!H5</f>
        <v>M020853710050101</v>
      </c>
      <c r="E2" s="98">
        <f>'내역서(표준단가)'!I5</f>
        <v>0</v>
      </c>
      <c r="F2" s="99">
        <f>'내역서(표준단가)'!M5</f>
        <v>186</v>
      </c>
    </row>
    <row r="3" spans="1:6">
      <c r="A3" s="97" t="str">
        <f>'내역서(표준단가)'!A6</f>
        <v>E00000803071260301</v>
      </c>
      <c r="B3" s="98">
        <f>'내역서(표준단가)'!F6</f>
        <v>0</v>
      </c>
      <c r="C3" s="98" t="str">
        <f>'내역서(표준단가)'!G6</f>
        <v>E00000803071260301</v>
      </c>
      <c r="D3" s="98">
        <f>'내역서(표준단가)'!H6</f>
        <v>0</v>
      </c>
      <c r="E3" s="98">
        <f>'내역서(표준단가)'!I6</f>
        <v>0</v>
      </c>
      <c r="F3" s="99">
        <f>'내역서(표준단가)'!M6</f>
        <v>4.0430000000000001</v>
      </c>
    </row>
    <row r="4" spans="1:6">
      <c r="A4" s="97" t="str">
        <f>'내역서(표준단가)'!A7</f>
        <v>M020809012520101</v>
      </c>
      <c r="B4" s="98">
        <f>'내역서(표준단가)'!F7</f>
        <v>0</v>
      </c>
      <c r="C4" s="98">
        <f>'내역서(표준단가)'!G7</f>
        <v>0</v>
      </c>
      <c r="D4" s="98" t="str">
        <f>'내역서(표준단가)'!H7</f>
        <v>M020809012520101</v>
      </c>
      <c r="E4" s="98">
        <f>'내역서(표준단가)'!I7</f>
        <v>0</v>
      </c>
      <c r="F4" s="99">
        <f>'내역서(표준단가)'!M7</f>
        <v>50</v>
      </c>
    </row>
    <row r="5" spans="1:6">
      <c r="A5" s="97" t="str">
        <f>'내역서(표준단가)'!A8</f>
        <v>E00000803071260401</v>
      </c>
      <c r="B5" s="98">
        <f>'내역서(표준단가)'!F8</f>
        <v>0</v>
      </c>
      <c r="C5" s="98" t="str">
        <f>'내역서(표준단가)'!G8</f>
        <v>E00000803071260401</v>
      </c>
      <c r="D5" s="98">
        <f>'내역서(표준단가)'!H8</f>
        <v>0</v>
      </c>
      <c r="E5" s="98">
        <f>'내역서(표준단가)'!I8</f>
        <v>0</v>
      </c>
      <c r="F5" s="99">
        <f>'내역서(표준단가)'!M8</f>
        <v>0.81950000000000001</v>
      </c>
    </row>
    <row r="6" spans="1:6">
      <c r="A6" s="97" t="str">
        <f>'내역서(표준단가)'!A9</f>
        <v>M020412614110102</v>
      </c>
      <c r="B6" s="98">
        <f>'내역서(표준단가)'!F9</f>
        <v>0</v>
      </c>
      <c r="C6" s="98">
        <f>'내역서(표준단가)'!G9</f>
        <v>0</v>
      </c>
      <c r="D6" s="98" t="str">
        <f>'내역서(표준단가)'!H9</f>
        <v>M020412614110102</v>
      </c>
      <c r="E6" s="98">
        <f>'내역서(표준단가)'!I9</f>
        <v>0</v>
      </c>
      <c r="F6" s="99">
        <f>'내역서(표준단가)'!M9</f>
        <v>0.3</v>
      </c>
    </row>
    <row r="7" spans="1:6">
      <c r="A7" s="97" t="str">
        <f>'내역서(표준단가)'!A10</f>
        <v>E00000803061120402</v>
      </c>
      <c r="B7" s="98">
        <f>'내역서(표준단가)'!F10</f>
        <v>0</v>
      </c>
      <c r="C7" s="98" t="str">
        <f>'내역서(표준단가)'!G10</f>
        <v>E00000803061120402</v>
      </c>
      <c r="D7" s="98">
        <f>'내역서(표준단가)'!H10</f>
        <v>0</v>
      </c>
      <c r="E7" s="98">
        <f>'내역서(표준단가)'!I10</f>
        <v>0</v>
      </c>
      <c r="F7" s="99">
        <f>'내역서(표준단가)'!M10</f>
        <v>28</v>
      </c>
    </row>
    <row r="8" spans="1:6">
      <c r="A8" s="97" t="str">
        <f>'내역서(표준단가)'!A11</f>
        <v>E00000803061300201</v>
      </c>
      <c r="B8" s="98">
        <f>'내역서(표준단가)'!F11</f>
        <v>0</v>
      </c>
      <c r="C8" s="98" t="str">
        <f>'내역서(표준단가)'!G11</f>
        <v>E00000803061300201</v>
      </c>
      <c r="D8" s="98">
        <f>'내역서(표준단가)'!H11</f>
        <v>0</v>
      </c>
      <c r="E8" s="98">
        <f>'내역서(표준단가)'!I11</f>
        <v>0</v>
      </c>
      <c r="F8" s="99">
        <f>'내역서(표준단가)'!M11</f>
        <v>28</v>
      </c>
    </row>
    <row r="9" spans="1:6">
      <c r="A9" s="97" t="str">
        <f>'내역서(표준단가)'!A12</f>
        <v>E00000801011510601</v>
      </c>
      <c r="B9" s="98">
        <f>'내역서(표준단가)'!F12</f>
        <v>0</v>
      </c>
      <c r="C9" s="98" t="str">
        <f>'내역서(표준단가)'!G12</f>
        <v>E00000801011510601</v>
      </c>
      <c r="D9" s="98">
        <f>'내역서(표준단가)'!H12</f>
        <v>0</v>
      </c>
      <c r="E9" s="98">
        <f>'내역서(표준단가)'!I12</f>
        <v>0</v>
      </c>
      <c r="F9" s="99">
        <f>'내역서(표준단가)'!M12</f>
        <v>96</v>
      </c>
    </row>
    <row r="10" spans="1:6">
      <c r="A10" s="97" t="str">
        <f>'내역서(표준단가)'!A13</f>
        <v>L003</v>
      </c>
      <c r="B10" s="98">
        <f>'내역서(표준단가)'!F13</f>
        <v>0</v>
      </c>
      <c r="C10" s="98">
        <f>'내역서(표준단가)'!G13</f>
        <v>0</v>
      </c>
      <c r="D10" s="98">
        <f>'내역서(표준단가)'!H13</f>
        <v>0</v>
      </c>
      <c r="E10" s="98" t="str">
        <f>'내역서(표준단가)'!I13</f>
        <v>L003</v>
      </c>
      <c r="F10" s="99">
        <f>'내역서(표준단가)'!M13</f>
        <v>1</v>
      </c>
    </row>
    <row r="11" spans="1:6">
      <c r="A11" s="97" t="str">
        <f>'내역서(표준단가)'!A14</f>
        <v>L002</v>
      </c>
      <c r="B11" s="98">
        <f>'내역서(표준단가)'!F14</f>
        <v>0</v>
      </c>
      <c r="C11" s="98">
        <f>'내역서(표준단가)'!G14</f>
        <v>0</v>
      </c>
      <c r="D11" s="98">
        <f>'내역서(표준단가)'!H14</f>
        <v>0</v>
      </c>
      <c r="E11" s="98" t="str">
        <f>'내역서(표준단가)'!I14</f>
        <v>L002</v>
      </c>
      <c r="F11" s="99">
        <f>'내역서(표준단가)'!M14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2025-02-06T05:38:34Z</dcterms:modified>
</cp:coreProperties>
</file>
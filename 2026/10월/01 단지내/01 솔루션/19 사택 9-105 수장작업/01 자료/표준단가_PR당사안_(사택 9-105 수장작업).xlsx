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현재_통합_문서"/>
  <xr:revisionPtr revIDLastSave="0" documentId="13_ncr:1_{7FBB5360-2E0E-4D6D-B7A5-F96866467AA5}" xr6:coauthVersionLast="47" xr6:coauthVersionMax="47" xr10:uidLastSave="{00000000-0000-0000-0000-000000000000}"/>
  <bookViews>
    <workbookView xWindow="78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3" i="9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6" i="4"/>
  <c r="O6" i="4"/>
  <c r="M6" i="4"/>
  <c r="K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R6" i="4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8" i="9"/>
  <c r="N11" i="9"/>
  <c r="F13" i="9"/>
  <c r="N16" i="9"/>
  <c r="H30" i="9"/>
  <c r="H13" i="9"/>
  <c r="N8" i="9"/>
  <c r="N26" i="9"/>
  <c r="N7" i="9"/>
  <c r="N12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R9" i="4"/>
  <c r="R12" i="4"/>
  <c r="R15" i="4"/>
  <c r="R16" i="4"/>
  <c r="R11" i="4"/>
  <c r="R14" i="4"/>
  <c r="R17" i="4"/>
  <c r="R19" i="4" l="1"/>
  <c r="Q19" i="4"/>
  <c r="O19" i="4"/>
</calcChain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<sst xmlns="http://schemas.openxmlformats.org/spreadsheetml/2006/main" count="253" uniqueCount="185">
  <si>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</si>
  <si>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</si>
  <si>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</si>
  <si>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</si>
  <si>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</si>
  <si>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</si>
  <si>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</si>
  <si>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</si>
  <si>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</si>
  <si>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</si>
  <si>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</si>
  <si>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</si>
  <si>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</si>
  <si>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</si>
  <si>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</si>
  <si>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</si>
  <si>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</si>
  <si>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</si>
  <si>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</si>
  <si>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</si>
  <si>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</si>
  <si>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</si>
  <si>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</si>
  <si>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</si>
  <si>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</si>
  <si>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</si>
  <si>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</si>
  <si>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</si>
  <si>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</si>
  <si>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</si>
  <si>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</si>
  <si>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</si>
  <si>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</si>
  <si>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</si>
  <si>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</si>
  <si>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</si>
  <si>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</si>
  <si>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</si>
  <si>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</si>
  <si>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</si>
  <si>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</si>
  <si>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</si>
  <si>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</si>
  <si>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</si>
  <si>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</si>
  <si>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</si>
  <si>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</si>
  <si>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</si>
  <si>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</si>
  <si>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</si>
  <si>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</si>
  <si>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</si>
  <si>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</si>
  <si>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</si>
  <si>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</si>
  <si>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</si>
  <si>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</si>
  <si>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</si>
  <si>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</si>
  <si>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</si>
  <si>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</si>
  <si>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</si>
  <si>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</si>
  <si>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</si>
  <si>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</si>
  <si>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</si>
  <si>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</si>
  <si>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</si>
  <si>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</si>
  <si>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</si>
  <si>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</si>
  <si>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</si>
  <si>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</si>
  <si>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</si>
  <si>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</si>
  <si>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</si>
  <si>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</si>
  <si>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</si>
  <si>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</si>
  <si>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</si>
  <si>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</si>
  <si>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</si>
  <si>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</si>
  <si>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</si>
  <si>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</si>
  <si>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</si>
  <si>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</si>
  <si>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</si>
  <si>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</si>
  <si>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</si>
  <si>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</si>
  <si>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</si>
  <si>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</si>
  <si>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</si>
  <si>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</si>
  <si>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</si>
  <si>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</si>
  <si>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</si>
  <si>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</si>
  <si>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</si>
  <si>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</si>
  <si>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</si>
  <si>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</si>
  <si>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</si>
  <si>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</si>
  <si>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</si>
  <si>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</si>
  <si>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</si>
  <si>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</si>
  <si>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</si>
  <si>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</si>
  <si>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</si>
  <si>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</si>
  <si>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</si>
  <si>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</si>
  <si>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</si>
  <si>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</si>
  <si>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</si>
  <si>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사택 9-105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</si>
  <si>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</si>
  <si>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</si>
  <si>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</si>
  <si>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</si>
  <si>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</si>
  <si>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</si>
  <si>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</si>
  <si>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</si>
  <si>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</si>
  <si>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</si>
  <si>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</si>
  <si>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</si>
  <si>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</si>
  <si>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</si>
  <si>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</si>
  <si>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</si>
  <si>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</si>
  <si>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</si>
  <si>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</si>
  <si>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</si>
  <si>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</si>
  <si>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</si>
  <si>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</si>
  <si>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</si>
  <si>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</si>
  <si>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</si>
  <si>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</si>
  <si>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</si>
  <si>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</si>
  <si>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</si>
  <si>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</si>
  <si>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</si>
  <si>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</si>
  <si>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</si>
  <si>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</si>
  <si>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</si>
  <si>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</si>
  <si>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</si>
  <si>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</si>
  <si>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</si>
  <si>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</si>
  <si>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</si>
  <si>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</si>
  <si>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</si>
  <si>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</si>
  <si>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</si>
  <si>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</si>
  <si>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</si>
  <si>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</si>
  <si>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</si>
  <si>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</si>
  <si>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</si>
  <si>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</si>
  <si>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</si>
  <si>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</si>
  <si>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</si>
  <si>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</si>
  <si>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</si>
  <si>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</si>
  <si>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</si>
  <si>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</si>
  <si>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</si>
  <si>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</si>
  <si>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</si>
  <si>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9-105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</si>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</sst>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176" fontId="23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182" fontId="26" fillId="7" borderId="11" xfId="11" applyNumberFormat="1" applyFont="1" applyFill="1" applyBorder="1" applyAlignment="1">
      <alignment horizontal="right" vertical="center" wrapText="1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1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Fill="1" applyBorder="1" applyAlignment="1">
      <alignment vertical="center"/>
    </xf>
    <xf numFmtId="0" fontId="28" fillId="0" borderId="10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2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192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B5EE2DCF-F40A-495B-B9FC-0387401B94D2}"/>
    <cellStyle name="쉼표 [0] 2 84" xfId="24" xr:uid="{09BB6594-31CB-4FA7-A908-D5E8CEE79B65}"/>
    <cellStyle name="쉼표 [0] 3" xfId="14" xr:uid="{8F7BE219-40E1-4BBB-A9BD-02188B74B2A3}"/>
    <cellStyle name="쉼표 [0] 4" xfId="21" xr:uid="{22CB4F45-B3F2-447F-8AB9-2091FD437546}"/>
    <cellStyle name="쉼표 [0] 5" xfId="23" xr:uid="{571C2312-DF32-4F30-8AC7-C246674DD01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E0E0519-DAEB-45FA-9A83-BD4A1502B16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A64FD49-4D1D-4399-BA32-D4DB41F0AABE}"/>
    <cellStyle name="표준_P456 공장 및 복지동 전면 유리창 청소건 라상혁님_1129(최종)" xfId="20" xr:uid="{49484C7B-E2D8-4F49-B413-CEAD31201B3D}"/>
    <cellStyle name="표준_S&amp;D_MAIN VALVE_최빈_2" xfId="17" xr:uid="{C6DC0410-D36F-4A41-92E2-9D4FACBD19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FC33F5A-890C-4A2E-9F0E-D8F16BBC2F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7C2C-238B-46C0-8667-5B3AAA6483FD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>
      <c r="A1" s="181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3"/>
    </row>
    <row r="2" spans="1:15" ht="9.75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>
      <c r="A3" s="184" t="s">
        <v>119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6"/>
    </row>
    <row r="4" spans="1:15" ht="16.5" customHeight="1">
      <c r="A4" s="111" t="s">
        <v>120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>
      <c r="A5" s="116"/>
      <c r="B5" s="172" t="s">
        <v>184</v>
      </c>
      <c r="C5" s="172"/>
      <c r="D5" s="172"/>
      <c r="E5" s="172"/>
      <c r="F5" s="172"/>
      <c r="G5" s="173"/>
      <c r="H5" s="173"/>
      <c r="I5" s="117"/>
      <c r="J5" s="117"/>
      <c r="K5" s="117"/>
      <c r="L5" s="117"/>
      <c r="M5" s="118"/>
      <c r="N5" s="118"/>
      <c r="O5" s="119"/>
    </row>
    <row r="6" spans="1:15" ht="12" customHeight="1" thickBot="1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>
      <c r="A7" s="187" t="s">
        <v>121</v>
      </c>
      <c r="B7" s="188"/>
      <c r="C7" s="189"/>
      <c r="D7" s="174">
        <v>2026</v>
      </c>
      <c r="E7" s="124" t="s">
        <v>122</v>
      </c>
      <c r="F7" s="175">
        <v>8</v>
      </c>
      <c r="G7" s="124" t="s">
        <v>123</v>
      </c>
      <c r="H7" s="175">
        <v>3</v>
      </c>
      <c r="I7" s="124" t="s">
        <v>124</v>
      </c>
      <c r="J7" s="125"/>
      <c r="K7" s="190" t="s">
        <v>125</v>
      </c>
      <c r="L7" s="126" t="s">
        <v>126</v>
      </c>
      <c r="M7" s="126" t="s">
        <v>127</v>
      </c>
      <c r="N7" s="126" t="s">
        <v>128</v>
      </c>
      <c r="O7" s="127" t="s">
        <v>129</v>
      </c>
    </row>
    <row r="8" spans="1:15" ht="23.25" customHeight="1">
      <c r="A8" s="193" t="s">
        <v>130</v>
      </c>
      <c r="B8" s="194"/>
      <c r="C8" s="195"/>
      <c r="D8" s="196" t="s">
        <v>131</v>
      </c>
      <c r="E8" s="197"/>
      <c r="F8" s="197"/>
      <c r="G8" s="198"/>
      <c r="H8" s="199" t="s">
        <v>132</v>
      </c>
      <c r="I8" s="197"/>
      <c r="J8" s="200"/>
      <c r="K8" s="191"/>
      <c r="L8" s="128" t="s">
        <v>133</v>
      </c>
      <c r="M8" s="128" t="s">
        <v>134</v>
      </c>
      <c r="N8" s="128" t="s">
        <v>135</v>
      </c>
      <c r="O8" s="129" t="s">
        <v>136</v>
      </c>
    </row>
    <row r="9" spans="1:15" ht="23.25" customHeight="1">
      <c r="A9" s="193" t="s">
        <v>137</v>
      </c>
      <c r="B9" s="194"/>
      <c r="C9" s="195"/>
      <c r="D9" s="201" t="s">
        <v>138</v>
      </c>
      <c r="E9" s="202"/>
      <c r="F9" s="202"/>
      <c r="G9" s="202"/>
      <c r="H9" s="202"/>
      <c r="I9" s="202"/>
      <c r="J9" s="203"/>
      <c r="K9" s="191"/>
      <c r="L9" s="128" t="s">
        <v>139</v>
      </c>
      <c r="M9" s="204" t="s">
        <v>140</v>
      </c>
      <c r="N9" s="194"/>
      <c r="O9" s="195"/>
    </row>
    <row r="10" spans="1:15" ht="23.25" customHeight="1" thickBot="1">
      <c r="A10" s="205" t="s">
        <v>141</v>
      </c>
      <c r="B10" s="206"/>
      <c r="C10" s="207"/>
      <c r="D10" s="208" t="s">
        <v>142</v>
      </c>
      <c r="E10" s="209"/>
      <c r="F10" s="209"/>
      <c r="G10" s="209"/>
      <c r="H10" s="209"/>
      <c r="I10" s="209"/>
      <c r="J10" s="210"/>
      <c r="K10" s="192"/>
      <c r="L10" s="130" t="s">
        <v>143</v>
      </c>
      <c r="M10" s="130" t="s">
        <v>144</v>
      </c>
      <c r="N10" s="130" t="s">
        <v>145</v>
      </c>
      <c r="O10" s="131" t="s">
        <v>146</v>
      </c>
    </row>
    <row r="11" spans="1:15" ht="21.75" customHeight="1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>
      <c r="A13" s="138"/>
      <c r="B13" s="180" t="s">
        <v>183</v>
      </c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39" t="s">
        <v>147</v>
      </c>
      <c r="O13" s="137"/>
    </row>
    <row r="14" spans="1:15" ht="9" customHeight="1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>
      <c r="A15" s="138"/>
      <c r="B15" s="211" t="str">
        <f>"견 적 금 액 : 一金"&amp;NUMBERSTRING(M32,1) &amp; "원정""(\"&amp; TEXT(M32,"#,###")&amp;"원) [VAT 별도]"</f>
        <v>견 적 금 액 : 一金오백삼십일만오천팔백칠십오원정"(\5,315,875원) [VAT 별도]</v>
      </c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2"/>
    </row>
    <row r="16" spans="1:15" ht="15" thickBot="1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13"/>
      <c r="L16" s="213"/>
      <c r="M16" s="213"/>
      <c r="N16" s="213"/>
      <c r="O16" s="214"/>
    </row>
    <row r="17" spans="1:17" ht="27.75" customHeight="1" thickBot="1">
      <c r="A17" s="140" t="s">
        <v>148</v>
      </c>
      <c r="B17" s="221" t="s">
        <v>149</v>
      </c>
      <c r="C17" s="222"/>
      <c r="D17" s="222"/>
      <c r="E17" s="222"/>
      <c r="F17" s="222"/>
      <c r="G17" s="223"/>
      <c r="H17" s="141" t="s">
        <v>150</v>
      </c>
      <c r="I17" s="142" t="s">
        <v>151</v>
      </c>
      <c r="J17" s="224" t="s">
        <v>152</v>
      </c>
      <c r="K17" s="225"/>
      <c r="L17" s="225"/>
      <c r="M17" s="226"/>
      <c r="N17" s="221" t="s">
        <v>153</v>
      </c>
      <c r="O17" s="227"/>
    </row>
    <row r="18" spans="1:17" ht="28.5" customHeight="1">
      <c r="A18" s="143">
        <v>1</v>
      </c>
      <c r="B18" s="215" t="s">
        <v>52</v>
      </c>
      <c r="C18" s="216"/>
      <c r="D18" s="216"/>
      <c r="E18" s="216"/>
      <c r="F18" s="216"/>
      <c r="G18" s="217"/>
      <c r="H18" s="176">
        <v>1</v>
      </c>
      <c r="I18" s="177" t="s">
        <v>6</v>
      </c>
      <c r="J18" s="218">
        <f>IFERROR(LOOKUP(2, 1/(TRIM('내역서(표준단가)'!K4:K100)&lt;&gt;""), '내역서(표준단가)'!K4:K100), "-")</f>
        <v>886555.23800000001</v>
      </c>
      <c r="K18" s="218"/>
      <c r="L18" s="218"/>
      <c r="M18" s="218"/>
      <c r="N18" s="219"/>
      <c r="O18" s="220"/>
    </row>
    <row r="19" spans="1:17" ht="28.5" customHeight="1">
      <c r="A19" s="144">
        <v>2</v>
      </c>
      <c r="B19" s="228" t="s">
        <v>53</v>
      </c>
      <c r="C19" s="229"/>
      <c r="D19" s="229"/>
      <c r="E19" s="229"/>
      <c r="F19" s="229"/>
      <c r="G19" s="230"/>
      <c r="H19" s="178">
        <v>1</v>
      </c>
      <c r="I19" s="178" t="s">
        <v>6</v>
      </c>
      <c r="J19" s="231">
        <f>IFERROR(LOOKUP(2, 1/(TRIM('내역서(표준단가)'!M4:M100)&lt;&gt;""), '내역서(표준단가)'!M4:M100), "-")</f>
        <v>3301092.7648479999</v>
      </c>
      <c r="K19" s="232"/>
      <c r="L19" s="232"/>
      <c r="M19" s="233"/>
      <c r="N19" s="234"/>
      <c r="O19" s="235"/>
    </row>
    <row r="20" spans="1:17" ht="28.5" customHeight="1">
      <c r="A20" s="144">
        <v>3</v>
      </c>
      <c r="B20" s="236" t="s">
        <v>154</v>
      </c>
      <c r="C20" s="237"/>
      <c r="D20" s="237"/>
      <c r="E20" s="237"/>
      <c r="F20" s="237"/>
      <c r="G20" s="238"/>
      <c r="H20" s="145">
        <v>1</v>
      </c>
      <c r="I20" s="145" t="s">
        <v>6</v>
      </c>
      <c r="J20" s="239">
        <f>IFERROR(SUM(J21:M29),"-")</f>
        <v>572165.78450406401</v>
      </c>
      <c r="K20" s="240"/>
      <c r="L20" s="240"/>
      <c r="M20" s="241"/>
      <c r="N20" s="242"/>
      <c r="O20" s="243"/>
      <c r="P20" s="146"/>
    </row>
    <row r="21" spans="1:17" ht="28.5" customHeight="1">
      <c r="A21" s="143"/>
      <c r="B21" s="147"/>
      <c r="C21" s="244" t="s">
        <v>155</v>
      </c>
      <c r="D21" s="245"/>
      <c r="E21" s="245"/>
      <c r="F21" s="245"/>
      <c r="G21" s="246"/>
      <c r="H21" s="179">
        <v>1</v>
      </c>
      <c r="I21" s="179" t="s">
        <v>6</v>
      </c>
      <c r="J21" s="24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48"/>
      <c r="L21" s="248"/>
      <c r="M21" s="249"/>
      <c r="N21" s="250" t="s">
        <v>156</v>
      </c>
      <c r="O21" s="251"/>
    </row>
    <row r="22" spans="1:17" ht="28.5" customHeight="1">
      <c r="A22" s="143"/>
      <c r="B22" s="147"/>
      <c r="C22" s="252" t="s">
        <v>157</v>
      </c>
      <c r="D22" s="253"/>
      <c r="E22" s="253"/>
      <c r="F22" s="253"/>
      <c r="G22" s="254"/>
      <c r="H22" s="148">
        <v>3.11</v>
      </c>
      <c r="I22" s="148" t="s">
        <v>158</v>
      </c>
      <c r="J22" s="255">
        <f>IFERROR((J18+J19)*H22%,"-")</f>
        <v>130235.85288857279</v>
      </c>
      <c r="K22" s="256"/>
      <c r="L22" s="256"/>
      <c r="M22" s="257"/>
      <c r="N22" s="258" t="s">
        <v>159</v>
      </c>
      <c r="O22" s="259"/>
    </row>
    <row r="23" spans="1:17" ht="28.5" customHeight="1">
      <c r="A23" s="143"/>
      <c r="B23" s="147"/>
      <c r="C23" s="252" t="s">
        <v>160</v>
      </c>
      <c r="D23" s="253"/>
      <c r="E23" s="253"/>
      <c r="F23" s="253"/>
      <c r="G23" s="254"/>
      <c r="H23" s="148">
        <v>3.56</v>
      </c>
      <c r="I23" s="148" t="s">
        <v>161</v>
      </c>
      <c r="J23" s="255">
        <f>IFERROR(J19*H23%,"-")</f>
        <v>117518.9024285888</v>
      </c>
      <c r="K23" s="256"/>
      <c r="L23" s="256"/>
      <c r="M23" s="257"/>
      <c r="N23" s="258" t="s">
        <v>162</v>
      </c>
      <c r="O23" s="259"/>
    </row>
    <row r="24" spans="1:17" ht="28.5" customHeight="1">
      <c r="A24" s="143"/>
      <c r="B24" s="147"/>
      <c r="C24" s="252" t="s">
        <v>163</v>
      </c>
      <c r="D24" s="253"/>
      <c r="E24" s="253"/>
      <c r="F24" s="253"/>
      <c r="G24" s="254"/>
      <c r="H24" s="148">
        <v>1.01</v>
      </c>
      <c r="I24" s="148" t="s">
        <v>161</v>
      </c>
      <c r="J24" s="255">
        <f>IFERROR(J19*H24%,"-")</f>
        <v>33341.036924964799</v>
      </c>
      <c r="K24" s="256"/>
      <c r="L24" s="256"/>
      <c r="M24" s="257"/>
      <c r="N24" s="258" t="s">
        <v>164</v>
      </c>
      <c r="O24" s="259"/>
    </row>
    <row r="25" spans="1:17" ht="28.5" customHeight="1">
      <c r="A25" s="143"/>
      <c r="B25" s="147"/>
      <c r="C25" s="252" t="s">
        <v>165</v>
      </c>
      <c r="D25" s="253"/>
      <c r="E25" s="253"/>
      <c r="F25" s="253"/>
      <c r="G25" s="254"/>
      <c r="H25" s="149">
        <v>3.5950000000000002</v>
      </c>
      <c r="I25" s="148" t="s">
        <v>161</v>
      </c>
      <c r="J25" s="255">
        <f>IFERROR(J19*H25%,"-")</f>
        <v>118674.28489628561</v>
      </c>
      <c r="K25" s="256"/>
      <c r="L25" s="256"/>
      <c r="M25" s="257"/>
      <c r="N25" s="258" t="s">
        <v>166</v>
      </c>
      <c r="O25" s="259"/>
      <c r="Q25" s="146"/>
    </row>
    <row r="26" spans="1:17" ht="28.5" customHeight="1">
      <c r="A26" s="143"/>
      <c r="B26" s="147"/>
      <c r="C26" s="252" t="s">
        <v>167</v>
      </c>
      <c r="D26" s="253"/>
      <c r="E26" s="253"/>
      <c r="F26" s="253"/>
      <c r="G26" s="254"/>
      <c r="H26" s="148">
        <v>4.75</v>
      </c>
      <c r="I26" s="148" t="s">
        <v>161</v>
      </c>
      <c r="J26" s="255">
        <f>IFERROR(J19*H26%,"-")</f>
        <v>156801.90633028001</v>
      </c>
      <c r="K26" s="256"/>
      <c r="L26" s="256"/>
      <c r="M26" s="257"/>
      <c r="N26" s="258" t="s">
        <v>168</v>
      </c>
      <c r="O26" s="259"/>
      <c r="Q26" s="150"/>
    </row>
    <row r="27" spans="1:17" ht="28.5" customHeight="1">
      <c r="A27" s="143"/>
      <c r="B27" s="147"/>
      <c r="C27" s="260" t="s">
        <v>169</v>
      </c>
      <c r="D27" s="261"/>
      <c r="E27" s="261"/>
      <c r="F27" s="261"/>
      <c r="G27" s="262"/>
      <c r="H27" s="151">
        <v>13.14</v>
      </c>
      <c r="I27" s="152" t="s">
        <v>161</v>
      </c>
      <c r="J27" s="263">
        <f>IFERROR($H$27*J25%,"-")</f>
        <v>15593.801035371929</v>
      </c>
      <c r="K27" s="264"/>
      <c r="L27" s="264"/>
      <c r="M27" s="265"/>
      <c r="N27" s="258" t="s">
        <v>170</v>
      </c>
      <c r="O27" s="259"/>
    </row>
    <row r="28" spans="1:17" ht="28.5" customHeight="1">
      <c r="A28" s="143"/>
      <c r="B28" s="147"/>
      <c r="C28" s="260" t="s">
        <v>171</v>
      </c>
      <c r="D28" s="261"/>
      <c r="E28" s="261"/>
      <c r="F28" s="261"/>
      <c r="G28" s="262"/>
      <c r="H28" s="151">
        <v>8.1000000000000003E-2</v>
      </c>
      <c r="I28" s="152" t="s">
        <v>161</v>
      </c>
      <c r="J28" s="263" t="str">
        <f>IFERROR(IF(SUM(J21:J27,J18:J19)&gt;=10000000,SUM(J21:J27,J18:J19)*H28%,"-"),"-")</f>
        <v>-</v>
      </c>
      <c r="K28" s="264"/>
      <c r="L28" s="264"/>
      <c r="M28" s="265"/>
      <c r="N28" s="266" t="s">
        <v>172</v>
      </c>
      <c r="O28" s="267"/>
    </row>
    <row r="29" spans="1:17" ht="28.5" customHeight="1">
      <c r="A29" s="153"/>
      <c r="B29" s="154"/>
      <c r="C29" s="268" t="s">
        <v>173</v>
      </c>
      <c r="D29" s="269"/>
      <c r="E29" s="269"/>
      <c r="F29" s="269"/>
      <c r="G29" s="270"/>
      <c r="H29" s="155">
        <v>1</v>
      </c>
      <c r="I29" s="156" t="s">
        <v>174</v>
      </c>
      <c r="J29" s="271">
        <f>34*0</f>
        <v>0</v>
      </c>
      <c r="K29" s="272"/>
      <c r="L29" s="272"/>
      <c r="M29" s="273"/>
      <c r="N29" s="274" t="s">
        <v>175</v>
      </c>
      <c r="O29" s="275"/>
    </row>
    <row r="30" spans="1:17" ht="28.5" customHeight="1">
      <c r="A30" s="153">
        <v>4</v>
      </c>
      <c r="B30" s="154"/>
      <c r="C30" s="268" t="s">
        <v>176</v>
      </c>
      <c r="D30" s="269"/>
      <c r="E30" s="269"/>
      <c r="F30" s="269"/>
      <c r="G30" s="270"/>
      <c r="H30" s="156">
        <v>5</v>
      </c>
      <c r="I30" s="157" t="s">
        <v>177</v>
      </c>
      <c r="J30" s="281">
        <f>IFERROR(IF(ISNUMBER(H30), SUM(J18:M20) * (H30 / 100), "-"), "-")</f>
        <v>237990.68936760319</v>
      </c>
      <c r="K30" s="282"/>
      <c r="L30" s="282"/>
      <c r="M30" s="283"/>
      <c r="N30" s="284" t="s">
        <v>178</v>
      </c>
      <c r="O30" s="285"/>
    </row>
    <row r="31" spans="1:17" ht="28.5" customHeight="1" thickBot="1">
      <c r="A31" s="153">
        <v>5</v>
      </c>
      <c r="B31" s="154"/>
      <c r="C31" s="268" t="s">
        <v>179</v>
      </c>
      <c r="D31" s="269"/>
      <c r="E31" s="269"/>
      <c r="F31" s="269"/>
      <c r="G31" s="270"/>
      <c r="H31" s="156">
        <v>7.5</v>
      </c>
      <c r="I31" s="157" t="s">
        <v>161</v>
      </c>
      <c r="J31" s="271">
        <f>IFERROR(SUM(J18:M20, J30) * (H31 / 100), "-")+-56764</f>
        <v>318071.33575397503</v>
      </c>
      <c r="K31" s="272"/>
      <c r="L31" s="272"/>
      <c r="M31" s="273"/>
      <c r="N31" s="286" t="s">
        <v>180</v>
      </c>
      <c r="O31" s="287"/>
      <c r="Q31" s="158"/>
    </row>
    <row r="32" spans="1:17" ht="28.5" customHeight="1" thickBot="1">
      <c r="A32" s="276" t="s">
        <v>181</v>
      </c>
      <c r="B32" s="277"/>
      <c r="C32" s="277"/>
      <c r="D32" s="277"/>
      <c r="E32" s="277"/>
      <c r="F32" s="277"/>
      <c r="G32" s="277"/>
      <c r="H32" s="277"/>
      <c r="I32" s="278"/>
      <c r="J32" s="159"/>
      <c r="K32" s="160"/>
      <c r="L32" s="160"/>
      <c r="M32" s="161">
        <f>IFERROR(ROUNDDOWN(SUM(J18:M20)+J30+J31,0),"-")</f>
        <v>5315875</v>
      </c>
      <c r="N32" s="279"/>
      <c r="O32" s="280"/>
      <c r="P32" s="162"/>
    </row>
    <row r="33" spans="1:15">
      <c r="A33" s="163" t="s">
        <v>182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>
      <c r="M42" s="158"/>
    </row>
    <row r="43" spans="1:15">
      <c r="M43" s="15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9"/>
  <sheetViews>
    <sheetView showGridLines="0" zoomScale="90" zoomScaleNormal="90" workbookViewId="0">
      <pane ySplit="4" topLeftCell="A5" activePane="bottomLeft" state="frozen"/>
      <selection pane="bottomLeft" activeCell="I13" sqref="I13"/>
    </sheetView>
  </sheetViews>
  <sheetFormatPr defaultColWidth="9" defaultRowHeight="38.1" customHeight="1"/>
  <cols>
    <col min="1" max="1" width="20.5" style="85" bestFit="1" customWidth="1"/>
    <col min="2" max="2" width="9" style="74" customWidth="1"/>
    <col min="3" max="5" width="12.625" style="74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8"/>
      <c r="B1" s="288"/>
      <c r="C1" s="288"/>
      <c r="D1" s="288"/>
      <c r="E1" s="288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8"/>
      <c r="B2" s="288"/>
      <c r="C2" s="288"/>
      <c r="D2" s="288"/>
      <c r="E2" s="288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9" t="s">
        <v>51</v>
      </c>
      <c r="G3" s="299"/>
      <c r="H3" s="297" t="s">
        <v>8</v>
      </c>
      <c r="I3" s="297" t="s">
        <v>5</v>
      </c>
      <c r="J3" s="293" t="s">
        <v>52</v>
      </c>
      <c r="K3" s="293"/>
      <c r="L3" s="293" t="s">
        <v>53</v>
      </c>
      <c r="M3" s="293"/>
      <c r="N3" s="294" t="s">
        <v>54</v>
      </c>
      <c r="O3" s="294"/>
      <c r="P3" s="294" t="s">
        <v>55</v>
      </c>
      <c r="Q3" s="294"/>
      <c r="R3" s="295" t="s">
        <v>56</v>
      </c>
      <c r="S3" s="291" t="s">
        <v>57</v>
      </c>
      <c r="T3" s="289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8"/>
      <c r="I4" s="298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6"/>
      <c r="S4" s="292"/>
      <c r="T4" s="290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102</v>
      </c>
      <c r="E5" s="34"/>
      <c r="F5" s="68" t="s">
        <v>103</v>
      </c>
      <c r="G5" s="68" t="s">
        <v>112</v>
      </c>
      <c r="H5" s="50" t="s">
        <v>111</v>
      </c>
      <c r="I5" s="67">
        <v>11.992000000000001</v>
      </c>
      <c r="J5" s="93">
        <v>20900</v>
      </c>
      <c r="K5" s="64">
        <f t="shared" ref="K5" si="1">SUM(J5:J5)*I5*$K$2</f>
        <v>209278.38800000001</v>
      </c>
      <c r="L5" s="63"/>
      <c r="M5" s="64">
        <f t="shared" ref="M5:M17" si="2">(L5*I5)*$M$2</f>
        <v>0</v>
      </c>
      <c r="N5" s="65"/>
      <c r="O5" s="64">
        <f t="shared" ref="O5:O17" si="3">N5*I5*$O$2</f>
        <v>0</v>
      </c>
      <c r="P5" s="65"/>
      <c r="Q5" s="64">
        <f t="shared" ref="Q5:Q17" si="4">P5*I5*$Q$2</f>
        <v>0</v>
      </c>
      <c r="R5" s="13">
        <f t="shared" ref="R5:R17" si="5">SUM(K5+M5)+O5+Q5</f>
        <v>209278.38800000001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113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8" si="11">B7&amp;C7&amp;D7&amp;E7</f>
        <v>E00000803071260301</v>
      </c>
      <c r="B7" s="34"/>
      <c r="C7" s="10" t="s">
        <v>69</v>
      </c>
      <c r="D7" s="10"/>
      <c r="E7" s="34"/>
      <c r="F7" s="68" t="s">
        <v>72</v>
      </c>
      <c r="G7" s="68" t="s">
        <v>114</v>
      </c>
      <c r="H7" s="11" t="s">
        <v>70</v>
      </c>
      <c r="I7" s="67">
        <v>1.7709999999999999</v>
      </c>
      <c r="J7" s="66"/>
      <c r="K7" s="64">
        <f t="shared" ref="K7:K17" si="12">SUM(J7:J7)*I7*$K$2</f>
        <v>0</v>
      </c>
      <c r="L7" s="94">
        <v>510462</v>
      </c>
      <c r="M7" s="64">
        <f t="shared" si="2"/>
        <v>754863.54866999993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754863.54866999993</v>
      </c>
      <c r="S7" s="49"/>
      <c r="T7" s="14"/>
    </row>
    <row r="8" spans="1:20" s="77" customFormat="1" ht="38.1" customHeight="1">
      <c r="A8" s="9" t="str">
        <f t="shared" si="11"/>
        <v>M020809012520101</v>
      </c>
      <c r="B8" s="34"/>
      <c r="C8" s="10"/>
      <c r="D8" s="10" t="s">
        <v>105</v>
      </c>
      <c r="E8" s="34"/>
      <c r="F8" s="68" t="s">
        <v>106</v>
      </c>
      <c r="G8" s="68" t="s">
        <v>107</v>
      </c>
      <c r="H8" s="50" t="s">
        <v>104</v>
      </c>
      <c r="I8" s="67">
        <v>59.5</v>
      </c>
      <c r="J8" s="95">
        <v>13000</v>
      </c>
      <c r="K8" s="64">
        <f t="shared" si="12"/>
        <v>645872.5</v>
      </c>
      <c r="L8" s="63"/>
      <c r="M8" s="64">
        <f t="shared" si="2"/>
        <v>0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645872.5</v>
      </c>
      <c r="S8" s="49"/>
      <c r="T8" s="14"/>
    </row>
    <row r="9" spans="1:20" s="77" customFormat="1" ht="38.1" customHeight="1">
      <c r="A9" s="9" t="str">
        <f t="shared" si="11"/>
        <v>E00000803071260401</v>
      </c>
      <c r="B9" s="34"/>
      <c r="C9" s="10" t="s">
        <v>73</v>
      </c>
      <c r="D9" s="10"/>
      <c r="E9" s="34"/>
      <c r="F9" s="68" t="s">
        <v>74</v>
      </c>
      <c r="G9" s="68" t="s">
        <v>115</v>
      </c>
      <c r="H9" s="11" t="s">
        <v>70</v>
      </c>
      <c r="I9" s="67">
        <v>0.97540000000000004</v>
      </c>
      <c r="J9" s="66"/>
      <c r="K9" s="64">
        <f t="shared" si="12"/>
        <v>0</v>
      </c>
      <c r="L9" s="94">
        <v>510462</v>
      </c>
      <c r="M9" s="64">
        <f t="shared" si="2"/>
        <v>415750.37005799997</v>
      </c>
      <c r="N9" s="65"/>
      <c r="O9" s="64">
        <f t="shared" si="3"/>
        <v>0</v>
      </c>
      <c r="P9" s="65"/>
      <c r="Q9" s="64">
        <f t="shared" si="4"/>
        <v>0</v>
      </c>
      <c r="R9" s="13">
        <f t="shared" si="5"/>
        <v>415750.37005799997</v>
      </c>
      <c r="S9" s="49"/>
      <c r="T9" s="14"/>
    </row>
    <row r="10" spans="1:20" s="77" customFormat="1" ht="38.1" customHeight="1">
      <c r="A10" s="9" t="str">
        <f t="shared" si="11"/>
        <v>M020412614110102</v>
      </c>
      <c r="B10" s="34"/>
      <c r="C10" s="10"/>
      <c r="D10" s="59" t="s">
        <v>99</v>
      </c>
      <c r="E10" s="34"/>
      <c r="F10" s="71" t="s">
        <v>98</v>
      </c>
      <c r="G10" s="71" t="s">
        <v>93</v>
      </c>
      <c r="H10" s="60" t="s">
        <v>92</v>
      </c>
      <c r="I10" s="67">
        <v>0.3</v>
      </c>
      <c r="J10" s="93">
        <v>65500</v>
      </c>
      <c r="K10" s="64">
        <f t="shared" si="12"/>
        <v>16407.75</v>
      </c>
      <c r="L10" s="63"/>
      <c r="M10" s="64"/>
      <c r="N10" s="65"/>
      <c r="O10" s="64"/>
      <c r="P10" s="65"/>
      <c r="Q10" s="64"/>
      <c r="R10" s="13">
        <f t="shared" si="5"/>
        <v>16407.75</v>
      </c>
      <c r="S10" s="49"/>
      <c r="T10" s="14"/>
    </row>
    <row r="11" spans="1:20" s="77" customFormat="1" ht="38.1" customHeight="1">
      <c r="A11" s="9" t="str">
        <f t="shared" si="11"/>
        <v>E00000803061120402</v>
      </c>
      <c r="B11" s="34"/>
      <c r="C11" s="10" t="s">
        <v>75</v>
      </c>
      <c r="D11" s="10"/>
      <c r="E11" s="34"/>
      <c r="F11" s="68" t="s">
        <v>76</v>
      </c>
      <c r="G11" s="68" t="s">
        <v>77</v>
      </c>
      <c r="H11" s="50" t="s">
        <v>90</v>
      </c>
      <c r="I11" s="67">
        <v>24</v>
      </c>
      <c r="J11" s="63"/>
      <c r="K11" s="64">
        <f t="shared" si="12"/>
        <v>0</v>
      </c>
      <c r="L11" s="96">
        <v>10752</v>
      </c>
      <c r="M11" s="64">
        <f t="shared" si="2"/>
        <v>215470.07999999999</v>
      </c>
      <c r="N11" s="65"/>
      <c r="O11" s="64">
        <f t="shared" si="3"/>
        <v>0</v>
      </c>
      <c r="P11" s="65"/>
      <c r="Q11" s="64">
        <f t="shared" si="4"/>
        <v>0</v>
      </c>
      <c r="R11" s="13">
        <f t="shared" si="5"/>
        <v>215470.07999999999</v>
      </c>
      <c r="S11" s="49"/>
      <c r="T11" s="14"/>
    </row>
    <row r="12" spans="1:20" s="77" customFormat="1" ht="38.1" customHeight="1">
      <c r="A12" s="9" t="str">
        <f t="shared" si="11"/>
        <v>E00000803061300201</v>
      </c>
      <c r="B12" s="34"/>
      <c r="C12" s="10" t="s">
        <v>79</v>
      </c>
      <c r="D12" s="10"/>
      <c r="E12" s="34"/>
      <c r="F12" s="68" t="s">
        <v>80</v>
      </c>
      <c r="G12" s="68" t="s">
        <v>81</v>
      </c>
      <c r="H12" s="50" t="s">
        <v>78</v>
      </c>
      <c r="I12" s="67">
        <v>24</v>
      </c>
      <c r="J12" s="63"/>
      <c r="K12" s="64">
        <f t="shared" si="12"/>
        <v>0</v>
      </c>
      <c r="L12" s="94">
        <v>6368</v>
      </c>
      <c r="M12" s="64">
        <f t="shared" si="2"/>
        <v>127614.72</v>
      </c>
      <c r="N12" s="65"/>
      <c r="O12" s="64">
        <f t="shared" si="3"/>
        <v>0</v>
      </c>
      <c r="P12" s="65"/>
      <c r="Q12" s="64">
        <f t="shared" si="4"/>
        <v>0</v>
      </c>
      <c r="R12" s="13">
        <f t="shared" si="5"/>
        <v>127614.72</v>
      </c>
      <c r="S12" s="49"/>
      <c r="T12" s="14"/>
    </row>
    <row r="13" spans="1:20" s="77" customFormat="1" ht="38.1" customHeight="1">
      <c r="A13" s="9" t="str">
        <f t="shared" si="11"/>
        <v>M020411810170101</v>
      </c>
      <c r="B13" s="34"/>
      <c r="C13" s="10"/>
      <c r="D13" s="59" t="s">
        <v>94</v>
      </c>
      <c r="E13" s="34"/>
      <c r="F13" s="71" t="s">
        <v>95</v>
      </c>
      <c r="G13" s="71" t="s">
        <v>96</v>
      </c>
      <c r="H13" s="60" t="s">
        <v>92</v>
      </c>
      <c r="I13" s="67">
        <v>0.2</v>
      </c>
      <c r="J13" s="101">
        <v>89800</v>
      </c>
      <c r="K13" s="64">
        <f t="shared" si="12"/>
        <v>14996.599999999999</v>
      </c>
      <c r="L13" s="63"/>
      <c r="M13" s="64"/>
      <c r="N13" s="65"/>
      <c r="O13" s="64">
        <f t="shared" si="3"/>
        <v>0</v>
      </c>
      <c r="P13" s="65"/>
      <c r="Q13" s="64">
        <f t="shared" si="4"/>
        <v>0</v>
      </c>
      <c r="R13" s="13">
        <f t="shared" si="5"/>
        <v>14996.599999999999</v>
      </c>
      <c r="S13" s="49"/>
      <c r="T13" s="14"/>
    </row>
    <row r="14" spans="1:20" s="77" customFormat="1" ht="38.1" customHeight="1">
      <c r="A14" s="9" t="str">
        <f t="shared" si="11"/>
        <v>E00000803061120802</v>
      </c>
      <c r="B14" s="34"/>
      <c r="C14" s="10" t="s">
        <v>82</v>
      </c>
      <c r="D14" s="10"/>
      <c r="E14" s="34"/>
      <c r="F14" s="68" t="s">
        <v>83</v>
      </c>
      <c r="G14" s="68" t="s">
        <v>84</v>
      </c>
      <c r="H14" s="50" t="s">
        <v>78</v>
      </c>
      <c r="I14" s="67">
        <v>16</v>
      </c>
      <c r="J14" s="78"/>
      <c r="K14" s="12">
        <f t="shared" si="12"/>
        <v>0</v>
      </c>
      <c r="L14" s="94">
        <v>2496</v>
      </c>
      <c r="M14" s="12">
        <f t="shared" si="2"/>
        <v>33346.559999999998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33346.559999999998</v>
      </c>
      <c r="S14" s="49"/>
      <c r="T14" s="14"/>
    </row>
    <row r="15" spans="1:20" s="77" customFormat="1" ht="38.1" customHeight="1">
      <c r="A15" s="9" t="str">
        <f t="shared" si="11"/>
        <v>E00000803061300701</v>
      </c>
      <c r="B15" s="34"/>
      <c r="C15" s="10" t="s">
        <v>85</v>
      </c>
      <c r="D15" s="10"/>
      <c r="E15" s="34"/>
      <c r="F15" s="68" t="s">
        <v>86</v>
      </c>
      <c r="G15" s="68" t="s">
        <v>81</v>
      </c>
      <c r="H15" s="50" t="s">
        <v>78</v>
      </c>
      <c r="I15" s="67">
        <v>16</v>
      </c>
      <c r="J15" s="51"/>
      <c r="K15" s="12">
        <f t="shared" si="12"/>
        <v>0</v>
      </c>
      <c r="L15" s="94">
        <v>3871</v>
      </c>
      <c r="M15" s="12">
        <f t="shared" si="2"/>
        <v>51716.56</v>
      </c>
      <c r="N15" s="13"/>
      <c r="O15" s="12">
        <f t="shared" si="3"/>
        <v>0</v>
      </c>
      <c r="P15" s="13"/>
      <c r="Q15" s="12">
        <f t="shared" si="4"/>
        <v>0</v>
      </c>
      <c r="R15" s="13">
        <f t="shared" si="5"/>
        <v>51716.56</v>
      </c>
      <c r="S15" s="49"/>
      <c r="T15" s="14"/>
    </row>
    <row r="16" spans="1:20" s="77" customFormat="1" ht="38.1" customHeight="1">
      <c r="A16" s="9" t="str">
        <f t="shared" si="11"/>
        <v>E00000803061120802</v>
      </c>
      <c r="B16" s="34"/>
      <c r="C16" s="10" t="s">
        <v>82</v>
      </c>
      <c r="D16" s="10"/>
      <c r="E16" s="34"/>
      <c r="F16" s="68" t="s">
        <v>87</v>
      </c>
      <c r="G16" s="68" t="s">
        <v>84</v>
      </c>
      <c r="H16" s="50" t="s">
        <v>78</v>
      </c>
      <c r="I16" s="67">
        <v>2</v>
      </c>
      <c r="J16" s="78"/>
      <c r="K16" s="12">
        <f t="shared" si="12"/>
        <v>0</v>
      </c>
      <c r="L16" s="94">
        <v>2496</v>
      </c>
      <c r="M16" s="12">
        <f t="shared" si="2"/>
        <v>4168.32</v>
      </c>
      <c r="N16" s="13"/>
      <c r="O16" s="12">
        <f t="shared" si="3"/>
        <v>0</v>
      </c>
      <c r="P16" s="13"/>
      <c r="Q16" s="12">
        <f t="shared" si="4"/>
        <v>0</v>
      </c>
      <c r="R16" s="13">
        <f t="shared" si="5"/>
        <v>4168.32</v>
      </c>
      <c r="S16" s="49"/>
      <c r="T16" s="14"/>
    </row>
    <row r="17" spans="1:20" s="77" customFormat="1" ht="38.1" customHeight="1">
      <c r="A17" s="9" t="str">
        <f t="shared" si="11"/>
        <v>E00000803061300401</v>
      </c>
      <c r="B17" s="34"/>
      <c r="C17" s="10" t="s">
        <v>88</v>
      </c>
      <c r="D17" s="10"/>
      <c r="E17" s="34"/>
      <c r="F17" s="68" t="s">
        <v>89</v>
      </c>
      <c r="G17" s="68" t="s">
        <v>81</v>
      </c>
      <c r="H17" s="50" t="s">
        <v>78</v>
      </c>
      <c r="I17" s="67">
        <v>2</v>
      </c>
      <c r="J17" s="51"/>
      <c r="K17" s="12">
        <f t="shared" si="12"/>
        <v>0</v>
      </c>
      <c r="L17" s="94">
        <v>5851</v>
      </c>
      <c r="M17" s="12">
        <f t="shared" si="2"/>
        <v>9771.17</v>
      </c>
      <c r="N17" s="13"/>
      <c r="O17" s="12">
        <f t="shared" si="3"/>
        <v>0</v>
      </c>
      <c r="P17" s="13"/>
      <c r="Q17" s="12">
        <f t="shared" si="4"/>
        <v>0</v>
      </c>
      <c r="R17" s="13">
        <f t="shared" si="5"/>
        <v>9771.17</v>
      </c>
      <c r="S17" s="49"/>
      <c r="T17" s="14"/>
    </row>
    <row r="18" spans="1:20" s="77" customFormat="1" ht="38.1" customHeight="1">
      <c r="A18" s="9" t="str">
        <f t="shared" si="11"/>
        <v>E00000801011510701</v>
      </c>
      <c r="B18" s="34"/>
      <c r="C18" s="10" t="s">
        <v>110</v>
      </c>
      <c r="D18" s="10"/>
      <c r="E18" s="34"/>
      <c r="F18" s="97" t="s">
        <v>116</v>
      </c>
      <c r="G18" s="11" t="s">
        <v>109</v>
      </c>
      <c r="H18" s="98" t="s">
        <v>117</v>
      </c>
      <c r="I18" s="67">
        <v>100</v>
      </c>
      <c r="J18" s="78"/>
      <c r="K18" s="12">
        <f t="shared" ref="K18" si="13">SUM(J18:J18)*I18*$K$2</f>
        <v>0</v>
      </c>
      <c r="L18" s="94">
        <v>5131</v>
      </c>
      <c r="M18" s="12">
        <f t="shared" ref="M18" si="14">(L18*I18)*$M$2</f>
        <v>428438.5</v>
      </c>
      <c r="N18" s="13"/>
      <c r="O18" s="12">
        <f t="shared" ref="O18" si="15">N18*I18*$O$2</f>
        <v>0</v>
      </c>
      <c r="P18" s="13"/>
      <c r="Q18" s="12">
        <f t="shared" ref="Q18" si="16">P18*I18*$Q$2</f>
        <v>0</v>
      </c>
      <c r="R18" s="13">
        <f t="shared" ref="R18" si="17">SUM(K18+M18)+O18+Q18</f>
        <v>428438.5</v>
      </c>
      <c r="S18" s="49"/>
      <c r="T18" s="14"/>
    </row>
    <row r="19" spans="1:20" s="84" customFormat="1" ht="38.1" customHeight="1">
      <c r="A19" s="79"/>
      <c r="B19" s="80"/>
      <c r="C19" s="80"/>
      <c r="D19" s="80"/>
      <c r="E19" s="80"/>
      <c r="F19" s="72"/>
      <c r="G19" s="72"/>
      <c r="H19" s="80"/>
      <c r="I19" s="80"/>
      <c r="J19" s="80"/>
      <c r="K19" s="81">
        <f>SUM(K5:K18)</f>
        <v>886555.23800000001</v>
      </c>
      <c r="L19" s="82"/>
      <c r="M19" s="81">
        <f>SUM(M5:M18)</f>
        <v>3301092.7648479999</v>
      </c>
      <c r="N19" s="82"/>
      <c r="O19" s="81">
        <f>SUM(O5:O18)</f>
        <v>0</v>
      </c>
      <c r="P19" s="82"/>
      <c r="Q19" s="81">
        <f>SUM(Q5:Q18)</f>
        <v>0</v>
      </c>
      <c r="R19" s="83">
        <f>SUM(R5:R18)</f>
        <v>4187648.0028480003</v>
      </c>
      <c r="S19" s="42"/>
      <c r="T19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E37" sqref="E37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311" t="s">
        <v>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</row>
    <row r="2" spans="1:16" ht="15" customHeight="1">
      <c r="A2" s="312" t="s">
        <v>10</v>
      </c>
      <c r="B2" s="313" t="s">
        <v>11</v>
      </c>
      <c r="C2" s="314" t="s">
        <v>8</v>
      </c>
      <c r="D2" s="314" t="s">
        <v>12</v>
      </c>
      <c r="E2" s="316" t="s">
        <v>13</v>
      </c>
      <c r="F2" s="313"/>
      <c r="G2" s="313" t="s">
        <v>14</v>
      </c>
      <c r="H2" s="313"/>
      <c r="I2" s="317" t="s">
        <v>15</v>
      </c>
      <c r="J2" s="318"/>
      <c r="K2" s="317" t="s">
        <v>16</v>
      </c>
      <c r="L2" s="318"/>
      <c r="M2" s="316" t="s">
        <v>17</v>
      </c>
      <c r="N2" s="313"/>
      <c r="O2" s="319" t="s">
        <v>18</v>
      </c>
    </row>
    <row r="3" spans="1:16" ht="15" customHeight="1">
      <c r="A3" s="312"/>
      <c r="B3" s="313"/>
      <c r="C3" s="315"/>
      <c r="D3" s="315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20"/>
    </row>
    <row r="4" spans="1:16" ht="15" customHeight="1">
      <c r="A4" s="309" t="s">
        <v>118</v>
      </c>
      <c r="B4" s="310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01" t="s">
        <v>22</v>
      </c>
      <c r="B5" s="18" t="s">
        <v>23</v>
      </c>
      <c r="C5" s="19" t="s">
        <v>24</v>
      </c>
      <c r="D5" s="86">
        <v>40</v>
      </c>
      <c r="E5" s="99">
        <v>1057</v>
      </c>
      <c r="F5" s="20">
        <f t="shared" ref="F5:F12" si="0">D5*E5</f>
        <v>42280</v>
      </c>
      <c r="G5" s="99">
        <v>9266</v>
      </c>
      <c r="H5" s="20">
        <f t="shared" ref="H5:H12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03" t="s">
        <v>100</v>
      </c>
    </row>
    <row r="6" spans="1:16" ht="15" customHeight="1">
      <c r="A6" s="302"/>
      <c r="B6" s="18" t="s">
        <v>25</v>
      </c>
      <c r="C6" s="19" t="s">
        <v>24</v>
      </c>
      <c r="D6" s="86">
        <v>24</v>
      </c>
      <c r="E6" s="99">
        <v>1057</v>
      </c>
      <c r="F6" s="20">
        <f t="shared" si="0"/>
        <v>25368</v>
      </c>
      <c r="G6" s="99">
        <v>12178</v>
      </c>
      <c r="H6" s="20">
        <f t="shared" si="1"/>
        <v>292272</v>
      </c>
      <c r="I6" s="20"/>
      <c r="J6" s="20"/>
      <c r="K6" s="20"/>
      <c r="L6" s="20"/>
      <c r="M6" s="20"/>
      <c r="N6" s="20">
        <f t="shared" ref="N6:N12" si="2">F6+H6+J6+L6</f>
        <v>317640</v>
      </c>
      <c r="O6" s="304"/>
    </row>
    <row r="7" spans="1:16" ht="15" customHeight="1">
      <c r="A7" s="302"/>
      <c r="B7" s="18" t="s">
        <v>26</v>
      </c>
      <c r="C7" s="19" t="s">
        <v>24</v>
      </c>
      <c r="D7" s="86">
        <v>32</v>
      </c>
      <c r="E7" s="99">
        <v>1057</v>
      </c>
      <c r="F7" s="20">
        <f t="shared" si="0"/>
        <v>33824</v>
      </c>
      <c r="G7" s="99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si="2"/>
        <v>330336</v>
      </c>
      <c r="O7" s="304"/>
      <c r="P7" s="48">
        <f>D6+D8+D10+D12</f>
        <v>62</v>
      </c>
    </row>
    <row r="8" spans="1:16" ht="15" customHeight="1">
      <c r="A8" s="302"/>
      <c r="B8" s="18" t="s">
        <v>27</v>
      </c>
      <c r="C8" s="19" t="s">
        <v>24</v>
      </c>
      <c r="D8" s="86">
        <v>16</v>
      </c>
      <c r="E8" s="99">
        <v>1057</v>
      </c>
      <c r="F8" s="20">
        <f t="shared" si="0"/>
        <v>16912</v>
      </c>
      <c r="G8" s="99">
        <v>12178</v>
      </c>
      <c r="H8" s="20">
        <f t="shared" si="1"/>
        <v>194848</v>
      </c>
      <c r="I8" s="20"/>
      <c r="J8" s="20"/>
      <c r="K8" s="20"/>
      <c r="L8" s="20"/>
      <c r="M8" s="20"/>
      <c r="N8" s="20">
        <f t="shared" si="2"/>
        <v>211760</v>
      </c>
      <c r="O8" s="304"/>
    </row>
    <row r="9" spans="1:16" ht="15" customHeight="1">
      <c r="A9" s="302"/>
      <c r="B9" s="18" t="s">
        <v>28</v>
      </c>
      <c r="C9" s="19" t="s">
        <v>24</v>
      </c>
      <c r="D9" s="86">
        <v>32</v>
      </c>
      <c r="E9" s="99">
        <v>1057</v>
      </c>
      <c r="F9" s="20">
        <f t="shared" si="0"/>
        <v>33824</v>
      </c>
      <c r="G9" s="99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04"/>
    </row>
    <row r="10" spans="1:16" ht="15" customHeight="1">
      <c r="A10" s="302"/>
      <c r="B10" s="18" t="s">
        <v>29</v>
      </c>
      <c r="C10" s="19" t="s">
        <v>24</v>
      </c>
      <c r="D10" s="86">
        <v>11</v>
      </c>
      <c r="E10" s="99">
        <v>1057</v>
      </c>
      <c r="F10" s="20">
        <f t="shared" si="0"/>
        <v>11627</v>
      </c>
      <c r="G10" s="99">
        <v>12178</v>
      </c>
      <c r="H10" s="20">
        <f t="shared" si="1"/>
        <v>133958</v>
      </c>
      <c r="I10" s="20"/>
      <c r="J10" s="20"/>
      <c r="K10" s="20"/>
      <c r="L10" s="20"/>
      <c r="M10" s="20"/>
      <c r="N10" s="20">
        <f t="shared" si="2"/>
        <v>145585</v>
      </c>
      <c r="O10" s="304"/>
    </row>
    <row r="11" spans="1:16" ht="15" customHeight="1">
      <c r="A11" s="302"/>
      <c r="B11" s="18" t="s">
        <v>30</v>
      </c>
      <c r="C11" s="19" t="s">
        <v>24</v>
      </c>
      <c r="D11" s="86">
        <v>32</v>
      </c>
      <c r="E11" s="99">
        <v>1057</v>
      </c>
      <c r="F11" s="20">
        <f t="shared" si="0"/>
        <v>33824</v>
      </c>
      <c r="G11" s="99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04"/>
    </row>
    <row r="12" spans="1:16" ht="15" customHeight="1">
      <c r="A12" s="302"/>
      <c r="B12" s="18" t="s">
        <v>31</v>
      </c>
      <c r="C12" s="19" t="s">
        <v>24</v>
      </c>
      <c r="D12" s="53">
        <v>11</v>
      </c>
      <c r="E12" s="99">
        <v>1057</v>
      </c>
      <c r="F12" s="20">
        <f t="shared" si="0"/>
        <v>11627</v>
      </c>
      <c r="G12" s="99">
        <v>12178</v>
      </c>
      <c r="H12" s="20">
        <f t="shared" si="1"/>
        <v>133958</v>
      </c>
      <c r="I12" s="20"/>
      <c r="J12" s="20"/>
      <c r="K12" s="20"/>
      <c r="L12" s="20"/>
      <c r="M12" s="20"/>
      <c r="N12" s="20">
        <f t="shared" si="2"/>
        <v>145585</v>
      </c>
      <c r="O12" s="304"/>
    </row>
    <row r="13" spans="1:16" ht="15" customHeight="1">
      <c r="A13" s="43" t="s">
        <v>32</v>
      </c>
      <c r="B13" s="44"/>
      <c r="C13" s="45"/>
      <c r="D13" s="87">
        <f>SUM(D5:D12)</f>
        <v>198</v>
      </c>
      <c r="E13" s="52"/>
      <c r="F13" s="46">
        <f>SUM(F5:F12)</f>
        <v>209286</v>
      </c>
      <c r="G13" s="46"/>
      <c r="H13" s="46">
        <f>SUM(H5:H12)</f>
        <v>2015212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2224498</v>
      </c>
      <c r="O13" s="46"/>
    </row>
    <row r="14" spans="1:16" ht="15" customHeight="1">
      <c r="A14" s="305" t="s">
        <v>101</v>
      </c>
      <c r="B14" s="18" t="s">
        <v>33</v>
      </c>
      <c r="C14" s="19" t="s">
        <v>24</v>
      </c>
      <c r="D14" s="53">
        <v>28.9</v>
      </c>
      <c r="E14" s="99">
        <v>10855</v>
      </c>
      <c r="F14" s="54">
        <f>D14*E14</f>
        <v>313709.5</v>
      </c>
      <c r="G14" s="99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04"/>
    </row>
    <row r="15" spans="1:16" ht="15" customHeight="1">
      <c r="A15" s="305"/>
      <c r="B15" s="18" t="s">
        <v>34</v>
      </c>
      <c r="C15" s="19" t="s">
        <v>24</v>
      </c>
      <c r="D15" s="55">
        <v>12.4</v>
      </c>
      <c r="E15" s="99">
        <v>10855</v>
      </c>
      <c r="F15" s="54">
        <f>D15*E15</f>
        <v>134602</v>
      </c>
      <c r="G15" s="99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04"/>
    </row>
    <row r="16" spans="1:16" ht="15" customHeight="1">
      <c r="A16" s="305"/>
      <c r="B16" s="18" t="s">
        <v>35</v>
      </c>
      <c r="C16" s="19" t="s">
        <v>24</v>
      </c>
      <c r="D16" s="55">
        <v>9.9</v>
      </c>
      <c r="E16" s="99">
        <v>10855</v>
      </c>
      <c r="F16" s="54">
        <f>D16*E16</f>
        <v>107464.5</v>
      </c>
      <c r="G16" s="99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04"/>
    </row>
    <row r="17" spans="1:15" ht="15" customHeight="1">
      <c r="A17" s="306"/>
      <c r="B17" s="18" t="s">
        <v>36</v>
      </c>
      <c r="C17" s="19" t="s">
        <v>24</v>
      </c>
      <c r="D17" s="55">
        <v>8.3000000000000007</v>
      </c>
      <c r="E17" s="99">
        <v>10855</v>
      </c>
      <c r="F17" s="54">
        <f>D17*E17</f>
        <v>90096.500000000015</v>
      </c>
      <c r="G17" s="99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07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97</v>
      </c>
      <c r="B20" s="61" t="s">
        <v>93</v>
      </c>
      <c r="C20" s="61" t="s">
        <v>92</v>
      </c>
      <c r="D20" s="89">
        <v>0.3</v>
      </c>
      <c r="E20" s="99">
        <v>54693</v>
      </c>
      <c r="F20" s="54">
        <f>D20*E20</f>
        <v>16407.899999999998</v>
      </c>
      <c r="G20" s="20"/>
      <c r="H20" s="20"/>
      <c r="I20" s="20"/>
      <c r="J20" s="20"/>
      <c r="K20" s="20"/>
      <c r="L20" s="20"/>
      <c r="M20" s="20"/>
      <c r="N20" s="57">
        <f t="shared" ref="N20:N29" si="4">F20+H20+J20+L20</f>
        <v>16407.899999999998</v>
      </c>
      <c r="O20" s="20"/>
    </row>
    <row r="21" spans="1:15" ht="15" customHeight="1">
      <c r="A21" s="308" t="s">
        <v>38</v>
      </c>
      <c r="B21" s="25" t="s">
        <v>39</v>
      </c>
      <c r="C21" s="26" t="s">
        <v>24</v>
      </c>
      <c r="D21" s="89">
        <v>24</v>
      </c>
      <c r="E21" s="57"/>
      <c r="F21" s="57">
        <f>D21*E21</f>
        <v>0</v>
      </c>
      <c r="G21" s="100">
        <v>8978</v>
      </c>
      <c r="H21" s="57">
        <f t="shared" ref="H21:H27" si="5">D21*G21</f>
        <v>215472</v>
      </c>
      <c r="I21" s="57"/>
      <c r="J21" s="57"/>
      <c r="K21" s="57"/>
      <c r="L21" s="57"/>
      <c r="M21" s="57"/>
      <c r="N21" s="57">
        <f t="shared" si="4"/>
        <v>215472</v>
      </c>
      <c r="O21" s="20"/>
    </row>
    <row r="22" spans="1:15" ht="15" customHeight="1">
      <c r="A22" s="308"/>
      <c r="B22" s="25" t="s">
        <v>40</v>
      </c>
      <c r="C22" s="26" t="s">
        <v>24</v>
      </c>
      <c r="D22" s="89">
        <v>24</v>
      </c>
      <c r="E22" s="57"/>
      <c r="F22" s="57">
        <f t="shared" ref="F22:F29" si="6">D22*E22</f>
        <v>0</v>
      </c>
      <c r="G22" s="100">
        <v>5317</v>
      </c>
      <c r="H22" s="57">
        <f t="shared" si="5"/>
        <v>127608</v>
      </c>
      <c r="I22" s="57"/>
      <c r="J22" s="57"/>
      <c r="K22" s="57"/>
      <c r="L22" s="57"/>
      <c r="M22" s="57"/>
      <c r="N22" s="57">
        <f t="shared" si="4"/>
        <v>127608</v>
      </c>
      <c r="O22" s="20"/>
    </row>
    <row r="23" spans="1:15" ht="15" customHeight="1">
      <c r="A23" s="308" t="s">
        <v>41</v>
      </c>
      <c r="B23" s="102" t="s">
        <v>39</v>
      </c>
      <c r="C23" s="103" t="s">
        <v>24</v>
      </c>
      <c r="D23" s="104"/>
      <c r="E23" s="105"/>
      <c r="F23" s="105"/>
      <c r="G23" s="106"/>
      <c r="H23" s="105"/>
      <c r="I23" s="105"/>
      <c r="J23" s="105"/>
      <c r="K23" s="105"/>
      <c r="L23" s="105"/>
      <c r="M23" s="105"/>
      <c r="N23" s="105"/>
      <c r="O23" s="20"/>
    </row>
    <row r="24" spans="1:15" ht="15" customHeight="1">
      <c r="A24" s="308"/>
      <c r="B24" s="102" t="s">
        <v>40</v>
      </c>
      <c r="C24" s="103" t="s">
        <v>24</v>
      </c>
      <c r="D24" s="104"/>
      <c r="E24" s="105"/>
      <c r="F24" s="105"/>
      <c r="G24" s="106"/>
      <c r="H24" s="105"/>
      <c r="I24" s="105"/>
      <c r="J24" s="105"/>
      <c r="K24" s="105"/>
      <c r="L24" s="105"/>
      <c r="M24" s="105"/>
      <c r="N24" s="105"/>
      <c r="O24" s="20"/>
    </row>
    <row r="25" spans="1:15" ht="15" customHeight="1">
      <c r="A25" s="62" t="s">
        <v>95</v>
      </c>
      <c r="B25" s="61" t="s">
        <v>96</v>
      </c>
      <c r="C25" s="61" t="s">
        <v>92</v>
      </c>
      <c r="D25" s="89">
        <v>0.2</v>
      </c>
      <c r="E25" s="99">
        <v>74983</v>
      </c>
      <c r="F25" s="57">
        <f t="shared" ref="F25:F27" si="7">D25*E25</f>
        <v>14996.6</v>
      </c>
      <c r="G25" s="20"/>
      <c r="H25" s="20"/>
      <c r="I25" s="20"/>
      <c r="J25" s="20"/>
      <c r="K25" s="20"/>
      <c r="L25" s="20"/>
      <c r="M25" s="20"/>
      <c r="N25" s="57">
        <f t="shared" si="4"/>
        <v>14996.6</v>
      </c>
      <c r="O25" s="20"/>
    </row>
    <row r="26" spans="1:15" ht="15" customHeight="1">
      <c r="A26" s="300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si="6"/>
        <v>0</v>
      </c>
      <c r="G26" s="99">
        <v>2084</v>
      </c>
      <c r="H26" s="20">
        <f t="shared" si="5"/>
        <v>33344</v>
      </c>
      <c r="I26" s="20"/>
      <c r="J26" s="20"/>
      <c r="K26" s="20"/>
      <c r="L26" s="54"/>
      <c r="M26" s="20"/>
      <c r="N26" s="54">
        <f t="shared" si="4"/>
        <v>33344</v>
      </c>
      <c r="O26" s="20"/>
    </row>
    <row r="27" spans="1:15" ht="15" customHeight="1">
      <c r="A27" s="300"/>
      <c r="B27" s="25" t="s">
        <v>44</v>
      </c>
      <c r="C27" s="26" t="s">
        <v>24</v>
      </c>
      <c r="D27" s="89">
        <v>16</v>
      </c>
      <c r="E27" s="20"/>
      <c r="F27" s="20">
        <f t="shared" si="7"/>
        <v>0</v>
      </c>
      <c r="G27" s="99">
        <v>3232</v>
      </c>
      <c r="H27" s="20">
        <f t="shared" si="5"/>
        <v>51712</v>
      </c>
      <c r="I27" s="20"/>
      <c r="J27" s="20"/>
      <c r="K27" s="20"/>
      <c r="L27" s="54"/>
      <c r="M27" s="20"/>
      <c r="N27" s="54">
        <f t="shared" si="4"/>
        <v>51712</v>
      </c>
      <c r="O27" s="20"/>
    </row>
    <row r="28" spans="1:15" ht="15" customHeight="1">
      <c r="A28" s="300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9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4"/>
        <v>4168</v>
      </c>
      <c r="O28" s="20"/>
    </row>
    <row r="29" spans="1:15" ht="15" customHeight="1">
      <c r="A29" s="300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9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4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31404.5</v>
      </c>
      <c r="G30" s="23"/>
      <c r="H30" s="23">
        <f>SUM(H19:H29)</f>
        <v>442076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473480.5</v>
      </c>
      <c r="O30" s="23"/>
    </row>
    <row r="31" spans="1:15" ht="15" customHeight="1">
      <c r="A31" s="41" t="s">
        <v>47</v>
      </c>
      <c r="B31" s="18" t="s">
        <v>108</v>
      </c>
      <c r="C31" s="19" t="s">
        <v>24</v>
      </c>
      <c r="D31" s="91">
        <v>100</v>
      </c>
      <c r="E31" s="54"/>
      <c r="F31" s="54"/>
      <c r="G31" s="99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91</v>
      </c>
      <c r="B33" s="21"/>
      <c r="C33" s="22"/>
      <c r="D33" s="92"/>
      <c r="E33" s="31"/>
      <c r="F33" s="32">
        <f>F13+F18+F30+F32</f>
        <v>886563</v>
      </c>
      <c r="G33" s="32"/>
      <c r="H33" s="32">
        <f>H13+H18+H30+H32</f>
        <v>3301414.5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4187977.5</v>
      </c>
      <c r="O33" s="3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H28" sqref="H2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11.992000000000001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1.7709999999999999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59.5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0.97540000000000004</v>
      </c>
    </row>
    <row r="7" spans="1:6">
      <c r="A7" s="38" t="str">
        <f>'내역서(표준단가)'!A10</f>
        <v>M020412614110102</v>
      </c>
      <c r="B7" s="39">
        <f>'내역서(표준단가)'!B10</f>
        <v>0</v>
      </c>
      <c r="C7" s="39">
        <f>'내역서(표준단가)'!C10</f>
        <v>0</v>
      </c>
      <c r="D7" s="39" t="str">
        <f>'내역서(표준단가)'!D10</f>
        <v>M020412614110102</v>
      </c>
      <c r="E7" s="39">
        <f>'내역서(표준단가)'!E10</f>
        <v>0</v>
      </c>
      <c r="F7" s="47">
        <f>'내역서(표준단가)'!I10</f>
        <v>0.3</v>
      </c>
    </row>
    <row r="8" spans="1:6">
      <c r="A8" s="38" t="str">
        <f>'내역서(표준단가)'!A11</f>
        <v>E00000803061120402</v>
      </c>
      <c r="B8" s="39">
        <f>'내역서(표준단가)'!B11</f>
        <v>0</v>
      </c>
      <c r="C8" s="39" t="str">
        <f>'내역서(표준단가)'!C11</f>
        <v>E00000803061120402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24</v>
      </c>
    </row>
    <row r="9" spans="1:6">
      <c r="A9" s="38" t="str">
        <f>'내역서(표준단가)'!A12</f>
        <v>E00000803061300201</v>
      </c>
      <c r="B9" s="39">
        <f>'내역서(표준단가)'!B12</f>
        <v>0</v>
      </c>
      <c r="C9" s="39" t="str">
        <f>'내역서(표준단가)'!C12</f>
        <v>E00000803061300201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24</v>
      </c>
    </row>
    <row r="10" spans="1:6">
      <c r="A10" s="38" t="str">
        <f>'내역서(표준단가)'!A13</f>
        <v>M020411810170101</v>
      </c>
      <c r="B10" s="39">
        <f>'내역서(표준단가)'!B13</f>
        <v>0</v>
      </c>
      <c r="C10" s="39">
        <f>'내역서(표준단가)'!C13</f>
        <v>0</v>
      </c>
      <c r="D10" s="39" t="str">
        <f>'내역서(표준단가)'!D13</f>
        <v>M020411810170101</v>
      </c>
      <c r="E10" s="39">
        <f>'내역서(표준단가)'!E13</f>
        <v>0</v>
      </c>
      <c r="F10" s="47">
        <f>'내역서(표준단가)'!I13</f>
        <v>0.2</v>
      </c>
    </row>
    <row r="11" spans="1:6">
      <c r="A11" s="38" t="str">
        <f>'내역서(표준단가)'!A14</f>
        <v>E00000803061120802</v>
      </c>
      <c r="B11" s="39">
        <f>'내역서(표준단가)'!B14</f>
        <v>0</v>
      </c>
      <c r="C11" s="39" t="str">
        <f>'내역서(표준단가)'!C14</f>
        <v>E00000803061120802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16</v>
      </c>
    </row>
    <row r="12" spans="1:6">
      <c r="A12" s="38" t="str">
        <f>'내역서(표준단가)'!A15</f>
        <v>E00000803061300701</v>
      </c>
      <c r="B12" s="39">
        <f>'내역서(표준단가)'!B15</f>
        <v>0</v>
      </c>
      <c r="C12" s="39" t="str">
        <f>'내역서(표준단가)'!C15</f>
        <v>E00000803061300701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16</v>
      </c>
    </row>
    <row r="13" spans="1:6">
      <c r="A13" s="38" t="str">
        <f>'내역서(표준단가)'!A16</f>
        <v>E00000803061120802</v>
      </c>
      <c r="B13" s="39">
        <f>'내역서(표준단가)'!B16</f>
        <v>0</v>
      </c>
      <c r="C13" s="39" t="str">
        <f>'내역서(표준단가)'!C16</f>
        <v>E00000803061120802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2</v>
      </c>
    </row>
    <row r="14" spans="1:6">
      <c r="A14" s="38" t="str">
        <f>'내역서(표준단가)'!A17</f>
        <v>E00000803061300401</v>
      </c>
      <c r="B14" s="39">
        <f>'내역서(표준단가)'!B17</f>
        <v>0</v>
      </c>
      <c r="C14" s="39" t="str">
        <f>'내역서(표준단가)'!C17</f>
        <v>E00000803061300401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2</v>
      </c>
    </row>
    <row r="15" spans="1:6">
      <c r="A15" s="38" t="str">
        <f>'내역서(표준단가)'!A18</f>
        <v>E00000801011510701</v>
      </c>
      <c r="B15" s="39">
        <f>'내역서(표준단가)'!B18</f>
        <v>0</v>
      </c>
      <c r="C15" s="39" t="str">
        <f>'내역서(표준단가)'!C18</f>
        <v>E00000801011510701</v>
      </c>
      <c r="D15" s="39">
        <f>'내역서(표준단가)'!D18</f>
        <v>0</v>
      </c>
      <c r="E15" s="39">
        <f>'내역서(표준단가)'!E18</f>
        <v>0</v>
      </c>
      <c r="F15" s="47">
        <f>'내역서(표준단가)'!I18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2026-08-03T02:58:02Z</dcterms:modified>
</cp:coreProperties>
</file>
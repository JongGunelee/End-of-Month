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13 사택 8동 및 9동 공동 현관 도어보수\"/>
    </mc:Choice>
  </mc:AlternateContent>
  <xr:revisionPtr revIDLastSave="0" documentId="13_ncr:1_{00FA0930-9EE0-4F28-98F5-3D8E60213141}" xr6:coauthVersionLast="47" xr6:coauthVersionMax="47" xr10:uidLastSave="{00000000-0000-0000-0000-000000000000}"/>
  <bookViews>
    <workbookView xWindow="3900" yWindow="0" windowWidth="21540" windowHeight="16245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Q8" i="4"/>
  <c r="Q7" i="4"/>
  <c r="Q5" i="4"/>
  <c r="U9" i="4"/>
  <c r="U8" i="4"/>
  <c r="U7" i="4"/>
  <c r="U6" i="4"/>
  <c r="U5" i="4"/>
  <c r="S9" i="4"/>
  <c r="S8" i="4"/>
  <c r="S7" i="4"/>
  <c r="S6" i="4"/>
  <c r="S5" i="4"/>
  <c r="Q9" i="4"/>
  <c r="Q6" i="4"/>
  <c r="O9" i="4"/>
  <c r="V9" i="4" s="1"/>
  <c r="O8" i="4"/>
  <c r="V8" i="4" s="1"/>
  <c r="O7" i="4"/>
  <c r="V7" i="4" s="1"/>
  <c r="O6" i="4"/>
  <c r="V6" i="4" s="1"/>
  <c r="O5" i="4"/>
  <c r="A8" i="4" l="1"/>
  <c r="A5" i="1" s="1"/>
  <c r="A7" i="4"/>
  <c r="A4" i="1" s="1"/>
  <c r="A6" i="4"/>
  <c r="A3" i="1" s="1"/>
  <c r="F2" i="1" l="1"/>
  <c r="E2" i="1" l="1"/>
  <c r="D2" i="1"/>
  <c r="C2" i="1"/>
  <c r="B2" i="1"/>
  <c r="A5" i="4"/>
  <c r="A2" i="1" s="1"/>
  <c r="V5" i="4" l="1"/>
  <c r="U10" i="4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<sst xmlns="http://schemas.openxmlformats.org/spreadsheetml/2006/main" count="120" uniqueCount="98">
  <si>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</si>
  <si>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</si>
  <si>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</si>
  <si>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</si>
  <si>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</si>
  <si>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</si>
  <si>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</si>
  <si>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</si>
  <si>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</si>
  <si>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</si>
  <si>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</si>
  <si>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</si>
  <si>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</si>
  <si>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</si>
  <si>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</si>
  <si>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</si>
  <si>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</si>
  <si>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</si>
  <si>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</si>
  <si>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</si>
  <si>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</si>
  <si>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</si>
  <si>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</si>
  <si>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</si>
  <si>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</si>
  <si>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</si>
  <si>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</si>
  <si>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</si>
  <si>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</si>
  <si>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</si>
  <si>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</si>
  <si>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</si>
  <si>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</si>
  <si>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</si>
  <si>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</si>
  <si>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</si>
  <si>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</si>
  <si>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</si>
  <si>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</si>
  <si>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</si>
  <si>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</si>
  <si>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</si>
  <si>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</si>
  <si>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</si>
  <si>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</si>
  <si>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</si>
  <si>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</si>
  <si>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</si>
  <si>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</si>
  <si>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</si>
  <si>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</si>
  <si>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</si>
  <si>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</si>
  <si>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</si>
  <si>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</si>
  <si>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</si>
  <si>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</si>
  <si>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</si>
  <si>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</si>
  <si>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</si>
  <si>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</si>
  <si>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</si>
  <si>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</si>
  <si>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</si>
  <si>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</si>
  <si>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</si>
  <si>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</si>
  <si>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</si>
  <si>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</si>
  <si>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</si>
  <si>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</si>
  <si>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</si>
  <si>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</si>
  <si>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</si>
  <si>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</si>
  <si>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</si>
  <si>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</si>
  <si>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</si>
  <si>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</si>
  <si>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</si>
  <si>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</si>
  <si>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</si>
  <si>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</si>
  <si>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현장정리 및 폐기물 처리</t>
    <phoneticPr fontId="6" type="noConversion"/>
  </si>
  <si>
    <t xml:space="preserve"> 공사명 : 사택 8,9동 현관 도어 보수</t>
    <phoneticPr fontId="12" type="noConversion"/>
  </si>
  <si>
    <t>개</t>
  </si>
  <si>
    <t>플로어 힌지교체 및 프레임보수</t>
    <phoneticPr fontId="6" type="noConversion"/>
  </si>
  <si>
    <t>K8500, 고급, 강화유리문, 양쪽정지형</t>
    <phoneticPr fontId="6" type="noConversion"/>
  </si>
  <si>
    <t>M020490613400101</t>
  </si>
  <si>
    <t>L009</t>
  </si>
  <si>
    <t>인</t>
    <phoneticPr fontId="6" type="noConversion"/>
  </si>
  <si>
    <t>플로어힌지</t>
    <phoneticPr fontId="6" type="noConversion"/>
  </si>
  <si>
    <t>시중노임단가, 철공 1인*2일 작업</t>
    <phoneticPr fontId="6" type="noConversion"/>
  </si>
  <si>
    <t>시중노임단가, 특별인부 1인*2일 작업</t>
    <phoneticPr fontId="6" type="noConversion"/>
  </si>
  <si>
    <t>작업내용</t>
    <phoneticPr fontId="6" type="noConversion"/>
  </si>
  <si>
    <t>2.사택 9동 1-2라인 휜지교체(2개소)</t>
    <phoneticPr fontId="6" type="noConversion"/>
  </si>
  <si>
    <t xml:space="preserve"> 견적일 : 2025년  09월  05일</t>
    <phoneticPr fontId="12" type="noConversion"/>
  </si>
  <si>
    <t>1.사택 8동 3-4라인 휜지교체(2개소) 및 도어 외부반출 하부 걸림 커팅,용접후 익일 반입 작업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</si>
</sst>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;\-#,##0;"/>
    <numFmt numFmtId="186" formatCode="0.000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sz val="9"/>
      <color indexed="8"/>
      <name val="Malgun Gothic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3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185" fontId="20" fillId="0" borderId="3" xfId="0" applyNumberFormat="1" applyFont="1" applyBorder="1" applyAlignment="1">
      <alignment horizontal="right" vertical="center"/>
    </xf>
    <xf numFmtId="185" fontId="20" fillId="0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49" fontId="26" fillId="11" borderId="3" xfId="0" applyNumberFormat="1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86" fontId="20" fillId="5" borderId="3" xfId="1" applyNumberFormat="1" applyFont="1" applyFill="1" applyBorder="1" applyAlignment="1">
      <alignment horizontal="center" vertical="center"/>
    </xf>
    <xf numFmtId="177" fontId="20" fillId="6" borderId="3" xfId="1" applyFont="1" applyFill="1" applyBorder="1" applyAlignment="1">
      <alignment horizontal="center" vertical="center" wrapText="1"/>
    </xf>
    <xf numFmtId="177" fontId="29" fillId="5" borderId="0" xfId="1" applyFont="1" applyFill="1" applyBorder="1" applyAlignment="1">
      <alignment horizontal="center" vertical="center" wrapText="1"/>
    </xf>
    <xf numFmtId="185" fontId="20" fillId="5" borderId="3" xfId="0" applyNumberFormat="1" applyFont="1" applyFill="1" applyBorder="1" applyAlignment="1">
      <alignment horizontal="right" vertical="center"/>
    </xf>
    <xf numFmtId="0" fontId="28" fillId="7" borderId="3" xfId="0" applyFont="1" applyFill="1" applyBorder="1" applyAlignment="1">
      <alignment horizontal="center" vertical="center"/>
    </xf>
    <xf numFmtId="49" fontId="28" fillId="5" borderId="3" xfId="0" applyNumberFormat="1" applyFont="1" applyFill="1" applyBorder="1" applyAlignment="1">
      <alignment horizontal="center" vertical="center"/>
    </xf>
    <xf numFmtId="49" fontId="26" fillId="7" borderId="3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I15" sqref="I15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2"/>
    </row>
    <row r="3" spans="1:9" ht="14.25">
      <c r="A3" s="88"/>
      <c r="B3" s="88"/>
      <c r="C3" s="88"/>
      <c r="D3" s="88"/>
      <c r="E3" s="88"/>
      <c r="F3" s="88"/>
      <c r="G3" s="88"/>
      <c r="H3" s="88"/>
    </row>
    <row r="4" spans="1:9" ht="14.25">
      <c r="A4" s="88"/>
      <c r="B4" s="88"/>
      <c r="C4" s="88"/>
      <c r="D4" s="88"/>
      <c r="E4" s="88"/>
      <c r="H4" s="88"/>
    </row>
    <row r="5" spans="1:9" ht="27" customHeight="1">
      <c r="A5" s="89" t="s">
        <v>48</v>
      </c>
      <c r="B5" s="4"/>
      <c r="C5" s="5"/>
      <c r="D5" s="88"/>
      <c r="E5" s="88"/>
      <c r="F5" s="6" t="s">
        <v>38</v>
      </c>
      <c r="G5" s="7" t="s">
        <v>52</v>
      </c>
      <c r="H5" s="88"/>
    </row>
    <row r="6" spans="1:9" ht="27" customHeight="1">
      <c r="A6" s="88"/>
      <c r="B6" s="88"/>
      <c r="C6" s="88"/>
      <c r="D6" s="88"/>
      <c r="E6" s="88"/>
      <c r="F6" s="8" t="s">
        <v>41</v>
      </c>
      <c r="G6" s="9" t="s">
        <v>53</v>
      </c>
      <c r="H6" s="88"/>
    </row>
    <row r="7" spans="1:9" ht="27" customHeight="1">
      <c r="A7" s="127" t="s">
        <v>84</v>
      </c>
      <c r="B7" s="128"/>
      <c r="C7" s="129"/>
      <c r="D7" s="88"/>
      <c r="E7" s="10"/>
      <c r="F7" s="11" t="s">
        <v>42</v>
      </c>
      <c r="G7" s="9" t="s">
        <v>54</v>
      </c>
      <c r="H7" s="88"/>
    </row>
    <row r="8" spans="1:9" ht="27" customHeight="1">
      <c r="A8" s="88"/>
      <c r="B8" s="88"/>
      <c r="C8" s="88"/>
      <c r="D8" s="88"/>
      <c r="E8" s="88"/>
      <c r="F8" s="8" t="s">
        <v>43</v>
      </c>
      <c r="G8" s="9" t="s">
        <v>55</v>
      </c>
      <c r="H8" s="88"/>
    </row>
    <row r="9" spans="1:9" ht="27" customHeight="1">
      <c r="A9" s="127" t="s">
        <v>96</v>
      </c>
      <c r="B9" s="128"/>
      <c r="C9" s="129"/>
      <c r="D9" s="88"/>
      <c r="E9" s="88"/>
      <c r="F9" s="8" t="s">
        <v>44</v>
      </c>
      <c r="G9" s="9" t="s">
        <v>56</v>
      </c>
      <c r="H9" s="88"/>
    </row>
    <row r="10" spans="1:9" ht="27" customHeight="1">
      <c r="A10" s="88"/>
      <c r="B10" s="88"/>
      <c r="C10" s="88"/>
      <c r="D10" s="88"/>
      <c r="E10" s="88"/>
      <c r="F10" s="12" t="s">
        <v>39</v>
      </c>
      <c r="G10" s="13" t="s">
        <v>57</v>
      </c>
      <c r="H10" s="88"/>
      <c r="I10" s="88"/>
    </row>
    <row r="11" spans="1:9" ht="27" customHeight="1">
      <c r="A11" s="125"/>
      <c r="B11" s="126"/>
      <c r="C11" s="126"/>
      <c r="D11" s="88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일백오십오만팔천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8"/>
      <c r="B13" s="88"/>
      <c r="C13" s="88"/>
      <c r="D13" s="88"/>
      <c r="E13" s="88"/>
      <c r="F13" s="88"/>
      <c r="G13" s="8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293920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1028602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1322522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46287.09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36463.940900000001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4722.0803465500003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10388.8802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36618.231200000002</v>
      </c>
      <c r="G25" s="35" t="s">
        <v>28</v>
      </c>
    </row>
    <row r="26" spans="1:7" ht="33" customHeight="1">
      <c r="A26" s="29"/>
      <c r="B26" s="42" t="s">
        <v>32</v>
      </c>
      <c r="C26" s="49" t="s">
        <v>82</v>
      </c>
      <c r="D26" s="30">
        <v>1</v>
      </c>
      <c r="E26" s="30" t="s">
        <v>25</v>
      </c>
      <c r="F26" s="43">
        <f>(F16+F17)*3.11%</f>
        <v>41130.434199999996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60210.632842327519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235821.28968887753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1558343.2896888775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1558000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Normal="100" workbookViewId="0">
      <pane ySplit="4" topLeftCell="A5" activePane="bottomLeft" state="frozen"/>
      <selection pane="bottomLeft" activeCell="J12" sqref="J12:K12"/>
    </sheetView>
  </sheetViews>
  <sheetFormatPr defaultColWidth="9" defaultRowHeight="38.1" customHeight="1"/>
  <cols>
    <col min="1" max="1" width="16" style="108" customWidth="1"/>
    <col min="2" max="5" width="18.5" style="108" hidden="1" customWidth="1"/>
    <col min="6" max="9" width="15.625" style="66" hidden="1" customWidth="1"/>
    <col min="10" max="11" width="30.625" style="98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3" style="66" customWidth="1"/>
    <col min="16" max="16" width="11.375" style="66" customWidth="1"/>
    <col min="17" max="17" width="13.875" style="66" customWidth="1"/>
    <col min="18" max="18" width="6.375" style="66" customWidth="1"/>
    <col min="19" max="19" width="8.25" style="66" bestFit="1" customWidth="1"/>
    <col min="20" max="20" width="8.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>
      <c r="A1" s="131"/>
      <c r="B1" s="131"/>
      <c r="C1" s="131"/>
      <c r="D1" s="131"/>
      <c r="E1" s="131"/>
      <c r="F1" s="131"/>
      <c r="G1" s="131"/>
      <c r="H1" s="131"/>
      <c r="I1" s="131"/>
      <c r="N1" s="67"/>
      <c r="O1" s="101" t="s">
        <v>59</v>
      </c>
      <c r="Q1" s="101" t="s">
        <v>59</v>
      </c>
      <c r="S1" s="101" t="s">
        <v>59</v>
      </c>
      <c r="U1" s="101" t="s">
        <v>59</v>
      </c>
    </row>
    <row r="2" spans="1:24" ht="19.899999999999999" customHeight="1" thickBot="1">
      <c r="A2" s="131"/>
      <c r="B2" s="131"/>
      <c r="C2" s="131"/>
      <c r="D2" s="131"/>
      <c r="E2" s="131"/>
      <c r="F2" s="131"/>
      <c r="G2" s="131"/>
      <c r="H2" s="131"/>
      <c r="I2" s="131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20.100000000000001" customHeight="1">
      <c r="A3" s="102"/>
      <c r="B3" s="102"/>
      <c r="C3" s="102"/>
      <c r="D3" s="102"/>
      <c r="E3" s="102"/>
      <c r="F3" s="102" t="s">
        <v>60</v>
      </c>
      <c r="G3" s="103"/>
      <c r="H3" s="103"/>
      <c r="I3" s="103"/>
      <c r="J3" s="142" t="s">
        <v>61</v>
      </c>
      <c r="K3" s="142"/>
      <c r="L3" s="140" t="s">
        <v>47</v>
      </c>
      <c r="M3" s="140" t="s">
        <v>5</v>
      </c>
      <c r="N3" s="136" t="s">
        <v>62</v>
      </c>
      <c r="O3" s="136"/>
      <c r="P3" s="136" t="s">
        <v>63</v>
      </c>
      <c r="Q3" s="136"/>
      <c r="R3" s="137" t="s">
        <v>64</v>
      </c>
      <c r="S3" s="137"/>
      <c r="T3" s="137" t="s">
        <v>65</v>
      </c>
      <c r="U3" s="137"/>
      <c r="V3" s="138" t="s">
        <v>66</v>
      </c>
      <c r="W3" s="134" t="s">
        <v>67</v>
      </c>
      <c r="X3" s="132" t="s">
        <v>45</v>
      </c>
    </row>
    <row r="4" spans="1:24" ht="20.100000000000001" customHeight="1">
      <c r="A4" s="70" t="s">
        <v>68</v>
      </c>
      <c r="B4" s="71"/>
      <c r="C4" s="71"/>
      <c r="D4" s="71"/>
      <c r="E4" s="71"/>
      <c r="F4" s="72" t="s">
        <v>69</v>
      </c>
      <c r="G4" s="72" t="s">
        <v>70</v>
      </c>
      <c r="H4" s="72" t="s">
        <v>71</v>
      </c>
      <c r="I4" s="72" t="s">
        <v>72</v>
      </c>
      <c r="J4" s="99" t="s">
        <v>73</v>
      </c>
      <c r="K4" s="99" t="s">
        <v>74</v>
      </c>
      <c r="L4" s="141"/>
      <c r="M4" s="141"/>
      <c r="N4" s="73" t="s">
        <v>75</v>
      </c>
      <c r="O4" s="74" t="s">
        <v>76</v>
      </c>
      <c r="P4" s="73" t="s">
        <v>77</v>
      </c>
      <c r="Q4" s="74" t="s">
        <v>76</v>
      </c>
      <c r="R4" s="74" t="s">
        <v>78</v>
      </c>
      <c r="S4" s="74" t="s">
        <v>76</v>
      </c>
      <c r="T4" s="74" t="s">
        <v>78</v>
      </c>
      <c r="U4" s="74" t="s">
        <v>76</v>
      </c>
      <c r="V4" s="139"/>
      <c r="W4" s="135"/>
      <c r="X4" s="133"/>
    </row>
    <row r="5" spans="1:24" s="104" customFormat="1" ht="20.100000000000001" customHeight="1">
      <c r="A5" s="75" t="str">
        <f t="shared" ref="A5" si="0">F5&amp;G5&amp;H5&amp;I5</f>
        <v>L003</v>
      </c>
      <c r="B5" s="115"/>
      <c r="C5" s="115"/>
      <c r="D5" s="115"/>
      <c r="E5" s="115"/>
      <c r="F5" s="77"/>
      <c r="G5" s="81"/>
      <c r="H5" s="81"/>
      <c r="I5" s="92" t="s">
        <v>79</v>
      </c>
      <c r="J5" s="91" t="s">
        <v>83</v>
      </c>
      <c r="K5" s="91" t="s">
        <v>80</v>
      </c>
      <c r="L5" s="78" t="s">
        <v>81</v>
      </c>
      <c r="M5" s="97">
        <v>0.5</v>
      </c>
      <c r="N5" s="95"/>
      <c r="O5" s="117">
        <f t="shared" ref="O5:O9" si="1">SUM(N5:N5)*M5*$O$2</f>
        <v>0</v>
      </c>
      <c r="P5" s="94">
        <v>230000</v>
      </c>
      <c r="Q5" s="117">
        <f>M5*P5</f>
        <v>115000</v>
      </c>
      <c r="R5" s="96"/>
      <c r="S5" s="117">
        <f t="shared" ref="S5:S9" si="2">R5*M5*$S$2</f>
        <v>0</v>
      </c>
      <c r="T5" s="96"/>
      <c r="U5" s="117">
        <f t="shared" ref="U5:U9" si="3">T5*M5*$U$2</f>
        <v>0</v>
      </c>
      <c r="V5" s="79">
        <f t="shared" ref="V5:V9" si="4">SUM(O5+Q5)+S5+U5</f>
        <v>115000</v>
      </c>
      <c r="W5" s="82"/>
      <c r="X5" s="80"/>
    </row>
    <row r="6" spans="1:24" s="104" customFormat="1" ht="20.100000000000001" customHeight="1">
      <c r="A6" s="75" t="str">
        <f t="shared" ref="A6:A8" si="5">F6&amp;G6&amp;H6&amp;I6</f>
        <v>M020490613400101</v>
      </c>
      <c r="B6" s="115"/>
      <c r="C6" s="115"/>
      <c r="D6" s="115"/>
      <c r="E6" s="115"/>
      <c r="F6" s="77"/>
      <c r="G6" s="81"/>
      <c r="H6" s="120" t="s">
        <v>88</v>
      </c>
      <c r="I6" s="92"/>
      <c r="J6" s="114" t="s">
        <v>91</v>
      </c>
      <c r="K6" s="114" t="s">
        <v>87</v>
      </c>
      <c r="L6" s="121" t="s">
        <v>85</v>
      </c>
      <c r="M6" s="116">
        <v>4</v>
      </c>
      <c r="N6" s="118">
        <v>88000</v>
      </c>
      <c r="O6" s="117">
        <f t="shared" si="1"/>
        <v>293920</v>
      </c>
      <c r="P6" s="94"/>
      <c r="Q6" s="117">
        <f t="shared" ref="Q6:Q9" si="6">(P6*M6)*$Q$2</f>
        <v>0</v>
      </c>
      <c r="R6" s="96"/>
      <c r="S6" s="117">
        <f t="shared" si="2"/>
        <v>0</v>
      </c>
      <c r="T6" s="96"/>
      <c r="U6" s="117">
        <f t="shared" si="3"/>
        <v>0</v>
      </c>
      <c r="V6" s="79">
        <f t="shared" si="4"/>
        <v>293920</v>
      </c>
      <c r="W6" s="82"/>
      <c r="X6" s="80"/>
    </row>
    <row r="7" spans="1:24" s="104" customFormat="1" ht="20.100000000000001" customHeight="1">
      <c r="A7" s="75" t="str">
        <f t="shared" si="5"/>
        <v>L009</v>
      </c>
      <c r="B7" s="115"/>
      <c r="C7" s="115"/>
      <c r="D7" s="115"/>
      <c r="E7" s="115"/>
      <c r="F7" s="77"/>
      <c r="G7" s="81"/>
      <c r="H7" s="81"/>
      <c r="I7" s="122" t="s">
        <v>89</v>
      </c>
      <c r="J7" s="113" t="s">
        <v>86</v>
      </c>
      <c r="K7" s="113" t="s">
        <v>92</v>
      </c>
      <c r="L7" s="78" t="s">
        <v>90</v>
      </c>
      <c r="M7" s="116">
        <v>2</v>
      </c>
      <c r="N7" s="119"/>
      <c r="O7" s="117">
        <f t="shared" si="1"/>
        <v>0</v>
      </c>
      <c r="P7" s="94">
        <v>237480</v>
      </c>
      <c r="Q7" s="117">
        <f t="shared" ref="Q7:Q8" si="7">M7*P7</f>
        <v>474960</v>
      </c>
      <c r="R7" s="96"/>
      <c r="S7" s="117">
        <f t="shared" si="2"/>
        <v>0</v>
      </c>
      <c r="T7" s="96"/>
      <c r="U7" s="117">
        <f t="shared" si="3"/>
        <v>0</v>
      </c>
      <c r="V7" s="79">
        <f t="shared" si="4"/>
        <v>474960</v>
      </c>
      <c r="W7" s="82"/>
      <c r="X7" s="80"/>
    </row>
    <row r="8" spans="1:24" s="104" customFormat="1" ht="20.100000000000001" customHeight="1">
      <c r="A8" s="75" t="str">
        <f t="shared" si="5"/>
        <v>L003</v>
      </c>
      <c r="B8" s="115"/>
      <c r="C8" s="115"/>
      <c r="D8" s="115"/>
      <c r="E8" s="115"/>
      <c r="F8" s="77"/>
      <c r="G8" s="81"/>
      <c r="H8" s="81"/>
      <c r="I8" s="92" t="s">
        <v>79</v>
      </c>
      <c r="J8" s="113" t="s">
        <v>86</v>
      </c>
      <c r="K8" s="113" t="s">
        <v>93</v>
      </c>
      <c r="L8" s="78" t="s">
        <v>90</v>
      </c>
      <c r="M8" s="97">
        <v>2</v>
      </c>
      <c r="N8" s="95"/>
      <c r="O8" s="117">
        <f t="shared" si="1"/>
        <v>0</v>
      </c>
      <c r="P8" s="94">
        <v>219321</v>
      </c>
      <c r="Q8" s="117">
        <f t="shared" si="7"/>
        <v>438642</v>
      </c>
      <c r="R8" s="96"/>
      <c r="S8" s="117">
        <f t="shared" si="2"/>
        <v>0</v>
      </c>
      <c r="T8" s="96"/>
      <c r="U8" s="117">
        <f t="shared" si="3"/>
        <v>0</v>
      </c>
      <c r="V8" s="79">
        <f t="shared" si="4"/>
        <v>438642</v>
      </c>
      <c r="W8" s="82"/>
      <c r="X8" s="80"/>
    </row>
    <row r="9" spans="1:24" s="104" customFormat="1" ht="20.100000000000001" customHeight="1">
      <c r="A9" s="75"/>
      <c r="B9" s="76"/>
      <c r="C9" s="76"/>
      <c r="D9" s="76"/>
      <c r="E9" s="76"/>
      <c r="F9" s="77"/>
      <c r="G9" s="81"/>
      <c r="H9" s="87"/>
      <c r="I9" s="92"/>
      <c r="J9" s="90"/>
      <c r="K9" s="91"/>
      <c r="L9" s="78"/>
      <c r="M9" s="97"/>
      <c r="N9" s="95"/>
      <c r="O9" s="117">
        <f t="shared" si="1"/>
        <v>0</v>
      </c>
      <c r="P9" s="94"/>
      <c r="Q9" s="117">
        <f t="shared" si="6"/>
        <v>0</v>
      </c>
      <c r="R9" s="96"/>
      <c r="S9" s="117">
        <f t="shared" si="2"/>
        <v>0</v>
      </c>
      <c r="T9" s="96"/>
      <c r="U9" s="117">
        <f t="shared" si="3"/>
        <v>0</v>
      </c>
      <c r="V9" s="79">
        <f t="shared" si="4"/>
        <v>0</v>
      </c>
      <c r="W9" s="82"/>
      <c r="X9" s="80"/>
    </row>
    <row r="10" spans="1:24" s="106" customFormat="1" ht="20.100000000000001" customHeight="1">
      <c r="A10" s="105"/>
      <c r="B10" s="105"/>
      <c r="C10" s="105"/>
      <c r="D10" s="105"/>
      <c r="E10" s="105"/>
      <c r="J10" s="100"/>
      <c r="K10" s="100"/>
      <c r="O10" s="110">
        <f>SUM(O5:O9)</f>
        <v>293920</v>
      </c>
      <c r="Q10" s="110">
        <f>SUM(Q5:Q9)</f>
        <v>1028602</v>
      </c>
      <c r="S10" s="107">
        <f>SUM(S5:S9)</f>
        <v>0</v>
      </c>
      <c r="U10" s="107">
        <f>SUM(U5:U9)</f>
        <v>0</v>
      </c>
      <c r="V10" s="111">
        <f>SUM(V5:V9)</f>
        <v>1322522</v>
      </c>
      <c r="W10" s="83"/>
    </row>
    <row r="11" spans="1:24" ht="38.1" customHeight="1">
      <c r="J11" s="123" t="s">
        <v>94</v>
      </c>
      <c r="K11" s="123"/>
    </row>
    <row r="12" spans="1:24" ht="38.1" customHeight="1">
      <c r="J12" s="130" t="s">
        <v>97</v>
      </c>
      <c r="K12" s="130"/>
    </row>
    <row r="13" spans="1:24" ht="38.1" customHeight="1">
      <c r="J13" s="130" t="s">
        <v>95</v>
      </c>
      <c r="K13" s="130"/>
    </row>
    <row r="14" spans="1:24" ht="38.1" customHeight="1">
      <c r="Q14" s="109"/>
    </row>
  </sheetData>
  <mergeCells count="14">
    <mergeCell ref="J12:K12"/>
    <mergeCell ref="J13:K13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64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5"/>
  <sheetViews>
    <sheetView showGridLines="0" zoomScaleNormal="100" workbookViewId="0">
      <selection activeCell="E29" sqref="E29"/>
    </sheetView>
  </sheetViews>
  <sheetFormatPr defaultColWidth="9" defaultRowHeight="14.25"/>
  <cols>
    <col min="1" max="1" width="21.5" style="65" customWidth="1"/>
    <col min="2" max="2" width="16.25" style="65" customWidth="1"/>
    <col min="3" max="3" width="18.625" style="65" customWidth="1"/>
    <col min="4" max="4" width="20.75" style="65" customWidth="1"/>
    <col min="5" max="5" width="13" style="65" customWidth="1"/>
    <col min="6" max="6" width="7.5" style="65" customWidth="1"/>
    <col min="7" max="16384" width="9" style="93"/>
  </cols>
  <sheetData>
    <row r="1" spans="1:7" ht="18" customHeight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>
      <c r="A2" s="85" t="str">
        <f>'내역서(표준단가)'!A5</f>
        <v>L003</v>
      </c>
      <c r="B2" s="86">
        <f>'내역서(표준단가)'!F5</f>
        <v>0</v>
      </c>
      <c r="C2" s="86">
        <f>'내역서(표준단가)'!G5</f>
        <v>0</v>
      </c>
      <c r="D2" s="86">
        <f>'내역서(표준단가)'!H5</f>
        <v>0</v>
      </c>
      <c r="E2" s="86" t="str">
        <f>'내역서(표준단가)'!I5</f>
        <v>L003</v>
      </c>
      <c r="F2" s="112">
        <f>'내역서(표준단가)'!M5</f>
        <v>0.5</v>
      </c>
      <c r="G2" s="66"/>
    </row>
    <row r="3" spans="1:7">
      <c r="A3" s="85" t="str">
        <f>'내역서(표준단가)'!A6</f>
        <v>M020490613400101</v>
      </c>
      <c r="B3" s="86">
        <f>'내역서(표준단가)'!F6</f>
        <v>0</v>
      </c>
      <c r="C3" s="86">
        <f>'내역서(표준단가)'!G6</f>
        <v>0</v>
      </c>
      <c r="D3" s="86" t="str">
        <f>'내역서(표준단가)'!H6</f>
        <v>M020490613400101</v>
      </c>
      <c r="E3" s="86">
        <f>'내역서(표준단가)'!I6</f>
        <v>0</v>
      </c>
      <c r="F3" s="112">
        <f>'내역서(표준단가)'!M6</f>
        <v>4</v>
      </c>
    </row>
    <row r="4" spans="1:7">
      <c r="A4" s="85" t="str">
        <f>'내역서(표준단가)'!A7</f>
        <v>L009</v>
      </c>
      <c r="B4" s="86">
        <f>'내역서(표준단가)'!F7</f>
        <v>0</v>
      </c>
      <c r="C4" s="86">
        <f>'내역서(표준단가)'!G7</f>
        <v>0</v>
      </c>
      <c r="D4" s="86">
        <f>'내역서(표준단가)'!H7</f>
        <v>0</v>
      </c>
      <c r="E4" s="86" t="str">
        <f>'내역서(표준단가)'!I7</f>
        <v>L009</v>
      </c>
      <c r="F4" s="112">
        <f>'내역서(표준단가)'!M7</f>
        <v>2</v>
      </c>
    </row>
    <row r="5" spans="1:7">
      <c r="A5" s="85" t="str">
        <f>'내역서(표준단가)'!A8</f>
        <v>L003</v>
      </c>
      <c r="B5" s="86">
        <f>'내역서(표준단가)'!F8</f>
        <v>0</v>
      </c>
      <c r="C5" s="86">
        <f>'내역서(표준단가)'!G8</f>
        <v>0</v>
      </c>
      <c r="D5" s="86">
        <f>'내역서(표준단가)'!H8</f>
        <v>0</v>
      </c>
      <c r="E5" s="86" t="str">
        <f>'내역서(표준단가)'!I8</f>
        <v>L003</v>
      </c>
      <c r="F5" s="112">
        <f>'내역서(표준단가)'!M8</f>
        <v>2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2025-09-04T07:59:33Z</cp:lastPrinted>
  <dcterms:created xsi:type="dcterms:W3CDTF">2020-09-15T23:52:51Z</dcterms:created>
  <dcterms:modified xsi:type="dcterms:W3CDTF">2025-09-18T06:59:00Z</dcterms:modified>
</cp:coreProperties>
</file>
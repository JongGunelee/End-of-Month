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현재_통합_문서"/>
  <xr:revisionPtr revIDLastSave="0" documentId="13_ncr:1_{975FDB79-8E36-43BA-A63F-DE3BB0C960A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  <sheet name="도면(5동 붙박이장)" sheetId="12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C4" i="1"/>
  <c r="B4" i="1"/>
  <c r="F3" i="1"/>
  <c r="E3" i="1"/>
  <c r="D3" i="1"/>
  <c r="C3" i="1"/>
  <c r="B3" i="1"/>
  <c r="F8" i="4" l="1"/>
  <c r="O8" i="4"/>
  <c r="F2" i="1" l="1"/>
  <c r="E2" i="1"/>
  <c r="D2" i="1"/>
  <c r="C2" i="1"/>
  <c r="B2" i="1"/>
  <c r="Q7" i="4"/>
  <c r="O7" i="4"/>
  <c r="M7" i="4"/>
  <c r="K7" i="4"/>
  <c r="A7" i="4"/>
  <c r="A4" i="1" s="1"/>
  <c r="Q6" i="4"/>
  <c r="O6" i="4"/>
  <c r="M6" i="4"/>
  <c r="K6" i="4"/>
  <c r="A6" i="4"/>
  <c r="A3" i="1" s="1"/>
  <c r="R7" i="4" l="1"/>
  <c r="R6" i="4"/>
  <c r="M5" i="4" l="1"/>
  <c r="K8" i="4" l="1"/>
  <c r="Q8" i="4"/>
  <c r="M8" i="4"/>
  <c r="A8" i="4"/>
  <c r="Q5" i="4"/>
  <c r="O5" i="4"/>
  <c r="K5" i="4"/>
  <c r="A5" i="4"/>
  <c r="A2" i="1" s="1"/>
  <c r="R5" i="4" l="1"/>
  <c r="R8" i="4"/>
  <c r="Q9" i="4" l="1"/>
  <c r="M9" i="4"/>
  <c r="O9" i="4" l="1"/>
  <c r="R9" i="4" l="1"/>
  <c r="F18" i="5" l="1"/>
  <c r="K9" i="4" l="1"/>
  <c r="F17" i="5" l="1"/>
  <c r="F16" i="5"/>
  <c r="F21" i="5" l="1"/>
  <c r="F22" i="5"/>
  <c r="F26" i="5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<sst xmlns="http://schemas.openxmlformats.org/spreadsheetml/2006/main" count="146" uniqueCount="119">
  <si>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</si>
  <si>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</si>
  <si>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</si>
  <si>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</si>
  <si>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</si>
  <si>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</si>
  <si>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</si>
  <si>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</si>
  <si>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</si>
  <si>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</si>
  <si>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</si>
  <si>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</si>
  <si>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</si>
  <si>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</si>
  <si>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</si>
  <si>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</si>
  <si>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</si>
  <si>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</si>
  <si>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</si>
  <si>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</si>
  <si>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</si>
  <si>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</si>
  <si>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</si>
  <si>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</si>
  <si>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</si>
  <si>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</si>
  <si>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</si>
  <si>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</si>
  <si>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</si>
  <si>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</si>
  <si>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</si>
  <si>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</si>
  <si>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</si>
  <si>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</si>
  <si>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</si>
  <si>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</si>
  <si>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</si>
  <si>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</si>
  <si>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</si>
  <si>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</si>
  <si>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</si>
  <si>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</si>
  <si>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</si>
  <si>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</si>
  <si>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</si>
  <si>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</si>
  <si>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</si>
  <si>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</si>
  <si>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</si>
  <si>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</si>
  <si>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</si>
  <si>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</si>
  <si>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</si>
  <si>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</si>
  <si>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</si>
  <si>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</si>
  <si>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</si>
  <si>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</si>
  <si>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</si>
  <si>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</si>
  <si>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</si>
  <si>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</si>
  <si>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</si>
  <si>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</si>
  <si>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</si>
  <si>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</si>
  <si>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</si>
  <si>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</si>
  <si>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</si>
  <si>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</si>
  <si>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</si>
  <si>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</si>
  <si>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</si>
  <si>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</si>
  <si>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</si>
  <si>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</si>
  <si>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</si>
  <si>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인</t>
    <phoneticPr fontId="6" type="noConversion"/>
  </si>
  <si>
    <t>L002</t>
  </si>
  <si>
    <t>영선,건축</t>
    <phoneticPr fontId="6" type="noConversion"/>
  </si>
  <si>
    <t>■ 붙박이장 전문업체 견적서(999999)</t>
    <phoneticPr fontId="8" type="noConversion"/>
  </si>
  <si>
    <t>단가</t>
    <phoneticPr fontId="8" type="noConversion"/>
  </si>
  <si>
    <t>붙박이장</t>
    <phoneticPr fontId="8" type="noConversion"/>
  </si>
  <si>
    <t>도면참도</t>
    <phoneticPr fontId="8" type="noConversion"/>
  </si>
  <si>
    <t>시중가</t>
    <phoneticPr fontId="8" type="noConversion"/>
  </si>
  <si>
    <t>시중노임단가</t>
    <phoneticPr fontId="6" type="noConversion"/>
  </si>
  <si>
    <t>신호수(보통인부)</t>
    <phoneticPr fontId="6" type="noConversion"/>
  </si>
  <si>
    <t>붙박이장 제작설치, 전문업체 견적서</t>
    <phoneticPr fontId="6" type="noConversion"/>
  </si>
  <si>
    <t>고소장비 임대(1TON, 사다리차, 반일)</t>
    <phoneticPr fontId="6" type="noConversion"/>
  </si>
  <si>
    <t>set</t>
    <phoneticPr fontId="6" type="noConversion"/>
  </si>
  <si>
    <t>도면참조</t>
    <phoneticPr fontId="6" type="noConversion"/>
  </si>
  <si>
    <t>L003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</si>
  <si>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</si>
  <si>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</si>
  <si>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</si>
  <si>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</si>
  <si>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</si>
  <si>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</si>
  <si>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</si>
  <si>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</si>
  <si>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</si>
  <si>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</si>
  <si>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</si>
  <si>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</si>
  <si>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</si>
  <si>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</si>
  <si>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</si>
  <si>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</si>
  <si>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</si>
  <si>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</si>
  <si>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</si>
  <si>
    <t> (재료비+노무비)*3.11%</t>
    <phoneticPr fontId="14" type="noConversion"/>
  </si>
  <si>
    <t>L048</t>
  </si>
  <si>
    <t xml:space="preserve">고소장비 임대(1TON, 사다리차, 반일)=건설기계운전자 적용, </t>
    <phoneticPr fontId="6" type="noConversion"/>
  </si>
  <si>
    <t>자재 및 폐기물 운반, 특별인부</t>
    <phoneticPr fontId="6" type="noConversion"/>
  </si>
  <si>
    <t> 노무비*4.75%</t>
    <phoneticPr fontId="14" type="noConversion"/>
  </si>
  <si>
    <t> 노무비*3.595%</t>
    <phoneticPr fontId="14" type="noConversion"/>
  </si>
  <si>
    <t xml:space="preserve"> 공사명 : 사택 5-506 붙박이장 신설(고층장비)</t>
    <phoneticPr fontId="12" type="noConversion"/>
  </si>
  <si>
    <t xml:space="preserve"> 견적일 : 2026년  08월  18일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</si>
</sst>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;\-#,##0;"/>
    <numFmt numFmtId="184" formatCode="0.000"/>
    <numFmt numFmtId="185" formatCode="0.0_ 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22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65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9" fontId="22" fillId="0" borderId="3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0" fontId="17" fillId="0" borderId="0" xfId="3" applyFont="1" applyAlignment="1">
      <alignment horizontal="center" vertical="center" shrinkToFit="1"/>
    </xf>
    <xf numFmtId="49" fontId="17" fillId="0" borderId="0" xfId="0" applyNumberFormat="1" applyFont="1" applyAlignment="1">
      <alignment horizontal="center" vertical="center" wrapText="1"/>
    </xf>
    <xf numFmtId="177" fontId="17" fillId="0" borderId="0" xfId="1" applyFont="1" applyFill="1" applyBorder="1" applyAlignment="1">
      <alignment horizontal="center" vertical="center"/>
    </xf>
    <xf numFmtId="177" fontId="17" fillId="0" borderId="0" xfId="1" applyFont="1" applyBorder="1" applyAlignment="1">
      <alignment horizontal="center" vertical="center" wrapText="1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49" fontId="21" fillId="7" borderId="3" xfId="0" applyNumberFormat="1" applyFont="1" applyFill="1" applyBorder="1" applyAlignment="1">
      <alignment vertical="center" wrapText="1"/>
    </xf>
    <xf numFmtId="0" fontId="17" fillId="7" borderId="3" xfId="0" applyFont="1" applyFill="1" applyBorder="1">
      <alignment vertical="center"/>
    </xf>
    <xf numFmtId="177" fontId="17" fillId="0" borderId="3" xfId="1" applyFont="1" applyFill="1" applyBorder="1" applyAlignment="1">
      <alignment vertical="center" wrapText="1"/>
    </xf>
    <xf numFmtId="9" fontId="17" fillId="0" borderId="3" xfId="0" applyNumberFormat="1" applyFont="1" applyBorder="1">
      <alignment vertical="center"/>
    </xf>
    <xf numFmtId="0" fontId="17" fillId="0" borderId="23" xfId="0" applyFont="1" applyBorder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3" xfId="0" applyNumberFormat="1" applyFont="1" applyBorder="1" applyAlignment="1">
      <alignment horizontal="center" vertical="center" wrapText="1"/>
    </xf>
    <xf numFmtId="0" fontId="23" fillId="0" borderId="34" xfId="19" applyFont="1" applyBorder="1">
      <alignment vertical="center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177" fontId="21" fillId="6" borderId="25" xfId="20" applyFont="1" applyFill="1" applyBorder="1" applyAlignment="1">
      <alignment horizontal="center" vertical="center"/>
    </xf>
    <xf numFmtId="177" fontId="21" fillId="6" borderId="35" xfId="20" applyFont="1" applyFill="1" applyBorder="1" applyAlignment="1">
      <alignment horizontal="center" vertical="center"/>
    </xf>
    <xf numFmtId="177" fontId="21" fillId="6" borderId="26" xfId="20" applyFont="1" applyFill="1" applyBorder="1" applyAlignment="1">
      <alignment horizontal="center" vertical="center"/>
    </xf>
    <xf numFmtId="0" fontId="17" fillId="5" borderId="28" xfId="20" applyNumberFormat="1" applyFont="1" applyFill="1" applyBorder="1" applyAlignment="1">
      <alignment horizontal="center" vertical="center"/>
    </xf>
    <xf numFmtId="177" fontId="17" fillId="0" borderId="36" xfId="20" applyFont="1" applyFill="1" applyBorder="1" applyAlignment="1">
      <alignment horizontal="center" vertical="center" shrinkToFit="1"/>
    </xf>
    <xf numFmtId="177" fontId="22" fillId="10" borderId="36" xfId="20" applyFont="1" applyFill="1" applyBorder="1" applyAlignment="1">
      <alignment horizontal="center" vertical="center"/>
    </xf>
    <xf numFmtId="0" fontId="22" fillId="5" borderId="29" xfId="19" applyFont="1" applyFill="1" applyBorder="1" applyAlignment="1">
      <alignment horizontal="center" vertical="center"/>
    </xf>
    <xf numFmtId="0" fontId="17" fillId="5" borderId="0" xfId="20" applyNumberFormat="1" applyFont="1" applyFill="1" applyBorder="1" applyAlignment="1">
      <alignment horizontal="center" vertical="center"/>
    </xf>
    <xf numFmtId="177" fontId="17" fillId="0" borderId="0" xfId="20" applyFont="1" applyFill="1" applyBorder="1" applyAlignment="1">
      <alignment horizontal="center" vertical="center" shrinkToFit="1"/>
    </xf>
    <xf numFmtId="0" fontId="22" fillId="5" borderId="0" xfId="19" applyFont="1" applyFill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21" applyFont="1">
      <alignment vertical="center"/>
    </xf>
    <xf numFmtId="183" fontId="17" fillId="5" borderId="3" xfId="0" applyNumberFormat="1" applyFont="1" applyFill="1" applyBorder="1" applyAlignment="1">
      <alignment horizontal="right" vertical="center" wrapText="1"/>
    </xf>
    <xf numFmtId="183" fontId="17" fillId="5" borderId="3" xfId="0" applyNumberFormat="1" applyFont="1" applyFill="1" applyBorder="1" applyAlignment="1">
      <alignment horizontal="right" vertical="center"/>
    </xf>
    <xf numFmtId="183" fontId="17" fillId="6" borderId="3" xfId="1" applyNumberFormat="1" applyFont="1" applyFill="1" applyBorder="1" applyAlignment="1">
      <alignment horizontal="right" vertical="center" wrapText="1"/>
    </xf>
    <xf numFmtId="183" fontId="17" fillId="0" borderId="3" xfId="1" applyNumberFormat="1" applyFont="1" applyFill="1" applyBorder="1" applyAlignment="1">
      <alignment horizontal="right" vertical="center" wrapText="1"/>
    </xf>
    <xf numFmtId="183" fontId="17" fillId="0" borderId="3" xfId="0" applyNumberFormat="1" applyFont="1" applyBorder="1" applyAlignment="1">
      <alignment horizontal="right" vertical="center"/>
    </xf>
    <xf numFmtId="183" fontId="17" fillId="0" borderId="3" xfId="1" applyNumberFormat="1" applyFont="1" applyFill="1" applyBorder="1" applyAlignment="1">
      <alignment horizontal="right" vertical="center"/>
    </xf>
    <xf numFmtId="49" fontId="17" fillId="0" borderId="3" xfId="1" applyNumberFormat="1" applyFont="1" applyFill="1" applyBorder="1" applyAlignment="1">
      <alignment horizontal="center" vertical="center"/>
    </xf>
    <xf numFmtId="49" fontId="17" fillId="5" borderId="3" xfId="1" applyNumberFormat="1" applyFont="1" applyFill="1" applyBorder="1" applyAlignment="1">
      <alignment horizontal="center" vertical="center"/>
    </xf>
    <xf numFmtId="184" fontId="17" fillId="0" borderId="3" xfId="1" applyNumberFormat="1" applyFont="1" applyFill="1" applyBorder="1" applyAlignment="1">
      <alignment horizontal="center" vertical="center"/>
    </xf>
    <xf numFmtId="184" fontId="17" fillId="5" borderId="3" xfId="1" applyNumberFormat="1" applyFont="1" applyFill="1" applyBorder="1" applyAlignment="1">
      <alignment horizontal="center" vertical="center"/>
    </xf>
    <xf numFmtId="49" fontId="17" fillId="0" borderId="3" xfId="3" applyNumberFormat="1" applyFont="1" applyBorder="1" applyAlignment="1">
      <alignment horizontal="center" vertical="center" wrapText="1" shrinkToFit="1"/>
    </xf>
    <xf numFmtId="49" fontId="17" fillId="0" borderId="3" xfId="1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177" fontId="13" fillId="10" borderId="0" xfId="0" applyNumberFormat="1" applyFont="1" applyFill="1">
      <alignment vertical="center"/>
    </xf>
    <xf numFmtId="0" fontId="21" fillId="0" borderId="0" xfId="0" applyFont="1">
      <alignment vertical="center"/>
    </xf>
    <xf numFmtId="177" fontId="21" fillId="0" borderId="0" xfId="0" applyNumberFormat="1" applyFont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0" fontId="17" fillId="0" borderId="3" xfId="3" applyFont="1" applyBorder="1" applyAlignment="1">
      <alignment horizontal="center" vertical="center" wrapText="1" shrinkToFit="1"/>
    </xf>
    <xf numFmtId="183" fontId="24" fillId="11" borderId="3" xfId="0" applyNumberFormat="1" applyFont="1" applyFill="1" applyBorder="1" applyAlignment="1">
      <alignment horizontal="right" vertical="center" wrapText="1"/>
    </xf>
    <xf numFmtId="183" fontId="24" fillId="5" borderId="3" xfId="0" applyNumberFormat="1" applyFont="1" applyFill="1" applyBorder="1" applyAlignment="1">
      <alignment horizontal="right" vertical="center" wrapText="1"/>
    </xf>
    <xf numFmtId="185" fontId="17" fillId="0" borderId="1" xfId="1" applyNumberFormat="1" applyFont="1" applyBorder="1" applyAlignment="1">
      <alignment horizontal="center" vertical="center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2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" xfId="20" xr:uid="{C58DB114-3DFC-48BF-B279-68E81CF1801D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39459</xdr:rowOff>
    </xdr:from>
    <xdr:to>
      <xdr:col>13</xdr:col>
      <xdr:colOff>645583</xdr:colOff>
      <xdr:row>38</xdr:row>
      <xdr:rowOff>58614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30EAF3F-C235-4678-ACC9-9393686E0143}"/>
            </a:ext>
          </a:extLst>
        </xdr:cNvPr>
        <xdr:cNvSpPr/>
      </xdr:nvSpPr>
      <xdr:spPr>
        <a:xfrm>
          <a:off x="0" y="1219094"/>
          <a:ext cx="12822929" cy="524325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가구 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402167</xdr:colOff>
      <xdr:row>9</xdr:row>
      <xdr:rowOff>169333</xdr:rowOff>
    </xdr:from>
    <xdr:to>
      <xdr:col>3</xdr:col>
      <xdr:colOff>560014</xdr:colOff>
      <xdr:row>37</xdr:row>
      <xdr:rowOff>3502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D76C012-95B1-46D2-9DDA-9AA4E3167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167" y="2074333"/>
          <a:ext cx="3512764" cy="4943477"/>
        </a:xfrm>
        <a:prstGeom prst="rect">
          <a:avLst/>
        </a:prstGeom>
      </xdr:spPr>
    </xdr:pic>
    <xdr:clientData/>
  </xdr:twoCellAnchor>
  <xdr:twoCellAnchor editAs="oneCell">
    <xdr:from>
      <xdr:col>4</xdr:col>
      <xdr:colOff>296335</xdr:colOff>
      <xdr:row>9</xdr:row>
      <xdr:rowOff>159353</xdr:rowOff>
    </xdr:from>
    <xdr:to>
      <xdr:col>8</xdr:col>
      <xdr:colOff>342824</xdr:colOff>
      <xdr:row>37</xdr:row>
      <xdr:rowOff>23608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AB1048F-A822-47E1-90B2-88E7D79A3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2" y="2064353"/>
          <a:ext cx="3538989" cy="4973563"/>
        </a:xfrm>
        <a:prstGeom prst="rect">
          <a:avLst/>
        </a:prstGeom>
      </xdr:spPr>
    </xdr:pic>
    <xdr:clientData/>
  </xdr:twoCellAnchor>
  <xdr:twoCellAnchor editAs="oneCell">
    <xdr:from>
      <xdr:col>8</xdr:col>
      <xdr:colOff>825500</xdr:colOff>
      <xdr:row>9</xdr:row>
      <xdr:rowOff>102170</xdr:rowOff>
    </xdr:from>
    <xdr:to>
      <xdr:col>12</xdr:col>
      <xdr:colOff>635000</xdr:colOff>
      <xdr:row>36</xdr:row>
      <xdr:rowOff>182752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C11E000A-5D21-4D39-A887-0344EB9ED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8417" y="2007170"/>
          <a:ext cx="3566583" cy="50067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365125</xdr:colOff>
      <xdr:row>1</xdr:row>
      <xdr:rowOff>63501</xdr:rowOff>
    </xdr:from>
    <xdr:to>
      <xdr:col>13</xdr:col>
      <xdr:colOff>252493</xdr:colOff>
      <xdr:row>38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75FB14-9725-42FA-99F4-0D8B876AE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25" y="279401"/>
          <a:ext cx="8802768" cy="6692899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285751</xdr:colOff>
      <xdr:row>37</xdr:row>
      <xdr:rowOff>142876</xdr:rowOff>
    </xdr:from>
    <xdr:to>
      <xdr:col>9</xdr:col>
      <xdr:colOff>48581</xdr:colOff>
      <xdr:row>74</xdr:row>
      <xdr:rowOff>111125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291F6AD-05D1-47CA-87B8-8A44D0272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6251" y="6604001"/>
          <a:ext cx="3175955" cy="6429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K16" sqref="K16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47" t="s">
        <v>6</v>
      </c>
      <c r="B2" s="147"/>
      <c r="C2" s="147"/>
      <c r="D2" s="147"/>
      <c r="E2" s="147"/>
      <c r="F2" s="147"/>
      <c r="G2" s="147"/>
      <c r="H2" s="2"/>
    </row>
    <row r="3" spans="1:9" ht="14.25" x14ac:dyDescent="0.2">
      <c r="A3" s="91"/>
      <c r="B3" s="91"/>
      <c r="C3" s="91"/>
      <c r="D3" s="91"/>
      <c r="E3" s="91"/>
      <c r="F3" s="91"/>
      <c r="G3" s="91"/>
      <c r="H3" s="91"/>
    </row>
    <row r="4" spans="1:9" ht="14.25" x14ac:dyDescent="0.2">
      <c r="A4" s="91"/>
      <c r="B4" s="91"/>
      <c r="C4" s="91"/>
      <c r="D4" s="91"/>
      <c r="E4" s="91"/>
      <c r="H4" s="91"/>
    </row>
    <row r="5" spans="1:9" ht="27" customHeight="1" x14ac:dyDescent="0.2">
      <c r="A5" s="92" t="s">
        <v>63</v>
      </c>
      <c r="B5" s="4"/>
      <c r="C5" s="5"/>
      <c r="D5" s="91"/>
      <c r="E5" s="91"/>
      <c r="F5" s="6" t="s">
        <v>37</v>
      </c>
      <c r="G5" s="7" t="s">
        <v>66</v>
      </c>
      <c r="H5" s="91"/>
    </row>
    <row r="6" spans="1:9" ht="27" customHeight="1" x14ac:dyDescent="0.2">
      <c r="A6" s="91"/>
      <c r="B6" s="91"/>
      <c r="C6" s="91"/>
      <c r="D6" s="91"/>
      <c r="E6" s="91"/>
      <c r="F6" s="8" t="s">
        <v>40</v>
      </c>
      <c r="G6" s="9" t="s">
        <v>67</v>
      </c>
      <c r="H6" s="91"/>
    </row>
    <row r="7" spans="1:9" ht="27" customHeight="1" x14ac:dyDescent="0.2">
      <c r="A7" s="150" t="s">
        <v>117</v>
      </c>
      <c r="B7" s="151"/>
      <c r="C7" s="152"/>
      <c r="D7" s="91"/>
      <c r="E7" s="10"/>
      <c r="F7" s="11" t="s">
        <v>41</v>
      </c>
      <c r="G7" s="9" t="s">
        <v>68</v>
      </c>
      <c r="H7" s="91"/>
    </row>
    <row r="8" spans="1:9" ht="27" customHeight="1" x14ac:dyDescent="0.2">
      <c r="A8" s="91"/>
      <c r="B8" s="91"/>
      <c r="C8" s="91"/>
      <c r="D8" s="91"/>
      <c r="E8" s="91"/>
      <c r="F8" s="8" t="s">
        <v>42</v>
      </c>
      <c r="G8" s="9" t="s">
        <v>69</v>
      </c>
      <c r="H8" s="91"/>
    </row>
    <row r="9" spans="1:9" ht="27" customHeight="1" x14ac:dyDescent="0.2">
      <c r="A9" s="150" t="s">
        <v>118</v>
      </c>
      <c r="B9" s="151"/>
      <c r="C9" s="152"/>
      <c r="D9" s="91"/>
      <c r="E9" s="91"/>
      <c r="F9" s="8" t="s">
        <v>43</v>
      </c>
      <c r="G9" s="9" t="s">
        <v>70</v>
      </c>
      <c r="H9" s="91"/>
    </row>
    <row r="10" spans="1:9" ht="27" customHeight="1" x14ac:dyDescent="0.2">
      <c r="A10" s="91"/>
      <c r="B10" s="91"/>
      <c r="C10" s="91"/>
      <c r="D10" s="91"/>
      <c r="E10" s="91"/>
      <c r="F10" s="12" t="s">
        <v>38</v>
      </c>
      <c r="G10" s="13" t="s">
        <v>71</v>
      </c>
      <c r="H10" s="91"/>
      <c r="I10" s="91"/>
    </row>
    <row r="11" spans="1:9" ht="27" customHeight="1" x14ac:dyDescent="0.2">
      <c r="A11" s="148"/>
      <c r="B11" s="149"/>
      <c r="C11" s="149"/>
      <c r="D11" s="91"/>
      <c r="E11" s="14"/>
      <c r="F11" s="15" t="s">
        <v>39</v>
      </c>
      <c r="G11" s="16" t="s">
        <v>72</v>
      </c>
      <c r="H11" s="14"/>
    </row>
    <row r="12" spans="1:9" ht="18.75" thickBot="1" x14ac:dyDescent="0.25">
      <c r="A12" s="17" t="s">
        <v>7</v>
      </c>
      <c r="B12" s="17" t="str">
        <f>NUMBERSTRING(F31,1)</f>
        <v>삼백칠만구천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1"/>
      <c r="B13" s="91"/>
      <c r="C13" s="91"/>
      <c r="D13" s="91"/>
      <c r="E13" s="91"/>
      <c r="F13" s="91"/>
      <c r="G13" s="91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'내역서(표준단가)'!K9</f>
        <v>2049000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'내역서(표준단가)'!M9</f>
        <v>787596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'내역서(표준단가)'!O9+'내역서(표준단가)'!Q9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2836596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40" t="s">
        <v>23</v>
      </c>
      <c r="C21" s="141" t="s">
        <v>115</v>
      </c>
      <c r="D21" s="142">
        <v>1</v>
      </c>
      <c r="E21" s="142" t="s">
        <v>24</v>
      </c>
      <c r="F21" s="143">
        <f>F17*4.75%</f>
        <v>37410.81</v>
      </c>
      <c r="G21" s="35" t="s">
        <v>25</v>
      </c>
    </row>
    <row r="22" spans="1:7" ht="33" customHeight="1" x14ac:dyDescent="0.2">
      <c r="A22" s="29"/>
      <c r="B22" s="144" t="s">
        <v>26</v>
      </c>
      <c r="C22" s="141" t="s">
        <v>116</v>
      </c>
      <c r="D22" s="145">
        <v>1</v>
      </c>
      <c r="E22" s="145" t="s">
        <v>24</v>
      </c>
      <c r="F22" s="146">
        <f>F17*3.595%</f>
        <v>28314.076200000003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64</v>
      </c>
      <c r="D23" s="30">
        <v>1</v>
      </c>
      <c r="E23" s="30" t="s">
        <v>24</v>
      </c>
      <c r="F23" s="43">
        <f>F22*12.95%</f>
        <v>3666.6728679000007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7954.7195999999994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65</v>
      </c>
      <c r="D25" s="30">
        <v>1</v>
      </c>
      <c r="E25" s="30" t="s">
        <v>24</v>
      </c>
      <c r="F25" s="43">
        <f>F17*3.56%</f>
        <v>28038.417600000001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111</v>
      </c>
      <c r="D26" s="30">
        <v>1</v>
      </c>
      <c r="E26" s="30" t="s">
        <v>24</v>
      </c>
      <c r="F26" s="43">
        <f>(F16+F17)*3.11%</f>
        <v>88218.135599999994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49059.941593395008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242662.773461295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3079258.7734612948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3079000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3"/>
  <sheetViews>
    <sheetView showGridLines="0" zoomScale="80" zoomScaleNormal="80" workbookViewId="0">
      <pane ySplit="4" topLeftCell="A5" activePane="bottomLeft" state="frozen"/>
      <selection pane="bottomLeft" activeCell="N17" sqref="N17"/>
    </sheetView>
  </sheetViews>
  <sheetFormatPr defaultColWidth="9" defaultRowHeight="38.1" customHeight="1" x14ac:dyDescent="0.3"/>
  <cols>
    <col min="1" max="1" width="22.625" style="134" bestFit="1" customWidth="1"/>
    <col min="2" max="2" width="11.125" style="62" hidden="1" customWidth="1"/>
    <col min="3" max="3" width="10.125" style="62" hidden="1" customWidth="1"/>
    <col min="4" max="4" width="10.5" style="62" hidden="1" customWidth="1"/>
    <col min="5" max="5" width="10.125" style="62" hidden="1" customWidth="1"/>
    <col min="6" max="6" width="32.875" style="122" customWidth="1"/>
    <col min="7" max="7" width="30.625" style="122" customWidth="1"/>
    <col min="8" max="8" width="12" style="62" bestFit="1" customWidth="1"/>
    <col min="9" max="9" width="6.5" style="62" bestFit="1" customWidth="1"/>
    <col min="10" max="10" width="12.5" style="62" bestFit="1" customWidth="1"/>
    <col min="11" max="11" width="15.625" style="62" bestFit="1" customWidth="1"/>
    <col min="12" max="12" width="10.625" style="62" bestFit="1" customWidth="1"/>
    <col min="13" max="13" width="13.25" style="62" bestFit="1" customWidth="1"/>
    <col min="14" max="14" width="11.375" style="62" bestFit="1" customWidth="1"/>
    <col min="15" max="15" width="8.75" style="62" bestFit="1" customWidth="1"/>
    <col min="16" max="16" width="6.125" style="62" customWidth="1"/>
    <col min="17" max="17" width="8.75" style="62" bestFit="1" customWidth="1"/>
    <col min="18" max="18" width="16.75" style="62" bestFit="1" customWidth="1"/>
    <col min="19" max="19" width="10.75" style="63" bestFit="1" customWidth="1"/>
    <col min="20" max="20" width="9.125" style="62" bestFit="1" customWidth="1"/>
    <col min="21" max="16384" width="9" style="62"/>
  </cols>
  <sheetData>
    <row r="1" spans="1:20" ht="19.899999999999999" customHeight="1" x14ac:dyDescent="0.3">
      <c r="A1" s="153"/>
      <c r="B1" s="153"/>
      <c r="C1" s="153"/>
      <c r="D1" s="153"/>
      <c r="E1" s="153"/>
      <c r="J1" s="63"/>
      <c r="K1" s="125" t="s">
        <v>92</v>
      </c>
      <c r="M1" s="125" t="s">
        <v>92</v>
      </c>
      <c r="O1" s="125" t="s">
        <v>92</v>
      </c>
      <c r="Q1" s="125" t="s">
        <v>92</v>
      </c>
    </row>
    <row r="2" spans="1:20" ht="19.899999999999999" customHeight="1" thickBot="1" x14ac:dyDescent="0.35">
      <c r="A2" s="153"/>
      <c r="B2" s="153"/>
      <c r="C2" s="153"/>
      <c r="D2" s="153"/>
      <c r="E2" s="153"/>
      <c r="J2" s="64"/>
      <c r="K2" s="65">
        <v>0.83499999999999996</v>
      </c>
      <c r="M2" s="65">
        <v>0.83499999999999996</v>
      </c>
      <c r="O2" s="65">
        <v>0.83499999999999996</v>
      </c>
      <c r="Q2" s="65">
        <v>0.83499999999999996</v>
      </c>
    </row>
    <row r="3" spans="1:20" ht="19.899999999999999" customHeight="1" x14ac:dyDescent="0.3">
      <c r="A3" s="126"/>
      <c r="B3" s="126" t="s">
        <v>93</v>
      </c>
      <c r="C3" s="127"/>
      <c r="D3" s="127"/>
      <c r="E3" s="127"/>
      <c r="F3" s="164" t="s">
        <v>94</v>
      </c>
      <c r="G3" s="164"/>
      <c r="H3" s="162" t="s">
        <v>50</v>
      </c>
      <c r="I3" s="162" t="s">
        <v>5</v>
      </c>
      <c r="J3" s="158" t="s">
        <v>95</v>
      </c>
      <c r="K3" s="158"/>
      <c r="L3" s="158" t="s">
        <v>96</v>
      </c>
      <c r="M3" s="158"/>
      <c r="N3" s="159" t="s">
        <v>97</v>
      </c>
      <c r="O3" s="159"/>
      <c r="P3" s="159" t="s">
        <v>98</v>
      </c>
      <c r="Q3" s="159"/>
      <c r="R3" s="160" t="s">
        <v>99</v>
      </c>
      <c r="S3" s="156" t="s">
        <v>100</v>
      </c>
      <c r="T3" s="154" t="s">
        <v>44</v>
      </c>
    </row>
    <row r="4" spans="1:20" ht="19.899999999999999" customHeight="1" x14ac:dyDescent="0.3">
      <c r="A4" s="66" t="s">
        <v>101</v>
      </c>
      <c r="B4" s="67" t="s">
        <v>102</v>
      </c>
      <c r="C4" s="67" t="s">
        <v>103</v>
      </c>
      <c r="D4" s="67" t="s">
        <v>104</v>
      </c>
      <c r="E4" s="67" t="s">
        <v>105</v>
      </c>
      <c r="F4" s="123" t="s">
        <v>106</v>
      </c>
      <c r="G4" s="123" t="s">
        <v>107</v>
      </c>
      <c r="H4" s="163"/>
      <c r="I4" s="163"/>
      <c r="J4" s="68" t="s">
        <v>108</v>
      </c>
      <c r="K4" s="69" t="s">
        <v>109</v>
      </c>
      <c r="L4" s="68" t="s">
        <v>81</v>
      </c>
      <c r="M4" s="69" t="s">
        <v>109</v>
      </c>
      <c r="N4" s="69" t="s">
        <v>110</v>
      </c>
      <c r="O4" s="69" t="s">
        <v>109</v>
      </c>
      <c r="P4" s="69" t="s">
        <v>110</v>
      </c>
      <c r="Q4" s="69" t="s">
        <v>109</v>
      </c>
      <c r="R4" s="161"/>
      <c r="S4" s="157"/>
      <c r="T4" s="155"/>
    </row>
    <row r="5" spans="1:20" s="128" customFormat="1" ht="38.1" customHeight="1" x14ac:dyDescent="0.3">
      <c r="A5" s="70" t="str">
        <f t="shared" ref="A5:A8" si="0">B5&amp;C5&amp;D5&amp;E5</f>
        <v>L003</v>
      </c>
      <c r="B5" s="72"/>
      <c r="C5" s="71"/>
      <c r="D5" s="71"/>
      <c r="E5" s="72" t="s">
        <v>91</v>
      </c>
      <c r="F5" s="93" t="s">
        <v>114</v>
      </c>
      <c r="G5" s="120" t="s">
        <v>85</v>
      </c>
      <c r="H5" s="116" t="s">
        <v>77</v>
      </c>
      <c r="I5" s="118">
        <v>1.5</v>
      </c>
      <c r="J5" s="114"/>
      <c r="K5" s="112">
        <f t="shared" ref="K5:K7" si="1">SUM(J5:J5)*I5*$K$2</f>
        <v>0</v>
      </c>
      <c r="L5" s="137">
        <v>224490</v>
      </c>
      <c r="M5" s="112">
        <f>I5*L5</f>
        <v>336735</v>
      </c>
      <c r="N5" s="113"/>
      <c r="O5" s="112">
        <f t="shared" ref="O5:O6" si="2">N5*I5*$O$2</f>
        <v>0</v>
      </c>
      <c r="P5" s="113"/>
      <c r="Q5" s="112">
        <f t="shared" ref="Q5:Q8" si="3">P5*I5*$Q$2</f>
        <v>0</v>
      </c>
      <c r="R5" s="73">
        <f t="shared" ref="R5:R8" si="4">SUM(K5+M5)+O5+Q5</f>
        <v>336735</v>
      </c>
      <c r="S5" s="74"/>
      <c r="T5" s="75"/>
    </row>
    <row r="6" spans="1:20" s="128" customFormat="1" ht="38.1" customHeight="1" x14ac:dyDescent="0.3">
      <c r="A6" s="70" t="str">
        <f t="shared" si="0"/>
        <v>L002</v>
      </c>
      <c r="B6" s="67"/>
      <c r="C6" s="67"/>
      <c r="D6" s="67"/>
      <c r="E6" s="72" t="s">
        <v>78</v>
      </c>
      <c r="F6" s="93" t="s">
        <v>86</v>
      </c>
      <c r="G6" s="93" t="s">
        <v>85</v>
      </c>
      <c r="H6" s="117" t="s">
        <v>77</v>
      </c>
      <c r="I6" s="118">
        <v>1</v>
      </c>
      <c r="J6" s="111"/>
      <c r="K6" s="112">
        <f t="shared" si="1"/>
        <v>0</v>
      </c>
      <c r="L6" s="138">
        <v>171037</v>
      </c>
      <c r="M6" s="112">
        <f>I6*L6</f>
        <v>171037</v>
      </c>
      <c r="N6" s="113"/>
      <c r="O6" s="112">
        <f t="shared" si="2"/>
        <v>0</v>
      </c>
      <c r="P6" s="113"/>
      <c r="Q6" s="112">
        <f t="shared" si="3"/>
        <v>0</v>
      </c>
      <c r="R6" s="88">
        <f t="shared" si="4"/>
        <v>171037</v>
      </c>
      <c r="S6" s="89"/>
      <c r="T6" s="90"/>
    </row>
    <row r="7" spans="1:20" s="128" customFormat="1" ht="38.1" customHeight="1" x14ac:dyDescent="0.3">
      <c r="A7" s="70" t="str">
        <f t="shared" ref="A7" si="5">B7&amp;C7&amp;D7&amp;E7</f>
        <v>L048</v>
      </c>
      <c r="B7" s="86"/>
      <c r="C7" s="87"/>
      <c r="D7" s="87"/>
      <c r="E7" s="72" t="s">
        <v>112</v>
      </c>
      <c r="F7" s="120" t="s">
        <v>88</v>
      </c>
      <c r="G7" s="121" t="s">
        <v>113</v>
      </c>
      <c r="H7" s="117" t="s">
        <v>77</v>
      </c>
      <c r="I7" s="119">
        <v>1</v>
      </c>
      <c r="J7" s="111"/>
      <c r="K7" s="112">
        <f t="shared" si="1"/>
        <v>0</v>
      </c>
      <c r="L7" s="138">
        <v>279824</v>
      </c>
      <c r="M7" s="112">
        <f>I7*L7</f>
        <v>279824</v>
      </c>
      <c r="N7" s="113"/>
      <c r="O7" s="112">
        <f t="shared" ref="O7" si="6">N7*I7*$O$2</f>
        <v>0</v>
      </c>
      <c r="P7" s="113"/>
      <c r="Q7" s="112">
        <f t="shared" ref="Q7" si="7">P7*I7*$Q$2</f>
        <v>0</v>
      </c>
      <c r="R7" s="88">
        <f t="shared" ref="R7" si="8">SUM(K7+M7)+O7+Q7</f>
        <v>279824</v>
      </c>
      <c r="S7" s="89"/>
      <c r="T7" s="90"/>
    </row>
    <row r="8" spans="1:20" s="128" customFormat="1" ht="38.1" customHeight="1" x14ac:dyDescent="0.3">
      <c r="A8" s="70" t="str">
        <f t="shared" si="0"/>
        <v/>
      </c>
      <c r="B8" s="72"/>
      <c r="C8" s="71"/>
      <c r="D8" s="71"/>
      <c r="E8" s="72"/>
      <c r="F8" s="136" t="str">
        <f>"시중가_"&amp;G8</f>
        <v>시중가_붙박이장 제작설치, 전문업체 견적서</v>
      </c>
      <c r="G8" s="120" t="s">
        <v>87</v>
      </c>
      <c r="H8" s="116" t="s">
        <v>89</v>
      </c>
      <c r="I8" s="118">
        <v>1</v>
      </c>
      <c r="J8" s="115">
        <v>2049000</v>
      </c>
      <c r="K8" s="112">
        <f>I8*J8</f>
        <v>2049000</v>
      </c>
      <c r="L8" s="110"/>
      <c r="M8" s="112">
        <f t="shared" ref="M8" si="9">(L8*I8)*$M$2</f>
        <v>0</v>
      </c>
      <c r="N8" s="115"/>
      <c r="O8" s="112">
        <f>N8*I8</f>
        <v>0</v>
      </c>
      <c r="P8" s="113"/>
      <c r="Q8" s="112">
        <f t="shared" si="3"/>
        <v>0</v>
      </c>
      <c r="R8" s="73">
        <f t="shared" si="4"/>
        <v>2049000</v>
      </c>
      <c r="S8" s="74"/>
      <c r="T8" s="75"/>
    </row>
    <row r="9" spans="1:20" s="130" customFormat="1" ht="38.1" customHeight="1" x14ac:dyDescent="0.3">
      <c r="A9" s="129"/>
      <c r="F9" s="124"/>
      <c r="G9" s="124"/>
      <c r="K9" s="131">
        <f>SUM(K5:K8)</f>
        <v>2049000</v>
      </c>
      <c r="L9" s="132"/>
      <c r="M9" s="131">
        <f>SUM(M5:M8)</f>
        <v>787596</v>
      </c>
      <c r="N9" s="132"/>
      <c r="O9" s="131">
        <f>SUM(O5:O8)</f>
        <v>0</v>
      </c>
      <c r="P9" s="132"/>
      <c r="Q9" s="131">
        <f>SUM(Q5:Q8)</f>
        <v>0</v>
      </c>
      <c r="R9" s="133">
        <f>SUM(R5:R8)</f>
        <v>2836596</v>
      </c>
      <c r="S9" s="76"/>
    </row>
    <row r="13" spans="1:20" ht="38.1" customHeight="1" x14ac:dyDescent="0.3">
      <c r="M13" s="13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F25B-CA44-4D2D-A7BA-7C46B4C55AAE}">
  <sheetPr codeName="Sheet3">
    <pageSetUpPr fitToPage="1"/>
  </sheetPr>
  <dimension ref="A3:P7"/>
  <sheetViews>
    <sheetView topLeftCell="A9" zoomScale="130" zoomScaleNormal="130" zoomScaleSheetLayoutView="85" workbookViewId="0">
      <selection activeCell="O8" sqref="O8"/>
    </sheetView>
  </sheetViews>
  <sheetFormatPr defaultColWidth="9" defaultRowHeight="14.25" x14ac:dyDescent="0.3"/>
  <cols>
    <col min="1" max="1" width="11.5" style="95" bestFit="1" customWidth="1"/>
    <col min="2" max="2" width="17.875" style="95" customWidth="1"/>
    <col min="3" max="3" width="14.625" style="95" customWidth="1"/>
    <col min="4" max="4" width="10.875" style="95" customWidth="1"/>
    <col min="5" max="5" width="12" style="95" customWidth="1"/>
    <col min="6" max="6" width="10.625" style="95" customWidth="1"/>
    <col min="7" max="7" width="13.625" style="96" customWidth="1"/>
    <col min="8" max="8" width="9.625" style="95" customWidth="1"/>
    <col min="9" max="9" width="13.625" style="95" customWidth="1"/>
    <col min="10" max="10" width="12.75" style="95" customWidth="1"/>
    <col min="11" max="11" width="9.25" style="95" customWidth="1"/>
    <col min="12" max="12" width="13.625" style="96" customWidth="1"/>
    <col min="13" max="13" width="9.625" style="95" customWidth="1"/>
    <col min="14" max="14" width="13.625" style="96" customWidth="1"/>
    <col min="15" max="15" width="18.75" style="97" customWidth="1"/>
    <col min="16" max="16" width="20.875" style="97" customWidth="1"/>
    <col min="17" max="16384" width="9" style="95"/>
  </cols>
  <sheetData>
    <row r="3" spans="1:5" x14ac:dyDescent="0.3">
      <c r="A3" s="94" t="s">
        <v>80</v>
      </c>
      <c r="B3" s="94"/>
    </row>
    <row r="4" spans="1:5" x14ac:dyDescent="0.3">
      <c r="A4" s="98" t="s">
        <v>73</v>
      </c>
      <c r="B4" s="99" t="s">
        <v>74</v>
      </c>
      <c r="C4" s="99" t="s">
        <v>75</v>
      </c>
      <c r="D4" s="99" t="s">
        <v>81</v>
      </c>
      <c r="E4" s="100" t="s">
        <v>76</v>
      </c>
    </row>
    <row r="5" spans="1:5" x14ac:dyDescent="0.3">
      <c r="A5" s="101">
        <v>999999</v>
      </c>
      <c r="B5" s="102" t="s">
        <v>82</v>
      </c>
      <c r="C5" s="102" t="s">
        <v>83</v>
      </c>
      <c r="D5" s="103">
        <v>2049000</v>
      </c>
      <c r="E5" s="104" t="s">
        <v>84</v>
      </c>
    </row>
    <row r="7" spans="1:5" x14ac:dyDescent="0.3">
      <c r="A7" s="105"/>
      <c r="B7" s="106"/>
      <c r="C7" s="106"/>
      <c r="D7" s="106"/>
      <c r="E7" s="107"/>
    </row>
  </sheetData>
  <phoneticPr fontId="6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4"/>
  <sheetViews>
    <sheetView workbookViewId="0">
      <selection activeCell="H12" sqref="H12"/>
    </sheetView>
  </sheetViews>
  <sheetFormatPr defaultRowHeight="14.25" x14ac:dyDescent="0.3"/>
  <cols>
    <col min="1" max="1" width="11.125" style="108" customWidth="1"/>
    <col min="2" max="2" width="13.375" style="108" customWidth="1"/>
    <col min="3" max="3" width="38.75" style="108" customWidth="1"/>
    <col min="4" max="4" width="28.75" style="108" customWidth="1"/>
    <col min="5" max="5" width="5" style="108" customWidth="1"/>
    <col min="6" max="6" width="6.25" style="108" customWidth="1"/>
    <col min="7" max="7" width="12.625" style="108" customWidth="1"/>
    <col min="8" max="8" width="11.875" style="108" customWidth="1"/>
    <col min="9" max="9" width="10" style="108" customWidth="1"/>
    <col min="10" max="10" width="11.875" style="108" customWidth="1"/>
    <col min="11" max="11" width="10" style="108" customWidth="1"/>
    <col min="12" max="12" width="11.875" style="108" customWidth="1"/>
    <col min="13" max="13" width="10" style="108" customWidth="1"/>
    <col min="14" max="14" width="11.875" style="108" customWidth="1"/>
    <col min="15" max="15" width="9.125" style="108" customWidth="1"/>
    <col min="16" max="16" width="11.5" style="108" customWidth="1"/>
    <col min="17" max="17" width="11.75" style="108" customWidth="1"/>
    <col min="18" max="18" width="17.875" style="108" customWidth="1"/>
    <col min="19" max="16384" width="9" style="108"/>
  </cols>
  <sheetData>
    <row r="1" spans="1:18" ht="18" customHeight="1" x14ac:dyDescent="0.3">
      <c r="A1" s="78" t="s">
        <v>46</v>
      </c>
      <c r="B1" s="79" t="s">
        <v>47</v>
      </c>
      <c r="C1" s="79" t="s">
        <v>48</v>
      </c>
      <c r="D1" s="79" t="s">
        <v>49</v>
      </c>
      <c r="E1" s="79" t="s">
        <v>50</v>
      </c>
      <c r="F1" s="79" t="s">
        <v>5</v>
      </c>
      <c r="G1" s="79" t="s">
        <v>51</v>
      </c>
      <c r="H1" s="79" t="s">
        <v>52</v>
      </c>
      <c r="I1" s="79" t="s">
        <v>53</v>
      </c>
      <c r="J1" s="79" t="s">
        <v>54</v>
      </c>
      <c r="K1" s="79" t="s">
        <v>55</v>
      </c>
      <c r="L1" s="79" t="s">
        <v>56</v>
      </c>
      <c r="M1" s="79" t="s">
        <v>57</v>
      </c>
      <c r="N1" s="79" t="s">
        <v>58</v>
      </c>
      <c r="O1" s="79" t="s">
        <v>59</v>
      </c>
      <c r="P1" s="79" t="s">
        <v>60</v>
      </c>
      <c r="Q1" s="79" t="s">
        <v>61</v>
      </c>
      <c r="R1" s="79" t="s">
        <v>62</v>
      </c>
    </row>
    <row r="2" spans="1:18" x14ac:dyDescent="0.3">
      <c r="A2" s="63">
        <v>999999</v>
      </c>
      <c r="B2" s="62" t="s">
        <v>79</v>
      </c>
      <c r="C2" s="80" t="s">
        <v>87</v>
      </c>
      <c r="D2" s="63" t="s">
        <v>90</v>
      </c>
      <c r="E2" s="81" t="s">
        <v>89</v>
      </c>
      <c r="F2" s="82">
        <v>1</v>
      </c>
      <c r="G2" s="83">
        <v>2049000</v>
      </c>
      <c r="H2" s="77"/>
      <c r="I2" s="77"/>
      <c r="J2" s="62"/>
      <c r="K2" s="62"/>
      <c r="L2" s="62"/>
      <c r="M2" s="62"/>
      <c r="N2" s="62"/>
      <c r="O2" s="62"/>
      <c r="P2" s="62"/>
      <c r="Q2" s="62"/>
      <c r="R2" s="62"/>
    </row>
    <row r="3" spans="1:18" x14ac:dyDescent="0.3">
      <c r="D3" s="63"/>
    </row>
    <row r="4" spans="1:18" x14ac:dyDescent="0.3">
      <c r="D4" s="63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4"/>
  <sheetViews>
    <sheetView showGridLines="0" zoomScaleNormal="100" workbookViewId="0">
      <selection activeCell="K30" sqref="K30"/>
    </sheetView>
  </sheetViews>
  <sheetFormatPr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108"/>
  </cols>
  <sheetData>
    <row r="1" spans="1:6" ht="18" customHeight="1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</row>
    <row r="2" spans="1:6" x14ac:dyDescent="0.3">
      <c r="A2" s="84" t="str">
        <f>'내역서(표준단가)'!A5</f>
        <v>L003</v>
      </c>
      <c r="B2" s="85">
        <f>'내역서(표준단가)'!B5</f>
        <v>0</v>
      </c>
      <c r="C2" s="85">
        <f>'내역서(표준단가)'!C5</f>
        <v>0</v>
      </c>
      <c r="D2" s="85">
        <f>'내역서(표준단가)'!D5</f>
        <v>0</v>
      </c>
      <c r="E2" s="85" t="str">
        <f>'내역서(표준단가)'!E5</f>
        <v>L003</v>
      </c>
      <c r="F2" s="139">
        <f>'내역서(표준단가)'!I5</f>
        <v>1.5</v>
      </c>
    </row>
    <row r="3" spans="1:6" x14ac:dyDescent="0.3">
      <c r="A3" s="84" t="str">
        <f>'내역서(표준단가)'!A6</f>
        <v>L002</v>
      </c>
      <c r="B3" s="85">
        <f>'내역서(표준단가)'!B6</f>
        <v>0</v>
      </c>
      <c r="C3" s="85">
        <f>'내역서(표준단가)'!C6</f>
        <v>0</v>
      </c>
      <c r="D3" s="85">
        <f>'내역서(표준단가)'!D6</f>
        <v>0</v>
      </c>
      <c r="E3" s="85" t="str">
        <f>'내역서(표준단가)'!E6</f>
        <v>L002</v>
      </c>
      <c r="F3" s="139">
        <f>'내역서(표준단가)'!I6</f>
        <v>1</v>
      </c>
    </row>
    <row r="4" spans="1:6" x14ac:dyDescent="0.3">
      <c r="A4" s="84" t="str">
        <f>'내역서(표준단가)'!A7</f>
        <v>L048</v>
      </c>
      <c r="B4" s="85">
        <f>'내역서(표준단가)'!B7</f>
        <v>0</v>
      </c>
      <c r="C4" s="85">
        <f>'내역서(표준단가)'!C7</f>
        <v>0</v>
      </c>
      <c r="D4" s="85">
        <f>'내역서(표준단가)'!D7</f>
        <v>0</v>
      </c>
      <c r="E4" s="85" t="str">
        <f>'내역서(표준단가)'!E7</f>
        <v>L048</v>
      </c>
      <c r="F4" s="139">
        <f>'내역서(표준단가)'!I7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89C9-E996-49B3-8AFC-AFE4E27CD052}">
  <sheetPr codeName="Sheet6"/>
  <dimension ref="A1"/>
  <sheetViews>
    <sheetView tabSelected="1" view="pageBreakPreview" zoomScale="60" zoomScaleNormal="40" workbookViewId="0">
      <selection activeCell="X55" sqref="X55"/>
    </sheetView>
  </sheetViews>
  <sheetFormatPr defaultColWidth="9" defaultRowHeight="14.25" x14ac:dyDescent="0.3"/>
  <cols>
    <col min="1" max="16384" width="9" style="109"/>
  </cols>
  <sheetData/>
  <phoneticPr fontId="6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시중가 근거서류</vt:lpstr>
      <vt:lpstr>Upload(시중가)</vt:lpstr>
      <vt:lpstr>Upload</vt:lpstr>
      <vt:lpstr>도면(5동 붙박이장)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2026-01-20T04:06:27Z</dcterms:created>
  <dcterms:modified xsi:type="dcterms:W3CDTF">2026-08-23T23:19:38Z</dcterms:modified>
</cp:coreProperties>
</file>
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19463CFC-1D50-4DBC-844E-BC1FCD5E96B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D9" i="3" s="1"/>
  <c r="G20" i="3"/>
  <c r="K14" i="3"/>
  <c r="K13" i="3"/>
  <c r="K12" i="3"/>
  <c r="K11" i="3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J22" i="4" l="1"/>
  <c r="J24" i="4"/>
  <c r="J23" i="4"/>
  <c r="J26" i="4"/>
  <c r="J25" i="4"/>
  <c r="J27" i="4" s="1"/>
  <c r="V7" i="2"/>
  <c r="O7" i="2"/>
  <c r="K9" i="3"/>
  <c r="J28" i="4" l="1"/>
  <c r="J20" i="4" s="1"/>
  <c r="J30" i="4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<sst xmlns="http://schemas.openxmlformats.org/spreadsheetml/2006/main" count="146" uniqueCount="128">
  <si>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>STV300-115</t>
  </si>
  <si>
    <t>삼방밸브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</si>
  <si>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</si>
  <si>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</si>
  <si>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 김 태 용</t>
  </si>
  <si>
    <t>품     명</t>
  </si>
  <si>
    <t>규     격</t>
  </si>
  <si>
    <t>기 타 사 항</t>
  </si>
  <si>
    <r>
      <rPr>
        <b/>
        <sz val="10"/>
        <color rgb="FF000000"/>
        <rFont val="LG스마트체 Regular"/>
        <family val="3"/>
        <charset val="129"/>
      </rPr>
      <t>기계경비</t>
    </r>
  </si>
  <si>
    <t>합 계 금 액</t>
  </si>
  <si>
    <t>할증기준</t>
  </si>
  <si>
    <t>종   목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</si>
  <si>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</si>
  <si>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성   명</t>
  </si>
  <si>
    <t>단    가</t>
  </si>
  <si>
    <t>공 급 가 액</t>
  </si>
  <si>
    <t>전 화 번 호</t>
  </si>
  <si>
    <t>등 록 번 호</t>
  </si>
  <si>
    <t>세    액</t>
  </si>
  <si>
    <t>가스밸브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</si>
  <si>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</si>
  <si>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비   고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</si>
  <si>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</si>
  <si>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</si>
  <si>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</si>
  <si>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보일러,버너,배관자재,에어컨</t>
  </si>
  <si>
    <t>GRV-300(601)</t>
  </si>
  <si>
    <t>314-19-99933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</si>
  <si>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</si>
  <si>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상      호</t>
  </si>
  <si>
    <t>주      소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</si>
  <si>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</si>
  <si>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</si>
  <si>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2025  년   10  월   1  일</t>
  </si>
  <si>
    <t xml:space="preserve"> 견        적        서</t>
  </si>
  <si>
    <t xml:space="preserve"> 대전광역시 유성구 계룡로 16번길 48, 1층(구암동)</t>
  </si>
  <si>
    <t xml:space="preserve">  에스앤아이코퍼레이션시스템 귀하</t>
  </si>
  <si>
    <t>거꾸로ECO콘덴싱L20-27H 외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</si>
  <si>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</si>
  <si>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</si>
  <si>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</si>
  <si>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</si>
  <si>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</si>
  <si>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</si>
  <si>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</si>
  <si>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번 호</t>
  </si>
  <si>
    <t>합계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</si>
  <si>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</si>
  <si>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</si>
  <si>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</si>
  <si>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</si>
  <si>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</si>
  <si>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t>도소매</t>
  </si>
  <si>
    <t xml:space="preserve">  ※ LG사택 103동 201호</t>
  </si>
  <si>
    <t>순환펌프</t>
  </si>
  <si>
    <t>103동 201호</t>
  </si>
  <si>
    <t>KP-111</t>
  </si>
  <si>
    <t>점화트랜스</t>
  </si>
  <si>
    <t>EI-730ECO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</si>
  <si>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</si>
  <si>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</si>
  <si>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</si>
  <si>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</si>
  <si>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</si>
  <si>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</si>
  <si>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</si>
  <si>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</si>
  <si>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</si>
  <si>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</si>
  <si>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</si>
  <si>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</si>
  <si>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</si>
  <si>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</si>
  <si>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</si>
  <si>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</si>
  <si>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</si>
  <si>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</si>
  <si>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</si>
  <si>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</si>
  <si>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</si>
  <si>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</si>
  <si>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</si>
  <si>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</si>
  <si>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</si>
  <si>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</si>
  <si>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</si>
  <si>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</si>
  <si>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</si>
  <si>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</si>
  <si>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</si>
  <si>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</si>
  <si>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</si>
  <si>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</si>
  <si>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</si>
  <si>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</si>
  <si>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</si>
  <si>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</si>
  <si>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</si>
  <si>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</si>
  <si>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</si>
  <si>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</si>
  <si>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</si>
  <si>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</si>
  <si>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</si>
  <si>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</si>
  <si>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</si>
  <si>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</si>
  <si>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</si>
  <si>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</si>
  <si>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</si>
  <si>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</si>
  <si>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</si>
  <si>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</si>
  <si>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</si>
  <si>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</si>
  <si>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</si>
  <si>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</si>
  <si>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</si>
  <si>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</si>
  <si>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</si>
  <si>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</si>
  <si>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</si>
  <si>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</si>
  <si>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</si>
  <si>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</si>
  <si>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</si>
  <si>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103-201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</si>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</sst>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E189FD54-2990-41A9-BA9C-FBB08545C118}"/>
    <cellStyle name="백분율 2 3" xfId="6" xr:uid="{00000000-0005-0000-0000-000006000000}"/>
    <cellStyle name="쉼표 [0] 17" xfId="2" xr:uid="{00000000-0005-0000-0000-000002000000}"/>
    <cellStyle name="쉼표 [0] 17 2" xfId="20" xr:uid="{3853B752-C562-4F89-9C9A-7FA1ACB10599}"/>
    <cellStyle name="쉼표 [0] 2" xfId="13" xr:uid="{BA6D412C-4ECF-4D61-853B-C55EE19A18CF}"/>
    <cellStyle name="쉼표 [0] 2 2 2" xfId="5" xr:uid="{00000000-0005-0000-0000-000005000000}"/>
    <cellStyle name="쉼표 [0] 2 2 29" xfId="14" xr:uid="{B465C69F-6ED7-4539-A0FA-E48692677470}"/>
    <cellStyle name="쉼표 [0] 2 3" xfId="4" xr:uid="{00000000-0005-0000-0000-000004000000}"/>
    <cellStyle name="쉼표 [0] 2 84" xfId="18" xr:uid="{5F94323B-184D-4494-9A4D-B0F3EDB7B88B}"/>
    <cellStyle name="쉼표 [0] 5" xfId="16" xr:uid="{66524EF2-98D4-4BB3-8377-7B65B5F04F9A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9553F6DF-3105-4B6A-BA09-EC3FC9787FD8}"/>
    <cellStyle name="표준 10 2" xfId="10" xr:uid="{CF5026CB-AA36-4CB0-AEA2-4DBDE5C813DB}"/>
    <cellStyle name="표준 2" xfId="17" xr:uid="{0C34910B-8F88-42A9-9B8B-C4D3465F05C7}"/>
    <cellStyle name="표준 3 2" xfId="3" xr:uid="{00000000-0005-0000-0000-000003000000}"/>
    <cellStyle name="표준 7" xfId="7" xr:uid="{00000000-0005-0000-0000-000007000000}"/>
    <cellStyle name="표준_p1공장 외벽청소(08.03.17)" xfId="11" xr:uid="{4B9D4EFB-9DFD-4538-9C91-E2976DC70EE4}"/>
    <cellStyle name="표준_P456 공장 및 복지동 전면 유리창 청소건 라상혁님_1129(최종)" xfId="12" xr:uid="{422D3F9C-866A-4D93-A7CA-B2251B0B0DA7}"/>
    <cellStyle name="표준_S&amp;D_MAIN VALVE_최빈_2" xfId="9" xr:uid="{231A8272-630A-4D18-ADFC-34084ADAF8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A97D3B4-5E02-4824-B0E9-63E7A45488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75AA-8BFE-4DEE-A4D3-00FE6844AEA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20</v>
      </c>
      <c r="Q1" s="44" t="s">
        <v>20</v>
      </c>
      <c r="S1" s="44" t="s">
        <v>20</v>
      </c>
      <c r="U1" s="44" t="s">
        <v>20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22</v>
      </c>
      <c r="K3" s="234"/>
      <c r="L3" s="234" t="s">
        <v>39</v>
      </c>
      <c r="M3" s="234" t="s">
        <v>40</v>
      </c>
      <c r="N3" s="240" t="s">
        <v>50</v>
      </c>
      <c r="O3" s="240"/>
      <c r="P3" s="240" t="s">
        <v>38</v>
      </c>
      <c r="Q3" s="240"/>
      <c r="R3" s="241" t="s">
        <v>8</v>
      </c>
      <c r="S3" s="241"/>
      <c r="T3" s="241" t="s">
        <v>32</v>
      </c>
      <c r="U3" s="241"/>
      <c r="V3" s="242" t="s">
        <v>43</v>
      </c>
      <c r="W3" s="236" t="s">
        <v>12</v>
      </c>
      <c r="X3" s="238" t="s">
        <v>10</v>
      </c>
    </row>
    <row r="4" spans="1:24" ht="19.899999999999999" customHeight="1">
      <c r="A4" s="39" t="s">
        <v>43</v>
      </c>
      <c r="B4" s="38"/>
      <c r="C4" s="38"/>
      <c r="D4" s="38"/>
      <c r="E4" s="38"/>
      <c r="F4" s="37"/>
      <c r="G4" s="37"/>
      <c r="H4" s="37"/>
      <c r="I4" s="37"/>
      <c r="J4" s="36" t="s">
        <v>44</v>
      </c>
      <c r="K4" s="36" t="s">
        <v>42</v>
      </c>
      <c r="L4" s="235"/>
      <c r="M4" s="235"/>
      <c r="N4" s="35" t="s">
        <v>24</v>
      </c>
      <c r="O4" s="34" t="s">
        <v>47</v>
      </c>
      <c r="P4" s="35" t="s">
        <v>48</v>
      </c>
      <c r="Q4" s="34" t="s">
        <v>47</v>
      </c>
      <c r="R4" s="34" t="s">
        <v>48</v>
      </c>
      <c r="S4" s="34" t="s">
        <v>47</v>
      </c>
      <c r="T4" s="34" t="s">
        <v>48</v>
      </c>
      <c r="U4" s="34" t="s">
        <v>47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55</v>
      </c>
      <c r="K5" s="32" t="s">
        <v>37</v>
      </c>
      <c r="L5" s="31" t="s">
        <v>49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3" sqref="O13:Q13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34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36</v>
      </c>
      <c r="B3" s="246"/>
      <c r="C3" s="246"/>
      <c r="D3" s="246"/>
      <c r="E3" s="246"/>
      <c r="F3" s="247" t="s">
        <v>17</v>
      </c>
      <c r="G3" s="248"/>
      <c r="H3" s="247"/>
      <c r="I3" s="249" t="s">
        <v>27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29</v>
      </c>
      <c r="G4" s="250"/>
      <c r="H4" s="247"/>
      <c r="I4" s="249" t="s">
        <v>23</v>
      </c>
      <c r="J4" s="249"/>
      <c r="K4" s="249"/>
      <c r="L4" s="249"/>
      <c r="M4" s="249"/>
      <c r="N4" s="249" t="s">
        <v>13</v>
      </c>
      <c r="O4" s="249"/>
      <c r="P4" s="249"/>
      <c r="Q4" s="251" t="s">
        <v>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33</v>
      </c>
      <c r="B5" s="252"/>
      <c r="C5" s="252"/>
      <c r="D5" s="252"/>
      <c r="E5" s="252"/>
      <c r="F5" s="247" t="s">
        <v>30</v>
      </c>
      <c r="G5" s="248"/>
      <c r="H5" s="247"/>
      <c r="I5" s="249" t="s">
        <v>35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31</v>
      </c>
      <c r="G6" s="250"/>
      <c r="H6" s="247"/>
      <c r="I6" s="249" t="s">
        <v>52</v>
      </c>
      <c r="J6" s="249"/>
      <c r="K6" s="249" t="s">
        <v>11</v>
      </c>
      <c r="L6" s="249"/>
      <c r="M6" s="249"/>
      <c r="N6" s="249" t="s">
        <v>25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28</v>
      </c>
      <c r="B7" s="252"/>
      <c r="C7" s="252"/>
      <c r="D7" s="252"/>
      <c r="E7" s="252"/>
      <c r="F7" s="247" t="s">
        <v>16</v>
      </c>
      <c r="G7" s="250"/>
      <c r="H7" s="247"/>
      <c r="I7" s="249" t="s">
        <v>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9</v>
      </c>
      <c r="B9" s="250"/>
      <c r="C9" s="250"/>
      <c r="D9" s="256" t="str">
        <f>"일금 "&amp;NUMBERSTRING((K20+N20),1)&amp;"원정"</f>
        <v>일금 삼십구만삼천원정</v>
      </c>
      <c r="E9" s="256"/>
      <c r="F9" s="256"/>
      <c r="G9" s="256"/>
      <c r="H9" s="256"/>
      <c r="I9" s="256"/>
      <c r="J9" s="256"/>
      <c r="K9" s="257">
        <f>K20+N20</f>
        <v>393000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45</v>
      </c>
      <c r="B10" s="260" t="s">
        <v>5</v>
      </c>
      <c r="C10" s="261"/>
      <c r="D10" s="262" t="s">
        <v>6</v>
      </c>
      <c r="E10" s="263"/>
      <c r="F10" s="51" t="s">
        <v>51</v>
      </c>
      <c r="G10" s="262" t="s">
        <v>14</v>
      </c>
      <c r="H10" s="264"/>
      <c r="I10" s="264"/>
      <c r="J10" s="263"/>
      <c r="K10" s="262" t="s">
        <v>15</v>
      </c>
      <c r="L10" s="264"/>
      <c r="M10" s="264"/>
      <c r="N10" s="263"/>
      <c r="O10" s="262" t="s">
        <v>18</v>
      </c>
      <c r="P10" s="264"/>
      <c r="Q10" s="263"/>
      <c r="R10" s="51" t="s">
        <v>21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</v>
      </c>
      <c r="C11" s="266"/>
      <c r="D11" s="267" t="s">
        <v>0</v>
      </c>
      <c r="E11" s="266"/>
      <c r="F11" s="51">
        <v>1</v>
      </c>
      <c r="G11" s="268">
        <v>88000</v>
      </c>
      <c r="H11" s="269"/>
      <c r="I11" s="269"/>
      <c r="J11" s="270"/>
      <c r="K11" s="271">
        <f>F11*G11</f>
        <v>88000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54</v>
      </c>
      <c r="C12" s="266"/>
      <c r="D12" s="267" t="s">
        <v>56</v>
      </c>
      <c r="E12" s="266"/>
      <c r="F12" s="51">
        <v>1</v>
      </c>
      <c r="G12" s="268">
        <v>123000</v>
      </c>
      <c r="H12" s="269"/>
      <c r="I12" s="269"/>
      <c r="J12" s="270"/>
      <c r="K12" s="271">
        <f>F12*G12</f>
        <v>123000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19</v>
      </c>
      <c r="C13" s="266"/>
      <c r="D13" s="267" t="s">
        <v>26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74" t="s">
        <v>57</v>
      </c>
      <c r="C14" s="275"/>
      <c r="D14" s="276" t="s">
        <v>58</v>
      </c>
      <c r="E14" s="275"/>
      <c r="F14" s="51">
        <v>1</v>
      </c>
      <c r="G14" s="277">
        <v>65000</v>
      </c>
      <c r="H14" s="278"/>
      <c r="I14" s="278"/>
      <c r="J14" s="279"/>
      <c r="K14" s="271">
        <f>F14*G14</f>
        <v>65000</v>
      </c>
      <c r="L14" s="272"/>
      <c r="M14" s="272"/>
      <c r="N14" s="273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46</v>
      </c>
      <c r="B20" s="265"/>
      <c r="C20" s="266"/>
      <c r="D20" s="267"/>
      <c r="E20" s="266"/>
      <c r="F20" s="51"/>
      <c r="G20" s="268">
        <f>SUM(G11:J14)</f>
        <v>393000</v>
      </c>
      <c r="H20" s="269"/>
      <c r="I20" s="269"/>
      <c r="J20" s="270"/>
      <c r="K20" s="271">
        <f>SUM(K11:N14)</f>
        <v>393000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7</v>
      </c>
      <c r="B21" s="284"/>
      <c r="C21" s="285"/>
      <c r="D21" s="286" t="s">
        <v>53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2025-10-01T23:48:05Z</dcterms:modified>
  <cp:version>1300.0100.01</cp:version>
</cp:coreProperties>
</file>
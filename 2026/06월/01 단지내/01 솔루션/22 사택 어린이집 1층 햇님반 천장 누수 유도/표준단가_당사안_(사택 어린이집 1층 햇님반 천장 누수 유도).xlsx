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6년-사택 작업\05월\01 솔루션\0000\33 사택 어린이집 1층 햇님반 천장 누수 유도\"/>
    </mc:Choice>
  </mc:AlternateContent>
  <xr:revisionPtr revIDLastSave="0" documentId="13_ncr:1_{48501E77-E72D-47F3-9B2D-5581F29B042A}" xr6:coauthVersionLast="47" xr6:coauthVersionMax="47" xr10:uidLastSave="{00000000-0000-0000-0000-000000000000}"/>
  <bookViews>
    <workbookView xWindow="20865" yWindow="0" windowWidth="7980" windowHeight="15525" xr2:uid="{00000000-000D-0000-FFFF-FFFF00000000}"/>
  </bookViews>
  <sheets>
    <sheet name="갑지" sheetId="1" r:id="rId1"/>
    <sheet name="내역서(표준단가)" sheetId="2" r:id="rId2"/>
    <sheet name="Upload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E4" i="3"/>
  <c r="D4" i="3"/>
  <c r="C4" i="3"/>
  <c r="F3" i="3"/>
  <c r="E3" i="3"/>
  <c r="D3" i="3"/>
  <c r="C3" i="3"/>
  <c r="M7" i="2"/>
  <c r="K6" i="2"/>
  <c r="K5" i="2"/>
  <c r="K7" i="2"/>
  <c r="Q6" i="2" l="1"/>
  <c r="O6" i="2"/>
  <c r="M6" i="2"/>
  <c r="A6" i="2"/>
  <c r="A3" i="3" s="1"/>
  <c r="M5" i="2"/>
  <c r="R6" i="2" l="1"/>
  <c r="A7" i="2"/>
  <c r="A4" i="3" s="1"/>
  <c r="A5" i="2"/>
  <c r="Q7" i="2" l="1"/>
  <c r="O7" i="2"/>
  <c r="R7" i="2" l="1"/>
  <c r="F2" i="3"/>
  <c r="E2" i="3"/>
  <c r="D2" i="3"/>
  <c r="C2" i="3"/>
  <c r="A2" i="3"/>
  <c r="Q5" i="2" l="1"/>
  <c r="O5" i="2"/>
  <c r="R5" i="2" l="1"/>
  <c r="Q8" i="2" l="1"/>
  <c r="O8" i="2"/>
  <c r="M8" i="2"/>
  <c r="K8" i="2"/>
  <c r="A8" i="2"/>
  <c r="Q9" i="2" l="1"/>
  <c r="M9" i="2"/>
  <c r="R8" i="2"/>
  <c r="O9" i="2"/>
  <c r="K9" i="2"/>
  <c r="F18" i="1" l="1"/>
  <c r="R9" i="2"/>
  <c r="F16" i="1"/>
  <c r="F17" i="1"/>
  <c r="F21" i="1" l="1"/>
  <c r="F25" i="1"/>
  <c r="F24" i="1"/>
  <c r="F22" i="1"/>
  <c r="F23" i="1" s="1"/>
  <c r="F26" i="1"/>
  <c r="F19" i="1"/>
  <c r="F27" i="1" l="1"/>
  <c r="F28" i="1" s="1"/>
  <c r="F30" i="1" s="1"/>
  <c r="F31" i="1" s="1"/>
  <c r="B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<sst xmlns="http://schemas.openxmlformats.org/spreadsheetml/2006/main" count="114" uniqueCount="83">
  <si>
    <t>314-86-35718</t>
  </si>
  <si>
    <t>L003</t>
  </si>
  <si>
    <t>TEL, FAX</t>
  </si>
  <si>
    <t>모든공사에 적용</t>
  </si>
  <si>
    <t>합계(단수조정)</t>
  </si>
  <si>
    <t>실내건축,인테리어공사</t>
  </si>
  <si>
    <t>기타경비(부자재비)</t>
  </si>
  <si>
    <t>비고</t>
  </si>
  <si>
    <t>품명</t>
  </si>
  <si>
    <t>단위</t>
  </si>
  <si>
    <t>금액</t>
  </si>
  <si>
    <t>수량</t>
  </si>
  <si>
    <t>구분</t>
  </si>
  <si>
    <t>규격</t>
  </si>
  <si>
    <t>원정</t>
  </si>
  <si>
    <t xml:space="preserve">  </t>
  </si>
  <si>
    <t>NO</t>
  </si>
  <si>
    <t>직접비</t>
  </si>
  <si>
    <t>노무비</t>
  </si>
  <si>
    <t>상 호</t>
  </si>
  <si>
    <t>업 태</t>
  </si>
  <si>
    <t>재료비</t>
  </si>
  <si>
    <t>합계</t>
  </si>
  <si>
    <t>건설업</t>
  </si>
  <si>
    <t>간접비</t>
  </si>
  <si>
    <t>단가</t>
  </si>
  <si>
    <t>품목</t>
  </si>
  <si>
    <t>종 목</t>
  </si>
  <si>
    <t>인</t>
  </si>
  <si>
    <t>사업장</t>
  </si>
  <si>
    <t>소계</t>
  </si>
  <si>
    <t>▶ 표준 Code(표준단가/품셈/물정/노임) 순서별 입력(Upload 자동반영)</t>
  </si>
  <si>
    <t>042)527-0995, 042)527-0996</t>
  </si>
  <si>
    <t>▼낙찰율</t>
  </si>
  <si>
    <t>표준단가</t>
  </si>
  <si>
    <t xml:space="preserve">금액: </t>
  </si>
  <si>
    <t>VAT별도</t>
  </si>
  <si>
    <t>물가정보</t>
  </si>
  <si>
    <t>대표 이사</t>
  </si>
  <si>
    <t>할증기준</t>
  </si>
  <si>
    <t>표준품셈</t>
  </si>
  <si>
    <t>노임단가</t>
  </si>
  <si>
    <t>등록번호</t>
  </si>
  <si>
    <t>견 적 서</t>
  </si>
  <si>
    <t>기계/기타경비</t>
  </si>
  <si>
    <t>상 석 희</t>
  </si>
  <si>
    <t>㈜일성건축</t>
  </si>
  <si>
    <t>품셈/표단</t>
  </si>
  <si>
    <t>물가정보 M</t>
  </si>
  <si>
    <t>노임단가 L</t>
  </si>
  <si>
    <t>표준품셈 E</t>
  </si>
  <si>
    <t>주요내역</t>
  </si>
  <si>
    <t>기계경비</t>
  </si>
  <si>
    <t>노무비 할증</t>
  </si>
  <si>
    <t>표준단가 D</t>
  </si>
  <si>
    <t xml:space="preserve"> 수신인 : 주식회사 에스엔아이 코퍼레이션</t>
  </si>
  <si>
    <t>대전 서구 도마6길 107 (도마동)</t>
  </si>
  <si>
    <t>  국민연금</t>
    <phoneticPr fontId="20" type="noConversion"/>
  </si>
  <si>
    <t> 노무비*4.75%</t>
    <phoneticPr fontId="20" type="noConversion"/>
  </si>
  <si>
    <t>식</t>
    <phoneticPr fontId="20" type="noConversion"/>
  </si>
  <si>
    <t>  건강보험료</t>
    <phoneticPr fontId="20" type="noConversion"/>
  </si>
  <si>
    <t> 노무비*3.595%</t>
    <phoneticPr fontId="20" type="noConversion"/>
  </si>
  <si>
    <t>  장기요양보험료</t>
    <phoneticPr fontId="20" type="noConversion"/>
  </si>
  <si>
    <t> 건강보험료*13.14%</t>
    <phoneticPr fontId="20" type="noConversion"/>
  </si>
  <si>
    <t>  고용보험료</t>
    <phoneticPr fontId="20" type="noConversion"/>
  </si>
  <si>
    <t> 노무비*1.01%</t>
    <phoneticPr fontId="20" type="noConversion"/>
  </si>
  <si>
    <t>  산재보험료</t>
    <phoneticPr fontId="20" type="noConversion"/>
  </si>
  <si>
    <t> 노무비*3.56%</t>
    <phoneticPr fontId="20" type="noConversion"/>
  </si>
  <si>
    <t xml:space="preserve">  산업안전보건관리비</t>
    <phoneticPr fontId="20" type="noConversion"/>
  </si>
  <si>
    <t> (재료비+노무비)*3.11%</t>
    <phoneticPr fontId="20" type="noConversion"/>
  </si>
  <si>
    <t>일반관리비/이윤</t>
    <phoneticPr fontId="20" type="noConversion"/>
  </si>
  <si>
    <t> (노무비+간접공사비)*5%</t>
    <phoneticPr fontId="20" type="noConversion"/>
  </si>
  <si>
    <t>*작업위치 및 일정</t>
    <phoneticPr fontId="20" type="noConversion"/>
  </si>
  <si>
    <t xml:space="preserve"> 공사명 : 사택 어린이집 햇님반 천장 누수 유도</t>
    <phoneticPr fontId="20" type="noConversion"/>
  </si>
  <si>
    <t>누수 유도 작업</t>
    <phoneticPr fontId="20" type="noConversion"/>
  </si>
  <si>
    <t>특별인부 2인, 주말할증</t>
    <phoneticPr fontId="20" type="noConversion"/>
  </si>
  <si>
    <t>M020611010430101</t>
  </si>
  <si>
    <t>AL개폐식점검구</t>
  </si>
  <si>
    <t>450×450</t>
  </si>
  <si>
    <t>개</t>
    <phoneticPr fontId="20" type="noConversion"/>
  </si>
  <si>
    <t>누수 유도 작업, 사다리보조자</t>
    <phoneticPr fontId="20" type="noConversion"/>
  </si>
  <si>
    <t>보통인부 1인, 주말할증</t>
    <phoneticPr fontId="20" type="noConversion"/>
  </si>
  <si>
    <t xml:space="preserve"> 견적일 : 2026년  05월  06일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</si>
</sst>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76" formatCode="_(* #,##0_);_(* \(#,##0\);_(* &quot;-&quot;_);_(@_)"/>
    <numFmt numFmtId="177" formatCode="_ * #,##0_ ;_ * \-#,##0_ ;_ * &quot;-&quot;_ ;_ @_ "/>
    <numFmt numFmtId="178" formatCode="###,#00,000"/>
    <numFmt numFmtId="179" formatCode="_-* #,##0_-;&quot;₩&quot;\!\-* #,##0_-;_-* &quot;-&quot;_-;_-@_-"/>
    <numFmt numFmtId="180" formatCode="#"/>
    <numFmt numFmtId="181" formatCode="0.0%"/>
    <numFmt numFmtId="182" formatCode="###,###,###,##0"/>
    <numFmt numFmtId="183" formatCode="0.000"/>
  </numFmts>
  <fonts count="25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b/>
      <sz val="16"/>
      <color rgb="FFFF0000"/>
      <name val="LG스마트체 Regular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b/>
      <sz val="16"/>
      <name val="LG스마트체 Regular"/>
      <family val="3"/>
      <charset val="129"/>
    </font>
    <font>
      <sz val="9"/>
      <color theme="1"/>
      <name val="Malgun Gothic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7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double">
        <color rgb="FFBFBFBF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double">
        <color rgb="FFBFBFBF"/>
      </bottom>
      <diagonal/>
    </border>
    <border>
      <left style="medium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1">
    <xf numFmtId="0" fontId="0" fillId="0" borderId="0">
      <alignment vertical="center"/>
    </xf>
    <xf numFmtId="9" fontId="19" fillId="0" borderId="0">
      <alignment vertical="center"/>
    </xf>
    <xf numFmtId="0" fontId="1" fillId="0" borderId="0"/>
    <xf numFmtId="176" fontId="19" fillId="0" borderId="0">
      <alignment vertical="center"/>
    </xf>
    <xf numFmtId="177" fontId="2" fillId="0" borderId="0"/>
    <xf numFmtId="0" fontId="3" fillId="0" borderId="0"/>
    <xf numFmtId="179" fontId="3" fillId="0" borderId="0"/>
    <xf numFmtId="0" fontId="19" fillId="0" borderId="0">
      <alignment vertical="center"/>
    </xf>
    <xf numFmtId="9" fontId="2" fillId="0" borderId="0"/>
    <xf numFmtId="0" fontId="1" fillId="0" borderId="0"/>
    <xf numFmtId="176" fontId="19" fillId="0" borderId="0">
      <alignment vertical="center"/>
    </xf>
  </cellStyleXfs>
  <cellXfs count="144">
    <xf numFmtId="0" fontId="0" fillId="0" borderId="0" xfId="0">
      <alignment vertical="center"/>
    </xf>
    <xf numFmtId="0" fontId="4" fillId="0" borderId="1" xfId="5" applyFont="1" applyBorder="1" applyAlignment="1">
      <alignment horizontal="right" vertical="center"/>
    </xf>
    <xf numFmtId="0" fontId="5" fillId="0" borderId="0" xfId="5" applyFont="1" applyAlignment="1">
      <alignment vertical="center"/>
    </xf>
    <xf numFmtId="0" fontId="6" fillId="0" borderId="0" xfId="2" applyFont="1"/>
    <xf numFmtId="0" fontId="7" fillId="0" borderId="2" xfId="5" applyFont="1" applyBorder="1" applyAlignment="1">
      <alignment horizontal="center" vertical="center"/>
    </xf>
    <xf numFmtId="0" fontId="4" fillId="0" borderId="3" xfId="5" applyFont="1" applyBorder="1" applyAlignment="1">
      <alignment horizontal="right" vertical="center"/>
    </xf>
    <xf numFmtId="0" fontId="4" fillId="2" borderId="4" xfId="5" applyFont="1" applyFill="1" applyBorder="1" applyAlignment="1">
      <alignment horizontal="center" vertical="center"/>
    </xf>
    <xf numFmtId="0" fontId="4" fillId="2" borderId="5" xfId="5" applyFont="1" applyFill="1" applyBorder="1" applyAlignment="1">
      <alignment vertical="center" shrinkToFit="1"/>
    </xf>
    <xf numFmtId="0" fontId="4" fillId="2" borderId="6" xfId="5" applyFont="1" applyFill="1" applyBorder="1" applyAlignment="1">
      <alignment horizontal="center" vertical="center"/>
    </xf>
    <xf numFmtId="0" fontId="4" fillId="2" borderId="7" xfId="5" applyFont="1" applyFill="1" applyBorder="1" applyAlignment="1">
      <alignment vertical="center" shrinkToFit="1"/>
    </xf>
    <xf numFmtId="0" fontId="8" fillId="0" borderId="0" xfId="5" applyFont="1" applyAlignment="1">
      <alignment vertical="center" shrinkToFit="1"/>
    </xf>
    <xf numFmtId="0" fontId="4" fillId="2" borderId="6" xfId="5" applyFont="1" applyFill="1" applyBorder="1" applyAlignment="1">
      <alignment horizontal="center" vertical="center" shrinkToFit="1"/>
    </xf>
    <xf numFmtId="0" fontId="4" fillId="0" borderId="6" xfId="5" applyFont="1" applyBorder="1" applyAlignment="1">
      <alignment horizontal="center" vertical="center"/>
    </xf>
    <xf numFmtId="0" fontId="4" fillId="0" borderId="7" xfId="5" applyFont="1" applyBorder="1" applyAlignment="1">
      <alignment vertical="center"/>
    </xf>
    <xf numFmtId="0" fontId="7" fillId="0" borderId="0" xfId="5" applyFont="1" applyAlignment="1">
      <alignment horizontal="center" vertical="center" shrinkToFit="1"/>
    </xf>
    <xf numFmtId="0" fontId="4" fillId="0" borderId="8" xfId="5" applyFont="1" applyBorder="1" applyAlignment="1">
      <alignment horizontal="center" vertical="center" shrinkToFit="1"/>
    </xf>
    <xf numFmtId="0" fontId="4" fillId="0" borderId="9" xfId="5" applyFont="1" applyBorder="1" applyAlignment="1">
      <alignment vertical="center" shrinkToFit="1"/>
    </xf>
    <xf numFmtId="0" fontId="8" fillId="0" borderId="1" xfId="5" applyFont="1" applyBorder="1" applyAlignment="1">
      <alignment vertical="center"/>
    </xf>
    <xf numFmtId="178" fontId="7" fillId="0" borderId="1" xfId="5" applyNumberFormat="1" applyFont="1" applyBorder="1" applyAlignment="1">
      <alignment vertical="center"/>
    </xf>
    <xf numFmtId="0" fontId="7" fillId="0" borderId="0" xfId="5" applyFont="1" applyAlignment="1">
      <alignment vertical="center" shrinkToFit="1"/>
    </xf>
    <xf numFmtId="0" fontId="4" fillId="0" borderId="10" xfId="5" applyFont="1" applyBorder="1" applyAlignment="1">
      <alignment horizontal="center" vertical="center"/>
    </xf>
    <xf numFmtId="0" fontId="4" fillId="0" borderId="11" xfId="5" applyFont="1" applyBorder="1" applyAlignment="1">
      <alignment horizontal="center" vertical="center"/>
    </xf>
    <xf numFmtId="0" fontId="4" fillId="0" borderId="12" xfId="5" applyFont="1" applyBorder="1" applyAlignment="1">
      <alignment horizontal="center" vertical="center"/>
    </xf>
    <xf numFmtId="0" fontId="9" fillId="0" borderId="13" xfId="5" applyFont="1" applyBorder="1" applyAlignment="1">
      <alignment horizontal="center" vertical="center"/>
    </xf>
    <xf numFmtId="0" fontId="4" fillId="0" borderId="14" xfId="5" applyFont="1" applyBorder="1" applyAlignment="1">
      <alignment vertical="center"/>
    </xf>
    <xf numFmtId="0" fontId="9" fillId="0" borderId="14" xfId="5" applyFont="1" applyBorder="1" applyAlignment="1">
      <alignment vertical="center"/>
    </xf>
    <xf numFmtId="1" fontId="9" fillId="0" borderId="14" xfId="5" applyNumberFormat="1" applyFont="1" applyBorder="1" applyAlignment="1">
      <alignment horizontal="center" vertical="center"/>
    </xf>
    <xf numFmtId="179" fontId="9" fillId="0" borderId="14" xfId="6" applyFont="1" applyBorder="1" applyAlignment="1">
      <alignment horizontal="right" vertical="center"/>
    </xf>
    <xf numFmtId="0" fontId="9" fillId="0" borderId="15" xfId="5" applyFont="1" applyBorder="1" applyAlignment="1">
      <alignment vertical="center"/>
    </xf>
    <xf numFmtId="0" fontId="9" fillId="0" borderId="16" xfId="5" applyFont="1" applyBorder="1" applyAlignment="1">
      <alignment horizontal="center" vertical="center"/>
    </xf>
    <xf numFmtId="0" fontId="9" fillId="0" borderId="17" xfId="5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1" fontId="9" fillId="0" borderId="17" xfId="5" applyNumberFormat="1" applyFont="1" applyBorder="1" applyAlignment="1">
      <alignment horizontal="center" vertical="center"/>
    </xf>
    <xf numFmtId="179" fontId="9" fillId="0" borderId="17" xfId="6" applyFont="1" applyBorder="1" applyAlignment="1">
      <alignment horizontal="right" vertical="center"/>
    </xf>
    <xf numFmtId="0" fontId="9" fillId="0" borderId="18" xfId="5" quotePrefix="1" applyFont="1" applyBorder="1" applyAlignment="1">
      <alignment vertical="center"/>
    </xf>
    <xf numFmtId="0" fontId="9" fillId="0" borderId="18" xfId="5" applyFont="1" applyBorder="1" applyAlignment="1">
      <alignment vertical="center"/>
    </xf>
    <xf numFmtId="0" fontId="4" fillId="3" borderId="17" xfId="5" applyFont="1" applyFill="1" applyBorder="1" applyAlignment="1">
      <alignment vertical="center"/>
    </xf>
    <xf numFmtId="1" fontId="4" fillId="3" borderId="17" xfId="5" applyNumberFormat="1" applyFont="1" applyFill="1" applyBorder="1" applyAlignment="1">
      <alignment horizontal="center" vertical="center"/>
    </xf>
    <xf numFmtId="179" fontId="4" fillId="3" borderId="17" xfId="6" applyFont="1" applyFill="1" applyBorder="1" applyAlignment="1">
      <alignment horizontal="right" vertical="center"/>
    </xf>
    <xf numFmtId="0" fontId="4" fillId="0" borderId="17" xfId="5" applyFont="1" applyBorder="1" applyAlignment="1">
      <alignment vertical="center"/>
    </xf>
    <xf numFmtId="0" fontId="9" fillId="0" borderId="17" xfId="5" applyFont="1" applyBorder="1" applyAlignment="1">
      <alignment vertical="center"/>
    </xf>
    <xf numFmtId="179" fontId="4" fillId="0" borderId="17" xfId="6" applyFont="1" applyBorder="1" applyAlignment="1">
      <alignment horizontal="right" vertical="center"/>
    </xf>
    <xf numFmtId="0" fontId="9" fillId="2" borderId="18" xfId="5" applyFont="1" applyFill="1" applyBorder="1" applyAlignment="1">
      <alignment vertical="center"/>
    </xf>
    <xf numFmtId="9" fontId="4" fillId="3" borderId="17" xfId="2" applyNumberFormat="1" applyFont="1" applyFill="1" applyBorder="1" applyAlignment="1">
      <alignment horizontal="right" vertical="center"/>
    </xf>
    <xf numFmtId="1" fontId="4" fillId="3" borderId="17" xfId="8" applyNumberFormat="1" applyFont="1" applyFill="1" applyBorder="1" applyAlignment="1">
      <alignment horizontal="center" vertical="center"/>
    </xf>
    <xf numFmtId="176" fontId="4" fillId="3" borderId="17" xfId="6" applyNumberFormat="1" applyFont="1" applyFill="1" applyBorder="1" applyAlignment="1">
      <alignment horizontal="right" vertical="center"/>
    </xf>
    <xf numFmtId="9" fontId="9" fillId="0" borderId="17" xfId="2" applyNumberFormat="1" applyFont="1" applyBorder="1" applyAlignment="1">
      <alignment horizontal="right" vertical="center"/>
    </xf>
    <xf numFmtId="1" fontId="9" fillId="0" borderId="17" xfId="8" applyNumberFormat="1" applyFont="1" applyBorder="1" applyAlignment="1">
      <alignment horizontal="center" vertical="center"/>
    </xf>
    <xf numFmtId="176" fontId="4" fillId="0" borderId="17" xfId="6" applyNumberFormat="1" applyFont="1" applyBorder="1" applyAlignment="1">
      <alignment horizontal="right" vertical="center"/>
    </xf>
    <xf numFmtId="0" fontId="9" fillId="0" borderId="17" xfId="2" applyFont="1" applyBorder="1" applyAlignment="1">
      <alignment vertical="center"/>
    </xf>
    <xf numFmtId="179" fontId="9" fillId="2" borderId="17" xfId="6" applyFont="1" applyFill="1" applyBorder="1" applyAlignment="1">
      <alignment horizontal="right" vertical="center"/>
    </xf>
    <xf numFmtId="179" fontId="4" fillId="3" borderId="0" xfId="2" applyNumberFormat="1" applyFont="1" applyFill="1" applyAlignment="1">
      <alignment vertical="center"/>
    </xf>
    <xf numFmtId="0" fontId="4" fillId="0" borderId="19" xfId="5" applyFont="1" applyBorder="1" applyAlignment="1">
      <alignment horizontal="center" vertical="center" textRotation="255"/>
    </xf>
    <xf numFmtId="0" fontId="4" fillId="0" borderId="20" xfId="5" applyFont="1" applyBorder="1" applyAlignment="1">
      <alignment vertical="top"/>
    </xf>
    <xf numFmtId="0" fontId="9" fillId="0" borderId="21" xfId="5" applyFont="1" applyBorder="1" applyAlignment="1">
      <alignment vertical="center"/>
    </xf>
    <xf numFmtId="0" fontId="9" fillId="0" borderId="21" xfId="5" applyFont="1" applyBorder="1" applyAlignment="1">
      <alignment horizontal="right" vertical="center"/>
    </xf>
    <xf numFmtId="0" fontId="9" fillId="0" borderId="22" xfId="5" applyFont="1" applyBorder="1" applyAlignment="1">
      <alignment vertical="center"/>
    </xf>
    <xf numFmtId="0" fontId="4" fillId="0" borderId="0" xfId="9" applyFont="1"/>
    <xf numFmtId="180" fontId="7" fillId="0" borderId="0" xfId="1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181" fontId="10" fillId="4" borderId="0" xfId="1" applyNumberFormat="1" applyFont="1" applyFill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10" fillId="6" borderId="24" xfId="0" applyFont="1" applyFill="1" applyBorder="1" applyAlignment="1">
      <alignment horizontal="center" vertical="center"/>
    </xf>
    <xf numFmtId="176" fontId="10" fillId="5" borderId="24" xfId="3" applyFont="1" applyFill="1" applyBorder="1" applyAlignment="1">
      <alignment horizontal="center" vertical="center"/>
    </xf>
    <xf numFmtId="177" fontId="10" fillId="5" borderId="24" xfId="4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6" fillId="8" borderId="25" xfId="0" applyNumberFormat="1" applyFont="1" applyFill="1" applyBorder="1" applyAlignment="1">
      <alignment horizontal="center" vertical="center" wrapText="1"/>
    </xf>
    <xf numFmtId="180" fontId="6" fillId="6" borderId="25" xfId="10" applyNumberFormat="1" applyFont="1" applyFill="1" applyBorder="1" applyAlignment="1">
      <alignment horizontal="center" vertical="center"/>
    </xf>
    <xf numFmtId="180" fontId="6" fillId="0" borderId="25" xfId="10" applyNumberFormat="1" applyFont="1" applyBorder="1" applyAlignment="1">
      <alignment horizontal="center" vertical="center"/>
    </xf>
    <xf numFmtId="182" fontId="6" fillId="2" borderId="24" xfId="0" applyNumberFormat="1" applyFont="1" applyFill="1" applyBorder="1" applyAlignment="1">
      <alignment vertical="center" wrapText="1"/>
    </xf>
    <xf numFmtId="176" fontId="6" fillId="7" borderId="24" xfId="10" applyFont="1" applyFill="1" applyBorder="1" applyAlignment="1">
      <alignment vertical="center" wrapText="1"/>
    </xf>
    <xf numFmtId="0" fontId="6" fillId="2" borderId="24" xfId="0" applyFont="1" applyFill="1" applyBorder="1">
      <alignment vertical="center"/>
    </xf>
    <xf numFmtId="9" fontId="6" fillId="0" borderId="24" xfId="0" applyNumberFormat="1" applyFont="1" applyBorder="1">
      <alignment vertical="center"/>
    </xf>
    <xf numFmtId="0" fontId="6" fillId="0" borderId="26" xfId="0" applyFont="1" applyBorder="1">
      <alignment vertical="center"/>
    </xf>
    <xf numFmtId="49" fontId="10" fillId="6" borderId="24" xfId="0" applyNumberFormat="1" applyFont="1" applyFill="1" applyBorder="1" applyAlignment="1">
      <alignment vertical="center" wrapText="1"/>
    </xf>
    <xf numFmtId="0" fontId="6" fillId="6" borderId="24" xfId="0" applyFont="1" applyFill="1" applyBorder="1">
      <alignment vertical="center"/>
    </xf>
    <xf numFmtId="0" fontId="7" fillId="0" borderId="0" xfId="5" applyFont="1" applyAlignment="1">
      <alignment vertical="center"/>
    </xf>
    <xf numFmtId="0" fontId="4" fillId="0" borderId="27" xfId="5" applyFont="1" applyBorder="1" applyAlignment="1">
      <alignment vertical="center"/>
    </xf>
    <xf numFmtId="49" fontId="11" fillId="6" borderId="24" xfId="0" applyNumberFormat="1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49" fontId="6" fillId="2" borderId="24" xfId="10" applyNumberFormat="1" applyFont="1" applyFill="1" applyBorder="1" applyAlignment="1">
      <alignment horizontal="center" vertical="center"/>
    </xf>
    <xf numFmtId="183" fontId="6" fillId="2" borderId="24" xfId="10" applyNumberFormat="1" applyFont="1" applyFill="1" applyBorder="1" applyAlignment="1">
      <alignment horizontal="center" vertical="center"/>
    </xf>
    <xf numFmtId="49" fontId="6" fillId="0" borderId="24" xfId="2" applyNumberFormat="1" applyFont="1" applyBorder="1" applyAlignment="1">
      <alignment horizontal="center" vertical="center" wrapText="1" shrinkToFit="1"/>
    </xf>
    <xf numFmtId="0" fontId="6" fillId="0" borderId="0" xfId="0" applyFont="1" applyAlignment="1">
      <alignment vertical="center" wrapText="1"/>
    </xf>
    <xf numFmtId="0" fontId="10" fillId="5" borderId="24" xfId="2" applyFont="1" applyFill="1" applyBorder="1" applyAlignment="1">
      <alignment horizontal="center" vertical="center" wrapText="1"/>
    </xf>
    <xf numFmtId="49" fontId="6" fillId="0" borderId="24" xfId="1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0" fillId="9" borderId="28" xfId="0" applyFont="1" applyFill="1" applyBorder="1">
      <alignment vertical="center"/>
    </xf>
    <xf numFmtId="0" fontId="10" fillId="9" borderId="29" xfId="0" applyFont="1" applyFill="1" applyBorder="1">
      <alignment vertical="center"/>
    </xf>
    <xf numFmtId="0" fontId="11" fillId="0" borderId="0" xfId="0" applyFont="1">
      <alignment vertical="center"/>
    </xf>
    <xf numFmtId="0" fontId="9" fillId="10" borderId="0" xfId="0" applyFont="1" applyFill="1">
      <alignment vertical="center"/>
    </xf>
    <xf numFmtId="0" fontId="9" fillId="0" borderId="0" xfId="0" applyFont="1">
      <alignment vertical="center"/>
    </xf>
    <xf numFmtId="176" fontId="4" fillId="10" borderId="0" xfId="0" applyNumberFormat="1" applyFont="1" applyFill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10" fillId="2" borderId="0" xfId="0" applyFont="1" applyFill="1">
      <alignment vertical="center"/>
    </xf>
    <xf numFmtId="0" fontId="6" fillId="7" borderId="23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49" fontId="10" fillId="11" borderId="24" xfId="0" applyNumberFormat="1" applyFont="1" applyFill="1" applyBorder="1" applyAlignment="1">
      <alignment vertical="center" wrapText="1"/>
    </xf>
    <xf numFmtId="0" fontId="6" fillId="11" borderId="24" xfId="0" applyFont="1" applyFill="1" applyBorder="1" applyAlignment="1">
      <alignment vertical="center" wrapText="1"/>
    </xf>
    <xf numFmtId="0" fontId="12" fillId="11" borderId="24" xfId="0" applyFont="1" applyFill="1" applyBorder="1" applyAlignment="1">
      <alignment horizontal="center" vertical="center" wrapText="1"/>
    </xf>
    <xf numFmtId="49" fontId="12" fillId="11" borderId="24" xfId="0" applyNumberFormat="1" applyFont="1" applyFill="1" applyBorder="1" applyAlignment="1">
      <alignment horizontal="center" vertical="center" wrapText="1"/>
    </xf>
    <xf numFmtId="176" fontId="6" fillId="0" borderId="24" xfId="10" applyFont="1" applyBorder="1" applyAlignment="1">
      <alignment vertical="center" wrapText="1"/>
    </xf>
    <xf numFmtId="0" fontId="21" fillId="0" borderId="33" xfId="7" applyFont="1" applyBorder="1" applyAlignment="1">
      <alignment horizontal="center" vertical="center"/>
    </xf>
    <xf numFmtId="0" fontId="22" fillId="0" borderId="33" xfId="5" applyFont="1" applyBorder="1" applyAlignment="1">
      <alignment vertical="center"/>
    </xf>
    <xf numFmtId="0" fontId="21" fillId="0" borderId="33" xfId="5" applyFont="1" applyBorder="1" applyAlignment="1">
      <alignment horizontal="center" vertical="center"/>
    </xf>
    <xf numFmtId="177" fontId="22" fillId="0" borderId="33" xfId="4" applyFont="1" applyBorder="1" applyAlignment="1">
      <alignment horizontal="right" vertical="center"/>
    </xf>
    <xf numFmtId="0" fontId="21" fillId="12" borderId="33" xfId="7" applyFont="1" applyFill="1" applyBorder="1" applyAlignment="1">
      <alignment horizontal="center" vertical="center"/>
    </xf>
    <xf numFmtId="0" fontId="21" fillId="12" borderId="33" xfId="5" applyFont="1" applyFill="1" applyBorder="1" applyAlignment="1">
      <alignment horizontal="center" vertical="center"/>
    </xf>
    <xf numFmtId="177" fontId="22" fillId="12" borderId="33" xfId="4" applyFont="1" applyFill="1" applyBorder="1" applyAlignment="1">
      <alignment horizontal="right" vertical="center"/>
    </xf>
    <xf numFmtId="0" fontId="21" fillId="0" borderId="33" xfId="5" applyFont="1" applyBorder="1" applyAlignment="1">
      <alignment vertical="center"/>
    </xf>
    <xf numFmtId="177" fontId="21" fillId="0" borderId="33" xfId="4" applyFont="1" applyBorder="1" applyAlignment="1">
      <alignment horizontal="right" vertical="center"/>
    </xf>
    <xf numFmtId="0" fontId="21" fillId="0" borderId="33" xfId="2" applyFont="1" applyBorder="1" applyAlignment="1">
      <alignment horizontal="left" vertical="center"/>
    </xf>
    <xf numFmtId="0" fontId="15" fillId="0" borderId="0" xfId="0" applyFont="1" applyAlignment="1">
      <alignment vertical="center" wrapText="1"/>
    </xf>
    <xf numFmtId="183" fontId="6" fillId="12" borderId="24" xfId="10" applyNumberFormat="1" applyFont="1" applyFill="1" applyBorder="1" applyAlignment="1">
      <alignment horizontal="center" vertical="center" wrapText="1"/>
    </xf>
    <xf numFmtId="0" fontId="12" fillId="12" borderId="24" xfId="0" applyFont="1" applyFill="1" applyBorder="1" applyAlignment="1">
      <alignment horizontal="center" vertical="center" wrapText="1"/>
    </xf>
    <xf numFmtId="49" fontId="6" fillId="12" borderId="24" xfId="1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49" fontId="13" fillId="12" borderId="24" xfId="0" applyNumberFormat="1" applyFont="1" applyFill="1" applyBorder="1" applyAlignment="1">
      <alignment horizontal="center" vertical="center" wrapText="1"/>
    </xf>
    <xf numFmtId="0" fontId="6" fillId="12" borderId="24" xfId="0" applyFont="1" applyFill="1" applyBorder="1" applyAlignment="1">
      <alignment vertical="center" wrapText="1"/>
    </xf>
    <xf numFmtId="0" fontId="24" fillId="13" borderId="24" xfId="0" applyFont="1" applyFill="1" applyBorder="1" applyAlignment="1">
      <alignment horizontal="center" vertical="center"/>
    </xf>
    <xf numFmtId="0" fontId="24" fillId="12" borderId="24" xfId="0" applyFont="1" applyFill="1" applyBorder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8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4" fillId="0" borderId="27" xfId="5" applyFont="1" applyBorder="1" applyAlignment="1">
      <alignment vertical="center"/>
    </xf>
    <xf numFmtId="0" fontId="4" fillId="0" borderId="2" xfId="5" applyFont="1" applyBorder="1" applyAlignment="1">
      <alignment vertical="center"/>
    </xf>
    <xf numFmtId="0" fontId="4" fillId="0" borderId="3" xfId="5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176" fontId="10" fillId="5" borderId="29" xfId="3" applyFont="1" applyFill="1" applyBorder="1" applyAlignment="1">
      <alignment horizontal="center" vertical="center"/>
    </xf>
    <xf numFmtId="177" fontId="10" fillId="5" borderId="29" xfId="4" applyFont="1" applyFill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0" fillId="5" borderId="29" xfId="2" applyFont="1" applyFill="1" applyBorder="1" applyAlignment="1">
      <alignment horizontal="center" vertical="center"/>
    </xf>
    <xf numFmtId="0" fontId="10" fillId="5" borderId="24" xfId="2" applyFont="1" applyFill="1" applyBorder="1" applyAlignment="1">
      <alignment horizontal="center" vertical="center"/>
    </xf>
    <xf numFmtId="0" fontId="10" fillId="5" borderId="29" xfId="2" applyFont="1" applyFill="1" applyBorder="1" applyAlignment="1">
      <alignment horizontal="center" vertical="center" wrapText="1"/>
    </xf>
  </cellXfs>
  <cellStyles count="11">
    <cellStyle name="백분율" xfId="1" builtinId="5"/>
    <cellStyle name="백분율 2 64" xfId="8" xr:uid="{00000000-0005-0000-0000-000009000000}"/>
    <cellStyle name="쉼표 [0]" xfId="10" builtinId="6"/>
    <cellStyle name="쉼표 [0] 17" xfId="4" xr:uid="{00000000-0005-0000-0000-000005000000}"/>
    <cellStyle name="쉼표 [0] 2" xfId="3" xr:uid="{00000000-0005-0000-0000-000004000000}"/>
    <cellStyle name="쉼표 [0]_봉강빌딩신축공사" xfId="6" xr:uid="{00000000-0005-0000-0000-000007000000}"/>
    <cellStyle name="표준" xfId="0" builtinId="0"/>
    <cellStyle name="표준 10 10 2" xfId="2" xr:uid="{00000000-0005-0000-0000-000003000000}"/>
    <cellStyle name="표준 2" xfId="7" xr:uid="{00000000-0005-0000-0000-000008000000}"/>
    <cellStyle name="표준 2 10 5" xfId="9" xr:uid="{00000000-0005-0000-0000-00000A000000}"/>
    <cellStyle name="표준_봉강빌딩신축공사" xfId="5" xr:uid="{00000000-0005-0000-0000-000006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762000</xdr:colOff>
      <xdr:row>5</xdr:row>
      <xdr:rowOff>219075</xdr:rowOff>
    </xdr:from>
    <xdr:to>
      <xdr:col>6</xdr:col>
      <xdr:colOff>1447800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</a:blip>
        <a:srcRect l="6000" t="6520" b="16890"/>
        <a:stretch>
          <a:fillRect/>
        </a:stretch>
      </xdr:blipFill>
      <xdr:spPr>
        <a:xfrm>
          <a:off x="8583706" y="1479176"/>
          <a:ext cx="683558" cy="66114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9</xdr:col>
      <xdr:colOff>423386</xdr:colOff>
      <xdr:row>18</xdr:row>
      <xdr:rowOff>84666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65867F-CD59-4F70-A563-5D36CAB72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5083" y="2846917"/>
          <a:ext cx="6889803" cy="3894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F17" zoomScale="85" zoomScaleNormal="85" zoomScaleSheetLayoutView="75" workbookViewId="0">
      <selection activeCell="F31" sqref="F31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6" t="s">
        <v>43</v>
      </c>
      <c r="B2" s="126"/>
      <c r="C2" s="126"/>
      <c r="D2" s="126"/>
      <c r="E2" s="126"/>
      <c r="F2" s="126"/>
      <c r="G2" s="126"/>
      <c r="H2" s="2"/>
    </row>
    <row r="3" spans="1:9" ht="14.25">
      <c r="A3" s="78"/>
      <c r="B3" s="78"/>
      <c r="C3" s="78"/>
      <c r="D3" s="78"/>
      <c r="E3" s="78"/>
      <c r="F3" s="78"/>
      <c r="G3" s="78"/>
      <c r="H3" s="78"/>
    </row>
    <row r="4" spans="1:9" ht="14.25">
      <c r="A4" s="78"/>
      <c r="B4" s="78"/>
      <c r="C4" s="78"/>
      <c r="D4" s="78"/>
      <c r="E4" s="78"/>
      <c r="H4" s="78"/>
    </row>
    <row r="5" spans="1:9" ht="27" customHeight="1">
      <c r="A5" s="79" t="s">
        <v>55</v>
      </c>
      <c r="B5" s="4"/>
      <c r="C5" s="5"/>
      <c r="D5" s="78"/>
      <c r="E5" s="78"/>
      <c r="F5" s="6" t="s">
        <v>42</v>
      </c>
      <c r="G5" s="7" t="s">
        <v>0</v>
      </c>
      <c r="H5" s="78"/>
    </row>
    <row r="6" spans="1:9" ht="27" customHeight="1">
      <c r="A6" s="78"/>
      <c r="B6" s="78"/>
      <c r="C6" s="78"/>
      <c r="D6" s="78"/>
      <c r="E6" s="78"/>
      <c r="F6" s="8" t="s">
        <v>19</v>
      </c>
      <c r="G6" s="9" t="s">
        <v>46</v>
      </c>
      <c r="H6" s="78"/>
    </row>
    <row r="7" spans="1:9" ht="27" customHeight="1">
      <c r="A7" s="129" t="s">
        <v>73</v>
      </c>
      <c r="B7" s="130"/>
      <c r="C7" s="131"/>
      <c r="D7" s="78"/>
      <c r="E7" s="10"/>
      <c r="F7" s="11" t="s">
        <v>38</v>
      </c>
      <c r="G7" s="9" t="s">
        <v>45</v>
      </c>
      <c r="H7" s="78"/>
    </row>
    <row r="8" spans="1:9" ht="27" customHeight="1">
      <c r="A8" s="78"/>
      <c r="B8" s="78"/>
      <c r="C8" s="78"/>
      <c r="D8" s="78"/>
      <c r="E8" s="78"/>
      <c r="F8" s="8" t="s">
        <v>29</v>
      </c>
      <c r="G8" s="9" t="s">
        <v>56</v>
      </c>
      <c r="H8" s="78"/>
    </row>
    <row r="9" spans="1:9" ht="27" customHeight="1">
      <c r="A9" s="129" t="s">
        <v>82</v>
      </c>
      <c r="B9" s="130"/>
      <c r="C9" s="131"/>
      <c r="D9" s="78"/>
      <c r="E9" s="78"/>
      <c r="F9" s="8" t="s">
        <v>20</v>
      </c>
      <c r="G9" s="9" t="s">
        <v>23</v>
      </c>
      <c r="H9" s="78"/>
    </row>
    <row r="10" spans="1:9" ht="27" customHeight="1">
      <c r="A10" s="78"/>
      <c r="B10" s="78"/>
      <c r="C10" s="78"/>
      <c r="D10" s="78"/>
      <c r="E10" s="78"/>
      <c r="F10" s="12" t="s">
        <v>27</v>
      </c>
      <c r="G10" s="13" t="s">
        <v>5</v>
      </c>
      <c r="H10" s="78"/>
      <c r="I10" s="78"/>
    </row>
    <row r="11" spans="1:9" ht="27" customHeight="1">
      <c r="A11" s="127"/>
      <c r="B11" s="128"/>
      <c r="C11" s="128"/>
      <c r="D11" s="78"/>
      <c r="E11" s="14"/>
      <c r="F11" s="15" t="s">
        <v>2</v>
      </c>
      <c r="G11" s="16" t="s">
        <v>32</v>
      </c>
      <c r="H11" s="14"/>
    </row>
    <row r="12" spans="1:9" ht="18">
      <c r="A12" s="17" t="s">
        <v>35</v>
      </c>
      <c r="B12" s="17" t="str">
        <f>NUMBERSTRING(F31,1)</f>
        <v>일백일십사만삼천</v>
      </c>
      <c r="C12" s="18"/>
      <c r="D12" s="1" t="s">
        <v>14</v>
      </c>
      <c r="E12" s="1" t="s">
        <v>15</v>
      </c>
      <c r="F12" s="1" t="s">
        <v>15</v>
      </c>
      <c r="G12" s="1"/>
      <c r="H12" s="19"/>
    </row>
    <row r="13" spans="1:9" ht="14.25">
      <c r="A13" s="78"/>
      <c r="B13" s="78"/>
      <c r="C13" s="78"/>
      <c r="D13" s="78"/>
      <c r="E13" s="78"/>
      <c r="F13" s="78"/>
      <c r="G13" s="78"/>
      <c r="H13" s="19"/>
    </row>
    <row r="14" spans="1:9" ht="33" customHeight="1">
      <c r="A14" s="20" t="s">
        <v>16</v>
      </c>
      <c r="B14" s="21" t="s">
        <v>8</v>
      </c>
      <c r="C14" s="21" t="s">
        <v>13</v>
      </c>
      <c r="D14" s="21" t="s">
        <v>11</v>
      </c>
      <c r="E14" s="21" t="s">
        <v>9</v>
      </c>
      <c r="F14" s="21" t="s">
        <v>10</v>
      </c>
      <c r="G14" s="22" t="s">
        <v>7</v>
      </c>
      <c r="H14" s="19"/>
    </row>
    <row r="15" spans="1:9" ht="33" customHeight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21</v>
      </c>
      <c r="C16" s="31"/>
      <c r="D16" s="32"/>
      <c r="E16" s="32"/>
      <c r="F16" s="33">
        <f>'내역서(표준단가)'!K9</f>
        <v>5594.5</v>
      </c>
      <c r="G16" s="34"/>
    </row>
    <row r="17" spans="1:7" ht="33" customHeight="1">
      <c r="A17" s="29"/>
      <c r="B17" s="30" t="s">
        <v>18</v>
      </c>
      <c r="C17" s="31"/>
      <c r="D17" s="32"/>
      <c r="E17" s="32"/>
      <c r="F17" s="33">
        <f>'내역서(표준단가)'!M9</f>
        <v>930025.5</v>
      </c>
      <c r="G17" s="35"/>
    </row>
    <row r="18" spans="1:7" ht="33" customHeight="1">
      <c r="A18" s="29"/>
      <c r="B18" s="30" t="s">
        <v>44</v>
      </c>
      <c r="C18" s="31"/>
      <c r="D18" s="32"/>
      <c r="E18" s="32"/>
      <c r="F18" s="33">
        <f>'내역서(표준단가)'!O9+'내역서(표준단가)'!Q9</f>
        <v>0</v>
      </c>
      <c r="G18" s="35"/>
    </row>
    <row r="19" spans="1:7" ht="33" customHeight="1">
      <c r="A19" s="29"/>
      <c r="B19" s="36" t="s">
        <v>30</v>
      </c>
      <c r="C19" s="36"/>
      <c r="D19" s="37"/>
      <c r="E19" s="37"/>
      <c r="F19" s="38">
        <f>F16+F17+F18</f>
        <v>935620</v>
      </c>
      <c r="G19" s="35"/>
    </row>
    <row r="20" spans="1:7" ht="33" customHeight="1">
      <c r="A20" s="29"/>
      <c r="B20" s="39" t="s">
        <v>24</v>
      </c>
      <c r="C20" s="40"/>
      <c r="D20" s="32"/>
      <c r="E20" s="32"/>
      <c r="F20" s="41"/>
      <c r="G20" s="35"/>
    </row>
    <row r="21" spans="1:7" ht="33" customHeight="1">
      <c r="A21" s="29"/>
      <c r="B21" s="107" t="s">
        <v>57</v>
      </c>
      <c r="C21" s="108" t="s">
        <v>58</v>
      </c>
      <c r="D21" s="109">
        <v>1</v>
      </c>
      <c r="E21" s="109" t="s">
        <v>59</v>
      </c>
      <c r="F21" s="110">
        <f>F17*4.75%</f>
        <v>44176.21125</v>
      </c>
      <c r="G21" s="35" t="s">
        <v>3</v>
      </c>
    </row>
    <row r="22" spans="1:7" ht="33" customHeight="1">
      <c r="A22" s="29"/>
      <c r="B22" s="111" t="s">
        <v>60</v>
      </c>
      <c r="C22" s="108" t="s">
        <v>61</v>
      </c>
      <c r="D22" s="112">
        <v>1</v>
      </c>
      <c r="E22" s="112" t="s">
        <v>59</v>
      </c>
      <c r="F22" s="113">
        <f>F17*3.595%</f>
        <v>33434.416725000003</v>
      </c>
      <c r="G22" s="42" t="s">
        <v>3</v>
      </c>
    </row>
    <row r="23" spans="1:7" ht="33" customHeight="1">
      <c r="A23" s="29"/>
      <c r="B23" s="107" t="s">
        <v>62</v>
      </c>
      <c r="C23" s="114" t="s">
        <v>63</v>
      </c>
      <c r="D23" s="109">
        <v>1</v>
      </c>
      <c r="E23" s="109" t="s">
        <v>59</v>
      </c>
      <c r="F23" s="115">
        <f>F22*13.14%</f>
        <v>4393.2823576650007</v>
      </c>
      <c r="G23" s="35" t="s">
        <v>3</v>
      </c>
    </row>
    <row r="24" spans="1:7" ht="33" customHeight="1">
      <c r="A24" s="29"/>
      <c r="B24" s="107" t="s">
        <v>64</v>
      </c>
      <c r="C24" s="114" t="s">
        <v>65</v>
      </c>
      <c r="D24" s="109">
        <v>1</v>
      </c>
      <c r="E24" s="109" t="s">
        <v>59</v>
      </c>
      <c r="F24" s="115">
        <f>F17*1.01%</f>
        <v>9393.2575500000003</v>
      </c>
      <c r="G24" s="35" t="s">
        <v>3</v>
      </c>
    </row>
    <row r="25" spans="1:7" ht="33" customHeight="1">
      <c r="A25" s="29"/>
      <c r="B25" s="107" t="s">
        <v>66</v>
      </c>
      <c r="C25" s="114" t="s">
        <v>67</v>
      </c>
      <c r="D25" s="109">
        <v>1</v>
      </c>
      <c r="E25" s="109" t="s">
        <v>59</v>
      </c>
      <c r="F25" s="115">
        <f>F17*3.56%</f>
        <v>33108.907800000001</v>
      </c>
      <c r="G25" s="35" t="s">
        <v>3</v>
      </c>
    </row>
    <row r="26" spans="1:7" ht="33" customHeight="1">
      <c r="A26" s="29"/>
      <c r="B26" s="107" t="s">
        <v>68</v>
      </c>
      <c r="C26" s="116" t="s">
        <v>69</v>
      </c>
      <c r="D26" s="109">
        <v>1</v>
      </c>
      <c r="E26" s="109" t="s">
        <v>59</v>
      </c>
      <c r="F26" s="115">
        <f>(F16+F17)*3.11%</f>
        <v>29097.781999999999</v>
      </c>
      <c r="G26" s="35" t="s">
        <v>3</v>
      </c>
    </row>
    <row r="27" spans="1:7" ht="33" customHeight="1">
      <c r="A27" s="29"/>
      <c r="B27" s="107" t="s">
        <v>70</v>
      </c>
      <c r="C27" s="116" t="s">
        <v>71</v>
      </c>
      <c r="D27" s="109">
        <v>1</v>
      </c>
      <c r="E27" s="109" t="s">
        <v>59</v>
      </c>
      <c r="F27" s="115">
        <f>SUM(F17+F21+F22+F23+F24+F25+F26)*5%</f>
        <v>54181.46788413325</v>
      </c>
      <c r="G27" s="35"/>
    </row>
    <row r="28" spans="1:7" ht="33" customHeight="1">
      <c r="A28" s="29"/>
      <c r="B28" s="36" t="s">
        <v>30</v>
      </c>
      <c r="C28" s="43"/>
      <c r="D28" s="44"/>
      <c r="E28" s="37"/>
      <c r="F28" s="45">
        <f>F21+F22+F23+F24+F25+F26+F27</f>
        <v>207785.32556679824</v>
      </c>
      <c r="G28" s="35"/>
    </row>
    <row r="29" spans="1:7" ht="33" customHeight="1">
      <c r="A29" s="29"/>
      <c r="B29" s="40"/>
      <c r="C29" s="46"/>
      <c r="D29" s="47"/>
      <c r="E29" s="32"/>
      <c r="F29" s="48"/>
      <c r="G29" s="35"/>
    </row>
    <row r="30" spans="1:7" ht="33" customHeight="1">
      <c r="A30" s="29"/>
      <c r="B30" s="49"/>
      <c r="C30" s="46"/>
      <c r="D30" s="47"/>
      <c r="E30" s="32"/>
      <c r="F30" s="50">
        <f>F19+F28+F29</f>
        <v>1143405.3255667982</v>
      </c>
      <c r="G30" s="35"/>
    </row>
    <row r="31" spans="1:7" ht="33" customHeight="1">
      <c r="A31" s="29"/>
      <c r="B31" s="36" t="s">
        <v>4</v>
      </c>
      <c r="C31" s="36"/>
      <c r="D31" s="37"/>
      <c r="E31" s="37"/>
      <c r="F31" s="51">
        <f>ROUNDDOWN(F30,-3)</f>
        <v>1143000</v>
      </c>
      <c r="G31" s="35"/>
    </row>
    <row r="32" spans="1:7" ht="33" customHeight="1">
      <c r="A32" s="52"/>
      <c r="B32" s="53" t="s">
        <v>36</v>
      </c>
      <c r="C32" s="54"/>
      <c r="D32" s="54"/>
      <c r="E32" s="54"/>
      <c r="F32" s="55"/>
      <c r="G32" s="56"/>
    </row>
    <row r="33" spans="2:2" ht="15.75">
      <c r="B33" s="57"/>
    </row>
    <row r="34" spans="2:2" ht="15.75">
      <c r="B34" s="57"/>
    </row>
  </sheetData>
  <mergeCells count="4">
    <mergeCell ref="A2:G2"/>
    <mergeCell ref="A11:C11"/>
    <mergeCell ref="A9:C9"/>
    <mergeCell ref="A7:C7"/>
  </mergeCells>
  <phoneticPr fontId="20" type="noConversion"/>
  <pageMargins left="0.31486111879348755" right="0.19680555164813995" top="0.94486111402511597" bottom="0.55111110210418701" header="0.31486111879348755" footer="0.31486111879348755"/>
  <pageSetup paperSize="9" scale="6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8"/>
  <sheetViews>
    <sheetView showGridLines="0" topLeftCell="H1" zoomScale="90" zoomScaleNormal="90" zoomScaleSheetLayoutView="75" workbookViewId="0">
      <pane ySplit="4" topLeftCell="A5" activePane="bottomLeft" state="frozen"/>
      <selection pane="bottomLeft" activeCell="L6" sqref="L6"/>
    </sheetView>
  </sheetViews>
  <sheetFormatPr defaultColWidth="9" defaultRowHeight="38.1" customHeight="1"/>
  <cols>
    <col min="1" max="1" width="22.625" style="99" bestFit="1" customWidth="1"/>
    <col min="2" max="5" width="18.625" style="90" hidden="1" customWidth="1"/>
    <col min="6" max="6" width="34" style="85" customWidth="1"/>
    <col min="7" max="7" width="30.625" style="85" customWidth="1"/>
    <col min="8" max="8" width="12" style="90" bestFit="1" customWidth="1"/>
    <col min="9" max="9" width="8.125" style="90" bestFit="1" customWidth="1"/>
    <col min="10" max="10" width="10.5" style="90" bestFit="1" customWidth="1"/>
    <col min="11" max="11" width="15.625" style="90" bestFit="1" customWidth="1"/>
    <col min="12" max="12" width="11.625" style="90" bestFit="1" customWidth="1"/>
    <col min="13" max="13" width="16.75" style="90" customWidth="1"/>
    <col min="14" max="14" width="11.5" style="90" hidden="1" customWidth="1"/>
    <col min="15" max="15" width="8.75" style="90" hidden="1" customWidth="1"/>
    <col min="16" max="16" width="9.625" style="90" hidden="1" customWidth="1"/>
    <col min="17" max="17" width="13.25" style="90" hidden="1" customWidth="1"/>
    <col min="18" max="18" width="16.75" style="90" bestFit="1" customWidth="1"/>
    <col min="19" max="19" width="10.75" style="59" bestFit="1" customWidth="1"/>
    <col min="20" max="20" width="9.125" style="90" bestFit="1" customWidth="1"/>
    <col min="21" max="16384" width="9" style="90"/>
  </cols>
  <sheetData>
    <row r="1" spans="1:20" ht="19.899999999999999" customHeight="1">
      <c r="A1" s="132"/>
      <c r="B1" s="132"/>
      <c r="C1" s="132"/>
      <c r="D1" s="132"/>
      <c r="E1" s="132"/>
      <c r="J1" s="59"/>
      <c r="K1" s="89" t="s">
        <v>33</v>
      </c>
      <c r="M1" s="89" t="s">
        <v>33</v>
      </c>
      <c r="O1" s="89" t="s">
        <v>33</v>
      </c>
      <c r="Q1" s="89" t="s">
        <v>33</v>
      </c>
    </row>
    <row r="2" spans="1:20" ht="19.899999999999999" customHeight="1" thickBot="1">
      <c r="A2" s="132"/>
      <c r="B2" s="132"/>
      <c r="C2" s="132"/>
      <c r="D2" s="132"/>
      <c r="E2" s="132"/>
      <c r="J2" s="60"/>
      <c r="K2" s="61">
        <v>0.83499999999999996</v>
      </c>
      <c r="M2" s="61">
        <v>0.83499999999999996</v>
      </c>
      <c r="O2" s="61">
        <v>0.83499999999999996</v>
      </c>
      <c r="Q2" s="61">
        <v>0.83499999999999996</v>
      </c>
    </row>
    <row r="3" spans="1:20" ht="19.899999999999999" customHeight="1">
      <c r="A3" s="91"/>
      <c r="B3" s="91" t="s">
        <v>31</v>
      </c>
      <c r="C3" s="92"/>
      <c r="D3" s="92"/>
      <c r="E3" s="92"/>
      <c r="F3" s="143" t="s">
        <v>51</v>
      </c>
      <c r="G3" s="143"/>
      <c r="H3" s="141" t="s">
        <v>9</v>
      </c>
      <c r="I3" s="141" t="s">
        <v>11</v>
      </c>
      <c r="J3" s="137" t="s">
        <v>21</v>
      </c>
      <c r="K3" s="137"/>
      <c r="L3" s="137" t="s">
        <v>18</v>
      </c>
      <c r="M3" s="137"/>
      <c r="N3" s="138" t="s">
        <v>52</v>
      </c>
      <c r="O3" s="138"/>
      <c r="P3" s="138" t="s">
        <v>6</v>
      </c>
      <c r="Q3" s="138"/>
      <c r="R3" s="139" t="s">
        <v>22</v>
      </c>
      <c r="S3" s="135" t="s">
        <v>53</v>
      </c>
      <c r="T3" s="133" t="s">
        <v>39</v>
      </c>
    </row>
    <row r="4" spans="1:20" ht="19.899999999999999" customHeight="1">
      <c r="A4" s="62" t="s">
        <v>22</v>
      </c>
      <c r="B4" s="63" t="s">
        <v>54</v>
      </c>
      <c r="C4" s="63" t="s">
        <v>50</v>
      </c>
      <c r="D4" s="63" t="s">
        <v>48</v>
      </c>
      <c r="E4" s="63" t="s">
        <v>49</v>
      </c>
      <c r="F4" s="86" t="s">
        <v>26</v>
      </c>
      <c r="G4" s="86" t="s">
        <v>13</v>
      </c>
      <c r="H4" s="142"/>
      <c r="I4" s="142"/>
      <c r="J4" s="64" t="s">
        <v>47</v>
      </c>
      <c r="K4" s="65" t="s">
        <v>10</v>
      </c>
      <c r="L4" s="64" t="s">
        <v>25</v>
      </c>
      <c r="M4" s="65" t="s">
        <v>10</v>
      </c>
      <c r="N4" s="65" t="s">
        <v>25</v>
      </c>
      <c r="O4" s="65" t="s">
        <v>10</v>
      </c>
      <c r="P4" s="65" t="s">
        <v>25</v>
      </c>
      <c r="Q4" s="65" t="s">
        <v>10</v>
      </c>
      <c r="R4" s="140"/>
      <c r="S4" s="136"/>
      <c r="T4" s="134"/>
    </row>
    <row r="5" spans="1:20" s="93" customFormat="1" ht="24" customHeight="1">
      <c r="A5" s="100" t="str">
        <f t="shared" ref="A5:A7" si="0">B5&amp;C5&amp;D5&amp;E5</f>
        <v>L003</v>
      </c>
      <c r="B5" s="102"/>
      <c r="C5" s="103"/>
      <c r="D5" s="104"/>
      <c r="E5" s="105" t="s">
        <v>1</v>
      </c>
      <c r="F5" s="119" t="s">
        <v>74</v>
      </c>
      <c r="G5" s="122" t="s">
        <v>75</v>
      </c>
      <c r="H5" s="120" t="s">
        <v>28</v>
      </c>
      <c r="I5" s="118">
        <v>2</v>
      </c>
      <c r="J5" s="123"/>
      <c r="K5" s="72">
        <f t="shared" ref="K5:K7" si="1">SUM(J5:J5)*I5*$K$2</f>
        <v>0</v>
      </c>
      <c r="L5" s="71">
        <v>224490</v>
      </c>
      <c r="M5" s="72">
        <f>(I5*L5)*1.5</f>
        <v>673470</v>
      </c>
      <c r="N5" s="106"/>
      <c r="O5" s="72">
        <f t="shared" ref="O5" si="2">N5*I5*$O$2</f>
        <v>0</v>
      </c>
      <c r="P5" s="106"/>
      <c r="Q5" s="72">
        <f t="shared" ref="Q5" si="3">P5*I5*$Q$2</f>
        <v>0</v>
      </c>
      <c r="R5" s="106">
        <f t="shared" ref="R5" si="4">SUM(K5+M5)+O5+Q5</f>
        <v>673470</v>
      </c>
      <c r="S5" s="74"/>
      <c r="T5" s="75"/>
    </row>
    <row r="6" spans="1:20" s="93" customFormat="1" ht="24" customHeight="1">
      <c r="A6" s="100" t="str">
        <f t="shared" ref="A6" si="5">B6&amp;C6&amp;D6&amp;E6</f>
        <v>L003</v>
      </c>
      <c r="B6" s="102"/>
      <c r="C6" s="103"/>
      <c r="D6" s="104"/>
      <c r="E6" s="105" t="s">
        <v>1</v>
      </c>
      <c r="F6" s="119" t="s">
        <v>80</v>
      </c>
      <c r="G6" s="122" t="s">
        <v>81</v>
      </c>
      <c r="H6" s="120" t="s">
        <v>28</v>
      </c>
      <c r="I6" s="118">
        <v>1</v>
      </c>
      <c r="J6" s="123"/>
      <c r="K6" s="72">
        <f t="shared" si="1"/>
        <v>0</v>
      </c>
      <c r="L6" s="71">
        <v>171037</v>
      </c>
      <c r="M6" s="72">
        <f>(I6*L6)*1.5</f>
        <v>256555.5</v>
      </c>
      <c r="N6" s="106"/>
      <c r="O6" s="72">
        <f t="shared" ref="O6" si="6">N6*I6*$O$2</f>
        <v>0</v>
      </c>
      <c r="P6" s="106"/>
      <c r="Q6" s="72">
        <f t="shared" ref="Q6" si="7">P6*I6*$Q$2</f>
        <v>0</v>
      </c>
      <c r="R6" s="106">
        <f t="shared" ref="R6" si="8">SUM(K6+M6)+O6+Q6</f>
        <v>256555.5</v>
      </c>
      <c r="S6" s="74"/>
      <c r="T6" s="75"/>
    </row>
    <row r="7" spans="1:20" s="93" customFormat="1" ht="24" customHeight="1">
      <c r="A7" s="100" t="str">
        <f t="shared" si="0"/>
        <v>M020611010430101</v>
      </c>
      <c r="B7" s="102"/>
      <c r="C7" s="103"/>
      <c r="D7" s="124" t="s">
        <v>76</v>
      </c>
      <c r="E7" s="105"/>
      <c r="F7" s="125" t="s">
        <v>77</v>
      </c>
      <c r="G7" s="125" t="s">
        <v>78</v>
      </c>
      <c r="H7" s="120" t="s">
        <v>79</v>
      </c>
      <c r="I7" s="118">
        <v>1</v>
      </c>
      <c r="J7" s="123">
        <v>6700</v>
      </c>
      <c r="K7" s="72">
        <f t="shared" si="1"/>
        <v>5594.5</v>
      </c>
      <c r="L7" s="71"/>
      <c r="M7" s="72">
        <f t="shared" ref="M7" si="9">I7*L7*$M$2</f>
        <v>0</v>
      </c>
      <c r="N7" s="106"/>
      <c r="O7" s="72">
        <f t="shared" ref="O7" si="10">N7*I7*$O$2</f>
        <v>0</v>
      </c>
      <c r="P7" s="106"/>
      <c r="Q7" s="72">
        <f t="shared" ref="Q7" si="11">P7*I7*$Q$2</f>
        <v>0</v>
      </c>
      <c r="R7" s="106">
        <f t="shared" ref="R7" si="12">SUM(K7+M7)+O7+Q7</f>
        <v>5594.5</v>
      </c>
      <c r="S7" s="74"/>
      <c r="T7" s="75"/>
    </row>
    <row r="8" spans="1:20" s="93" customFormat="1" ht="24" customHeight="1">
      <c r="A8" s="66" t="str">
        <f t="shared" ref="A8" si="13">B8&amp;C8&amp;D8&amp;E8</f>
        <v/>
      </c>
      <c r="B8" s="76"/>
      <c r="C8" s="77"/>
      <c r="D8" s="77"/>
      <c r="E8" s="80"/>
      <c r="F8" s="84"/>
      <c r="G8" s="87"/>
      <c r="H8" s="82"/>
      <c r="I8" s="83"/>
      <c r="J8" s="73"/>
      <c r="K8" s="72">
        <f t="shared" ref="K8" si="14">SUM(J8:J8)*I8*$K$2</f>
        <v>0</v>
      </c>
      <c r="L8" s="71"/>
      <c r="M8" s="72">
        <f t="shared" ref="M8" si="15">I8*L8</f>
        <v>0</v>
      </c>
      <c r="N8" s="106"/>
      <c r="O8" s="72">
        <f t="shared" ref="O8" si="16">N8*I8*$O$2</f>
        <v>0</v>
      </c>
      <c r="P8" s="106"/>
      <c r="Q8" s="72">
        <f t="shared" ref="Q8" si="17">P8*I8*$Q$2</f>
        <v>0</v>
      </c>
      <c r="R8" s="106">
        <f t="shared" ref="R8" si="18">SUM(K8+M8)+O8+Q8</f>
        <v>0</v>
      </c>
      <c r="S8" s="74"/>
      <c r="T8" s="75"/>
    </row>
    <row r="9" spans="1:20" s="95" customFormat="1" ht="38.1" customHeight="1">
      <c r="A9" s="94"/>
      <c r="F9" s="88"/>
      <c r="G9" s="88"/>
      <c r="K9" s="96">
        <f>SUM(K5:K8)</f>
        <v>5594.5</v>
      </c>
      <c r="L9" s="97"/>
      <c r="M9" s="96">
        <f>SUM(M5:M8)</f>
        <v>930025.5</v>
      </c>
      <c r="N9" s="97"/>
      <c r="O9" s="96">
        <f>SUM(O5:O8)</f>
        <v>0</v>
      </c>
      <c r="P9" s="97"/>
      <c r="Q9" s="96">
        <f>SUM(Q5:Q8)</f>
        <v>0</v>
      </c>
      <c r="R9" s="98">
        <f>SUM(R5:R8)</f>
        <v>935620</v>
      </c>
      <c r="S9" s="67"/>
    </row>
    <row r="10" spans="1:20" ht="38.1" customHeight="1">
      <c r="F10" s="121" t="s">
        <v>72</v>
      </c>
      <c r="G10" s="121"/>
      <c r="H10" s="117"/>
      <c r="I10" s="117"/>
      <c r="J10" s="117"/>
      <c r="K10" s="101"/>
    </row>
    <row r="11" spans="1:20" ht="38.1" customHeight="1">
      <c r="G11" s="117"/>
      <c r="H11" s="117"/>
      <c r="I11" s="117"/>
      <c r="J11" s="117"/>
      <c r="K11" s="101"/>
    </row>
    <row r="12" spans="1:20" ht="38.1" customHeight="1">
      <c r="G12" s="117"/>
      <c r="H12" s="117"/>
      <c r="I12" s="117"/>
      <c r="J12" s="117"/>
      <c r="K12" s="101"/>
    </row>
    <row r="13" spans="1:20" ht="38.1" customHeight="1">
      <c r="G13" s="117"/>
      <c r="H13" s="117"/>
      <c r="I13" s="117"/>
      <c r="J13" s="117"/>
      <c r="K13" s="101"/>
    </row>
    <row r="14" spans="1:20" ht="38.1" customHeight="1">
      <c r="G14" s="117"/>
      <c r="H14" s="117"/>
      <c r="I14" s="117"/>
      <c r="J14" s="117"/>
      <c r="K14" s="101"/>
    </row>
    <row r="15" spans="1:20" ht="38.1" customHeight="1">
      <c r="G15" s="117"/>
      <c r="H15" s="117"/>
      <c r="I15" s="117"/>
      <c r="J15" s="117"/>
      <c r="K15" s="101"/>
    </row>
    <row r="16" spans="1:20" ht="38.1" customHeight="1">
      <c r="G16" s="117"/>
      <c r="H16" s="117"/>
      <c r="I16" s="117"/>
      <c r="J16" s="117"/>
      <c r="K16" s="101"/>
    </row>
    <row r="17" spans="7:11" ht="38.1" customHeight="1">
      <c r="G17" s="117"/>
      <c r="H17" s="117"/>
      <c r="I17" s="117"/>
      <c r="J17" s="117"/>
      <c r="K17" s="101"/>
    </row>
    <row r="18" spans="7:11" ht="38.1" customHeight="1">
      <c r="G18" s="117"/>
      <c r="H18" s="117"/>
      <c r="I18" s="117"/>
      <c r="J18" s="117"/>
      <c r="K18" s="101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20" type="noConversion"/>
  <pageMargins left="0.69999998807907104" right="0.69999998807907104" top="0.75" bottom="0.75" header="0.30000001192092896" footer="0.30000001192092896"/>
  <pageSetup paperSize="9" scale="36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4"/>
  <sheetViews>
    <sheetView showGridLines="0" zoomScaleNormal="100" zoomScaleSheetLayoutView="75" workbookViewId="0">
      <selection activeCell="L35" sqref="L35"/>
    </sheetView>
  </sheetViews>
  <sheetFormatPr defaultColWidth="9" defaultRowHeight="14.25"/>
  <cols>
    <col min="1" max="1" width="25.125" style="58" customWidth="1"/>
    <col min="2" max="2" width="16.25" style="58" customWidth="1"/>
    <col min="3" max="3" width="22.375" style="58" customWidth="1"/>
    <col min="4" max="4" width="24.125" style="58" customWidth="1"/>
    <col min="5" max="5" width="13" style="58" customWidth="1"/>
    <col min="6" max="6" width="7.5" style="58" customWidth="1"/>
    <col min="7" max="16384" width="9" style="81"/>
  </cols>
  <sheetData>
    <row r="1" spans="1:6" ht="18" customHeight="1">
      <c r="A1" s="68" t="s">
        <v>12</v>
      </c>
      <c r="B1" s="68" t="s">
        <v>34</v>
      </c>
      <c r="C1" s="68" t="s">
        <v>40</v>
      </c>
      <c r="D1" s="68" t="s">
        <v>37</v>
      </c>
      <c r="E1" s="68" t="s">
        <v>41</v>
      </c>
      <c r="F1" s="68" t="s">
        <v>11</v>
      </c>
    </row>
    <row r="2" spans="1:6">
      <c r="A2" s="69" t="str">
        <f>'내역서(표준단가)'!A5</f>
        <v>L003</v>
      </c>
      <c r="B2" s="70"/>
      <c r="C2" s="70">
        <f>'내역서(표준단가)'!C5</f>
        <v>0</v>
      </c>
      <c r="D2" s="70">
        <f>'내역서(표준단가)'!D5</f>
        <v>0</v>
      </c>
      <c r="E2" s="70" t="str">
        <f>'내역서(표준단가)'!E5</f>
        <v>L003</v>
      </c>
      <c r="F2" s="70">
        <f>'내역서(표준단가)'!I5</f>
        <v>2</v>
      </c>
    </row>
    <row r="3" spans="1:6">
      <c r="A3" s="69" t="str">
        <f>'내역서(표준단가)'!A6</f>
        <v>L003</v>
      </c>
      <c r="B3" s="70"/>
      <c r="C3" s="70">
        <f>'내역서(표준단가)'!C6</f>
        <v>0</v>
      </c>
      <c r="D3" s="70">
        <f>'내역서(표준단가)'!D6</f>
        <v>0</v>
      </c>
      <c r="E3" s="70" t="str">
        <f>'내역서(표준단가)'!E6</f>
        <v>L003</v>
      </c>
      <c r="F3" s="70">
        <f>'내역서(표준단가)'!I6</f>
        <v>1</v>
      </c>
    </row>
    <row r="4" spans="1:6">
      <c r="A4" s="69" t="str">
        <f>'내역서(표준단가)'!A7</f>
        <v>M020611010430101</v>
      </c>
      <c r="B4" s="70"/>
      <c r="C4" s="70">
        <f>'내역서(표준단가)'!C7</f>
        <v>0</v>
      </c>
      <c r="D4" s="70" t="str">
        <f>'내역서(표준단가)'!D7</f>
        <v>M020611010430101</v>
      </c>
      <c r="E4" s="70">
        <f>'내역서(표준단가)'!E7</f>
        <v>0</v>
      </c>
      <c r="F4" s="70">
        <f>'내역서(표준단가)'!I7</f>
        <v>1</v>
      </c>
    </row>
  </sheetData>
  <phoneticPr fontId="20" type="noConversion"/>
  <pageMargins left="0.69999998807907104" right="0.69999998807907104" top="0.75" bottom="0.75" header="0.30000001192092896" footer="0.300000011920928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1</cp:revision>
  <cp:lastPrinted>2024-01-06T06:05:11Z</cp:lastPrinted>
  <dcterms:created xsi:type="dcterms:W3CDTF">2020-09-15T23:52:51Z</dcterms:created>
  <dcterms:modified xsi:type="dcterms:W3CDTF">2026-05-12T01:20:35Z</dcterms:modified>
  <cp:version>1100.0100.01</cp:version>
</cp:coreProperties>
</file>
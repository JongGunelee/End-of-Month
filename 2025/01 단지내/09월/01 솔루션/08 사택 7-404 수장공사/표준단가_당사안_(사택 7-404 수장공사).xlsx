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2 사택 7-404 수장공사\"/>
    </mc:Choice>
  </mc:AlternateContent>
  <xr:revisionPtr revIDLastSave="0" documentId="13_ncr:1_{BBA702EC-2E57-4145-B050-46FC897E33D0}" xr6:coauthVersionLast="47" xr6:coauthVersionMax="47" xr10:uidLastSave="{00000000-0000-0000-0000-000000000000}"/>
  <bookViews>
    <workbookView xWindow="78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18" i="9"/>
  <c r="D9" i="9"/>
  <c r="D7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9" i="4"/>
  <c r="S9" i="4"/>
  <c r="Q9" i="4"/>
  <c r="O9" i="4"/>
  <c r="A9" i="4"/>
  <c r="A6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9" i="4"/>
  <c r="V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9" i="9"/>
  <c r="F9" i="9"/>
  <c r="H7" i="9"/>
  <c r="F7" i="9"/>
  <c r="H5" i="9"/>
  <c r="F5" i="9"/>
  <c r="J30" i="9" l="1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U8" i="4" l="1"/>
  <c r="S8" i="4"/>
  <c r="Q8" i="4"/>
  <c r="O8" i="4"/>
  <c r="Q10" i="4" l="1"/>
  <c r="F17" i="5" s="1"/>
  <c r="V8" i="4"/>
  <c r="U10" i="4" l="1"/>
  <c r="O10" i="4"/>
  <c r="F16" i="5" s="1"/>
  <c r="F26" i="5" s="1"/>
  <c r="S10" i="4"/>
  <c r="F18" i="5" l="1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<sst xmlns="http://schemas.openxmlformats.org/spreadsheetml/2006/main" count="196" uniqueCount="146">
  <si>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</si>
  <si>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</si>
  <si>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</si>
  <si>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</si>
  <si>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</si>
  <si>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</si>
  <si>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</si>
  <si>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</si>
  <si>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</si>
  <si>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</si>
  <si>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</si>
  <si>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</si>
  <si>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</si>
  <si>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</si>
  <si>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</si>
  <si>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</si>
  <si>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</si>
  <si>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</si>
  <si>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</si>
  <si>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</si>
  <si>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</si>
  <si>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</si>
  <si>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</si>
  <si>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</si>
  <si>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</si>
  <si>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</si>
  <si>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</si>
  <si>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</si>
  <si>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</si>
  <si>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</si>
  <si>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</si>
  <si>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</si>
  <si>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</si>
  <si>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</si>
  <si>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</si>
  <si>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</si>
  <si>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</si>
  <si>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</si>
  <si>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</si>
  <si>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</si>
  <si>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</si>
  <si>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</si>
  <si>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</si>
  <si>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</si>
  <si>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</si>
  <si>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</si>
  <si>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</si>
  <si>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</si>
  <si>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</si>
  <si>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</si>
  <si>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</si>
  <si>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</si>
  <si>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</si>
  <si>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</si>
  <si>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</si>
  <si>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</si>
  <si>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</si>
  <si>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</si>
  <si>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</si>
  <si>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</si>
  <si>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</si>
  <si>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</si>
  <si>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</si>
  <si>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</si>
  <si>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</si>
  <si>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</si>
  <si>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</si>
  <si>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</si>
  <si>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</si>
  <si>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</si>
  <si>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</si>
  <si>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</si>
  <si>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</si>
  <si>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</si>
  <si>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</si>
  <si>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</si>
  <si>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</si>
  <si>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</si>
  <si>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</si>
  <si>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</si>
  <si>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</si>
  <si>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</si>
  <si>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</si>
  <si>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</si>
  <si>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</si>
  <si>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</si>
  <si>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</si>
  <si>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</si>
  <si>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</si>
  <si>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</si>
  <si>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</si>
  <si>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</si>
  <si>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</si>
  <si>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</si>
  <si>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</si>
  <si>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</si>
  <si>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</si>
  <si>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</si>
  <si>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</si>
  <si>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</si>
  <si>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</si>
  <si>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</si>
  <si>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</si>
  <si>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</si>
  <si>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</si>
  <si>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</si>
  <si>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</si>
  <si>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</si>
  <si>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</si>
  <si>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</si>
  <si>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</si>
  <si>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</si>
  <si>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</si>
  <si>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</si>
  <si>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</si>
  <si>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</si>
  <si>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</si>
  <si>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</si>
  <si>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</si>
  <si>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</si>
  <si>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</si>
  <si>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</si>
  <si>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</si>
  <si>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</si>
  <si>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</si>
  <si>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</si>
  <si>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</si>
  <si>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</si>
  <si>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</si>
  <si>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</si>
  <si>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</si>
  <si>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</si>
  <si>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</si>
  <si>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</si>
  <si>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</si>
  <si>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</si>
  <si>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</si>
  <si>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</si>
  <si>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</si>
  <si>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</si>
  <si>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</si>
  <si>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일당 시공량-벽 46㎡, 적산정보 500p 참조,시공총량91/일당46=1.978</t>
    <phoneticPr fontId="5" type="noConversion"/>
  </si>
  <si>
    <t xml:space="preserve"> 공사명 : 사택 7-404 수장공사</t>
    <phoneticPr fontId="11" type="noConversion"/>
  </si>
  <si>
    <t>사택 7-404 수장공사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</si>
  <si>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소요량91/16.51=5.5119R/L</t>
    </r>
    <phoneticPr fontId="5" type="noConversion"/>
  </si>
  <si>
    <t xml:space="preserve"> 견적일 : 2025 년  07월  09일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</si>
</sst>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93" fontId="28" fillId="0" borderId="31" xfId="13" applyNumberFormat="1" applyFont="1" applyFill="1" applyBorder="1" applyAlignment="1">
      <alignment horizontal="right" vertical="center"/>
    </xf>
    <xf numFmtId="188" fontId="28" fillId="0" borderId="31" xfId="13" applyNumberFormat="1" applyFont="1" applyFill="1" applyBorder="1" applyAlignment="1">
      <alignment horizontal="center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93" fontId="28" fillId="7" borderId="31" xfId="13" applyNumberFormat="1" applyFont="1" applyFill="1" applyBorder="1" applyAlignment="1">
      <alignment horizontal="right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2" sqref="I1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4" t="s">
        <v>142</v>
      </c>
      <c r="B7" s="175"/>
      <c r="C7" s="176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4" t="s">
        <v>145</v>
      </c>
      <c r="B9" s="175"/>
      <c r="C9" s="176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2"/>
      <c r="B11" s="173"/>
      <c r="C11" s="173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이백이십사만육천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'내역서(표준단가)'!O10</f>
        <v>526033.21649999998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'내역서(표준단가)'!Q10</f>
        <v>1396005.31442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1922038.5309199998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62820.239148899993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49488.388396189002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6408.7462973064758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14099.653675641999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49697.789193352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128</v>
      </c>
      <c r="D26" s="30">
        <v>1</v>
      </c>
      <c r="E26" s="30" t="s">
        <v>25</v>
      </c>
      <c r="F26" s="43">
        <f>(F16+F17)*3.11%</f>
        <v>59775.398311611993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81914.776472150072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324204.99149515154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2246243.5224151514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2246000</v>
      </c>
      <c r="G31" s="162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T15" sqref="T15"/>
    </sheetView>
  </sheetViews>
  <sheetFormatPr defaultColWidth="9" defaultRowHeight="38.1" customHeight="1" x14ac:dyDescent="0.3"/>
  <cols>
    <col min="1" max="1" width="22.625" style="152" bestFit="1" customWidth="1"/>
    <col min="2" max="5" width="4.625" style="152" hidden="1" customWidth="1"/>
    <col min="6" max="6" width="9" style="139" hidden="1" customWidth="1"/>
    <col min="7" max="9" width="12.625" style="139" hidden="1" customWidth="1"/>
    <col min="10" max="11" width="30.625" style="134" customWidth="1"/>
    <col min="12" max="12" width="12.375" style="139" bestFit="1" customWidth="1"/>
    <col min="13" max="13" width="8.25" style="139" customWidth="1"/>
    <col min="14" max="14" width="10.625" style="139" bestFit="1" customWidth="1"/>
    <col min="15" max="15" width="13.25" style="139" bestFit="1" customWidth="1"/>
    <col min="16" max="16" width="12" style="139" bestFit="1" customWidth="1"/>
    <col min="17" max="17" width="15.625" style="139" bestFit="1" customWidth="1"/>
    <col min="18" max="18" width="9" style="139" customWidth="1"/>
    <col min="19" max="19" width="8.75" style="139" bestFit="1" customWidth="1"/>
    <col min="20" max="20" width="10.5" style="139" customWidth="1"/>
    <col min="21" max="21" width="8.75" style="139" bestFit="1" customWidth="1"/>
    <col min="22" max="22" width="15.625" style="139" bestFit="1" customWidth="1"/>
    <col min="23" max="23" width="10.625" style="66" bestFit="1" customWidth="1"/>
    <col min="24" max="24" width="8.5" style="139" bestFit="1" customWidth="1"/>
    <col min="25" max="16384" width="9" style="139"/>
  </cols>
  <sheetData>
    <row r="1" spans="1:24" ht="19.899999999999999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N1" s="66"/>
      <c r="O1" s="137" t="s">
        <v>96</v>
      </c>
      <c r="Q1" s="137" t="s">
        <v>96</v>
      </c>
      <c r="S1" s="137" t="s">
        <v>96</v>
      </c>
      <c r="U1" s="137" t="s">
        <v>96</v>
      </c>
    </row>
    <row r="2" spans="1:24" ht="19.899999999999999" customHeight="1" thickBot="1" x14ac:dyDescent="0.35">
      <c r="A2" s="177"/>
      <c r="B2" s="177"/>
      <c r="C2" s="177"/>
      <c r="D2" s="177"/>
      <c r="E2" s="177"/>
      <c r="F2" s="177"/>
      <c r="G2" s="177"/>
      <c r="H2" s="177"/>
      <c r="I2" s="177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0"/>
      <c r="B3" s="141"/>
      <c r="C3" s="141"/>
      <c r="D3" s="141"/>
      <c r="E3" s="141"/>
      <c r="F3" s="141" t="s">
        <v>97</v>
      </c>
      <c r="G3" s="141"/>
      <c r="H3" s="141"/>
      <c r="I3" s="141"/>
      <c r="J3" s="188" t="s">
        <v>98</v>
      </c>
      <c r="K3" s="188"/>
      <c r="L3" s="186" t="s">
        <v>47</v>
      </c>
      <c r="M3" s="186" t="s">
        <v>5</v>
      </c>
      <c r="N3" s="182" t="s">
        <v>99</v>
      </c>
      <c r="O3" s="182"/>
      <c r="P3" s="182" t="s">
        <v>100</v>
      </c>
      <c r="Q3" s="182"/>
      <c r="R3" s="183" t="s">
        <v>101</v>
      </c>
      <c r="S3" s="183"/>
      <c r="T3" s="183" t="s">
        <v>102</v>
      </c>
      <c r="U3" s="183"/>
      <c r="V3" s="184" t="s">
        <v>103</v>
      </c>
      <c r="W3" s="180" t="s">
        <v>104</v>
      </c>
      <c r="X3" s="178" t="s">
        <v>45</v>
      </c>
    </row>
    <row r="4" spans="1:24" ht="19.899999999999999" customHeight="1" x14ac:dyDescent="0.3">
      <c r="A4" s="69" t="s">
        <v>105</v>
      </c>
      <c r="B4" s="138"/>
      <c r="C4" s="138"/>
      <c r="D4" s="138"/>
      <c r="E4" s="138"/>
      <c r="F4" s="70" t="s">
        <v>106</v>
      </c>
      <c r="G4" s="70" t="s">
        <v>107</v>
      </c>
      <c r="H4" s="70" t="s">
        <v>108</v>
      </c>
      <c r="I4" s="70" t="s">
        <v>109</v>
      </c>
      <c r="J4" s="135" t="s">
        <v>110</v>
      </c>
      <c r="K4" s="135" t="s">
        <v>111</v>
      </c>
      <c r="L4" s="187"/>
      <c r="M4" s="187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5"/>
      <c r="W4" s="181"/>
      <c r="X4" s="179"/>
    </row>
    <row r="5" spans="1:24" s="142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129</v>
      </c>
      <c r="I5" s="101"/>
      <c r="J5" s="133" t="s">
        <v>130</v>
      </c>
      <c r="K5" s="156" t="s">
        <v>144</v>
      </c>
      <c r="L5" s="118" t="s">
        <v>139</v>
      </c>
      <c r="M5" s="155">
        <v>5.5110000000000001</v>
      </c>
      <c r="N5" s="153">
        <v>20900</v>
      </c>
      <c r="O5" s="128">
        <f t="shared" ref="O5" si="1">SUM(N5:N5)*M5*$O$2</f>
        <v>96175.21650000001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7">
        <f t="shared" ref="V5" si="5">SUM(O5+Q5)+S5+U5</f>
        <v>96175.21650000001</v>
      </c>
      <c r="W5" s="117"/>
      <c r="X5" s="78"/>
    </row>
    <row r="6" spans="1:24" s="142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3" t="s">
        <v>118</v>
      </c>
      <c r="K6" s="156" t="s">
        <v>141</v>
      </c>
      <c r="L6" s="75" t="s">
        <v>117</v>
      </c>
      <c r="M6" s="155">
        <v>1.978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804469.33387999993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2" customFormat="1" ht="38.1" customHeight="1" x14ac:dyDescent="0.3">
      <c r="A7" s="73" t="str">
        <f t="shared" ref="A7" si="12">F7&amp;G7&amp;H7&amp;I7</f>
        <v>M020809012520101</v>
      </c>
      <c r="B7" s="107"/>
      <c r="C7" s="107"/>
      <c r="D7" s="107"/>
      <c r="E7" s="107"/>
      <c r="F7" s="101"/>
      <c r="G7" s="74"/>
      <c r="H7" s="74" t="s">
        <v>132</v>
      </c>
      <c r="I7" s="101"/>
      <c r="J7" s="133" t="s">
        <v>133</v>
      </c>
      <c r="K7" s="133" t="s">
        <v>134</v>
      </c>
      <c r="L7" s="118" t="s">
        <v>131</v>
      </c>
      <c r="M7" s="132">
        <v>39.6</v>
      </c>
      <c r="N7" s="131">
        <v>13000</v>
      </c>
      <c r="O7" s="128">
        <f t="shared" ref="O7:O8" si="13">SUM(N7:N7)*M7*$O$2</f>
        <v>429858</v>
      </c>
      <c r="P7" s="127"/>
      <c r="Q7" s="128">
        <f t="shared" ref="Q7:Q9" si="14">(P7*M7)*$Q$2</f>
        <v>0</v>
      </c>
      <c r="R7" s="129"/>
      <c r="S7" s="128">
        <f t="shared" ref="S7:S9" si="15">R7*M7*$S$2</f>
        <v>0</v>
      </c>
      <c r="T7" s="129"/>
      <c r="U7" s="128">
        <f t="shared" ref="U7:U9" si="16">T7*M7*$U$2</f>
        <v>0</v>
      </c>
      <c r="V7" s="77">
        <f t="shared" ref="V7:V9" si="17">SUM(O7+Q7)+S7+U7</f>
        <v>429858</v>
      </c>
      <c r="W7" s="117"/>
      <c r="X7" s="78"/>
    </row>
    <row r="8" spans="1:24" s="142" customFormat="1" ht="38.1" customHeight="1" x14ac:dyDescent="0.3">
      <c r="A8" s="73" t="str">
        <f t="shared" ref="A8:A9" si="18">F8&amp;G8&amp;H8&amp;I8</f>
        <v>E00000803071260401</v>
      </c>
      <c r="B8" s="107"/>
      <c r="C8" s="107"/>
      <c r="D8" s="107"/>
      <c r="E8" s="107"/>
      <c r="F8" s="101"/>
      <c r="G8" s="74" t="s">
        <v>119</v>
      </c>
      <c r="H8" s="74"/>
      <c r="I8" s="101"/>
      <c r="J8" s="133" t="s">
        <v>120</v>
      </c>
      <c r="K8" s="133" t="s">
        <v>140</v>
      </c>
      <c r="L8" s="75" t="s">
        <v>117</v>
      </c>
      <c r="M8" s="132">
        <v>0.64900000000000002</v>
      </c>
      <c r="N8" s="130"/>
      <c r="O8" s="128">
        <f t="shared" si="13"/>
        <v>0</v>
      </c>
      <c r="P8" s="127">
        <v>487076</v>
      </c>
      <c r="Q8" s="128">
        <f t="shared" si="14"/>
        <v>263953.79054000002</v>
      </c>
      <c r="R8" s="129"/>
      <c r="S8" s="128">
        <f t="shared" si="15"/>
        <v>0</v>
      </c>
      <c r="T8" s="129"/>
      <c r="U8" s="128">
        <f t="shared" si="16"/>
        <v>0</v>
      </c>
      <c r="V8" s="77">
        <f t="shared" si="17"/>
        <v>263953.79054000002</v>
      </c>
      <c r="W8" s="117"/>
      <c r="X8" s="78"/>
    </row>
    <row r="9" spans="1:24" s="142" customFormat="1" ht="38.1" customHeight="1" x14ac:dyDescent="0.3">
      <c r="A9" s="73" t="str">
        <f t="shared" si="18"/>
        <v>E00000801011510701</v>
      </c>
      <c r="B9" s="107"/>
      <c r="C9" s="107"/>
      <c r="D9" s="107"/>
      <c r="E9" s="107"/>
      <c r="F9" s="101"/>
      <c r="G9" s="74" t="s">
        <v>138</v>
      </c>
      <c r="H9" s="74"/>
      <c r="I9" s="101"/>
      <c r="J9" s="144" t="s">
        <v>135</v>
      </c>
      <c r="K9" s="144" t="s">
        <v>136</v>
      </c>
      <c r="L9" s="145" t="s">
        <v>137</v>
      </c>
      <c r="M9" s="132">
        <v>79</v>
      </c>
      <c r="N9" s="143"/>
      <c r="O9" s="76">
        <f t="shared" ref="O9" si="19">SUM(N9:N9)*M9*$O$2</f>
        <v>0</v>
      </c>
      <c r="P9" s="154">
        <v>4966</v>
      </c>
      <c r="Q9" s="76">
        <f t="shared" si="14"/>
        <v>327582.19</v>
      </c>
      <c r="R9" s="77"/>
      <c r="S9" s="76">
        <f t="shared" si="15"/>
        <v>0</v>
      </c>
      <c r="T9" s="77"/>
      <c r="U9" s="76">
        <f t="shared" si="16"/>
        <v>0</v>
      </c>
      <c r="V9" s="77">
        <f t="shared" si="17"/>
        <v>327582.19</v>
      </c>
      <c r="W9" s="117"/>
      <c r="X9" s="78"/>
    </row>
    <row r="10" spans="1:24" s="151" customFormat="1" ht="38.1" customHeight="1" x14ac:dyDescent="0.3">
      <c r="A10" s="146"/>
      <c r="B10" s="147"/>
      <c r="C10" s="147"/>
      <c r="D10" s="147"/>
      <c r="E10" s="147"/>
      <c r="F10" s="147"/>
      <c r="G10" s="147"/>
      <c r="H10" s="147"/>
      <c r="I10" s="147"/>
      <c r="J10" s="136"/>
      <c r="K10" s="136"/>
      <c r="L10" s="147"/>
      <c r="M10" s="147"/>
      <c r="N10" s="147"/>
      <c r="O10" s="148">
        <f>SUM(O5:O9)</f>
        <v>526033.21649999998</v>
      </c>
      <c r="P10" s="149"/>
      <c r="Q10" s="148">
        <f>SUM(Q5:Q9)</f>
        <v>1396005.31442</v>
      </c>
      <c r="R10" s="149"/>
      <c r="S10" s="148">
        <f>SUM(S5:S9)</f>
        <v>0</v>
      </c>
      <c r="T10" s="149"/>
      <c r="U10" s="148">
        <f>SUM(U5:U9)</f>
        <v>0</v>
      </c>
      <c r="V10" s="150">
        <f>SUM(V5:V9)</f>
        <v>1922038.5309199998</v>
      </c>
      <c r="W10" s="110"/>
      <c r="X10" s="14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N37" sqref="N37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198" t="s">
        <v>59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ht="15" customHeight="1" x14ac:dyDescent="0.3">
      <c r="A2" s="199" t="s">
        <v>60</v>
      </c>
      <c r="B2" s="200" t="s">
        <v>61</v>
      </c>
      <c r="C2" s="201" t="s">
        <v>47</v>
      </c>
      <c r="D2" s="201" t="s">
        <v>62</v>
      </c>
      <c r="E2" s="203" t="s">
        <v>63</v>
      </c>
      <c r="F2" s="200"/>
      <c r="G2" s="200" t="s">
        <v>64</v>
      </c>
      <c r="H2" s="200"/>
      <c r="I2" s="204" t="s">
        <v>65</v>
      </c>
      <c r="J2" s="205"/>
      <c r="K2" s="204" t="s">
        <v>66</v>
      </c>
      <c r="L2" s="205"/>
      <c r="M2" s="203" t="s">
        <v>67</v>
      </c>
      <c r="N2" s="200"/>
      <c r="O2" s="206" t="s">
        <v>68</v>
      </c>
    </row>
    <row r="3" spans="1:15" ht="15" customHeight="1" x14ac:dyDescent="0.3">
      <c r="A3" s="199"/>
      <c r="B3" s="200"/>
      <c r="C3" s="202"/>
      <c r="D3" s="202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7"/>
    </row>
    <row r="4" spans="1:15" ht="15" customHeight="1" x14ac:dyDescent="0.3">
      <c r="A4" s="196" t="s">
        <v>143</v>
      </c>
      <c r="B4" s="197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90" t="s">
        <v>72</v>
      </c>
      <c r="B5" s="157" t="s">
        <v>73</v>
      </c>
      <c r="C5" s="158" t="s">
        <v>74</v>
      </c>
      <c r="D5" s="165">
        <f>55-7.7</f>
        <v>47.3</v>
      </c>
      <c r="E5" s="84">
        <v>1057</v>
      </c>
      <c r="F5" s="84">
        <f t="shared" ref="F5:F9" si="0">D5*E5</f>
        <v>49996.1</v>
      </c>
      <c r="G5" s="84">
        <v>8839.9</v>
      </c>
      <c r="H5" s="84">
        <f t="shared" ref="H5:H9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192"/>
    </row>
    <row r="6" spans="1:15" ht="15" customHeight="1" x14ac:dyDescent="0.3">
      <c r="A6" s="191"/>
      <c r="B6" s="167" t="s">
        <v>75</v>
      </c>
      <c r="C6" s="168" t="s">
        <v>74</v>
      </c>
      <c r="D6" s="169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93"/>
    </row>
    <row r="7" spans="1:15" ht="15" customHeight="1" x14ac:dyDescent="0.3">
      <c r="A7" s="191"/>
      <c r="B7" s="157" t="s">
        <v>76</v>
      </c>
      <c r="C7" s="158" t="s">
        <v>74</v>
      </c>
      <c r="D7" s="165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ref="N7:N9" si="2">F7+H7+J7+L7</f>
        <v>238515.29</v>
      </c>
      <c r="O7" s="193"/>
    </row>
    <row r="8" spans="1:15" ht="15" customHeight="1" x14ac:dyDescent="0.3">
      <c r="A8" s="191"/>
      <c r="B8" s="167" t="s">
        <v>77</v>
      </c>
      <c r="C8" s="168" t="s">
        <v>74</v>
      </c>
      <c r="D8" s="169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93"/>
    </row>
    <row r="9" spans="1:15" ht="15" customHeight="1" x14ac:dyDescent="0.3">
      <c r="A9" s="191"/>
      <c r="B9" s="157" t="s">
        <v>78</v>
      </c>
      <c r="C9" s="158" t="s">
        <v>74</v>
      </c>
      <c r="D9" s="165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193"/>
    </row>
    <row r="10" spans="1:15" ht="15" customHeight="1" x14ac:dyDescent="0.3">
      <c r="A10" s="191"/>
      <c r="B10" s="167" t="s">
        <v>79</v>
      </c>
      <c r="C10" s="168" t="s">
        <v>74</v>
      </c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93"/>
    </row>
    <row r="11" spans="1:15" ht="15" customHeight="1" x14ac:dyDescent="0.3">
      <c r="A11" s="111" t="s">
        <v>80</v>
      </c>
      <c r="B11" s="112"/>
      <c r="C11" s="113"/>
      <c r="D11" s="89">
        <f>SUM(D5:D10)</f>
        <v>91</v>
      </c>
      <c r="E11" s="114"/>
      <c r="F11" s="114">
        <f>SUM(F5:F10)</f>
        <v>96187</v>
      </c>
      <c r="G11" s="114"/>
      <c r="H11" s="114">
        <f>SUM(H5:H10)</f>
        <v>804430.9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900617.89999999991</v>
      </c>
      <c r="O11" s="114"/>
    </row>
    <row r="12" spans="1:15" ht="15" customHeight="1" x14ac:dyDescent="0.3">
      <c r="A12" s="194" t="s">
        <v>127</v>
      </c>
      <c r="B12" s="82" t="s">
        <v>81</v>
      </c>
      <c r="C12" s="83" t="s">
        <v>74</v>
      </c>
      <c r="D12" s="163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193"/>
    </row>
    <row r="13" spans="1:15" ht="15" customHeight="1" x14ac:dyDescent="0.3">
      <c r="A13" s="194"/>
      <c r="B13" s="82" t="s">
        <v>82</v>
      </c>
      <c r="C13" s="83" t="s">
        <v>74</v>
      </c>
      <c r="D13" s="164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193"/>
    </row>
    <row r="14" spans="1:15" ht="15" customHeight="1" x14ac:dyDescent="0.3">
      <c r="A14" s="194"/>
      <c r="B14" s="82" t="s">
        <v>83</v>
      </c>
      <c r="C14" s="83" t="s">
        <v>74</v>
      </c>
      <c r="D14" s="164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193"/>
    </row>
    <row r="15" spans="1:15" ht="15" customHeight="1" x14ac:dyDescent="0.3">
      <c r="A15" s="102" t="s">
        <v>80</v>
      </c>
      <c r="B15" s="85"/>
      <c r="C15" s="89"/>
      <c r="D15" s="89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59" t="s">
        <v>126</v>
      </c>
      <c r="B17" s="160" t="s">
        <v>123</v>
      </c>
      <c r="C17" s="160" t="s">
        <v>122</v>
      </c>
      <c r="D17" s="166">
        <v>0.2</v>
      </c>
      <c r="E17" s="84"/>
      <c r="F17" s="119"/>
      <c r="G17" s="84"/>
      <c r="H17" s="84"/>
      <c r="I17" s="84"/>
      <c r="J17" s="84"/>
      <c r="K17" s="84"/>
      <c r="L17" s="84"/>
      <c r="M17" s="84"/>
      <c r="N17" s="120"/>
      <c r="O17" s="84"/>
    </row>
    <row r="18" spans="1:15" ht="15" customHeight="1" x14ac:dyDescent="0.3">
      <c r="A18" s="195" t="s">
        <v>85</v>
      </c>
      <c r="B18" s="157" t="s">
        <v>86</v>
      </c>
      <c r="C18" s="158" t="s">
        <v>74</v>
      </c>
      <c r="D18" s="161">
        <f>20</f>
        <v>20</v>
      </c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20.100000000000001" customHeight="1" x14ac:dyDescent="0.3">
      <c r="A19" s="195"/>
      <c r="B19" s="157" t="s">
        <v>87</v>
      </c>
      <c r="C19" s="158" t="s">
        <v>74</v>
      </c>
      <c r="D19" s="161">
        <f>20</f>
        <v>20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84"/>
    </row>
    <row r="20" spans="1:15" ht="20.100000000000001" customHeight="1" x14ac:dyDescent="0.3">
      <c r="A20" s="189" t="s">
        <v>88</v>
      </c>
      <c r="B20" s="90" t="s">
        <v>86</v>
      </c>
      <c r="C20" s="91" t="s">
        <v>74</v>
      </c>
      <c r="D20" s="92">
        <v>20</v>
      </c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84"/>
    </row>
    <row r="21" spans="1:15" ht="15" customHeight="1" x14ac:dyDescent="0.3">
      <c r="A21" s="189"/>
      <c r="B21" s="90" t="s">
        <v>87</v>
      </c>
      <c r="C21" s="91" t="s">
        <v>74</v>
      </c>
      <c r="D21" s="92">
        <v>20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6" t="s">
        <v>124</v>
      </c>
      <c r="B22" s="125" t="s">
        <v>125</v>
      </c>
      <c r="C22" s="125" t="s">
        <v>122</v>
      </c>
      <c r="D22" s="115">
        <v>0.13</v>
      </c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189" t="s">
        <v>89</v>
      </c>
      <c r="B23" s="90" t="s">
        <v>90</v>
      </c>
      <c r="C23" s="91" t="s">
        <v>74</v>
      </c>
      <c r="D23" s="92">
        <v>10</v>
      </c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189"/>
      <c r="B24" s="90" t="s">
        <v>91</v>
      </c>
      <c r="C24" s="91" t="s">
        <v>74</v>
      </c>
      <c r="D24" s="92">
        <v>10</v>
      </c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189" t="s">
        <v>92</v>
      </c>
      <c r="B25" s="90" t="s">
        <v>90</v>
      </c>
      <c r="C25" s="91" t="s">
        <v>74</v>
      </c>
      <c r="D25" s="92">
        <v>2</v>
      </c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189"/>
      <c r="B26" s="90" t="s">
        <v>93</v>
      </c>
      <c r="C26" s="91" t="s">
        <v>74</v>
      </c>
      <c r="D26" s="92">
        <v>2</v>
      </c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0</v>
      </c>
      <c r="G27" s="88"/>
      <c r="H27" s="88">
        <f>SUM(H16:H26)</f>
        <v>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0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4">SUM(J28:J28)</f>
        <v>0</v>
      </c>
      <c r="K29" s="88"/>
      <c r="L29" s="88">
        <f t="shared" si="4"/>
        <v>0</v>
      </c>
      <c r="M29" s="88"/>
      <c r="N29" s="88">
        <f t="shared" si="4"/>
        <v>327613</v>
      </c>
      <c r="O29" s="97"/>
    </row>
    <row r="30" spans="1:15" ht="15" customHeight="1" x14ac:dyDescent="0.3">
      <c r="A30" s="102" t="s">
        <v>121</v>
      </c>
      <c r="B30" s="85"/>
      <c r="C30" s="86"/>
      <c r="D30" s="96"/>
      <c r="E30" s="98"/>
      <c r="F30" s="99">
        <f>F11+F15+F27+F29</f>
        <v>527130.5</v>
      </c>
      <c r="G30" s="99"/>
      <c r="H30" s="99">
        <f>H11+H15+H27+H29</f>
        <v>1396767.47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1923897.97</v>
      </c>
      <c r="O30" s="98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D26" sqref="D26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5.5110000000000001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M020809012520101</v>
      </c>
      <c r="B4" s="106">
        <f>'내역서(표준단가)'!F7</f>
        <v>0</v>
      </c>
      <c r="C4" s="106">
        <f>'내역서(표준단가)'!G7</f>
        <v>0</v>
      </c>
      <c r="D4" s="106" t="str">
        <f>'내역서(표준단가)'!H7</f>
        <v>M020809012520101</v>
      </c>
      <c r="E4" s="106">
        <f>'내역서(표준단가)'!I7</f>
        <v>0</v>
      </c>
      <c r="F4" s="116">
        <f>'내역서(표준단가)'!M7</f>
        <v>39.6</v>
      </c>
    </row>
    <row r="5" spans="1:6" x14ac:dyDescent="0.3">
      <c r="A5" s="105" t="str">
        <f>'내역서(표준단가)'!A8</f>
        <v>E00000803071260401</v>
      </c>
      <c r="B5" s="106">
        <f>'내역서(표준단가)'!F8</f>
        <v>0</v>
      </c>
      <c r="C5" s="106" t="str">
        <f>'내역서(표준단가)'!G8</f>
        <v>E00000803071260401</v>
      </c>
      <c r="D5" s="106">
        <f>'내역서(표준단가)'!H8</f>
        <v>0</v>
      </c>
      <c r="E5" s="106">
        <f>'내역서(표준단가)'!I8</f>
        <v>0</v>
      </c>
      <c r="F5" s="116">
        <f>'내역서(표준단가)'!M8</f>
        <v>0.64900000000000002</v>
      </c>
    </row>
    <row r="6" spans="1:6" x14ac:dyDescent="0.3">
      <c r="A6" s="105" t="str">
        <f>'내역서(표준단가)'!A9</f>
        <v>E00000801011510701</v>
      </c>
      <c r="B6" s="106">
        <f>'내역서(표준단가)'!F9</f>
        <v>0</v>
      </c>
      <c r="C6" s="106" t="str">
        <f>'내역서(표준단가)'!G9</f>
        <v>E00000801011510701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2025-07-09T03:30:58Z</dcterms:modified>
</cp:coreProperties>
</file>
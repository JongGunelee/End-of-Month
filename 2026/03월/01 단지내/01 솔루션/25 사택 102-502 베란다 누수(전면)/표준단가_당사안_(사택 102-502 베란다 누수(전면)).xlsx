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DEEAEFA-2788-42F0-B8B8-72CD94C6CF68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V10" i="4" s="1"/>
  <c r="A10" i="4"/>
  <c r="A7" i="1" s="1"/>
  <c r="Q12" i="4" l="1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<sst xmlns="http://schemas.openxmlformats.org/spreadsheetml/2006/main" count="132" uniqueCount="108">
  <si>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</si>
  <si>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</si>
  <si>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</si>
  <si>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</si>
  <si>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</si>
  <si>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</si>
  <si>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</si>
  <si>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</si>
  <si>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</si>
  <si>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</si>
  <si>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</si>
  <si>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</si>
  <si>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</si>
  <si>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</si>
  <si>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</si>
  <si>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</si>
  <si>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</si>
  <si>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</si>
  <si>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</si>
  <si>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</si>
  <si>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</si>
  <si>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</si>
  <si>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</si>
  <si>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</si>
  <si>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</si>
  <si>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</si>
  <si>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</si>
  <si>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</si>
  <si>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</si>
  <si>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</si>
  <si>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</si>
  <si>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</si>
  <si>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</si>
  <si>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</si>
  <si>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</si>
  <si>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</si>
  <si>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</si>
  <si>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</si>
  <si>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</si>
  <si>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</si>
  <si>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</si>
  <si>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</si>
  <si>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</si>
  <si>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</si>
  <si>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</si>
  <si>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</si>
  <si>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</si>
  <si>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</si>
  <si>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</si>
  <si>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</si>
  <si>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</si>
  <si>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</si>
  <si>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</si>
  <si>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</si>
  <si>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</si>
  <si>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</si>
  <si>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</si>
  <si>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</si>
  <si>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</si>
  <si>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</si>
  <si>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</si>
  <si>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</si>
  <si>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</si>
  <si>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</si>
  <si>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</si>
  <si>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</si>
  <si>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</si>
  <si>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</si>
  <si>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</si>
  <si>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</si>
  <si>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</si>
  <si>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</si>
  <si>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</si>
  <si>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</si>
  <si>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</si>
  <si>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</si>
  <si>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</si>
  <si>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</si>
  <si>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</si>
  <si>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</si>
  <si>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</si>
  <si>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</si>
  <si>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</si>
  <si>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</si>
  <si>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</si>
  <si>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</si>
  <si>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</si>
  <si>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</si>
  <si>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</si>
  <si>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</si>
  <si>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</si>
  <si>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</si>
  <si>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</si>
  <si>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</si>
  <si>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</si>
  <si>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</si>
  <si>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</si>
  <si>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</si>
  <si>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</si>
  <si>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</si>
  <si>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</si>
  <si>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</si>
  <si>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</si>
  <si>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</si>
  <si>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</si>
  <si>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</si>
  <si>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공사명 : 사택 102-502 베란다 누수보수(전면)</t>
    <phoneticPr fontId="16" type="noConversion"/>
  </si>
  <si>
    <t xml:space="preserve"> 견적일 : 2026년  01월  13일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</si>
</sst>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0" borderId="3" xfId="1" applyNumberFormat="1" applyFont="1" applyFill="1" applyBorder="1" applyAlignment="1">
      <alignment horizontal="center" vertical="center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9" sqref="N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8" t="s">
        <v>6</v>
      </c>
      <c r="B2" s="118"/>
      <c r="C2" s="118"/>
      <c r="D2" s="118"/>
      <c r="E2" s="118"/>
      <c r="F2" s="118"/>
      <c r="G2" s="118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1" t="s">
        <v>106</v>
      </c>
      <c r="B7" s="122"/>
      <c r="C7" s="123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1" t="s">
        <v>107</v>
      </c>
      <c r="B9" s="122"/>
      <c r="C9" s="123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9"/>
      <c r="B11" s="120"/>
      <c r="C11" s="120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팔십삼만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140588.95000000001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562013.30000000005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702602.25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25290.5985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19923.371485000003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2580.0766073075006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5676.3343300000006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20007.673480000001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21850.929974999999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32867.114218865376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128196.09859617287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830798.34859617287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830000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5" bestFit="1" customWidth="1"/>
    <col min="2" max="5" width="17.75" style="115" hidden="1" customWidth="1"/>
    <col min="6" max="9" width="17.75" style="106" hidden="1" customWidth="1"/>
    <col min="10" max="11" width="30.625" style="100" customWidth="1"/>
    <col min="12" max="12" width="11.375" style="106" bestFit="1" customWidth="1"/>
    <col min="13" max="13" width="7" style="106" bestFit="1" customWidth="1"/>
    <col min="14" max="14" width="10.875" style="106" bestFit="1" customWidth="1"/>
    <col min="15" max="15" width="13.5" style="106" bestFit="1" customWidth="1"/>
    <col min="16" max="16" width="9.25" style="106" bestFit="1" customWidth="1"/>
    <col min="17" max="17" width="13.5" style="106" bestFit="1" customWidth="1"/>
    <col min="18" max="18" width="6.125" style="106" customWidth="1"/>
    <col min="19" max="19" width="8.25" style="106" bestFit="1" customWidth="1"/>
    <col min="20" max="20" width="6.125" style="106" customWidth="1"/>
    <col min="21" max="21" width="8.25" style="106" bestFit="1" customWidth="1"/>
    <col min="22" max="22" width="16" style="106" bestFit="1" customWidth="1"/>
    <col min="23" max="23" width="10.75" style="66" bestFit="1" customWidth="1"/>
    <col min="24" max="24" width="9.125" style="106" bestFit="1" customWidth="1"/>
    <col min="25" max="16384" width="9" style="106"/>
  </cols>
  <sheetData>
    <row r="1" spans="1:24" ht="19.899999999999999" customHeight="1">
      <c r="A1" s="124"/>
      <c r="B1" s="124"/>
      <c r="C1" s="124"/>
      <c r="D1" s="124"/>
      <c r="E1" s="124"/>
      <c r="F1" s="124"/>
      <c r="G1" s="124"/>
      <c r="H1" s="124"/>
      <c r="I1" s="124"/>
      <c r="N1" s="66"/>
      <c r="O1" s="105" t="s">
        <v>64</v>
      </c>
      <c r="Q1" s="105" t="s">
        <v>64</v>
      </c>
      <c r="S1" s="105" t="s">
        <v>64</v>
      </c>
      <c r="U1" s="105" t="s">
        <v>64</v>
      </c>
    </row>
    <row r="2" spans="1:24" ht="19.899999999999999" customHeight="1" thickBot="1">
      <c r="A2" s="124"/>
      <c r="B2" s="124"/>
      <c r="C2" s="124"/>
      <c r="D2" s="124"/>
      <c r="E2" s="124"/>
      <c r="F2" s="124"/>
      <c r="G2" s="124"/>
      <c r="H2" s="124"/>
      <c r="I2" s="12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7"/>
      <c r="B3" s="107"/>
      <c r="C3" s="107"/>
      <c r="D3" s="107"/>
      <c r="E3" s="107"/>
      <c r="F3" s="107" t="s">
        <v>65</v>
      </c>
      <c r="G3" s="108"/>
      <c r="H3" s="108"/>
      <c r="I3" s="108"/>
      <c r="J3" s="135" t="s">
        <v>66</v>
      </c>
      <c r="K3" s="135"/>
      <c r="L3" s="133" t="s">
        <v>67</v>
      </c>
      <c r="M3" s="133" t="s">
        <v>5</v>
      </c>
      <c r="N3" s="129" t="s">
        <v>68</v>
      </c>
      <c r="O3" s="129"/>
      <c r="P3" s="129" t="s">
        <v>69</v>
      </c>
      <c r="Q3" s="129"/>
      <c r="R3" s="130" t="s">
        <v>70</v>
      </c>
      <c r="S3" s="130"/>
      <c r="T3" s="130" t="s">
        <v>71</v>
      </c>
      <c r="U3" s="130"/>
      <c r="V3" s="131" t="s">
        <v>72</v>
      </c>
      <c r="W3" s="127" t="s">
        <v>73</v>
      </c>
      <c r="X3" s="125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1" t="s">
        <v>79</v>
      </c>
      <c r="K4" s="101" t="s">
        <v>80</v>
      </c>
      <c r="L4" s="134"/>
      <c r="M4" s="134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2"/>
      <c r="W4" s="128"/>
      <c r="X4" s="126"/>
    </row>
    <row r="5" spans="1:24" s="109" customFormat="1" ht="38.1" customHeight="1">
      <c r="A5" s="74" t="str">
        <f t="shared" ref="A5" si="0">F5&amp;G5&amp;H5&amp;I5</f>
        <v>E00000801011510201</v>
      </c>
      <c r="B5" s="117"/>
      <c r="C5" s="117"/>
      <c r="D5" s="117"/>
      <c r="E5" s="117"/>
      <c r="F5" s="75"/>
      <c r="G5" s="89" t="s">
        <v>86</v>
      </c>
      <c r="H5" s="71"/>
      <c r="I5" s="71"/>
      <c r="J5" s="102" t="s">
        <v>87</v>
      </c>
      <c r="K5" s="102" t="s">
        <v>88</v>
      </c>
      <c r="L5" s="90" t="s">
        <v>89</v>
      </c>
      <c r="M5" s="98">
        <v>7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125784.4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125784.4</v>
      </c>
      <c r="W5" s="83"/>
      <c r="X5" s="84"/>
    </row>
    <row r="6" spans="1:24" s="109" customFormat="1" ht="38.1" customHeight="1">
      <c r="A6" s="74" t="str">
        <f t="shared" ref="A6:A12" si="6">F6&amp;G6&amp;H6&amp;I6</f>
        <v>E00000803073010104</v>
      </c>
      <c r="B6" s="117"/>
      <c r="C6" s="117"/>
      <c r="D6" s="117"/>
      <c r="E6" s="117"/>
      <c r="F6" s="75"/>
      <c r="G6" s="89" t="s">
        <v>90</v>
      </c>
      <c r="H6" s="71"/>
      <c r="I6" s="71"/>
      <c r="J6" s="102" t="s">
        <v>91</v>
      </c>
      <c r="K6" s="102" t="s">
        <v>92</v>
      </c>
      <c r="L6" s="90" t="s">
        <v>93</v>
      </c>
      <c r="M6" s="98">
        <v>2</v>
      </c>
      <c r="N6" s="92"/>
      <c r="O6" s="93">
        <f t="shared" ref="O6:O12" si="7">SUM(N6:N6)*M6*$O$2</f>
        <v>0</v>
      </c>
      <c r="P6" s="94">
        <v>11316</v>
      </c>
      <c r="Q6" s="93">
        <f t="shared" ref="Q6:Q10" si="8">(P6*M6)*$Q$2</f>
        <v>18897.719999999998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18897.719999999998</v>
      </c>
      <c r="W6" s="83"/>
      <c r="X6" s="84"/>
    </row>
    <row r="7" spans="1:24" s="109" customFormat="1" ht="38.1" customHeight="1">
      <c r="A7" s="74" t="str">
        <f t="shared" si="6"/>
        <v>E00000803073021001</v>
      </c>
      <c r="B7" s="117"/>
      <c r="C7" s="117"/>
      <c r="D7" s="117"/>
      <c r="E7" s="117"/>
      <c r="F7" s="75"/>
      <c r="G7" s="89" t="s">
        <v>94</v>
      </c>
      <c r="H7" s="71"/>
      <c r="I7" s="71"/>
      <c r="J7" s="102" t="s">
        <v>95</v>
      </c>
      <c r="K7" s="102" t="s">
        <v>96</v>
      </c>
      <c r="L7" s="90" t="s">
        <v>93</v>
      </c>
      <c r="M7" s="98">
        <v>2</v>
      </c>
      <c r="N7" s="94">
        <v>985</v>
      </c>
      <c r="O7" s="93">
        <f t="shared" si="7"/>
        <v>1644.9499999999998</v>
      </c>
      <c r="P7" s="94">
        <v>32844</v>
      </c>
      <c r="Q7" s="93">
        <f t="shared" si="8"/>
        <v>54849.479999999996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56494.429999999993</v>
      </c>
      <c r="W7" s="83"/>
      <c r="X7" s="84"/>
    </row>
    <row r="8" spans="1:24" s="109" customFormat="1" ht="38.1" customHeight="1">
      <c r="A8" s="74" t="str">
        <f t="shared" si="6"/>
        <v>E00000803073030101</v>
      </c>
      <c r="B8" s="117"/>
      <c r="C8" s="117"/>
      <c r="D8" s="117"/>
      <c r="E8" s="117"/>
      <c r="F8" s="75"/>
      <c r="G8" s="89" t="s">
        <v>97</v>
      </c>
      <c r="H8" s="71"/>
      <c r="I8" s="71"/>
      <c r="J8" s="102" t="s">
        <v>98</v>
      </c>
      <c r="K8" s="102"/>
      <c r="L8" s="90" t="s">
        <v>99</v>
      </c>
      <c r="M8" s="98">
        <v>8</v>
      </c>
      <c r="N8" s="92"/>
      <c r="O8" s="93">
        <f t="shared" si="7"/>
        <v>0</v>
      </c>
      <c r="P8" s="94">
        <v>5015</v>
      </c>
      <c r="Q8" s="93">
        <f t="shared" si="8"/>
        <v>33500.199999999997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33500.199999999997</v>
      </c>
      <c r="W8" s="83"/>
      <c r="X8" s="84"/>
    </row>
    <row r="9" spans="1:24" s="109" customFormat="1" ht="38.1" customHeight="1">
      <c r="A9" s="74" t="str">
        <f t="shared" si="6"/>
        <v>M020251411760101</v>
      </c>
      <c r="B9" s="117"/>
      <c r="C9" s="117"/>
      <c r="D9" s="117"/>
      <c r="E9" s="117"/>
      <c r="F9" s="75"/>
      <c r="G9" s="71"/>
      <c r="H9" s="89" t="s">
        <v>100</v>
      </c>
      <c r="I9" s="71"/>
      <c r="J9" s="102" t="s">
        <v>62</v>
      </c>
      <c r="K9" s="102" t="s">
        <v>63</v>
      </c>
      <c r="L9" s="90" t="s">
        <v>101</v>
      </c>
      <c r="M9" s="98">
        <v>4</v>
      </c>
      <c r="N9" s="96">
        <v>5000</v>
      </c>
      <c r="O9" s="93">
        <f t="shared" si="7"/>
        <v>16700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16700</v>
      </c>
      <c r="W9" s="83"/>
      <c r="X9" s="84"/>
    </row>
    <row r="10" spans="1:24" s="109" customFormat="1" ht="38.1" customHeight="1">
      <c r="A10" s="74" t="str">
        <f t="shared" ref="A10" si="12">F10&amp;G10&amp;H10&amp;I10</f>
        <v>M060302210060101</v>
      </c>
      <c r="B10" s="117"/>
      <c r="C10" s="117"/>
      <c r="D10" s="117"/>
      <c r="E10" s="117"/>
      <c r="F10" s="75"/>
      <c r="G10" s="71"/>
      <c r="H10" s="89" t="s">
        <v>103</v>
      </c>
      <c r="I10" s="71"/>
      <c r="J10" s="102" t="s">
        <v>104</v>
      </c>
      <c r="K10" s="102" t="s">
        <v>105</v>
      </c>
      <c r="L10" s="90" t="s">
        <v>85</v>
      </c>
      <c r="M10" s="99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si="8"/>
        <v>0</v>
      </c>
      <c r="R10" s="95"/>
      <c r="S10" s="93">
        <f t="shared" si="9"/>
        <v>0</v>
      </c>
      <c r="T10" s="95"/>
      <c r="U10" s="93">
        <f t="shared" si="10"/>
        <v>0</v>
      </c>
      <c r="V10" s="77">
        <f t="shared" si="11"/>
        <v>122244</v>
      </c>
      <c r="W10" s="83"/>
      <c r="X10" s="84"/>
    </row>
    <row r="11" spans="1:24" s="109" customFormat="1" ht="38.1" customHeight="1">
      <c r="A11" s="74" t="str">
        <f t="shared" si="6"/>
        <v>L003</v>
      </c>
      <c r="B11" s="117"/>
      <c r="C11" s="117"/>
      <c r="D11" s="117"/>
      <c r="E11" s="117"/>
      <c r="F11" s="75"/>
      <c r="G11" s="71"/>
      <c r="H11" s="71"/>
      <c r="I11" s="75" t="s">
        <v>60</v>
      </c>
      <c r="J11" s="103" t="s">
        <v>61</v>
      </c>
      <c r="K11" s="103" t="s">
        <v>59</v>
      </c>
      <c r="L11" s="90" t="s">
        <v>58</v>
      </c>
      <c r="M11" s="98">
        <v>1</v>
      </c>
      <c r="N11" s="78"/>
      <c r="O11" s="76">
        <f t="shared" si="7"/>
        <v>0</v>
      </c>
      <c r="P11" s="85">
        <v>219321</v>
      </c>
      <c r="Q11" s="76">
        <f>M11*P11</f>
        <v>219321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219321</v>
      </c>
      <c r="W11" s="83"/>
      <c r="X11" s="84"/>
    </row>
    <row r="12" spans="1:24" s="109" customFormat="1" ht="38.1" customHeight="1">
      <c r="A12" s="74" t="str">
        <f t="shared" si="6"/>
        <v>L003</v>
      </c>
      <c r="B12" s="117"/>
      <c r="C12" s="117"/>
      <c r="D12" s="117"/>
      <c r="E12" s="117"/>
      <c r="F12" s="75"/>
      <c r="G12" s="71"/>
      <c r="H12" s="71"/>
      <c r="I12" s="75" t="s">
        <v>60</v>
      </c>
      <c r="J12" s="103" t="s">
        <v>61</v>
      </c>
      <c r="K12" s="103" t="s">
        <v>59</v>
      </c>
      <c r="L12" s="90" t="s">
        <v>58</v>
      </c>
      <c r="M12" s="98">
        <v>0.5</v>
      </c>
      <c r="N12" s="78"/>
      <c r="O12" s="76">
        <f t="shared" si="7"/>
        <v>0</v>
      </c>
      <c r="P12" s="85">
        <v>219321</v>
      </c>
      <c r="Q12" s="76">
        <f>M12*P12</f>
        <v>109660.5</v>
      </c>
      <c r="R12" s="77"/>
      <c r="S12" s="76">
        <f t="shared" ref="S12" si="14">R12*M12*$S$2</f>
        <v>0</v>
      </c>
      <c r="T12" s="77"/>
      <c r="U12" s="76">
        <f t="shared" ref="U12" si="15">T12*M12*$U$2</f>
        <v>0</v>
      </c>
      <c r="V12" s="77">
        <f t="shared" ref="V12" si="16">SUM(O12+Q12)+S12+U12</f>
        <v>109660.5</v>
      </c>
      <c r="W12" s="83"/>
      <c r="X12" s="84"/>
    </row>
    <row r="13" spans="1:24" s="111" customFormat="1" ht="38.1" customHeight="1">
      <c r="A13" s="110"/>
      <c r="B13" s="110"/>
      <c r="C13" s="110"/>
      <c r="D13" s="110"/>
      <c r="E13" s="110"/>
      <c r="J13" s="104"/>
      <c r="K13" s="104"/>
      <c r="O13" s="112">
        <f>SUM(O5:O12)</f>
        <v>140588.95000000001</v>
      </c>
      <c r="P13" s="113"/>
      <c r="Q13" s="112">
        <f>SUM(Q5:Q12)</f>
        <v>562013.30000000005</v>
      </c>
      <c r="R13" s="113"/>
      <c r="S13" s="112">
        <f>SUM(S5:S12)</f>
        <v>0</v>
      </c>
      <c r="T13" s="113"/>
      <c r="U13" s="112">
        <f>SUM(U5:U12)</f>
        <v>0</v>
      </c>
      <c r="V13" s="114">
        <f>SUM(V5:V12)</f>
        <v>702602.25</v>
      </c>
      <c r="W13" s="79"/>
    </row>
    <row r="17" spans="17:17" ht="38.1" customHeight="1">
      <c r="Q17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I30" sqref="I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7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2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2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8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4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1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2026-01-13T06:52:00Z</dcterms:modified>
</cp:coreProperties>
</file>
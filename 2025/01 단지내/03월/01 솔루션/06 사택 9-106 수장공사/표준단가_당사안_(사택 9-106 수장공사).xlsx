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3 사택 9-106 수장공사\"/>
    </mc:Choice>
  </mc:AlternateContent>
  <xr:revisionPtr revIDLastSave="0" documentId="13_ncr:1_{26F6C470-962F-4F53-89B7-E7E1B581D9E5}" xr6:coauthVersionLast="47" xr6:coauthVersionMax="47" xr10:uidLastSave="{00000000-0000-0000-0000-000000000000}"/>
  <bookViews>
    <workbookView xWindow="16695" yWindow="0" windowWidth="12150" windowHeight="15525" firstSheet="4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s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 l="1"/>
  <c r="E2" i="1"/>
  <c r="D2" i="1"/>
  <c r="C2" i="1"/>
  <c r="B2" i="1"/>
  <c r="L36" i="9" l="1"/>
  <c r="J36" i="9"/>
  <c r="J34" i="9"/>
  <c r="J24" i="9"/>
  <c r="J14" i="9"/>
  <c r="H35" i="9"/>
  <c r="H36" i="9" s="1"/>
  <c r="H33" i="9"/>
  <c r="F33" i="9"/>
  <c r="H32" i="9"/>
  <c r="F32" i="9"/>
  <c r="H31" i="9"/>
  <c r="F31" i="9"/>
  <c r="H30" i="9"/>
  <c r="F30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1" i="9"/>
  <c r="F11" i="9"/>
  <c r="H9" i="9"/>
  <c r="F9" i="9"/>
  <c r="H7" i="9"/>
  <c r="F7" i="9"/>
  <c r="H5" i="9"/>
  <c r="F5" i="9"/>
  <c r="J37" i="9" l="1"/>
  <c r="N5" i="9"/>
  <c r="N7" i="9"/>
  <c r="N9" i="9"/>
  <c r="N11" i="9"/>
  <c r="N35" i="9"/>
  <c r="N36" i="9" s="1"/>
  <c r="N20" i="9"/>
  <c r="N22" i="9"/>
  <c r="N30" i="9"/>
  <c r="N32" i="9"/>
  <c r="N21" i="9"/>
  <c r="N23" i="9"/>
  <c r="N31" i="9"/>
  <c r="N33" i="9"/>
  <c r="H24" i="9"/>
  <c r="H34" i="9"/>
  <c r="L34" i="9"/>
  <c r="F14" i="9"/>
  <c r="F34" i="9"/>
  <c r="L14" i="9"/>
  <c r="L24" i="9"/>
  <c r="F24" i="9"/>
  <c r="F37" i="9" l="1"/>
  <c r="L37" i="9"/>
  <c r="J16" i="4"/>
  <c r="J15" i="4"/>
  <c r="U13" i="4"/>
  <c r="S13" i="4"/>
  <c r="Q13" i="4"/>
  <c r="O13" i="4"/>
  <c r="A13" i="4"/>
  <c r="A10" i="1" s="1"/>
  <c r="A17" i="4"/>
  <c r="A14" i="4"/>
  <c r="A11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3" i="4" l="1"/>
  <c r="U14" i="4"/>
  <c r="S14" i="4"/>
  <c r="Q14" i="4"/>
  <c r="O14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6" i="4"/>
  <c r="V8" i="4"/>
  <c r="V10" i="4"/>
  <c r="V11" i="4"/>
  <c r="V7" i="4"/>
  <c r="V9" i="4"/>
  <c r="V12" i="4"/>
  <c r="V14" i="4"/>
  <c r="D24" i="9"/>
  <c r="D14" i="9"/>
  <c r="H13" i="9"/>
  <c r="N13" i="9" l="1"/>
  <c r="N14" i="9" s="1"/>
  <c r="H14" i="9"/>
  <c r="H37" i="9" s="1"/>
  <c r="N34" i="9"/>
  <c r="N24" i="9"/>
  <c r="N37" i="9" l="1"/>
  <c r="U17" i="4"/>
  <c r="S17" i="4"/>
  <c r="Q17" i="4"/>
  <c r="O17" i="4"/>
  <c r="U16" i="4"/>
  <c r="S16" i="4"/>
  <c r="Q16" i="4"/>
  <c r="O16" i="4"/>
  <c r="U15" i="4"/>
  <c r="S15" i="4"/>
  <c r="Q15" i="4"/>
  <c r="O15" i="4"/>
  <c r="V15" i="4" l="1"/>
  <c r="V16" i="4"/>
  <c r="V17" i="4"/>
  <c r="U18" i="4"/>
  <c r="Q18" i="4"/>
  <c r="S18" i="4" l="1"/>
  <c r="V18" i="4" l="1"/>
  <c r="F18" i="5" l="1"/>
  <c r="O1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<sst xmlns="http://schemas.openxmlformats.org/spreadsheetml/2006/main" count="270" uniqueCount="195">
  <si>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</si>
  <si>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</si>
  <si>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</si>
  <si>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</si>
  <si>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</si>
  <si>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</si>
  <si>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</si>
  <si>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</si>
  <si>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</si>
  <si>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</si>
  <si>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</si>
  <si>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</si>
  <si>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</si>
  <si>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</si>
  <si>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</si>
  <si>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</si>
  <si>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</si>
  <si>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</si>
  <si>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</si>
  <si>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</si>
  <si>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</si>
  <si>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</si>
  <si>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</si>
  <si>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</si>
  <si>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</si>
  <si>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</si>
  <si>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</si>
  <si>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</si>
  <si>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</si>
  <si>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</si>
  <si>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</si>
  <si>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</si>
  <si>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</si>
  <si>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</si>
  <si>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</si>
  <si>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</si>
  <si>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</si>
  <si>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</si>
  <si>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</si>
  <si>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</si>
  <si>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</si>
  <si>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</si>
  <si>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</si>
  <si>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</si>
  <si>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</si>
  <si>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</si>
  <si>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</si>
  <si>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</si>
  <si>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</si>
  <si>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</si>
  <si>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</si>
  <si>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</si>
  <si>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</si>
  <si>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</si>
  <si>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</si>
  <si>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</si>
  <si>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</si>
  <si>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</si>
  <si>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</si>
  <si>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</si>
  <si>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</si>
  <si>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</si>
  <si>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</si>
  <si>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</si>
  <si>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</si>
  <si>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</si>
  <si>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</si>
  <si>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</si>
  <si>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</si>
  <si>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</si>
  <si>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</si>
  <si>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</si>
  <si>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</si>
  <si>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</si>
  <si>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</si>
  <si>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</si>
  <si>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</si>
  <si>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</si>
  <si>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</si>
  <si>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</si>
  <si>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</si>
  <si>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</si>
  <si>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</si>
  <si>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</si>
  <si>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</si>
  <si>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</si>
  <si>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</si>
  <si>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</si>
  <si>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</si>
  <si>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</si>
  <si>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</si>
  <si>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</si>
  <si>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</si>
  <si>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</si>
  <si>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</si>
  <si>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</si>
  <si>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</si>
  <si>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</si>
  <si>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</si>
  <si>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</si>
  <si>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</si>
  <si>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</si>
  <si>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</si>
  <si>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</si>
  <si>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</si>
  <si>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</si>
  <si>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</si>
  <si>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</si>
  <si>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</si>
  <si>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</si>
  <si>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</si>
  <si>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</si>
  <si>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</si>
  <si>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</si>
  <si>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</si>
  <si>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</si>
  <si>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</si>
  <si>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</si>
  <si>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</si>
  <si>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</si>
  <si>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</si>
  <si>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</si>
  <si>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</si>
  <si>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</si>
  <si>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</si>
  <si>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</si>
  <si>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</si>
  <si>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</si>
  <si>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</si>
  <si>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</si>
  <si>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</si>
  <si>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</si>
  <si>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</si>
  <si>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</si>
  <si>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</si>
  <si>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</si>
  <si>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</si>
  <si>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</si>
  <si>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</si>
  <si>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</si>
  <si>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</si>
  <si>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</si>
  <si>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</si>
  <si>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</si>
  <si>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</si>
  <si>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</si>
  <si>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</si>
  <si>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</si>
  <si>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</si>
  <si>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</si>
  <si>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</si>
  <si>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</si>
  <si>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</si>
  <si>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</si>
  <si>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</si>
  <si>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</si>
  <si>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</si>
  <si>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</si>
  <si>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</si>
  <si>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</si>
  <si>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</si>
  <si>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</si>
  <si>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</si>
  <si>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</si>
  <si>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</si>
  <si>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</si>
  <si>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</si>
  <si>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</si>
  <si>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</si>
  <si>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</si>
  <si>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</si>
  <si>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</si>
  <si>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</si>
  <si>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</si>
  <si>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</si>
  <si>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</si>
  <si>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</si>
  <si>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</si>
  <si>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</si>
  <si>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</si>
  <si>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</si>
  <si>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</si>
  <si>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</si>
  <si>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</si>
  <si>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</si>
  <si>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</si>
  <si>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</si>
  <si>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</si>
  <si>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</si>
  <si>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</si>
  <si>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</si>
  <si>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</si>
  <si>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9-106 수장공사</t>
    <phoneticPr fontId="11" type="noConversion"/>
  </si>
  <si>
    <t>사택 9-106 수장공사</t>
    <phoneticPr fontId="13" type="noConversion"/>
  </si>
  <si>
    <t xml:space="preserve"> 견적일 : 2025년  01월  22일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</si>
</sst>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183" fontId="19" fillId="0" borderId="3" xfId="1" applyNumberFormat="1" applyFont="1" applyFill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8" fontId="32" fillId="7" borderId="35" xfId="13" applyNumberFormat="1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right" vertical="center" wrapText="1"/>
    </xf>
    <xf numFmtId="185" fontId="32" fillId="7" borderId="35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C11" zoomScale="70" zoomScaleNormal="70" workbookViewId="0">
      <selection activeCell="B18" sqref="B18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192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194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이백칠십칠만삼천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'내역서(표준단가)'!O18</f>
        <v>756808.93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'내역서(표준단가)'!Q18</f>
        <v>1636279.3599999996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'내역서(표준단가)'!S18+'내역서(표준단가)'!U18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2393088.2899999996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73632.571199999977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58006.103311999992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7511.7903789039992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16526.421535999994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58251.545215999984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70117.486896999995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96016.263926995176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380062.1824668991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2773150.4724668986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2773000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90" zoomScaleNormal="90" workbookViewId="0">
      <selection activeCell="Q35" sqref="Q35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8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172</v>
      </c>
      <c r="Q1" s="81" t="s">
        <v>172</v>
      </c>
      <c r="S1" s="81" t="s">
        <v>172</v>
      </c>
      <c r="U1" s="81" t="s">
        <v>172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173</v>
      </c>
      <c r="G3" s="87"/>
      <c r="H3" s="87"/>
      <c r="I3" s="87"/>
      <c r="J3" s="185" t="s">
        <v>174</v>
      </c>
      <c r="K3" s="185"/>
      <c r="L3" s="185" t="s">
        <v>52</v>
      </c>
      <c r="M3" s="185" t="s">
        <v>5</v>
      </c>
      <c r="N3" s="181" t="s">
        <v>175</v>
      </c>
      <c r="O3" s="181"/>
      <c r="P3" s="181" t="s">
        <v>176</v>
      </c>
      <c r="Q3" s="181"/>
      <c r="R3" s="182" t="s">
        <v>177</v>
      </c>
      <c r="S3" s="182"/>
      <c r="T3" s="182" t="s">
        <v>178</v>
      </c>
      <c r="U3" s="182"/>
      <c r="V3" s="183" t="s">
        <v>179</v>
      </c>
      <c r="W3" s="179" t="s">
        <v>180</v>
      </c>
      <c r="X3" s="177" t="s">
        <v>46</v>
      </c>
    </row>
    <row r="4" spans="1:24" ht="19.899999999999999" customHeight="1" x14ac:dyDescent="0.3">
      <c r="A4" s="88" t="s">
        <v>181</v>
      </c>
      <c r="B4" s="89"/>
      <c r="C4" s="89"/>
      <c r="D4" s="89"/>
      <c r="E4" s="89"/>
      <c r="F4" s="90" t="s">
        <v>182</v>
      </c>
      <c r="G4" s="90" t="s">
        <v>183</v>
      </c>
      <c r="H4" s="90" t="s">
        <v>184</v>
      </c>
      <c r="I4" s="90" t="s">
        <v>185</v>
      </c>
      <c r="J4" s="91" t="s">
        <v>186</v>
      </c>
      <c r="K4" s="91" t="s">
        <v>187</v>
      </c>
      <c r="L4" s="186"/>
      <c r="M4" s="186"/>
      <c r="N4" s="92" t="s">
        <v>188</v>
      </c>
      <c r="O4" s="93" t="s">
        <v>189</v>
      </c>
      <c r="P4" s="92" t="s">
        <v>190</v>
      </c>
      <c r="Q4" s="93" t="s">
        <v>189</v>
      </c>
      <c r="R4" s="93" t="s">
        <v>191</v>
      </c>
      <c r="S4" s="93" t="s">
        <v>189</v>
      </c>
      <c r="T4" s="93" t="s">
        <v>191</v>
      </c>
      <c r="U4" s="93" t="s">
        <v>189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17" si="0">F5&amp;G5&amp;H5&amp;I5</f>
        <v>D02641</v>
      </c>
      <c r="B5" s="95"/>
      <c r="C5" s="95"/>
      <c r="D5" s="95"/>
      <c r="E5" s="95"/>
      <c r="F5" s="97" t="s">
        <v>132</v>
      </c>
      <c r="G5" s="96"/>
      <c r="H5" s="96"/>
      <c r="I5" s="97"/>
      <c r="J5" s="98" t="s">
        <v>133</v>
      </c>
      <c r="K5" s="98" t="s">
        <v>134</v>
      </c>
      <c r="L5" s="98" t="s">
        <v>135</v>
      </c>
      <c r="M5" s="99">
        <v>136</v>
      </c>
      <c r="N5" s="100"/>
      <c r="O5" s="101">
        <f t="shared" ref="O5:O14" si="1">SUM(N5:N5)*M5*$O$2</f>
        <v>0</v>
      </c>
      <c r="P5" s="148">
        <v>6691</v>
      </c>
      <c r="Q5" s="101">
        <f t="shared" ref="Q5:Q14" si="2">(P5*M5)*$Q$2</f>
        <v>759829.96</v>
      </c>
      <c r="R5" s="102"/>
      <c r="S5" s="101">
        <f t="shared" ref="S5:S14" si="3">R5*M5*$S$2</f>
        <v>0</v>
      </c>
      <c r="T5" s="102"/>
      <c r="U5" s="101">
        <f t="shared" ref="U5:U14" si="4">T5*M5*$U$2</f>
        <v>0</v>
      </c>
      <c r="V5" s="102">
        <f t="shared" ref="V5:V14" si="5">SUM(O5+Q5)+S5+U5</f>
        <v>759829.96</v>
      </c>
      <c r="W5" s="99"/>
      <c r="X5" s="103"/>
    </row>
    <row r="6" spans="1:24" s="104" customFormat="1" ht="19.899999999999999" customHeight="1" x14ac:dyDescent="0.3">
      <c r="A6" s="94" t="str">
        <f t="shared" si="0"/>
        <v>D02873</v>
      </c>
      <c r="B6" s="95"/>
      <c r="C6" s="95"/>
      <c r="D6" s="95"/>
      <c r="E6" s="95"/>
      <c r="F6" s="97" t="s">
        <v>136</v>
      </c>
      <c r="G6" s="96"/>
      <c r="H6" s="96"/>
      <c r="I6" s="97"/>
      <c r="J6" s="98" t="s">
        <v>137</v>
      </c>
      <c r="K6" s="98" t="s">
        <v>138</v>
      </c>
      <c r="L6" s="98" t="s">
        <v>135</v>
      </c>
      <c r="M6" s="99">
        <v>68</v>
      </c>
      <c r="N6" s="100"/>
      <c r="O6" s="101">
        <f t="shared" si="1"/>
        <v>0</v>
      </c>
      <c r="P6" s="148">
        <v>1618</v>
      </c>
      <c r="Q6" s="101">
        <f t="shared" si="2"/>
        <v>91870.04</v>
      </c>
      <c r="R6" s="102"/>
      <c r="S6" s="101">
        <f t="shared" si="3"/>
        <v>0</v>
      </c>
      <c r="T6" s="102"/>
      <c r="U6" s="101">
        <f t="shared" si="4"/>
        <v>0</v>
      </c>
      <c r="V6" s="102">
        <f t="shared" si="5"/>
        <v>91870.04</v>
      </c>
      <c r="W6" s="99"/>
      <c r="X6" s="103"/>
    </row>
    <row r="7" spans="1:24" s="104" customFormat="1" ht="19.899999999999999" customHeight="1" x14ac:dyDescent="0.3">
      <c r="A7" s="94" t="str">
        <f t="shared" si="0"/>
        <v>D02859</v>
      </c>
      <c r="B7" s="95"/>
      <c r="C7" s="95"/>
      <c r="D7" s="95"/>
      <c r="E7" s="95"/>
      <c r="F7" s="97" t="s">
        <v>139</v>
      </c>
      <c r="G7" s="96"/>
      <c r="H7" s="96"/>
      <c r="I7" s="97"/>
      <c r="J7" s="98" t="s">
        <v>140</v>
      </c>
      <c r="K7" s="98" t="s">
        <v>141</v>
      </c>
      <c r="L7" s="98" t="s">
        <v>135</v>
      </c>
      <c r="M7" s="99">
        <v>43</v>
      </c>
      <c r="N7" s="100"/>
      <c r="O7" s="101">
        <f t="shared" si="1"/>
        <v>0</v>
      </c>
      <c r="P7" s="148">
        <v>4855</v>
      </c>
      <c r="Q7" s="101">
        <f t="shared" si="2"/>
        <v>174318.77499999999</v>
      </c>
      <c r="R7" s="102"/>
      <c r="S7" s="101">
        <f t="shared" si="3"/>
        <v>0</v>
      </c>
      <c r="T7" s="102"/>
      <c r="U7" s="101">
        <f t="shared" si="4"/>
        <v>0</v>
      </c>
      <c r="V7" s="102">
        <f t="shared" si="5"/>
        <v>174318.77499999999</v>
      </c>
      <c r="W7" s="99"/>
      <c r="X7" s="103"/>
    </row>
    <row r="8" spans="1:24" s="104" customFormat="1" ht="19.899999999999999" customHeight="1" x14ac:dyDescent="0.3">
      <c r="A8" s="94" t="str">
        <f t="shared" si="0"/>
        <v>D02558</v>
      </c>
      <c r="B8" s="95"/>
      <c r="C8" s="95"/>
      <c r="D8" s="95"/>
      <c r="E8" s="95"/>
      <c r="F8" s="97" t="s">
        <v>142</v>
      </c>
      <c r="G8" s="96"/>
      <c r="H8" s="96"/>
      <c r="I8" s="97"/>
      <c r="J8" s="98" t="s">
        <v>143</v>
      </c>
      <c r="K8" s="98" t="s">
        <v>144</v>
      </c>
      <c r="L8" s="98" t="s">
        <v>135</v>
      </c>
      <c r="M8" s="99">
        <v>43</v>
      </c>
      <c r="N8" s="105"/>
      <c r="O8" s="101">
        <f t="shared" si="1"/>
        <v>0</v>
      </c>
      <c r="P8" s="148">
        <v>4453</v>
      </c>
      <c r="Q8" s="101">
        <f t="shared" si="2"/>
        <v>159884.965</v>
      </c>
      <c r="R8" s="102"/>
      <c r="S8" s="101">
        <f t="shared" si="3"/>
        <v>0</v>
      </c>
      <c r="T8" s="102"/>
      <c r="U8" s="101">
        <f t="shared" si="4"/>
        <v>0</v>
      </c>
      <c r="V8" s="102">
        <f t="shared" si="5"/>
        <v>159884.965</v>
      </c>
      <c r="W8" s="99"/>
      <c r="X8" s="103"/>
    </row>
    <row r="9" spans="1:24" s="104" customFormat="1" ht="19.899999999999999" customHeight="1" x14ac:dyDescent="0.3">
      <c r="A9" s="94" t="str">
        <f t="shared" si="0"/>
        <v>D02830</v>
      </c>
      <c r="B9" s="95"/>
      <c r="C9" s="95"/>
      <c r="D9" s="95"/>
      <c r="E9" s="95"/>
      <c r="F9" s="97" t="s">
        <v>145</v>
      </c>
      <c r="G9" s="96"/>
      <c r="H9" s="96"/>
      <c r="I9" s="97"/>
      <c r="J9" s="98" t="s">
        <v>146</v>
      </c>
      <c r="K9" s="98" t="s">
        <v>147</v>
      </c>
      <c r="L9" s="98" t="s">
        <v>135</v>
      </c>
      <c r="M9" s="99">
        <v>14</v>
      </c>
      <c r="N9" s="105"/>
      <c r="O9" s="101">
        <f t="shared" si="1"/>
        <v>0</v>
      </c>
      <c r="P9" s="148">
        <v>10426</v>
      </c>
      <c r="Q9" s="101">
        <f t="shared" si="2"/>
        <v>121879.93999999999</v>
      </c>
      <c r="R9" s="102"/>
      <c r="S9" s="101">
        <f t="shared" si="3"/>
        <v>0</v>
      </c>
      <c r="T9" s="102"/>
      <c r="U9" s="101">
        <f t="shared" si="4"/>
        <v>0</v>
      </c>
      <c r="V9" s="102">
        <f t="shared" si="5"/>
        <v>121879.93999999999</v>
      </c>
      <c r="W9" s="99"/>
      <c r="X9" s="103"/>
    </row>
    <row r="10" spans="1:24" s="104" customFormat="1" ht="19.899999999999999" customHeight="1" x14ac:dyDescent="0.3">
      <c r="A10" s="94" t="str">
        <f t="shared" si="0"/>
        <v>D02836</v>
      </c>
      <c r="B10" s="95"/>
      <c r="C10" s="95"/>
      <c r="D10" s="95"/>
      <c r="E10" s="95"/>
      <c r="F10" s="97" t="s">
        <v>148</v>
      </c>
      <c r="G10" s="96"/>
      <c r="H10" s="96"/>
      <c r="I10" s="97"/>
      <c r="J10" s="98" t="s">
        <v>149</v>
      </c>
      <c r="K10" s="98" t="s">
        <v>150</v>
      </c>
      <c r="L10" s="98" t="s">
        <v>135</v>
      </c>
      <c r="M10" s="99">
        <v>14</v>
      </c>
      <c r="N10" s="148">
        <v>611</v>
      </c>
      <c r="O10" s="101">
        <f t="shared" si="1"/>
        <v>7142.59</v>
      </c>
      <c r="P10" s="148">
        <v>3735</v>
      </c>
      <c r="Q10" s="101">
        <f t="shared" si="2"/>
        <v>43662.15</v>
      </c>
      <c r="R10" s="102"/>
      <c r="S10" s="101">
        <f t="shared" si="3"/>
        <v>0</v>
      </c>
      <c r="T10" s="102"/>
      <c r="U10" s="101">
        <f t="shared" si="4"/>
        <v>0</v>
      </c>
      <c r="V10" s="102">
        <f t="shared" si="5"/>
        <v>50804.740000000005</v>
      </c>
      <c r="W10" s="99"/>
      <c r="X10" s="103"/>
    </row>
    <row r="11" spans="1:24" s="104" customFormat="1" ht="19.899999999999999" customHeight="1" x14ac:dyDescent="0.3">
      <c r="A11" s="94" t="str">
        <f t="shared" si="0"/>
        <v>D02830</v>
      </c>
      <c r="B11" s="95"/>
      <c r="C11" s="95"/>
      <c r="D11" s="95"/>
      <c r="E11" s="95"/>
      <c r="F11" s="97" t="s">
        <v>145</v>
      </c>
      <c r="G11" s="96"/>
      <c r="H11" s="96"/>
      <c r="I11" s="97"/>
      <c r="J11" s="98" t="s">
        <v>146</v>
      </c>
      <c r="K11" s="98" t="s">
        <v>147</v>
      </c>
      <c r="L11" s="98" t="s">
        <v>135</v>
      </c>
      <c r="M11" s="99">
        <v>2</v>
      </c>
      <c r="N11" s="105"/>
      <c r="O11" s="101">
        <f t="shared" si="1"/>
        <v>0</v>
      </c>
      <c r="P11" s="148">
        <v>10426</v>
      </c>
      <c r="Q11" s="101">
        <f t="shared" si="2"/>
        <v>17411.419999999998</v>
      </c>
      <c r="R11" s="102"/>
      <c r="S11" s="101">
        <f t="shared" si="3"/>
        <v>0</v>
      </c>
      <c r="T11" s="102"/>
      <c r="U11" s="101">
        <f t="shared" si="4"/>
        <v>0</v>
      </c>
      <c r="V11" s="102">
        <f t="shared" si="5"/>
        <v>17411.419999999998</v>
      </c>
      <c r="W11" s="99"/>
      <c r="X11" s="103"/>
    </row>
    <row r="12" spans="1:24" s="104" customFormat="1" ht="19.899999999999999" customHeight="1" x14ac:dyDescent="0.3">
      <c r="A12" s="94" t="str">
        <f t="shared" si="0"/>
        <v>D02835</v>
      </c>
      <c r="B12" s="95"/>
      <c r="C12" s="95"/>
      <c r="D12" s="95"/>
      <c r="E12" s="95"/>
      <c r="F12" s="97" t="s">
        <v>151</v>
      </c>
      <c r="G12" s="96"/>
      <c r="H12" s="96"/>
      <c r="I12" s="97"/>
      <c r="J12" s="98" t="s">
        <v>152</v>
      </c>
      <c r="K12" s="98" t="s">
        <v>150</v>
      </c>
      <c r="L12" s="98" t="s">
        <v>135</v>
      </c>
      <c r="M12" s="99">
        <v>2</v>
      </c>
      <c r="N12" s="148">
        <v>502</v>
      </c>
      <c r="O12" s="101">
        <f t="shared" si="1"/>
        <v>838.33999999999992</v>
      </c>
      <c r="P12" s="148">
        <v>3073</v>
      </c>
      <c r="Q12" s="101">
        <f t="shared" si="2"/>
        <v>5131.91</v>
      </c>
      <c r="R12" s="102"/>
      <c r="S12" s="101">
        <f t="shared" si="3"/>
        <v>0</v>
      </c>
      <c r="T12" s="102"/>
      <c r="U12" s="101">
        <f t="shared" si="4"/>
        <v>0</v>
      </c>
      <c r="V12" s="102">
        <f t="shared" si="5"/>
        <v>5970.25</v>
      </c>
      <c r="W12" s="99"/>
      <c r="X12" s="103"/>
    </row>
    <row r="13" spans="1:24" s="104" customFormat="1" ht="19.899999999999999" customHeight="1" x14ac:dyDescent="0.3">
      <c r="A13" s="94" t="str">
        <f t="shared" ref="A13" si="6">F13&amp;G13&amp;H13&amp;I13</f>
        <v>M012003400500101</v>
      </c>
      <c r="B13" s="95"/>
      <c r="C13" s="95"/>
      <c r="D13" s="95"/>
      <c r="E13" s="95"/>
      <c r="F13" s="97"/>
      <c r="G13" s="96"/>
      <c r="H13" s="149" t="s">
        <v>159</v>
      </c>
      <c r="I13" s="97"/>
      <c r="J13" s="107" t="s">
        <v>160</v>
      </c>
      <c r="K13" s="107" t="s">
        <v>161</v>
      </c>
      <c r="L13" s="98" t="s">
        <v>135</v>
      </c>
      <c r="M13" s="99">
        <v>43</v>
      </c>
      <c r="N13" s="150">
        <v>15000</v>
      </c>
      <c r="O13" s="101">
        <f t="shared" ref="O13" si="7">SUM(N13:N13)*M13*$O$2</f>
        <v>538575</v>
      </c>
      <c r="P13" s="106"/>
      <c r="Q13" s="101">
        <f t="shared" ref="Q13" si="8">(P13*M13)*$Q$2</f>
        <v>0</v>
      </c>
      <c r="R13" s="102"/>
      <c r="S13" s="101">
        <f t="shared" ref="S13" si="9">R13*M13*$S$2</f>
        <v>0</v>
      </c>
      <c r="T13" s="102"/>
      <c r="U13" s="101">
        <f t="shared" ref="U13" si="10">T13*M13*$U$2</f>
        <v>0</v>
      </c>
      <c r="V13" s="102">
        <f t="shared" ref="V13" si="11">SUM(O13+Q13)+S13+U13</f>
        <v>538575</v>
      </c>
      <c r="W13" s="99"/>
      <c r="X13" s="103"/>
    </row>
    <row r="14" spans="1:24" s="104" customFormat="1" ht="19.899999999999999" customHeight="1" x14ac:dyDescent="0.3">
      <c r="A14" s="94" t="str">
        <f t="shared" si="0"/>
        <v>M010602702400101</v>
      </c>
      <c r="B14" s="95"/>
      <c r="C14" s="95"/>
      <c r="D14" s="95"/>
      <c r="E14" s="95"/>
      <c r="F14" s="97"/>
      <c r="G14" s="96"/>
      <c r="H14" s="149" t="s">
        <v>153</v>
      </c>
      <c r="I14" s="97"/>
      <c r="J14" s="107" t="s">
        <v>154</v>
      </c>
      <c r="K14" s="107" t="s">
        <v>155</v>
      </c>
      <c r="L14" s="107" t="s">
        <v>156</v>
      </c>
      <c r="M14" s="99">
        <v>5</v>
      </c>
      <c r="N14" s="150">
        <v>15000</v>
      </c>
      <c r="O14" s="101">
        <f t="shared" si="1"/>
        <v>62625</v>
      </c>
      <c r="P14" s="106"/>
      <c r="Q14" s="101">
        <f t="shared" si="2"/>
        <v>0</v>
      </c>
      <c r="R14" s="102"/>
      <c r="S14" s="101">
        <f t="shared" si="3"/>
        <v>0</v>
      </c>
      <c r="T14" s="102"/>
      <c r="U14" s="101">
        <f t="shared" si="4"/>
        <v>0</v>
      </c>
      <c r="V14" s="102">
        <f t="shared" si="5"/>
        <v>62625</v>
      </c>
      <c r="W14" s="99"/>
      <c r="X14" s="103"/>
    </row>
    <row r="15" spans="1:24" s="104" customFormat="1" ht="19.899999999999999" customHeight="1" x14ac:dyDescent="0.3">
      <c r="A15" s="94"/>
      <c r="B15" s="95"/>
      <c r="C15" s="95"/>
      <c r="D15" s="95"/>
      <c r="E15" s="95"/>
      <c r="F15" s="97"/>
      <c r="G15" s="96"/>
      <c r="H15" s="96"/>
      <c r="I15" s="97"/>
      <c r="J15" s="98" t="str">
        <f>"시중가_"&amp;K15&amp;")"</f>
        <v>시중가_합지벽지(LG하우시스 휘앙세))</v>
      </c>
      <c r="K15" s="98" t="s">
        <v>157</v>
      </c>
      <c r="L15" s="98" t="s">
        <v>135</v>
      </c>
      <c r="M15" s="99">
        <v>136</v>
      </c>
      <c r="N15" s="100">
        <v>1300</v>
      </c>
      <c r="O15" s="101">
        <f t="shared" ref="O15:O17" si="12">SUM(N15:N15)*M15*$O$2</f>
        <v>147628</v>
      </c>
      <c r="P15" s="106"/>
      <c r="Q15" s="101">
        <f t="shared" ref="Q15:Q17" si="13">(P15*M15)*$Q$2</f>
        <v>0</v>
      </c>
      <c r="R15" s="102"/>
      <c r="S15" s="101">
        <f t="shared" ref="S15:S17" si="14">R15*M15*$S$2</f>
        <v>0</v>
      </c>
      <c r="T15" s="102"/>
      <c r="U15" s="101">
        <f t="shared" ref="U15:U17" si="15">T15*M15*$U$2</f>
        <v>0</v>
      </c>
      <c r="V15" s="102">
        <f t="shared" ref="V15:V17" si="16">SUM(O15+Q15)+S15+U15</f>
        <v>147628</v>
      </c>
      <c r="W15" s="99"/>
      <c r="X15" s="103"/>
    </row>
    <row r="16" spans="1:24" s="104" customFormat="1" ht="19.899999999999999" customHeight="1" x14ac:dyDescent="0.3">
      <c r="A16" s="94"/>
      <c r="B16" s="95"/>
      <c r="C16" s="95"/>
      <c r="D16" s="95"/>
      <c r="E16" s="95"/>
      <c r="F16" s="97"/>
      <c r="G16" s="96"/>
      <c r="H16" s="96"/>
      <c r="I16" s="97"/>
      <c r="J16" s="98" t="str">
        <f>"시중가_"&amp;K16&amp;""</f>
        <v>시중가_청소, 실내건축 일위대가 적용</v>
      </c>
      <c r="K16" s="98" t="s">
        <v>158</v>
      </c>
      <c r="L16" s="98" t="s">
        <v>135</v>
      </c>
      <c r="M16" s="99">
        <v>40</v>
      </c>
      <c r="N16" s="100"/>
      <c r="O16" s="101">
        <f t="shared" si="12"/>
        <v>0</v>
      </c>
      <c r="P16" s="106">
        <v>7853</v>
      </c>
      <c r="Q16" s="101">
        <f t="shared" si="13"/>
        <v>262290.2</v>
      </c>
      <c r="R16" s="102"/>
      <c r="S16" s="101">
        <f t="shared" si="14"/>
        <v>0</v>
      </c>
      <c r="T16" s="102"/>
      <c r="U16" s="101">
        <f t="shared" si="15"/>
        <v>0</v>
      </c>
      <c r="V16" s="102">
        <f t="shared" si="16"/>
        <v>262290.2</v>
      </c>
      <c r="W16" s="99"/>
      <c r="X16" s="103"/>
    </row>
    <row r="17" spans="1:24" s="104" customFormat="1" ht="19.899999999999999" customHeight="1" x14ac:dyDescent="0.3">
      <c r="A17" s="94" t="str">
        <f t="shared" si="0"/>
        <v/>
      </c>
      <c r="B17" s="95"/>
      <c r="C17" s="95"/>
      <c r="D17" s="95"/>
      <c r="E17" s="95"/>
      <c r="F17" s="97"/>
      <c r="G17" s="96"/>
      <c r="H17" s="96"/>
      <c r="I17" s="97"/>
      <c r="J17" s="151"/>
      <c r="K17" s="151"/>
      <c r="L17" s="152"/>
      <c r="M17" s="153"/>
      <c r="N17" s="100"/>
      <c r="O17" s="101">
        <f t="shared" si="12"/>
        <v>0</v>
      </c>
      <c r="P17" s="106"/>
      <c r="Q17" s="101">
        <f t="shared" si="13"/>
        <v>0</v>
      </c>
      <c r="R17" s="102"/>
      <c r="S17" s="101">
        <f t="shared" si="14"/>
        <v>0</v>
      </c>
      <c r="T17" s="102"/>
      <c r="U17" s="101">
        <f t="shared" si="15"/>
        <v>0</v>
      </c>
      <c r="V17" s="102">
        <f t="shared" si="16"/>
        <v>0</v>
      </c>
      <c r="W17" s="108"/>
      <c r="X17" s="103"/>
    </row>
    <row r="18" spans="1:24" s="110" customFormat="1" ht="19.899999999999999" customHeight="1" x14ac:dyDescent="0.3">
      <c r="A18" s="109"/>
      <c r="B18" s="109"/>
      <c r="C18" s="109"/>
      <c r="D18" s="109"/>
      <c r="E18" s="109"/>
      <c r="O18" s="111">
        <f>SUM(O5:O17)</f>
        <v>756808.93</v>
      </c>
      <c r="P18" s="112"/>
      <c r="Q18" s="111">
        <f>SUM(Q5:Q17)</f>
        <v>1636279.3599999996</v>
      </c>
      <c r="R18" s="112"/>
      <c r="S18" s="111">
        <f>SUM(S5:S17)</f>
        <v>0</v>
      </c>
      <c r="T18" s="112"/>
      <c r="U18" s="111">
        <f>SUM(U5:U17)</f>
        <v>0</v>
      </c>
      <c r="V18" s="113">
        <f>SUM(V5:V17)</f>
        <v>2393088.29</v>
      </c>
      <c r="W18" s="114"/>
    </row>
    <row r="22" spans="1:24" x14ac:dyDescent="0.3">
      <c r="Q22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M43" sqref="M43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9" t="s">
        <v>76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6" ht="12.95" customHeight="1" x14ac:dyDescent="0.3">
      <c r="A2" s="201" t="s">
        <v>77</v>
      </c>
      <c r="B2" s="202" t="s">
        <v>78</v>
      </c>
      <c r="C2" s="203" t="s">
        <v>52</v>
      </c>
      <c r="D2" s="203" t="s">
        <v>79</v>
      </c>
      <c r="E2" s="205" t="s">
        <v>80</v>
      </c>
      <c r="F2" s="202"/>
      <c r="G2" s="202" t="s">
        <v>81</v>
      </c>
      <c r="H2" s="202"/>
      <c r="I2" s="206" t="s">
        <v>82</v>
      </c>
      <c r="J2" s="207"/>
      <c r="K2" s="206" t="s">
        <v>83</v>
      </c>
      <c r="L2" s="207"/>
      <c r="M2" s="205" t="s">
        <v>84</v>
      </c>
      <c r="N2" s="202"/>
      <c r="O2" s="208" t="s">
        <v>85</v>
      </c>
    </row>
    <row r="3" spans="1:16" ht="12.95" customHeight="1" x14ac:dyDescent="0.3">
      <c r="A3" s="201"/>
      <c r="B3" s="202"/>
      <c r="C3" s="204"/>
      <c r="D3" s="204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9"/>
    </row>
    <row r="4" spans="1:16" ht="12.95" customHeight="1" x14ac:dyDescent="0.3">
      <c r="A4" s="197" t="s">
        <v>193</v>
      </c>
      <c r="B4" s="198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0" t="s">
        <v>89</v>
      </c>
      <c r="B5" s="121" t="s">
        <v>90</v>
      </c>
      <c r="C5" s="122" t="s">
        <v>91</v>
      </c>
      <c r="D5" s="123">
        <v>40</v>
      </c>
      <c r="E5" s="124">
        <v>1086</v>
      </c>
      <c r="F5" s="125">
        <f t="shared" ref="F5:F11" si="0">D5*E5</f>
        <v>43440</v>
      </c>
      <c r="G5" s="125">
        <v>5587</v>
      </c>
      <c r="H5" s="124">
        <f t="shared" ref="H5:H13" si="1">D5*G5</f>
        <v>223480</v>
      </c>
      <c r="I5" s="124"/>
      <c r="J5" s="124"/>
      <c r="K5" s="125"/>
      <c r="L5" s="125"/>
      <c r="M5" s="125"/>
      <c r="N5" s="125">
        <f>F5+H5+J5+L5</f>
        <v>266920</v>
      </c>
      <c r="O5" s="187" t="s">
        <v>166</v>
      </c>
    </row>
    <row r="6" spans="1:16" ht="12.95" customHeight="1" x14ac:dyDescent="0.3">
      <c r="A6" s="191"/>
      <c r="B6" s="165" t="s">
        <v>92</v>
      </c>
      <c r="C6" s="166" t="s">
        <v>91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88"/>
    </row>
    <row r="7" spans="1:16" ht="12.95" customHeight="1" x14ac:dyDescent="0.3">
      <c r="A7" s="191"/>
      <c r="B7" s="121" t="s">
        <v>93</v>
      </c>
      <c r="C7" s="122" t="s">
        <v>91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ref="N7:N13" si="2">F7+H7+J7+L7</f>
        <v>213536</v>
      </c>
      <c r="O7" s="188"/>
    </row>
    <row r="8" spans="1:16" ht="12.95" customHeight="1" x14ac:dyDescent="0.3">
      <c r="A8" s="191"/>
      <c r="B8" s="165" t="s">
        <v>94</v>
      </c>
      <c r="C8" s="166" t="s">
        <v>91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88"/>
    </row>
    <row r="9" spans="1:16" ht="12.95" customHeight="1" x14ac:dyDescent="0.3">
      <c r="A9" s="191"/>
      <c r="B9" s="121" t="s">
        <v>95</v>
      </c>
      <c r="C9" s="122" t="s">
        <v>91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88"/>
    </row>
    <row r="10" spans="1:16" ht="12.95" customHeight="1" x14ac:dyDescent="0.3">
      <c r="A10" s="191"/>
      <c r="B10" s="165" t="s">
        <v>96</v>
      </c>
      <c r="C10" s="166" t="s">
        <v>91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88"/>
    </row>
    <row r="11" spans="1:16" ht="12.95" customHeight="1" x14ac:dyDescent="0.3">
      <c r="A11" s="191"/>
      <c r="B11" s="121" t="s">
        <v>97</v>
      </c>
      <c r="C11" s="122" t="s">
        <v>91</v>
      </c>
      <c r="D11" s="123">
        <v>32</v>
      </c>
      <c r="E11" s="124">
        <v>1086</v>
      </c>
      <c r="F11" s="125">
        <f t="shared" si="0"/>
        <v>34752</v>
      </c>
      <c r="G11" s="125">
        <v>5587</v>
      </c>
      <c r="H11" s="124">
        <f t="shared" si="1"/>
        <v>178784</v>
      </c>
      <c r="I11" s="124"/>
      <c r="J11" s="124"/>
      <c r="K11" s="125"/>
      <c r="L11" s="125"/>
      <c r="M11" s="125"/>
      <c r="N11" s="125">
        <f t="shared" si="2"/>
        <v>213536</v>
      </c>
      <c r="O11" s="188"/>
    </row>
    <row r="12" spans="1:16" ht="12.95" customHeight="1" x14ac:dyDescent="0.3">
      <c r="A12" s="191"/>
      <c r="B12" s="165" t="s">
        <v>98</v>
      </c>
      <c r="C12" s="166" t="s">
        <v>91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88"/>
    </row>
    <row r="13" spans="1:16" ht="12.95" customHeight="1" x14ac:dyDescent="0.3">
      <c r="A13" s="192"/>
      <c r="B13" s="121" t="s">
        <v>171</v>
      </c>
      <c r="C13" s="122" t="s">
        <v>91</v>
      </c>
      <c r="D13" s="126">
        <f>SUM(D5:D12)*50%</f>
        <v>68</v>
      </c>
      <c r="E13" s="124"/>
      <c r="F13" s="125"/>
      <c r="G13" s="125">
        <v>1351</v>
      </c>
      <c r="H13" s="124">
        <f t="shared" si="1"/>
        <v>91868</v>
      </c>
      <c r="I13" s="124"/>
      <c r="J13" s="124"/>
      <c r="K13" s="125"/>
      <c r="L13" s="125"/>
      <c r="M13" s="125"/>
      <c r="N13" s="125">
        <f t="shared" si="2"/>
        <v>91868</v>
      </c>
      <c r="O13" s="189"/>
    </row>
    <row r="14" spans="1:16" ht="12.95" customHeight="1" x14ac:dyDescent="0.3">
      <c r="A14" s="156" t="s">
        <v>99</v>
      </c>
      <c r="B14" s="127"/>
      <c r="C14" s="128"/>
      <c r="D14" s="129">
        <f>SUM(D5:D12)</f>
        <v>136</v>
      </c>
      <c r="E14" s="130"/>
      <c r="F14" s="130">
        <f>SUM(F5:F13)</f>
        <v>147696</v>
      </c>
      <c r="G14" s="130"/>
      <c r="H14" s="130">
        <f>SUM(H5:H13)</f>
        <v>851700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999396</v>
      </c>
      <c r="O14" s="130"/>
      <c r="P14" s="131"/>
    </row>
    <row r="15" spans="1:16" ht="12.95" customHeight="1" x14ac:dyDescent="0.3">
      <c r="A15" s="194" t="s">
        <v>100</v>
      </c>
      <c r="B15" s="121" t="s">
        <v>101</v>
      </c>
      <c r="C15" s="122" t="s">
        <v>91</v>
      </c>
      <c r="D15" s="126">
        <v>15</v>
      </c>
      <c r="E15" s="124"/>
      <c r="F15" s="124"/>
      <c r="G15" s="124">
        <v>4054</v>
      </c>
      <c r="H15" s="125">
        <f t="shared" ref="H15:H18" si="3">D15*G15</f>
        <v>60810</v>
      </c>
      <c r="I15" s="124"/>
      <c r="J15" s="124"/>
      <c r="K15" s="124"/>
      <c r="L15" s="125"/>
      <c r="M15" s="124"/>
      <c r="N15" s="125">
        <f t="shared" ref="N15:N23" si="4">F15+H15+J15+L15</f>
        <v>60810</v>
      </c>
      <c r="O15" s="187" t="s">
        <v>167</v>
      </c>
    </row>
    <row r="16" spans="1:16" ht="12.95" customHeight="1" x14ac:dyDescent="0.3">
      <c r="A16" s="195"/>
      <c r="B16" s="121" t="s">
        <v>102</v>
      </c>
      <c r="C16" s="122" t="s">
        <v>91</v>
      </c>
      <c r="D16" s="132">
        <v>8</v>
      </c>
      <c r="E16" s="124"/>
      <c r="F16" s="124"/>
      <c r="G16" s="124">
        <v>4054</v>
      </c>
      <c r="H16" s="125">
        <f t="shared" si="3"/>
        <v>32432</v>
      </c>
      <c r="I16" s="124"/>
      <c r="J16" s="124"/>
      <c r="K16" s="124"/>
      <c r="L16" s="125"/>
      <c r="M16" s="124"/>
      <c r="N16" s="125">
        <f t="shared" si="4"/>
        <v>32432</v>
      </c>
      <c r="O16" s="188"/>
    </row>
    <row r="17" spans="1:15" ht="12.95" customHeight="1" x14ac:dyDescent="0.3">
      <c r="A17" s="195"/>
      <c r="B17" s="121" t="s">
        <v>103</v>
      </c>
      <c r="C17" s="122" t="s">
        <v>91</v>
      </c>
      <c r="D17" s="132">
        <v>8</v>
      </c>
      <c r="E17" s="124"/>
      <c r="F17" s="124"/>
      <c r="G17" s="124">
        <v>4054</v>
      </c>
      <c r="H17" s="125">
        <f t="shared" si="3"/>
        <v>32432</v>
      </c>
      <c r="I17" s="124"/>
      <c r="J17" s="124"/>
      <c r="K17" s="124"/>
      <c r="L17" s="125"/>
      <c r="M17" s="124"/>
      <c r="N17" s="125">
        <f t="shared" si="4"/>
        <v>32432</v>
      </c>
      <c r="O17" s="188"/>
    </row>
    <row r="18" spans="1:15" ht="12.95" customHeight="1" x14ac:dyDescent="0.3">
      <c r="A18" s="195"/>
      <c r="B18" s="121" t="s">
        <v>104</v>
      </c>
      <c r="C18" s="122" t="s">
        <v>91</v>
      </c>
      <c r="D18" s="132">
        <v>12</v>
      </c>
      <c r="E18" s="124"/>
      <c r="F18" s="124"/>
      <c r="G18" s="124">
        <v>4054</v>
      </c>
      <c r="H18" s="125">
        <f t="shared" si="3"/>
        <v>48648</v>
      </c>
      <c r="I18" s="124"/>
      <c r="J18" s="124"/>
      <c r="K18" s="124"/>
      <c r="L18" s="125"/>
      <c r="M18" s="124"/>
      <c r="N18" s="125">
        <f t="shared" si="4"/>
        <v>48648</v>
      </c>
      <c r="O18" s="188"/>
    </row>
    <row r="19" spans="1:15" ht="12.95" customHeight="1" x14ac:dyDescent="0.3">
      <c r="A19" s="195"/>
      <c r="B19" s="121" t="s">
        <v>105</v>
      </c>
      <c r="C19" s="122" t="s">
        <v>106</v>
      </c>
      <c r="D19" s="132">
        <v>5</v>
      </c>
      <c r="E19" s="125">
        <v>12525</v>
      </c>
      <c r="F19" s="125">
        <f>D19*E19</f>
        <v>62625</v>
      </c>
      <c r="G19" s="124"/>
      <c r="H19" s="125"/>
      <c r="I19" s="125"/>
      <c r="J19" s="125"/>
      <c r="K19" s="124"/>
      <c r="L19" s="125"/>
      <c r="M19" s="124"/>
      <c r="N19" s="125">
        <f t="shared" si="4"/>
        <v>62625</v>
      </c>
      <c r="O19" s="188"/>
    </row>
    <row r="20" spans="1:15" ht="12.95" customHeight="1" x14ac:dyDescent="0.3">
      <c r="A20" s="195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4"/>
        <v>243645</v>
      </c>
      <c r="O20" s="188"/>
    </row>
    <row r="21" spans="1:15" ht="12.95" customHeight="1" x14ac:dyDescent="0.3">
      <c r="A21" s="195"/>
      <c r="B21" s="121" t="s">
        <v>108</v>
      </c>
      <c r="C21" s="122" t="s">
        <v>91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4"/>
        <v>129944</v>
      </c>
      <c r="O21" s="188"/>
    </row>
    <row r="22" spans="1:15" ht="12.95" customHeight="1" x14ac:dyDescent="0.3">
      <c r="A22" s="195"/>
      <c r="B22" s="121" t="s">
        <v>109</v>
      </c>
      <c r="C22" s="122" t="s">
        <v>91</v>
      </c>
      <c r="D22" s="132">
        <v>8</v>
      </c>
      <c r="E22" s="125">
        <v>12525</v>
      </c>
      <c r="F22" s="125">
        <f>D22*E22</f>
        <v>100200</v>
      </c>
      <c r="G22" s="124">
        <v>3718</v>
      </c>
      <c r="H22" s="125">
        <f>D22*G22</f>
        <v>29744</v>
      </c>
      <c r="I22" s="125"/>
      <c r="J22" s="125"/>
      <c r="K22" s="124"/>
      <c r="L22" s="125"/>
      <c r="M22" s="124"/>
      <c r="N22" s="125">
        <f t="shared" si="4"/>
        <v>129944</v>
      </c>
      <c r="O22" s="188"/>
    </row>
    <row r="23" spans="1:15" ht="12.95" customHeight="1" x14ac:dyDescent="0.3">
      <c r="A23" s="196"/>
      <c r="B23" s="121" t="s">
        <v>110</v>
      </c>
      <c r="C23" s="122" t="s">
        <v>91</v>
      </c>
      <c r="D23" s="132">
        <v>12</v>
      </c>
      <c r="E23" s="125">
        <v>12525</v>
      </c>
      <c r="F23" s="125">
        <f>D23*E23</f>
        <v>150300</v>
      </c>
      <c r="G23" s="124">
        <v>3718</v>
      </c>
      <c r="H23" s="125">
        <f>D23*G23</f>
        <v>44616</v>
      </c>
      <c r="I23" s="125"/>
      <c r="J23" s="125"/>
      <c r="K23" s="124"/>
      <c r="L23" s="125"/>
      <c r="M23" s="124"/>
      <c r="N23" s="125">
        <f t="shared" si="4"/>
        <v>194916</v>
      </c>
      <c r="O23" s="189"/>
    </row>
    <row r="24" spans="1:15" ht="12.95" customHeight="1" x14ac:dyDescent="0.3">
      <c r="A24" s="156" t="s">
        <v>99</v>
      </c>
      <c r="B24" s="127"/>
      <c r="C24" s="133"/>
      <c r="D24" s="133">
        <f>SUM(D20:D23)</f>
        <v>43</v>
      </c>
      <c r="E24" s="130"/>
      <c r="F24" s="130">
        <f>SUM(F15:F23)</f>
        <v>601200</v>
      </c>
      <c r="G24" s="130"/>
      <c r="H24" s="130">
        <f>SUM(H15:H23)</f>
        <v>334196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935396</v>
      </c>
      <c r="O24" s="130"/>
    </row>
    <row r="25" spans="1:15" ht="12.95" customHeight="1" x14ac:dyDescent="0.3">
      <c r="A25" s="154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193" t="s">
        <v>112</v>
      </c>
      <c r="B26" s="165" t="s">
        <v>113</v>
      </c>
      <c r="C26" s="166" t="s">
        <v>91</v>
      </c>
      <c r="D26" s="169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87"/>
    </row>
    <row r="27" spans="1:15" ht="12.95" customHeight="1" x14ac:dyDescent="0.3">
      <c r="A27" s="193"/>
      <c r="B27" s="165" t="s">
        <v>114</v>
      </c>
      <c r="C27" s="166" t="s">
        <v>91</v>
      </c>
      <c r="D27" s="169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88"/>
    </row>
    <row r="28" spans="1:15" ht="12.95" customHeight="1" x14ac:dyDescent="0.3">
      <c r="A28" s="193" t="s">
        <v>115</v>
      </c>
      <c r="B28" s="165" t="s">
        <v>113</v>
      </c>
      <c r="C28" s="166" t="s">
        <v>91</v>
      </c>
      <c r="D28" s="169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88"/>
    </row>
    <row r="29" spans="1:15" ht="12.95" customHeight="1" x14ac:dyDescent="0.3">
      <c r="A29" s="193"/>
      <c r="B29" s="165" t="s">
        <v>114</v>
      </c>
      <c r="C29" s="166" t="s">
        <v>91</v>
      </c>
      <c r="D29" s="169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88"/>
    </row>
    <row r="30" spans="1:15" ht="12.95" customHeight="1" x14ac:dyDescent="0.3">
      <c r="A30" s="193" t="s">
        <v>116</v>
      </c>
      <c r="B30" s="134" t="s">
        <v>117</v>
      </c>
      <c r="C30" s="135" t="s">
        <v>91</v>
      </c>
      <c r="D30" s="136">
        <v>14</v>
      </c>
      <c r="E30" s="124"/>
      <c r="F30" s="124">
        <f t="shared" ref="F30:F33" si="5">D30*E30</f>
        <v>0</v>
      </c>
      <c r="G30" s="124">
        <v>8706</v>
      </c>
      <c r="H30" s="124">
        <f t="shared" ref="H30:H31" si="6">D30*G30</f>
        <v>121884</v>
      </c>
      <c r="I30" s="124"/>
      <c r="J30" s="124"/>
      <c r="K30" s="124"/>
      <c r="L30" s="125"/>
      <c r="M30" s="124"/>
      <c r="N30" s="125">
        <f t="shared" ref="N30:N33" si="7">F30+H30+J30+L30</f>
        <v>121884</v>
      </c>
      <c r="O30" s="188"/>
    </row>
    <row r="31" spans="1:15" ht="12.95" customHeight="1" x14ac:dyDescent="0.3">
      <c r="A31" s="193"/>
      <c r="B31" s="134" t="s">
        <v>118</v>
      </c>
      <c r="C31" s="135" t="s">
        <v>91</v>
      </c>
      <c r="D31" s="136">
        <v>14</v>
      </c>
      <c r="E31" s="124">
        <v>510</v>
      </c>
      <c r="F31" s="124">
        <f t="shared" ref="F31" si="8">D31*E31</f>
        <v>7140</v>
      </c>
      <c r="G31" s="124">
        <v>3119</v>
      </c>
      <c r="H31" s="124">
        <f t="shared" si="6"/>
        <v>43666</v>
      </c>
      <c r="I31" s="124"/>
      <c r="J31" s="124"/>
      <c r="K31" s="124"/>
      <c r="L31" s="125"/>
      <c r="M31" s="124"/>
      <c r="N31" s="125">
        <f t="shared" si="7"/>
        <v>50806</v>
      </c>
      <c r="O31" s="188"/>
    </row>
    <row r="32" spans="1:15" ht="12.95" customHeight="1" x14ac:dyDescent="0.3">
      <c r="A32" s="193" t="s">
        <v>119</v>
      </c>
      <c r="B32" s="134" t="s">
        <v>117</v>
      </c>
      <c r="C32" s="135" t="s">
        <v>91</v>
      </c>
      <c r="D32" s="136">
        <v>2</v>
      </c>
      <c r="E32" s="124"/>
      <c r="F32" s="124">
        <f t="shared" si="5"/>
        <v>0</v>
      </c>
      <c r="G32" s="124">
        <v>8706</v>
      </c>
      <c r="H32" s="124">
        <f>D32*G32</f>
        <v>17412</v>
      </c>
      <c r="I32" s="124"/>
      <c r="J32" s="124"/>
      <c r="K32" s="124"/>
      <c r="L32" s="125"/>
      <c r="M32" s="124"/>
      <c r="N32" s="125">
        <f t="shared" si="7"/>
        <v>17412</v>
      </c>
      <c r="O32" s="188"/>
    </row>
    <row r="33" spans="1:15" ht="12.95" customHeight="1" x14ac:dyDescent="0.3">
      <c r="A33" s="193"/>
      <c r="B33" s="134" t="s">
        <v>120</v>
      </c>
      <c r="C33" s="135" t="s">
        <v>91</v>
      </c>
      <c r="D33" s="136">
        <v>2</v>
      </c>
      <c r="E33" s="124">
        <v>419</v>
      </c>
      <c r="F33" s="124">
        <f t="shared" si="5"/>
        <v>838</v>
      </c>
      <c r="G33" s="124">
        <v>2566</v>
      </c>
      <c r="H33" s="124">
        <f t="shared" ref="H33" si="9">D33*G33</f>
        <v>5132</v>
      </c>
      <c r="I33" s="124"/>
      <c r="J33" s="124"/>
      <c r="K33" s="124"/>
      <c r="L33" s="125"/>
      <c r="M33" s="124"/>
      <c r="N33" s="125">
        <f t="shared" si="7"/>
        <v>5970</v>
      </c>
      <c r="O33" s="189"/>
    </row>
    <row r="34" spans="1:15" ht="12.95" customHeight="1" x14ac:dyDescent="0.3">
      <c r="A34" s="156" t="s">
        <v>99</v>
      </c>
      <c r="B34" s="137"/>
      <c r="C34" s="138"/>
      <c r="D34" s="129"/>
      <c r="E34" s="130"/>
      <c r="F34" s="130">
        <f>SUM(F25:F33)</f>
        <v>7978</v>
      </c>
      <c r="G34" s="130"/>
      <c r="H34" s="130">
        <f>SUM(H25:H33)</f>
        <v>188094</v>
      </c>
      <c r="I34" s="130"/>
      <c r="J34" s="130">
        <f>SUM(J25:J33)</f>
        <v>0</v>
      </c>
      <c r="K34" s="130"/>
      <c r="L34" s="130">
        <f>SUM(L25:L33)</f>
        <v>0</v>
      </c>
      <c r="M34" s="130"/>
      <c r="N34" s="130">
        <f>SUM(N25:N33)</f>
        <v>196072</v>
      </c>
      <c r="O34" s="130"/>
    </row>
    <row r="35" spans="1:15" ht="12.95" customHeight="1" x14ac:dyDescent="0.3">
      <c r="A35" s="155" t="s">
        <v>121</v>
      </c>
      <c r="B35" s="121" t="s">
        <v>122</v>
      </c>
      <c r="C35" s="122" t="s">
        <v>91</v>
      </c>
      <c r="D35" s="139">
        <v>40</v>
      </c>
      <c r="E35" s="125"/>
      <c r="F35" s="125"/>
      <c r="G35" s="124">
        <v>6557</v>
      </c>
      <c r="H35" s="125">
        <f>D35*G35</f>
        <v>262280</v>
      </c>
      <c r="I35" s="125"/>
      <c r="J35" s="125"/>
      <c r="K35" s="125"/>
      <c r="L35" s="125"/>
      <c r="M35" s="125"/>
      <c r="N35" s="125">
        <f>F35+H35+J35+L35</f>
        <v>262280</v>
      </c>
      <c r="O35" s="140" t="s">
        <v>165</v>
      </c>
    </row>
    <row r="36" spans="1:15" ht="12.95" customHeight="1" x14ac:dyDescent="0.3">
      <c r="A36" s="157" t="s">
        <v>99</v>
      </c>
      <c r="B36" s="127"/>
      <c r="C36" s="128"/>
      <c r="D36" s="141"/>
      <c r="E36" s="142"/>
      <c r="F36" s="142"/>
      <c r="G36" s="142"/>
      <c r="H36" s="130">
        <f>SUM(H35:H35)</f>
        <v>262280</v>
      </c>
      <c r="I36" s="142"/>
      <c r="J36" s="130">
        <f t="shared" ref="J36:N36" si="10">SUM(J35:J35)</f>
        <v>0</v>
      </c>
      <c r="K36" s="130"/>
      <c r="L36" s="130">
        <f t="shared" si="10"/>
        <v>0</v>
      </c>
      <c r="M36" s="130"/>
      <c r="N36" s="130">
        <f t="shared" si="10"/>
        <v>262280</v>
      </c>
      <c r="O36" s="142"/>
    </row>
    <row r="37" spans="1:15" ht="12.95" customHeight="1" x14ac:dyDescent="0.3">
      <c r="A37" s="158" t="s">
        <v>123</v>
      </c>
      <c r="B37" s="143"/>
      <c r="C37" s="144"/>
      <c r="D37" s="145"/>
      <c r="E37" s="146"/>
      <c r="F37" s="146">
        <f>F14+F24+F34+F36</f>
        <v>756874</v>
      </c>
      <c r="G37" s="146"/>
      <c r="H37" s="146">
        <f>H14+H24+H34+H36</f>
        <v>1636270</v>
      </c>
      <c r="I37" s="146"/>
      <c r="J37" s="146">
        <f>J14+J24+J34+J36</f>
        <v>0</v>
      </c>
      <c r="K37" s="146"/>
      <c r="L37" s="146">
        <f>L14+L24+L34+L36</f>
        <v>0</v>
      </c>
      <c r="M37" s="146"/>
      <c r="N37" s="146">
        <f>N14+N24+N34+N36</f>
        <v>2393144</v>
      </c>
      <c r="O37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0" t="s">
        <v>124</v>
      </c>
      <c r="B2" s="210"/>
      <c r="G2" s="69"/>
      <c r="L2" s="69"/>
      <c r="N2" s="69"/>
      <c r="O2" s="70"/>
      <c r="P2" s="70"/>
    </row>
    <row r="3" spans="1:16" s="68" customFormat="1" x14ac:dyDescent="0.3">
      <c r="A3" s="71" t="s">
        <v>125</v>
      </c>
      <c r="B3" s="72" t="s">
        <v>126</v>
      </c>
      <c r="C3" s="72" t="s">
        <v>127</v>
      </c>
      <c r="D3" s="72" t="s">
        <v>128</v>
      </c>
      <c r="E3" s="73" t="s">
        <v>129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130</v>
      </c>
      <c r="C4" s="75" t="s">
        <v>131</v>
      </c>
      <c r="D4" s="76">
        <v>1300</v>
      </c>
      <c r="E4" s="77" t="s">
        <v>170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G12" sqref="G1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.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162</v>
      </c>
      <c r="C2" s="83" t="s">
        <v>169</v>
      </c>
      <c r="D2" s="83" t="s">
        <v>168</v>
      </c>
      <c r="E2" s="83" t="s">
        <v>135</v>
      </c>
      <c r="F2" s="159">
        <v>136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162</v>
      </c>
      <c r="C3" s="83" t="s">
        <v>164</v>
      </c>
      <c r="D3" s="83" t="s">
        <v>163</v>
      </c>
      <c r="E3" s="83" t="s">
        <v>135</v>
      </c>
      <c r="F3" s="159">
        <v>40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H23" sqref="H23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136</v>
      </c>
    </row>
    <row r="3" spans="1:6" x14ac:dyDescent="0.3">
      <c r="A3" s="163" t="str">
        <f>'내역서(표준단가)'!A6</f>
        <v>D02873</v>
      </c>
      <c r="B3" s="164" t="str">
        <f>'내역서(표준단가)'!F6</f>
        <v>D02873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68</v>
      </c>
    </row>
    <row r="4" spans="1:6" x14ac:dyDescent="0.3">
      <c r="A4" s="163" t="str">
        <f>'내역서(표준단가)'!A7</f>
        <v>D02859</v>
      </c>
      <c r="B4" s="164" t="str">
        <f>'내역서(표준단가)'!F7</f>
        <v>D02859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43</v>
      </c>
    </row>
    <row r="5" spans="1:6" x14ac:dyDescent="0.3">
      <c r="A5" s="163" t="str">
        <f>'내역서(표준단가)'!A8</f>
        <v>D02558</v>
      </c>
      <c r="B5" s="164" t="str">
        <f>'내역서(표준단가)'!F8</f>
        <v>D02558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43</v>
      </c>
    </row>
    <row r="6" spans="1:6" x14ac:dyDescent="0.3">
      <c r="A6" s="163" t="str">
        <f>'내역서(표준단가)'!A9</f>
        <v>D02830</v>
      </c>
      <c r="B6" s="164" t="str">
        <f>'내역서(표준단가)'!F9</f>
        <v>D02830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14</v>
      </c>
    </row>
    <row r="7" spans="1:6" x14ac:dyDescent="0.3">
      <c r="A7" s="163" t="str">
        <f>'내역서(표준단가)'!A10</f>
        <v>D02836</v>
      </c>
      <c r="B7" s="164" t="str">
        <f>'내역서(표준단가)'!F10</f>
        <v>D02836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14</v>
      </c>
    </row>
    <row r="8" spans="1:6" x14ac:dyDescent="0.3">
      <c r="A8" s="163" t="str">
        <f>'내역서(표준단가)'!A11</f>
        <v>D02830</v>
      </c>
      <c r="B8" s="164" t="str">
        <f>'내역서(표준단가)'!F11</f>
        <v>D02830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2</v>
      </c>
    </row>
    <row r="9" spans="1:6" x14ac:dyDescent="0.3">
      <c r="A9" s="163" t="str">
        <f>'내역서(표준단가)'!A12</f>
        <v>D02835</v>
      </c>
      <c r="B9" s="164" t="str">
        <f>'내역서(표준단가)'!F12</f>
        <v>D02835</v>
      </c>
      <c r="C9" s="164">
        <f>'내역서(표준단가)'!G12</f>
        <v>0</v>
      </c>
      <c r="D9" s="164">
        <f>'내역서(표준단가)'!H12</f>
        <v>0</v>
      </c>
      <c r="E9" s="164">
        <f>'내역서(표준단가)'!I12</f>
        <v>0</v>
      </c>
      <c r="F9" s="164">
        <f>'내역서(표준단가)'!M12</f>
        <v>2</v>
      </c>
    </row>
    <row r="10" spans="1:6" x14ac:dyDescent="0.3">
      <c r="A10" s="163" t="str">
        <f>'내역서(표준단가)'!A13</f>
        <v>M012003400500101</v>
      </c>
      <c r="B10" s="164">
        <f>'내역서(표준단가)'!F13</f>
        <v>0</v>
      </c>
      <c r="C10" s="164">
        <f>'내역서(표준단가)'!G13</f>
        <v>0</v>
      </c>
      <c r="D10" s="164" t="str">
        <f>'내역서(표준단가)'!H13</f>
        <v>M012003400500101</v>
      </c>
      <c r="E10" s="164">
        <f>'내역서(표준단가)'!I13</f>
        <v>0</v>
      </c>
      <c r="F10" s="164">
        <f>'내역서(표준단가)'!M13</f>
        <v>43</v>
      </c>
    </row>
    <row r="11" spans="1:6" x14ac:dyDescent="0.3">
      <c r="A11" s="163" t="str">
        <f>'내역서(표준단가)'!A14</f>
        <v>M010602702400101</v>
      </c>
      <c r="B11" s="164">
        <f>'내역서(표준단가)'!F14</f>
        <v>0</v>
      </c>
      <c r="C11" s="164">
        <f>'내역서(표준단가)'!G14</f>
        <v>0</v>
      </c>
      <c r="D11" s="164" t="str">
        <f>'내역서(표준단가)'!H14</f>
        <v>M010602702400101</v>
      </c>
      <c r="E11" s="164">
        <f>'내역서(표준단가)'!I14</f>
        <v>0</v>
      </c>
      <c r="F11" s="164">
        <f>'내역서(표준단가)'!M14</f>
        <v>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2025-02-06T06:22:47Z</dcterms:modified>
</cp:coreProperties>
</file>
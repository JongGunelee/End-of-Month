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2월\01 솔루션\02 사택 2-203호외 3세대 누수 난방분배기 교체\"/>
    </mc:Choice>
  </mc:AlternateContent>
  <xr:revisionPtr revIDLastSave="0" documentId="13_ncr:1_{0517E1EB-D57F-4B91-831B-A7F8E856C8E3}" xr6:coauthVersionLast="47" xr6:coauthVersionMax="47" xr10:uidLastSave="{00000000-0000-0000-0000-000000000000}"/>
  <bookViews>
    <workbookView xWindow="19980" yWindow="0" windowWidth="8865" windowHeight="15525" firstSheet="3" activeTab="3" xr2:uid="{00000000-000D-0000-FFFF-FFFF00000000}"/>
  </bookViews>
  <sheets>
    <sheet name="갑지" sheetId="5" r:id="rId1"/>
    <sheet name="내역서(표준단가)" sheetId="12" r:id="rId2"/>
    <sheet name="시중가 근거서류" sheetId="10" r:id="rId3"/>
    <sheet name="Upload" sheetId="6" r:id="rId4"/>
    <sheet name="Upload-rs" sheetId="1" r:id="rId5"/>
    <sheet name="공사수립계획서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5" l="1"/>
  <c r="F15" i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Q15" i="12"/>
  <c r="O15" i="12"/>
  <c r="H4" i="6"/>
  <c r="B3" i="1"/>
  <c r="C3" i="1"/>
  <c r="D3" i="1"/>
  <c r="E3" i="1"/>
  <c r="F3" i="1"/>
  <c r="A16" i="1"/>
  <c r="B16" i="1"/>
  <c r="C16" i="1"/>
  <c r="D16" i="1"/>
  <c r="E16" i="1"/>
  <c r="F16" i="1"/>
  <c r="M11" i="12"/>
  <c r="M10" i="12"/>
  <c r="M9" i="12"/>
  <c r="M8" i="12"/>
  <c r="U7" i="12"/>
  <c r="S7" i="12"/>
  <c r="Q7" i="12"/>
  <c r="O7" i="12"/>
  <c r="A7" i="12"/>
  <c r="V7" i="12" l="1"/>
  <c r="O6" i="12"/>
  <c r="H3" i="6"/>
  <c r="H2" i="6"/>
  <c r="F2" i="1" l="1"/>
  <c r="E2" i="1"/>
  <c r="D2" i="1"/>
  <c r="C2" i="1"/>
  <c r="B2" i="1"/>
  <c r="U14" i="12"/>
  <c r="S14" i="12"/>
  <c r="Q14" i="12"/>
  <c r="O14" i="12"/>
  <c r="A14" i="12"/>
  <c r="U13" i="12"/>
  <c r="S13" i="12"/>
  <c r="Q13" i="12"/>
  <c r="O13" i="12"/>
  <c r="A13" i="12"/>
  <c r="U12" i="12"/>
  <c r="S12" i="12"/>
  <c r="Q12" i="12"/>
  <c r="O12" i="12"/>
  <c r="A12" i="12"/>
  <c r="U11" i="12"/>
  <c r="S11" i="12"/>
  <c r="Q11" i="12"/>
  <c r="O11" i="12"/>
  <c r="A11" i="12"/>
  <c r="U10" i="12"/>
  <c r="S10" i="12"/>
  <c r="Q10" i="12"/>
  <c r="O10" i="12"/>
  <c r="A10" i="12"/>
  <c r="U9" i="12"/>
  <c r="S9" i="12"/>
  <c r="Q9" i="12"/>
  <c r="O9" i="12"/>
  <c r="A9" i="12"/>
  <c r="U8" i="12"/>
  <c r="S8" i="12"/>
  <c r="Q8" i="12"/>
  <c r="O8" i="12"/>
  <c r="A8" i="12"/>
  <c r="U6" i="12"/>
  <c r="S6" i="12"/>
  <c r="Q6" i="12"/>
  <c r="A6" i="12"/>
  <c r="A3" i="1" s="1"/>
  <c r="U5" i="12"/>
  <c r="S5" i="12"/>
  <c r="Q5" i="12"/>
  <c r="O5" i="12"/>
  <c r="J5" i="12"/>
  <c r="A5" i="12"/>
  <c r="A2" i="1" s="1"/>
  <c r="F17" i="5" l="1"/>
  <c r="F16" i="5"/>
  <c r="S15" i="12"/>
  <c r="U15" i="12"/>
  <c r="V13" i="12"/>
  <c r="V8" i="12"/>
  <c r="V12" i="12"/>
  <c r="V10" i="12"/>
  <c r="V14" i="12"/>
  <c r="V11" i="12"/>
  <c r="V9" i="12"/>
  <c r="V6" i="12"/>
  <c r="V5" i="12"/>
  <c r="F26" i="5" l="1"/>
  <c r="F18" i="5"/>
  <c r="E4" i="11"/>
  <c r="C5" i="11" l="1"/>
  <c r="F19" i="5" l="1"/>
  <c r="F21" i="5"/>
  <c r="F24" i="5"/>
  <c r="F25" i="5"/>
  <c r="F22" i="5"/>
  <c r="F23" i="5" s="1"/>
  <c r="F27" i="5" l="1"/>
  <c r="F28" i="5" s="1"/>
  <c r="F30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<sst xmlns="http://schemas.openxmlformats.org/spreadsheetml/2006/main" count="198" uniqueCount="157">
  <si>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</si>
  <si>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</si>
  <si>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</si>
  <si>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</si>
  <si>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</si>
  <si>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</si>
  <si>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</si>
  <si>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</si>
  <si>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</si>
  <si>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</si>
  <si>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</si>
  <si>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</si>
  <si>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</si>
  <si>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</si>
  <si>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</si>
  <si>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</si>
  <si>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</si>
  <si>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</si>
  <si>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</si>
  <si>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</si>
  <si>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</si>
  <si>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</si>
  <si>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</si>
  <si>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</si>
  <si>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</si>
  <si>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</si>
  <si>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</si>
  <si>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</si>
  <si>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</si>
  <si>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</si>
  <si>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</si>
  <si>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</si>
  <si>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</si>
  <si>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</si>
  <si>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</si>
  <si>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</si>
  <si>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</si>
  <si>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</si>
  <si>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</si>
  <si>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</si>
  <si>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</si>
  <si>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</si>
  <si>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</si>
  <si>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</si>
  <si>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</si>
  <si>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</si>
  <si>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</si>
  <si>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</si>
  <si>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</si>
  <si>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</si>
  <si>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</si>
  <si>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</si>
  <si>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</si>
  <si>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</si>
  <si>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</si>
  <si>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</si>
  <si>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</si>
  <si>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</si>
  <si>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</si>
  <si>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</si>
  <si>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</si>
  <si>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</si>
  <si>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</si>
  <si>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</si>
  <si>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</si>
  <si>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</si>
  <si>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</si>
  <si>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</si>
  <si>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</si>
  <si>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</si>
  <si>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</si>
  <si>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</si>
  <si>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</si>
  <si>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</si>
  <si>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</si>
  <si>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</si>
  <si>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</si>
  <si>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</si>
  <si>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</si>
  <si>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</si>
  <si>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</si>
  <si>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</si>
  <si>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</si>
  <si>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</si>
  <si>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</si>
  <si>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</si>
  <si>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</si>
  <si>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</si>
  <si>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</si>
  <si>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경북 칠곡군 석적읍 동중리1길(중리 97-2)</t>
  </si>
  <si>
    <t>☏(054)977-8100   FAX(054)977-8102</t>
  </si>
  <si>
    <t>513-81-40808</t>
    <phoneticPr fontId="7" type="noConversion"/>
  </si>
  <si>
    <t>이   성   철</t>
    <phoneticPr fontId="7" type="noConversion"/>
  </si>
  <si>
    <t>건설업/제조업/도매및소매업</t>
    <phoneticPr fontId="7" type="noConversion"/>
  </si>
  <si>
    <t>기계설비공사/플랜트구조물,철구조물/금속구조물,창호</t>
    <phoneticPr fontId="7" type="noConversion"/>
  </si>
  <si>
    <t>공사수립계획서</t>
  </si>
  <si>
    <t>업 체 명</t>
  </si>
  <si>
    <t>㈜아트이엔지</t>
    <phoneticPr fontId="7" type="noConversion"/>
  </si>
  <si>
    <t>견적일시</t>
    <phoneticPr fontId="7" type="noConversion"/>
  </si>
  <si>
    <t>공 사 명</t>
  </si>
  <si>
    <t>공사 업체</t>
  </si>
  <si>
    <t>■ 공사기간 : 입찰시스템 계약기간에 준함</t>
  </si>
  <si>
    <t>■ 인원투입계획 : 총  0 명(주말 : 0 명)</t>
    <phoneticPr fontId="7" type="noConversion"/>
  </si>
  <si>
    <t>■ 시공방법</t>
  </si>
  <si>
    <t xml:space="preserve"> -. 작업장 정리정돈 및 자재 반출</t>
  </si>
  <si>
    <t>■ 위험작업 유무 :  무( 일반작업(중량물 작업) )</t>
    <phoneticPr fontId="7" type="noConversion"/>
  </si>
  <si>
    <t xml:space="preserve">■ 안전확보 방안 : </t>
  </si>
  <si>
    <t>-. 작업전 작업내용 숙지 및 작업 순서 확인.</t>
  </si>
  <si>
    <t>-. 개인 안전보호구 착용 철저</t>
    <phoneticPr fontId="7" type="noConversion"/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</si>
  <si>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</si>
  <si>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</si>
  <si>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</si>
  <si>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 xml:space="preserve">■ 주요 사용물질 : </t>
    <phoneticPr fontId="7" type="noConversion"/>
  </si>
  <si>
    <t xml:space="preserve">- </t>
    <phoneticPr fontId="7" type="noConversion"/>
  </si>
  <si>
    <t>성명 :  김  영  배</t>
    <phoneticPr fontId="7" type="noConversion"/>
  </si>
  <si>
    <t>(인감/서명)</t>
  </si>
  <si>
    <t xml:space="preserve">㈜ S&amp;I </t>
    <phoneticPr fontId="7" type="noConversion"/>
  </si>
  <si>
    <t>서명</t>
  </si>
  <si>
    <t>공사명 :</t>
    <phoneticPr fontId="13" type="noConversion"/>
  </si>
  <si>
    <t>견적일 :</t>
    <phoneticPr fontId="13" type="noConversion"/>
  </si>
  <si>
    <t>수신인 :</t>
    <phoneticPr fontId="13" type="noConversion"/>
  </si>
  <si>
    <t>주식회사 에스엔아이 코퍼레이션</t>
    <phoneticPr fontId="7" type="noConversion"/>
  </si>
  <si>
    <t xml:space="preserve">성명 :  이  종  근 </t>
    <phoneticPr fontId="7" type="noConversion"/>
  </si>
  <si>
    <t>L039</t>
  </si>
  <si>
    <t>배관공</t>
  </si>
  <si>
    <t>L002</t>
  </si>
  <si>
    <t>보통인부</t>
  </si>
  <si>
    <t>인</t>
  </si>
  <si>
    <t>최소인건비</t>
  </si>
  <si>
    <t>STS온수분배기</t>
  </si>
  <si>
    <t>개</t>
  </si>
  <si>
    <t xml:space="preserve"> -. 난방분배기 교체 위치 확인 및 빨래건조대 교체 위치 확인</t>
    <phoneticPr fontId="7" type="noConversion"/>
  </si>
  <si>
    <t xml:space="preserve"> -. 난방분배기 철거 및 엑셀관 절단 작업</t>
    <phoneticPr fontId="7" type="noConversion"/>
  </si>
  <si>
    <t xml:space="preserve"> -. 엑셀관 연장작업 및 신규 난방분배기 설치 연결작업</t>
    <phoneticPr fontId="7" type="noConversion"/>
  </si>
  <si>
    <t xml:space="preserve"> -. 난방 공급,환수배관 연결 및 보온 마감작업</t>
    <phoneticPr fontId="7" type="noConversion"/>
  </si>
  <si>
    <t>E999999</t>
  </si>
  <si>
    <t/>
  </si>
  <si>
    <t>XL온돌파이프</t>
  </si>
  <si>
    <t>ø15</t>
  </si>
  <si>
    <t>m</t>
  </si>
  <si>
    <t>XL온돌파이프이음관</t>
  </si>
  <si>
    <t>유니온, ø15</t>
  </si>
  <si>
    <t>가교발포폴리에틸렌보온재</t>
  </si>
  <si>
    <t>은박테이프</t>
  </si>
  <si>
    <t>50M/M</t>
  </si>
  <si>
    <t>R/L</t>
  </si>
  <si>
    <t> (재료비+노무비)*3.11%</t>
    <phoneticPr fontId="15" type="noConversion"/>
  </si>
  <si>
    <t>5구</t>
  </si>
  <si>
    <t>2025 년  01 월  07 일</t>
    <phoneticPr fontId="7" type="noConversion"/>
  </si>
  <si>
    <t>사택 9동303호 난방분배기교체 작업 외 3개소</t>
    <phoneticPr fontId="7" type="noConversion"/>
  </si>
  <si>
    <t>M02502Q710020103</t>
  </si>
  <si>
    <t>카이론, 강관 15, 동관 20, 20T(난연)색상보온재</t>
  </si>
  <si>
    <t>M025805910020112</t>
  </si>
  <si>
    <t>M030752111710101</t>
  </si>
  <si>
    <t>물정24년 12월 P.708</t>
    <phoneticPr fontId="7" type="noConversion"/>
  </si>
  <si>
    <t>5구 (8동 206호 / 9동 303호, 503호)</t>
    <phoneticPr fontId="7" type="noConversion"/>
  </si>
  <si>
    <t>4구 (2동 203호)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</si>
</sst>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0_);[Red]\(#,##0\)"/>
    <numFmt numFmtId="185" formatCode="m&quot;/&quot;d;@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1"/>
      <name val="LG스마트체 Regular"/>
      <family val="3"/>
      <charset val="129"/>
    </font>
    <font>
      <b/>
      <sz val="11"/>
      <name val="돋움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sz val="11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2"/>
      <name val="LG스마트체 Regular"/>
      <family val="3"/>
      <charset val="129"/>
    </font>
    <font>
      <b/>
      <sz val="11"/>
      <name val="LG스마트체 Regular"/>
      <family val="3"/>
      <charset val="129"/>
    </font>
    <font>
      <b/>
      <sz val="10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12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9" fillId="0" borderId="0"/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/>
    <xf numFmtId="177" fontId="19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10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4" fillId="0" borderId="7" xfId="6" applyFont="1" applyBorder="1" applyAlignment="1">
      <alignment horizontal="right" vertical="center"/>
    </xf>
    <xf numFmtId="49" fontId="6" fillId="2" borderId="32" xfId="0" applyNumberFormat="1" applyFont="1" applyFill="1" applyBorder="1" applyAlignment="1">
      <alignment horizontal="center" vertical="center" wrapText="1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0" xfId="3" applyFont="1"/>
    <xf numFmtId="0" fontId="23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24" fillId="0" borderId="0" xfId="6" applyFont="1" applyAlignment="1">
      <alignment vertical="center" shrinkToFit="1"/>
    </xf>
    <xf numFmtId="0" fontId="23" fillId="0" borderId="0" xfId="6" applyFont="1" applyAlignment="1">
      <alignment horizontal="center" vertical="center" shrinkToFit="1"/>
    </xf>
    <xf numFmtId="0" fontId="24" fillId="0" borderId="7" xfId="6" applyFont="1" applyBorder="1" applyAlignment="1">
      <alignment vertical="center"/>
    </xf>
    <xf numFmtId="179" fontId="23" fillId="0" borderId="7" xfId="6" applyNumberFormat="1" applyFont="1" applyBorder="1" applyAlignment="1">
      <alignment vertical="center"/>
    </xf>
    <xf numFmtId="0" fontId="23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5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5" fillId="0" borderId="12" xfId="6" applyFont="1" applyBorder="1" applyAlignment="1">
      <alignment vertical="center"/>
    </xf>
    <xf numFmtId="1" fontId="25" fillId="0" borderId="12" xfId="6" applyNumberFormat="1" applyFont="1" applyBorder="1" applyAlignment="1">
      <alignment horizontal="center" vertical="center"/>
    </xf>
    <xf numFmtId="180" fontId="25" fillId="0" borderId="12" xfId="7" applyFont="1" applyBorder="1" applyAlignment="1">
      <alignment horizontal="right" vertical="center"/>
    </xf>
    <xf numFmtId="0" fontId="25" fillId="0" borderId="13" xfId="6" applyFont="1" applyBorder="1" applyAlignment="1">
      <alignment vertical="center"/>
    </xf>
    <xf numFmtId="0" fontId="25" fillId="0" borderId="14" xfId="6" applyFont="1" applyBorder="1" applyAlignment="1">
      <alignment horizontal="center" vertical="center"/>
    </xf>
    <xf numFmtId="0" fontId="25" fillId="0" borderId="15" xfId="6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/>
    </xf>
    <xf numFmtId="1" fontId="25" fillId="0" borderId="15" xfId="6" applyNumberFormat="1" applyFont="1" applyBorder="1" applyAlignment="1">
      <alignment horizontal="center" vertical="center"/>
    </xf>
    <xf numFmtId="180" fontId="25" fillId="0" borderId="15" xfId="7" applyFont="1" applyBorder="1" applyAlignment="1">
      <alignment horizontal="right" vertical="center"/>
    </xf>
    <xf numFmtId="0" fontId="25" fillId="0" borderId="16" xfId="6" quotePrefix="1" applyFont="1" applyBorder="1" applyAlignment="1">
      <alignment vertical="center"/>
    </xf>
    <xf numFmtId="0" fontId="25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5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5" fillId="0" borderId="15" xfId="8" applyFont="1" applyBorder="1" applyAlignment="1">
      <alignment horizontal="center" vertical="center"/>
    </xf>
    <xf numFmtId="178" fontId="25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vertical="center"/>
    </xf>
    <xf numFmtId="0" fontId="25" fillId="5" borderId="15" xfId="6" applyFont="1" applyFill="1" applyBorder="1" applyAlignment="1">
      <alignment horizontal="center" vertical="center"/>
    </xf>
    <xf numFmtId="178" fontId="25" fillId="5" borderId="15" xfId="5" applyFont="1" applyFill="1" applyBorder="1" applyAlignment="1">
      <alignment horizontal="right" vertical="center"/>
    </xf>
    <xf numFmtId="0" fontId="25" fillId="5" borderId="16" xfId="6" applyFont="1" applyFill="1" applyBorder="1" applyAlignment="1">
      <alignment vertical="center"/>
    </xf>
    <xf numFmtId="0" fontId="25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7" fontId="14" fillId="8" borderId="15" xfId="7" applyNumberFormat="1" applyFont="1" applyFill="1" applyBorder="1" applyAlignment="1">
      <alignment horizontal="right" vertical="center"/>
    </xf>
    <xf numFmtId="9" fontId="25" fillId="0" borderId="15" xfId="3" applyNumberFormat="1" applyFont="1" applyBorder="1" applyAlignment="1">
      <alignment horizontal="right" vertical="center"/>
    </xf>
    <xf numFmtId="1" fontId="25" fillId="0" borderId="15" xfId="9" applyNumberFormat="1" applyFont="1" applyFill="1" applyBorder="1" applyAlignment="1">
      <alignment horizontal="center" vertical="center"/>
    </xf>
    <xf numFmtId="177" fontId="14" fillId="0" borderId="15" xfId="7" applyNumberFormat="1" applyFont="1" applyFill="1" applyBorder="1" applyAlignment="1">
      <alignment horizontal="right" vertical="center"/>
    </xf>
    <xf numFmtId="0" fontId="25" fillId="0" borderId="15" xfId="3" applyFont="1" applyBorder="1" applyAlignment="1">
      <alignment vertical="center"/>
    </xf>
    <xf numFmtId="180" fontId="25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5" fillId="0" borderId="19" xfId="6" applyFont="1" applyBorder="1" applyAlignment="1">
      <alignment vertical="center"/>
    </xf>
    <xf numFmtId="0" fontId="25" fillId="0" borderId="19" xfId="6" applyFont="1" applyBorder="1" applyAlignment="1">
      <alignment horizontal="right" vertical="center"/>
    </xf>
    <xf numFmtId="0" fontId="25" fillId="0" borderId="20" xfId="6" applyFont="1" applyBorder="1" applyAlignment="1">
      <alignment vertical="center"/>
    </xf>
    <xf numFmtId="0" fontId="14" fillId="0" borderId="0" xfId="10" applyFont="1"/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2" fontId="26" fillId="3" borderId="0" xfId="2" applyNumberFormat="1" applyFont="1" applyFill="1" applyAlignment="1">
      <alignment horizontal="center" vertical="center"/>
    </xf>
    <xf numFmtId="0" fontId="26" fillId="9" borderId="24" xfId="0" applyFont="1" applyFill="1" applyBorder="1">
      <alignment vertical="center"/>
    </xf>
    <xf numFmtId="0" fontId="26" fillId="9" borderId="21" xfId="0" applyFont="1" applyFill="1" applyBorder="1">
      <alignment vertical="center"/>
    </xf>
    <xf numFmtId="0" fontId="26" fillId="5" borderId="0" xfId="0" applyFont="1" applyFill="1">
      <alignment vertical="center"/>
    </xf>
    <xf numFmtId="177" fontId="27" fillId="0" borderId="0" xfId="0" applyNumberFormat="1" applyFont="1">
      <alignment vertical="center"/>
    </xf>
    <xf numFmtId="0" fontId="30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183" fontId="27" fillId="0" borderId="0" xfId="1" applyNumberFormat="1" applyFont="1" applyFill="1" applyBorder="1" applyAlignment="1">
      <alignment horizontal="center" vertical="center"/>
    </xf>
    <xf numFmtId="177" fontId="31" fillId="0" borderId="0" xfId="1" applyFont="1" applyBorder="1">
      <alignment vertical="center"/>
    </xf>
    <xf numFmtId="181" fontId="23" fillId="7" borderId="1" xfId="1" applyNumberFormat="1" applyFont="1" applyFill="1" applyBorder="1" applyAlignment="1">
      <alignment horizontal="center" vertical="center"/>
    </xf>
    <xf numFmtId="181" fontId="23" fillId="0" borderId="1" xfId="1" applyNumberFormat="1" applyFont="1" applyBorder="1" applyAlignment="1">
      <alignment horizontal="center" vertical="center"/>
    </xf>
    <xf numFmtId="181" fontId="23" fillId="0" borderId="0" xfId="1" applyNumberFormat="1" applyFont="1" applyAlignment="1">
      <alignment horizontal="center" vertical="center"/>
    </xf>
    <xf numFmtId="0" fontId="32" fillId="5" borderId="25" xfId="6" applyFont="1" applyFill="1" applyBorder="1" applyAlignment="1">
      <alignment horizontal="center" vertical="center"/>
    </xf>
    <xf numFmtId="0" fontId="33" fillId="5" borderId="26" xfId="6" applyFont="1" applyFill="1" applyBorder="1" applyAlignment="1">
      <alignment horizontal="center" vertical="center" shrinkToFit="1"/>
    </xf>
    <xf numFmtId="0" fontId="32" fillId="5" borderId="2" xfId="6" applyFont="1" applyFill="1" applyBorder="1" applyAlignment="1">
      <alignment horizontal="center" vertical="center"/>
    </xf>
    <xf numFmtId="0" fontId="33" fillId="5" borderId="27" xfId="6" applyFont="1" applyFill="1" applyBorder="1" applyAlignment="1">
      <alignment horizontal="center" vertical="center" shrinkToFit="1"/>
    </xf>
    <xf numFmtId="0" fontId="32" fillId="5" borderId="2" xfId="6" applyFont="1" applyFill="1" applyBorder="1" applyAlignment="1">
      <alignment horizontal="center" vertical="center" shrinkToFit="1"/>
    </xf>
    <xf numFmtId="0" fontId="32" fillId="0" borderId="2" xfId="6" applyFont="1" applyBorder="1" applyAlignment="1">
      <alignment horizontal="center" vertical="center"/>
    </xf>
    <xf numFmtId="0" fontId="33" fillId="0" borderId="27" xfId="6" applyFont="1" applyBorder="1" applyAlignment="1">
      <alignment horizontal="center" vertical="center"/>
    </xf>
    <xf numFmtId="0" fontId="32" fillId="0" borderId="28" xfId="6" applyFont="1" applyBorder="1" applyAlignment="1">
      <alignment horizontal="center" vertical="center" shrinkToFit="1"/>
    </xf>
    <xf numFmtId="0" fontId="33" fillId="0" borderId="29" xfId="6" applyFont="1" applyBorder="1" applyAlignment="1">
      <alignment horizontal="center" vertical="center" shrinkToFit="1"/>
    </xf>
    <xf numFmtId="182" fontId="27" fillId="0" borderId="0" xfId="0" applyNumberFormat="1" applyFont="1">
      <alignment vertical="center"/>
    </xf>
    <xf numFmtId="0" fontId="26" fillId="4" borderId="37" xfId="0" applyFont="1" applyFill="1" applyBorder="1" applyAlignment="1">
      <alignment horizontal="center" vertical="center"/>
    </xf>
    <xf numFmtId="0" fontId="26" fillId="4" borderId="38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177" fontId="26" fillId="4" borderId="36" xfId="4" applyFont="1" applyFill="1" applyBorder="1" applyAlignment="1">
      <alignment horizontal="center" vertical="center"/>
    </xf>
    <xf numFmtId="178" fontId="26" fillId="4" borderId="36" xfId="5" applyFont="1" applyFill="1" applyBorder="1" applyAlignment="1">
      <alignment horizontal="center" vertical="center"/>
    </xf>
    <xf numFmtId="177" fontId="26" fillId="4" borderId="38" xfId="4" applyFont="1" applyFill="1" applyBorder="1" applyAlignment="1">
      <alignment horizontal="center" vertical="center"/>
    </xf>
    <xf numFmtId="0" fontId="36" fillId="0" borderId="0" xfId="11" applyFont="1" applyAlignment="1">
      <alignment vertical="center" shrinkToFit="1"/>
    </xf>
    <xf numFmtId="0" fontId="38" fillId="0" borderId="0" xfId="11" applyFont="1" applyAlignment="1">
      <alignment vertical="center" shrinkToFit="1"/>
    </xf>
    <xf numFmtId="0" fontId="39" fillId="0" borderId="47" xfId="11" applyFont="1" applyBorder="1" applyAlignment="1">
      <alignment horizontal="center" vertical="center" shrinkToFit="1"/>
    </xf>
    <xf numFmtId="0" fontId="39" fillId="0" borderId="50" xfId="11" applyFont="1" applyBorder="1" applyAlignment="1">
      <alignment horizontal="center" vertical="center" shrinkToFit="1"/>
    </xf>
    <xf numFmtId="184" fontId="39" fillId="0" borderId="50" xfId="11" applyNumberFormat="1" applyFont="1" applyBorder="1" applyAlignment="1">
      <alignment horizontal="center" vertical="center" shrinkToFit="1"/>
    </xf>
    <xf numFmtId="185" fontId="40" fillId="0" borderId="0" xfId="11" applyNumberFormat="1" applyFont="1" applyAlignment="1">
      <alignment horizontal="center" vertical="center" shrinkToFit="1"/>
    </xf>
    <xf numFmtId="0" fontId="39" fillId="0" borderId="52" xfId="11" applyFont="1" applyBorder="1" applyAlignment="1">
      <alignment horizontal="center" vertical="center" shrinkToFit="1"/>
    </xf>
    <xf numFmtId="0" fontId="40" fillId="0" borderId="0" xfId="11" applyFont="1" applyAlignment="1">
      <alignment horizontal="center" vertical="center" shrinkToFit="1"/>
    </xf>
    <xf numFmtId="0" fontId="39" fillId="0" borderId="53" xfId="11" applyFont="1" applyBorder="1" applyAlignment="1">
      <alignment vertical="center" shrinkToFit="1"/>
    </xf>
    <xf numFmtId="0" fontId="36" fillId="0" borderId="0" xfId="11" applyFont="1" applyAlignment="1">
      <alignment horizontal="left" vertical="center" shrinkToFit="1"/>
    </xf>
    <xf numFmtId="184" fontId="36" fillId="0" borderId="0" xfId="11" applyNumberFormat="1" applyFont="1" applyAlignment="1">
      <alignment horizontal="right" vertical="center" shrinkToFit="1"/>
    </xf>
    <xf numFmtId="0" fontId="43" fillId="0" borderId="4" xfId="6" applyFont="1" applyBorder="1" applyAlignment="1">
      <alignment vertical="center"/>
    </xf>
    <xf numFmtId="0" fontId="31" fillId="7" borderId="0" xfId="0" applyFont="1" applyFill="1" applyAlignment="1">
      <alignment horizontal="center" vertical="center"/>
    </xf>
    <xf numFmtId="0" fontId="23" fillId="0" borderId="6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0" xfId="6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4" borderId="36" xfId="3" applyFont="1" applyFill="1" applyBorder="1" applyAlignment="1">
      <alignment horizontal="center" vertical="center"/>
    </xf>
    <xf numFmtId="0" fontId="43" fillId="0" borderId="5" xfId="6" applyFont="1" applyBorder="1" applyAlignment="1">
      <alignment vertical="center"/>
    </xf>
    <xf numFmtId="0" fontId="29" fillId="6" borderId="41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/>
    </xf>
    <xf numFmtId="0" fontId="29" fillId="7" borderId="35" xfId="0" applyFont="1" applyFill="1" applyBorder="1" applyAlignment="1">
      <alignment horizontal="center" vertical="center"/>
    </xf>
    <xf numFmtId="49" fontId="29" fillId="7" borderId="35" xfId="0" applyNumberFormat="1" applyFont="1" applyFill="1" applyBorder="1" applyAlignment="1">
      <alignment horizontal="center" vertical="center" wrapText="1"/>
    </xf>
    <xf numFmtId="0" fontId="45" fillId="10" borderId="35" xfId="0" applyFont="1" applyFill="1" applyBorder="1">
      <alignment vertical="center"/>
    </xf>
    <xf numFmtId="49" fontId="29" fillId="5" borderId="35" xfId="0" applyNumberFormat="1" applyFont="1" applyFill="1" applyBorder="1" applyAlignment="1">
      <alignment horizontal="center" vertical="center" wrapText="1"/>
    </xf>
    <xf numFmtId="177" fontId="29" fillId="0" borderId="42" xfId="1" applyFont="1" applyBorder="1">
      <alignment vertical="center"/>
    </xf>
    <xf numFmtId="177" fontId="29" fillId="6" borderId="35" xfId="1" applyFont="1" applyFill="1" applyBorder="1" applyAlignment="1">
      <alignment horizontal="center" vertical="center" wrapText="1"/>
    </xf>
    <xf numFmtId="177" fontId="29" fillId="0" borderId="35" xfId="1" applyFont="1" applyFill="1" applyBorder="1" applyAlignment="1">
      <alignment horizontal="center" vertical="center" wrapText="1"/>
    </xf>
    <xf numFmtId="177" fontId="29" fillId="0" borderId="46" xfId="1" applyFont="1" applyFill="1" applyBorder="1" applyAlignment="1">
      <alignment horizontal="center" vertical="center" wrapText="1"/>
    </xf>
    <xf numFmtId="9" fontId="29" fillId="5" borderId="25" xfId="2" applyFont="1" applyFill="1" applyBorder="1" applyAlignment="1">
      <alignment horizontal="center" vertical="center"/>
    </xf>
    <xf numFmtId="0" fontId="29" fillId="6" borderId="22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49" fontId="29" fillId="5" borderId="3" xfId="0" applyNumberFormat="1" applyFont="1" applyFill="1" applyBorder="1" applyAlignment="1">
      <alignment horizontal="center" vertical="center" wrapText="1"/>
    </xf>
    <xf numFmtId="177" fontId="29" fillId="0" borderId="6" xfId="1" applyFont="1" applyBorder="1">
      <alignment vertical="center"/>
    </xf>
    <xf numFmtId="177" fontId="29" fillId="6" borderId="3" xfId="1" applyFont="1" applyFill="1" applyBorder="1" applyAlignment="1">
      <alignment horizontal="center" vertical="center" wrapText="1"/>
    </xf>
    <xf numFmtId="177" fontId="29" fillId="0" borderId="3" xfId="1" applyFont="1" applyFill="1" applyBorder="1" applyAlignment="1">
      <alignment horizontal="center" vertical="center" wrapText="1"/>
    </xf>
    <xf numFmtId="177" fontId="29" fillId="0" borderId="4" xfId="1" applyFont="1" applyFill="1" applyBorder="1" applyAlignment="1">
      <alignment horizontal="center" vertical="center" wrapText="1"/>
    </xf>
    <xf numFmtId="9" fontId="29" fillId="5" borderId="2" xfId="2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29" fillId="7" borderId="36" xfId="0" applyFont="1" applyFill="1" applyBorder="1" applyAlignment="1">
      <alignment horizontal="center" vertical="center"/>
    </xf>
    <xf numFmtId="49" fontId="29" fillId="7" borderId="36" xfId="0" applyNumberFormat="1" applyFont="1" applyFill="1" applyBorder="1" applyAlignment="1">
      <alignment horizontal="center" vertical="center" wrapText="1"/>
    </xf>
    <xf numFmtId="49" fontId="29" fillId="5" borderId="36" xfId="0" applyNumberFormat="1" applyFont="1" applyFill="1" applyBorder="1" applyAlignment="1">
      <alignment horizontal="center" vertical="center" wrapText="1"/>
    </xf>
    <xf numFmtId="177" fontId="29" fillId="0" borderId="38" xfId="1" applyFont="1" applyBorder="1">
      <alignment vertical="center"/>
    </xf>
    <xf numFmtId="177" fontId="29" fillId="6" borderId="36" xfId="1" applyFont="1" applyFill="1" applyBorder="1" applyAlignment="1">
      <alignment horizontal="center" vertical="center" wrapText="1"/>
    </xf>
    <xf numFmtId="177" fontId="29" fillId="0" borderId="36" xfId="1" applyFont="1" applyFill="1" applyBorder="1" applyAlignment="1">
      <alignment horizontal="center" vertical="center" wrapText="1"/>
    </xf>
    <xf numFmtId="177" fontId="29" fillId="0" borderId="39" xfId="1" applyFont="1" applyFill="1" applyBorder="1" applyAlignment="1">
      <alignment horizontal="center" vertical="center" wrapText="1"/>
    </xf>
    <xf numFmtId="183" fontId="29" fillId="5" borderId="28" xfId="1" applyNumberFormat="1" applyFont="1" applyFill="1" applyBorder="1" applyAlignment="1">
      <alignment horizontal="center" vertical="center"/>
    </xf>
    <xf numFmtId="0" fontId="46" fillId="10" borderId="0" xfId="0" applyFont="1" applyFill="1">
      <alignment vertical="center"/>
    </xf>
    <xf numFmtId="0" fontId="46" fillId="0" borderId="0" xfId="0" applyFont="1">
      <alignment vertical="center"/>
    </xf>
    <xf numFmtId="177" fontId="47" fillId="10" borderId="0" xfId="0" applyNumberFormat="1" applyFont="1" applyFill="1">
      <alignment vertical="center"/>
    </xf>
    <xf numFmtId="0" fontId="47" fillId="0" borderId="0" xfId="0" applyFont="1">
      <alignment vertical="center"/>
    </xf>
    <xf numFmtId="177" fontId="47" fillId="0" borderId="0" xfId="0" applyNumberFormat="1" applyFont="1">
      <alignment vertical="center"/>
    </xf>
    <xf numFmtId="0" fontId="46" fillId="0" borderId="0" xfId="0" applyFont="1" applyAlignment="1">
      <alignment horizontal="center" vertical="center"/>
    </xf>
    <xf numFmtId="183" fontId="29" fillId="0" borderId="26" xfId="1" applyNumberFormat="1" applyFont="1" applyFill="1" applyBorder="1" applyAlignment="1">
      <alignment horizontal="center" vertical="center"/>
    </xf>
    <xf numFmtId="177" fontId="29" fillId="5" borderId="35" xfId="1" applyFont="1" applyFill="1" applyBorder="1" applyAlignment="1">
      <alignment horizontal="right" vertical="center" wrapText="1"/>
    </xf>
    <xf numFmtId="0" fontId="29" fillId="0" borderId="43" xfId="0" applyFont="1" applyBorder="1" applyAlignment="1">
      <alignment horizontal="center" vertical="center"/>
    </xf>
    <xf numFmtId="0" fontId="29" fillId="0" borderId="0" xfId="0" applyFont="1">
      <alignment vertical="center"/>
    </xf>
    <xf numFmtId="183" fontId="29" fillId="0" borderId="27" xfId="1" applyNumberFormat="1" applyFont="1" applyFill="1" applyBorder="1" applyAlignment="1">
      <alignment horizontal="center" vertical="center"/>
    </xf>
    <xf numFmtId="177" fontId="29" fillId="5" borderId="3" xfId="1" applyFont="1" applyFill="1" applyBorder="1" applyAlignment="1">
      <alignment horizontal="right" vertical="center" wrapText="1"/>
    </xf>
    <xf numFmtId="0" fontId="29" fillId="0" borderId="23" xfId="0" applyFont="1" applyBorder="1" applyAlignment="1">
      <alignment horizontal="center" vertical="center"/>
    </xf>
    <xf numFmtId="183" fontId="29" fillId="0" borderId="29" xfId="1" applyNumberFormat="1" applyFont="1" applyFill="1" applyBorder="1" applyAlignment="1">
      <alignment horizontal="center" vertical="center"/>
    </xf>
    <xf numFmtId="177" fontId="29" fillId="5" borderId="36" xfId="1" applyFont="1" applyFill="1" applyBorder="1" applyAlignment="1">
      <alignment horizontal="right" vertical="center" wrapText="1"/>
    </xf>
    <xf numFmtId="0" fontId="29" fillId="0" borderId="44" xfId="0" applyFont="1" applyBorder="1" applyAlignment="1">
      <alignment horizontal="center" vertical="center"/>
    </xf>
    <xf numFmtId="0" fontId="48" fillId="10" borderId="15" xfId="3" applyFont="1" applyFill="1" applyBorder="1" applyAlignment="1">
      <alignment horizontal="left" vertical="center"/>
    </xf>
    <xf numFmtId="0" fontId="48" fillId="0" borderId="15" xfId="6" applyFont="1" applyBorder="1" applyAlignment="1">
      <alignment horizontal="center" vertical="center"/>
    </xf>
    <xf numFmtId="178" fontId="48" fillId="0" borderId="15" xfId="5" applyFont="1" applyFill="1" applyBorder="1" applyAlignment="1">
      <alignment horizontal="right" vertical="center"/>
    </xf>
    <xf numFmtId="177" fontId="29" fillId="0" borderId="6" xfId="1" applyFont="1" applyFill="1" applyBorder="1">
      <alignment vertical="center"/>
    </xf>
    <xf numFmtId="0" fontId="20" fillId="0" borderId="0" xfId="6" applyFont="1" applyAlignment="1">
      <alignment horizontal="center" vertical="center"/>
    </xf>
    <xf numFmtId="0" fontId="24" fillId="0" borderId="0" xfId="6" applyFont="1" applyAlignment="1">
      <alignment vertical="center"/>
    </xf>
    <xf numFmtId="0" fontId="23" fillId="0" borderId="0" xfId="6" applyFont="1" applyAlignment="1">
      <alignment vertical="center"/>
    </xf>
    <xf numFmtId="0" fontId="44" fillId="0" borderId="5" xfId="6" applyFont="1" applyBorder="1" applyAlignment="1">
      <alignment vertical="center"/>
    </xf>
    <xf numFmtId="0" fontId="44" fillId="0" borderId="6" xfId="6" applyFont="1" applyBorder="1" applyAlignment="1">
      <alignment vertical="center"/>
    </xf>
    <xf numFmtId="0" fontId="29" fillId="0" borderId="31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4" borderId="21" xfId="3" applyFont="1" applyFill="1" applyBorder="1" applyAlignment="1">
      <alignment horizontal="center" vertical="center"/>
    </xf>
    <xf numFmtId="0" fontId="26" fillId="4" borderId="36" xfId="3" applyFont="1" applyFill="1" applyBorder="1" applyAlignment="1">
      <alignment horizontal="center" vertical="center"/>
    </xf>
    <xf numFmtId="0" fontId="26" fillId="4" borderId="49" xfId="3" applyFont="1" applyFill="1" applyBorder="1" applyAlignment="1">
      <alignment horizontal="center" vertical="center"/>
    </xf>
    <xf numFmtId="0" fontId="26" fillId="4" borderId="29" xfId="3" applyFont="1" applyFill="1" applyBorder="1" applyAlignment="1">
      <alignment horizontal="center" vertical="center"/>
    </xf>
    <xf numFmtId="177" fontId="26" fillId="4" borderId="48" xfId="4" applyFont="1" applyFill="1" applyBorder="1" applyAlignment="1">
      <alignment horizontal="center" vertical="center"/>
    </xf>
    <xf numFmtId="177" fontId="26" fillId="4" borderId="21" xfId="4" applyFont="1" applyFill="1" applyBorder="1" applyAlignment="1">
      <alignment horizontal="center" vertical="center"/>
    </xf>
    <xf numFmtId="178" fontId="26" fillId="4" borderId="21" xfId="5" applyFont="1" applyFill="1" applyBorder="1" applyAlignment="1">
      <alignment horizontal="center" vertical="center"/>
    </xf>
    <xf numFmtId="0" fontId="26" fillId="4" borderId="30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39" fillId="0" borderId="53" xfId="11" applyFont="1" applyBorder="1" applyAlignment="1">
      <alignment horizontal="center" vertical="center" shrinkToFit="1"/>
    </xf>
    <xf numFmtId="0" fontId="39" fillId="0" borderId="54" xfId="11" applyFont="1" applyBorder="1" applyAlignment="1">
      <alignment horizontal="center" vertical="center" shrinkToFit="1"/>
    </xf>
    <xf numFmtId="177" fontId="36" fillId="5" borderId="60" xfId="20" quotePrefix="1" applyFont="1" applyFill="1" applyBorder="1" applyAlignment="1">
      <alignment horizontal="left" vertical="center" shrinkToFit="1"/>
    </xf>
    <xf numFmtId="177" fontId="36" fillId="5" borderId="0" xfId="20" quotePrefix="1" applyFont="1" applyFill="1" applyBorder="1" applyAlignment="1">
      <alignment horizontal="left" vertical="center" shrinkToFit="1"/>
    </xf>
    <xf numFmtId="177" fontId="36" fillId="5" borderId="61" xfId="20" quotePrefix="1" applyFont="1" applyFill="1" applyBorder="1" applyAlignment="1">
      <alignment horizontal="left" vertical="center" shrinkToFit="1"/>
    </xf>
    <xf numFmtId="0" fontId="41" fillId="5" borderId="60" xfId="21" applyFont="1" applyFill="1" applyBorder="1" applyAlignment="1">
      <alignment horizontal="left" vertical="center" shrinkToFit="1"/>
    </xf>
    <xf numFmtId="0" fontId="41" fillId="5" borderId="0" xfId="21" applyFont="1" applyFill="1" applyAlignment="1">
      <alignment horizontal="left" vertical="center" shrinkToFit="1"/>
    </xf>
    <xf numFmtId="0" fontId="41" fillId="5" borderId="61" xfId="21" applyFont="1" applyFill="1" applyBorder="1" applyAlignment="1">
      <alignment horizontal="left" vertical="center" shrinkToFit="1"/>
    </xf>
    <xf numFmtId="0" fontId="39" fillId="5" borderId="60" xfId="11" applyFont="1" applyFill="1" applyBorder="1" applyAlignment="1">
      <alignment horizontal="left" vertical="center" shrinkToFit="1"/>
    </xf>
    <xf numFmtId="0" fontId="39" fillId="5" borderId="0" xfId="11" applyFont="1" applyFill="1" applyAlignment="1">
      <alignment horizontal="left" vertical="center" shrinkToFit="1"/>
    </xf>
    <xf numFmtId="0" fontId="39" fillId="5" borderId="61" xfId="11" applyFont="1" applyFill="1" applyBorder="1" applyAlignment="1">
      <alignment horizontal="left" vertical="center" shrinkToFit="1"/>
    </xf>
    <xf numFmtId="0" fontId="42" fillId="5" borderId="0" xfId="21" applyFont="1" applyFill="1" applyAlignment="1">
      <alignment horizontal="left" vertical="center" shrinkToFit="1"/>
    </xf>
    <xf numFmtId="0" fontId="42" fillId="5" borderId="61" xfId="21" applyFont="1" applyFill="1" applyBorder="1" applyAlignment="1">
      <alignment horizontal="left" vertical="center" shrinkToFit="1"/>
    </xf>
    <xf numFmtId="0" fontId="34" fillId="0" borderId="0" xfId="11" applyFont="1" applyAlignment="1">
      <alignment horizontal="center" vertical="center" shrinkToFit="1"/>
    </xf>
    <xf numFmtId="0" fontId="35" fillId="0" borderId="0" xfId="11" applyFont="1" applyAlignment="1">
      <alignment horizontal="center" vertical="center" shrinkToFit="1"/>
    </xf>
    <xf numFmtId="176" fontId="37" fillId="0" borderId="0" xfId="19" applyFont="1" applyBorder="1" applyAlignment="1">
      <alignment horizontal="center" vertical="center" shrinkToFit="1"/>
    </xf>
    <xf numFmtId="31" fontId="39" fillId="0" borderId="45" xfId="11" applyNumberFormat="1" applyFont="1" applyBorder="1" applyAlignment="1">
      <alignment horizontal="center" vertical="center" shrinkToFit="1"/>
    </xf>
    <xf numFmtId="31" fontId="39" fillId="0" borderId="51" xfId="11" applyNumberFormat="1" applyFont="1" applyBorder="1" applyAlignment="1">
      <alignment horizontal="center" vertical="center" shrinkToFit="1"/>
    </xf>
    <xf numFmtId="0" fontId="39" fillId="0" borderId="33" xfId="11" applyFont="1" applyBorder="1" applyAlignment="1">
      <alignment horizontal="left" vertical="center" indent="1" shrinkToFit="1"/>
    </xf>
    <xf numFmtId="0" fontId="39" fillId="0" borderId="53" xfId="11" applyFont="1" applyBorder="1" applyAlignment="1">
      <alignment horizontal="left" vertical="center" indent="1" shrinkToFit="1"/>
    </xf>
    <xf numFmtId="0" fontId="39" fillId="0" borderId="54" xfId="11" applyFont="1" applyBorder="1" applyAlignment="1">
      <alignment horizontal="left" vertical="center" indent="1" shrinkToFit="1"/>
    </xf>
    <xf numFmtId="0" fontId="39" fillId="0" borderId="55" xfId="11" applyFont="1" applyBorder="1" applyAlignment="1">
      <alignment horizontal="center" vertical="center" shrinkToFit="1"/>
    </xf>
    <xf numFmtId="0" fontId="39" fillId="0" borderId="59" xfId="11" applyFont="1" applyBorder="1" applyAlignment="1">
      <alignment horizontal="center" vertical="center" shrinkToFit="1"/>
    </xf>
    <xf numFmtId="0" fontId="39" fillId="0" borderId="62" xfId="11" applyFont="1" applyBorder="1" applyAlignment="1">
      <alignment horizontal="center" vertical="center" shrinkToFit="1"/>
    </xf>
    <xf numFmtId="0" fontId="41" fillId="5" borderId="56" xfId="11" applyFont="1" applyFill="1" applyBorder="1" applyAlignment="1">
      <alignment horizontal="left" vertical="center" shrinkToFit="1"/>
    </xf>
    <xf numFmtId="0" fontId="41" fillId="5" borderId="57" xfId="11" applyFont="1" applyFill="1" applyBorder="1" applyAlignment="1">
      <alignment horizontal="left" vertical="center" shrinkToFit="1"/>
    </xf>
    <xf numFmtId="0" fontId="41" fillId="5" borderId="58" xfId="11" applyFont="1" applyFill="1" applyBorder="1" applyAlignment="1">
      <alignment horizontal="left" vertical="center" shrinkToFit="1"/>
    </xf>
    <xf numFmtId="0" fontId="41" fillId="5" borderId="60" xfId="11" applyFont="1" applyFill="1" applyBorder="1" applyAlignment="1">
      <alignment horizontal="left" vertical="center" shrinkToFit="1"/>
    </xf>
    <xf numFmtId="0" fontId="41" fillId="5" borderId="0" xfId="11" applyFont="1" applyFill="1" applyAlignment="1">
      <alignment horizontal="left" vertical="center" shrinkToFit="1"/>
    </xf>
    <xf numFmtId="0" fontId="41" fillId="5" borderId="61" xfId="11" applyFont="1" applyFill="1" applyBorder="1" applyAlignment="1">
      <alignment horizontal="left" vertical="center" shrinkToFit="1"/>
    </xf>
  </cellXfs>
  <cellStyles count="22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00000000-0005-0000-0000-000005000000}"/>
    <cellStyle name="쉼표 [0] 2 2 29" xfId="13" xr:uid="{00000000-0005-0000-0000-000006000000}"/>
    <cellStyle name="쉼표 [0] 2 2 29 2" xfId="20" xr:uid="{00000000-0005-0000-0000-000007000000}"/>
    <cellStyle name="쉼표 [0] 3" xfId="16" xr:uid="{00000000-0005-0000-0000-000008000000}"/>
    <cellStyle name="쉼표 [0]_봉강빌딩신축공사" xfId="7" xr:uid="{00000000-0005-0000-0000-000009000000}"/>
    <cellStyle name="통화 [0] 2 2" xfId="12" xr:uid="{00000000-0005-0000-0000-00000A000000}"/>
    <cellStyle name="통화 [0] 2 2 2" xfId="19" xr:uid="{00000000-0005-0000-0000-00000B000000}"/>
    <cellStyle name="표준" xfId="0" builtinId="0"/>
    <cellStyle name="표준 10 10 2" xfId="3" xr:uid="{00000000-0005-0000-0000-00000D000000}"/>
    <cellStyle name="표준 10 31" xfId="11" xr:uid="{00000000-0005-0000-0000-00000E000000}"/>
    <cellStyle name="표준 2" xfId="8" xr:uid="{00000000-0005-0000-0000-00000F000000}"/>
    <cellStyle name="표준 2 10 5" xfId="10" xr:uid="{00000000-0005-0000-0000-000010000000}"/>
    <cellStyle name="표준 3" xfId="14" xr:uid="{00000000-0005-0000-0000-000011000000}"/>
    <cellStyle name="표준 3 83" xfId="21" xr:uid="{00000000-0005-0000-0000-000012000000}"/>
    <cellStyle name="표준 4" xfId="15" xr:uid="{00000000-0005-0000-0000-000013000000}"/>
    <cellStyle name="표준 5" xfId="17" xr:uid="{00000000-0005-0000-0000-000014000000}"/>
    <cellStyle name="표준_봉강빌딩신축공사" xfId="6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tmp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tmp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4" name="Picture 6" descr="도장">
          <a:extLst>
            <a:ext uri="{FF2B5EF4-FFF2-40B4-BE49-F238E27FC236}">
              <a16:creationId xmlns:a16="http://schemas.microsoft.com/office/drawing/2014/main" id="{5A551C9E-4B3C-46E1-BBFA-208DB953D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15" name="Picture 1" descr="세원도장">
          <a:extLst>
            <a:ext uri="{FF2B5EF4-FFF2-40B4-BE49-F238E27FC236}">
              <a16:creationId xmlns:a16="http://schemas.microsoft.com/office/drawing/2014/main" id="{1D4975FB-5F89-4625-9580-23FABA1F4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6" name="Picture 6" descr="도장">
          <a:extLst>
            <a:ext uri="{FF2B5EF4-FFF2-40B4-BE49-F238E27FC236}">
              <a16:creationId xmlns:a16="http://schemas.microsoft.com/office/drawing/2014/main" id="{F6882235-A0C6-485F-BBE4-2C7F07382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17" name="Picture 1" descr="세원도장">
          <a:extLst>
            <a:ext uri="{FF2B5EF4-FFF2-40B4-BE49-F238E27FC236}">
              <a16:creationId xmlns:a16="http://schemas.microsoft.com/office/drawing/2014/main" id="{DE0A7748-B213-4D99-A66B-1ECD8E905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8" name="Picture 6" descr="도장">
          <a:extLst>
            <a:ext uri="{FF2B5EF4-FFF2-40B4-BE49-F238E27FC236}">
              <a16:creationId xmlns:a16="http://schemas.microsoft.com/office/drawing/2014/main" id="{9F6B2E1B-98BD-44EA-A630-EFF63238C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01034930-13F8-4308-B138-9D73D6795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9735A004-3E08-403E-B5B3-C7EA0E796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1ED7C1EB-02E9-4639-8BC8-B293A003E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2" name="Picture 1" descr="세원도장">
          <a:extLst>
            <a:ext uri="{FF2B5EF4-FFF2-40B4-BE49-F238E27FC236}">
              <a16:creationId xmlns:a16="http://schemas.microsoft.com/office/drawing/2014/main" id="{D6275CA0-99C9-419B-BE88-455BCCC6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3" name="Picture 1" descr="세원도장">
          <a:extLst>
            <a:ext uri="{FF2B5EF4-FFF2-40B4-BE49-F238E27FC236}">
              <a16:creationId xmlns:a16="http://schemas.microsoft.com/office/drawing/2014/main" id="{10B417B8-92DB-4E73-AE6B-55141D291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3F276F92-7AE8-443B-AAD2-F9ED2D3EF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131944</xdr:rowOff>
    </xdr:to>
    <xdr:pic>
      <xdr:nvPicPr>
        <xdr:cNvPr id="125" name="Picture 1" descr="세원도장">
          <a:extLst>
            <a:ext uri="{FF2B5EF4-FFF2-40B4-BE49-F238E27FC236}">
              <a16:creationId xmlns:a16="http://schemas.microsoft.com/office/drawing/2014/main" id="{CFF1D939-29A1-4401-99FF-536EEEC39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952263" y="993321"/>
          <a:ext cx="1" cy="434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589191</xdr:colOff>
      <xdr:row>5</xdr:row>
      <xdr:rowOff>40820</xdr:rowOff>
    </xdr:from>
    <xdr:to>
      <xdr:col>6</xdr:col>
      <xdr:colOff>2530929</xdr:colOff>
      <xdr:row>5</xdr:row>
      <xdr:rowOff>332306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EEBC8446-DCCF-462C-B62D-AFC80C6DF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13991" y="1336220"/>
          <a:ext cx="1941738" cy="291486"/>
        </a:xfrm>
        <a:prstGeom prst="rect">
          <a:avLst/>
        </a:prstGeom>
      </xdr:spPr>
    </xdr:pic>
    <xdr:clientData/>
  </xdr:twoCellAnchor>
  <xdr:twoCellAnchor editAs="oneCell">
    <xdr:from>
      <xdr:col>6</xdr:col>
      <xdr:colOff>2313214</xdr:colOff>
      <xdr:row>5</xdr:row>
      <xdr:rowOff>176892</xdr:rowOff>
    </xdr:from>
    <xdr:to>
      <xdr:col>6</xdr:col>
      <xdr:colOff>3070154</xdr:colOff>
      <xdr:row>7</xdr:row>
      <xdr:rowOff>174258</xdr:rowOff>
    </xdr:to>
    <xdr:pic>
      <xdr:nvPicPr>
        <xdr:cNvPr id="127" name="그림 1">
          <a:extLst>
            <a:ext uri="{FF2B5EF4-FFF2-40B4-BE49-F238E27FC236}">
              <a16:creationId xmlns:a16="http://schemas.microsoft.com/office/drawing/2014/main" id="{337EB0A0-02E8-4529-A250-332420EAA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8014" y="1472292"/>
          <a:ext cx="756940" cy="6831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9</xdr:col>
      <xdr:colOff>38099</xdr:colOff>
      <xdr:row>15</xdr:row>
      <xdr:rowOff>180975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704850" y="228600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시중가 증빙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1</xdr:col>
      <xdr:colOff>19050</xdr:colOff>
      <xdr:row>18</xdr:row>
      <xdr:rowOff>161925</xdr:rowOff>
    </xdr:from>
    <xdr:to>
      <xdr:col>9</xdr:col>
      <xdr:colOff>38099</xdr:colOff>
      <xdr:row>28</xdr:row>
      <xdr:rowOff>114300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5D08E9F-CB11-96E2-B8D7-69C6DE9E32DF}"/>
            </a:ext>
          </a:extLst>
        </xdr:cNvPr>
        <xdr:cNvSpPr/>
      </xdr:nvSpPr>
      <xdr:spPr>
        <a:xfrm>
          <a:off x="704850" y="28860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시중가 증빙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9</xdr:col>
      <xdr:colOff>166875</xdr:colOff>
      <xdr:row>21</xdr:row>
      <xdr:rowOff>104951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4CDD2D8-51FF-447B-9466-004C55BE1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09550"/>
          <a:ext cx="6120000" cy="4295951"/>
        </a:xfrm>
        <a:prstGeom prst="rect">
          <a:avLst/>
        </a:prstGeom>
      </xdr:spPr>
    </xdr:pic>
    <xdr:clientData/>
  </xdr:twoCellAnchor>
  <xdr:twoCellAnchor>
    <xdr:from>
      <xdr:col>1</xdr:col>
      <xdr:colOff>263338</xdr:colOff>
      <xdr:row>9</xdr:row>
      <xdr:rowOff>38100</xdr:rowOff>
    </xdr:from>
    <xdr:to>
      <xdr:col>8</xdr:col>
      <xdr:colOff>628650</xdr:colOff>
      <xdr:row>11</xdr:row>
      <xdr:rowOff>19050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49DCFB9-573D-4008-9F69-B1A103C10361}"/>
            </a:ext>
          </a:extLst>
        </xdr:cNvPr>
        <xdr:cNvSpPr/>
      </xdr:nvSpPr>
      <xdr:spPr>
        <a:xfrm>
          <a:off x="434788" y="1924050"/>
          <a:ext cx="5632637" cy="400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9525</xdr:colOff>
      <xdr:row>22</xdr:row>
      <xdr:rowOff>0</xdr:rowOff>
    </xdr:from>
    <xdr:to>
      <xdr:col>9</xdr:col>
      <xdr:colOff>176400</xdr:colOff>
      <xdr:row>39</xdr:row>
      <xdr:rowOff>137731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4697943-ACAB-4615-9DF0-0166F897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4610100"/>
          <a:ext cx="6120000" cy="3700081"/>
        </a:xfrm>
        <a:prstGeom prst="rect">
          <a:avLst/>
        </a:prstGeom>
      </xdr:spPr>
    </xdr:pic>
    <xdr:clientData/>
  </xdr:twoCellAnchor>
  <xdr:twoCellAnchor>
    <xdr:from>
      <xdr:col>1</xdr:col>
      <xdr:colOff>101413</xdr:colOff>
      <xdr:row>32</xdr:row>
      <xdr:rowOff>19049</xdr:rowOff>
    </xdr:from>
    <xdr:to>
      <xdr:col>9</xdr:col>
      <xdr:colOff>114300</xdr:colOff>
      <xdr:row>33</xdr:row>
      <xdr:rowOff>38099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0C5154C-DC89-4437-8360-5A508543AAA2}"/>
            </a:ext>
          </a:extLst>
        </xdr:cNvPr>
        <xdr:cNvSpPr/>
      </xdr:nvSpPr>
      <xdr:spPr>
        <a:xfrm>
          <a:off x="272863" y="6724649"/>
          <a:ext cx="5966012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3</xdr:col>
      <xdr:colOff>2148075</xdr:colOff>
      <xdr:row>27</xdr:row>
      <xdr:rowOff>104951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47F33F3-59B0-4028-9E3C-B70713FF3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1485900"/>
          <a:ext cx="6120000" cy="4295951"/>
        </a:xfrm>
        <a:prstGeom prst="rect">
          <a:avLst/>
        </a:prstGeom>
      </xdr:spPr>
    </xdr:pic>
    <xdr:clientData/>
  </xdr:twoCellAnchor>
  <xdr:twoCellAnchor>
    <xdr:from>
      <xdr:col>1</xdr:col>
      <xdr:colOff>263338</xdr:colOff>
      <xdr:row>15</xdr:row>
      <xdr:rowOff>38100</xdr:rowOff>
    </xdr:from>
    <xdr:to>
      <xdr:col>3</xdr:col>
      <xdr:colOff>1924050</xdr:colOff>
      <xdr:row>17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42CAE08-2D43-4EAF-8795-53B8D7BDDECF}"/>
            </a:ext>
          </a:extLst>
        </xdr:cNvPr>
        <xdr:cNvSpPr/>
      </xdr:nvSpPr>
      <xdr:spPr>
        <a:xfrm>
          <a:off x="1111063" y="3200400"/>
          <a:ext cx="5632637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0</xdr:colOff>
      <xdr:row>7</xdr:row>
      <xdr:rowOff>1</xdr:rowOff>
    </xdr:from>
    <xdr:to>
      <xdr:col>12</xdr:col>
      <xdr:colOff>262125</xdr:colOff>
      <xdr:row>24</xdr:row>
      <xdr:rowOff>137732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2942000-507C-4E44-C830-BB5AAE1ED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0" y="1485901"/>
          <a:ext cx="6120000" cy="3700081"/>
        </a:xfrm>
        <a:prstGeom prst="rect">
          <a:avLst/>
        </a:prstGeom>
      </xdr:spPr>
    </xdr:pic>
    <xdr:clientData/>
  </xdr:twoCellAnchor>
  <xdr:twoCellAnchor>
    <xdr:from>
      <xdr:col>4</xdr:col>
      <xdr:colOff>91888</xdr:colOff>
      <xdr:row>17</xdr:row>
      <xdr:rowOff>19050</xdr:rowOff>
    </xdr:from>
    <xdr:to>
      <xdr:col>12</xdr:col>
      <xdr:colOff>200025</xdr:colOff>
      <xdr:row>18</xdr:row>
      <xdr:rowOff>38100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9A4071B-F058-6FDC-1FC8-74EF9632A582}"/>
            </a:ext>
          </a:extLst>
        </xdr:cNvPr>
        <xdr:cNvSpPr/>
      </xdr:nvSpPr>
      <xdr:spPr>
        <a:xfrm>
          <a:off x="7102288" y="3600450"/>
          <a:ext cx="5966012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1246095</xdr:colOff>
      <xdr:row>33</xdr:row>
      <xdr:rowOff>26894</xdr:rowOff>
    </xdr:from>
    <xdr:to>
      <xdr:col>4</xdr:col>
      <xdr:colOff>2097742</xdr:colOff>
      <xdr:row>33</xdr:row>
      <xdr:rowOff>550103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EA24A6-59F8-47A4-881E-A45357D1B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695" y="9818594"/>
          <a:ext cx="851647" cy="523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B13" zoomScale="70" zoomScaleNormal="70" workbookViewId="0">
      <selection activeCell="F32" sqref="F32"/>
    </sheetView>
  </sheetViews>
  <sheetFormatPr defaultColWidth="9" defaultRowHeight="13.5"/>
  <cols>
    <col min="1" max="1" width="9.875" style="5" customWidth="1"/>
    <col min="2" max="2" width="24.25" style="5" customWidth="1"/>
    <col min="3" max="3" width="27" style="5" customWidth="1"/>
    <col min="4" max="5" width="9" style="5"/>
    <col min="6" max="6" width="23.5" style="5" customWidth="1"/>
    <col min="7" max="7" width="49.75" style="5" customWidth="1"/>
    <col min="8" max="8" width="11.25" style="5" customWidth="1"/>
    <col min="9" max="9" width="9" style="5"/>
    <col min="10" max="16384" width="9" style="6"/>
  </cols>
  <sheetData>
    <row r="2" spans="1:9" ht="33">
      <c r="A2" s="161" t="s">
        <v>6</v>
      </c>
      <c r="B2" s="161"/>
      <c r="C2" s="161"/>
      <c r="D2" s="161"/>
      <c r="E2" s="161"/>
      <c r="F2" s="161"/>
      <c r="G2" s="161"/>
      <c r="H2" s="4"/>
    </row>
    <row r="3" spans="1:9" ht="14.25">
      <c r="A3" s="7"/>
      <c r="B3" s="7"/>
      <c r="C3" s="7"/>
      <c r="D3" s="7"/>
      <c r="E3" s="7"/>
      <c r="F3" s="7"/>
      <c r="G3" s="7"/>
      <c r="H3" s="7"/>
    </row>
    <row r="4" spans="1:9" ht="14.25">
      <c r="A4" s="7"/>
      <c r="B4" s="7"/>
      <c r="C4" s="7"/>
      <c r="D4" s="7"/>
      <c r="E4" s="7"/>
      <c r="H4" s="7"/>
    </row>
    <row r="5" spans="1:9" ht="27" customHeight="1">
      <c r="A5" s="102" t="s">
        <v>120</v>
      </c>
      <c r="B5" s="164" t="s">
        <v>121</v>
      </c>
      <c r="C5" s="165"/>
      <c r="D5" s="7"/>
      <c r="E5" s="7"/>
      <c r="F5" s="75" t="s">
        <v>38</v>
      </c>
      <c r="G5" s="76" t="s">
        <v>91</v>
      </c>
      <c r="H5" s="7"/>
    </row>
    <row r="6" spans="1:9" ht="27" customHeight="1">
      <c r="A6" s="7"/>
      <c r="B6" s="7"/>
      <c r="C6" s="7"/>
      <c r="D6" s="7"/>
      <c r="E6" s="7"/>
      <c r="F6" s="77" t="s">
        <v>41</v>
      </c>
      <c r="G6" s="78"/>
      <c r="H6" s="7"/>
    </row>
    <row r="7" spans="1:9" ht="27" customHeight="1">
      <c r="A7" s="8" t="s">
        <v>118</v>
      </c>
      <c r="B7" s="105" t="s">
        <v>149</v>
      </c>
      <c r="C7" s="104"/>
      <c r="D7" s="7"/>
      <c r="E7" s="9"/>
      <c r="F7" s="79" t="s">
        <v>42</v>
      </c>
      <c r="G7" s="78" t="s">
        <v>92</v>
      </c>
      <c r="H7" s="7"/>
    </row>
    <row r="8" spans="1:9" ht="27" customHeight="1">
      <c r="A8" s="7"/>
      <c r="B8" s="106"/>
      <c r="C8" s="7"/>
      <c r="D8" s="7"/>
      <c r="E8" s="7"/>
      <c r="F8" s="77" t="s">
        <v>43</v>
      </c>
      <c r="G8" s="78" t="s">
        <v>89</v>
      </c>
      <c r="H8" s="7"/>
    </row>
    <row r="9" spans="1:9" ht="27" customHeight="1">
      <c r="A9" s="8" t="s">
        <v>119</v>
      </c>
      <c r="B9" s="109" t="s">
        <v>148</v>
      </c>
      <c r="C9" s="104"/>
      <c r="D9" s="7"/>
      <c r="E9" s="7"/>
      <c r="F9" s="77" t="s">
        <v>44</v>
      </c>
      <c r="G9" s="78" t="s">
        <v>93</v>
      </c>
      <c r="H9" s="7"/>
    </row>
    <row r="10" spans="1:9" ht="27" customHeight="1">
      <c r="A10" s="7"/>
      <c r="B10" s="7"/>
      <c r="C10" s="7"/>
      <c r="D10" s="7"/>
      <c r="E10" s="7"/>
      <c r="F10" s="80" t="s">
        <v>39</v>
      </c>
      <c r="G10" s="81" t="s">
        <v>94</v>
      </c>
      <c r="H10" s="7"/>
      <c r="I10" s="7"/>
    </row>
    <row r="11" spans="1:9" ht="27" customHeight="1">
      <c r="A11" s="162"/>
      <c r="B11" s="163"/>
      <c r="C11" s="163"/>
      <c r="D11" s="7"/>
      <c r="E11" s="10"/>
      <c r="F11" s="82" t="s">
        <v>40</v>
      </c>
      <c r="G11" s="83" t="s">
        <v>90</v>
      </c>
      <c r="H11" s="10"/>
    </row>
    <row r="12" spans="1:9" ht="18.75" thickBot="1">
      <c r="A12" s="11" t="s">
        <v>7</v>
      </c>
      <c r="B12" s="11" t="str">
        <f>NUMBERSTRING(F31,1)</f>
        <v>일백사십삼만삼천</v>
      </c>
      <c r="C12" s="12"/>
      <c r="D12" s="2" t="s">
        <v>8</v>
      </c>
      <c r="E12" s="2" t="s">
        <v>9</v>
      </c>
      <c r="F12" s="2" t="s">
        <v>9</v>
      </c>
      <c r="G12" s="2"/>
      <c r="H12" s="13"/>
    </row>
    <row r="13" spans="1:9" ht="15.75" thickTop="1" thickBot="1">
      <c r="A13" s="7"/>
      <c r="B13" s="7"/>
      <c r="C13" s="7"/>
      <c r="D13" s="7"/>
      <c r="E13" s="7"/>
      <c r="F13" s="7"/>
      <c r="G13" s="7"/>
      <c r="H13" s="13"/>
    </row>
    <row r="14" spans="1:9" ht="33" customHeight="1" thickBot="1">
      <c r="A14" s="14" t="s">
        <v>10</v>
      </c>
      <c r="B14" s="15" t="s">
        <v>11</v>
      </c>
      <c r="C14" s="15" t="s">
        <v>12</v>
      </c>
      <c r="D14" s="15" t="s">
        <v>13</v>
      </c>
      <c r="E14" s="15" t="s">
        <v>14</v>
      </c>
      <c r="F14" s="15" t="s">
        <v>15</v>
      </c>
      <c r="G14" s="16" t="s">
        <v>16</v>
      </c>
      <c r="H14" s="13"/>
    </row>
    <row r="15" spans="1:9" ht="33" customHeight="1" thickTop="1">
      <c r="A15" s="17"/>
      <c r="B15" s="18" t="s">
        <v>17</v>
      </c>
      <c r="C15" s="19"/>
      <c r="D15" s="20"/>
      <c r="E15" s="20"/>
      <c r="F15" s="21"/>
      <c r="G15" s="22"/>
    </row>
    <row r="16" spans="1:9" ht="33" customHeight="1">
      <c r="A16" s="23"/>
      <c r="B16" s="24" t="s">
        <v>18</v>
      </c>
      <c r="C16" s="25"/>
      <c r="D16" s="26"/>
      <c r="E16" s="26"/>
      <c r="F16" s="27">
        <f>'내역서(표준단가)'!O15</f>
        <v>450386.56</v>
      </c>
      <c r="G16" s="28"/>
    </row>
    <row r="17" spans="1:9" ht="33" customHeight="1">
      <c r="A17" s="23"/>
      <c r="B17" s="24" t="s">
        <v>19</v>
      </c>
      <c r="C17" s="25"/>
      <c r="D17" s="26"/>
      <c r="E17" s="26"/>
      <c r="F17" s="27">
        <f>'내역서(표준단가)'!Q15</f>
        <v>793490</v>
      </c>
      <c r="G17" s="29"/>
      <c r="H17" s="6"/>
      <c r="I17" s="6"/>
    </row>
    <row r="18" spans="1:9" ht="33" customHeight="1">
      <c r="A18" s="23"/>
      <c r="B18" s="24" t="s">
        <v>20</v>
      </c>
      <c r="C18" s="25"/>
      <c r="D18" s="26"/>
      <c r="E18" s="26"/>
      <c r="F18" s="27">
        <f>'내역서(표준단가)'!S15+'내역서(표준단가)'!U15</f>
        <v>0</v>
      </c>
      <c r="G18" s="29"/>
      <c r="H18" s="6"/>
      <c r="I18" s="6"/>
    </row>
    <row r="19" spans="1:9" ht="33" customHeight="1">
      <c r="A19" s="23"/>
      <c r="B19" s="30" t="s">
        <v>21</v>
      </c>
      <c r="C19" s="30"/>
      <c r="D19" s="31"/>
      <c r="E19" s="31"/>
      <c r="F19" s="32">
        <f>F16+F17+F18</f>
        <v>1243876.56</v>
      </c>
      <c r="G19" s="29"/>
      <c r="H19" s="6"/>
      <c r="I19" s="6"/>
    </row>
    <row r="20" spans="1:9" ht="33" customHeight="1">
      <c r="A20" s="23"/>
      <c r="B20" s="33" t="s">
        <v>22</v>
      </c>
      <c r="C20" s="34"/>
      <c r="D20" s="26"/>
      <c r="E20" s="26"/>
      <c r="F20" s="35"/>
      <c r="G20" s="29"/>
      <c r="H20" s="6"/>
      <c r="I20" s="6"/>
    </row>
    <row r="21" spans="1:9" ht="33" customHeight="1">
      <c r="A21" s="23"/>
      <c r="B21" s="36" t="s">
        <v>23</v>
      </c>
      <c r="C21" s="34" t="s">
        <v>24</v>
      </c>
      <c r="D21" s="24">
        <v>1</v>
      </c>
      <c r="E21" s="24" t="s">
        <v>25</v>
      </c>
      <c r="F21" s="37">
        <f>F17*4.5%</f>
        <v>35707.049999999996</v>
      </c>
      <c r="G21" s="29" t="s">
        <v>26</v>
      </c>
      <c r="H21" s="6"/>
      <c r="I21" s="6"/>
    </row>
    <row r="22" spans="1:9" ht="33" customHeight="1">
      <c r="A22" s="23"/>
      <c r="B22" s="38" t="s">
        <v>27</v>
      </c>
      <c r="C22" s="39" t="s">
        <v>64</v>
      </c>
      <c r="D22" s="40">
        <v>1</v>
      </c>
      <c r="E22" s="40" t="s">
        <v>25</v>
      </c>
      <c r="F22" s="41">
        <f>F17*3.545%</f>
        <v>28129.220500000003</v>
      </c>
      <c r="G22" s="42" t="s">
        <v>28</v>
      </c>
      <c r="H22" s="6"/>
      <c r="I22" s="6"/>
    </row>
    <row r="23" spans="1:9" ht="33" customHeight="1">
      <c r="A23" s="23"/>
      <c r="B23" s="36" t="s">
        <v>29</v>
      </c>
      <c r="C23" s="34" t="s">
        <v>65</v>
      </c>
      <c r="D23" s="24">
        <v>1</v>
      </c>
      <c r="E23" s="24" t="s">
        <v>25</v>
      </c>
      <c r="F23" s="37">
        <f>F22*12.95%</f>
        <v>3642.7340547500007</v>
      </c>
      <c r="G23" s="29" t="s">
        <v>28</v>
      </c>
      <c r="H23" s="6"/>
      <c r="I23" s="6"/>
    </row>
    <row r="24" spans="1:9" ht="33" customHeight="1">
      <c r="A24" s="23"/>
      <c r="B24" s="36" t="s">
        <v>30</v>
      </c>
      <c r="C24" s="34" t="s">
        <v>46</v>
      </c>
      <c r="D24" s="24">
        <v>1</v>
      </c>
      <c r="E24" s="24" t="s">
        <v>25</v>
      </c>
      <c r="F24" s="37">
        <f>F17*1.01%</f>
        <v>8014.2489999999998</v>
      </c>
      <c r="G24" s="29" t="s">
        <v>28</v>
      </c>
      <c r="H24" s="6"/>
      <c r="I24" s="6"/>
    </row>
    <row r="25" spans="1:9" ht="33" customHeight="1">
      <c r="A25" s="23"/>
      <c r="B25" s="36" t="s">
        <v>31</v>
      </c>
      <c r="C25" s="34" t="s">
        <v>66</v>
      </c>
      <c r="D25" s="24">
        <v>1</v>
      </c>
      <c r="E25" s="24" t="s">
        <v>25</v>
      </c>
      <c r="F25" s="37">
        <f>F17*3.56%</f>
        <v>28248.243999999999</v>
      </c>
      <c r="G25" s="29" t="s">
        <v>28</v>
      </c>
      <c r="H25" s="6"/>
      <c r="I25" s="6"/>
    </row>
    <row r="26" spans="1:9" ht="33" customHeight="1">
      <c r="A26" s="23"/>
      <c r="B26" s="36" t="s">
        <v>32</v>
      </c>
      <c r="C26" s="157" t="s">
        <v>146</v>
      </c>
      <c r="D26" s="158">
        <v>1</v>
      </c>
      <c r="E26" s="158" t="s">
        <v>25</v>
      </c>
      <c r="F26" s="159">
        <f>(F16+F17)*3.11%</f>
        <v>38684.561016</v>
      </c>
      <c r="G26" s="29" t="s">
        <v>26</v>
      </c>
      <c r="H26" s="6"/>
      <c r="I26" s="6"/>
    </row>
    <row r="27" spans="1:9" ht="33" customHeight="1">
      <c r="A27" s="23"/>
      <c r="B27" s="36" t="s">
        <v>36</v>
      </c>
      <c r="C27" s="43" t="s">
        <v>37</v>
      </c>
      <c r="D27" s="24">
        <v>1</v>
      </c>
      <c r="E27" s="24" t="s">
        <v>25</v>
      </c>
      <c r="F27" s="37">
        <f>SUM(F17+F21+F22+F23+F24+F25+F26)*5%</f>
        <v>46795.802928537501</v>
      </c>
      <c r="G27" s="29"/>
      <c r="H27" s="6"/>
      <c r="I27" s="6"/>
    </row>
    <row r="28" spans="1:9" ht="33" customHeight="1">
      <c r="A28" s="23"/>
      <c r="B28" s="30" t="s">
        <v>33</v>
      </c>
      <c r="C28" s="44"/>
      <c r="D28" s="45"/>
      <c r="E28" s="31"/>
      <c r="F28" s="46">
        <f>F21+F22+F23+F24+F25+F26+F27</f>
        <v>189221.86149928751</v>
      </c>
      <c r="G28" s="29"/>
      <c r="H28" s="6"/>
      <c r="I28" s="6"/>
    </row>
    <row r="29" spans="1:9" ht="33" customHeight="1">
      <c r="A29" s="23"/>
      <c r="B29" s="34"/>
      <c r="C29" s="47"/>
      <c r="D29" s="48"/>
      <c r="E29" s="26"/>
      <c r="F29" s="49"/>
      <c r="G29" s="29"/>
      <c r="H29" s="6"/>
      <c r="I29" s="6"/>
    </row>
    <row r="30" spans="1:9" ht="33" customHeight="1">
      <c r="A30" s="23"/>
      <c r="B30" s="50"/>
      <c r="C30" s="47"/>
      <c r="D30" s="48"/>
      <c r="E30" s="26"/>
      <c r="F30" s="51">
        <f>F19+F28+F29</f>
        <v>1433098.4214992875</v>
      </c>
      <c r="G30" s="29"/>
      <c r="H30" s="6"/>
      <c r="I30" s="6"/>
    </row>
    <row r="31" spans="1:9" ht="33" customHeight="1">
      <c r="A31" s="23"/>
      <c r="B31" s="30" t="s">
        <v>34</v>
      </c>
      <c r="C31" s="30"/>
      <c r="D31" s="31"/>
      <c r="E31" s="31"/>
      <c r="F31" s="52">
        <f>ROUNDDOWN(F30,-3)</f>
        <v>1433000</v>
      </c>
      <c r="G31" s="29"/>
      <c r="H31" s="6"/>
      <c r="I31" s="6"/>
    </row>
    <row r="32" spans="1:9" ht="33" customHeight="1" thickBot="1">
      <c r="A32" s="53"/>
      <c r="B32" s="54" t="s">
        <v>35</v>
      </c>
      <c r="C32" s="55"/>
      <c r="D32" s="55"/>
      <c r="E32" s="55"/>
      <c r="F32" s="56"/>
      <c r="G32" s="57"/>
      <c r="H32" s="6"/>
      <c r="I32" s="6"/>
    </row>
    <row r="33" spans="2:2" s="6" customFormat="1" ht="15.75">
      <c r="B33" s="58"/>
    </row>
    <row r="34" spans="2:2" s="6" customFormat="1" ht="15.75">
      <c r="B34" s="58"/>
    </row>
  </sheetData>
  <mergeCells count="3">
    <mergeCell ref="A2:G2"/>
    <mergeCell ref="A11:C11"/>
    <mergeCell ref="B5:C5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5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X19"/>
  <sheetViews>
    <sheetView showGridLines="0" zoomScale="90" zoomScaleNormal="90"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Q16" sqref="Q16"/>
    </sheetView>
  </sheetViews>
  <sheetFormatPr defaultColWidth="9" defaultRowHeight="12.75"/>
  <cols>
    <col min="1" max="1" width="17.5" style="65" bestFit="1" customWidth="1"/>
    <col min="2" max="5" width="18.5" style="65" hidden="1" customWidth="1"/>
    <col min="6" max="8" width="11.625" style="59" hidden="1" customWidth="1"/>
    <col min="9" max="9" width="10.5" style="59" hidden="1" customWidth="1"/>
    <col min="10" max="10" width="42.5" style="59" bestFit="1" customWidth="1"/>
    <col min="11" max="11" width="39.375" style="59" customWidth="1"/>
    <col min="12" max="12" width="5.25" style="59" bestFit="1" customWidth="1"/>
    <col min="13" max="13" width="6.375" style="59" bestFit="1" customWidth="1"/>
    <col min="14" max="14" width="9.875" style="59" bestFit="1" customWidth="1"/>
    <col min="15" max="15" width="13.5" style="59" bestFit="1" customWidth="1"/>
    <col min="16" max="16" width="8.375" style="59" bestFit="1" customWidth="1"/>
    <col min="17" max="17" width="13.5" style="59" bestFit="1" customWidth="1"/>
    <col min="18" max="21" width="11.75" style="59" hidden="1" customWidth="1"/>
    <col min="22" max="22" width="11.625" style="59" customWidth="1"/>
    <col min="23" max="23" width="10.375" style="60" bestFit="1" customWidth="1"/>
    <col min="24" max="24" width="17.75" style="59" bestFit="1" customWidth="1"/>
    <col min="25" max="16384" width="9" style="59"/>
  </cols>
  <sheetData>
    <row r="1" spans="1:24" ht="19.899999999999999" customHeight="1">
      <c r="A1" s="168"/>
      <c r="B1" s="168"/>
      <c r="C1" s="168"/>
      <c r="D1" s="168"/>
      <c r="E1" s="168"/>
      <c r="F1" s="168"/>
      <c r="G1" s="168"/>
      <c r="H1" s="168"/>
      <c r="I1" s="168"/>
      <c r="N1" s="60"/>
      <c r="O1" s="107" t="s">
        <v>67</v>
      </c>
      <c r="Q1" s="107" t="s">
        <v>67</v>
      </c>
      <c r="S1" s="107" t="s">
        <v>67</v>
      </c>
      <c r="U1" s="107" t="s">
        <v>67</v>
      </c>
    </row>
    <row r="2" spans="1:24" ht="19.899999999999999" customHeight="1" thickBot="1">
      <c r="A2" s="168"/>
      <c r="B2" s="168"/>
      <c r="C2" s="168"/>
      <c r="D2" s="168"/>
      <c r="E2" s="168"/>
      <c r="F2" s="168"/>
      <c r="G2" s="168"/>
      <c r="H2" s="168"/>
      <c r="I2" s="168"/>
      <c r="N2" s="61"/>
      <c r="O2" s="62">
        <v>0.88</v>
      </c>
      <c r="P2" s="84"/>
      <c r="Q2" s="62">
        <v>0.78</v>
      </c>
      <c r="R2" s="84"/>
      <c r="S2" s="62">
        <v>1</v>
      </c>
      <c r="T2" s="84"/>
      <c r="U2" s="62">
        <v>1</v>
      </c>
    </row>
    <row r="3" spans="1:24" ht="19.899999999999999" customHeight="1">
      <c r="A3" s="63"/>
      <c r="B3" s="63"/>
      <c r="C3" s="63"/>
      <c r="D3" s="63"/>
      <c r="E3" s="63"/>
      <c r="F3" s="63" t="s">
        <v>68</v>
      </c>
      <c r="G3" s="64"/>
      <c r="H3" s="64"/>
      <c r="I3" s="64"/>
      <c r="J3" s="169" t="s">
        <v>69</v>
      </c>
      <c r="K3" s="169"/>
      <c r="L3" s="169" t="s">
        <v>70</v>
      </c>
      <c r="M3" s="171" t="s">
        <v>71</v>
      </c>
      <c r="N3" s="173" t="s">
        <v>72</v>
      </c>
      <c r="O3" s="174"/>
      <c r="P3" s="174" t="s">
        <v>73</v>
      </c>
      <c r="Q3" s="174"/>
      <c r="R3" s="175" t="s">
        <v>74</v>
      </c>
      <c r="S3" s="175"/>
      <c r="T3" s="175" t="s">
        <v>75</v>
      </c>
      <c r="U3" s="175"/>
      <c r="V3" s="176" t="s">
        <v>76</v>
      </c>
      <c r="W3" s="178" t="s">
        <v>77</v>
      </c>
      <c r="X3" s="166" t="s">
        <v>45</v>
      </c>
    </row>
    <row r="4" spans="1:24" ht="19.899999999999999" customHeight="1">
      <c r="A4" s="85" t="s">
        <v>78</v>
      </c>
      <c r="B4" s="86"/>
      <c r="C4" s="86"/>
      <c r="D4" s="86"/>
      <c r="E4" s="86"/>
      <c r="F4" s="87" t="s">
        <v>79</v>
      </c>
      <c r="G4" s="87" t="s">
        <v>80</v>
      </c>
      <c r="H4" s="87" t="s">
        <v>81</v>
      </c>
      <c r="I4" s="87" t="s">
        <v>82</v>
      </c>
      <c r="J4" s="108" t="s">
        <v>83</v>
      </c>
      <c r="K4" s="108" t="s">
        <v>84</v>
      </c>
      <c r="L4" s="170"/>
      <c r="M4" s="172"/>
      <c r="N4" s="90" t="s">
        <v>85</v>
      </c>
      <c r="O4" s="89" t="s">
        <v>86</v>
      </c>
      <c r="P4" s="88" t="s">
        <v>87</v>
      </c>
      <c r="Q4" s="89" t="s">
        <v>86</v>
      </c>
      <c r="R4" s="89" t="s">
        <v>88</v>
      </c>
      <c r="S4" s="89" t="s">
        <v>86</v>
      </c>
      <c r="T4" s="89" t="s">
        <v>88</v>
      </c>
      <c r="U4" s="89" t="s">
        <v>86</v>
      </c>
      <c r="V4" s="177"/>
      <c r="W4" s="179"/>
      <c r="X4" s="167"/>
    </row>
    <row r="5" spans="1:24" s="150" customFormat="1" ht="19.899999999999999" customHeight="1">
      <c r="A5" s="110" t="str">
        <f t="shared" ref="A5:A14" si="0">F5&amp;G5&amp;H5&amp;I5</f>
        <v/>
      </c>
      <c r="B5" s="111"/>
      <c r="C5" s="111"/>
      <c r="D5" s="111"/>
      <c r="E5" s="111"/>
      <c r="F5" s="113"/>
      <c r="G5" s="112"/>
      <c r="H5" s="112"/>
      <c r="I5" s="113"/>
      <c r="J5" s="114" t="str">
        <f>갑지!B7</f>
        <v>사택 9동303호 난방분배기교체 작업 외 3개소</v>
      </c>
      <c r="K5" s="115"/>
      <c r="L5" s="115"/>
      <c r="M5" s="147"/>
      <c r="N5" s="116"/>
      <c r="O5" s="117">
        <f t="shared" ref="O5:O14" si="1">SUM(N5:N5)*M5*$O$2</f>
        <v>0</v>
      </c>
      <c r="P5" s="148"/>
      <c r="Q5" s="117">
        <f>(P5*M5*W5)*$Q$2</f>
        <v>0</v>
      </c>
      <c r="R5" s="118"/>
      <c r="S5" s="117">
        <f t="shared" ref="S5:S14" si="2">R5*M5*$S$2</f>
        <v>0</v>
      </c>
      <c r="T5" s="118"/>
      <c r="U5" s="117">
        <f t="shared" ref="U5:U14" si="3">T5*M5*$U$2</f>
        <v>0</v>
      </c>
      <c r="V5" s="119">
        <f t="shared" ref="V5" si="4">SUM(O5+Q5)+S5+U5</f>
        <v>0</v>
      </c>
      <c r="W5" s="120"/>
      <c r="X5" s="149"/>
    </row>
    <row r="6" spans="1:24" s="150" customFormat="1" ht="19.899999999999999" customHeight="1">
      <c r="A6" s="121" t="str">
        <f t="shared" si="0"/>
        <v>E999999</v>
      </c>
      <c r="B6" s="122"/>
      <c r="C6" s="122"/>
      <c r="D6" s="122"/>
      <c r="E6" s="122"/>
      <c r="F6" s="124"/>
      <c r="G6" s="123"/>
      <c r="H6" s="123" t="s">
        <v>135</v>
      </c>
      <c r="I6" s="124" t="s">
        <v>136</v>
      </c>
      <c r="J6" s="125" t="s">
        <v>129</v>
      </c>
      <c r="K6" s="125" t="s">
        <v>156</v>
      </c>
      <c r="L6" s="125" t="s">
        <v>130</v>
      </c>
      <c r="M6" s="151">
        <v>1</v>
      </c>
      <c r="N6" s="160">
        <v>62000</v>
      </c>
      <c r="O6" s="127">
        <f>SUM(N6:N6)*M6*1</f>
        <v>62000</v>
      </c>
      <c r="P6" s="152"/>
      <c r="Q6" s="127">
        <f t="shared" ref="Q6:Q11" si="5">(P6*M6*W6)*$Q$2</f>
        <v>0</v>
      </c>
      <c r="R6" s="128"/>
      <c r="S6" s="127">
        <f t="shared" si="2"/>
        <v>0</v>
      </c>
      <c r="T6" s="128"/>
      <c r="U6" s="127">
        <f t="shared" si="3"/>
        <v>0</v>
      </c>
      <c r="V6" s="129">
        <f t="shared" ref="V6:V14" si="6">SUM(O6+Q6)+S6+U6</f>
        <v>62000</v>
      </c>
      <c r="W6" s="130"/>
      <c r="X6" s="153"/>
    </row>
    <row r="7" spans="1:24" s="150" customFormat="1" ht="19.899999999999999" customHeight="1">
      <c r="A7" s="121" t="str">
        <f t="shared" ref="A7" si="7">F7&amp;G7&amp;H7&amp;I7</f>
        <v>E999999</v>
      </c>
      <c r="B7" s="122"/>
      <c r="C7" s="122"/>
      <c r="D7" s="122"/>
      <c r="E7" s="122"/>
      <c r="F7" s="124"/>
      <c r="G7" s="123"/>
      <c r="H7" s="123" t="s">
        <v>135</v>
      </c>
      <c r="I7" s="124" t="s">
        <v>136</v>
      </c>
      <c r="J7" s="125" t="s">
        <v>129</v>
      </c>
      <c r="K7" s="125" t="s">
        <v>155</v>
      </c>
      <c r="L7" s="125" t="s">
        <v>130</v>
      </c>
      <c r="M7" s="151">
        <v>3</v>
      </c>
      <c r="N7" s="160">
        <v>92000</v>
      </c>
      <c r="O7" s="127">
        <f>SUM(N7:N7)*M7*1</f>
        <v>276000</v>
      </c>
      <c r="P7" s="152"/>
      <c r="Q7" s="127">
        <f t="shared" ref="Q7" si="8">(P7*M7*W7)*$Q$2</f>
        <v>0</v>
      </c>
      <c r="R7" s="128"/>
      <c r="S7" s="127">
        <f t="shared" ref="S7" si="9">R7*M7*$S$2</f>
        <v>0</v>
      </c>
      <c r="T7" s="128"/>
      <c r="U7" s="127">
        <f t="shared" ref="U7" si="10">T7*M7*$U$2</f>
        <v>0</v>
      </c>
      <c r="V7" s="129">
        <f t="shared" ref="V7" si="11">SUM(O7+Q7)+S7+U7</f>
        <v>276000</v>
      </c>
      <c r="W7" s="130"/>
      <c r="X7" s="153"/>
    </row>
    <row r="8" spans="1:24" s="150" customFormat="1" ht="19.899999999999999" customHeight="1">
      <c r="A8" s="121" t="str">
        <f t="shared" si="0"/>
        <v>E999999</v>
      </c>
      <c r="B8" s="122"/>
      <c r="C8" s="122"/>
      <c r="D8" s="122"/>
      <c r="E8" s="122"/>
      <c r="F8" s="124"/>
      <c r="G8" s="123"/>
      <c r="H8" s="123" t="s">
        <v>135</v>
      </c>
      <c r="I8" s="124" t="s">
        <v>136</v>
      </c>
      <c r="J8" s="125" t="s">
        <v>137</v>
      </c>
      <c r="K8" s="125" t="s">
        <v>138</v>
      </c>
      <c r="L8" s="125" t="s">
        <v>139</v>
      </c>
      <c r="M8" s="151">
        <f>2*4</f>
        <v>8</v>
      </c>
      <c r="N8" s="160">
        <v>470</v>
      </c>
      <c r="O8" s="127">
        <f t="shared" si="1"/>
        <v>3308.8</v>
      </c>
      <c r="P8" s="152"/>
      <c r="Q8" s="127">
        <f t="shared" si="5"/>
        <v>0</v>
      </c>
      <c r="R8" s="128"/>
      <c r="S8" s="127">
        <f t="shared" si="2"/>
        <v>0</v>
      </c>
      <c r="T8" s="128"/>
      <c r="U8" s="127">
        <f t="shared" si="3"/>
        <v>0</v>
      </c>
      <c r="V8" s="129">
        <f t="shared" si="6"/>
        <v>3308.8</v>
      </c>
      <c r="W8" s="130"/>
      <c r="X8" s="153" t="s">
        <v>154</v>
      </c>
    </row>
    <row r="9" spans="1:24" s="150" customFormat="1" ht="19.899999999999999" customHeight="1">
      <c r="A9" s="121" t="str">
        <f t="shared" si="0"/>
        <v>M02502Q710020103</v>
      </c>
      <c r="B9" s="122"/>
      <c r="C9" s="122"/>
      <c r="D9" s="122"/>
      <c r="E9" s="122"/>
      <c r="F9" s="124"/>
      <c r="G9" s="123"/>
      <c r="H9" s="123" t="s">
        <v>150</v>
      </c>
      <c r="I9" s="124" t="s">
        <v>136</v>
      </c>
      <c r="J9" s="125" t="s">
        <v>140</v>
      </c>
      <c r="K9" s="125" t="s">
        <v>141</v>
      </c>
      <c r="L9" s="125" t="s">
        <v>130</v>
      </c>
      <c r="M9" s="151">
        <f>8*1+10*3</f>
        <v>38</v>
      </c>
      <c r="N9" s="160">
        <v>3000</v>
      </c>
      <c r="O9" s="127">
        <f t="shared" si="1"/>
        <v>100320</v>
      </c>
      <c r="P9" s="152"/>
      <c r="Q9" s="127">
        <f t="shared" si="5"/>
        <v>0</v>
      </c>
      <c r="R9" s="128"/>
      <c r="S9" s="127">
        <f t="shared" si="2"/>
        <v>0</v>
      </c>
      <c r="T9" s="128"/>
      <c r="U9" s="127">
        <f t="shared" si="3"/>
        <v>0</v>
      </c>
      <c r="V9" s="129">
        <f t="shared" si="6"/>
        <v>100320</v>
      </c>
      <c r="W9" s="130"/>
      <c r="X9" s="153"/>
    </row>
    <row r="10" spans="1:24" s="150" customFormat="1" ht="19.899999999999999" customHeight="1">
      <c r="A10" s="121" t="str">
        <f t="shared" si="0"/>
        <v>M025805910020112</v>
      </c>
      <c r="B10" s="122"/>
      <c r="C10" s="122"/>
      <c r="D10" s="122"/>
      <c r="E10" s="122"/>
      <c r="F10" s="124"/>
      <c r="G10" s="123"/>
      <c r="H10" s="123" t="s">
        <v>152</v>
      </c>
      <c r="I10" s="124" t="s">
        <v>136</v>
      </c>
      <c r="J10" s="125" t="s">
        <v>142</v>
      </c>
      <c r="K10" s="125" t="s">
        <v>151</v>
      </c>
      <c r="L10" s="125" t="s">
        <v>139</v>
      </c>
      <c r="M10" s="151">
        <f>1*4</f>
        <v>4</v>
      </c>
      <c r="N10" s="160">
        <v>1788</v>
      </c>
      <c r="O10" s="127">
        <f t="shared" si="1"/>
        <v>6293.76</v>
      </c>
      <c r="P10" s="152"/>
      <c r="Q10" s="127">
        <f t="shared" si="5"/>
        <v>0</v>
      </c>
      <c r="R10" s="128"/>
      <c r="S10" s="127">
        <f t="shared" si="2"/>
        <v>0</v>
      </c>
      <c r="T10" s="128"/>
      <c r="U10" s="127">
        <f t="shared" si="3"/>
        <v>0</v>
      </c>
      <c r="V10" s="129">
        <f t="shared" si="6"/>
        <v>6293.76</v>
      </c>
      <c r="W10" s="130"/>
      <c r="X10" s="153"/>
    </row>
    <row r="11" spans="1:24" s="150" customFormat="1" ht="19.899999999999999" customHeight="1">
      <c r="A11" s="121" t="str">
        <f t="shared" si="0"/>
        <v>M030752111710101</v>
      </c>
      <c r="B11" s="122"/>
      <c r="C11" s="122"/>
      <c r="D11" s="122"/>
      <c r="E11" s="122"/>
      <c r="F11" s="124"/>
      <c r="G11" s="123"/>
      <c r="H11" s="123" t="s">
        <v>153</v>
      </c>
      <c r="I11" s="124" t="s">
        <v>136</v>
      </c>
      <c r="J11" s="125" t="s">
        <v>143</v>
      </c>
      <c r="K11" s="125" t="s">
        <v>144</v>
      </c>
      <c r="L11" s="125" t="s">
        <v>145</v>
      </c>
      <c r="M11" s="151">
        <f>0.1*4</f>
        <v>0.4</v>
      </c>
      <c r="N11" s="160">
        <v>7000</v>
      </c>
      <c r="O11" s="127">
        <f t="shared" si="1"/>
        <v>2464</v>
      </c>
      <c r="P11" s="152"/>
      <c r="Q11" s="127">
        <f t="shared" si="5"/>
        <v>0</v>
      </c>
      <c r="R11" s="128"/>
      <c r="S11" s="127">
        <f t="shared" si="2"/>
        <v>0</v>
      </c>
      <c r="T11" s="128"/>
      <c r="U11" s="127">
        <f t="shared" si="3"/>
        <v>0</v>
      </c>
      <c r="V11" s="129">
        <f t="shared" si="6"/>
        <v>2464</v>
      </c>
      <c r="W11" s="130"/>
      <c r="X11" s="153"/>
    </row>
    <row r="12" spans="1:24" s="150" customFormat="1" ht="19.899999999999999" customHeight="1">
      <c r="A12" s="121" t="str">
        <f t="shared" si="0"/>
        <v>L039</v>
      </c>
      <c r="B12" s="122"/>
      <c r="C12" s="122"/>
      <c r="D12" s="122"/>
      <c r="E12" s="122"/>
      <c r="F12" s="124"/>
      <c r="G12" s="123"/>
      <c r="H12" s="123"/>
      <c r="I12" s="124" t="s">
        <v>123</v>
      </c>
      <c r="J12" s="125" t="s">
        <v>124</v>
      </c>
      <c r="K12" s="125" t="s">
        <v>128</v>
      </c>
      <c r="L12" s="125" t="s">
        <v>127</v>
      </c>
      <c r="M12" s="151">
        <v>2</v>
      </c>
      <c r="N12" s="126"/>
      <c r="O12" s="127">
        <f>ROUND(N12*100%*M12,0)</f>
        <v>0</v>
      </c>
      <c r="P12" s="152">
        <v>229664</v>
      </c>
      <c r="Q12" s="127">
        <f>ROUND(P12*M12*W12,0)</f>
        <v>459328</v>
      </c>
      <c r="R12" s="128"/>
      <c r="S12" s="127">
        <f t="shared" ref="S12:S13" si="12">ROUND(R12*S$2*M12,0)</f>
        <v>0</v>
      </c>
      <c r="T12" s="128"/>
      <c r="U12" s="127">
        <f t="shared" ref="U12:U13" si="13">ROUND(T12*U$2*M12,0)</f>
        <v>0</v>
      </c>
      <c r="V12" s="129">
        <f>U12+S12+Q12+O12</f>
        <v>459328</v>
      </c>
      <c r="W12" s="130">
        <v>1</v>
      </c>
      <c r="X12" s="153"/>
    </row>
    <row r="13" spans="1:24" s="150" customFormat="1" ht="19.899999999999999" customHeight="1">
      <c r="A13" s="121" t="str">
        <f t="shared" si="0"/>
        <v>L002</v>
      </c>
      <c r="B13" s="122"/>
      <c r="C13" s="122"/>
      <c r="D13" s="122"/>
      <c r="E13" s="122"/>
      <c r="F13" s="124"/>
      <c r="G13" s="123"/>
      <c r="H13" s="123"/>
      <c r="I13" s="124" t="s">
        <v>125</v>
      </c>
      <c r="J13" s="125" t="s">
        <v>126</v>
      </c>
      <c r="K13" s="125" t="s">
        <v>128</v>
      </c>
      <c r="L13" s="125" t="s">
        <v>127</v>
      </c>
      <c r="M13" s="151">
        <v>2</v>
      </c>
      <c r="N13" s="126"/>
      <c r="O13" s="127">
        <f t="shared" ref="O13" si="14">ROUND(N13*100%*M13,0)</f>
        <v>0</v>
      </c>
      <c r="P13" s="152">
        <v>167081</v>
      </c>
      <c r="Q13" s="127">
        <f t="shared" ref="Q13" si="15">ROUND(P13*M13*W13,0)</f>
        <v>334162</v>
      </c>
      <c r="R13" s="128"/>
      <c r="S13" s="127">
        <f t="shared" si="12"/>
        <v>0</v>
      </c>
      <c r="T13" s="128"/>
      <c r="U13" s="127">
        <f t="shared" si="13"/>
        <v>0</v>
      </c>
      <c r="V13" s="129">
        <f t="shared" ref="V13" si="16">U13+S13+Q13+O13</f>
        <v>334162</v>
      </c>
      <c r="W13" s="130">
        <v>1</v>
      </c>
      <c r="X13" s="153"/>
    </row>
    <row r="14" spans="1:24" s="150" customFormat="1" ht="19.899999999999999" customHeight="1">
      <c r="A14" s="131" t="str">
        <f t="shared" si="0"/>
        <v/>
      </c>
      <c r="B14" s="132"/>
      <c r="C14" s="132"/>
      <c r="D14" s="132"/>
      <c r="E14" s="132"/>
      <c r="F14" s="134"/>
      <c r="G14" s="133"/>
      <c r="H14" s="133"/>
      <c r="I14" s="134"/>
      <c r="J14" s="135"/>
      <c r="K14" s="135"/>
      <c r="L14" s="135"/>
      <c r="M14" s="154"/>
      <c r="N14" s="136"/>
      <c r="O14" s="137">
        <f t="shared" si="1"/>
        <v>0</v>
      </c>
      <c r="P14" s="155"/>
      <c r="Q14" s="137">
        <f t="shared" ref="Q14" si="17">(P14*M14)*$Q$2</f>
        <v>0</v>
      </c>
      <c r="R14" s="138"/>
      <c r="S14" s="137">
        <f t="shared" si="2"/>
        <v>0</v>
      </c>
      <c r="T14" s="138"/>
      <c r="U14" s="137">
        <f t="shared" si="3"/>
        <v>0</v>
      </c>
      <c r="V14" s="139">
        <f t="shared" si="6"/>
        <v>0</v>
      </c>
      <c r="W14" s="140"/>
      <c r="X14" s="156"/>
    </row>
    <row r="15" spans="1:24" s="142" customFormat="1" ht="19.899999999999999" customHeight="1">
      <c r="A15" s="141"/>
      <c r="B15" s="141"/>
      <c r="C15" s="141"/>
      <c r="D15" s="141"/>
      <c r="E15" s="141"/>
      <c r="O15" s="143">
        <f>SUM(O5:O14)</f>
        <v>450386.56</v>
      </c>
      <c r="P15" s="144"/>
      <c r="Q15" s="143">
        <f>SUM(Q5:Q14)</f>
        <v>793490</v>
      </c>
      <c r="R15" s="144"/>
      <c r="S15" s="143">
        <f>SUM(S5:S14)</f>
        <v>0</v>
      </c>
      <c r="T15" s="144"/>
      <c r="U15" s="143">
        <f>SUM(U5:U14)</f>
        <v>0</v>
      </c>
      <c r="V15" s="145">
        <v>0</v>
      </c>
      <c r="W15" s="146"/>
    </row>
    <row r="19" spans="17:17">
      <c r="Q19" s="66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"/>
  <sheetViews>
    <sheetView topLeftCell="A13" workbookViewId="0">
      <selection activeCell="M19" sqref="M19"/>
    </sheetView>
  </sheetViews>
  <sheetFormatPr defaultColWidth="9" defaultRowHeight="16.5"/>
  <cols>
    <col min="1" max="1" width="2.25" style="67" customWidth="1"/>
    <col min="2" max="4" width="9" style="67"/>
    <col min="5" max="5" width="15.125" style="67" customWidth="1"/>
    <col min="6" max="16384" width="9" style="67"/>
  </cols>
  <sheetData/>
  <phoneticPr fontId="7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R6"/>
  <sheetViews>
    <sheetView tabSelected="1" workbookViewId="0">
      <selection activeCell="P12" sqref="P12"/>
    </sheetView>
  </sheetViews>
  <sheetFormatPr defaultColWidth="9" defaultRowHeight="16.5"/>
  <cols>
    <col min="1" max="1" width="11.125" style="67" customWidth="1"/>
    <col min="2" max="2" width="13.375" style="67" customWidth="1"/>
    <col min="3" max="3" width="38.75" style="67" customWidth="1"/>
    <col min="4" max="4" width="28.75" style="67" customWidth="1"/>
    <col min="5" max="5" width="5" style="67" customWidth="1"/>
    <col min="6" max="6" width="6.25" style="67" customWidth="1"/>
    <col min="7" max="7" width="10" style="67" customWidth="1"/>
    <col min="8" max="8" width="11.875" style="67" customWidth="1"/>
    <col min="9" max="9" width="10" style="67" customWidth="1"/>
    <col min="10" max="10" width="11.875" style="67" customWidth="1"/>
    <col min="11" max="11" width="10" style="67" customWidth="1"/>
    <col min="12" max="12" width="11.875" style="67" customWidth="1"/>
    <col min="13" max="13" width="10" style="67" customWidth="1"/>
    <col min="14" max="14" width="11.875" style="67" customWidth="1"/>
    <col min="15" max="15" width="9.125" style="67" customWidth="1"/>
    <col min="16" max="16" width="11.5" style="67" customWidth="1"/>
    <col min="17" max="17" width="11.75" style="67" customWidth="1"/>
    <col min="18" max="18" width="17.875" style="67" customWidth="1"/>
    <col min="19" max="16384" width="9" style="67"/>
  </cols>
  <sheetData>
    <row r="1" spans="1:18" ht="18" customHeight="1">
      <c r="A1" s="1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62</v>
      </c>
      <c r="R1" s="3" t="s">
        <v>63</v>
      </c>
    </row>
    <row r="2" spans="1:18">
      <c r="A2" s="103">
        <v>999999</v>
      </c>
      <c r="B2" s="69"/>
      <c r="C2" s="68" t="s">
        <v>129</v>
      </c>
      <c r="D2" s="68" t="s">
        <v>147</v>
      </c>
      <c r="E2" s="68" t="s">
        <v>130</v>
      </c>
      <c r="F2" s="70">
        <v>1</v>
      </c>
      <c r="G2" s="71">
        <v>62000</v>
      </c>
      <c r="H2" s="71">
        <f>F2*G2</f>
        <v>62000</v>
      </c>
      <c r="I2" s="71"/>
    </row>
    <row r="3" spans="1:18">
      <c r="A3" s="103">
        <v>999999</v>
      </c>
      <c r="B3" s="69"/>
      <c r="C3" s="68" t="s">
        <v>129</v>
      </c>
      <c r="D3" s="68" t="s">
        <v>147</v>
      </c>
      <c r="E3" s="68" t="s">
        <v>130</v>
      </c>
      <c r="F3" s="70">
        <v>3</v>
      </c>
      <c r="G3" s="71">
        <v>92000</v>
      </c>
      <c r="H3" s="71">
        <f>F3*G3</f>
        <v>276000</v>
      </c>
      <c r="I3" s="71"/>
    </row>
    <row r="4" spans="1:18">
      <c r="A4" s="103">
        <v>999999</v>
      </c>
      <c r="B4" s="69"/>
      <c r="C4" s="68" t="s">
        <v>137</v>
      </c>
      <c r="D4" s="68" t="s">
        <v>138</v>
      </c>
      <c r="E4" s="68" t="s">
        <v>139</v>
      </c>
      <c r="F4" s="70">
        <v>8</v>
      </c>
      <c r="G4" s="71">
        <v>470</v>
      </c>
      <c r="H4" s="71">
        <f>F4*G4</f>
        <v>3760</v>
      </c>
      <c r="I4" s="71"/>
    </row>
    <row r="5" spans="1:18">
      <c r="A5" s="103">
        <v>999999</v>
      </c>
      <c r="B5" s="69"/>
      <c r="C5" s="68"/>
      <c r="D5" s="68"/>
      <c r="E5" s="68"/>
      <c r="F5" s="70"/>
      <c r="G5" s="71"/>
      <c r="H5" s="71"/>
      <c r="I5" s="71"/>
    </row>
    <row r="6" spans="1:18">
      <c r="A6" s="103">
        <v>999999</v>
      </c>
      <c r="B6" s="69"/>
      <c r="C6" s="68"/>
      <c r="D6" s="68"/>
      <c r="E6" s="68"/>
      <c r="F6" s="70"/>
      <c r="G6" s="71"/>
      <c r="H6" s="71"/>
      <c r="I6" s="71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F16"/>
  <sheetViews>
    <sheetView showGridLines="0" zoomScaleNormal="100" workbookViewId="0">
      <selection activeCell="A2" sqref="A2:XFD2"/>
    </sheetView>
  </sheetViews>
  <sheetFormatPr defaultColWidth="9" defaultRowHeight="16.5"/>
  <cols>
    <col min="1" max="1" width="25.125" style="74" customWidth="1"/>
    <col min="2" max="2" width="16.25" style="74" customWidth="1"/>
    <col min="3" max="3" width="22.375" style="74" customWidth="1"/>
    <col min="4" max="4" width="24.125" style="74" customWidth="1"/>
    <col min="5" max="5" width="13" style="74" customWidth="1"/>
    <col min="6" max="6" width="7.5" style="74" customWidth="1"/>
    <col min="7" max="16384" width="9" style="67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72" t="str">
        <f>'내역서(표준단가)'!A5</f>
        <v/>
      </c>
      <c r="B2" s="73">
        <f>'내역서(표준단가)'!F5</f>
        <v>0</v>
      </c>
      <c r="C2" s="73">
        <f>'내역서(표준단가)'!G5</f>
        <v>0</v>
      </c>
      <c r="D2" s="73">
        <f>'내역서(표준단가)'!H5</f>
        <v>0</v>
      </c>
      <c r="E2" s="73">
        <f>'내역서(표준단가)'!I5</f>
        <v>0</v>
      </c>
      <c r="F2" s="73">
        <f>'내역서(표준단가)'!M5</f>
        <v>0</v>
      </c>
    </row>
    <row r="3" spans="1:6">
      <c r="A3" s="72" t="str">
        <f>'내역서(표준단가)'!A6</f>
        <v>E999999</v>
      </c>
      <c r="B3" s="73">
        <f>'내역서(표준단가)'!F6</f>
        <v>0</v>
      </c>
      <c r="C3" s="73">
        <f>'내역서(표준단가)'!G6</f>
        <v>0</v>
      </c>
      <c r="D3" s="73" t="str">
        <f>'내역서(표준단가)'!H6</f>
        <v>E999999</v>
      </c>
      <c r="E3" s="73" t="str">
        <f>'내역서(표준단가)'!I6</f>
        <v/>
      </c>
      <c r="F3" s="73">
        <f>'내역서(표준단가)'!M6</f>
        <v>1</v>
      </c>
    </row>
    <row r="4" spans="1:6">
      <c r="A4" s="72" t="str">
        <f>'내역서(표준단가)'!A7</f>
        <v>E999999</v>
      </c>
      <c r="B4" s="73">
        <f>'내역서(표준단가)'!F7</f>
        <v>0</v>
      </c>
      <c r="C4" s="73">
        <f>'내역서(표준단가)'!G7</f>
        <v>0</v>
      </c>
      <c r="D4" s="73" t="str">
        <f>'내역서(표준단가)'!H7</f>
        <v>E999999</v>
      </c>
      <c r="E4" s="73" t="str">
        <f>'내역서(표준단가)'!I7</f>
        <v/>
      </c>
      <c r="F4" s="73">
        <f>'내역서(표준단가)'!M7</f>
        <v>3</v>
      </c>
    </row>
    <row r="5" spans="1:6">
      <c r="A5" s="72" t="str">
        <f>'내역서(표준단가)'!A8</f>
        <v>E999999</v>
      </c>
      <c r="B5" s="73">
        <f>'내역서(표준단가)'!F8</f>
        <v>0</v>
      </c>
      <c r="C5" s="73">
        <f>'내역서(표준단가)'!G8</f>
        <v>0</v>
      </c>
      <c r="D5" s="73" t="str">
        <f>'내역서(표준단가)'!H8</f>
        <v>E999999</v>
      </c>
      <c r="E5" s="73" t="str">
        <f>'내역서(표준단가)'!I8</f>
        <v/>
      </c>
      <c r="F5" s="73">
        <f>'내역서(표준단가)'!M8</f>
        <v>8</v>
      </c>
    </row>
    <row r="6" spans="1:6">
      <c r="A6" s="72" t="str">
        <f>'내역서(표준단가)'!A9</f>
        <v>M02502Q710020103</v>
      </c>
      <c r="B6" s="73">
        <f>'내역서(표준단가)'!F9</f>
        <v>0</v>
      </c>
      <c r="C6" s="73">
        <f>'내역서(표준단가)'!G9</f>
        <v>0</v>
      </c>
      <c r="D6" s="73" t="str">
        <f>'내역서(표준단가)'!H9</f>
        <v>M02502Q710020103</v>
      </c>
      <c r="E6" s="73" t="str">
        <f>'내역서(표준단가)'!I9</f>
        <v/>
      </c>
      <c r="F6" s="73">
        <f>'내역서(표준단가)'!M9</f>
        <v>38</v>
      </c>
    </row>
    <row r="7" spans="1:6">
      <c r="A7" s="72" t="str">
        <f>'내역서(표준단가)'!A10</f>
        <v>M025805910020112</v>
      </c>
      <c r="B7" s="73">
        <f>'내역서(표준단가)'!F10</f>
        <v>0</v>
      </c>
      <c r="C7" s="73">
        <f>'내역서(표준단가)'!G10</f>
        <v>0</v>
      </c>
      <c r="D7" s="73" t="str">
        <f>'내역서(표준단가)'!H10</f>
        <v>M025805910020112</v>
      </c>
      <c r="E7" s="73" t="str">
        <f>'내역서(표준단가)'!I10</f>
        <v/>
      </c>
      <c r="F7" s="73">
        <f>'내역서(표준단가)'!M10</f>
        <v>4</v>
      </c>
    </row>
    <row r="8" spans="1:6">
      <c r="A8" s="72" t="str">
        <f>'내역서(표준단가)'!A11</f>
        <v>M030752111710101</v>
      </c>
      <c r="B8" s="73">
        <f>'내역서(표준단가)'!F11</f>
        <v>0</v>
      </c>
      <c r="C8" s="73">
        <f>'내역서(표준단가)'!G11</f>
        <v>0</v>
      </c>
      <c r="D8" s="73" t="str">
        <f>'내역서(표준단가)'!H11</f>
        <v>M030752111710101</v>
      </c>
      <c r="E8" s="73" t="str">
        <f>'내역서(표준단가)'!I11</f>
        <v/>
      </c>
      <c r="F8" s="73">
        <f>'내역서(표준단가)'!M11</f>
        <v>0.4</v>
      </c>
    </row>
    <row r="9" spans="1:6">
      <c r="A9" s="72" t="str">
        <f>'내역서(표준단가)'!A12</f>
        <v>L039</v>
      </c>
      <c r="B9" s="73">
        <f>'내역서(표준단가)'!F12</f>
        <v>0</v>
      </c>
      <c r="C9" s="73">
        <f>'내역서(표준단가)'!G12</f>
        <v>0</v>
      </c>
      <c r="D9" s="73">
        <f>'내역서(표준단가)'!H12</f>
        <v>0</v>
      </c>
      <c r="E9" s="73" t="str">
        <f>'내역서(표준단가)'!I12</f>
        <v>L039</v>
      </c>
      <c r="F9" s="73">
        <f>'내역서(표준단가)'!M12</f>
        <v>2</v>
      </c>
    </row>
    <row r="10" spans="1:6">
      <c r="A10" s="72" t="str">
        <f>'내역서(표준단가)'!A13</f>
        <v>L002</v>
      </c>
      <c r="B10" s="73">
        <f>'내역서(표준단가)'!F13</f>
        <v>0</v>
      </c>
      <c r="C10" s="73">
        <f>'내역서(표준단가)'!G13</f>
        <v>0</v>
      </c>
      <c r="D10" s="73">
        <f>'내역서(표준단가)'!H13</f>
        <v>0</v>
      </c>
      <c r="E10" s="73" t="str">
        <f>'내역서(표준단가)'!I13</f>
        <v>L002</v>
      </c>
      <c r="F10" s="73">
        <f>'내역서(표준단가)'!M13</f>
        <v>2</v>
      </c>
    </row>
    <row r="11" spans="1:6">
      <c r="A11" s="72" t="str">
        <f>'내역서(표준단가)'!A14</f>
        <v/>
      </c>
      <c r="B11" s="73">
        <f>'내역서(표준단가)'!F14</f>
        <v>0</v>
      </c>
      <c r="C11" s="73">
        <f>'내역서(표준단가)'!G14</f>
        <v>0</v>
      </c>
      <c r="D11" s="73">
        <f>'내역서(표준단가)'!H14</f>
        <v>0</v>
      </c>
      <c r="E11" s="73">
        <f>'내역서(표준단가)'!I14</f>
        <v>0</v>
      </c>
      <c r="F11" s="73">
        <f>'내역서(표준단가)'!M14</f>
        <v>0</v>
      </c>
    </row>
    <row r="12" spans="1:6">
      <c r="A12" s="72">
        <f>'내역서(표준단가)'!A15</f>
        <v>0</v>
      </c>
      <c r="B12" s="73">
        <f>'내역서(표준단가)'!F15</f>
        <v>0</v>
      </c>
      <c r="C12" s="73">
        <f>'내역서(표준단가)'!G15</f>
        <v>0</v>
      </c>
      <c r="D12" s="73">
        <f>'내역서(표준단가)'!H15</f>
        <v>0</v>
      </c>
      <c r="E12" s="73">
        <f>'내역서(표준단가)'!I15</f>
        <v>0</v>
      </c>
      <c r="F12" s="73">
        <f>'내역서(표준단가)'!M15</f>
        <v>0</v>
      </c>
    </row>
    <row r="13" spans="1:6">
      <c r="A13" s="72">
        <f>'내역서(표준단가)'!A16</f>
        <v>0</v>
      </c>
      <c r="B13" s="73">
        <f>'내역서(표준단가)'!F16</f>
        <v>0</v>
      </c>
      <c r="C13" s="73">
        <f>'내역서(표준단가)'!G16</f>
        <v>0</v>
      </c>
      <c r="D13" s="73">
        <f>'내역서(표준단가)'!H16</f>
        <v>0</v>
      </c>
      <c r="E13" s="73">
        <f>'내역서(표준단가)'!I16</f>
        <v>0</v>
      </c>
      <c r="F13" s="73">
        <f>'내역서(표준단가)'!M16</f>
        <v>0</v>
      </c>
    </row>
    <row r="14" spans="1:6">
      <c r="A14" s="72">
        <f>'내역서(표준단가)'!A17</f>
        <v>0</v>
      </c>
      <c r="B14" s="73">
        <f>'내역서(표준단가)'!F17</f>
        <v>0</v>
      </c>
      <c r="C14" s="73">
        <f>'내역서(표준단가)'!G17</f>
        <v>0</v>
      </c>
      <c r="D14" s="73">
        <f>'내역서(표준단가)'!H17</f>
        <v>0</v>
      </c>
      <c r="E14" s="73">
        <f>'내역서(표준단가)'!I17</f>
        <v>0</v>
      </c>
      <c r="F14" s="73">
        <f>'내역서(표준단가)'!M17</f>
        <v>0</v>
      </c>
    </row>
    <row r="15" spans="1:6">
      <c r="A15" s="72">
        <f>'내역서(표준단가)'!A18</f>
        <v>0</v>
      </c>
      <c r="B15" s="73">
        <f>'내역서(표준단가)'!F18</f>
        <v>0</v>
      </c>
      <c r="C15" s="73">
        <f>'내역서(표준단가)'!G18</f>
        <v>0</v>
      </c>
      <c r="D15" s="73">
        <f>'내역서(표준단가)'!H18</f>
        <v>0</v>
      </c>
      <c r="E15" s="73">
        <f>'내역서(표준단가)'!I18</f>
        <v>0</v>
      </c>
      <c r="F15" s="73">
        <f>'내역서(표준단가)'!M18</f>
        <v>0</v>
      </c>
    </row>
    <row r="16" spans="1:6">
      <c r="A16" s="72">
        <f>'내역서(표준단가)'!A18</f>
        <v>0</v>
      </c>
      <c r="B16" s="73">
        <f>'내역서(표준단가)'!F18</f>
        <v>0</v>
      </c>
      <c r="C16" s="73">
        <f>'내역서(표준단가)'!G18</f>
        <v>0</v>
      </c>
      <c r="D16" s="73">
        <f>'내역서(표준단가)'!H18</f>
        <v>0</v>
      </c>
      <c r="E16" s="73">
        <f>'내역서(표준단가)'!I18</f>
        <v>0</v>
      </c>
      <c r="F16" s="73">
        <f>'내역서(표준단가)'!M18</f>
        <v>0</v>
      </c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view="pageBreakPreview" zoomScale="85" zoomScaleNormal="70" zoomScaleSheetLayoutView="85" workbookViewId="0">
      <selection activeCell="C4" sqref="C4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11" customWidth="1"/>
    <col min="6" max="6" width="16.25" customWidth="1"/>
    <col min="7" max="7" width="2.25" customWidth="1"/>
  </cols>
  <sheetData>
    <row r="1" spans="1:7" ht="21" customHeight="1">
      <c r="B1" s="193" t="s">
        <v>95</v>
      </c>
      <c r="C1" s="194"/>
      <c r="D1" s="194"/>
      <c r="E1" s="194"/>
      <c r="F1" s="194"/>
      <c r="G1" s="91"/>
    </row>
    <row r="2" spans="1:7" ht="21" customHeight="1">
      <c r="B2" s="194"/>
      <c r="C2" s="194"/>
      <c r="D2" s="194"/>
      <c r="E2" s="194"/>
      <c r="F2" s="194"/>
      <c r="G2" s="91"/>
    </row>
    <row r="3" spans="1:7" ht="9.6" customHeight="1" thickBot="1">
      <c r="A3" s="195"/>
      <c r="B3" s="195"/>
      <c r="C3" s="195"/>
      <c r="D3" s="195"/>
      <c r="E3" s="195"/>
      <c r="F3" s="195"/>
      <c r="G3" s="91"/>
    </row>
    <row r="4" spans="1:7" ht="34.9" customHeight="1">
      <c r="A4" s="92"/>
      <c r="B4" s="93" t="s">
        <v>96</v>
      </c>
      <c r="C4" s="94" t="s">
        <v>97</v>
      </c>
      <c r="D4" s="95" t="s">
        <v>98</v>
      </c>
      <c r="E4" s="196" t="str">
        <f>갑지!B9</f>
        <v>2025 년  01 월  07 일</v>
      </c>
      <c r="F4" s="197"/>
    </row>
    <row r="5" spans="1:7" ht="34.9" customHeight="1">
      <c r="A5" s="96"/>
      <c r="B5" s="97" t="s">
        <v>99</v>
      </c>
      <c r="C5" s="198" t="str">
        <f>갑지!B7</f>
        <v>사택 9동303호 난방분배기교체 작업 외 3개소</v>
      </c>
      <c r="D5" s="199"/>
      <c r="E5" s="199"/>
      <c r="F5" s="200"/>
      <c r="G5" s="98"/>
    </row>
    <row r="6" spans="1:7" ht="23.65" customHeight="1">
      <c r="A6" s="96"/>
      <c r="B6" s="201" t="s">
        <v>100</v>
      </c>
      <c r="C6" s="204" t="s">
        <v>101</v>
      </c>
      <c r="D6" s="205"/>
      <c r="E6" s="205"/>
      <c r="F6" s="206"/>
      <c r="G6" s="91"/>
    </row>
    <row r="7" spans="1:7" ht="23.65" customHeight="1">
      <c r="A7" s="96"/>
      <c r="B7" s="202"/>
      <c r="C7" s="207" t="s">
        <v>102</v>
      </c>
      <c r="D7" s="208"/>
      <c r="E7" s="208"/>
      <c r="F7" s="209"/>
      <c r="G7" s="91"/>
    </row>
    <row r="8" spans="1:7" ht="23.65" customHeight="1">
      <c r="A8" s="96"/>
      <c r="B8" s="202"/>
      <c r="C8" s="207" t="s">
        <v>103</v>
      </c>
      <c r="D8" s="208"/>
      <c r="E8" s="208"/>
      <c r="F8" s="209"/>
      <c r="G8" s="91"/>
    </row>
    <row r="9" spans="1:7" ht="23.65" customHeight="1">
      <c r="A9" s="96"/>
      <c r="B9" s="202"/>
      <c r="C9" s="182" t="s">
        <v>131</v>
      </c>
      <c r="D9" s="183"/>
      <c r="E9" s="183"/>
      <c r="F9" s="184"/>
      <c r="G9" s="91"/>
    </row>
    <row r="10" spans="1:7" ht="23.65" customHeight="1">
      <c r="A10" s="96"/>
      <c r="B10" s="202"/>
      <c r="C10" s="182" t="s">
        <v>132</v>
      </c>
      <c r="D10" s="183"/>
      <c r="E10" s="183"/>
      <c r="F10" s="184"/>
      <c r="G10" s="91"/>
    </row>
    <row r="11" spans="1:7" ht="23.65" customHeight="1">
      <c r="A11" s="96"/>
      <c r="B11" s="202"/>
      <c r="C11" s="182" t="s">
        <v>133</v>
      </c>
      <c r="D11" s="183"/>
      <c r="E11" s="183"/>
      <c r="F11" s="184"/>
      <c r="G11" s="91"/>
    </row>
    <row r="12" spans="1:7" ht="23.65" customHeight="1">
      <c r="A12" s="96"/>
      <c r="B12" s="202"/>
      <c r="C12" s="182" t="s">
        <v>134</v>
      </c>
      <c r="D12" s="183"/>
      <c r="E12" s="183"/>
      <c r="F12" s="184"/>
      <c r="G12" s="91"/>
    </row>
    <row r="13" spans="1:7" ht="23.65" customHeight="1">
      <c r="A13" s="96"/>
      <c r="B13" s="202"/>
      <c r="C13" s="182" t="s">
        <v>104</v>
      </c>
      <c r="D13" s="183"/>
      <c r="E13" s="183"/>
      <c r="F13" s="184"/>
      <c r="G13" s="91"/>
    </row>
    <row r="14" spans="1:7" ht="23.65" customHeight="1">
      <c r="A14" s="96"/>
      <c r="B14" s="202"/>
      <c r="C14" s="182"/>
      <c r="D14" s="183"/>
      <c r="E14" s="183"/>
      <c r="F14" s="184"/>
      <c r="G14" s="91"/>
    </row>
    <row r="15" spans="1:7" ht="23.65" customHeight="1">
      <c r="A15" s="96"/>
      <c r="B15" s="202"/>
      <c r="C15" s="182"/>
      <c r="D15" s="183"/>
      <c r="E15" s="183"/>
      <c r="F15" s="184"/>
    </row>
    <row r="16" spans="1:7" ht="23.65" customHeight="1">
      <c r="A16" s="96"/>
      <c r="B16" s="202"/>
      <c r="C16" s="182"/>
      <c r="D16" s="183"/>
      <c r="E16" s="183"/>
      <c r="F16" s="184"/>
    </row>
    <row r="17" spans="1:6" ht="23.65" customHeight="1">
      <c r="A17" s="96"/>
      <c r="B17" s="202"/>
      <c r="C17" s="182"/>
      <c r="D17" s="183"/>
      <c r="E17" s="183"/>
      <c r="F17" s="184"/>
    </row>
    <row r="18" spans="1:6" ht="23.65" customHeight="1">
      <c r="A18" s="96"/>
      <c r="B18" s="202"/>
      <c r="C18" s="185" t="s">
        <v>105</v>
      </c>
      <c r="D18" s="191"/>
      <c r="E18" s="191"/>
      <c r="F18" s="192"/>
    </row>
    <row r="19" spans="1:6" ht="23.65" customHeight="1">
      <c r="A19" s="96"/>
      <c r="B19" s="202"/>
      <c r="C19" s="185" t="s">
        <v>106</v>
      </c>
      <c r="D19" s="191"/>
      <c r="E19" s="191"/>
      <c r="F19" s="192"/>
    </row>
    <row r="20" spans="1:6" ht="23.65" customHeight="1">
      <c r="A20" s="96"/>
      <c r="B20" s="202"/>
      <c r="C20" s="182" t="s">
        <v>107</v>
      </c>
      <c r="D20" s="183"/>
      <c r="E20" s="183"/>
      <c r="F20" s="184"/>
    </row>
    <row r="21" spans="1:6" ht="23.65" customHeight="1">
      <c r="A21" s="96"/>
      <c r="B21" s="202"/>
      <c r="C21" s="182" t="s">
        <v>108</v>
      </c>
      <c r="D21" s="183"/>
      <c r="E21" s="183"/>
      <c r="F21" s="184"/>
    </row>
    <row r="22" spans="1:6" ht="23.65" customHeight="1">
      <c r="A22" s="96"/>
      <c r="B22" s="202"/>
      <c r="C22" s="182" t="s">
        <v>109</v>
      </c>
      <c r="D22" s="183"/>
      <c r="E22" s="183"/>
      <c r="F22" s="184"/>
    </row>
    <row r="23" spans="1:6" ht="23.65" customHeight="1">
      <c r="A23" s="96"/>
      <c r="B23" s="202"/>
      <c r="C23" s="182" t="s">
        <v>110</v>
      </c>
      <c r="D23" s="183"/>
      <c r="E23" s="183"/>
      <c r="F23" s="184"/>
    </row>
    <row r="24" spans="1:6" ht="23.65" customHeight="1">
      <c r="A24" s="96"/>
      <c r="B24" s="202"/>
      <c r="C24" s="182" t="s">
        <v>111</v>
      </c>
      <c r="D24" s="183"/>
      <c r="E24" s="183"/>
      <c r="F24" s="184"/>
    </row>
    <row r="25" spans="1:6" ht="23.65" customHeight="1">
      <c r="A25" s="96"/>
      <c r="B25" s="202"/>
      <c r="C25" s="182"/>
      <c r="D25" s="183"/>
      <c r="E25" s="183"/>
      <c r="F25" s="184"/>
    </row>
    <row r="26" spans="1:6" ht="23.65" customHeight="1">
      <c r="A26" s="96"/>
      <c r="B26" s="202"/>
      <c r="C26" s="182"/>
      <c r="D26" s="183"/>
      <c r="E26" s="183"/>
      <c r="F26" s="184"/>
    </row>
    <row r="27" spans="1:6" ht="23.65" customHeight="1">
      <c r="A27" s="96"/>
      <c r="B27" s="202"/>
      <c r="C27" s="182"/>
      <c r="D27" s="183"/>
      <c r="E27" s="183"/>
      <c r="F27" s="184"/>
    </row>
    <row r="28" spans="1:6" ht="23.65" customHeight="1">
      <c r="A28" s="96"/>
      <c r="B28" s="202"/>
      <c r="C28" s="182"/>
      <c r="D28" s="183"/>
      <c r="E28" s="183"/>
      <c r="F28" s="184"/>
    </row>
    <row r="29" spans="1:6" ht="23.65" customHeight="1">
      <c r="A29" s="96"/>
      <c r="B29" s="202"/>
      <c r="C29" s="182"/>
      <c r="D29" s="183"/>
      <c r="E29" s="183"/>
      <c r="F29" s="184"/>
    </row>
    <row r="30" spans="1:6" ht="23.65" customHeight="1">
      <c r="A30" s="96"/>
      <c r="B30" s="202"/>
      <c r="C30" s="185" t="s">
        <v>112</v>
      </c>
      <c r="D30" s="186"/>
      <c r="E30" s="186"/>
      <c r="F30" s="187"/>
    </row>
    <row r="31" spans="1:6" ht="23.65" customHeight="1">
      <c r="A31" s="96"/>
      <c r="B31" s="202"/>
      <c r="C31" s="182" t="s">
        <v>113</v>
      </c>
      <c r="D31" s="183"/>
      <c r="E31" s="183"/>
      <c r="F31" s="184"/>
    </row>
    <row r="32" spans="1:6" ht="23.65" customHeight="1">
      <c r="A32" s="96"/>
      <c r="B32" s="202"/>
      <c r="C32" s="185"/>
      <c r="D32" s="186"/>
      <c r="E32" s="186"/>
      <c r="F32" s="187"/>
    </row>
    <row r="33" spans="1:6" ht="23.65" customHeight="1">
      <c r="A33" s="96"/>
      <c r="B33" s="203"/>
      <c r="C33" s="188"/>
      <c r="D33" s="189"/>
      <c r="E33" s="189"/>
      <c r="F33" s="190"/>
    </row>
    <row r="34" spans="1:6" ht="50.65" customHeight="1">
      <c r="A34" s="96"/>
      <c r="B34" s="97" t="s">
        <v>97</v>
      </c>
      <c r="C34" s="99" t="s">
        <v>114</v>
      </c>
      <c r="D34" s="180" t="s">
        <v>115</v>
      </c>
      <c r="E34" s="180"/>
      <c r="F34" s="181"/>
    </row>
    <row r="35" spans="1:6" ht="50.65" customHeight="1">
      <c r="A35" s="96"/>
      <c r="B35" s="97" t="s">
        <v>116</v>
      </c>
      <c r="C35" s="99" t="s">
        <v>122</v>
      </c>
      <c r="D35" s="180" t="s">
        <v>117</v>
      </c>
      <c r="E35" s="180"/>
      <c r="F35" s="181"/>
    </row>
    <row r="36" spans="1:6" ht="25.15" customHeight="1">
      <c r="B36" s="100"/>
      <c r="C36" s="100"/>
      <c r="D36" s="101"/>
      <c r="E36" s="100"/>
      <c r="F36" s="91"/>
    </row>
    <row r="37" spans="1:6" ht="25.15" customHeight="1">
      <c r="B37" s="100"/>
      <c r="C37" s="100"/>
      <c r="D37" s="101"/>
      <c r="E37" s="100"/>
      <c r="F37" s="91"/>
    </row>
    <row r="38" spans="1:6" ht="25.15" customHeight="1">
      <c r="B38" s="100"/>
      <c r="C38" s="100"/>
      <c r="D38" s="101"/>
      <c r="E38" s="100"/>
      <c r="F38" s="91"/>
    </row>
    <row r="39" spans="1:6" ht="25.15" customHeight="1">
      <c r="B39" s="100"/>
      <c r="C39" s="100"/>
      <c r="D39" s="101"/>
      <c r="E39" s="100"/>
      <c r="F39" s="91"/>
    </row>
    <row r="40" spans="1:6" ht="25.15" customHeight="1">
      <c r="B40" s="100"/>
      <c r="C40" s="100"/>
      <c r="D40" s="101"/>
      <c r="E40" s="100"/>
      <c r="F40" s="91"/>
    </row>
    <row r="41" spans="1:6" ht="25.15" customHeight="1">
      <c r="B41" s="100"/>
      <c r="C41" s="100"/>
      <c r="D41" s="101"/>
      <c r="E41" s="100"/>
      <c r="F41" s="91"/>
    </row>
    <row r="42" spans="1:6" ht="25.15" customHeight="1">
      <c r="B42" s="100"/>
      <c r="C42" s="100"/>
      <c r="D42" s="101"/>
      <c r="E42" s="100"/>
      <c r="F42" s="91"/>
    </row>
    <row r="43" spans="1:6" ht="25.15" customHeight="1">
      <c r="B43" s="100"/>
      <c r="C43" s="100"/>
      <c r="D43" s="101"/>
      <c r="E43" s="100"/>
      <c r="F43" s="91"/>
    </row>
    <row r="44" spans="1:6" ht="25.15" customHeight="1">
      <c r="B44" s="100"/>
      <c r="C44" s="100"/>
      <c r="D44" s="101"/>
      <c r="E44" s="100"/>
      <c r="F44" s="91"/>
    </row>
    <row r="45" spans="1:6" ht="25.15" customHeight="1">
      <c r="B45" s="100"/>
      <c r="C45" s="100"/>
      <c r="D45" s="101"/>
      <c r="E45" s="100"/>
      <c r="F45" s="91"/>
    </row>
    <row r="46" spans="1:6" ht="25.15" customHeight="1">
      <c r="B46" s="100"/>
      <c r="C46" s="100"/>
      <c r="D46" s="101"/>
      <c r="E46" s="100"/>
      <c r="F46" s="91"/>
    </row>
    <row r="47" spans="1:6" ht="25.15" customHeight="1">
      <c r="B47" s="100"/>
      <c r="C47" s="100"/>
      <c r="D47" s="101"/>
      <c r="E47" s="100"/>
      <c r="F47" s="91"/>
    </row>
    <row r="48" spans="1:6" ht="25.15" customHeight="1">
      <c r="B48" s="100"/>
      <c r="C48" s="100"/>
      <c r="D48" s="101"/>
      <c r="E48" s="100"/>
      <c r="F48" s="91"/>
    </row>
    <row r="49" spans="2:6" ht="25.15" customHeight="1">
      <c r="B49" s="100"/>
      <c r="C49" s="100"/>
      <c r="D49" s="101"/>
      <c r="E49" s="100"/>
      <c r="F49" s="91"/>
    </row>
    <row r="50" spans="2:6" ht="25.15" customHeight="1">
      <c r="B50" s="100"/>
      <c r="C50" s="100"/>
      <c r="D50" s="101"/>
      <c r="E50" s="100"/>
      <c r="F50" s="91"/>
    </row>
    <row r="51" spans="2:6" ht="25.15" customHeight="1">
      <c r="B51" s="100"/>
      <c r="C51" s="100"/>
      <c r="D51" s="101"/>
      <c r="E51" s="100"/>
      <c r="F51" s="91"/>
    </row>
    <row r="52" spans="2:6" ht="25.15" customHeight="1">
      <c r="B52" s="100"/>
      <c r="C52" s="100"/>
      <c r="D52" s="101"/>
      <c r="E52" s="100"/>
      <c r="F52" s="91"/>
    </row>
  </sheetData>
  <mergeCells count="35">
    <mergeCell ref="C16:F16"/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28:F28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D35:F35"/>
    <mergeCell ref="C29:F29"/>
    <mergeCell ref="C30:F30"/>
    <mergeCell ref="C31:F31"/>
    <mergeCell ref="C32:F32"/>
    <mergeCell ref="C33:F33"/>
    <mergeCell ref="D34:F34"/>
  </mergeCells>
  <phoneticPr fontId="7" type="noConversion"/>
  <pageMargins left="0.7" right="0.7" top="0.75" bottom="0.75" header="0.3" footer="0.3"/>
  <pageSetup paperSize="9" scale="66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시중가 근거서류</vt:lpstr>
      <vt:lpstr>Upload</vt:lpstr>
      <vt:lpstr>Upload-rs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2024-01-25T02:33:24Z</cp:lastPrinted>
  <dcterms:created xsi:type="dcterms:W3CDTF">2020-09-15T23:52:51Z</dcterms:created>
  <dcterms:modified xsi:type="dcterms:W3CDTF">2025-01-16T07:15:32Z</dcterms:modified>
</cp:coreProperties>
</file>
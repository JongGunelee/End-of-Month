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53FF42CC-DA40-426C-A9EB-5C88E0751FBA}" xr6:coauthVersionLast="36" xr6:coauthVersionMax="47" xr10:uidLastSave="{00000000-0000-0000-0000-000000000000}"/>
  <bookViews>
    <workbookView xWindow="-60" yWindow="-60" windowWidth="28920" windowHeight="15600" activeTab="2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F17" i="5" l="1"/>
  <c r="F10" i="10"/>
  <c r="E10" i="10"/>
  <c r="D10" i="10"/>
  <c r="C10" i="10"/>
  <c r="B10" i="10"/>
  <c r="F9" i="10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U5" i="4" l="1"/>
  <c r="S5" i="4"/>
  <c r="Q5" i="4"/>
  <c r="O5" i="4"/>
  <c r="A5" i="4"/>
  <c r="A2" i="10" s="1"/>
  <c r="V5" i="4" l="1"/>
  <c r="H26" i="9" l="1"/>
  <c r="N26" i="9" s="1"/>
  <c r="U13" i="4"/>
  <c r="S13" i="4"/>
  <c r="Q13" i="4"/>
  <c r="O13" i="4"/>
  <c r="A13" i="4"/>
  <c r="A10" i="10" s="1"/>
  <c r="U8" i="4"/>
  <c r="S8" i="4"/>
  <c r="Q8" i="4"/>
  <c r="O8" i="4"/>
  <c r="A8" i="4"/>
  <c r="A5" i="10" s="1"/>
  <c r="U6" i="4"/>
  <c r="S6" i="4"/>
  <c r="Q6" i="4"/>
  <c r="O6" i="4"/>
  <c r="A6" i="4"/>
  <c r="A3" i="10" s="1"/>
  <c r="V6" i="4" l="1"/>
  <c r="V13" i="4"/>
  <c r="V8" i="4"/>
  <c r="F20" i="9" l="1"/>
  <c r="N20" i="9" s="1"/>
  <c r="O10" i="4"/>
  <c r="V10" i="4" s="1"/>
  <c r="A10" i="4"/>
  <c r="A7" i="10" s="1"/>
  <c r="L27" i="9" l="1"/>
  <c r="J27" i="9"/>
  <c r="H27" i="9"/>
  <c r="L25" i="9"/>
  <c r="J25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J28" i="9" l="1"/>
  <c r="L28" i="9"/>
  <c r="N22" i="9"/>
  <c r="N15" i="9"/>
  <c r="N17" i="9"/>
  <c r="N14" i="9"/>
  <c r="N9" i="9"/>
  <c r="N6" i="9"/>
  <c r="N10" i="9"/>
  <c r="F25" i="9"/>
  <c r="H18" i="9"/>
  <c r="N23" i="9"/>
  <c r="N11" i="9"/>
  <c r="F13" i="9"/>
  <c r="N16" i="9"/>
  <c r="H25" i="9"/>
  <c r="H13" i="9"/>
  <c r="N8" i="9"/>
  <c r="N7" i="9"/>
  <c r="N12" i="9"/>
  <c r="N24" i="9"/>
  <c r="N21" i="9"/>
  <c r="N27" i="9"/>
  <c r="N5" i="9"/>
  <c r="F18" i="9"/>
  <c r="H28" i="9" l="1"/>
  <c r="F28" i="9"/>
  <c r="N18" i="9"/>
  <c r="N13" i="9"/>
  <c r="N25" i="9"/>
  <c r="N28" i="9" l="1"/>
  <c r="A7" i="4"/>
  <c r="A4" i="10" s="1"/>
  <c r="O7" i="4"/>
  <c r="Q7" i="4"/>
  <c r="S7" i="4"/>
  <c r="U7" i="4"/>
  <c r="V7" i="4" l="1"/>
  <c r="A12" i="4" l="1"/>
  <c r="A9" i="10" s="1"/>
  <c r="A11" i="4"/>
  <c r="A8" i="10" s="1"/>
  <c r="A9" i="4"/>
  <c r="A6" i="10" s="1"/>
  <c r="U12" i="4" l="1"/>
  <c r="S12" i="4"/>
  <c r="Q12" i="4"/>
  <c r="O12" i="4"/>
  <c r="U11" i="4"/>
  <c r="S11" i="4"/>
  <c r="Q11" i="4"/>
  <c r="O11" i="4"/>
  <c r="U9" i="4"/>
  <c r="S9" i="4"/>
  <c r="Q9" i="4"/>
  <c r="O9" i="4"/>
  <c r="Q14" i="4" l="1"/>
  <c r="V9" i="4"/>
  <c r="V12" i="4"/>
  <c r="V11" i="4"/>
  <c r="U14" i="4" l="1"/>
  <c r="O14" i="4"/>
  <c r="F16" i="5" s="1"/>
  <c r="F26" i="5" s="1"/>
  <c r="S14" i="4"/>
  <c r="F18" i="5" l="1"/>
  <c r="V14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<sst xmlns="http://schemas.openxmlformats.org/spreadsheetml/2006/main" count="207" uniqueCount="156">
  <si>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</si>
  <si>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</si>
  <si>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</si>
  <si>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</si>
  <si>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</si>
  <si>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</si>
  <si>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</si>
  <si>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</si>
  <si>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</si>
  <si>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</si>
  <si>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</si>
  <si>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</si>
  <si>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</si>
  <si>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</si>
  <si>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</si>
  <si>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</si>
  <si>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</si>
  <si>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</si>
  <si>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</si>
  <si>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</si>
  <si>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</si>
  <si>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</si>
  <si>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</si>
  <si>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</si>
  <si>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</si>
  <si>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</si>
  <si>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</si>
  <si>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</si>
  <si>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</si>
  <si>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</si>
  <si>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</si>
  <si>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</si>
  <si>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</si>
  <si>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</si>
  <si>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</si>
  <si>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</si>
  <si>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</si>
  <si>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</si>
  <si>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</si>
  <si>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</si>
  <si>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</si>
  <si>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</si>
  <si>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</si>
  <si>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</si>
  <si>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</si>
  <si>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</si>
  <si>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</si>
  <si>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</si>
  <si>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</si>
  <si>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</si>
  <si>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</si>
  <si>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</si>
  <si>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</si>
  <si>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</si>
  <si>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</si>
  <si>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</si>
  <si>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</si>
  <si>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</si>
  <si>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</si>
  <si>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</si>
  <si>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</si>
  <si>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</si>
  <si>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</si>
  <si>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</si>
  <si>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</si>
  <si>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</si>
  <si>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</si>
  <si>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</si>
  <si>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</si>
  <si>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</si>
  <si>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</si>
  <si>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</si>
  <si>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</si>
  <si>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</si>
  <si>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</si>
  <si>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</si>
  <si>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</si>
  <si>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</si>
  <si>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</si>
  <si>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</si>
  <si>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</si>
  <si>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</si>
  <si>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</si>
  <si>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</si>
  <si>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</si>
  <si>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</si>
  <si>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</si>
  <si>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</si>
  <si>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</si>
  <si>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</si>
  <si>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</si>
  <si>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</si>
  <si>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</si>
  <si>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</si>
  <si>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</si>
  <si>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</si>
  <si>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</si>
  <si>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</si>
  <si>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</si>
  <si>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</si>
  <si>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</si>
  <si>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</si>
  <si>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</si>
  <si>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</si>
  <si>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</si>
  <si>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</si>
  <si>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</si>
  <si>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</si>
  <si>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</si>
  <si>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</si>
  <si>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</si>
  <si>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</si>
  <si>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</si>
  <si>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</si>
  <si>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</si>
  <si>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</si>
  <si>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</si>
  <si>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</si>
  <si>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</si>
  <si>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</si>
  <si>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</si>
  <si>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</si>
  <si>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</si>
  <si>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</si>
  <si>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</si>
  <si>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</si>
  <si>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</si>
  <si>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</si>
  <si>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</si>
  <si>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</si>
  <si>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</si>
  <si>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</si>
  <si>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</si>
  <si>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</si>
  <si>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</si>
  <si>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</si>
  <si>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</si>
  <si>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</si>
  <si>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</si>
  <si>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5" type="noConversion"/>
  </si>
  <si>
    <t>(연면적 ㎡당)</t>
  </si>
  <si>
    <t xml:space="preserve">준공청소(특별인부), </t>
    <phoneticPr fontId="13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</si>
  <si>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</si>
  <si>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</si>
  <si>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</si>
  <si>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</si>
  <si>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</si>
  <si>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</si>
  <si>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</si>
  <si>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>합지벽지 1R/L=93㎝(고정)×17.75m=16.51㎡, 소요량252/16.51=15.263R/L</t>
    <phoneticPr fontId="5" type="noConversion"/>
  </si>
  <si>
    <t xml:space="preserve">일당 시공량-벽 46㎡, 적산정보 500p 참조,시공총량186/일당46=4.043, </t>
    <phoneticPr fontId="5" type="noConversion"/>
  </si>
  <si>
    <t xml:space="preserve">일당 시공량-천장 35㎡ 적산정보 500p 참조, 시공총량66/일당35=1.8857, </t>
    <phoneticPr fontId="5" type="noConversion"/>
  </si>
  <si>
    <t xml:space="preserve">일당 시공량-61㎡ 적산정보 500p 참조,시공총량61.8/일당61=0.0.8196, </t>
    <phoneticPr fontId="5" type="noConversion"/>
  </si>
  <si>
    <t xml:space="preserve"> 견적일 : 2026년  01월  13일</t>
    <phoneticPr fontId="11" type="noConversion"/>
  </si>
  <si>
    <t xml:space="preserve"> 공사명 : 사택 103-402 수장공사</t>
    <phoneticPr fontId="11" type="noConversion"/>
  </si>
  <si>
    <t>사택 103-402 수장공사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</si>
</sst>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#"/>
    <numFmt numFmtId="190" formatCode="0.000_ "/>
    <numFmt numFmtId="191" formatCode="#,##0;\-#,##0;"/>
    <numFmt numFmtId="192" formatCode="0.000"/>
  </numFmts>
  <fonts count="27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03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21" fillId="0" borderId="6" xfId="6" applyFont="1" applyBorder="1" applyAlignment="1">
      <alignment vertical="center"/>
    </xf>
    <xf numFmtId="179" fontId="20" fillId="0" borderId="6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22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22" fillId="0" borderId="11" xfId="6" applyFont="1" applyBorder="1" applyAlignment="1">
      <alignment vertical="center"/>
    </xf>
    <xf numFmtId="1" fontId="22" fillId="0" borderId="11" xfId="6" applyNumberFormat="1" applyFont="1" applyBorder="1" applyAlignment="1">
      <alignment horizontal="center" vertical="center"/>
    </xf>
    <xf numFmtId="180" fontId="22" fillId="0" borderId="11" xfId="7" applyFont="1" applyBorder="1" applyAlignment="1">
      <alignment horizontal="right" vertical="center"/>
    </xf>
    <xf numFmtId="0" fontId="22" fillId="0" borderId="12" xfId="6" applyFont="1" applyBorder="1" applyAlignment="1">
      <alignment vertical="center"/>
    </xf>
    <xf numFmtId="0" fontId="22" fillId="0" borderId="13" xfId="6" applyFont="1" applyBorder="1" applyAlignment="1">
      <alignment horizontal="center" vertical="center"/>
    </xf>
    <xf numFmtId="0" fontId="22" fillId="0" borderId="14" xfId="6" applyFont="1" applyBorder="1" applyAlignment="1">
      <alignment horizontal="center" vertical="center"/>
    </xf>
    <xf numFmtId="0" fontId="22" fillId="0" borderId="14" xfId="3" applyFont="1" applyBorder="1" applyAlignment="1">
      <alignment horizontal="center" vertical="center"/>
    </xf>
    <xf numFmtId="1" fontId="22" fillId="0" borderId="14" xfId="6" applyNumberFormat="1" applyFont="1" applyBorder="1" applyAlignment="1">
      <alignment horizontal="center" vertical="center"/>
    </xf>
    <xf numFmtId="180" fontId="22" fillId="0" borderId="14" xfId="7" applyFont="1" applyBorder="1" applyAlignment="1">
      <alignment horizontal="right" vertical="center"/>
    </xf>
    <xf numFmtId="0" fontId="22" fillId="0" borderId="15" xfId="6" quotePrefix="1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22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22" fillId="0" borderId="14" xfId="8" applyFont="1" applyBorder="1" applyAlignment="1">
      <alignment horizontal="center" vertical="center"/>
    </xf>
    <xf numFmtId="178" fontId="22" fillId="0" borderId="14" xfId="5" applyFont="1" applyFill="1" applyBorder="1" applyAlignment="1">
      <alignment horizontal="right" vertical="center"/>
    </xf>
    <xf numFmtId="0" fontId="22" fillId="4" borderId="14" xfId="8" applyFont="1" applyFill="1" applyBorder="1" applyAlignment="1">
      <alignment horizontal="center" vertical="center"/>
    </xf>
    <xf numFmtId="0" fontId="22" fillId="4" borderId="14" xfId="6" applyFont="1" applyFill="1" applyBorder="1" applyAlignment="1">
      <alignment vertical="center"/>
    </xf>
    <xf numFmtId="0" fontId="22" fillId="4" borderId="14" xfId="6" applyFont="1" applyFill="1" applyBorder="1" applyAlignment="1">
      <alignment horizontal="center" vertical="center"/>
    </xf>
    <xf numFmtId="178" fontId="22" fillId="4" borderId="14" xfId="5" applyFont="1" applyFill="1" applyBorder="1" applyAlignment="1">
      <alignment horizontal="right" vertical="center"/>
    </xf>
    <xf numFmtId="0" fontId="22" fillId="4" borderId="15" xfId="6" applyFont="1" applyFill="1" applyBorder="1" applyAlignment="1">
      <alignment vertical="center"/>
    </xf>
    <xf numFmtId="0" fontId="22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22" fillId="0" borderId="14" xfId="3" applyNumberFormat="1" applyFont="1" applyBorder="1" applyAlignment="1">
      <alignment horizontal="right" vertical="center"/>
    </xf>
    <xf numFmtId="1" fontId="22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22" fillId="0" borderId="14" xfId="3" applyFont="1" applyBorder="1" applyAlignment="1">
      <alignment vertical="center"/>
    </xf>
    <xf numFmtId="180" fontId="22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22" fillId="0" borderId="18" xfId="6" applyFont="1" applyBorder="1" applyAlignment="1">
      <alignment vertical="center"/>
    </xf>
    <xf numFmtId="0" fontId="22" fillId="0" borderId="18" xfId="6" applyFont="1" applyBorder="1" applyAlignment="1">
      <alignment horizontal="right" vertical="center"/>
    </xf>
    <xf numFmtId="0" fontId="22" fillId="0" borderId="19" xfId="6" applyFont="1" applyBorder="1" applyAlignment="1">
      <alignment vertical="center"/>
    </xf>
    <xf numFmtId="0" fontId="12" fillId="0" borderId="0" xfId="10" applyFont="1"/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1" fontId="23" fillId="2" borderId="0" xfId="2" applyNumberFormat="1" applyFont="1" applyFill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177" fontId="23" fillId="3" borderId="2" xfId="4" applyFont="1" applyFill="1" applyBorder="1" applyAlignment="1">
      <alignment horizontal="center" vertical="center"/>
    </xf>
    <xf numFmtId="178" fontId="23" fillId="3" borderId="2" xfId="5" applyFont="1" applyFill="1" applyBorder="1" applyAlignment="1">
      <alignment horizontal="center" vertical="center"/>
    </xf>
    <xf numFmtId="0" fontId="19" fillId="5" borderId="21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 wrapText="1"/>
    </xf>
    <xf numFmtId="177" fontId="19" fillId="5" borderId="2" xfId="1" applyFont="1" applyFill="1" applyBorder="1" applyAlignment="1">
      <alignment horizontal="center" vertical="center" wrapText="1"/>
    </xf>
    <xf numFmtId="177" fontId="19" fillId="0" borderId="2" xfId="1" applyFont="1" applyFill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/>
    </xf>
    <xf numFmtId="0" fontId="20" fillId="0" borderId="0" xfId="0" applyFont="1">
      <alignment vertical="center"/>
    </xf>
    <xf numFmtId="182" fontId="25" fillId="0" borderId="30" xfId="15" quotePrefix="1" applyNumberFormat="1" applyFont="1" applyBorder="1" applyAlignment="1">
      <alignment horizontal="center" vertical="center"/>
    </xf>
    <xf numFmtId="177" fontId="24" fillId="0" borderId="30" xfId="13" applyFont="1" applyBorder="1" applyAlignment="1">
      <alignment vertical="center"/>
    </xf>
    <xf numFmtId="184" fontId="24" fillId="0" borderId="30" xfId="13" applyNumberFormat="1" applyFont="1" applyBorder="1" applyAlignment="1">
      <alignment horizontal="center" vertical="center"/>
    </xf>
    <xf numFmtId="177" fontId="24" fillId="0" borderId="30" xfId="13" applyFont="1" applyBorder="1" applyAlignment="1">
      <alignment horizontal="center" vertical="center"/>
    </xf>
    <xf numFmtId="185" fontId="24" fillId="0" borderId="30" xfId="13" applyNumberFormat="1" applyFont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right" vertical="center" wrapText="1"/>
    </xf>
    <xf numFmtId="185" fontId="24" fillId="9" borderId="30" xfId="13" applyNumberFormat="1" applyFont="1" applyFill="1" applyBorder="1" applyAlignment="1">
      <alignment horizontal="center" vertical="center"/>
    </xf>
    <xf numFmtId="184" fontId="24" fillId="10" borderId="30" xfId="13" applyNumberFormat="1" applyFont="1" applyFill="1" applyBorder="1" applyAlignment="1">
      <alignment horizontal="center" vertical="center"/>
    </xf>
    <xf numFmtId="177" fontId="24" fillId="10" borderId="30" xfId="13" applyFont="1" applyFill="1" applyBorder="1" applyAlignment="1">
      <alignment horizontal="center" vertical="center"/>
    </xf>
    <xf numFmtId="185" fontId="25" fillId="10" borderId="30" xfId="13" applyNumberFormat="1" applyFont="1" applyFill="1" applyBorder="1" applyAlignment="1">
      <alignment horizontal="center" vertical="center"/>
    </xf>
    <xf numFmtId="182" fontId="25" fillId="10" borderId="30" xfId="13" applyNumberFormat="1" applyFont="1" applyFill="1" applyBorder="1" applyAlignment="1">
      <alignment horizontal="right" vertical="center" wrapText="1"/>
    </xf>
    <xf numFmtId="182" fontId="25" fillId="10" borderId="30" xfId="13" applyNumberFormat="1" applyFont="1" applyFill="1" applyBorder="1" applyAlignment="1">
      <alignment horizontal="center" vertical="center" wrapText="1"/>
    </xf>
    <xf numFmtId="184" fontId="24" fillId="4" borderId="30" xfId="13" applyNumberFormat="1" applyFont="1" applyFill="1" applyBorder="1" applyAlignment="1">
      <alignment horizontal="center" vertical="center"/>
    </xf>
    <xf numFmtId="177" fontId="24" fillId="4" borderId="30" xfId="13" applyFont="1" applyFill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center" vertical="center" wrapText="1"/>
    </xf>
    <xf numFmtId="184" fontId="25" fillId="10" borderId="30" xfId="13" applyNumberFormat="1" applyFont="1" applyFill="1" applyBorder="1" applyAlignment="1">
      <alignment horizontal="center" vertical="center"/>
    </xf>
    <xf numFmtId="177" fontId="25" fillId="10" borderId="30" xfId="13" applyFont="1" applyFill="1" applyBorder="1" applyAlignment="1">
      <alignment horizontal="center" vertical="center"/>
    </xf>
    <xf numFmtId="182" fontId="19" fillId="4" borderId="30" xfId="13" applyNumberFormat="1" applyFont="1" applyFill="1" applyBorder="1" applyAlignment="1">
      <alignment horizontal="center" vertical="center" wrapText="1"/>
    </xf>
    <xf numFmtId="185" fontId="24" fillId="10" borderId="30" xfId="13" applyNumberFormat="1" applyFont="1" applyFill="1" applyBorder="1" applyAlignment="1">
      <alignment horizontal="center" vertical="center"/>
    </xf>
    <xf numFmtId="182" fontId="24" fillId="10" borderId="30" xfId="13" applyNumberFormat="1" applyFont="1" applyFill="1" applyBorder="1" applyAlignment="1">
      <alignment horizontal="right" vertical="center" wrapText="1"/>
    </xf>
    <xf numFmtId="182" fontId="24" fillId="10" borderId="30" xfId="13" applyNumberFormat="1" applyFont="1" applyFill="1" applyBorder="1" applyAlignment="1">
      <alignment vertical="center" wrapText="1"/>
    </xf>
    <xf numFmtId="182" fontId="25" fillId="10" borderId="30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6" borderId="2" xfId="0" applyNumberFormat="1" applyFont="1" applyFill="1" applyBorder="1" applyAlignment="1">
      <alignment horizontal="center" vertical="center"/>
    </xf>
    <xf numFmtId="0" fontId="23" fillId="10" borderId="30" xfId="13" applyNumberFormat="1" applyFont="1" applyFill="1" applyBorder="1" applyAlignment="1">
      <alignment horizontal="center" vertical="center"/>
    </xf>
    <xf numFmtId="0" fontId="23" fillId="10" borderId="35" xfId="13" applyNumberFormat="1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23" fillId="0" borderId="31" xfId="13" applyNumberFormat="1" applyFont="1" applyBorder="1" applyAlignment="1">
      <alignment vertical="center"/>
    </xf>
    <xf numFmtId="0" fontId="23" fillId="0" borderId="34" xfId="13" applyNumberFormat="1" applyFont="1" applyBorder="1" applyAlignment="1">
      <alignment vertical="center"/>
    </xf>
    <xf numFmtId="0" fontId="22" fillId="4" borderId="0" xfId="0" applyFont="1" applyFill="1" applyAlignment="1">
      <alignment horizontal="center" vertical="center"/>
    </xf>
    <xf numFmtId="0" fontId="23" fillId="7" borderId="30" xfId="13" applyNumberFormat="1" applyFont="1" applyFill="1" applyBorder="1" applyAlignment="1">
      <alignment horizontal="center" vertical="center"/>
    </xf>
    <xf numFmtId="184" fontId="24" fillId="7" borderId="30" xfId="13" applyNumberFormat="1" applyFont="1" applyFill="1" applyBorder="1" applyAlignment="1">
      <alignment horizontal="center" vertical="center"/>
    </xf>
    <xf numFmtId="177" fontId="24" fillId="7" borderId="30" xfId="13" applyFont="1" applyFill="1" applyBorder="1" applyAlignment="1">
      <alignment horizontal="center" vertical="center"/>
    </xf>
    <xf numFmtId="185" fontId="25" fillId="7" borderId="30" xfId="13" applyNumberFormat="1" applyFont="1" applyFill="1" applyBorder="1" applyAlignment="1">
      <alignment horizontal="center" vertical="center"/>
    </xf>
    <xf numFmtId="182" fontId="25" fillId="7" borderId="30" xfId="13" applyNumberFormat="1" applyFont="1" applyFill="1" applyBorder="1" applyAlignment="1">
      <alignment horizontal="right" vertical="center" wrapText="1"/>
    </xf>
    <xf numFmtId="188" fontId="24" fillId="4" borderId="30" xfId="13" applyNumberFormat="1" applyFont="1" applyFill="1" applyBorder="1" applyAlignment="1">
      <alignment horizontal="center" vertical="center" wrapText="1"/>
    </xf>
    <xf numFmtId="49" fontId="19" fillId="11" borderId="37" xfId="0" applyNumberFormat="1" applyFont="1" applyFill="1" applyBorder="1" applyAlignment="1">
      <alignment horizontal="center" vertical="center" wrapText="1"/>
    </xf>
    <xf numFmtId="189" fontId="19" fillId="6" borderId="37" xfId="1" applyNumberFormat="1" applyFont="1" applyFill="1" applyBorder="1" applyAlignment="1">
      <alignment horizontal="center" vertical="center"/>
    </xf>
    <xf numFmtId="189" fontId="19" fillId="0" borderId="37" xfId="1" applyNumberFormat="1" applyFont="1" applyBorder="1" applyAlignment="1">
      <alignment horizontal="center" vertical="center"/>
    </xf>
    <xf numFmtId="190" fontId="19" fillId="0" borderId="37" xfId="1" applyNumberFormat="1" applyFont="1" applyBorder="1" applyAlignment="1">
      <alignment horizontal="center" vertical="center"/>
    </xf>
    <xf numFmtId="189" fontId="20" fillId="0" borderId="0" xfId="1" applyNumberFormat="1" applyFont="1" applyAlignment="1">
      <alignment horizontal="center" vertical="center"/>
    </xf>
    <xf numFmtId="187" fontId="19" fillId="0" borderId="2" xfId="1" applyNumberFormat="1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/>
    </xf>
    <xf numFmtId="186" fontId="19" fillId="4" borderId="2" xfId="0" applyNumberFormat="1" applyFont="1" applyFill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center" vertical="center" wrapText="1"/>
    </xf>
    <xf numFmtId="188" fontId="25" fillId="10" borderId="30" xfId="13" applyNumberFormat="1" applyFont="1" applyFill="1" applyBorder="1" applyAlignment="1">
      <alignment horizontal="center" vertical="center" wrapText="1"/>
    </xf>
    <xf numFmtId="0" fontId="19" fillId="4" borderId="30" xfId="13" applyNumberFormat="1" applyFont="1" applyFill="1" applyBorder="1" applyAlignment="1">
      <alignment vertical="center"/>
    </xf>
    <xf numFmtId="182" fontId="24" fillId="0" borderId="30" xfId="13" applyNumberFormat="1" applyFont="1" applyFill="1" applyBorder="1" applyAlignment="1">
      <alignment horizontal="right" vertical="center" wrapText="1"/>
    </xf>
    <xf numFmtId="185" fontId="24" fillId="4" borderId="30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25" fillId="0" borderId="30" xfId="15" quotePrefix="1" applyFont="1" applyBorder="1" applyAlignment="1">
      <alignment horizontal="center" vertical="center"/>
    </xf>
    <xf numFmtId="182" fontId="19" fillId="4" borderId="2" xfId="0" applyNumberFormat="1" applyFont="1" applyFill="1" applyBorder="1" applyAlignment="1">
      <alignment vertical="center" wrapText="1"/>
    </xf>
    <xf numFmtId="49" fontId="24" fillId="4" borderId="2" xfId="0" applyNumberFormat="1" applyFont="1" applyFill="1" applyBorder="1" applyAlignment="1">
      <alignment horizontal="center" vertical="center"/>
    </xf>
    <xf numFmtId="49" fontId="24" fillId="4" borderId="30" xfId="0" applyNumberFormat="1" applyFont="1" applyFill="1" applyBorder="1" applyAlignment="1">
      <alignment horizontal="center" vertical="center"/>
    </xf>
    <xf numFmtId="191" fontId="19" fillId="4" borderId="2" xfId="0" applyNumberFormat="1" applyFont="1" applyFill="1" applyBorder="1" applyAlignment="1">
      <alignment horizontal="right" vertical="center" wrapText="1"/>
    </xf>
    <xf numFmtId="191" fontId="19" fillId="5" borderId="2" xfId="1" applyNumberFormat="1" applyFont="1" applyFill="1" applyBorder="1" applyAlignment="1">
      <alignment horizontal="right" vertical="center" wrapText="1"/>
    </xf>
    <xf numFmtId="191" fontId="19" fillId="0" borderId="2" xfId="1" applyNumberFormat="1" applyFont="1" applyFill="1" applyBorder="1" applyAlignment="1">
      <alignment horizontal="right" vertical="center" wrapText="1"/>
    </xf>
    <xf numFmtId="191" fontId="19" fillId="4" borderId="2" xfId="0" applyNumberFormat="1" applyFont="1" applyFill="1" applyBorder="1" applyAlignment="1">
      <alignment horizontal="right" vertical="center"/>
    </xf>
    <xf numFmtId="191" fontId="19" fillId="4" borderId="2" xfId="1" applyNumberFormat="1" applyFont="1" applyFill="1" applyBorder="1" applyAlignment="1">
      <alignment horizontal="right" vertical="center" wrapText="1"/>
    </xf>
    <xf numFmtId="192" fontId="19" fillId="4" borderId="2" xfId="1" applyNumberFormat="1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3" borderId="2" xfId="3" applyFont="1" applyFill="1" applyBorder="1" applyAlignment="1">
      <alignment horizontal="center" vertical="center" wrapText="1"/>
    </xf>
    <xf numFmtId="0" fontId="22" fillId="4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8" borderId="23" xfId="0" applyFont="1" applyFill="1" applyBorder="1">
      <alignment vertical="center"/>
    </xf>
    <xf numFmtId="0" fontId="23" fillId="8" borderId="20" xfId="0" applyFont="1" applyFill="1" applyBorder="1">
      <alignment vertical="center"/>
    </xf>
    <xf numFmtId="0" fontId="24" fillId="0" borderId="0" xfId="0" applyFont="1">
      <alignment vertical="center"/>
    </xf>
    <xf numFmtId="49" fontId="20" fillId="0" borderId="2" xfId="0" applyNumberFormat="1" applyFont="1" applyBorder="1" applyAlignment="1">
      <alignment horizontal="center" vertical="center" wrapText="1"/>
    </xf>
    <xf numFmtId="0" fontId="19" fillId="4" borderId="2" xfId="0" applyFont="1" applyFill="1" applyBorder="1">
      <alignment vertical="center"/>
    </xf>
    <xf numFmtId="0" fontId="22" fillId="12" borderId="0" xfId="0" applyFont="1" applyFill="1">
      <alignment vertical="center"/>
    </xf>
    <xf numFmtId="0" fontId="22" fillId="4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4" borderId="0" xfId="0" applyFont="1" applyFill="1">
      <alignment vertical="center"/>
    </xf>
    <xf numFmtId="191" fontId="19" fillId="4" borderId="2" xfId="1" applyNumberFormat="1" applyFont="1" applyFill="1" applyBorder="1" applyAlignment="1">
      <alignment horizontal="right" vertical="center"/>
    </xf>
    <xf numFmtId="0" fontId="24" fillId="6" borderId="2" xfId="0" applyFont="1" applyFill="1" applyBorder="1" applyAlignment="1">
      <alignment horizontal="center" vertical="center"/>
    </xf>
    <xf numFmtId="49" fontId="24" fillId="0" borderId="2" xfId="0" applyNumberFormat="1" applyFont="1" applyBorder="1" applyAlignment="1">
      <alignment horizontal="center" vertical="center" wrapText="1"/>
    </xf>
    <xf numFmtId="191" fontId="24" fillId="4" borderId="2" xfId="1" applyNumberFormat="1" applyFont="1" applyFill="1" applyBorder="1" applyAlignment="1">
      <alignment horizontal="right" vertical="center" wrapText="1"/>
    </xf>
    <xf numFmtId="177" fontId="19" fillId="4" borderId="2" xfId="1" applyFont="1" applyFill="1" applyBorder="1" applyAlignment="1">
      <alignment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8" borderId="2" xfId="0" applyFont="1" applyFill="1" applyBorder="1" applyAlignment="1">
      <alignment horizontal="center" vertical="center"/>
    </xf>
    <xf numFmtId="177" fontId="23" fillId="3" borderId="20" xfId="4" applyFont="1" applyFill="1" applyBorder="1" applyAlignment="1">
      <alignment horizontal="center" vertical="center"/>
    </xf>
    <xf numFmtId="178" fontId="23" fillId="3" borderId="20" xfId="5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/>
    </xf>
    <xf numFmtId="0" fontId="23" fillId="3" borderId="2" xfId="3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 wrapText="1"/>
    </xf>
    <xf numFmtId="182" fontId="19" fillId="0" borderId="31" xfId="13" applyNumberFormat="1" applyFont="1" applyBorder="1" applyAlignment="1">
      <alignment horizontal="center" vertical="center" wrapText="1"/>
    </xf>
    <xf numFmtId="182" fontId="19" fillId="0" borderId="35" xfId="13" applyNumberFormat="1" applyFont="1" applyBorder="1" applyAlignment="1">
      <alignment horizontal="center" vertical="center" wrapText="1"/>
    </xf>
    <xf numFmtId="0" fontId="19" fillId="9" borderId="35" xfId="13" applyNumberFormat="1" applyFont="1" applyFill="1" applyBorder="1" applyAlignment="1">
      <alignment vertical="center"/>
    </xf>
    <xf numFmtId="0" fontId="19" fillId="9" borderId="34" xfId="13" applyNumberFormat="1" applyFont="1" applyFill="1" applyBorder="1" applyAlignment="1">
      <alignment vertical="center"/>
    </xf>
    <xf numFmtId="182" fontId="19" fillId="0" borderId="34" xfId="13" applyNumberFormat="1" applyFont="1" applyBorder="1" applyAlignment="1">
      <alignment horizontal="center" vertical="center" wrapText="1"/>
    </xf>
    <xf numFmtId="0" fontId="19" fillId="0" borderId="30" xfId="13" applyNumberFormat="1" applyFont="1" applyBorder="1" applyAlignment="1">
      <alignment vertical="center"/>
    </xf>
    <xf numFmtId="0" fontId="19" fillId="0" borderId="31" xfId="13" applyNumberFormat="1" applyFont="1" applyBorder="1" applyAlignment="1">
      <alignment vertical="center"/>
    </xf>
    <xf numFmtId="0" fontId="19" fillId="0" borderId="35" xfId="13" applyNumberFormat="1" applyFont="1" applyBorder="1" applyAlignment="1">
      <alignment vertical="center"/>
    </xf>
    <xf numFmtId="183" fontId="23" fillId="10" borderId="32" xfId="13" applyNumberFormat="1" applyFont="1" applyFill="1" applyBorder="1" applyAlignment="1">
      <alignment vertical="center"/>
    </xf>
    <xf numFmtId="183" fontId="25" fillId="10" borderId="33" xfId="13" applyNumberFormat="1" applyFont="1" applyFill="1" applyBorder="1" applyAlignment="1">
      <alignment vertical="center"/>
    </xf>
    <xf numFmtId="0" fontId="21" fillId="0" borderId="29" xfId="15" applyFont="1" applyBorder="1" applyAlignment="1">
      <alignment horizontal="center" vertical="center"/>
    </xf>
    <xf numFmtId="0" fontId="23" fillId="0" borderId="30" xfId="15" quotePrefix="1" applyFont="1" applyBorder="1" applyAlignment="1">
      <alignment horizontal="center" vertical="center"/>
    </xf>
    <xf numFmtId="0" fontId="25" fillId="0" borderId="30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0" xfId="15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4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A7" sqref="A7:C7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65" t="s">
        <v>1</v>
      </c>
      <c r="B2" s="165"/>
      <c r="C2" s="165"/>
      <c r="D2" s="165"/>
      <c r="E2" s="165"/>
      <c r="F2" s="165"/>
      <c r="G2" s="165"/>
      <c r="H2" s="2"/>
    </row>
    <row r="3" spans="1:9" ht="13.5">
      <c r="A3" s="129"/>
      <c r="B3" s="129"/>
      <c r="C3" s="129"/>
      <c r="D3" s="129"/>
      <c r="E3" s="129"/>
      <c r="F3" s="129"/>
      <c r="G3" s="129"/>
      <c r="H3" s="129"/>
    </row>
    <row r="4" spans="1:9" ht="13.5">
      <c r="A4" s="129"/>
      <c r="B4" s="129"/>
      <c r="C4" s="129"/>
      <c r="D4" s="129"/>
      <c r="E4" s="129"/>
      <c r="H4" s="129"/>
    </row>
    <row r="5" spans="1:9" ht="27" customHeight="1">
      <c r="A5" s="130" t="s">
        <v>43</v>
      </c>
      <c r="B5" s="4"/>
      <c r="C5" s="5"/>
      <c r="D5" s="129"/>
      <c r="E5" s="129"/>
      <c r="F5" s="6" t="s">
        <v>33</v>
      </c>
      <c r="G5" s="7" t="s">
        <v>47</v>
      </c>
      <c r="H5" s="129"/>
    </row>
    <row r="6" spans="1:9" ht="27" customHeight="1">
      <c r="A6" s="129"/>
      <c r="B6" s="129"/>
      <c r="C6" s="129"/>
      <c r="D6" s="129"/>
      <c r="E6" s="129"/>
      <c r="F6" s="8" t="s">
        <v>36</v>
      </c>
      <c r="G6" s="9" t="s">
        <v>48</v>
      </c>
      <c r="H6" s="129"/>
    </row>
    <row r="7" spans="1:9" ht="27" customHeight="1">
      <c r="A7" s="168" t="s">
        <v>154</v>
      </c>
      <c r="B7" s="169"/>
      <c r="C7" s="170"/>
      <c r="D7" s="129"/>
      <c r="E7" s="10"/>
      <c r="F7" s="11" t="s">
        <v>37</v>
      </c>
      <c r="G7" s="9" t="s">
        <v>49</v>
      </c>
      <c r="H7" s="129"/>
    </row>
    <row r="8" spans="1:9" ht="27" customHeight="1">
      <c r="A8" s="129"/>
      <c r="B8" s="129"/>
      <c r="C8" s="129"/>
      <c r="D8" s="129"/>
      <c r="E8" s="129"/>
      <c r="F8" s="8" t="s">
        <v>38</v>
      </c>
      <c r="G8" s="9" t="s">
        <v>50</v>
      </c>
      <c r="H8" s="129"/>
    </row>
    <row r="9" spans="1:9" ht="27" customHeight="1">
      <c r="A9" s="168" t="s">
        <v>153</v>
      </c>
      <c r="B9" s="169"/>
      <c r="C9" s="170"/>
      <c r="D9" s="129"/>
      <c r="E9" s="129"/>
      <c r="F9" s="8" t="s">
        <v>39</v>
      </c>
      <c r="G9" s="9" t="s">
        <v>51</v>
      </c>
      <c r="H9" s="129"/>
    </row>
    <row r="10" spans="1:9" ht="27" customHeight="1">
      <c r="A10" s="129"/>
      <c r="B10" s="129"/>
      <c r="C10" s="129"/>
      <c r="D10" s="129"/>
      <c r="E10" s="129"/>
      <c r="F10" s="12" t="s">
        <v>34</v>
      </c>
      <c r="G10" s="13" t="s">
        <v>52</v>
      </c>
      <c r="H10" s="129"/>
      <c r="I10" s="129"/>
    </row>
    <row r="11" spans="1:9" ht="27" customHeight="1">
      <c r="A11" s="166"/>
      <c r="B11" s="167"/>
      <c r="C11" s="167"/>
      <c r="D11" s="129"/>
      <c r="E11" s="14"/>
      <c r="F11" s="15" t="s">
        <v>35</v>
      </c>
      <c r="G11" s="16" t="s">
        <v>53</v>
      </c>
      <c r="H11" s="14"/>
    </row>
    <row r="12" spans="1:9" ht="19.5" thickBot="1">
      <c r="A12" s="17" t="s">
        <v>2</v>
      </c>
      <c r="B12" s="17" t="str">
        <f>NUMBERSTRING(F31,1)</f>
        <v>오백삼십팔만팔천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" thickTop="1" thickBot="1">
      <c r="A13" s="129"/>
      <c r="B13" s="129"/>
      <c r="C13" s="129"/>
      <c r="D13" s="129"/>
      <c r="E13" s="129"/>
      <c r="F13" s="129"/>
      <c r="G13" s="129"/>
      <c r="H13" s="19"/>
    </row>
    <row r="14" spans="1:9" ht="33" customHeight="1" thickBot="1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13</v>
      </c>
      <c r="C16" s="31"/>
      <c r="D16" s="32"/>
      <c r="E16" s="32"/>
      <c r="F16" s="33">
        <f>'내역서(표준단가)'!O14</f>
        <v>953608.99450000003</v>
      </c>
      <c r="G16" s="34"/>
    </row>
    <row r="17" spans="1:7" ht="33" customHeight="1">
      <c r="A17" s="29"/>
      <c r="B17" s="30" t="s">
        <v>14</v>
      </c>
      <c r="C17" s="31"/>
      <c r="D17" s="32"/>
      <c r="E17" s="32"/>
      <c r="F17" s="33">
        <f>'내역서(표준단가)'!Q14</f>
        <v>3609891.2110119998</v>
      </c>
      <c r="G17" s="35"/>
    </row>
    <row r="18" spans="1:7" ht="33" customHeight="1">
      <c r="A18" s="29"/>
      <c r="B18" s="30" t="s">
        <v>15</v>
      </c>
      <c r="C18" s="31"/>
      <c r="D18" s="32"/>
      <c r="E18" s="32"/>
      <c r="F18" s="33">
        <f>'내역서(표준단가)'!S14+'내역서(표준단가)'!U14</f>
        <v>0</v>
      </c>
      <c r="G18" s="35"/>
    </row>
    <row r="19" spans="1:7" ht="33" customHeight="1">
      <c r="A19" s="29"/>
      <c r="B19" s="36" t="s">
        <v>16</v>
      </c>
      <c r="C19" s="36"/>
      <c r="D19" s="37"/>
      <c r="E19" s="37"/>
      <c r="F19" s="38">
        <f>F16+F17+F18</f>
        <v>4563500.2055120002</v>
      </c>
      <c r="G19" s="35"/>
    </row>
    <row r="20" spans="1:7" ht="33" customHeight="1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>
      <c r="A21" s="29"/>
      <c r="B21" s="42" t="s">
        <v>18</v>
      </c>
      <c r="C21" s="40" t="s">
        <v>19</v>
      </c>
      <c r="D21" s="30">
        <v>1</v>
      </c>
      <c r="E21" s="30" t="s">
        <v>20</v>
      </c>
      <c r="F21" s="43">
        <f>F17*4.5%</f>
        <v>162445.10449553997</v>
      </c>
      <c r="G21" s="35" t="s">
        <v>21</v>
      </c>
    </row>
    <row r="22" spans="1:7" ht="33" customHeight="1">
      <c r="A22" s="29"/>
      <c r="B22" s="44" t="s">
        <v>22</v>
      </c>
      <c r="C22" s="45" t="s">
        <v>44</v>
      </c>
      <c r="D22" s="46">
        <v>1</v>
      </c>
      <c r="E22" s="46" t="s">
        <v>20</v>
      </c>
      <c r="F22" s="47">
        <f>F17*3.545%</f>
        <v>127970.64343037541</v>
      </c>
      <c r="G22" s="48" t="s">
        <v>23</v>
      </c>
    </row>
    <row r="23" spans="1:7" ht="33" customHeight="1">
      <c r="A23" s="29"/>
      <c r="B23" s="42" t="s">
        <v>24</v>
      </c>
      <c r="C23" s="40" t="s">
        <v>45</v>
      </c>
      <c r="D23" s="30">
        <v>1</v>
      </c>
      <c r="E23" s="30" t="s">
        <v>20</v>
      </c>
      <c r="F23" s="43">
        <f>F22*12.95%</f>
        <v>16572.198324233617</v>
      </c>
      <c r="G23" s="35" t="s">
        <v>23</v>
      </c>
    </row>
    <row r="24" spans="1:7" ht="33" customHeight="1">
      <c r="A24" s="29"/>
      <c r="B24" s="42" t="s">
        <v>25</v>
      </c>
      <c r="C24" s="40" t="s">
        <v>41</v>
      </c>
      <c r="D24" s="30">
        <v>1</v>
      </c>
      <c r="E24" s="30" t="s">
        <v>20</v>
      </c>
      <c r="F24" s="43">
        <f>F17*1.01%</f>
        <v>36459.901231221193</v>
      </c>
      <c r="G24" s="35" t="s">
        <v>23</v>
      </c>
    </row>
    <row r="25" spans="1:7" ht="33" customHeight="1">
      <c r="A25" s="29"/>
      <c r="B25" s="42" t="s">
        <v>26</v>
      </c>
      <c r="C25" s="40" t="s">
        <v>46</v>
      </c>
      <c r="D25" s="30">
        <v>1</v>
      </c>
      <c r="E25" s="30" t="s">
        <v>20</v>
      </c>
      <c r="F25" s="43">
        <f>F17*3.56%</f>
        <v>128512.12711202718</v>
      </c>
      <c r="G25" s="35" t="s">
        <v>23</v>
      </c>
    </row>
    <row r="26" spans="1:7" ht="33" customHeight="1">
      <c r="A26" s="29"/>
      <c r="B26" s="42" t="s">
        <v>27</v>
      </c>
      <c r="C26" s="49" t="s">
        <v>131</v>
      </c>
      <c r="D26" s="30">
        <v>1</v>
      </c>
      <c r="E26" s="30" t="s">
        <v>20</v>
      </c>
      <c r="F26" s="43">
        <f>(F16+F17)*3.11%</f>
        <v>141924.85639142321</v>
      </c>
      <c r="G26" s="35" t="s">
        <v>21</v>
      </c>
    </row>
    <row r="27" spans="1:7" ht="33" customHeight="1">
      <c r="A27" s="29"/>
      <c r="B27" s="42" t="s">
        <v>31</v>
      </c>
      <c r="C27" s="49" t="s">
        <v>32</v>
      </c>
      <c r="D27" s="30">
        <v>1</v>
      </c>
      <c r="E27" s="30" t="s">
        <v>20</v>
      </c>
      <c r="F27" s="43">
        <f>SUM(F17+F21+F22+F23+F24+F25+F26)*5%</f>
        <v>211188.80209984106</v>
      </c>
      <c r="G27" s="35"/>
    </row>
    <row r="28" spans="1:7" ht="33" customHeight="1">
      <c r="A28" s="29"/>
      <c r="B28" s="36" t="s">
        <v>28</v>
      </c>
      <c r="C28" s="50"/>
      <c r="D28" s="51"/>
      <c r="E28" s="37"/>
      <c r="F28" s="52">
        <f>F21+F22+F23+F24+F25+F26+F27</f>
        <v>825073.63308466168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5388573.8385966616</v>
      </c>
      <c r="G30" s="35"/>
    </row>
    <row r="31" spans="1:7" ht="33" customHeight="1">
      <c r="A31" s="29"/>
      <c r="B31" s="36" t="s">
        <v>29</v>
      </c>
      <c r="C31" s="36"/>
      <c r="D31" s="37"/>
      <c r="E31" s="37"/>
      <c r="F31" s="58">
        <f>ROUNDDOWN(F30,-3)</f>
        <v>5388000</v>
      </c>
      <c r="G31" s="35"/>
    </row>
    <row r="32" spans="1:7" ht="33" customHeight="1" thickBot="1">
      <c r="A32" s="59"/>
      <c r="B32" s="60" t="s">
        <v>30</v>
      </c>
      <c r="C32" s="61"/>
      <c r="D32" s="61"/>
      <c r="E32" s="61"/>
      <c r="F32" s="62"/>
      <c r="G32" s="63"/>
    </row>
    <row r="33" spans="2:2" ht="14.25">
      <c r="B33" s="64"/>
    </row>
    <row r="34" spans="2:2" ht="14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4"/>
  <sheetViews>
    <sheetView showGridLines="0" zoomScale="80" zoomScaleNormal="80" workbookViewId="0">
      <pane ySplit="4" topLeftCell="A5" activePane="bottomLeft" state="frozen"/>
      <selection pane="bottomLeft" activeCell="A5" sqref="A5"/>
    </sheetView>
  </sheetViews>
  <sheetFormatPr defaultColWidth="9" defaultRowHeight="38.1" customHeight="1"/>
  <cols>
    <col min="1" max="1" width="22.625" style="159" bestFit="1" customWidth="1"/>
    <col min="2" max="5" width="4.625" style="159" hidden="1" customWidth="1"/>
    <col min="6" max="6" width="9" style="147" hidden="1" customWidth="1"/>
    <col min="7" max="9" width="12.625" style="147" hidden="1" customWidth="1"/>
    <col min="10" max="11" width="30.625" style="142" customWidth="1"/>
    <col min="12" max="12" width="11.375" style="147" bestFit="1" customWidth="1"/>
    <col min="13" max="13" width="8.25" style="147" customWidth="1"/>
    <col min="14" max="14" width="10.625" style="147" bestFit="1" customWidth="1"/>
    <col min="15" max="15" width="13.25" style="147" bestFit="1" customWidth="1"/>
    <col min="16" max="16" width="12" style="147" bestFit="1" customWidth="1"/>
    <col min="17" max="17" width="15.625" style="147" bestFit="1" customWidth="1"/>
    <col min="18" max="18" width="9" style="147" customWidth="1"/>
    <col min="19" max="19" width="8.75" style="147" bestFit="1" customWidth="1"/>
    <col min="20" max="20" width="10.5" style="147" customWidth="1"/>
    <col min="21" max="21" width="8.75" style="147" bestFit="1" customWidth="1"/>
    <col min="22" max="22" width="15.625" style="147" bestFit="1" customWidth="1"/>
    <col min="23" max="23" width="10.625" style="65" bestFit="1" customWidth="1"/>
    <col min="24" max="24" width="8.5" style="147" bestFit="1" customWidth="1"/>
    <col min="25" max="16384" width="9" style="147"/>
  </cols>
  <sheetData>
    <row r="1" spans="1:24" ht="19.899999999999999" customHeight="1">
      <c r="A1" s="171"/>
      <c r="B1" s="171"/>
      <c r="C1" s="171"/>
      <c r="D1" s="171"/>
      <c r="E1" s="171"/>
      <c r="F1" s="171"/>
      <c r="G1" s="171"/>
      <c r="H1" s="171"/>
      <c r="I1" s="171"/>
      <c r="N1" s="65"/>
      <c r="O1" s="145" t="s">
        <v>89</v>
      </c>
      <c r="Q1" s="145" t="s">
        <v>89</v>
      </c>
      <c r="S1" s="145" t="s">
        <v>89</v>
      </c>
      <c r="U1" s="145" t="s">
        <v>89</v>
      </c>
    </row>
    <row r="2" spans="1:24" ht="19.899999999999999" customHeight="1" thickBot="1">
      <c r="A2" s="171"/>
      <c r="B2" s="171"/>
      <c r="C2" s="171"/>
      <c r="D2" s="171"/>
      <c r="E2" s="171"/>
      <c r="F2" s="171"/>
      <c r="G2" s="171"/>
      <c r="H2" s="171"/>
      <c r="I2" s="171"/>
      <c r="N2" s="66"/>
      <c r="O2" s="67">
        <v>0.83499999999999996</v>
      </c>
      <c r="Q2" s="67">
        <v>0.83499999999999996</v>
      </c>
      <c r="S2" s="67">
        <v>0.83499999999999996</v>
      </c>
      <c r="U2" s="67">
        <v>0.83499999999999996</v>
      </c>
    </row>
    <row r="3" spans="1:24" ht="19.899999999999999" customHeight="1">
      <c r="A3" s="148"/>
      <c r="B3" s="149"/>
      <c r="C3" s="149"/>
      <c r="D3" s="149"/>
      <c r="E3" s="149"/>
      <c r="F3" s="149" t="s">
        <v>90</v>
      </c>
      <c r="G3" s="149"/>
      <c r="H3" s="149"/>
      <c r="I3" s="149"/>
      <c r="J3" s="182" t="s">
        <v>91</v>
      </c>
      <c r="K3" s="182"/>
      <c r="L3" s="180" t="s">
        <v>42</v>
      </c>
      <c r="M3" s="180" t="s">
        <v>0</v>
      </c>
      <c r="N3" s="176" t="s">
        <v>92</v>
      </c>
      <c r="O3" s="176"/>
      <c r="P3" s="176" t="s">
        <v>93</v>
      </c>
      <c r="Q3" s="176"/>
      <c r="R3" s="177" t="s">
        <v>94</v>
      </c>
      <c r="S3" s="177"/>
      <c r="T3" s="177" t="s">
        <v>95</v>
      </c>
      <c r="U3" s="177"/>
      <c r="V3" s="178" t="s">
        <v>96</v>
      </c>
      <c r="W3" s="174" t="s">
        <v>97</v>
      </c>
      <c r="X3" s="172" t="s">
        <v>40</v>
      </c>
    </row>
    <row r="4" spans="1:24" ht="19.899999999999999" customHeight="1">
      <c r="A4" s="68" t="s">
        <v>98</v>
      </c>
      <c r="B4" s="146"/>
      <c r="C4" s="146"/>
      <c r="D4" s="146"/>
      <c r="E4" s="146"/>
      <c r="F4" s="69" t="s">
        <v>99</v>
      </c>
      <c r="G4" s="69" t="s">
        <v>100</v>
      </c>
      <c r="H4" s="69" t="s">
        <v>101</v>
      </c>
      <c r="I4" s="69" t="s">
        <v>102</v>
      </c>
      <c r="J4" s="143" t="s">
        <v>103</v>
      </c>
      <c r="K4" s="143" t="s">
        <v>104</v>
      </c>
      <c r="L4" s="181"/>
      <c r="M4" s="181"/>
      <c r="N4" s="70" t="s">
        <v>105</v>
      </c>
      <c r="O4" s="71" t="s">
        <v>106</v>
      </c>
      <c r="P4" s="70" t="s">
        <v>107</v>
      </c>
      <c r="Q4" s="71" t="s">
        <v>106</v>
      </c>
      <c r="R4" s="71" t="s">
        <v>108</v>
      </c>
      <c r="S4" s="71" t="s">
        <v>106</v>
      </c>
      <c r="T4" s="71" t="s">
        <v>108</v>
      </c>
      <c r="U4" s="71" t="s">
        <v>106</v>
      </c>
      <c r="V4" s="179"/>
      <c r="W4" s="175"/>
      <c r="X4" s="173"/>
    </row>
    <row r="5" spans="1:24" s="150" customFormat="1" ht="38.1" customHeight="1">
      <c r="A5" s="72" t="str">
        <f t="shared" ref="A5" si="0">F5&amp;G5&amp;H5&amp;I5</f>
        <v>M020853710050101</v>
      </c>
      <c r="B5" s="105"/>
      <c r="C5" s="105"/>
      <c r="D5" s="105"/>
      <c r="E5" s="105"/>
      <c r="F5" s="102"/>
      <c r="G5" s="73"/>
      <c r="H5" s="73" t="s">
        <v>132</v>
      </c>
      <c r="I5" s="102"/>
      <c r="J5" s="141" t="s">
        <v>133</v>
      </c>
      <c r="K5" s="141" t="s">
        <v>149</v>
      </c>
      <c r="L5" s="121" t="s">
        <v>148</v>
      </c>
      <c r="M5" s="140">
        <v>15.263</v>
      </c>
      <c r="N5" s="160">
        <v>20900</v>
      </c>
      <c r="O5" s="136">
        <f t="shared" ref="O5" si="1">SUM(N5:N5)*M5*$O$2</f>
        <v>266362.24449999997</v>
      </c>
      <c r="P5" s="135"/>
      <c r="Q5" s="136">
        <f t="shared" ref="Q5" si="2">(P5*M5)*$Q$2</f>
        <v>0</v>
      </c>
      <c r="R5" s="137"/>
      <c r="S5" s="136">
        <f t="shared" ref="S5" si="3">R5*M5*$S$2</f>
        <v>0</v>
      </c>
      <c r="T5" s="137"/>
      <c r="U5" s="136">
        <f t="shared" ref="U5" si="4">T5*M5*$U$2</f>
        <v>0</v>
      </c>
      <c r="V5" s="76">
        <f t="shared" ref="V5" si="5">SUM(O5+Q5)+S5+U5</f>
        <v>266362.24449999997</v>
      </c>
      <c r="W5" s="120"/>
      <c r="X5" s="77"/>
    </row>
    <row r="6" spans="1:24" s="150" customFormat="1" ht="38.1" customHeight="1">
      <c r="A6" s="72" t="str">
        <f t="shared" ref="A6" si="6">F6&amp;G6&amp;H6&amp;I6</f>
        <v>E00000803071260301</v>
      </c>
      <c r="B6" s="105"/>
      <c r="C6" s="105"/>
      <c r="D6" s="105"/>
      <c r="E6" s="105"/>
      <c r="F6" s="102"/>
      <c r="G6" s="73" t="s">
        <v>109</v>
      </c>
      <c r="H6" s="73"/>
      <c r="I6" s="102"/>
      <c r="J6" s="141" t="s">
        <v>111</v>
      </c>
      <c r="K6" s="141" t="s">
        <v>150</v>
      </c>
      <c r="L6" s="74" t="s">
        <v>110</v>
      </c>
      <c r="M6" s="140">
        <v>4.0430000000000001</v>
      </c>
      <c r="N6" s="138"/>
      <c r="O6" s="136">
        <f t="shared" ref="O6" si="7">SUM(N6:N6)*M6*$O$2</f>
        <v>0</v>
      </c>
      <c r="P6" s="135">
        <v>487076</v>
      </c>
      <c r="Q6" s="136">
        <f t="shared" ref="Q6" si="8">(P6*M6)*$Q$2</f>
        <v>1644322.30378</v>
      </c>
      <c r="R6" s="137"/>
      <c r="S6" s="136">
        <f t="shared" ref="S6" si="9">R6*M6*$S$2</f>
        <v>0</v>
      </c>
      <c r="T6" s="137"/>
      <c r="U6" s="136">
        <f t="shared" ref="U6" si="10">T6*M6*$U$2</f>
        <v>0</v>
      </c>
      <c r="V6" s="76">
        <f t="shared" ref="V6" si="11">SUM(O6+Q6)+S6+U6</f>
        <v>1644322.30378</v>
      </c>
      <c r="W6" s="120"/>
      <c r="X6" s="77"/>
    </row>
    <row r="7" spans="1:24" s="150" customFormat="1" ht="38.1" customHeight="1">
      <c r="A7" s="72" t="str">
        <f t="shared" ref="A7:A8" si="12">F7&amp;G7&amp;H7&amp;I7</f>
        <v>E00000803071260301</v>
      </c>
      <c r="B7" s="105"/>
      <c r="C7" s="105"/>
      <c r="D7" s="105"/>
      <c r="E7" s="105"/>
      <c r="F7" s="102"/>
      <c r="G7" s="73" t="s">
        <v>109</v>
      </c>
      <c r="H7" s="73"/>
      <c r="I7" s="102"/>
      <c r="J7" s="141" t="s">
        <v>112</v>
      </c>
      <c r="K7" s="141" t="s">
        <v>151</v>
      </c>
      <c r="L7" s="74" t="s">
        <v>110</v>
      </c>
      <c r="M7" s="140">
        <v>1.8859999999999999</v>
      </c>
      <c r="N7" s="138"/>
      <c r="O7" s="136">
        <f t="shared" ref="O7:O12" si="13">SUM(N7:N7)*M7*$O$2</f>
        <v>0</v>
      </c>
      <c r="P7" s="135">
        <v>487076</v>
      </c>
      <c r="Q7" s="136">
        <f t="shared" ref="Q7:Q13" si="14">(P7*M7)*$Q$2</f>
        <v>767052.15555999987</v>
      </c>
      <c r="R7" s="137"/>
      <c r="S7" s="136">
        <f t="shared" ref="S7:S13" si="15">R7*M7*$S$2</f>
        <v>0</v>
      </c>
      <c r="T7" s="137"/>
      <c r="U7" s="136">
        <f t="shared" ref="U7:U13" si="16">T7*M7*$U$2</f>
        <v>0</v>
      </c>
      <c r="V7" s="76">
        <f t="shared" ref="V7:V13" si="17">SUM(O7+Q7)+S7+U7</f>
        <v>767052.15555999987</v>
      </c>
      <c r="W7" s="120"/>
      <c r="X7" s="77"/>
    </row>
    <row r="8" spans="1:24" s="150" customFormat="1" ht="38.1" customHeight="1">
      <c r="A8" s="72" t="str">
        <f t="shared" si="12"/>
        <v>M020809012520101</v>
      </c>
      <c r="B8" s="105"/>
      <c r="C8" s="105"/>
      <c r="D8" s="105"/>
      <c r="E8" s="105"/>
      <c r="F8" s="102"/>
      <c r="G8" s="73"/>
      <c r="H8" s="73" t="s">
        <v>135</v>
      </c>
      <c r="I8" s="102"/>
      <c r="J8" s="141" t="s">
        <v>136</v>
      </c>
      <c r="K8" s="141" t="s">
        <v>137</v>
      </c>
      <c r="L8" s="121" t="s">
        <v>134</v>
      </c>
      <c r="M8" s="140">
        <v>61.8</v>
      </c>
      <c r="N8" s="139">
        <v>13000</v>
      </c>
      <c r="O8" s="136">
        <f t="shared" si="13"/>
        <v>670839</v>
      </c>
      <c r="P8" s="135"/>
      <c r="Q8" s="136">
        <f t="shared" si="14"/>
        <v>0</v>
      </c>
      <c r="R8" s="137"/>
      <c r="S8" s="136">
        <f t="shared" si="15"/>
        <v>0</v>
      </c>
      <c r="T8" s="137"/>
      <c r="U8" s="136">
        <f t="shared" si="16"/>
        <v>0</v>
      </c>
      <c r="V8" s="76">
        <f t="shared" si="17"/>
        <v>670839</v>
      </c>
      <c r="W8" s="120"/>
      <c r="X8" s="77"/>
    </row>
    <row r="9" spans="1:24" s="150" customFormat="1" ht="38.1" customHeight="1">
      <c r="A9" s="72" t="str">
        <f t="shared" ref="A9:A13" si="18">F9&amp;G9&amp;H9&amp;I9</f>
        <v>E00000803071260401</v>
      </c>
      <c r="B9" s="105"/>
      <c r="C9" s="105"/>
      <c r="D9" s="105"/>
      <c r="E9" s="105"/>
      <c r="F9" s="102"/>
      <c r="G9" s="73" t="s">
        <v>113</v>
      </c>
      <c r="H9" s="73"/>
      <c r="I9" s="102"/>
      <c r="J9" s="141" t="s">
        <v>114</v>
      </c>
      <c r="K9" s="141" t="s">
        <v>152</v>
      </c>
      <c r="L9" s="74" t="s">
        <v>110</v>
      </c>
      <c r="M9" s="140">
        <v>1.0132000000000001</v>
      </c>
      <c r="N9" s="138"/>
      <c r="O9" s="136">
        <f t="shared" si="13"/>
        <v>0</v>
      </c>
      <c r="P9" s="135">
        <v>487076</v>
      </c>
      <c r="Q9" s="136">
        <f t="shared" si="14"/>
        <v>412077.01167200005</v>
      </c>
      <c r="R9" s="137"/>
      <c r="S9" s="136">
        <f t="shared" si="15"/>
        <v>0</v>
      </c>
      <c r="T9" s="137"/>
      <c r="U9" s="136">
        <f t="shared" si="16"/>
        <v>0</v>
      </c>
      <c r="V9" s="76">
        <f t="shared" si="17"/>
        <v>412077.01167200005</v>
      </c>
      <c r="W9" s="120"/>
      <c r="X9" s="77"/>
    </row>
    <row r="10" spans="1:24" s="150" customFormat="1" ht="38.1" customHeight="1">
      <c r="A10" s="72" t="str">
        <f t="shared" si="18"/>
        <v>M020412614110102</v>
      </c>
      <c r="B10" s="105"/>
      <c r="C10" s="105"/>
      <c r="D10" s="105"/>
      <c r="E10" s="105"/>
      <c r="F10" s="102"/>
      <c r="G10" s="73"/>
      <c r="H10" s="161" t="s">
        <v>128</v>
      </c>
      <c r="I10" s="102"/>
      <c r="J10" s="162" t="s">
        <v>127</v>
      </c>
      <c r="K10" s="162" t="s">
        <v>125</v>
      </c>
      <c r="L10" s="133" t="s">
        <v>124</v>
      </c>
      <c r="M10" s="140">
        <v>0.3</v>
      </c>
      <c r="N10" s="163">
        <v>65500</v>
      </c>
      <c r="O10" s="136">
        <f t="shared" si="13"/>
        <v>16407.75</v>
      </c>
      <c r="P10" s="135"/>
      <c r="Q10" s="136"/>
      <c r="R10" s="137"/>
      <c r="S10" s="136"/>
      <c r="T10" s="137"/>
      <c r="U10" s="136"/>
      <c r="V10" s="76">
        <f t="shared" si="17"/>
        <v>16407.75</v>
      </c>
      <c r="W10" s="120"/>
      <c r="X10" s="77"/>
    </row>
    <row r="11" spans="1:24" s="150" customFormat="1" ht="38.1" customHeight="1">
      <c r="A11" s="72" t="str">
        <f t="shared" si="18"/>
        <v>E00000803061120402</v>
      </c>
      <c r="B11" s="105"/>
      <c r="C11" s="105"/>
      <c r="D11" s="105"/>
      <c r="E11" s="105"/>
      <c r="F11" s="102"/>
      <c r="G11" s="73" t="s">
        <v>115</v>
      </c>
      <c r="H11" s="73"/>
      <c r="I11" s="102"/>
      <c r="J11" s="141" t="s">
        <v>116</v>
      </c>
      <c r="K11" s="141" t="s">
        <v>117</v>
      </c>
      <c r="L11" s="121" t="s">
        <v>122</v>
      </c>
      <c r="M11" s="140">
        <v>28</v>
      </c>
      <c r="N11" s="122"/>
      <c r="O11" s="75">
        <f t="shared" si="13"/>
        <v>0</v>
      </c>
      <c r="P11" s="132">
        <v>10432</v>
      </c>
      <c r="Q11" s="75">
        <f t="shared" si="14"/>
        <v>243900.16</v>
      </c>
      <c r="R11" s="76"/>
      <c r="S11" s="75">
        <f t="shared" si="15"/>
        <v>0</v>
      </c>
      <c r="T11" s="76"/>
      <c r="U11" s="75">
        <f t="shared" si="16"/>
        <v>0</v>
      </c>
      <c r="V11" s="76">
        <f t="shared" si="17"/>
        <v>243900.16</v>
      </c>
      <c r="W11" s="120"/>
      <c r="X11" s="77"/>
    </row>
    <row r="12" spans="1:24" s="150" customFormat="1" ht="38.1" customHeight="1">
      <c r="A12" s="72" t="str">
        <f t="shared" si="18"/>
        <v>E00000803061300201</v>
      </c>
      <c r="B12" s="105"/>
      <c r="C12" s="105"/>
      <c r="D12" s="105"/>
      <c r="E12" s="105"/>
      <c r="F12" s="102"/>
      <c r="G12" s="73" t="s">
        <v>119</v>
      </c>
      <c r="H12" s="73"/>
      <c r="I12" s="102"/>
      <c r="J12" s="141" t="s">
        <v>120</v>
      </c>
      <c r="K12" s="141" t="s">
        <v>121</v>
      </c>
      <c r="L12" s="121" t="s">
        <v>118</v>
      </c>
      <c r="M12" s="140">
        <v>28</v>
      </c>
      <c r="N12" s="122"/>
      <c r="O12" s="75">
        <f t="shared" si="13"/>
        <v>0</v>
      </c>
      <c r="P12" s="132">
        <v>6179</v>
      </c>
      <c r="Q12" s="75">
        <f t="shared" si="14"/>
        <v>144465.01999999999</v>
      </c>
      <c r="R12" s="76"/>
      <c r="S12" s="75">
        <f t="shared" si="15"/>
        <v>0</v>
      </c>
      <c r="T12" s="76"/>
      <c r="U12" s="75">
        <f t="shared" si="16"/>
        <v>0</v>
      </c>
      <c r="V12" s="76">
        <f t="shared" si="17"/>
        <v>144465.01999999999</v>
      </c>
      <c r="W12" s="120"/>
      <c r="X12" s="77"/>
    </row>
    <row r="13" spans="1:24" s="150" customFormat="1" ht="38.1" customHeight="1">
      <c r="A13" s="72" t="str">
        <f t="shared" si="18"/>
        <v>E00000801011510701</v>
      </c>
      <c r="B13" s="105"/>
      <c r="C13" s="105"/>
      <c r="D13" s="105"/>
      <c r="E13" s="105"/>
      <c r="F13" s="102"/>
      <c r="G13" s="73" t="s">
        <v>147</v>
      </c>
      <c r="H13" s="73"/>
      <c r="I13" s="102"/>
      <c r="J13" s="151" t="s">
        <v>138</v>
      </c>
      <c r="K13" s="151" t="s">
        <v>139</v>
      </c>
      <c r="L13" s="121" t="s">
        <v>140</v>
      </c>
      <c r="M13" s="140">
        <v>96</v>
      </c>
      <c r="N13" s="152"/>
      <c r="O13" s="75">
        <f t="shared" ref="O13" si="19">SUM(N13:N13)*M13*$O$2</f>
        <v>0</v>
      </c>
      <c r="P13" s="164">
        <v>4966</v>
      </c>
      <c r="Q13" s="75">
        <f t="shared" si="14"/>
        <v>398074.56</v>
      </c>
      <c r="R13" s="76"/>
      <c r="S13" s="75">
        <f t="shared" si="15"/>
        <v>0</v>
      </c>
      <c r="T13" s="76"/>
      <c r="U13" s="75">
        <f t="shared" si="16"/>
        <v>0</v>
      </c>
      <c r="V13" s="76">
        <f t="shared" si="17"/>
        <v>398074.56</v>
      </c>
      <c r="W13" s="120"/>
      <c r="X13" s="77"/>
    </row>
    <row r="14" spans="1:24" s="158" customFormat="1" ht="38.1" customHeight="1">
      <c r="A14" s="153"/>
      <c r="B14" s="154"/>
      <c r="C14" s="154"/>
      <c r="D14" s="154"/>
      <c r="E14" s="154"/>
      <c r="F14" s="154"/>
      <c r="G14" s="154"/>
      <c r="H14" s="154"/>
      <c r="I14" s="154"/>
      <c r="J14" s="144"/>
      <c r="K14" s="144"/>
      <c r="L14" s="154"/>
      <c r="M14" s="154"/>
      <c r="N14" s="154"/>
      <c r="O14" s="155">
        <f>SUM(O5:O13)</f>
        <v>953608.99450000003</v>
      </c>
      <c r="P14" s="156"/>
      <c r="Q14" s="155">
        <f>SUM(Q5:Q13)</f>
        <v>3609891.2110119998</v>
      </c>
      <c r="R14" s="156"/>
      <c r="S14" s="155">
        <f>SUM(S5:S13)</f>
        <v>0</v>
      </c>
      <c r="T14" s="156"/>
      <c r="U14" s="155">
        <f>SUM(U5:U13)</f>
        <v>0</v>
      </c>
      <c r="V14" s="157">
        <f>SUM(V5:V13)</f>
        <v>4563500.2055119993</v>
      </c>
      <c r="W14" s="108"/>
      <c r="X14" s="15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28"/>
  <sheetViews>
    <sheetView tabSelected="1" zoomScaleNormal="100" workbookViewId="0">
      <selection activeCell="A4" sqref="A4:B4"/>
    </sheetView>
  </sheetViews>
  <sheetFormatPr defaultColWidth="9" defaultRowHeight="13.5"/>
  <cols>
    <col min="1" max="1" width="22.625" style="101" customWidth="1"/>
    <col min="2" max="2" width="27.625" style="101" customWidth="1"/>
    <col min="3" max="3" width="5.75" style="101" customWidth="1"/>
    <col min="4" max="4" width="5.25" style="101" customWidth="1"/>
    <col min="5" max="8" width="20.625" style="101" customWidth="1"/>
    <col min="9" max="12" width="20.625" style="101" hidden="1" customWidth="1"/>
    <col min="13" max="14" width="20.625" style="101" customWidth="1"/>
    <col min="15" max="15" width="32.75" style="101" customWidth="1"/>
    <col min="16" max="16384" width="9" style="78"/>
  </cols>
  <sheetData>
    <row r="1" spans="1:15" ht="27" customHeight="1">
      <c r="A1" s="193" t="s">
        <v>54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</row>
    <row r="2" spans="1:15" ht="15" customHeight="1">
      <c r="A2" s="194" t="s">
        <v>55</v>
      </c>
      <c r="B2" s="195" t="s">
        <v>56</v>
      </c>
      <c r="C2" s="196" t="s">
        <v>42</v>
      </c>
      <c r="D2" s="196" t="s">
        <v>57</v>
      </c>
      <c r="E2" s="198" t="s">
        <v>58</v>
      </c>
      <c r="F2" s="195"/>
      <c r="G2" s="195" t="s">
        <v>59</v>
      </c>
      <c r="H2" s="195"/>
      <c r="I2" s="199" t="s">
        <v>60</v>
      </c>
      <c r="J2" s="200"/>
      <c r="K2" s="199" t="s">
        <v>61</v>
      </c>
      <c r="L2" s="200"/>
      <c r="M2" s="198" t="s">
        <v>62</v>
      </c>
      <c r="N2" s="195"/>
      <c r="O2" s="201" t="s">
        <v>63</v>
      </c>
    </row>
    <row r="3" spans="1:15" ht="15" customHeight="1">
      <c r="A3" s="194"/>
      <c r="B3" s="195"/>
      <c r="C3" s="197"/>
      <c r="D3" s="197"/>
      <c r="E3" s="131" t="s">
        <v>64</v>
      </c>
      <c r="F3" s="131" t="s">
        <v>65</v>
      </c>
      <c r="G3" s="79" t="s">
        <v>64</v>
      </c>
      <c r="H3" s="131" t="s">
        <v>66</v>
      </c>
      <c r="I3" s="131"/>
      <c r="J3" s="131"/>
      <c r="K3" s="79" t="s">
        <v>64</v>
      </c>
      <c r="L3" s="131" t="s">
        <v>66</v>
      </c>
      <c r="M3" s="79" t="s">
        <v>64</v>
      </c>
      <c r="N3" s="131" t="s">
        <v>66</v>
      </c>
      <c r="O3" s="202"/>
    </row>
    <row r="4" spans="1:15" ht="15" customHeight="1">
      <c r="A4" s="191" t="s">
        <v>155</v>
      </c>
      <c r="B4" s="192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1:15" ht="15" customHeight="1">
      <c r="A5" s="189" t="s">
        <v>67</v>
      </c>
      <c r="B5" s="81" t="s">
        <v>68</v>
      </c>
      <c r="C5" s="82" t="s">
        <v>69</v>
      </c>
      <c r="D5" s="83">
        <v>85</v>
      </c>
      <c r="E5" s="84">
        <v>1057</v>
      </c>
      <c r="F5" s="84">
        <f t="shared" ref="F5:F12" si="0">D5*E5</f>
        <v>89845</v>
      </c>
      <c r="G5" s="84">
        <v>8839.9</v>
      </c>
      <c r="H5" s="84">
        <f t="shared" ref="H5:H12" si="1">D5*G5</f>
        <v>751391.5</v>
      </c>
      <c r="I5" s="84"/>
      <c r="J5" s="84"/>
      <c r="K5" s="84"/>
      <c r="L5" s="84"/>
      <c r="M5" s="84"/>
      <c r="N5" s="84">
        <f>F5+H5+J5+L5</f>
        <v>841236.5</v>
      </c>
      <c r="O5" s="183" t="s">
        <v>129</v>
      </c>
    </row>
    <row r="6" spans="1:15" ht="15" customHeight="1">
      <c r="A6" s="190"/>
      <c r="B6" s="81" t="s">
        <v>70</v>
      </c>
      <c r="C6" s="82" t="s">
        <v>69</v>
      </c>
      <c r="D6" s="83">
        <v>40</v>
      </c>
      <c r="E6" s="84">
        <v>1057</v>
      </c>
      <c r="F6" s="84">
        <f t="shared" si="0"/>
        <v>42280</v>
      </c>
      <c r="G6" s="84">
        <v>11617.4</v>
      </c>
      <c r="H6" s="84">
        <f t="shared" si="1"/>
        <v>464696</v>
      </c>
      <c r="I6" s="84"/>
      <c r="J6" s="84"/>
      <c r="K6" s="84"/>
      <c r="L6" s="84"/>
      <c r="M6" s="84"/>
      <c r="N6" s="84">
        <f t="shared" ref="N6:N12" si="2">F6+H6+J6+L6</f>
        <v>506976</v>
      </c>
      <c r="O6" s="184"/>
    </row>
    <row r="7" spans="1:15" ht="15" customHeight="1">
      <c r="A7" s="190"/>
      <c r="B7" s="81" t="s">
        <v>71</v>
      </c>
      <c r="C7" s="82" t="s">
        <v>69</v>
      </c>
      <c r="D7" s="83">
        <v>38</v>
      </c>
      <c r="E7" s="84">
        <v>1057</v>
      </c>
      <c r="F7" s="84">
        <f t="shared" si="0"/>
        <v>40166</v>
      </c>
      <c r="G7" s="84">
        <v>8839.9</v>
      </c>
      <c r="H7" s="84">
        <f t="shared" si="1"/>
        <v>335916.2</v>
      </c>
      <c r="I7" s="84"/>
      <c r="J7" s="84"/>
      <c r="K7" s="84"/>
      <c r="L7" s="84"/>
      <c r="M7" s="84"/>
      <c r="N7" s="84">
        <f t="shared" si="2"/>
        <v>376082.2</v>
      </c>
      <c r="O7" s="184"/>
    </row>
    <row r="8" spans="1:15" ht="15" customHeight="1">
      <c r="A8" s="190"/>
      <c r="B8" s="81" t="s">
        <v>72</v>
      </c>
      <c r="C8" s="82" t="s">
        <v>69</v>
      </c>
      <c r="D8" s="83">
        <v>10</v>
      </c>
      <c r="E8" s="84">
        <v>1057</v>
      </c>
      <c r="F8" s="84">
        <f t="shared" si="0"/>
        <v>10570</v>
      </c>
      <c r="G8" s="84">
        <v>11617.4</v>
      </c>
      <c r="H8" s="84">
        <f t="shared" si="1"/>
        <v>116174</v>
      </c>
      <c r="I8" s="84"/>
      <c r="J8" s="84"/>
      <c r="K8" s="84"/>
      <c r="L8" s="84"/>
      <c r="M8" s="84"/>
      <c r="N8" s="84">
        <f t="shared" si="2"/>
        <v>126744</v>
      </c>
      <c r="O8" s="184"/>
    </row>
    <row r="9" spans="1:15" ht="15" customHeight="1">
      <c r="A9" s="190"/>
      <c r="B9" s="81" t="s">
        <v>73</v>
      </c>
      <c r="C9" s="82" t="s">
        <v>69</v>
      </c>
      <c r="D9" s="83">
        <v>32</v>
      </c>
      <c r="E9" s="84">
        <v>1057</v>
      </c>
      <c r="F9" s="84">
        <f t="shared" si="0"/>
        <v>33824</v>
      </c>
      <c r="G9" s="84">
        <v>8839.9</v>
      </c>
      <c r="H9" s="84">
        <f t="shared" si="1"/>
        <v>282876.79999999999</v>
      </c>
      <c r="I9" s="84"/>
      <c r="J9" s="84"/>
      <c r="K9" s="84"/>
      <c r="L9" s="84"/>
      <c r="M9" s="84"/>
      <c r="N9" s="84">
        <f t="shared" si="2"/>
        <v>316700.79999999999</v>
      </c>
      <c r="O9" s="184"/>
    </row>
    <row r="10" spans="1:15" ht="15" customHeight="1">
      <c r="A10" s="190"/>
      <c r="B10" s="81" t="s">
        <v>74</v>
      </c>
      <c r="C10" s="82" t="s">
        <v>69</v>
      </c>
      <c r="D10" s="83">
        <v>8</v>
      </c>
      <c r="E10" s="84">
        <v>1057</v>
      </c>
      <c r="F10" s="84">
        <f t="shared" si="0"/>
        <v>8456</v>
      </c>
      <c r="G10" s="84">
        <v>11617.4</v>
      </c>
      <c r="H10" s="84">
        <f t="shared" si="1"/>
        <v>92939.199999999997</v>
      </c>
      <c r="I10" s="84"/>
      <c r="J10" s="84"/>
      <c r="K10" s="84"/>
      <c r="L10" s="84"/>
      <c r="M10" s="84"/>
      <c r="N10" s="84">
        <f t="shared" si="2"/>
        <v>101395.2</v>
      </c>
      <c r="O10" s="184"/>
    </row>
    <row r="11" spans="1:15" ht="15" customHeight="1">
      <c r="A11" s="190"/>
      <c r="B11" s="81" t="s">
        <v>75</v>
      </c>
      <c r="C11" s="82" t="s">
        <v>69</v>
      </c>
      <c r="D11" s="83">
        <v>31</v>
      </c>
      <c r="E11" s="84">
        <v>1057</v>
      </c>
      <c r="F11" s="84">
        <f t="shared" si="0"/>
        <v>32767</v>
      </c>
      <c r="G11" s="84">
        <v>8839.9</v>
      </c>
      <c r="H11" s="84">
        <f t="shared" si="1"/>
        <v>274036.89999999997</v>
      </c>
      <c r="I11" s="84"/>
      <c r="J11" s="84"/>
      <c r="K11" s="84"/>
      <c r="L11" s="84"/>
      <c r="M11" s="84"/>
      <c r="N11" s="84">
        <f t="shared" si="2"/>
        <v>306803.89999999997</v>
      </c>
      <c r="O11" s="184"/>
    </row>
    <row r="12" spans="1:15" ht="15" customHeight="1">
      <c r="A12" s="190"/>
      <c r="B12" s="81" t="s">
        <v>76</v>
      </c>
      <c r="C12" s="82" t="s">
        <v>69</v>
      </c>
      <c r="D12" s="85">
        <v>8</v>
      </c>
      <c r="E12" s="84">
        <v>1057</v>
      </c>
      <c r="F12" s="84">
        <f t="shared" si="0"/>
        <v>8456</v>
      </c>
      <c r="G12" s="84">
        <v>11617.4</v>
      </c>
      <c r="H12" s="84">
        <f t="shared" si="1"/>
        <v>92939.199999999997</v>
      </c>
      <c r="I12" s="84"/>
      <c r="J12" s="84"/>
      <c r="K12" s="84"/>
      <c r="L12" s="84"/>
      <c r="M12" s="84"/>
      <c r="N12" s="84">
        <f t="shared" si="2"/>
        <v>101395.2</v>
      </c>
      <c r="O12" s="184"/>
    </row>
    <row r="13" spans="1:15" ht="15" customHeight="1">
      <c r="A13" s="109" t="s">
        <v>77</v>
      </c>
      <c r="B13" s="110"/>
      <c r="C13" s="111"/>
      <c r="D13" s="112"/>
      <c r="E13" s="113"/>
      <c r="F13" s="113">
        <f>SUM(F5:F12)</f>
        <v>266364</v>
      </c>
      <c r="G13" s="113"/>
      <c r="H13" s="113">
        <f>SUM(H5:H12)</f>
        <v>2410969.8000000003</v>
      </c>
      <c r="I13" s="113"/>
      <c r="J13" s="113">
        <f>SUM(J5:J12)</f>
        <v>0</v>
      </c>
      <c r="K13" s="113"/>
      <c r="L13" s="113">
        <f>SUM(L5:L12)</f>
        <v>0</v>
      </c>
      <c r="M13" s="113"/>
      <c r="N13" s="113">
        <f>SUM(N5:N12)</f>
        <v>2677333.8000000003</v>
      </c>
      <c r="O13" s="113"/>
    </row>
    <row r="14" spans="1:15" ht="15" customHeight="1">
      <c r="A14" s="185" t="s">
        <v>130</v>
      </c>
      <c r="B14" s="81" t="s">
        <v>78</v>
      </c>
      <c r="C14" s="82" t="s">
        <v>69</v>
      </c>
      <c r="D14" s="85">
        <v>33.200000000000003</v>
      </c>
      <c r="E14" s="84">
        <v>10855</v>
      </c>
      <c r="F14" s="123">
        <f>D14*E14</f>
        <v>360386.00000000006</v>
      </c>
      <c r="G14" s="84">
        <v>6668.1</v>
      </c>
      <c r="H14" s="123">
        <f>D14*G14</f>
        <v>221380.92000000004</v>
      </c>
      <c r="I14" s="123"/>
      <c r="J14" s="123"/>
      <c r="K14" s="84"/>
      <c r="L14" s="123"/>
      <c r="M14" s="84"/>
      <c r="N14" s="123">
        <f t="shared" ref="N14:N17" si="3">F14+H14+J14+L14</f>
        <v>581766.92000000016</v>
      </c>
      <c r="O14" s="184"/>
    </row>
    <row r="15" spans="1:15" ht="15" customHeight="1">
      <c r="A15" s="185"/>
      <c r="B15" s="81" t="s">
        <v>79</v>
      </c>
      <c r="C15" s="82" t="s">
        <v>69</v>
      </c>
      <c r="D15" s="124">
        <v>11.7</v>
      </c>
      <c r="E15" s="84">
        <v>10855</v>
      </c>
      <c r="F15" s="123">
        <f>D15*E15</f>
        <v>127003.49999999999</v>
      </c>
      <c r="G15" s="84">
        <v>6668.1</v>
      </c>
      <c r="H15" s="123">
        <f>D15*G15</f>
        <v>78016.77</v>
      </c>
      <c r="I15" s="123"/>
      <c r="J15" s="123"/>
      <c r="K15" s="84"/>
      <c r="L15" s="123"/>
      <c r="M15" s="84"/>
      <c r="N15" s="123">
        <f t="shared" si="3"/>
        <v>205020.27</v>
      </c>
      <c r="O15" s="184"/>
    </row>
    <row r="16" spans="1:15" ht="15" customHeight="1">
      <c r="A16" s="185"/>
      <c r="B16" s="81" t="s">
        <v>80</v>
      </c>
      <c r="C16" s="82" t="s">
        <v>69</v>
      </c>
      <c r="D16" s="124">
        <v>8.5</v>
      </c>
      <c r="E16" s="84">
        <v>10855</v>
      </c>
      <c r="F16" s="123">
        <f>D16*E16</f>
        <v>92267.5</v>
      </c>
      <c r="G16" s="84">
        <v>6668.1</v>
      </c>
      <c r="H16" s="123">
        <f>D16*G16</f>
        <v>56678.850000000006</v>
      </c>
      <c r="I16" s="123"/>
      <c r="J16" s="123"/>
      <c r="K16" s="84"/>
      <c r="L16" s="123"/>
      <c r="M16" s="84"/>
      <c r="N16" s="123">
        <f t="shared" si="3"/>
        <v>148946.35</v>
      </c>
      <c r="O16" s="184"/>
    </row>
    <row r="17" spans="1:15" ht="15" customHeight="1">
      <c r="A17" s="186"/>
      <c r="B17" s="81" t="s">
        <v>81</v>
      </c>
      <c r="C17" s="82" t="s">
        <v>69</v>
      </c>
      <c r="D17" s="124">
        <v>8.4</v>
      </c>
      <c r="E17" s="84">
        <v>10855</v>
      </c>
      <c r="F17" s="123">
        <f>D17*E17</f>
        <v>91182</v>
      </c>
      <c r="G17" s="84">
        <v>6668.1</v>
      </c>
      <c r="H17" s="123">
        <f>D17*G17</f>
        <v>56012.040000000008</v>
      </c>
      <c r="I17" s="123"/>
      <c r="J17" s="123"/>
      <c r="K17" s="84"/>
      <c r="L17" s="123"/>
      <c r="M17" s="84"/>
      <c r="N17" s="123">
        <f t="shared" si="3"/>
        <v>147194.04</v>
      </c>
      <c r="O17" s="187"/>
    </row>
    <row r="18" spans="1:15" ht="15" customHeight="1">
      <c r="A18" s="103" t="s">
        <v>77</v>
      </c>
      <c r="B18" s="86"/>
      <c r="C18" s="90"/>
      <c r="D18" s="125">
        <f>SUM(D14:D17)</f>
        <v>61.800000000000004</v>
      </c>
      <c r="E18" s="89"/>
      <c r="F18" s="89">
        <f>SUM(F14:F17)</f>
        <v>670839</v>
      </c>
      <c r="G18" s="89"/>
      <c r="H18" s="89">
        <f>SUM(H14:H17)</f>
        <v>412088.58000000007</v>
      </c>
      <c r="I18" s="89"/>
      <c r="J18" s="89">
        <f>SUM(J14:J17)</f>
        <v>0</v>
      </c>
      <c r="K18" s="89"/>
      <c r="L18" s="89">
        <f>SUM(L14:L17)</f>
        <v>0</v>
      </c>
      <c r="M18" s="89"/>
      <c r="N18" s="89">
        <f>SUM(N14:N17)</f>
        <v>1082927.58</v>
      </c>
      <c r="O18" s="89"/>
    </row>
    <row r="19" spans="1:15" ht="15" customHeight="1">
      <c r="A19" s="106" t="s">
        <v>82</v>
      </c>
      <c r="B19" s="91"/>
      <c r="C19" s="92"/>
      <c r="D19" s="93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</row>
    <row r="20" spans="1:15" ht="15" customHeight="1">
      <c r="A20" s="126" t="s">
        <v>126</v>
      </c>
      <c r="B20" s="134" t="s">
        <v>125</v>
      </c>
      <c r="C20" s="134" t="s">
        <v>124</v>
      </c>
      <c r="D20" s="114">
        <v>0.3</v>
      </c>
      <c r="E20" s="84">
        <v>54693</v>
      </c>
      <c r="F20" s="123">
        <f>D20*E20</f>
        <v>16407.899999999998</v>
      </c>
      <c r="G20" s="84"/>
      <c r="H20" s="84"/>
      <c r="I20" s="84"/>
      <c r="J20" s="84"/>
      <c r="K20" s="84"/>
      <c r="L20" s="84"/>
      <c r="M20" s="84"/>
      <c r="N20" s="127">
        <f t="shared" ref="N20:N24" si="4">F20+H20+J20+L20</f>
        <v>16407.899999999998</v>
      </c>
      <c r="O20" s="84"/>
    </row>
    <row r="21" spans="1:15" ht="15" customHeight="1">
      <c r="A21" s="188" t="s">
        <v>83</v>
      </c>
      <c r="B21" s="91" t="s">
        <v>84</v>
      </c>
      <c r="C21" s="92" t="s">
        <v>69</v>
      </c>
      <c r="D21" s="93">
        <v>17</v>
      </c>
      <c r="E21" s="127"/>
      <c r="F21" s="127">
        <f>D21*E21</f>
        <v>0</v>
      </c>
      <c r="G21" s="127">
        <v>8711</v>
      </c>
      <c r="H21" s="127">
        <f t="shared" ref="H21:H24" si="5">D21*G21</f>
        <v>148087</v>
      </c>
      <c r="I21" s="127"/>
      <c r="J21" s="127"/>
      <c r="K21" s="127"/>
      <c r="L21" s="127"/>
      <c r="M21" s="127"/>
      <c r="N21" s="127">
        <f t="shared" si="4"/>
        <v>148087</v>
      </c>
      <c r="O21" s="84"/>
    </row>
    <row r="22" spans="1:15" ht="15" customHeight="1">
      <c r="A22" s="188"/>
      <c r="B22" s="91" t="s">
        <v>85</v>
      </c>
      <c r="C22" s="92" t="s">
        <v>69</v>
      </c>
      <c r="D22" s="93">
        <v>17</v>
      </c>
      <c r="E22" s="127"/>
      <c r="F22" s="127">
        <f t="shared" ref="F22" si="6">D22*E22</f>
        <v>0</v>
      </c>
      <c r="G22" s="127">
        <v>5159</v>
      </c>
      <c r="H22" s="127">
        <f t="shared" si="5"/>
        <v>87703</v>
      </c>
      <c r="I22" s="127"/>
      <c r="J22" s="127"/>
      <c r="K22" s="127"/>
      <c r="L22" s="127"/>
      <c r="M22" s="127"/>
      <c r="N22" s="127">
        <f t="shared" si="4"/>
        <v>87703</v>
      </c>
      <c r="O22" s="84"/>
    </row>
    <row r="23" spans="1:15" ht="15" customHeight="1">
      <c r="A23" s="188" t="s">
        <v>86</v>
      </c>
      <c r="B23" s="91" t="s">
        <v>84</v>
      </c>
      <c r="C23" s="92" t="s">
        <v>69</v>
      </c>
      <c r="D23" s="93">
        <v>11</v>
      </c>
      <c r="E23" s="127"/>
      <c r="F23" s="127">
        <f>D23*E23</f>
        <v>0</v>
      </c>
      <c r="G23" s="127">
        <v>8711</v>
      </c>
      <c r="H23" s="127">
        <f t="shared" si="5"/>
        <v>95821</v>
      </c>
      <c r="I23" s="127"/>
      <c r="J23" s="127"/>
      <c r="K23" s="127"/>
      <c r="L23" s="127"/>
      <c r="M23" s="127"/>
      <c r="N23" s="127">
        <f t="shared" si="4"/>
        <v>95821</v>
      </c>
      <c r="O23" s="84"/>
    </row>
    <row r="24" spans="1:15" ht="15" customHeight="1">
      <c r="A24" s="188"/>
      <c r="B24" s="91" t="s">
        <v>85</v>
      </c>
      <c r="C24" s="92" t="s">
        <v>69</v>
      </c>
      <c r="D24" s="93">
        <v>11</v>
      </c>
      <c r="E24" s="127"/>
      <c r="F24" s="127">
        <f t="shared" ref="F24" si="7">D24*E24</f>
        <v>0</v>
      </c>
      <c r="G24" s="127">
        <v>5159</v>
      </c>
      <c r="H24" s="127">
        <f t="shared" si="5"/>
        <v>56749</v>
      </c>
      <c r="I24" s="127"/>
      <c r="J24" s="127"/>
      <c r="K24" s="127"/>
      <c r="L24" s="127"/>
      <c r="M24" s="127"/>
      <c r="N24" s="127">
        <f t="shared" si="4"/>
        <v>56749</v>
      </c>
      <c r="O24" s="84"/>
    </row>
    <row r="25" spans="1:15" ht="15" customHeight="1">
      <c r="A25" s="103" t="s">
        <v>77</v>
      </c>
      <c r="B25" s="94"/>
      <c r="C25" s="95"/>
      <c r="D25" s="88"/>
      <c r="E25" s="89"/>
      <c r="F25" s="89">
        <f>SUM(F19:F24)</f>
        <v>16407.899999999998</v>
      </c>
      <c r="G25" s="89"/>
      <c r="H25" s="89">
        <f>SUM(H19:H24)</f>
        <v>388360</v>
      </c>
      <c r="I25" s="89"/>
      <c r="J25" s="89">
        <f>SUM(J19:J24)</f>
        <v>0</v>
      </c>
      <c r="K25" s="89"/>
      <c r="L25" s="89">
        <f>SUM(L19:L24)</f>
        <v>0</v>
      </c>
      <c r="M25" s="89"/>
      <c r="N25" s="89">
        <f>SUM(N19:N24)</f>
        <v>404767.9</v>
      </c>
      <c r="O25" s="89"/>
    </row>
    <row r="26" spans="1:15" ht="15" customHeight="1">
      <c r="A26" s="107" t="s">
        <v>87</v>
      </c>
      <c r="B26" s="81" t="s">
        <v>141</v>
      </c>
      <c r="C26" s="82" t="s">
        <v>69</v>
      </c>
      <c r="D26" s="128">
        <v>96</v>
      </c>
      <c r="E26" s="123"/>
      <c r="F26" s="123"/>
      <c r="G26" s="84">
        <v>4147</v>
      </c>
      <c r="H26" s="123">
        <f>D26*G26</f>
        <v>398112</v>
      </c>
      <c r="I26" s="123"/>
      <c r="J26" s="123"/>
      <c r="K26" s="123"/>
      <c r="L26" s="123"/>
      <c r="M26" s="123"/>
      <c r="N26" s="123">
        <f>F26+H26+J26+L26</f>
        <v>398112</v>
      </c>
      <c r="O26" s="96" t="s">
        <v>88</v>
      </c>
    </row>
    <row r="27" spans="1:15" ht="15" customHeight="1">
      <c r="A27" s="104" t="s">
        <v>77</v>
      </c>
      <c r="B27" s="86"/>
      <c r="C27" s="87"/>
      <c r="D27" s="97"/>
      <c r="E27" s="98"/>
      <c r="F27" s="98"/>
      <c r="G27" s="98"/>
      <c r="H27" s="89">
        <f>SUM(H26:H26)</f>
        <v>398112</v>
      </c>
      <c r="I27" s="98"/>
      <c r="J27" s="89">
        <f t="shared" ref="J27:N27" si="8">SUM(J26:J26)</f>
        <v>0</v>
      </c>
      <c r="K27" s="89"/>
      <c r="L27" s="89">
        <f t="shared" si="8"/>
        <v>0</v>
      </c>
      <c r="M27" s="89"/>
      <c r="N27" s="89">
        <f t="shared" si="8"/>
        <v>398112</v>
      </c>
      <c r="O27" s="98"/>
    </row>
    <row r="28" spans="1:15" ht="15" customHeight="1">
      <c r="A28" s="103" t="s">
        <v>123</v>
      </c>
      <c r="B28" s="86"/>
      <c r="C28" s="87"/>
      <c r="D28" s="97"/>
      <c r="E28" s="99"/>
      <c r="F28" s="100">
        <f>F13+F18+F25+F27</f>
        <v>953610.9</v>
      </c>
      <c r="G28" s="100"/>
      <c r="H28" s="100">
        <f>H13+H18+H25+H27</f>
        <v>3609530.3800000004</v>
      </c>
      <c r="I28" s="99"/>
      <c r="J28" s="100">
        <f>J13+J18+J25+J27</f>
        <v>0</v>
      </c>
      <c r="K28" s="99"/>
      <c r="L28" s="100">
        <f>L13+L18+L25+L27</f>
        <v>0</v>
      </c>
      <c r="M28" s="99"/>
      <c r="N28" s="100">
        <f>N13+N18+N25+N27</f>
        <v>4563141.28</v>
      </c>
      <c r="O28" s="99"/>
    </row>
  </sheetData>
  <mergeCells count="18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O5:O12"/>
    <mergeCell ref="A14:A17"/>
    <mergeCell ref="O14:O17"/>
    <mergeCell ref="A21:A22"/>
    <mergeCell ref="A23:A24"/>
    <mergeCell ref="A5:A12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10"/>
  <sheetViews>
    <sheetView showGridLines="0" zoomScaleNormal="100" workbookViewId="0">
      <selection activeCell="G28" sqref="G28"/>
    </sheetView>
  </sheetViews>
  <sheetFormatPr defaultColWidth="9" defaultRowHeight="13.5"/>
  <cols>
    <col min="1" max="1" width="25.125" style="119" customWidth="1"/>
    <col min="2" max="2" width="16.25" style="119" customWidth="1"/>
    <col min="3" max="3" width="22.375" style="119" customWidth="1"/>
    <col min="4" max="4" width="24.125" style="119" customWidth="1"/>
    <col min="5" max="5" width="13" style="119" customWidth="1"/>
    <col min="6" max="6" width="9" style="119" customWidth="1"/>
    <col min="7" max="16384" width="9" style="78"/>
  </cols>
  <sheetData>
    <row r="1" spans="1:6" ht="18" customHeight="1">
      <c r="A1" s="115" t="s">
        <v>142</v>
      </c>
      <c r="B1" s="115" t="s">
        <v>143</v>
      </c>
      <c r="C1" s="115" t="s">
        <v>144</v>
      </c>
      <c r="D1" s="115" t="s">
        <v>145</v>
      </c>
      <c r="E1" s="115" t="s">
        <v>146</v>
      </c>
      <c r="F1" s="115" t="s">
        <v>0</v>
      </c>
    </row>
    <row r="2" spans="1:6">
      <c r="A2" s="116" t="str">
        <f>'내역서(표준단가)'!A5</f>
        <v>M020853710050101</v>
      </c>
      <c r="B2" s="117">
        <f>'내역서(표준단가)'!F5</f>
        <v>0</v>
      </c>
      <c r="C2" s="117">
        <f>'내역서(표준단가)'!G5</f>
        <v>0</v>
      </c>
      <c r="D2" s="117" t="str">
        <f>'내역서(표준단가)'!H5</f>
        <v>M020853710050101</v>
      </c>
      <c r="E2" s="117">
        <f>'내역서(표준단가)'!I5</f>
        <v>0</v>
      </c>
      <c r="F2" s="118">
        <f>'내역서(표준단가)'!M5</f>
        <v>15.263</v>
      </c>
    </row>
    <row r="3" spans="1:6">
      <c r="A3" s="116" t="str">
        <f>'내역서(표준단가)'!A6</f>
        <v>E00000803071260301</v>
      </c>
      <c r="B3" s="117">
        <f>'내역서(표준단가)'!F6</f>
        <v>0</v>
      </c>
      <c r="C3" s="117" t="str">
        <f>'내역서(표준단가)'!G6</f>
        <v>E00000803071260301</v>
      </c>
      <c r="D3" s="117">
        <f>'내역서(표준단가)'!H6</f>
        <v>0</v>
      </c>
      <c r="E3" s="117">
        <f>'내역서(표준단가)'!I6</f>
        <v>0</v>
      </c>
      <c r="F3" s="118">
        <f>'내역서(표준단가)'!M6</f>
        <v>4.0430000000000001</v>
      </c>
    </row>
    <row r="4" spans="1:6">
      <c r="A4" s="116" t="str">
        <f>'내역서(표준단가)'!A7</f>
        <v>E00000803071260301</v>
      </c>
      <c r="B4" s="117">
        <f>'내역서(표준단가)'!F7</f>
        <v>0</v>
      </c>
      <c r="C4" s="117" t="str">
        <f>'내역서(표준단가)'!G7</f>
        <v>E00000803071260301</v>
      </c>
      <c r="D4" s="117">
        <f>'내역서(표준단가)'!H7</f>
        <v>0</v>
      </c>
      <c r="E4" s="117">
        <f>'내역서(표준단가)'!I7</f>
        <v>0</v>
      </c>
      <c r="F4" s="118">
        <f>'내역서(표준단가)'!M7</f>
        <v>1.8859999999999999</v>
      </c>
    </row>
    <row r="5" spans="1:6">
      <c r="A5" s="116" t="str">
        <f>'내역서(표준단가)'!A8</f>
        <v>M020809012520101</v>
      </c>
      <c r="B5" s="117">
        <f>'내역서(표준단가)'!F8</f>
        <v>0</v>
      </c>
      <c r="C5" s="117">
        <f>'내역서(표준단가)'!G8</f>
        <v>0</v>
      </c>
      <c r="D5" s="117" t="str">
        <f>'내역서(표준단가)'!H8</f>
        <v>M020809012520101</v>
      </c>
      <c r="E5" s="117">
        <f>'내역서(표준단가)'!I8</f>
        <v>0</v>
      </c>
      <c r="F5" s="118">
        <f>'내역서(표준단가)'!M8</f>
        <v>61.8</v>
      </c>
    </row>
    <row r="6" spans="1:6">
      <c r="A6" s="116" t="str">
        <f>'내역서(표준단가)'!A9</f>
        <v>E00000803071260401</v>
      </c>
      <c r="B6" s="117">
        <f>'내역서(표준단가)'!F9</f>
        <v>0</v>
      </c>
      <c r="C6" s="117" t="str">
        <f>'내역서(표준단가)'!G9</f>
        <v>E00000803071260401</v>
      </c>
      <c r="D6" s="117">
        <f>'내역서(표준단가)'!H9</f>
        <v>0</v>
      </c>
      <c r="E6" s="117">
        <f>'내역서(표준단가)'!I9</f>
        <v>0</v>
      </c>
      <c r="F6" s="118">
        <f>'내역서(표준단가)'!M9</f>
        <v>1.0132000000000001</v>
      </c>
    </row>
    <row r="7" spans="1:6">
      <c r="A7" s="116" t="str">
        <f>'내역서(표준단가)'!A10</f>
        <v>M020412614110102</v>
      </c>
      <c r="B7" s="117">
        <f>'내역서(표준단가)'!F10</f>
        <v>0</v>
      </c>
      <c r="C7" s="117">
        <f>'내역서(표준단가)'!G10</f>
        <v>0</v>
      </c>
      <c r="D7" s="117" t="str">
        <f>'내역서(표준단가)'!H10</f>
        <v>M020412614110102</v>
      </c>
      <c r="E7" s="117">
        <f>'내역서(표준단가)'!I10</f>
        <v>0</v>
      </c>
      <c r="F7" s="118">
        <f>'내역서(표준단가)'!M10</f>
        <v>0.3</v>
      </c>
    </row>
    <row r="8" spans="1:6">
      <c r="A8" s="116" t="str">
        <f>'내역서(표준단가)'!A11</f>
        <v>E00000803061120402</v>
      </c>
      <c r="B8" s="117">
        <f>'내역서(표준단가)'!F11</f>
        <v>0</v>
      </c>
      <c r="C8" s="117" t="str">
        <f>'내역서(표준단가)'!G11</f>
        <v>E00000803061120402</v>
      </c>
      <c r="D8" s="117">
        <f>'내역서(표준단가)'!H11</f>
        <v>0</v>
      </c>
      <c r="E8" s="117">
        <f>'내역서(표준단가)'!I11</f>
        <v>0</v>
      </c>
      <c r="F8" s="118">
        <f>'내역서(표준단가)'!M11</f>
        <v>28</v>
      </c>
    </row>
    <row r="9" spans="1:6">
      <c r="A9" s="116" t="str">
        <f>'내역서(표준단가)'!A12</f>
        <v>E00000803061300201</v>
      </c>
      <c r="B9" s="117">
        <f>'내역서(표준단가)'!F12</f>
        <v>0</v>
      </c>
      <c r="C9" s="117" t="str">
        <f>'내역서(표준단가)'!G12</f>
        <v>E00000803061300201</v>
      </c>
      <c r="D9" s="117">
        <f>'내역서(표준단가)'!H12</f>
        <v>0</v>
      </c>
      <c r="E9" s="117">
        <f>'내역서(표준단가)'!I12</f>
        <v>0</v>
      </c>
      <c r="F9" s="118">
        <f>'내역서(표준단가)'!M12</f>
        <v>28</v>
      </c>
    </row>
    <row r="10" spans="1:6">
      <c r="A10" s="116" t="str">
        <f>'내역서(표준단가)'!A13</f>
        <v>E00000801011510701</v>
      </c>
      <c r="B10" s="117">
        <f>'내역서(표준단가)'!F13</f>
        <v>0</v>
      </c>
      <c r="C10" s="117" t="str">
        <f>'내역서(표준단가)'!G13</f>
        <v>E00000801011510701</v>
      </c>
      <c r="D10" s="117">
        <f>'내역서(표준단가)'!H13</f>
        <v>0</v>
      </c>
      <c r="E10" s="117">
        <f>'내역서(표준단가)'!I13</f>
        <v>0</v>
      </c>
      <c r="F10" s="118">
        <f>'내역서(표준단가)'!M13</f>
        <v>96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3.5"/>
  <cols>
    <col min="1" max="16384" width="9" style="78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2024-12-21T04:56:43Z</cp:lastPrinted>
  <dcterms:created xsi:type="dcterms:W3CDTF">2020-09-15T23:52:51Z</dcterms:created>
  <dcterms:modified xsi:type="dcterms:W3CDTF">2026-01-13T01:56:46Z</dcterms:modified>
</cp:coreProperties>
</file>
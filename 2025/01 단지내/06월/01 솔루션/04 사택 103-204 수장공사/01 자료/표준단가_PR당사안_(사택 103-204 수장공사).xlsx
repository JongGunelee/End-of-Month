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07\06 작업폴더\02 사택 103-204 수장공사\01 자료\"/>
    </mc:Choice>
  </mc:AlternateContent>
  <xr:revisionPtr revIDLastSave="0" documentId="13_ncr:1_{4C9ED7F2-0DDD-4848-A865-C1DAFF1BD39B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4" i="12" l="1"/>
  <c r="J23" i="12"/>
  <c r="J26" i="12"/>
  <c r="J25" i="12"/>
  <c r="J27" i="12" s="1"/>
  <c r="J22" i="12"/>
  <c r="U5" i="4"/>
  <c r="S5" i="4"/>
  <c r="Q5" i="4"/>
  <c r="O5" i="4"/>
  <c r="A5" i="4"/>
  <c r="A2" i="10" s="1"/>
  <c r="J28" i="12" l="1"/>
  <c r="J20" i="12" s="1"/>
  <c r="V5" i="4"/>
  <c r="J30" i="12" l="1"/>
  <c r="H26" i="9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M32" i="12" l="1"/>
  <c r="B15" i="12" s="1"/>
  <c r="V6" i="4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<sst xmlns="http://schemas.openxmlformats.org/spreadsheetml/2006/main" count="220" uniqueCount="169">
  <si>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</si>
  <si>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</si>
  <si>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</si>
  <si>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</si>
  <si>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</si>
  <si>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</si>
  <si>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</si>
  <si>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</si>
  <si>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</si>
  <si>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</si>
  <si>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</si>
  <si>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</si>
  <si>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</si>
  <si>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</si>
  <si>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</si>
  <si>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</si>
  <si>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</si>
  <si>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</si>
  <si>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</si>
  <si>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</si>
  <si>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</si>
  <si>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</si>
  <si>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</si>
  <si>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</si>
  <si>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</si>
  <si>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</si>
  <si>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</si>
  <si>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</si>
  <si>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</si>
  <si>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</si>
  <si>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</si>
  <si>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</si>
  <si>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</si>
  <si>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</si>
  <si>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</si>
  <si>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</si>
  <si>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</si>
  <si>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</si>
  <si>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</si>
  <si>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</si>
  <si>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</si>
  <si>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</si>
  <si>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</si>
  <si>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</si>
  <si>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</si>
  <si>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</si>
  <si>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</si>
  <si>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</si>
  <si>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</si>
  <si>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</si>
  <si>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</si>
  <si>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</si>
  <si>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</si>
  <si>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</si>
  <si>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</si>
  <si>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</si>
  <si>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</si>
  <si>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</si>
  <si>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</si>
  <si>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</si>
  <si>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</si>
  <si>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</si>
  <si>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</si>
  <si>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</si>
  <si>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</si>
  <si>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</si>
  <si>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</si>
  <si>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</si>
  <si>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</si>
  <si>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</si>
  <si>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</si>
  <si>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</si>
  <si>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</si>
  <si>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</si>
  <si>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</si>
  <si>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</si>
  <si>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</si>
  <si>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</si>
  <si>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</si>
  <si>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</si>
  <si>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</si>
  <si>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</si>
  <si>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</si>
  <si>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</si>
  <si>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</si>
  <si>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</si>
  <si>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</si>
  <si>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</si>
  <si>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</si>
  <si>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</si>
  <si>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</si>
  <si>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</si>
  <si>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</si>
  <si>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</si>
  <si>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</si>
  <si>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</si>
  <si>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</si>
  <si>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</si>
  <si>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</si>
  <si>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</si>
  <si>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</si>
  <si>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</si>
  <si>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사택 103-204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</si>
  <si>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</si>
  <si>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</si>
  <si>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</si>
  <si>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</si>
  <si>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</si>
  <si>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</si>
  <si>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</si>
  <si>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</si>
  <si>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</si>
  <si>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</si>
  <si>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</si>
  <si>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</si>
  <si>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</si>
  <si>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</si>
  <si>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</si>
  <si>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</si>
  <si>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</si>
  <si>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</si>
  <si>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</si>
  <si>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</si>
  <si>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</si>
  <si>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</si>
  <si>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</si>
  <si>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</si>
  <si>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</si>
  <si>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</si>
  <si>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</si>
  <si>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</si>
  <si>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</si>
  <si>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</si>
  <si>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</si>
  <si>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</si>
  <si>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</si>
  <si>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</si>
  <si>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</si>
  <si>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</si>
  <si>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</si>
  <si>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</si>
  <si>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</si>
  <si>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</si>
  <si>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</si>
  <si>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</si>
  <si>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</si>
  <si>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</si>
  <si>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</si>
  <si>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</si>
  <si>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</si>
  <si>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</si>
  <si>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</si>
  <si>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</si>
  <si>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</si>
  <si>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</si>
  <si>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</si>
  <si>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</si>
  <si>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</si>
  <si>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</si>
  <si>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</si>
  <si>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</si>
  <si>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</si>
  <si>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</si>
  <si>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</si>
  <si>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</si>
  <si>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</si>
  <si>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</si>
  <si>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103-204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</si>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</sst>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21" fillId="2" borderId="0" xfId="2" applyNumberFormat="1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76" fontId="21" fillId="3" borderId="1" xfId="4" applyFont="1" applyFill="1" applyBorder="1" applyAlignment="1">
      <alignment horizontal="center" vertical="center"/>
    </xf>
    <xf numFmtId="179" fontId="21" fillId="3" borderId="1" xfId="5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7" fillId="5" borderId="1" xfId="1" applyFont="1" applyFill="1" applyBorder="1" applyAlignment="1">
      <alignment horizontal="center" vertical="center" wrapText="1"/>
    </xf>
    <xf numFmtId="176" fontId="17" fillId="0" borderId="1" xfId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181" fontId="23" fillId="0" borderId="10" xfId="13" quotePrefix="1" applyNumberFormat="1" applyFont="1" applyBorder="1" applyAlignment="1">
      <alignment horizontal="center" vertical="center"/>
    </xf>
    <xf numFmtId="176" fontId="22" fillId="0" borderId="10" xfId="11" applyFont="1" applyBorder="1" applyAlignment="1">
      <alignment vertical="center"/>
    </xf>
    <xf numFmtId="183" fontId="22" fillId="0" borderId="10" xfId="11" applyNumberFormat="1" applyFont="1" applyBorder="1" applyAlignment="1">
      <alignment horizontal="center" vertical="center"/>
    </xf>
    <xf numFmtId="176" fontId="22" fillId="0" borderId="10" xfId="11" applyFont="1" applyBorder="1" applyAlignment="1">
      <alignment horizontal="center" vertical="center"/>
    </xf>
    <xf numFmtId="184" fontId="22" fillId="0" borderId="10" xfId="11" applyNumberFormat="1" applyFont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right" vertical="center" wrapText="1"/>
    </xf>
    <xf numFmtId="184" fontId="22" fillId="9" borderId="10" xfId="11" applyNumberFormat="1" applyFont="1" applyFill="1" applyBorder="1" applyAlignment="1">
      <alignment horizontal="center" vertical="center"/>
    </xf>
    <xf numFmtId="183" fontId="22" fillId="10" borderId="10" xfId="11" applyNumberFormat="1" applyFont="1" applyFill="1" applyBorder="1" applyAlignment="1">
      <alignment horizontal="center" vertical="center"/>
    </xf>
    <xf numFmtId="176" fontId="22" fillId="10" borderId="10" xfId="11" applyFont="1" applyFill="1" applyBorder="1" applyAlignment="1">
      <alignment horizontal="center" vertical="center"/>
    </xf>
    <xf numFmtId="184" fontId="23" fillId="10" borderId="10" xfId="11" applyNumberFormat="1" applyFont="1" applyFill="1" applyBorder="1" applyAlignment="1">
      <alignment horizontal="center" vertical="center"/>
    </xf>
    <xf numFmtId="181" fontId="23" fillId="10" borderId="10" xfId="11" applyNumberFormat="1" applyFont="1" applyFill="1" applyBorder="1" applyAlignment="1">
      <alignment horizontal="right" vertical="center" wrapText="1"/>
    </xf>
    <xf numFmtId="181" fontId="23" fillId="10" borderId="10" xfId="11" applyNumberFormat="1" applyFont="1" applyFill="1" applyBorder="1" applyAlignment="1">
      <alignment horizontal="center" vertical="center" wrapText="1"/>
    </xf>
    <xf numFmtId="183" fontId="22" fillId="4" borderId="10" xfId="11" applyNumberFormat="1" applyFont="1" applyFill="1" applyBorder="1" applyAlignment="1">
      <alignment horizontal="center" vertical="center"/>
    </xf>
    <xf numFmtId="176" fontId="22" fillId="4" borderId="10" xfId="11" applyFont="1" applyFill="1" applyBorder="1" applyAlignment="1">
      <alignment horizontal="center" vertical="center"/>
    </xf>
    <xf numFmtId="181" fontId="22" fillId="4" borderId="10" xfId="11" applyNumberFormat="1" applyFont="1" applyFill="1" applyBorder="1" applyAlignment="1">
      <alignment horizontal="center" vertical="center" wrapText="1"/>
    </xf>
    <xf numFmtId="183" fontId="23" fillId="10" borderId="10" xfId="11" applyNumberFormat="1" applyFont="1" applyFill="1" applyBorder="1" applyAlignment="1">
      <alignment horizontal="center" vertical="center"/>
    </xf>
    <xf numFmtId="176" fontId="23" fillId="10" borderId="10" xfId="11" applyFont="1" applyFill="1" applyBorder="1" applyAlignment="1">
      <alignment horizontal="center" vertical="center"/>
    </xf>
    <xf numFmtId="181" fontId="17" fillId="4" borderId="10" xfId="11" applyNumberFormat="1" applyFont="1" applyFill="1" applyBorder="1" applyAlignment="1">
      <alignment horizontal="center" vertical="center" wrapText="1"/>
    </xf>
    <xf numFmtId="184" fontId="22" fillId="10" borderId="10" xfId="11" applyNumberFormat="1" applyFont="1" applyFill="1" applyBorder="1" applyAlignment="1">
      <alignment horizontal="center" vertical="center"/>
    </xf>
    <xf numFmtId="181" fontId="22" fillId="10" borderId="10" xfId="11" applyNumberFormat="1" applyFont="1" applyFill="1" applyBorder="1" applyAlignment="1">
      <alignment horizontal="right" vertical="center" wrapText="1"/>
    </xf>
    <xf numFmtId="181" fontId="22" fillId="10" borderId="10" xfId="11" applyNumberFormat="1" applyFont="1" applyFill="1" applyBorder="1" applyAlignment="1">
      <alignment vertical="center" wrapText="1"/>
    </xf>
    <xf numFmtId="181" fontId="23" fillId="10" borderId="10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1" fillId="10" borderId="10" xfId="11" applyNumberFormat="1" applyFont="1" applyFill="1" applyBorder="1" applyAlignment="1">
      <alignment horizontal="center" vertical="center"/>
    </xf>
    <xf numFmtId="0" fontId="21" fillId="10" borderId="15" xfId="1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21" fillId="0" borderId="14" xfId="11" applyNumberFormat="1" applyFont="1" applyBorder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1" fillId="7" borderId="10" xfId="11" applyNumberFormat="1" applyFont="1" applyFill="1" applyBorder="1" applyAlignment="1">
      <alignment horizontal="center" vertical="center"/>
    </xf>
    <xf numFmtId="183" fontId="22" fillId="7" borderId="10" xfId="11" applyNumberFormat="1" applyFont="1" applyFill="1" applyBorder="1" applyAlignment="1">
      <alignment horizontal="center" vertical="center"/>
    </xf>
    <xf numFmtId="176" fontId="22" fillId="7" borderId="10" xfId="11" applyFont="1" applyFill="1" applyBorder="1" applyAlignment="1">
      <alignment horizontal="center" vertical="center"/>
    </xf>
    <xf numFmtId="184" fontId="23" fillId="7" borderId="10" xfId="11" applyNumberFormat="1" applyFont="1" applyFill="1" applyBorder="1" applyAlignment="1">
      <alignment horizontal="center" vertical="center"/>
    </xf>
    <xf numFmtId="181" fontId="23" fillId="7" borderId="10" xfId="11" applyNumberFormat="1" applyFont="1" applyFill="1" applyBorder="1" applyAlignment="1">
      <alignment horizontal="right" vertical="center" wrapText="1"/>
    </xf>
    <xf numFmtId="187" fontId="22" fillId="4" borderId="10" xfId="11" applyNumberFormat="1" applyFont="1" applyFill="1" applyBorder="1" applyAlignment="1">
      <alignment horizontal="center" vertical="center" wrapText="1"/>
    </xf>
    <xf numFmtId="49" fontId="17" fillId="11" borderId="17" xfId="0" applyNumberFormat="1" applyFont="1" applyFill="1" applyBorder="1" applyAlignment="1">
      <alignment horizontal="center" vertical="center" wrapText="1"/>
    </xf>
    <xf numFmtId="188" fontId="17" fillId="6" borderId="17" xfId="1" applyNumberFormat="1" applyFont="1" applyFill="1" applyBorder="1" applyAlignment="1">
      <alignment horizontal="center" vertical="center"/>
    </xf>
    <xf numFmtId="188" fontId="17" fillId="0" borderId="17" xfId="1" applyNumberFormat="1" applyFont="1" applyBorder="1" applyAlignment="1">
      <alignment horizontal="center" vertical="center"/>
    </xf>
    <xf numFmtId="189" fontId="17" fillId="0" borderId="17" xfId="1" applyNumberFormat="1" applyFont="1" applyBorder="1" applyAlignment="1">
      <alignment horizontal="center" vertical="center"/>
    </xf>
    <xf numFmtId="188" fontId="18" fillId="0" borderId="0" xfId="1" applyNumberFormat="1" applyFont="1" applyAlignment="1">
      <alignment horizontal="center" vertical="center"/>
    </xf>
    <xf numFmtId="186" fontId="17" fillId="0" borderId="1" xfId="1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185" fontId="17" fillId="4" borderId="1" xfId="0" applyNumberFormat="1" applyFont="1" applyFill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right" vertical="center" wrapText="1"/>
    </xf>
    <xf numFmtId="181" fontId="22" fillId="0" borderId="10" xfId="11" applyNumberFormat="1" applyFont="1" applyBorder="1" applyAlignment="1">
      <alignment horizontal="center" vertical="center" wrapText="1"/>
    </xf>
    <xf numFmtId="187" fontId="23" fillId="10" borderId="10" xfId="11" applyNumberFormat="1" applyFont="1" applyFill="1" applyBorder="1" applyAlignment="1">
      <alignment horizontal="center" vertical="center" wrapText="1"/>
    </xf>
    <xf numFmtId="0" fontId="17" fillId="4" borderId="10" xfId="11" applyNumberFormat="1" applyFont="1" applyFill="1" applyBorder="1" applyAlignment="1">
      <alignment vertical="center"/>
    </xf>
    <xf numFmtId="181" fontId="22" fillId="0" borderId="10" xfId="11" applyNumberFormat="1" applyFont="1" applyFill="1" applyBorder="1" applyAlignment="1">
      <alignment horizontal="right" vertical="center" wrapText="1"/>
    </xf>
    <xf numFmtId="184" fontId="22" fillId="4" borderId="10" xfId="11" applyNumberFormat="1" applyFont="1" applyFill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181" fontId="17" fillId="4" borderId="1" xfId="0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horizontal="center" vertical="center"/>
    </xf>
    <xf numFmtId="49" fontId="22" fillId="4" borderId="10" xfId="0" applyNumberFormat="1" applyFont="1" applyFill="1" applyBorder="1" applyAlignment="1">
      <alignment horizontal="center" vertical="center"/>
    </xf>
    <xf numFmtId="190" fontId="17" fillId="4" borderId="1" xfId="0" applyNumberFormat="1" applyFont="1" applyFill="1" applyBorder="1" applyAlignment="1">
      <alignment horizontal="right" vertical="center" wrapText="1"/>
    </xf>
    <xf numFmtId="190" fontId="17" fillId="5" borderId="1" xfId="1" applyNumberFormat="1" applyFont="1" applyFill="1" applyBorder="1" applyAlignment="1">
      <alignment horizontal="right" vertical="center" wrapText="1"/>
    </xf>
    <xf numFmtId="190" fontId="17" fillId="0" borderId="1" xfId="1" applyNumberFormat="1" applyFont="1" applyFill="1" applyBorder="1" applyAlignment="1">
      <alignment horizontal="right" vertical="center" wrapText="1"/>
    </xf>
    <xf numFmtId="190" fontId="17" fillId="4" borderId="1" xfId="0" applyNumberFormat="1" applyFont="1" applyFill="1" applyBorder="1" applyAlignment="1">
      <alignment horizontal="right" vertical="center"/>
    </xf>
    <xf numFmtId="190" fontId="17" fillId="4" borderId="1" xfId="1" applyNumberFormat="1" applyFont="1" applyFill="1" applyBorder="1" applyAlignment="1">
      <alignment horizontal="right" vertical="center" wrapText="1"/>
    </xf>
    <xf numFmtId="191" fontId="17" fillId="4" borderId="1" xfId="1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8" xfId="0" applyFont="1" applyFill="1" applyBorder="1">
      <alignment vertical="center"/>
    </xf>
    <xf numFmtId="0" fontId="21" fillId="8" borderId="5" xfId="0" applyFont="1" applyFill="1" applyBorder="1">
      <alignment vertical="center"/>
    </xf>
    <xf numFmtId="0" fontId="22" fillId="0" borderId="0" xfId="0" applyFont="1">
      <alignment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>
      <alignment vertical="center"/>
    </xf>
    <xf numFmtId="0" fontId="20" fillId="12" borderId="0" xfId="0" applyFont="1" applyFill="1">
      <alignment vertical="center"/>
    </xf>
    <xf numFmtId="0" fontId="20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>
      <alignment vertical="center"/>
    </xf>
    <xf numFmtId="190" fontId="17" fillId="4" borderId="1" xfId="1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190" fontId="22" fillId="4" borderId="1" xfId="1" applyNumberFormat="1" applyFont="1" applyFill="1" applyBorder="1" applyAlignment="1">
      <alignment horizontal="right" vertical="center" wrapText="1"/>
    </xf>
    <xf numFmtId="176" fontId="17" fillId="4" borderId="1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9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5" xfId="17" applyFont="1" applyBorder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26" fillId="0" borderId="1" xfId="17" applyFont="1" applyBorder="1" applyAlignment="1">
      <alignment horizontal="center" vertical="center"/>
    </xf>
    <xf numFmtId="0" fontId="34" fillId="0" borderId="7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5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1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4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9" xfId="17" applyFont="1" applyFill="1" applyBorder="1" applyAlignment="1">
      <alignment vertical="center"/>
    </xf>
    <xf numFmtId="0" fontId="26" fillId="0" borderId="9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1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192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9" borderId="23" xfId="17" applyFont="1" applyFill="1" applyBorder="1" applyAlignment="1">
      <alignment horizontal="center" vertical="center"/>
    </xf>
    <xf numFmtId="0" fontId="26" fillId="9" borderId="24" xfId="17" applyFont="1" applyFill="1" applyBorder="1" applyAlignment="1">
      <alignment horizontal="center" vertical="center"/>
    </xf>
    <xf numFmtId="0" fontId="26" fillId="9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3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3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2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2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3" xfId="21" applyFont="1" applyBorder="1" applyAlignment="1">
      <alignment horizontal="center" vertical="center"/>
    </xf>
    <xf numFmtId="176" fontId="26" fillId="0" borderId="12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3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3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2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12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76" fontId="21" fillId="3" borderId="5" xfId="4" applyFont="1" applyFill="1" applyBorder="1" applyAlignment="1">
      <alignment horizontal="center" vertical="center"/>
    </xf>
    <xf numFmtId="179" fontId="21" fillId="3" borderId="5" xfId="5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81" fontId="17" fillId="0" borderId="11" xfId="11" applyNumberFormat="1" applyFont="1" applyBorder="1" applyAlignment="1">
      <alignment horizontal="center" vertical="center" wrapText="1"/>
    </xf>
    <xf numFmtId="181" fontId="17" fillId="0" borderId="15" xfId="11" applyNumberFormat="1" applyFont="1" applyBorder="1" applyAlignment="1">
      <alignment horizontal="center" vertical="center" wrapText="1"/>
    </xf>
    <xf numFmtId="0" fontId="17" fillId="9" borderId="15" xfId="11" applyNumberFormat="1" applyFont="1" applyFill="1" applyBorder="1" applyAlignment="1">
      <alignment vertical="center"/>
    </xf>
    <xf numFmtId="0" fontId="17" fillId="9" borderId="14" xfId="11" applyNumberFormat="1" applyFont="1" applyFill="1" applyBorder="1" applyAlignment="1">
      <alignment vertical="center"/>
    </xf>
    <xf numFmtId="181" fontId="17" fillId="0" borderId="14" xfId="11" applyNumberFormat="1" applyFont="1" applyBorder="1" applyAlignment="1">
      <alignment horizontal="center" vertical="center" wrapText="1"/>
    </xf>
    <xf numFmtId="0" fontId="17" fillId="0" borderId="10" xfId="11" applyNumberFormat="1" applyFont="1" applyBorder="1" applyAlignment="1">
      <alignment vertical="center"/>
    </xf>
    <xf numFmtId="0" fontId="17" fillId="0" borderId="11" xfId="11" applyNumberFormat="1" applyFont="1" applyBorder="1" applyAlignment="1">
      <alignment vertical="center"/>
    </xf>
    <xf numFmtId="0" fontId="17" fillId="0" borderId="15" xfId="11" applyNumberFormat="1" applyFont="1" applyBorder="1" applyAlignment="1">
      <alignment vertical="center"/>
    </xf>
    <xf numFmtId="182" fontId="21" fillId="10" borderId="12" xfId="11" applyNumberFormat="1" applyFont="1" applyFill="1" applyBorder="1" applyAlignment="1">
      <alignment vertical="center"/>
    </xf>
    <xf numFmtId="182" fontId="23" fillId="10" borderId="13" xfId="11" applyNumberFormat="1" applyFont="1" applyFill="1" applyBorder="1" applyAlignment="1">
      <alignment vertical="center"/>
    </xf>
    <xf numFmtId="0" fontId="19" fillId="0" borderId="9" xfId="13" applyFont="1" applyBorder="1" applyAlignment="1">
      <alignment horizontal="center" vertical="center"/>
    </xf>
    <xf numFmtId="0" fontId="21" fillId="0" borderId="10" xfId="13" quotePrefix="1" applyFont="1" applyBorder="1" applyAlignment="1">
      <alignment horizontal="center" vertical="center"/>
    </xf>
    <xf numFmtId="0" fontId="23" fillId="0" borderId="10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0" xfId="13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D02889A-E982-4BD3-AA51-87F5A0BBEEBF}"/>
    <cellStyle name="쉼표 [0] 2 84" xfId="24" xr:uid="{3C77A32A-2415-4480-81DC-3316ED3F5E1B}"/>
    <cellStyle name="쉼표 [0] 3" xfId="14" xr:uid="{8F7BE219-40E1-4BBB-A9BD-02188B74B2A3}"/>
    <cellStyle name="쉼표 [0] 4" xfId="21" xr:uid="{33C000C2-9D7A-4E82-842D-9EC04932955E}"/>
    <cellStyle name="쉼표 [0] 5" xfId="23" xr:uid="{B8AB85E4-10DC-41C7-8D89-C4D0CB53779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44AE8B7-D126-4DDA-BC0D-475D7FD1B60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F1C620A-AC1B-40E9-8CE8-1DD168603EBF}"/>
    <cellStyle name="표준_P456 공장 및 복지동 전면 유리창 청소건 라상혁님_1129(최종)" xfId="20" xr:uid="{92446779-D806-4A84-827C-7D13332C6220}"/>
    <cellStyle name="표준_S&amp;D_MAIN VALVE_최빈_2" xfId="17" xr:uid="{F0848F06-E75C-4EBD-B028-B222E1E966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C1A312-AC0B-40E4-B990-8940008E6C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2E04-4475-4558-94FA-38583262587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 x14ac:dyDescent="0.3">
      <c r="A1" s="173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5"/>
    </row>
    <row r="2" spans="1:15" ht="9.75" customHeight="1" x14ac:dyDescent="0.3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 x14ac:dyDescent="0.3">
      <c r="A3" s="176" t="s">
        <v>103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8"/>
    </row>
    <row r="4" spans="1:15" ht="16.5" customHeight="1" x14ac:dyDescent="0.3">
      <c r="A4" s="103" t="s">
        <v>104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 x14ac:dyDescent="0.3">
      <c r="A5" s="108"/>
      <c r="B5" s="164" t="s">
        <v>168</v>
      </c>
      <c r="C5" s="164"/>
      <c r="D5" s="164"/>
      <c r="E5" s="164"/>
      <c r="F5" s="164"/>
      <c r="G5" s="165"/>
      <c r="H5" s="165"/>
      <c r="I5" s="109"/>
      <c r="J5" s="109"/>
      <c r="K5" s="109"/>
      <c r="L5" s="109"/>
      <c r="M5" s="110"/>
      <c r="N5" s="110"/>
      <c r="O5" s="111"/>
    </row>
    <row r="6" spans="1:15" ht="12" customHeight="1" thickBot="1" x14ac:dyDescent="0.35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 x14ac:dyDescent="0.3">
      <c r="A7" s="179" t="s">
        <v>105</v>
      </c>
      <c r="B7" s="180"/>
      <c r="C7" s="181"/>
      <c r="D7" s="166">
        <v>2025</v>
      </c>
      <c r="E7" s="116" t="s">
        <v>106</v>
      </c>
      <c r="F7" s="167">
        <v>4</v>
      </c>
      <c r="G7" s="116" t="s">
        <v>107</v>
      </c>
      <c r="H7" s="167">
        <v>7</v>
      </c>
      <c r="I7" s="116" t="s">
        <v>108</v>
      </c>
      <c r="J7" s="117"/>
      <c r="K7" s="182" t="s">
        <v>109</v>
      </c>
      <c r="L7" s="118" t="s">
        <v>110</v>
      </c>
      <c r="M7" s="118" t="s">
        <v>111</v>
      </c>
      <c r="N7" s="118" t="s">
        <v>112</v>
      </c>
      <c r="O7" s="119" t="s">
        <v>113</v>
      </c>
    </row>
    <row r="8" spans="1:15" ht="23.25" customHeight="1" x14ac:dyDescent="0.3">
      <c r="A8" s="185" t="s">
        <v>114</v>
      </c>
      <c r="B8" s="186"/>
      <c r="C8" s="187"/>
      <c r="D8" s="188" t="s">
        <v>115</v>
      </c>
      <c r="E8" s="189"/>
      <c r="F8" s="189"/>
      <c r="G8" s="190"/>
      <c r="H8" s="191" t="s">
        <v>116</v>
      </c>
      <c r="I8" s="189"/>
      <c r="J8" s="192"/>
      <c r="K8" s="183"/>
      <c r="L8" s="120" t="s">
        <v>117</v>
      </c>
      <c r="M8" s="120" t="s">
        <v>118</v>
      </c>
      <c r="N8" s="120" t="s">
        <v>119</v>
      </c>
      <c r="O8" s="121" t="s">
        <v>120</v>
      </c>
    </row>
    <row r="9" spans="1:15" ht="23.25" customHeight="1" x14ac:dyDescent="0.3">
      <c r="A9" s="185" t="s">
        <v>121</v>
      </c>
      <c r="B9" s="186"/>
      <c r="C9" s="187"/>
      <c r="D9" s="193" t="s">
        <v>122</v>
      </c>
      <c r="E9" s="194"/>
      <c r="F9" s="194"/>
      <c r="G9" s="194"/>
      <c r="H9" s="194"/>
      <c r="I9" s="194"/>
      <c r="J9" s="195"/>
      <c r="K9" s="183"/>
      <c r="L9" s="120" t="s">
        <v>123</v>
      </c>
      <c r="M9" s="196" t="s">
        <v>124</v>
      </c>
      <c r="N9" s="186"/>
      <c r="O9" s="187"/>
    </row>
    <row r="10" spans="1:15" ht="23.25" customHeight="1" thickBot="1" x14ac:dyDescent="0.35">
      <c r="A10" s="197" t="s">
        <v>125</v>
      </c>
      <c r="B10" s="198"/>
      <c r="C10" s="199"/>
      <c r="D10" s="200" t="s">
        <v>126</v>
      </c>
      <c r="E10" s="201"/>
      <c r="F10" s="201"/>
      <c r="G10" s="201"/>
      <c r="H10" s="201"/>
      <c r="I10" s="201"/>
      <c r="J10" s="202"/>
      <c r="K10" s="184"/>
      <c r="L10" s="122" t="s">
        <v>127</v>
      </c>
      <c r="M10" s="122" t="s">
        <v>128</v>
      </c>
      <c r="N10" s="122" t="s">
        <v>129</v>
      </c>
      <c r="O10" s="123" t="s">
        <v>130</v>
      </c>
    </row>
    <row r="11" spans="1:15" ht="21.75" customHeight="1" x14ac:dyDescent="0.3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 x14ac:dyDescent="0.3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 x14ac:dyDescent="0.3">
      <c r="A13" s="130"/>
      <c r="B13" s="172" t="s">
        <v>167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31" t="s">
        <v>131</v>
      </c>
      <c r="O13" s="129"/>
    </row>
    <row r="14" spans="1:15" ht="9" customHeight="1" x14ac:dyDescent="0.3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 x14ac:dyDescent="0.3">
      <c r="A15" s="130"/>
      <c r="B15" s="203" t="str">
        <f>"견 적 금 액 : 一金"&amp;NUMBERSTRING(M32,1) &amp; "원정""(\"&amp; TEXT(M32,"#,###")&amp;"원) [VAT 별도]"</f>
        <v>견 적 금 액 : 一金오백칠십구만이천일백원정"(\5,792,100원) [VAT 별도]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4"/>
    </row>
    <row r="16" spans="1:15" ht="15" thickBot="1" x14ac:dyDescent="0.35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05"/>
      <c r="L16" s="205"/>
      <c r="M16" s="205"/>
      <c r="N16" s="205"/>
      <c r="O16" s="206"/>
    </row>
    <row r="17" spans="1:17" ht="27.75" customHeight="1" thickBot="1" x14ac:dyDescent="0.35">
      <c r="A17" s="132" t="s">
        <v>132</v>
      </c>
      <c r="B17" s="213" t="s">
        <v>133</v>
      </c>
      <c r="C17" s="214"/>
      <c r="D17" s="214"/>
      <c r="E17" s="214"/>
      <c r="F17" s="214"/>
      <c r="G17" s="215"/>
      <c r="H17" s="133" t="s">
        <v>134</v>
      </c>
      <c r="I17" s="134" t="s">
        <v>135</v>
      </c>
      <c r="J17" s="216" t="s">
        <v>136</v>
      </c>
      <c r="K17" s="217"/>
      <c r="L17" s="217"/>
      <c r="M17" s="218"/>
      <c r="N17" s="213" t="s">
        <v>137</v>
      </c>
      <c r="O17" s="219"/>
    </row>
    <row r="18" spans="1:17" ht="28.5" customHeight="1" x14ac:dyDescent="0.3">
      <c r="A18" s="135">
        <v>1</v>
      </c>
      <c r="B18" s="207" t="s">
        <v>42</v>
      </c>
      <c r="C18" s="208"/>
      <c r="D18" s="208"/>
      <c r="E18" s="208"/>
      <c r="F18" s="208"/>
      <c r="G18" s="209"/>
      <c r="H18" s="168">
        <v>1</v>
      </c>
      <c r="I18" s="169" t="s">
        <v>1</v>
      </c>
      <c r="J18" s="210">
        <f>IFERROR(LOOKUP(2, 1/(TRIM('내역서(표준단가)'!O4:O100)&lt;&gt;""), '내역서(표준단가)'!O4:O100), "-")</f>
        <v>953608.99450000003</v>
      </c>
      <c r="K18" s="210"/>
      <c r="L18" s="210"/>
      <c r="M18" s="210"/>
      <c r="N18" s="211"/>
      <c r="O18" s="212"/>
    </row>
    <row r="19" spans="1:17" ht="28.5" customHeight="1" x14ac:dyDescent="0.3">
      <c r="A19" s="136">
        <v>2</v>
      </c>
      <c r="B19" s="220" t="s">
        <v>43</v>
      </c>
      <c r="C19" s="221"/>
      <c r="D19" s="221"/>
      <c r="E19" s="221"/>
      <c r="F19" s="221"/>
      <c r="G19" s="222"/>
      <c r="H19" s="170">
        <v>1</v>
      </c>
      <c r="I19" s="170" t="s">
        <v>1</v>
      </c>
      <c r="J19" s="223">
        <f>IFERROR(LOOKUP(2, 1/(TRIM('내역서(표준단가)'!Q4:Q100)&lt;&gt;""), '내역서(표준단가)'!Q4:Q100), "-")</f>
        <v>3609891.2110119998</v>
      </c>
      <c r="K19" s="224"/>
      <c r="L19" s="224"/>
      <c r="M19" s="225"/>
      <c r="N19" s="226"/>
      <c r="O19" s="227"/>
    </row>
    <row r="20" spans="1:17" ht="28.5" customHeight="1" x14ac:dyDescent="0.3">
      <c r="A20" s="136">
        <v>3</v>
      </c>
      <c r="B20" s="228" t="s">
        <v>138</v>
      </c>
      <c r="C20" s="229"/>
      <c r="D20" s="229"/>
      <c r="E20" s="229"/>
      <c r="F20" s="229"/>
      <c r="G20" s="230"/>
      <c r="H20" s="137">
        <v>1</v>
      </c>
      <c r="I20" s="137" t="s">
        <v>1</v>
      </c>
      <c r="J20" s="231">
        <f>IFERROR(SUM(J21:M29),"-")</f>
        <v>613884.83098482073</v>
      </c>
      <c r="K20" s="232"/>
      <c r="L20" s="232"/>
      <c r="M20" s="233"/>
      <c r="N20" s="234"/>
      <c r="O20" s="235"/>
      <c r="P20" s="138"/>
    </row>
    <row r="21" spans="1:17" ht="28.5" customHeight="1" x14ac:dyDescent="0.3">
      <c r="A21" s="135"/>
      <c r="B21" s="139"/>
      <c r="C21" s="236" t="s">
        <v>139</v>
      </c>
      <c r="D21" s="237"/>
      <c r="E21" s="237"/>
      <c r="F21" s="237"/>
      <c r="G21" s="238"/>
      <c r="H21" s="171">
        <v>1</v>
      </c>
      <c r="I21" s="171" t="s">
        <v>1</v>
      </c>
      <c r="J21" s="23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40"/>
      <c r="L21" s="240"/>
      <c r="M21" s="241"/>
      <c r="N21" s="242" t="s">
        <v>140</v>
      </c>
      <c r="O21" s="243"/>
    </row>
    <row r="22" spans="1:17" ht="28.5" customHeight="1" x14ac:dyDescent="0.3">
      <c r="A22" s="135"/>
      <c r="B22" s="139"/>
      <c r="C22" s="244" t="s">
        <v>141</v>
      </c>
      <c r="D22" s="245"/>
      <c r="E22" s="245"/>
      <c r="F22" s="245"/>
      <c r="G22" s="246"/>
      <c r="H22" s="140">
        <v>3.11</v>
      </c>
      <c r="I22" s="140" t="s">
        <v>142</v>
      </c>
      <c r="J22" s="247">
        <f>IFERROR((J18+J19)*H22%,"-")</f>
        <v>141924.85639142321</v>
      </c>
      <c r="K22" s="248"/>
      <c r="L22" s="248"/>
      <c r="M22" s="249"/>
      <c r="N22" s="250" t="s">
        <v>143</v>
      </c>
      <c r="O22" s="251"/>
    </row>
    <row r="23" spans="1:17" ht="28.5" customHeight="1" x14ac:dyDescent="0.3">
      <c r="A23" s="135"/>
      <c r="B23" s="139"/>
      <c r="C23" s="244" t="s">
        <v>144</v>
      </c>
      <c r="D23" s="245"/>
      <c r="E23" s="245"/>
      <c r="F23" s="245"/>
      <c r="G23" s="246"/>
      <c r="H23" s="140">
        <v>3.56</v>
      </c>
      <c r="I23" s="140" t="s">
        <v>145</v>
      </c>
      <c r="J23" s="247">
        <f>IFERROR(J19*H23%,"-")</f>
        <v>128512.12711202718</v>
      </c>
      <c r="K23" s="248"/>
      <c r="L23" s="248"/>
      <c r="M23" s="249"/>
      <c r="N23" s="250" t="s">
        <v>146</v>
      </c>
      <c r="O23" s="251"/>
    </row>
    <row r="24" spans="1:17" ht="28.5" customHeight="1" x14ac:dyDescent="0.3">
      <c r="A24" s="135"/>
      <c r="B24" s="139"/>
      <c r="C24" s="244" t="s">
        <v>147</v>
      </c>
      <c r="D24" s="245"/>
      <c r="E24" s="245"/>
      <c r="F24" s="245"/>
      <c r="G24" s="246"/>
      <c r="H24" s="140">
        <v>1.01</v>
      </c>
      <c r="I24" s="140" t="s">
        <v>145</v>
      </c>
      <c r="J24" s="247">
        <f>IFERROR(J19*H24%,"-")</f>
        <v>36459.901231221193</v>
      </c>
      <c r="K24" s="248"/>
      <c r="L24" s="248"/>
      <c r="M24" s="249"/>
      <c r="N24" s="250" t="s">
        <v>148</v>
      </c>
      <c r="O24" s="251"/>
    </row>
    <row r="25" spans="1:17" ht="28.5" customHeight="1" x14ac:dyDescent="0.3">
      <c r="A25" s="135"/>
      <c r="B25" s="139"/>
      <c r="C25" s="244" t="s">
        <v>149</v>
      </c>
      <c r="D25" s="245"/>
      <c r="E25" s="245"/>
      <c r="F25" s="245"/>
      <c r="G25" s="246"/>
      <c r="H25" s="141">
        <v>3.5449999999999999</v>
      </c>
      <c r="I25" s="140" t="s">
        <v>145</v>
      </c>
      <c r="J25" s="247">
        <f>IFERROR(J19*H25%,"-")</f>
        <v>127970.64343037541</v>
      </c>
      <c r="K25" s="248"/>
      <c r="L25" s="248"/>
      <c r="M25" s="249"/>
      <c r="N25" s="250" t="s">
        <v>150</v>
      </c>
      <c r="O25" s="251"/>
      <c r="Q25" s="138"/>
    </row>
    <row r="26" spans="1:17" ht="28.5" customHeight="1" x14ac:dyDescent="0.3">
      <c r="A26" s="135"/>
      <c r="B26" s="139"/>
      <c r="C26" s="244" t="s">
        <v>151</v>
      </c>
      <c r="D26" s="245"/>
      <c r="E26" s="245"/>
      <c r="F26" s="245"/>
      <c r="G26" s="246"/>
      <c r="H26" s="140">
        <v>4.5</v>
      </c>
      <c r="I26" s="140" t="s">
        <v>145</v>
      </c>
      <c r="J26" s="247">
        <f>IFERROR(J19*H26%,"-")</f>
        <v>162445.10449553997</v>
      </c>
      <c r="K26" s="248"/>
      <c r="L26" s="248"/>
      <c r="M26" s="249"/>
      <c r="N26" s="250" t="s">
        <v>152</v>
      </c>
      <c r="O26" s="251"/>
      <c r="Q26" s="142"/>
    </row>
    <row r="27" spans="1:17" ht="28.5" customHeight="1" x14ac:dyDescent="0.3">
      <c r="A27" s="135"/>
      <c r="B27" s="139"/>
      <c r="C27" s="252" t="s">
        <v>153</v>
      </c>
      <c r="D27" s="253"/>
      <c r="E27" s="253"/>
      <c r="F27" s="253"/>
      <c r="G27" s="254"/>
      <c r="H27" s="143">
        <v>12.95</v>
      </c>
      <c r="I27" s="144" t="s">
        <v>145</v>
      </c>
      <c r="J27" s="255">
        <f>IFERROR($H$27*J25%,"-")</f>
        <v>16572.198324233614</v>
      </c>
      <c r="K27" s="256"/>
      <c r="L27" s="256"/>
      <c r="M27" s="257"/>
      <c r="N27" s="250" t="s">
        <v>154</v>
      </c>
      <c r="O27" s="251"/>
    </row>
    <row r="28" spans="1:17" ht="28.5" customHeight="1" x14ac:dyDescent="0.3">
      <c r="A28" s="135"/>
      <c r="B28" s="139"/>
      <c r="C28" s="252" t="s">
        <v>155</v>
      </c>
      <c r="D28" s="253"/>
      <c r="E28" s="253"/>
      <c r="F28" s="253"/>
      <c r="G28" s="254"/>
      <c r="H28" s="143">
        <v>8.1000000000000003E-2</v>
      </c>
      <c r="I28" s="144" t="s">
        <v>145</v>
      </c>
      <c r="J28" s="255" t="str">
        <f>IFERROR(IF(SUM(J21:J27,J18:J19)&gt;=10000000,SUM(J21:J27,J18:J19)*H28%,"-"),"-")</f>
        <v>-</v>
      </c>
      <c r="K28" s="256"/>
      <c r="L28" s="256"/>
      <c r="M28" s="257"/>
      <c r="N28" s="258" t="s">
        <v>156</v>
      </c>
      <c r="O28" s="259"/>
    </row>
    <row r="29" spans="1:17" ht="28.5" customHeight="1" x14ac:dyDescent="0.3">
      <c r="A29" s="145"/>
      <c r="B29" s="146"/>
      <c r="C29" s="260" t="s">
        <v>157</v>
      </c>
      <c r="D29" s="261"/>
      <c r="E29" s="261"/>
      <c r="F29" s="261"/>
      <c r="G29" s="262"/>
      <c r="H29" s="147">
        <v>1</v>
      </c>
      <c r="I29" s="148" t="s">
        <v>158</v>
      </c>
      <c r="J29" s="263">
        <f>34*0</f>
        <v>0</v>
      </c>
      <c r="K29" s="264"/>
      <c r="L29" s="264"/>
      <c r="M29" s="265"/>
      <c r="N29" s="266" t="s">
        <v>159</v>
      </c>
      <c r="O29" s="267"/>
    </row>
    <row r="30" spans="1:17" ht="28.5" customHeight="1" x14ac:dyDescent="0.3">
      <c r="A30" s="145">
        <v>4</v>
      </c>
      <c r="B30" s="146"/>
      <c r="C30" s="260" t="s">
        <v>160</v>
      </c>
      <c r="D30" s="261"/>
      <c r="E30" s="261"/>
      <c r="F30" s="261"/>
      <c r="G30" s="262"/>
      <c r="H30" s="148">
        <v>5</v>
      </c>
      <c r="I30" s="149" t="s">
        <v>161</v>
      </c>
      <c r="J30" s="273">
        <f>IFERROR(IF(ISNUMBER(H30), SUM(J18:M20) * (H30 / 100), "-"), "-")</f>
        <v>258869.25182484105</v>
      </c>
      <c r="K30" s="274"/>
      <c r="L30" s="274"/>
      <c r="M30" s="275"/>
      <c r="N30" s="276" t="s">
        <v>162</v>
      </c>
      <c r="O30" s="277"/>
    </row>
    <row r="31" spans="1:17" ht="28.5" customHeight="1" thickBot="1" x14ac:dyDescent="0.35">
      <c r="A31" s="145">
        <v>5</v>
      </c>
      <c r="B31" s="146"/>
      <c r="C31" s="260" t="s">
        <v>163</v>
      </c>
      <c r="D31" s="261"/>
      <c r="E31" s="261"/>
      <c r="F31" s="261"/>
      <c r="G31" s="262"/>
      <c r="H31" s="148">
        <v>7.5</v>
      </c>
      <c r="I31" s="149" t="s">
        <v>145</v>
      </c>
      <c r="J31" s="263">
        <f>IFERROR(SUM(J18:M20, J30) * (H31 / 100), "-")+-51873</f>
        <v>355846.0716241246</v>
      </c>
      <c r="K31" s="264"/>
      <c r="L31" s="264"/>
      <c r="M31" s="265"/>
      <c r="N31" s="278" t="s">
        <v>164</v>
      </c>
      <c r="O31" s="279"/>
      <c r="Q31" s="150"/>
    </row>
    <row r="32" spans="1:17" ht="28.5" customHeight="1" thickBot="1" x14ac:dyDescent="0.35">
      <c r="A32" s="268" t="s">
        <v>165</v>
      </c>
      <c r="B32" s="269"/>
      <c r="C32" s="269"/>
      <c r="D32" s="269"/>
      <c r="E32" s="269"/>
      <c r="F32" s="269"/>
      <c r="G32" s="269"/>
      <c r="H32" s="269"/>
      <c r="I32" s="270"/>
      <c r="J32" s="151"/>
      <c r="K32" s="152"/>
      <c r="L32" s="152"/>
      <c r="M32" s="153">
        <f>IFERROR(ROUNDDOWN(SUM(J18:M20)+J30+J31,0),"-")</f>
        <v>5792100</v>
      </c>
      <c r="N32" s="271"/>
      <c r="O32" s="272"/>
      <c r="P32" s="154"/>
    </row>
    <row r="33" spans="1:15" x14ac:dyDescent="0.3">
      <c r="A33" s="155" t="s">
        <v>166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 x14ac:dyDescent="0.3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 x14ac:dyDescent="0.3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 x14ac:dyDescent="0.3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 x14ac:dyDescent="0.35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 x14ac:dyDescent="0.3">
      <c r="M42" s="150"/>
    </row>
    <row r="43" spans="1:15" x14ac:dyDescent="0.3">
      <c r="M43" s="15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1" t="s">
        <v>41</v>
      </c>
      <c r="K3" s="291"/>
      <c r="L3" s="289" t="s">
        <v>3</v>
      </c>
      <c r="M3" s="289" t="s">
        <v>0</v>
      </c>
      <c r="N3" s="285" t="s">
        <v>42</v>
      </c>
      <c r="O3" s="285"/>
      <c r="P3" s="285" t="s">
        <v>43</v>
      </c>
      <c r="Q3" s="285"/>
      <c r="R3" s="286" t="s">
        <v>44</v>
      </c>
      <c r="S3" s="286"/>
      <c r="T3" s="286" t="s">
        <v>45</v>
      </c>
      <c r="U3" s="286"/>
      <c r="V3" s="287" t="s">
        <v>46</v>
      </c>
      <c r="W3" s="283" t="s">
        <v>47</v>
      </c>
      <c r="X3" s="281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90"/>
      <c r="M4" s="290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8"/>
      <c r="W4" s="284"/>
      <c r="X4" s="282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81</v>
      </c>
      <c r="I5" s="38"/>
      <c r="J5" s="75" t="s">
        <v>82</v>
      </c>
      <c r="K5" s="75" t="s">
        <v>98</v>
      </c>
      <c r="L5" s="57" t="s">
        <v>97</v>
      </c>
      <c r="M5" s="74">
        <v>15.263</v>
      </c>
      <c r="N5" s="94">
        <v>20900</v>
      </c>
      <c r="O5" s="70">
        <f t="shared" ref="O5" si="1">SUM(N5:N5)*M5*$O$2</f>
        <v>266362.24449999997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266362.24449999997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99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:A8" si="12">F7&amp;G7&amp;H7&amp;I7</f>
        <v>E00000803071260301</v>
      </c>
      <c r="B7" s="41"/>
      <c r="C7" s="41"/>
      <c r="D7" s="41"/>
      <c r="E7" s="41"/>
      <c r="F7" s="38"/>
      <c r="G7" s="9" t="s">
        <v>59</v>
      </c>
      <c r="H7" s="9"/>
      <c r="I7" s="38"/>
      <c r="J7" s="75" t="s">
        <v>62</v>
      </c>
      <c r="K7" s="75" t="s">
        <v>100</v>
      </c>
      <c r="L7" s="10" t="s">
        <v>60</v>
      </c>
      <c r="M7" s="74">
        <v>1.8859999999999999</v>
      </c>
      <c r="N7" s="72"/>
      <c r="O7" s="70">
        <f t="shared" ref="O7:O12" si="13">SUM(N7:N7)*M7*$O$2</f>
        <v>0</v>
      </c>
      <c r="P7" s="69">
        <v>487076</v>
      </c>
      <c r="Q7" s="70">
        <f t="shared" ref="Q7:Q13" si="14">(P7*M7)*$Q$2</f>
        <v>767052.15555999987</v>
      </c>
      <c r="R7" s="71"/>
      <c r="S7" s="70">
        <f t="shared" ref="S7:S13" si="15">R7*M7*$S$2</f>
        <v>0</v>
      </c>
      <c r="T7" s="71"/>
      <c r="U7" s="70">
        <f t="shared" ref="U7:U13" si="16">T7*M7*$U$2</f>
        <v>0</v>
      </c>
      <c r="V7" s="12">
        <f t="shared" ref="V7:V13" si="17">SUM(O7+Q7)+S7+U7</f>
        <v>767052.15555999987</v>
      </c>
      <c r="W7" s="56"/>
      <c r="X7" s="13"/>
    </row>
    <row r="8" spans="1:24" s="84" customFormat="1" ht="38.1" customHeight="1" x14ac:dyDescent="0.3">
      <c r="A8" s="8" t="str">
        <f t="shared" si="12"/>
        <v>M020809012520101</v>
      </c>
      <c r="B8" s="41"/>
      <c r="C8" s="41"/>
      <c r="D8" s="41"/>
      <c r="E8" s="41"/>
      <c r="F8" s="38"/>
      <c r="G8" s="9"/>
      <c r="H8" s="9" t="s">
        <v>84</v>
      </c>
      <c r="I8" s="38"/>
      <c r="J8" s="75" t="s">
        <v>85</v>
      </c>
      <c r="K8" s="75" t="s">
        <v>86</v>
      </c>
      <c r="L8" s="57" t="s">
        <v>83</v>
      </c>
      <c r="M8" s="74">
        <v>61.8</v>
      </c>
      <c r="N8" s="73">
        <v>13000</v>
      </c>
      <c r="O8" s="70">
        <f t="shared" si="13"/>
        <v>670839</v>
      </c>
      <c r="P8" s="69"/>
      <c r="Q8" s="70">
        <f t="shared" si="14"/>
        <v>0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670839</v>
      </c>
      <c r="W8" s="56"/>
      <c r="X8" s="13"/>
    </row>
    <row r="9" spans="1:24" s="84" customFormat="1" ht="38.1" customHeight="1" x14ac:dyDescent="0.3">
      <c r="A9" s="8" t="str">
        <f t="shared" ref="A9:A13" si="18">F9&amp;G9&amp;H9&amp;I9</f>
        <v>E00000803071260401</v>
      </c>
      <c r="B9" s="41"/>
      <c r="C9" s="41"/>
      <c r="D9" s="41"/>
      <c r="E9" s="41"/>
      <c r="F9" s="38"/>
      <c r="G9" s="9" t="s">
        <v>63</v>
      </c>
      <c r="H9" s="9"/>
      <c r="I9" s="38"/>
      <c r="J9" s="75" t="s">
        <v>64</v>
      </c>
      <c r="K9" s="75" t="s">
        <v>101</v>
      </c>
      <c r="L9" s="10" t="s">
        <v>60</v>
      </c>
      <c r="M9" s="74">
        <v>1.0132000000000001</v>
      </c>
      <c r="N9" s="72"/>
      <c r="O9" s="70">
        <f t="shared" si="13"/>
        <v>0</v>
      </c>
      <c r="P9" s="69">
        <v>487076</v>
      </c>
      <c r="Q9" s="70">
        <f t="shared" si="14"/>
        <v>412077.01167200005</v>
      </c>
      <c r="R9" s="71"/>
      <c r="S9" s="70">
        <f t="shared" si="15"/>
        <v>0</v>
      </c>
      <c r="T9" s="71"/>
      <c r="U9" s="70">
        <f t="shared" si="16"/>
        <v>0</v>
      </c>
      <c r="V9" s="12">
        <f t="shared" si="17"/>
        <v>412077.01167200005</v>
      </c>
      <c r="W9" s="56"/>
      <c r="X9" s="13"/>
    </row>
    <row r="10" spans="1:24" s="84" customFormat="1" ht="38.1" customHeight="1" x14ac:dyDescent="0.3">
      <c r="A10" s="8" t="str">
        <f t="shared" si="18"/>
        <v>M020412614110102</v>
      </c>
      <c r="B10" s="41"/>
      <c r="C10" s="41"/>
      <c r="D10" s="41"/>
      <c r="E10" s="41"/>
      <c r="F10" s="38"/>
      <c r="G10" s="9"/>
      <c r="H10" s="95" t="s">
        <v>78</v>
      </c>
      <c r="I10" s="38"/>
      <c r="J10" s="96" t="s">
        <v>77</v>
      </c>
      <c r="K10" s="96" t="s">
        <v>75</v>
      </c>
      <c r="L10" s="67" t="s">
        <v>74</v>
      </c>
      <c r="M10" s="74">
        <v>0.3</v>
      </c>
      <c r="N10" s="97">
        <v>65500</v>
      </c>
      <c r="O10" s="70">
        <f t="shared" si="13"/>
        <v>16407.75</v>
      </c>
      <c r="P10" s="69"/>
      <c r="Q10" s="70"/>
      <c r="R10" s="71"/>
      <c r="S10" s="70"/>
      <c r="T10" s="71"/>
      <c r="U10" s="70"/>
      <c r="V10" s="12">
        <f t="shared" si="17"/>
        <v>16407.75</v>
      </c>
      <c r="W10" s="56"/>
      <c r="X10" s="13"/>
    </row>
    <row r="11" spans="1:24" s="84" customFormat="1" ht="38.1" customHeight="1" x14ac:dyDescent="0.3">
      <c r="A11" s="8" t="str">
        <f t="shared" si="18"/>
        <v>E00000803061120402</v>
      </c>
      <c r="B11" s="41"/>
      <c r="C11" s="41"/>
      <c r="D11" s="41"/>
      <c r="E11" s="41"/>
      <c r="F11" s="38"/>
      <c r="G11" s="9" t="s">
        <v>65</v>
      </c>
      <c r="H11" s="9"/>
      <c r="I11" s="38"/>
      <c r="J11" s="75" t="s">
        <v>66</v>
      </c>
      <c r="K11" s="75" t="s">
        <v>67</v>
      </c>
      <c r="L11" s="57" t="s">
        <v>72</v>
      </c>
      <c r="M11" s="74">
        <v>28</v>
      </c>
      <c r="N11" s="58"/>
      <c r="O11" s="11">
        <f t="shared" si="13"/>
        <v>0</v>
      </c>
      <c r="P11" s="66">
        <v>10432</v>
      </c>
      <c r="Q11" s="11">
        <f t="shared" si="14"/>
        <v>243900.16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243900.16</v>
      </c>
      <c r="W11" s="56"/>
      <c r="X11" s="13"/>
    </row>
    <row r="12" spans="1:24" s="84" customFormat="1" ht="38.1" customHeight="1" x14ac:dyDescent="0.3">
      <c r="A12" s="8" t="str">
        <f t="shared" si="18"/>
        <v>E00000803061300201</v>
      </c>
      <c r="B12" s="41"/>
      <c r="C12" s="41"/>
      <c r="D12" s="41"/>
      <c r="E12" s="41"/>
      <c r="F12" s="38"/>
      <c r="G12" s="9" t="s">
        <v>69</v>
      </c>
      <c r="H12" s="9"/>
      <c r="I12" s="38"/>
      <c r="J12" s="75" t="s">
        <v>70</v>
      </c>
      <c r="K12" s="75" t="s">
        <v>71</v>
      </c>
      <c r="L12" s="57" t="s">
        <v>68</v>
      </c>
      <c r="M12" s="74">
        <v>28</v>
      </c>
      <c r="N12" s="58"/>
      <c r="O12" s="11">
        <f t="shared" si="13"/>
        <v>0</v>
      </c>
      <c r="P12" s="66">
        <v>6179</v>
      </c>
      <c r="Q12" s="11">
        <f t="shared" si="14"/>
        <v>144465.01999999999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144465.01999999999</v>
      </c>
      <c r="W12" s="56"/>
      <c r="X12" s="13"/>
    </row>
    <row r="13" spans="1:24" s="84" customFormat="1" ht="38.1" customHeight="1" x14ac:dyDescent="0.3">
      <c r="A13" s="8" t="str">
        <f t="shared" si="18"/>
        <v>E00000801011510701</v>
      </c>
      <c r="B13" s="41"/>
      <c r="C13" s="41"/>
      <c r="D13" s="41"/>
      <c r="E13" s="41"/>
      <c r="F13" s="38"/>
      <c r="G13" s="9" t="s">
        <v>96</v>
      </c>
      <c r="H13" s="9"/>
      <c r="I13" s="38"/>
      <c r="J13" s="85" t="s">
        <v>87</v>
      </c>
      <c r="K13" s="85" t="s">
        <v>88</v>
      </c>
      <c r="L13" s="57" t="s">
        <v>89</v>
      </c>
      <c r="M13" s="74">
        <v>96</v>
      </c>
      <c r="N13" s="86"/>
      <c r="O13" s="11">
        <f t="shared" ref="O13" si="19">SUM(N13:N13)*M13*$O$2</f>
        <v>0</v>
      </c>
      <c r="P13" s="98">
        <v>4966</v>
      </c>
      <c r="Q13" s="11">
        <f t="shared" si="14"/>
        <v>398074.56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398074.56</v>
      </c>
      <c r="W13" s="56"/>
      <c r="X13" s="13"/>
    </row>
    <row r="14" spans="1:24" s="92" customFormat="1" ht="38.1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78"/>
      <c r="K14" s="78"/>
      <c r="L14" s="88"/>
      <c r="M14" s="88"/>
      <c r="N14" s="88"/>
      <c r="O14" s="89">
        <f>SUM(O5:O13)</f>
        <v>953608.99450000003</v>
      </c>
      <c r="P14" s="90"/>
      <c r="Q14" s="89">
        <f>SUM(Q5:Q13)</f>
        <v>3609891.2110119998</v>
      </c>
      <c r="R14" s="90"/>
      <c r="S14" s="89">
        <f>SUM(S5:S13)</f>
        <v>0</v>
      </c>
      <c r="T14" s="90"/>
      <c r="U14" s="89">
        <f>SUM(U5:U13)</f>
        <v>0</v>
      </c>
      <c r="V14" s="91">
        <f>SUM(V5:V13)</f>
        <v>4563500.2055119993</v>
      </c>
      <c r="W14" s="44"/>
      <c r="X14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N39" sqref="N39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302" t="s">
        <v>4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5" ht="15" customHeight="1" x14ac:dyDescent="0.3">
      <c r="A2" s="303" t="s">
        <v>5</v>
      </c>
      <c r="B2" s="304" t="s">
        <v>6</v>
      </c>
      <c r="C2" s="305" t="s">
        <v>3</v>
      </c>
      <c r="D2" s="305" t="s">
        <v>7</v>
      </c>
      <c r="E2" s="307" t="s">
        <v>8</v>
      </c>
      <c r="F2" s="304"/>
      <c r="G2" s="304" t="s">
        <v>9</v>
      </c>
      <c r="H2" s="304"/>
      <c r="I2" s="308" t="s">
        <v>10</v>
      </c>
      <c r="J2" s="309"/>
      <c r="K2" s="308" t="s">
        <v>11</v>
      </c>
      <c r="L2" s="309"/>
      <c r="M2" s="307" t="s">
        <v>12</v>
      </c>
      <c r="N2" s="304"/>
      <c r="O2" s="310" t="s">
        <v>13</v>
      </c>
    </row>
    <row r="3" spans="1:15" ht="15" customHeight="1" x14ac:dyDescent="0.3">
      <c r="A3" s="303"/>
      <c r="B3" s="304"/>
      <c r="C3" s="306"/>
      <c r="D3" s="306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11"/>
    </row>
    <row r="4" spans="1:15" ht="15" customHeight="1" x14ac:dyDescent="0.3">
      <c r="A4" s="300" t="s">
        <v>102</v>
      </c>
      <c r="B4" s="30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98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2" si="0">D5*E5</f>
        <v>89845</v>
      </c>
      <c r="G5" s="20">
        <v>8839.9</v>
      </c>
      <c r="H5" s="20">
        <f t="shared" ref="H5:H12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292" t="s">
        <v>79</v>
      </c>
    </row>
    <row r="6" spans="1:15" ht="15" customHeight="1" x14ac:dyDescent="0.3">
      <c r="A6" s="299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2" si="2">F6+H6+J6+L6</f>
        <v>506976</v>
      </c>
      <c r="O6" s="293"/>
    </row>
    <row r="7" spans="1:15" ht="15" customHeight="1" x14ac:dyDescent="0.3">
      <c r="A7" s="299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293"/>
    </row>
    <row r="8" spans="1:15" ht="15" customHeight="1" x14ac:dyDescent="0.3">
      <c r="A8" s="299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293"/>
    </row>
    <row r="9" spans="1:15" ht="15" customHeight="1" x14ac:dyDescent="0.3">
      <c r="A9" s="299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293"/>
    </row>
    <row r="10" spans="1:15" ht="15" customHeight="1" x14ac:dyDescent="0.3">
      <c r="A10" s="299"/>
      <c r="B10" s="17" t="s">
        <v>24</v>
      </c>
      <c r="C10" s="18" t="s">
        <v>19</v>
      </c>
      <c r="D10" s="19">
        <v>8</v>
      </c>
      <c r="E10" s="20">
        <v>1057</v>
      </c>
      <c r="F10" s="20">
        <f t="shared" si="0"/>
        <v>8456</v>
      </c>
      <c r="G10" s="20">
        <v>11617.4</v>
      </c>
      <c r="H10" s="20">
        <f t="shared" si="1"/>
        <v>92939.199999999997</v>
      </c>
      <c r="I10" s="20"/>
      <c r="J10" s="20"/>
      <c r="K10" s="20"/>
      <c r="L10" s="20"/>
      <c r="M10" s="20"/>
      <c r="N10" s="20">
        <f t="shared" si="2"/>
        <v>101395.2</v>
      </c>
      <c r="O10" s="293"/>
    </row>
    <row r="11" spans="1:15" ht="15" customHeight="1" x14ac:dyDescent="0.3">
      <c r="A11" s="299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293"/>
    </row>
    <row r="12" spans="1:15" ht="15" customHeight="1" x14ac:dyDescent="0.3">
      <c r="A12" s="299"/>
      <c r="B12" s="17" t="s">
        <v>26</v>
      </c>
      <c r="C12" s="18" t="s">
        <v>19</v>
      </c>
      <c r="D12" s="21">
        <v>8</v>
      </c>
      <c r="E12" s="20">
        <v>1057</v>
      </c>
      <c r="F12" s="20">
        <f t="shared" si="0"/>
        <v>8456</v>
      </c>
      <c r="G12" s="20">
        <v>11617.4</v>
      </c>
      <c r="H12" s="20">
        <f t="shared" si="1"/>
        <v>92939.199999999997</v>
      </c>
      <c r="I12" s="20"/>
      <c r="J12" s="20"/>
      <c r="K12" s="20"/>
      <c r="L12" s="20"/>
      <c r="M12" s="20"/>
      <c r="N12" s="20">
        <f t="shared" si="2"/>
        <v>101395.2</v>
      </c>
      <c r="O12" s="293"/>
    </row>
    <row r="13" spans="1:15" ht="15" customHeight="1" x14ac:dyDescent="0.3">
      <c r="A13" s="45" t="s">
        <v>27</v>
      </c>
      <c r="B13" s="46"/>
      <c r="C13" s="47"/>
      <c r="D13" s="48"/>
      <c r="E13" s="49"/>
      <c r="F13" s="49">
        <f>SUM(F5:F12)</f>
        <v>266364</v>
      </c>
      <c r="G13" s="49"/>
      <c r="H13" s="49">
        <f>SUM(H5:H12)</f>
        <v>2410969.8000000003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2677333.8000000003</v>
      </c>
      <c r="O13" s="49"/>
    </row>
    <row r="14" spans="1:15" ht="15" customHeight="1" x14ac:dyDescent="0.3">
      <c r="A14" s="294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293"/>
    </row>
    <row r="15" spans="1:15" ht="15" customHeight="1" x14ac:dyDescent="0.3">
      <c r="A15" s="294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293"/>
    </row>
    <row r="16" spans="1:15" ht="15" customHeight="1" x14ac:dyDescent="0.3">
      <c r="A16" s="294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293"/>
    </row>
    <row r="17" spans="1:15" ht="15" customHeight="1" x14ac:dyDescent="0.3">
      <c r="A17" s="295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296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76</v>
      </c>
      <c r="B20" s="68" t="s">
        <v>75</v>
      </c>
      <c r="C20" s="68" t="s">
        <v>74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297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297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297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297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90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73</v>
      </c>
      <c r="B28" s="22"/>
      <c r="C28" s="23"/>
      <c r="D28" s="33"/>
      <c r="E28" s="35"/>
      <c r="F28" s="36">
        <f>F13+F18+F25+F27</f>
        <v>953610.9</v>
      </c>
      <c r="G28" s="36"/>
      <c r="H28" s="36">
        <f>H13+H18+H25+H27</f>
        <v>3609530.3800000004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4563141.28</v>
      </c>
      <c r="O28" s="35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15.263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E00000803071260301</v>
      </c>
      <c r="B4" s="53">
        <f>'내역서(표준단가)'!F7</f>
        <v>0</v>
      </c>
      <c r="C4" s="53" t="str">
        <f>'내역서(표준단가)'!G7</f>
        <v>E00000803071260301</v>
      </c>
      <c r="D4" s="53">
        <f>'내역서(표준단가)'!H7</f>
        <v>0</v>
      </c>
      <c r="E4" s="53">
        <f>'내역서(표준단가)'!I7</f>
        <v>0</v>
      </c>
      <c r="F4" s="54">
        <f>'내역서(표준단가)'!M7</f>
        <v>1.8859999999999999</v>
      </c>
    </row>
    <row r="5" spans="1:6" x14ac:dyDescent="0.3">
      <c r="A5" s="52" t="str">
        <f>'내역서(표준단가)'!A8</f>
        <v>M020809012520101</v>
      </c>
      <c r="B5" s="53">
        <f>'내역서(표준단가)'!F8</f>
        <v>0</v>
      </c>
      <c r="C5" s="53">
        <f>'내역서(표준단가)'!G8</f>
        <v>0</v>
      </c>
      <c r="D5" s="53" t="str">
        <f>'내역서(표준단가)'!H8</f>
        <v>M020809012520101</v>
      </c>
      <c r="E5" s="53">
        <f>'내역서(표준단가)'!I8</f>
        <v>0</v>
      </c>
      <c r="F5" s="54">
        <f>'내역서(표준단가)'!M8</f>
        <v>61.8</v>
      </c>
    </row>
    <row r="6" spans="1:6" x14ac:dyDescent="0.3">
      <c r="A6" s="52" t="str">
        <f>'내역서(표준단가)'!A9</f>
        <v>E00000803071260401</v>
      </c>
      <c r="B6" s="53">
        <f>'내역서(표준단가)'!F9</f>
        <v>0</v>
      </c>
      <c r="C6" s="53" t="str">
        <f>'내역서(표준단가)'!G9</f>
        <v>E00000803071260401</v>
      </c>
      <c r="D6" s="53">
        <f>'내역서(표준단가)'!H9</f>
        <v>0</v>
      </c>
      <c r="E6" s="53">
        <f>'내역서(표준단가)'!I9</f>
        <v>0</v>
      </c>
      <c r="F6" s="54">
        <f>'내역서(표준단가)'!M9</f>
        <v>1.0132000000000001</v>
      </c>
    </row>
    <row r="7" spans="1:6" x14ac:dyDescent="0.3">
      <c r="A7" s="52" t="str">
        <f>'내역서(표준단가)'!A10</f>
        <v>M020412614110102</v>
      </c>
      <c r="B7" s="53">
        <f>'내역서(표준단가)'!F10</f>
        <v>0</v>
      </c>
      <c r="C7" s="53">
        <f>'내역서(표준단가)'!G10</f>
        <v>0</v>
      </c>
      <c r="D7" s="53" t="str">
        <f>'내역서(표준단가)'!H10</f>
        <v>M020412614110102</v>
      </c>
      <c r="E7" s="53">
        <f>'내역서(표준단가)'!I10</f>
        <v>0</v>
      </c>
      <c r="F7" s="54">
        <f>'내역서(표준단가)'!M10</f>
        <v>0.3</v>
      </c>
    </row>
    <row r="8" spans="1:6" x14ac:dyDescent="0.3">
      <c r="A8" s="52" t="str">
        <f>'내역서(표준단가)'!A11</f>
        <v>E00000803061120402</v>
      </c>
      <c r="B8" s="53">
        <f>'내역서(표준단가)'!F11</f>
        <v>0</v>
      </c>
      <c r="C8" s="53" t="str">
        <f>'내역서(표준단가)'!G11</f>
        <v>E00000803061120402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E00000803061300201</v>
      </c>
      <c r="B9" s="53">
        <f>'내역서(표준단가)'!F12</f>
        <v>0</v>
      </c>
      <c r="C9" s="53" t="str">
        <f>'내역서(표준단가)'!G12</f>
        <v>E00000803061300201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28</v>
      </c>
    </row>
    <row r="10" spans="1:6" x14ac:dyDescent="0.3">
      <c r="A10" s="52" t="str">
        <f>'내역서(표준단가)'!A13</f>
        <v>E00000801011510701</v>
      </c>
      <c r="B10" s="53">
        <f>'내역서(표준단가)'!F13</f>
        <v>0</v>
      </c>
      <c r="C10" s="53" t="str">
        <f>'내역서(표준단가)'!G13</f>
        <v>E00000801011510701</v>
      </c>
      <c r="D10" s="53">
        <f>'내역서(표준단가)'!H13</f>
        <v>0</v>
      </c>
      <c r="E10" s="53">
        <f>'내역서(표준단가)'!I13</f>
        <v>0</v>
      </c>
      <c r="F10" s="54">
        <f>'내역서(표준단가)'!M13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M41" sqref="M41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2025-04-07T03:29:02Z</dcterms:modified>
</cp:coreProperties>
</file>
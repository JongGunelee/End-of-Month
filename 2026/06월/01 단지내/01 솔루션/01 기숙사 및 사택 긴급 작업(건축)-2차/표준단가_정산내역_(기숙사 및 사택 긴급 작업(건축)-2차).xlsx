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현재_통합_문서"/>
  <mc:AlternateContent xmlns:mc="http://schemas.openxmlformats.org/markup-compatibility/2006">
    <mc:Choice Requires="x15">
      <x15ac:absPath xmlns:x15ac="http://schemas.microsoft.com/office/spreadsheetml/2010/11/ac" url="D:\02 기숙사 및 사택\05 기숙사 및 사택 월마감\26년-사택 작업\00 연간 긴급대응\03 정산 현황\01 건축\01 기숙사 및 사택 긴급 작업(건축)-1차\"/>
    </mc:Choice>
  </mc:AlternateContent>
  <xr:revisionPtr revIDLastSave="0" documentId="13_ncr:1_{2F355CD3-8A03-4440-AE2D-CEB2B128A98C}" xr6:coauthVersionLast="47" xr6:coauthVersionMax="47" xr10:uidLastSave="{00000000-0000-0000-0000-000000000000}"/>
  <bookViews>
    <workbookView xWindow="-60" yWindow="-60" windowWidth="28920" windowHeight="15600" activeTab="2" xr2:uid="{00000000-000D-0000-FFFF-FFFF00000000}"/>
  </bookViews>
  <sheets>
    <sheet name="갑지" sheetId="19" r:id="rId1"/>
    <sheet name="내역서(표준단가)-1차" sheetId="18" r:id="rId2"/>
    <sheet name="관리소 접수 입력" sheetId="16" r:id="rId3"/>
    <sheet name="시중가 근거서류 " sheetId="17"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localSheetId="3"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localSheetId="3"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localSheetId="3"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localSheetId="3"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localSheetId="3"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localSheetId="3"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localSheetId="3" hidden="1">{"'Sheet1'!$E$23","'Sheet1'!$A$3:$H$19","'Sheet1'!$A$1:$H$19"}</definedName>
    <definedName name="press1" hidden="1">{"'Sheet1'!$E$23","'Sheet1'!$A$3:$H$19","'Sheet1'!$A$1:$H$19"}</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localSheetId="3"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localSheetId="3"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localSheetId="3"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localSheetId="3"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localSheetId="3"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localSheetId="3"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localSheetId="3"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localSheetId="3"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localSheetId="3"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localSheetId="3"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localSheetId="3"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localSheetId="3"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localSheetId="3"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localSheetId="3"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localSheetId="3"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localSheetId="3"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localSheetId="3"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localSheetId="3"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localSheetId="3"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localSheetId="3"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localSheetId="3"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localSheetId="3"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localSheetId="3"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localSheetId="3"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localSheetId="3"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localSheetId="3"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localSheetId="3"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localSheetId="3"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localSheetId="3"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localSheetId="3"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localSheetId="3"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localSheetId="3"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localSheetId="3"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localSheetId="3"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localSheetId="3"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localSheetId="3"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localSheetId="3"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localSheetId="3"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localSheetId="3"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localSheetId="3"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localSheetId="3"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19" l="1"/>
  <c r="I43" i="16" l="1"/>
  <c r="U14" i="18" l="1"/>
  <c r="S14" i="18"/>
  <c r="Q14" i="18"/>
  <c r="O14" i="18"/>
  <c r="A14" i="18"/>
  <c r="V14" i="18" l="1"/>
  <c r="O13" i="18"/>
  <c r="O12" i="18"/>
  <c r="O11" i="18"/>
  <c r="O10" i="18"/>
  <c r="O9" i="18"/>
  <c r="O8" i="18"/>
  <c r="U13" i="18"/>
  <c r="S13" i="18"/>
  <c r="Q13" i="18"/>
  <c r="V13" i="18"/>
  <c r="U12" i="18"/>
  <c r="S12" i="18"/>
  <c r="Q12" i="18"/>
  <c r="V12" i="18"/>
  <c r="A13" i="18"/>
  <c r="A12" i="18"/>
  <c r="A11" i="18"/>
  <c r="A10" i="18"/>
  <c r="A9" i="18"/>
  <c r="A8" i="18"/>
  <c r="A7" i="18"/>
  <c r="A6" i="18"/>
  <c r="Q5" i="18" l="1"/>
  <c r="Q6" i="18" l="1"/>
  <c r="V6" i="18" s="1"/>
  <c r="V36" i="16" l="1"/>
  <c r="V39" i="16" s="1"/>
  <c r="U36" i="16"/>
  <c r="U39" i="16" s="1"/>
  <c r="T36" i="16"/>
  <c r="T39" i="16" s="1"/>
  <c r="S36" i="16"/>
  <c r="S39" i="16" s="1"/>
  <c r="R36" i="16"/>
  <c r="R39" i="16" s="1"/>
  <c r="Q36" i="16"/>
  <c r="Q39" i="16" s="1"/>
  <c r="P36" i="16"/>
  <c r="P39" i="16" s="1"/>
  <c r="O36" i="16"/>
  <c r="O39" i="16" s="1"/>
  <c r="D36" i="16"/>
  <c r="D39" i="16" s="1"/>
  <c r="I35" i="16"/>
  <c r="J35" i="16" s="1"/>
  <c r="I34" i="16"/>
  <c r="J34" i="16" s="1"/>
  <c r="I33" i="16"/>
  <c r="J33" i="16" s="1"/>
  <c r="I32" i="16"/>
  <c r="J32" i="16" s="1"/>
  <c r="I31" i="16"/>
  <c r="J31" i="16" s="1"/>
  <c r="I30" i="16"/>
  <c r="J30" i="16" s="1"/>
  <c r="I29" i="16"/>
  <c r="J29" i="16" s="1"/>
  <c r="I28" i="16"/>
  <c r="J28" i="16" s="1"/>
  <c r="I22" i="16"/>
  <c r="J22" i="16" s="1"/>
  <c r="I27" i="16"/>
  <c r="J27" i="16" s="1"/>
  <c r="I26" i="16"/>
  <c r="J26" i="16" s="1"/>
  <c r="I25" i="16"/>
  <c r="J25" i="16" s="1"/>
  <c r="I24" i="16"/>
  <c r="J24" i="16" s="1"/>
  <c r="I23" i="16"/>
  <c r="J23" i="16" s="1"/>
  <c r="I21" i="16"/>
  <c r="J21" i="16" s="1"/>
  <c r="I20" i="16"/>
  <c r="J20" i="16" s="1"/>
  <c r="I19" i="16"/>
  <c r="J19" i="16" s="1"/>
  <c r="I18" i="16"/>
  <c r="J18" i="16" s="1"/>
  <c r="I17" i="16"/>
  <c r="J17" i="16" s="1"/>
  <c r="I16" i="16"/>
  <c r="J16" i="16" s="1"/>
  <c r="I15" i="16"/>
  <c r="J15" i="16" s="1"/>
  <c r="I14" i="16"/>
  <c r="J14" i="16" s="1"/>
  <c r="I13" i="16"/>
  <c r="J13" i="16" s="1"/>
  <c r="I6" i="16"/>
  <c r="J6" i="16" s="1"/>
  <c r="I5" i="16"/>
  <c r="J5" i="16" s="1"/>
  <c r="I11" i="16"/>
  <c r="J11" i="16" s="1"/>
  <c r="I7" i="16"/>
  <c r="J7" i="16" s="1"/>
  <c r="I42" i="16" l="1"/>
  <c r="Q11" i="18"/>
  <c r="S11" i="18"/>
  <c r="U11" i="18"/>
  <c r="O16" i="18"/>
  <c r="F18" i="19"/>
  <c r="U16" i="18"/>
  <c r="S16" i="18"/>
  <c r="Q16" i="18"/>
  <c r="O15" i="18"/>
  <c r="V15" i="18" s="1"/>
  <c r="U10" i="18"/>
  <c r="S10" i="18"/>
  <c r="Q10" i="18"/>
  <c r="U9" i="18"/>
  <c r="U8" i="18"/>
  <c r="U7" i="18"/>
  <c r="S7" i="18"/>
  <c r="U5" i="18"/>
  <c r="S5" i="18"/>
  <c r="O5" i="18"/>
  <c r="A5" i="18"/>
  <c r="V11" i="18" l="1"/>
  <c r="U17" i="18"/>
  <c r="V16" i="18"/>
  <c r="V10" i="18"/>
  <c r="S17" i="18"/>
  <c r="V5" i="18"/>
  <c r="O7" i="18"/>
  <c r="S9" i="18"/>
  <c r="Q9" i="18"/>
  <c r="Q7" i="18"/>
  <c r="Q8" i="18"/>
  <c r="S8" i="18"/>
  <c r="O17" i="18" l="1"/>
  <c r="F16" i="19" s="1"/>
  <c r="Q17" i="18"/>
  <c r="F17" i="19" s="1"/>
  <c r="V7" i="18"/>
  <c r="V9" i="18"/>
  <c r="V8" i="18"/>
  <c r="F25" i="19" l="1"/>
  <c r="F24" i="19"/>
  <c r="F22" i="19"/>
  <c r="F23" i="19" s="1"/>
  <c r="F21" i="19"/>
  <c r="F26" i="19"/>
  <c r="V17" i="18"/>
  <c r="F19" i="19"/>
  <c r="I12" i="16"/>
  <c r="I10" i="16"/>
  <c r="J10" i="16" s="1"/>
  <c r="I9" i="16"/>
  <c r="J9" i="16" s="1"/>
  <c r="I8" i="16"/>
  <c r="F27" i="19" l="1"/>
  <c r="F28" i="19" s="1"/>
  <c r="F31" i="19" s="1"/>
  <c r="B12" i="19" s="1"/>
  <c r="J8" i="16"/>
  <c r="I36" i="16"/>
  <c r="J12" i="16"/>
  <c r="J36"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<sst xmlns="http://schemas.openxmlformats.org/spreadsheetml/2006/main" count="390" uniqueCount="258">
  <si>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</si>
  <si>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</si>
  <si>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</si>
  <si>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</si>
  <si>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</si>
  <si>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</si>
  <si>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</si>
  <si>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</si>
  <si>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</si>
  <si>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</si>
  <si>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</si>
  <si>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</si>
  <si>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</si>
  <si>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</si>
  <si>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</si>
  <si>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</si>
  <si>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</si>
  <si>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</si>
  <si>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</si>
  <si>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</si>
  <si>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</si>
  <si>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</si>
  <si>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</si>
  <si>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</si>
  <si>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</si>
  <si>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</si>
  <si>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</si>
  <si>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</si>
  <si>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</si>
  <si>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</si>
  <si>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</si>
  <si>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</si>
  <si>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</si>
  <si>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</si>
  <si>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</si>
  <si>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</si>
  <si>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</si>
  <si>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</si>
  <si>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</si>
  <si>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</si>
  <si>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</si>
  <si>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</si>
  <si>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</si>
  <si>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</si>
  <si>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</si>
  <si>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</si>
  <si>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</si>
  <si>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</si>
  <si>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</si>
  <si>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</si>
  <si>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</si>
  <si>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</si>
  <si>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</si>
  <si>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</si>
  <si>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</si>
  <si>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</si>
  <si>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</si>
  <si>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</si>
  <si>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</si>
  <si>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</si>
  <si>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</si>
  <si>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</si>
  <si>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</si>
  <si>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</si>
  <si>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</si>
  <si>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</si>
  <si>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</si>
  <si>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</si>
  <si>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</si>
  <si>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</si>
  <si>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</si>
  <si>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</si>
  <si>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</si>
  <si>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</si>
  <si>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</si>
  <si>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</si>
  <si>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</si>
  <si>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</si>
  <si>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</si>
  <si>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</si>
  <si>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</si>
  <si>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</si>
  <si>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</si>
  <si>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</si>
  <si>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비고</t>
    <phoneticPr fontId="9" type="noConversion"/>
  </si>
  <si>
    <t>근로자 
(직접 서명)</t>
    <phoneticPr fontId="11" type="noConversion"/>
  </si>
  <si>
    <t>자재 내역</t>
    <phoneticPr fontId="9" type="noConversion"/>
  </si>
  <si>
    <t>특별인부
(시공사 입력)</t>
    <phoneticPr fontId="9" type="noConversion"/>
  </si>
  <si>
    <t>작업시간(인당)</t>
    <phoneticPr fontId="9" type="noConversion"/>
  </si>
  <si>
    <t>전체 시간</t>
    <phoneticPr fontId="9" type="noConversion"/>
  </si>
  <si>
    <t>방충망
(개)</t>
    <phoneticPr fontId="9" type="noConversion"/>
  </si>
  <si>
    <t>코킹재
(개)</t>
    <phoneticPr fontId="9" type="noConversion"/>
  </si>
  <si>
    <t>걸레받이
(m)</t>
    <phoneticPr fontId="9" type="noConversion"/>
  </si>
  <si>
    <t>블라인드
개소당 (5㎡)</t>
    <phoneticPr fontId="9" type="noConversion"/>
  </si>
  <si>
    <t>일성건축</t>
    <phoneticPr fontId="9" type="noConversion"/>
  </si>
  <si>
    <t>남해원</t>
    <phoneticPr fontId="9" type="noConversion"/>
  </si>
  <si>
    <t>L003</t>
  </si>
  <si>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</si>
  <si>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M/D</t>
    <phoneticPr fontId="9" type="noConversion"/>
  </si>
  <si>
    <t>㎡</t>
  </si>
  <si>
    <t>다우실 1000</t>
  </si>
  <si>
    <t>270㎖</t>
  </si>
  <si>
    <t>걸레받이</t>
  </si>
  <si>
    <t>m</t>
  </si>
  <si>
    <t>열반사 단열재 (m2)</t>
    <phoneticPr fontId="9" type="noConversion"/>
  </si>
  <si>
    <t>석고보드 12.5t(매)</t>
    <phoneticPr fontId="9" type="noConversion"/>
  </si>
  <si>
    <t xml:space="preserve">2
103
</t>
    <phoneticPr fontId="9" type="noConversion"/>
  </si>
  <si>
    <t>이보드 13t(m2)</t>
    <phoneticPr fontId="9" type="noConversion"/>
  </si>
  <si>
    <t xml:space="preserve">첨부 1 </t>
    <phoneticPr fontId="9" type="noConversion"/>
  </si>
  <si>
    <t>첨부 4</t>
    <phoneticPr fontId="9" type="noConversion"/>
  </si>
  <si>
    <t>첨부 2</t>
    <phoneticPr fontId="9" type="noConversion"/>
  </si>
  <si>
    <t>첨부 3</t>
    <phoneticPr fontId="9" type="noConversion"/>
  </si>
  <si>
    <t>첨부 5</t>
    <phoneticPr fontId="9" type="noConversion"/>
  </si>
  <si>
    <t>특별인부</t>
    <phoneticPr fontId="9" type="noConversion"/>
  </si>
  <si>
    <t>방충망 AL</t>
  </si>
  <si>
    <t>씽크대 문짝 교체</t>
    <phoneticPr fontId="9" type="noConversion"/>
  </si>
  <si>
    <t>L/S</t>
    <phoneticPr fontId="9" type="noConversion"/>
  </si>
  <si>
    <t>총 계</t>
    <phoneticPr fontId="9" type="noConversion"/>
  </si>
  <si>
    <t>첨부 6</t>
    <phoneticPr fontId="9" type="noConversion"/>
  </si>
  <si>
    <t>첨부 7</t>
    <phoneticPr fontId="9" type="noConversion"/>
  </si>
  <si>
    <t>첨부 8</t>
    <phoneticPr fontId="9" type="noConversion"/>
  </si>
  <si>
    <t>첨부 9</t>
    <phoneticPr fontId="9" type="noConversion"/>
  </si>
  <si>
    <t>첨부 10</t>
    <phoneticPr fontId="9" type="noConversion"/>
  </si>
  <si>
    <t>첨부 11</t>
    <phoneticPr fontId="9" type="noConversion"/>
  </si>
  <si>
    <t>첨부 12</t>
    <phoneticPr fontId="9" type="noConversion"/>
  </si>
  <si>
    <t>매</t>
    <phoneticPr fontId="9" type="noConversion"/>
  </si>
  <si>
    <t>M020750510130102</t>
  </si>
  <si>
    <t>에너폴(이보드, 1000*1000*13T, 대체)</t>
    <phoneticPr fontId="9" type="noConversion"/>
  </si>
  <si>
    <t>매</t>
  </si>
  <si>
    <t>에너폴(태화론 TW-06, 6㎜×1M×50M단면-점착 대체)</t>
    <phoneticPr fontId="9" type="noConversion"/>
  </si>
  <si>
    <t>M020750510120102</t>
  </si>
  <si>
    <t>M020690811520101</t>
  </si>
  <si>
    <t>일반석고보드</t>
  </si>
  <si>
    <t>첨부 13</t>
    <phoneticPr fontId="9" type="noConversion"/>
  </si>
  <si>
    <t>첨부 14</t>
    <phoneticPr fontId="9" type="noConversion"/>
  </si>
  <si>
    <t>첨부 15</t>
    <phoneticPr fontId="9" type="noConversion"/>
  </si>
  <si>
    <t>첨부 16</t>
    <phoneticPr fontId="9" type="noConversion"/>
  </si>
  <si>
    <t xml:space="preserve"> 
</t>
    <phoneticPr fontId="9" type="noConversion"/>
  </si>
  <si>
    <t xml:space="preserve"> 공사명 : 기숙사 및 사택 긴급 보수작업(건축)- 1차</t>
    <phoneticPr fontId="15" type="noConversion"/>
  </si>
  <si>
    <t>뒤베란다 벽면 크렉보수 완료
문보수 3개소 보수완료
씽크대 상판 실리콘 제거 및 재코킹 작업 완료
걸레받이 2개소 교체 완료
방충망 3개소 교체 완료</t>
    <phoneticPr fontId="9" type="noConversion"/>
  </si>
  <si>
    <t xml:space="preserve">7
101
</t>
    <phoneticPr fontId="9" type="noConversion"/>
  </si>
  <si>
    <t xml:space="preserve">307
102
</t>
    <phoneticPr fontId="9" type="noConversion"/>
  </si>
  <si>
    <t>씽크대 상판 실리콘 제거 및 재코킹 작업 완료
걸레받이 3개소 교체 완료
문보수 1개소 보수완료
방충망 3개소 교체 완료
씽크대 상판 실리콘 제거 및 재코킹 작업 완료
걸레받이 5개소 교체 완료
문보수 1개소 보수완료
거실 좌측방 문틀 시트지 보수 완료</t>
    <phoneticPr fontId="9" type="noConversion"/>
  </si>
  <si>
    <t xml:space="preserve">101
102
</t>
    <phoneticPr fontId="9" type="noConversion"/>
  </si>
  <si>
    <t>씽크대 상판 실리콘 제거 및 재코킹 작업 완료
문보수 3개소 보수완료
창문측 벽면 단열재 뜰뜸4곳(거실,방3개 보수작업완료)
방충망 3개소 교체 완료</t>
    <phoneticPr fontId="9" type="noConversion"/>
  </si>
  <si>
    <t>103
2
2
102</t>
    <phoneticPr fontId="9" type="noConversion"/>
  </si>
  <si>
    <t>205
302
205
503</t>
    <phoneticPr fontId="9" type="noConversion"/>
  </si>
  <si>
    <t>방충망 2개소 교체 완료
앞,뒤 베란다 크랙보수 완료
문보수 1개소 보수완료
씽크대 상판 실리콘 제거 및 재코킹 작업 완료
문보수 2개소 보수완료</t>
    <phoneticPr fontId="9" type="noConversion"/>
  </si>
  <si>
    <t>102
2
8
2</t>
    <phoneticPr fontId="9" type="noConversion"/>
  </si>
  <si>
    <t>406
302
205
206</t>
    <phoneticPr fontId="9" type="noConversion"/>
  </si>
  <si>
    <t>방충망 3개소 교체 완료
방충망 5개소 교체 완료
방충망 6개소 교체 완료
방충망 5개소 교체 완료</t>
    <phoneticPr fontId="9" type="noConversion"/>
  </si>
  <si>
    <t>문보수 4개소 보수완료
걸레받이 7개소 교체 완료
씽크대 상판 실리콘 제거 및 재코킹 작업 완료
거실 우측 방문 파손 보수 완료
방충망 3개소 교체 완료</t>
    <phoneticPr fontId="9" type="noConversion"/>
  </si>
  <si>
    <t>1차분 (정산진행)</t>
    <phoneticPr fontId="9" type="noConversion"/>
  </si>
  <si>
    <t>연구
단지</t>
    <phoneticPr fontId="9" type="noConversion"/>
  </si>
  <si>
    <t>폐기물
보관소</t>
    <phoneticPr fontId="9" type="noConversion"/>
  </si>
  <si>
    <t>사택 보일러 이동(사택에서 연구소로 이동)</t>
    <phoneticPr fontId="9" type="noConversion"/>
  </si>
  <si>
    <t>씽크문 1개 교체</t>
    <phoneticPr fontId="9" type="noConversion"/>
  </si>
  <si>
    <t>103
8
102</t>
    <phoneticPr fontId="9" type="noConversion"/>
  </si>
  <si>
    <t>301
506
501</t>
    <phoneticPr fontId="9" type="noConversion"/>
  </si>
  <si>
    <t xml:space="preserve"> 방충망 3개소 교체 완료
 방충망 7개소 교체 완료
 방충망 2개소 교체 완료</t>
    <phoneticPr fontId="9" type="noConversion"/>
  </si>
  <si>
    <t xml:space="preserve">102
103
</t>
    <phoneticPr fontId="9" type="noConversion"/>
  </si>
  <si>
    <t xml:space="preserve">501
301
</t>
    <phoneticPr fontId="9" type="noConversion"/>
  </si>
  <si>
    <t>301
403</t>
    <phoneticPr fontId="9" type="noConversion"/>
  </si>
  <si>
    <t>문보수 4개소 보수완료
문보수 3개소 보수완료</t>
    <phoneticPr fontId="9" type="noConversion"/>
  </si>
  <si>
    <t>103
103</t>
    <phoneticPr fontId="9" type="noConversion"/>
  </si>
  <si>
    <t>103
405</t>
    <phoneticPr fontId="9" type="noConversion"/>
  </si>
  <si>
    <t>105
802-3</t>
    <phoneticPr fontId="9" type="noConversion"/>
  </si>
  <si>
    <t>103
A</t>
    <phoneticPr fontId="9" type="noConversion"/>
  </si>
  <si>
    <t xml:space="preserve"> 걸레받이 10개소 교체 완료
 씽크대 상판 실리콘 제거 및 재코킹 작업 완료
 벽면 단열재 들뜸 보수 완료</t>
    <phoneticPr fontId="9" type="noConversion"/>
  </si>
  <si>
    <t>105
1002-3
804-2
803-4</t>
    <phoneticPr fontId="9" type="noConversion"/>
  </si>
  <si>
    <t>문보수 2개소 보수 완료
버티컬 철거 및 교체 완료
버티컬 철거 및 교체 완료
버티컬 철거 및 교체 완료</t>
    <phoneticPr fontId="9" type="noConversion"/>
  </si>
  <si>
    <t>A</t>
    <phoneticPr fontId="9" type="noConversion"/>
  </si>
  <si>
    <t>단열재 들뜸 보수완료
문보수 1개소 보수완료
문보수 2개소 보수완료
문보수 1개소 보수완료
문보수 1개소 보수완료
문보수 1개소 보수완료</t>
    <phoneticPr fontId="9" type="noConversion"/>
  </si>
  <si>
    <t>1002-5
1002-3
803-4
802-3
802-5
801-3</t>
    <phoneticPr fontId="9" type="noConversion"/>
  </si>
  <si>
    <t>801-3
702-5
604-1
602-5
601-5
601-6
105</t>
    <phoneticPr fontId="9" type="noConversion"/>
  </si>
  <si>
    <t>A
103</t>
    <phoneticPr fontId="9" type="noConversion"/>
  </si>
  <si>
    <t xml:space="preserve">103
A
</t>
    <phoneticPr fontId="9" type="noConversion"/>
  </si>
  <si>
    <t>문보수 1개소 보수완료
문보수 1개소 보수완료
문보수 2개소 보수완료
문보수 2개소 보수완료
문보수 1개소 보수완료
문보수 1개소 보수완료
방충망 3개소 교체 완료</t>
    <phoneticPr fontId="9" type="noConversion"/>
  </si>
  <si>
    <t>앞,뒤 크랙보수 완료
앞,뒤 벽면 크랙 보수 완료
문보수 1개소 보수완료
문보수 1개소 보수완료
문보수 1개소 보수완료
문보수 1개소 보수완료
문보수 1개소 보수완료
문보수 1개소 보수완료</t>
    <phoneticPr fontId="9" type="noConversion"/>
  </si>
  <si>
    <t>401
102
504-6
404-6
403-4
401-1
304-1
204-2</t>
    <phoneticPr fontId="9" type="noConversion"/>
  </si>
  <si>
    <t xml:space="preserve">2
7
A
</t>
    <phoneticPr fontId="9" type="noConversion"/>
  </si>
  <si>
    <t>3
A</t>
    <phoneticPr fontId="9" type="noConversion"/>
  </si>
  <si>
    <t>텃밭
403</t>
    <phoneticPr fontId="9" type="noConversion"/>
  </si>
  <si>
    <t>보도 블록 점검
화장실 타일 보수 작업중</t>
    <phoneticPr fontId="9" type="noConversion"/>
  </si>
  <si>
    <t xml:space="preserve">2
3
A
</t>
    <phoneticPr fontId="9" type="noConversion"/>
  </si>
  <si>
    <t>401
텃밭
1002-5
1002-3
404-6</t>
    <phoneticPr fontId="9" type="noConversion"/>
  </si>
  <si>
    <t>A
B</t>
    <phoneticPr fontId="9" type="noConversion"/>
  </si>
  <si>
    <t>802-1
604-1
602-5
601-6
601-5
403-3
401-1
601-5</t>
    <phoneticPr fontId="9" type="noConversion"/>
  </si>
  <si>
    <t>버티컬 철거 및 교체 완료
버티컬 철거 및 교체 완료
버티컬 철거 및 교체 완료
버티컬 철거 및 교체 완료
버티컬 철거 및 교체 완료
버티컬 철거 및 교체 완료
버티컬 철거 및 교체 완료
버티컬 철거 및 교체 완료</t>
    <phoneticPr fontId="9" type="noConversion"/>
  </si>
  <si>
    <t>5
9</t>
    <phoneticPr fontId="9" type="noConversion"/>
  </si>
  <si>
    <t>106
505
405</t>
    <phoneticPr fontId="9" type="noConversion"/>
  </si>
  <si>
    <t xml:space="preserve"> 방충망 1개소 교체 완료
 방충망 5개소 교체 완료
 방충망 6개소 교체 완료</t>
    <phoneticPr fontId="9" type="noConversion"/>
  </si>
  <si>
    <t>5
2
103</t>
    <phoneticPr fontId="9" type="noConversion"/>
  </si>
  <si>
    <t>206
401
102
302</t>
    <phoneticPr fontId="9" type="noConversion"/>
  </si>
  <si>
    <t>방충망 7개소 교체 완료
방충망 5개소 교체 완료
방충망 2개소 교체 완료
방충망 3개소 교체 완료</t>
    <phoneticPr fontId="9" type="noConversion"/>
  </si>
  <si>
    <t>B
A
5</t>
    <phoneticPr fontId="9" type="noConversion"/>
  </si>
  <si>
    <t xml:space="preserve"> 903-1
804-1
803-3
801-2
702-5
604-1
1002-3
1002-5
404-6
206</t>
    <phoneticPr fontId="9" type="noConversion"/>
  </si>
  <si>
    <t>문보수 1개소 교체 완료
문보수 1개소 교체 완료
문보수 1개소 교체 완료
문보수 2개소 교체 완료
문보수 1개소 교체 완료
문보수 1개소 교체 완료
화장실 바닥타일 교체 완료
화장실 바닥타일 교체 완료
화장실 바닥타일 교체 완료
문보수 1개소 교체 완료</t>
    <phoneticPr fontId="9" type="noConversion"/>
  </si>
  <si>
    <t>2
5
5
2</t>
    <phoneticPr fontId="9" type="noConversion"/>
  </si>
  <si>
    <t>401
206
106
102</t>
    <phoneticPr fontId="9" type="noConversion"/>
  </si>
  <si>
    <t xml:space="preserve">102
202
</t>
    <phoneticPr fontId="9" type="noConversion"/>
  </si>
  <si>
    <t>앞,뒤 베란다 크랙보수 완료
거실 좌측방 붙박이장 옆벽 단열재 들뜸 재시공 완료
문보수 2개소 완료
방충망 1개소 교체 완료</t>
    <phoneticPr fontId="9" type="noConversion"/>
  </si>
  <si>
    <t>2
7</t>
    <phoneticPr fontId="9" type="noConversion"/>
  </si>
  <si>
    <t>102
508</t>
    <phoneticPr fontId="9" type="noConversion"/>
  </si>
  <si>
    <t>문 ,문틀 , 방화문 도장 작업
뒤베란다 창고벽면 부분 도색 작업</t>
    <phoneticPr fontId="9" type="noConversion"/>
  </si>
  <si>
    <t>202
203
302</t>
    <phoneticPr fontId="9" type="noConversion"/>
  </si>
  <si>
    <t>302
203
204</t>
    <phoneticPr fontId="9" type="noConversion"/>
  </si>
  <si>
    <t>202
203
405</t>
    <phoneticPr fontId="9" type="noConversion"/>
  </si>
  <si>
    <t>204
103</t>
    <phoneticPr fontId="9" type="noConversion"/>
  </si>
  <si>
    <t>8
103</t>
    <phoneticPr fontId="9" type="noConversion"/>
  </si>
  <si>
    <t>103
101
9</t>
    <phoneticPr fontId="9" type="noConversion"/>
  </si>
  <si>
    <t>103
101
8</t>
    <phoneticPr fontId="9" type="noConversion"/>
  </si>
  <si>
    <t>씽크대 상판 실리콘 제거 및 재코킹 작업
걸레받이 7개소 교체 완료
방화문 보수 완료</t>
    <phoneticPr fontId="9" type="noConversion"/>
  </si>
  <si>
    <t>방충망 4개소 교체 완료
가스렌지장 대리석 교체 및 장 재설치</t>
    <phoneticPr fontId="9" type="noConversion"/>
  </si>
  <si>
    <t>세금계산서 첨부1</t>
    <phoneticPr fontId="9" type="noConversion"/>
  </si>
  <si>
    <t>걸레받이 4개소 교체 완료
낙서 및 얼룩제거 완료(붙박이장,방문)
문보수3개소 보수 완료
걸레받이 1개소 교체 완료
씽크대 상판 실리콘 제거 및 재코킹 작업 완료</t>
    <phoneticPr fontId="9" type="noConversion"/>
  </si>
  <si>
    <t>문보수 2개소 보수완료
문바닥틀 시트지 교체 완료
걸레받이 3개소 교체 완료
화장실 타일 보수 완료
문보수 4개소 보수 완료</t>
    <phoneticPr fontId="9" type="noConversion"/>
  </si>
  <si>
    <t>세금계산서 첨부2</t>
    <phoneticPr fontId="9" type="noConversion"/>
  </si>
  <si>
    <t>방염, 기본면적: 2㎡, 가구당 5㎡*11가구=55㎡</t>
    <phoneticPr fontId="9" type="noConversion"/>
  </si>
  <si>
    <t>9동 502호</t>
    <phoneticPr fontId="9" type="noConversion"/>
  </si>
  <si>
    <t>103동 103호</t>
    <phoneticPr fontId="9" type="noConversion"/>
  </si>
  <si>
    <t>도장공</t>
    <phoneticPr fontId="9" type="noConversion"/>
  </si>
  <si>
    <t xml:space="preserve">402
406
</t>
    <phoneticPr fontId="9" type="noConversion"/>
  </si>
  <si>
    <t>걸레받이 10개소 교체 완료
방충망 3개소 교체 완료
걸레받이 13개소 교체 중</t>
    <phoneticPr fontId="9" type="noConversion"/>
  </si>
  <si>
    <t>걸레받이 13개소 교체 완료
걸레받이 7개소 교체중
방충망 3개소 교체 완료</t>
    <phoneticPr fontId="9" type="noConversion"/>
  </si>
  <si>
    <t>가스렌지장 재설치 및 인조대리석 교체</t>
    <phoneticPr fontId="9" type="noConversion"/>
  </si>
  <si>
    <r>
      <t xml:space="preserve">벽체 단열재 들뜸 보수 완료
보도 블록 보수 작업 완료
</t>
    </r>
    <r>
      <rPr>
        <sz val="15"/>
        <color theme="1"/>
        <rFont val="맑은 고딕"/>
        <family val="3"/>
        <charset val="129"/>
        <scheme val="minor"/>
      </rPr>
      <t>화장실 바닥 타일 부분 교체중
화장실 바닥 타일 부분 교체중
화장실 바닥 타일 부분 교체중</t>
    </r>
    <phoneticPr fontId="9" type="noConversion"/>
  </si>
  <si>
    <t>L029</t>
    <phoneticPr fontId="9" type="noConversion"/>
  </si>
  <si>
    <t> 노무비*4.75%</t>
    <phoneticPr fontId="17" type="noConversion"/>
  </si>
  <si>
    <t> 노무비*3.595%</t>
    <phoneticPr fontId="17" type="noConversion"/>
  </si>
  <si>
    <t>M020852810150101</t>
  </si>
  <si>
    <t>MFA, 1,000×1,000㎜, AL도장</t>
    <phoneticPr fontId="9" type="noConversion"/>
  </si>
  <si>
    <t>M020450310340103</t>
  </si>
  <si>
    <t>1액형 실리콘, 발코니 창호 주위 조인트용(창틀용)</t>
    <phoneticPr fontId="9" type="noConversion"/>
  </si>
  <si>
    <t>M020251411670101</t>
  </si>
  <si>
    <t>SHWB-100, W:100×2T</t>
    <phoneticPr fontId="9" type="noConversion"/>
  </si>
  <si>
    <t>M020533113070101</t>
  </si>
  <si>
    <t>12.5T×900×1,800㎜</t>
    <phoneticPr fontId="9" type="noConversion"/>
  </si>
  <si>
    <t>롤스크린(단면암막)</t>
    <phoneticPr fontId="9" type="noConversion"/>
  </si>
  <si>
    <t>900 X 1800X50, 3호(비중0.020)</t>
    <phoneticPr fontId="9" type="noConversion"/>
  </si>
  <si>
    <t>900 X 1800X40, 3호(비중0.020)</t>
    <phoneticPr fontId="9" type="noConversion"/>
  </si>
  <si>
    <t>방염 엘레이나(EL,EV) 0.42 X 1,220㎜</t>
    <phoneticPr fontId="9" type="noConversion"/>
  </si>
  <si>
    <t>M020850811250101</t>
  </si>
  <si>
    <r>
      <t xml:space="preserve">씽크대 상판 실리콘 제거 및 재코킹 작업 완료
뒤베란다 창고옆 누수점검 및 보수작업 완료
씽크대 상판 실리콘 제거 및 재코킹 작업 완료
뒤베란다 창고옆 누수점검 및 보수작업 완료
</t>
    </r>
    <r>
      <rPr>
        <sz val="15"/>
        <color theme="1" tint="4.9989318521683403E-2"/>
        <rFont val="맑은 고딕"/>
        <family val="3"/>
        <charset val="129"/>
        <scheme val="minor"/>
      </rPr>
      <t>신발장 시트지 교체 작업</t>
    </r>
    <r>
      <rPr>
        <sz val="15"/>
        <rFont val="맑은 고딕"/>
        <family val="3"/>
        <charset val="129"/>
        <scheme val="minor"/>
      </rPr>
      <t xml:space="preserve">
방충망 3개소 교체 완료</t>
    </r>
    <phoneticPr fontId="9" type="noConversion"/>
  </si>
  <si>
    <t>㎡</t>
    <phoneticPr fontId="9" type="noConversion"/>
  </si>
  <si>
    <t>신발장 시트지 2㎡</t>
    <phoneticPr fontId="9" type="noConversion"/>
  </si>
  <si>
    <t>401
402</t>
    <phoneticPr fontId="9" type="noConversion"/>
  </si>
  <si>
    <t>걸레받이 도장 및 부분 재도장
베란다 걸레 받이 도장 , 벽체 부분 보수 도장</t>
    <phoneticPr fontId="9" type="noConversion"/>
  </si>
  <si>
    <t xml:space="preserve"> 견적일 : 2026년 04월  16일</t>
    <phoneticPr fontId="15" type="noConversion"/>
  </si>
  <si>
    <t>LX지인 인테리어필름(신발장)</t>
    <phoneticPr fontId="9" type="noConversion"/>
  </si>
  <si>
    <t>1차 매입계약 : 4,556,000</t>
    <phoneticPr fontId="9" type="noConversion"/>
  </si>
  <si>
    <t>시공사
절감</t>
    <phoneticPr fontId="9" type="noConversion"/>
  </si>
  <si>
    <t>1차 합 계</t>
    <phoneticPr fontId="9" type="noConversion"/>
  </si>
  <si>
    <t>25년
No.87</t>
    <phoneticPr fontId="9" type="noConversion"/>
  </si>
  <si>
    <t>"</t>
    <phoneticPr fontId="9" type="noConversion"/>
  </si>
  <si>
    <t>서명지(관리소) - 시공사 절감</t>
    <phoneticPr fontId="9" type="noConversion"/>
  </si>
  <si>
    <t>22,4490원/특별인부 (절감)</t>
    <phoneticPr fontId="9" type="noConversion"/>
  </si>
  <si>
    <t>25년 이월 금 미포함 : 1,617,000</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</si>
</sst>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4" formatCode="_-&quot;₩&quot;* #,##0.00_-;\-&quot;₩&quot;* #,##0.00_-;_-&quot;₩&quot;*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 numFmtId="188" formatCode="General\ &quot;인&quot;"/>
    <numFmt numFmtId="189" formatCode="#,##0_ &quot;원&quot;"/>
  </numFmts>
  <fonts count="8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sz val="11"/>
      <color theme="1"/>
      <name val="LG스마트체 Regular"/>
      <family val="3"/>
      <charset val="129"/>
    </font>
    <font>
      <b/>
      <sz val="10"/>
      <color theme="1" tint="0.34998626667073579"/>
      <name val="맑은 고딕"/>
      <family val="3"/>
      <charset val="129"/>
      <scheme val="minor"/>
    </font>
    <font>
      <b/>
      <sz val="17"/>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5"/>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sz val="20"/>
      <color theme="1"/>
      <name val="맑은 고딕"/>
      <family val="3"/>
      <charset val="129"/>
      <scheme val="minor"/>
    </font>
    <font>
      <sz val="10"/>
      <color rgb="FF000000"/>
      <name val="Arial"/>
      <family val="2"/>
    </font>
    <font>
      <sz val="10"/>
      <color theme="1"/>
      <name val="Arial"/>
      <family val="2"/>
    </font>
    <font>
      <sz val="10"/>
      <name val="Arial"/>
      <family val="2"/>
    </font>
    <font>
      <sz val="10"/>
      <name val="HY견고딕"/>
      <family val="1"/>
      <charset val="129"/>
    </font>
    <font>
      <sz val="10"/>
      <color indexed="8"/>
      <name val="Malgun Gothic"/>
      <family val="3"/>
      <charset val="129"/>
    </font>
    <font>
      <sz val="14"/>
      <color rgb="FFFF00FF"/>
      <name val="맑은 고딕"/>
      <family val="3"/>
      <charset val="129"/>
      <scheme val="minor"/>
    </font>
    <font>
      <b/>
      <sz val="15"/>
      <color rgb="FFFF00FF"/>
      <name val="맑은 고딕"/>
      <family val="3"/>
      <charset val="129"/>
      <scheme val="minor"/>
    </font>
    <font>
      <b/>
      <sz val="15"/>
      <color rgb="FFFF00FF"/>
      <name val="Arial"/>
      <family val="2"/>
    </font>
    <font>
      <sz val="11"/>
      <color theme="1" tint="0.499984740745262"/>
      <name val="LG스마트체 Regular"/>
      <family val="3"/>
      <charset val="129"/>
    </font>
    <font>
      <sz val="30"/>
      <color rgb="FF000000"/>
      <name val="LG스마트체 Regular"/>
      <family val="3"/>
      <charset val="129"/>
    </font>
    <font>
      <sz val="12"/>
      <name val="LG스마트체 Regular"/>
      <family val="3"/>
      <charset val="129"/>
    </font>
    <font>
      <b/>
      <sz val="14"/>
      <color rgb="FFFF00FF"/>
      <name val="LG스마트체 Regular"/>
      <family val="3"/>
      <charset val="129"/>
    </font>
    <font>
      <b/>
      <sz val="11"/>
      <color rgb="FFFF00FF"/>
      <name val="LG스마트체 Regular"/>
      <family val="3"/>
      <charset val="129"/>
    </font>
    <font>
      <sz val="20"/>
      <color rgb="FF000000"/>
      <name val="LG스마트체 Regular"/>
      <family val="3"/>
      <charset val="129"/>
    </font>
    <font>
      <b/>
      <sz val="19"/>
      <color rgb="FFFF00FF"/>
      <name val="LG스마트체 Regular"/>
      <family val="3"/>
      <charset val="129"/>
    </font>
    <font>
      <sz val="20"/>
      <color rgb="FFFF0000"/>
      <name val="LG스마트체 Regular"/>
      <family val="3"/>
      <charset val="129"/>
    </font>
    <font>
      <sz val="10"/>
      <color rgb="FF000000"/>
      <name val="Malgun Gothic"/>
      <family val="3"/>
      <charset val="129"/>
    </font>
    <font>
      <b/>
      <sz val="15"/>
      <color theme="1" tint="0.34998626667073579"/>
      <name val="맑은 고딕"/>
      <family val="3"/>
      <charset val="129"/>
      <scheme val="minor"/>
    </font>
    <font>
      <sz val="15"/>
      <color theme="1"/>
      <name val="맑은 고딕"/>
      <family val="3"/>
      <charset val="129"/>
      <scheme val="minor"/>
    </font>
    <font>
      <b/>
      <sz val="15"/>
      <color theme="1"/>
      <name val="맑은 고딕"/>
      <family val="3"/>
      <charset val="129"/>
      <scheme val="minor"/>
    </font>
    <font>
      <sz val="11"/>
      <name val="맑은 고딕"/>
      <family val="3"/>
      <charset val="129"/>
    </font>
    <font>
      <sz val="9"/>
      <color indexed="8"/>
      <name val="Malgun Gothic"/>
      <family val="3"/>
      <charset val="129"/>
    </font>
    <font>
      <sz val="9"/>
      <color theme="1"/>
      <name val="Malgun Gothic"/>
      <family val="3"/>
      <charset val="129"/>
    </font>
    <font>
      <sz val="10"/>
      <name val="Malgun Gothic"/>
      <family val="3"/>
      <charset val="129"/>
    </font>
    <font>
      <sz val="15"/>
      <color theme="1" tint="4.9989318521683403E-2"/>
      <name val="맑은 고딕"/>
      <family val="3"/>
      <charset val="129"/>
      <scheme val="minor"/>
    </font>
    <font>
      <sz val="12"/>
      <color theme="1"/>
      <name val="LG스마트체 Regular"/>
      <family val="3"/>
      <charset val="129"/>
    </font>
    <font>
      <b/>
      <sz val="20"/>
      <color theme="1"/>
      <name val="LG스마트체 Regular"/>
      <family val="3"/>
      <charset val="129"/>
    </font>
    <font>
      <sz val="14"/>
      <color theme="1"/>
      <name val="맑은 고딕"/>
      <family val="3"/>
      <charset val="129"/>
      <scheme val="minor"/>
    </font>
    <font>
      <sz val="18"/>
      <color rgb="FF000000"/>
      <name val="LG스마트체 Regular"/>
      <family val="3"/>
      <charset val="129"/>
    </font>
    <font>
      <b/>
      <sz val="25"/>
      <color rgb="FFFF0000"/>
      <name val="맑은 고딕"/>
      <family val="3"/>
      <charset val="129"/>
      <scheme val="minor"/>
    </font>
    <font>
      <b/>
      <sz val="35"/>
      <color rgb="FFFF0000"/>
      <name val="맑은 고딕"/>
      <family val="3"/>
      <charset val="129"/>
      <scheme val="minor"/>
    </font>
  </fonts>
  <fills count="1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s>
  <borders count="60">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6">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0" fontId="1" fillId="0" borderId="0">
      <alignment vertical="center"/>
    </xf>
    <xf numFmtId="177" fontId="72" fillId="0" borderId="0">
      <alignment vertical="center"/>
    </xf>
  </cellStyleXfs>
  <cellXfs count="244">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16" fillId="0" borderId="0" xfId="10" applyFont="1"/>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0" fontId="23" fillId="6" borderId="2" xfId="0"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49" fontId="23" fillId="6" borderId="2" xfId="0" applyNumberFormat="1" applyFont="1" applyFill="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49" fontId="23" fillId="4" borderId="2" xfId="0" applyNumberFormat="1" applyFont="1" applyFill="1" applyBorder="1" applyAlignment="1">
      <alignment horizontal="center" vertical="center"/>
    </xf>
    <xf numFmtId="0" fontId="24" fillId="0" borderId="0" xfId="6" applyFont="1" applyAlignment="1">
      <alignment vertical="center"/>
    </xf>
    <xf numFmtId="0" fontId="16" fillId="0" borderId="3" xfId="6" applyFont="1" applyBorder="1" applyAlignment="1">
      <alignment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182" fontId="23" fillId="4" borderId="2" xfId="1" applyNumberFormat="1" applyFont="1" applyFill="1" applyBorder="1" applyAlignment="1">
      <alignment horizontal="center" vertical="center"/>
    </xf>
    <xf numFmtId="49" fontId="23" fillId="6" borderId="2" xfId="0" applyNumberFormat="1" applyFont="1" applyFill="1" applyBorder="1" applyAlignment="1">
      <alignment horizontal="center" vertical="center" wrapText="1"/>
    </xf>
    <xf numFmtId="0" fontId="31" fillId="6" borderId="2" xfId="0" applyFont="1" applyFill="1" applyBorder="1" applyAlignment="1">
      <alignment horizontal="center" vertical="center"/>
    </xf>
    <xf numFmtId="0" fontId="32" fillId="4" borderId="2" xfId="0" applyFont="1" applyFill="1" applyBorder="1" applyAlignment="1">
      <alignment horizontal="center" vertical="center"/>
    </xf>
    <xf numFmtId="49" fontId="32" fillId="4" borderId="2" xfId="0" applyNumberFormat="1" applyFont="1" applyFill="1" applyBorder="1" applyAlignment="1">
      <alignment horizontal="center" vertical="center"/>
    </xf>
    <xf numFmtId="0" fontId="34" fillId="0" borderId="0" xfId="22" applyFont="1">
      <alignment vertical="center"/>
    </xf>
    <xf numFmtId="0" fontId="40" fillId="10" borderId="33" xfId="22" applyFont="1" applyFill="1" applyBorder="1" applyAlignment="1">
      <alignment horizontal="center" vertical="center"/>
    </xf>
    <xf numFmtId="0" fontId="40" fillId="10" borderId="45" xfId="22" applyFont="1" applyFill="1" applyBorder="1" applyAlignment="1">
      <alignment horizontal="center" vertical="center"/>
    </xf>
    <xf numFmtId="0" fontId="40" fillId="10" borderId="46" xfId="22" applyFont="1" applyFill="1" applyBorder="1" applyAlignment="1">
      <alignment horizontal="center" vertical="center"/>
    </xf>
    <xf numFmtId="0" fontId="40" fillId="10" borderId="44" xfId="22" applyFont="1" applyFill="1" applyBorder="1" applyAlignment="1">
      <alignment horizontal="center" vertical="center"/>
    </xf>
    <xf numFmtId="0" fontId="41" fillId="0" borderId="44" xfId="22" applyFont="1" applyBorder="1" applyAlignment="1">
      <alignment horizontal="center" vertical="center" wrapText="1"/>
    </xf>
    <xf numFmtId="0" fontId="30" fillId="0" borderId="0" xfId="22" applyFont="1" applyAlignment="1">
      <alignment horizontal="center" vertical="center"/>
    </xf>
    <xf numFmtId="0" fontId="35" fillId="0" borderId="0" xfId="22" applyFont="1" applyAlignment="1">
      <alignment horizontal="center" vertical="center"/>
    </xf>
    <xf numFmtId="0" fontId="30" fillId="0" borderId="36" xfId="22" applyFont="1" applyBorder="1" applyAlignment="1">
      <alignment horizontal="center" vertical="center"/>
    </xf>
    <xf numFmtId="0" fontId="2" fillId="0" borderId="0" xfId="22">
      <alignment vertical="center"/>
    </xf>
    <xf numFmtId="184" fontId="38" fillId="0" borderId="14" xfId="22" applyNumberFormat="1" applyFont="1" applyBorder="1" applyAlignment="1">
      <alignment horizontal="center" vertical="center"/>
    </xf>
    <xf numFmtId="0" fontId="42" fillId="0" borderId="37" xfId="22" applyFont="1" applyBorder="1" applyAlignment="1">
      <alignment horizontal="center" vertical="center"/>
    </xf>
    <xf numFmtId="0" fontId="46" fillId="0" borderId="31" xfId="22" applyFont="1" applyBorder="1" applyAlignment="1">
      <alignment horizontal="center" vertical="center"/>
    </xf>
    <xf numFmtId="0" fontId="36" fillId="9" borderId="14" xfId="22" applyFont="1" applyFill="1" applyBorder="1" applyAlignment="1">
      <alignment horizontal="center" vertical="center"/>
    </xf>
    <xf numFmtId="186" fontId="46" fillId="0" borderId="14" xfId="22" applyNumberFormat="1" applyFont="1" applyBorder="1" applyAlignment="1">
      <alignment horizontal="center" vertical="center"/>
    </xf>
    <xf numFmtId="20" fontId="46" fillId="0" borderId="14" xfId="22" applyNumberFormat="1" applyFont="1" applyBorder="1" applyAlignment="1">
      <alignment horizontal="center" vertical="center"/>
    </xf>
    <xf numFmtId="20" fontId="47" fillId="10" borderId="14" xfId="22" applyNumberFormat="1" applyFont="1" applyFill="1" applyBorder="1" applyAlignment="1">
      <alignment horizontal="center" vertical="center"/>
    </xf>
    <xf numFmtId="0" fontId="37" fillId="0" borderId="14" xfId="22" applyFont="1" applyBorder="1" applyAlignment="1">
      <alignment horizontal="center" vertical="center" wrapText="1"/>
    </xf>
    <xf numFmtId="0" fontId="46" fillId="0" borderId="14" xfId="22" applyFont="1" applyBorder="1" applyAlignment="1">
      <alignment horizontal="center" vertical="center"/>
    </xf>
    <xf numFmtId="0" fontId="37" fillId="0" borderId="14" xfId="22" applyFont="1" applyBorder="1" applyAlignment="1">
      <alignment vertical="center" wrapText="1"/>
    </xf>
    <xf numFmtId="0" fontId="42" fillId="4" borderId="30" xfId="22" applyFont="1" applyFill="1" applyBorder="1" applyAlignment="1">
      <alignment horizontal="center" vertical="center" wrapText="1"/>
    </xf>
    <xf numFmtId="0" fontId="46" fillId="0" borderId="38" xfId="22" applyFont="1" applyBorder="1" applyAlignment="1">
      <alignment horizontal="center" vertical="center" wrapText="1"/>
    </xf>
    <xf numFmtId="0" fontId="48" fillId="0" borderId="0" xfId="22" applyFont="1">
      <alignment vertical="center"/>
    </xf>
    <xf numFmtId="0" fontId="42" fillId="0" borderId="49" xfId="22" applyFont="1" applyBorder="1" applyAlignment="1">
      <alignment horizontal="center" vertical="center"/>
    </xf>
    <xf numFmtId="0" fontId="37" fillId="0" borderId="50" xfId="22" applyFont="1" applyBorder="1" applyAlignment="1">
      <alignment horizontal="center" vertical="center"/>
    </xf>
    <xf numFmtId="0" fontId="37" fillId="0" borderId="50" xfId="22" applyFont="1" applyBorder="1" applyAlignment="1">
      <alignment vertical="center" wrapText="1"/>
    </xf>
    <xf numFmtId="0" fontId="42" fillId="4" borderId="51" xfId="22" applyFont="1" applyFill="1" applyBorder="1" applyAlignment="1">
      <alignment horizontal="center" vertical="center" wrapText="1"/>
    </xf>
    <xf numFmtId="0" fontId="46" fillId="0" borderId="36" xfId="22" applyFont="1" applyBorder="1" applyAlignment="1">
      <alignment horizontal="center" vertical="center" wrapText="1"/>
    </xf>
    <xf numFmtId="186" fontId="50" fillId="0" borderId="41" xfId="22" applyNumberFormat="1" applyFont="1" applyBorder="1" applyAlignment="1">
      <alignment horizontal="center" vertical="center"/>
    </xf>
    <xf numFmtId="20" fontId="50" fillId="0" borderId="41" xfId="22" applyNumberFormat="1" applyFont="1" applyBorder="1" applyAlignment="1">
      <alignment horizontal="center" vertical="center"/>
    </xf>
    <xf numFmtId="0" fontId="49" fillId="0" borderId="42" xfId="22" applyFont="1" applyBorder="1" applyAlignment="1">
      <alignment vertical="center" wrapText="1"/>
    </xf>
    <xf numFmtId="0" fontId="51" fillId="0" borderId="0" xfId="22" applyFont="1">
      <alignment vertical="center"/>
    </xf>
    <xf numFmtId="0" fontId="44" fillId="10" borderId="31" xfId="22" applyFont="1" applyFill="1" applyBorder="1" applyAlignment="1">
      <alignment horizontal="centerContinuous" vertical="center"/>
    </xf>
    <xf numFmtId="0" fontId="45" fillId="10" borderId="14" xfId="22" applyFont="1" applyFill="1" applyBorder="1" applyAlignment="1">
      <alignment horizontal="centerContinuous" vertical="center"/>
    </xf>
    <xf numFmtId="0" fontId="43" fillId="10" borderId="37" xfId="22" applyFont="1" applyFill="1" applyBorder="1" applyAlignment="1">
      <alignment horizontal="centerContinuous" vertical="center"/>
    </xf>
    <xf numFmtId="0" fontId="43" fillId="4" borderId="30" xfId="22" applyFont="1" applyFill="1" applyBorder="1" applyAlignment="1">
      <alignment horizontal="center" vertical="center" wrapText="1"/>
    </xf>
    <xf numFmtId="49" fontId="52" fillId="6" borderId="2" xfId="0" applyNumberFormat="1" applyFont="1" applyFill="1" applyBorder="1" applyAlignment="1">
      <alignment horizontal="center" vertical="center" wrapText="1"/>
    </xf>
    <xf numFmtId="0" fontId="53" fillId="6" borderId="2" xfId="0" applyFont="1" applyFill="1" applyBorder="1" applyAlignment="1">
      <alignment horizontal="center" vertical="center"/>
    </xf>
    <xf numFmtId="0" fontId="56" fillId="6" borderId="2" xfId="0" applyFont="1" applyFill="1" applyBorder="1" applyAlignment="1">
      <alignment horizontal="center" vertical="center"/>
    </xf>
    <xf numFmtId="0" fontId="56" fillId="4" borderId="2" xfId="0" applyFont="1" applyFill="1" applyBorder="1" applyAlignment="1">
      <alignment horizontal="center" vertical="center"/>
    </xf>
    <xf numFmtId="49" fontId="56" fillId="4" borderId="2" xfId="0" applyNumberFormat="1" applyFont="1" applyFill="1" applyBorder="1" applyAlignment="1">
      <alignment horizontal="center" vertical="center"/>
    </xf>
    <xf numFmtId="177" fontId="56" fillId="4" borderId="2" xfId="1" applyFont="1" applyFill="1" applyBorder="1" applyAlignment="1">
      <alignment horizontal="center" vertical="center"/>
    </xf>
    <xf numFmtId="0" fontId="57" fillId="0" borderId="38" xfId="22" applyFont="1" applyBorder="1" applyAlignment="1">
      <alignment horizontal="center" vertical="center" wrapText="1"/>
    </xf>
    <xf numFmtId="0" fontId="43" fillId="9" borderId="41" xfId="22" applyFont="1" applyFill="1" applyBorder="1" applyAlignment="1">
      <alignment horizontal="center" vertical="center"/>
    </xf>
    <xf numFmtId="184" fontId="58" fillId="10" borderId="41" xfId="22" applyNumberFormat="1" applyFont="1" applyFill="1" applyBorder="1" applyAlignment="1">
      <alignment horizontal="center" vertical="center"/>
    </xf>
    <xf numFmtId="0" fontId="43" fillId="0" borderId="41" xfId="22" applyFont="1" applyBorder="1" applyAlignment="1">
      <alignment horizontal="center" vertical="center"/>
    </xf>
    <xf numFmtId="0" fontId="43" fillId="0" borderId="41" xfId="22" applyFont="1" applyBorder="1" applyAlignment="1">
      <alignment horizontal="center" vertical="center" wrapText="1"/>
    </xf>
    <xf numFmtId="0" fontId="43" fillId="0" borderId="41" xfId="22" applyFont="1" applyBorder="1" applyAlignment="1">
      <alignment vertical="center" wrapText="1"/>
    </xf>
    <xf numFmtId="0" fontId="43" fillId="11" borderId="30" xfId="22" applyFont="1" applyFill="1" applyBorder="1" applyAlignment="1">
      <alignment horizontal="center" vertical="center" wrapText="1"/>
    </xf>
    <xf numFmtId="0" fontId="0" fillId="0" borderId="0" xfId="0" applyAlignment="1">
      <alignment horizontal="center" vertical="center"/>
    </xf>
    <xf numFmtId="177" fontId="27" fillId="3" borderId="2" xfId="23" applyFont="1" applyFill="1" applyBorder="1" applyAlignment="1">
      <alignment horizontal="center" vertical="center"/>
    </xf>
    <xf numFmtId="0" fontId="61" fillId="0" borderId="0" xfId="0" applyFont="1">
      <alignment vertical="center"/>
    </xf>
    <xf numFmtId="0" fontId="62" fillId="0" borderId="0" xfId="0" applyFont="1">
      <alignment vertical="center"/>
    </xf>
    <xf numFmtId="49" fontId="33" fillId="6" borderId="2" xfId="0" applyNumberFormat="1" applyFont="1" applyFill="1" applyBorder="1" applyAlignment="1">
      <alignment horizontal="center" vertical="center" wrapText="1"/>
    </xf>
    <xf numFmtId="0" fontId="32" fillId="4" borderId="2" xfId="0" applyFont="1" applyFill="1" applyBorder="1" applyAlignment="1">
      <alignment horizontal="center" vertical="center" wrapText="1"/>
    </xf>
    <xf numFmtId="177" fontId="63" fillId="9" borderId="0" xfId="0" applyNumberFormat="1" applyFont="1" applyFill="1">
      <alignment vertical="center"/>
    </xf>
    <xf numFmtId="0" fontId="64" fillId="0" borderId="0" xfId="0" applyFont="1">
      <alignment vertical="center"/>
    </xf>
    <xf numFmtId="177" fontId="25" fillId="0" borderId="0" xfId="0" applyNumberFormat="1" applyFont="1">
      <alignment vertical="center"/>
    </xf>
    <xf numFmtId="177" fontId="65" fillId="0" borderId="19" xfId="1" applyFont="1" applyFill="1" applyBorder="1" applyAlignment="1">
      <alignment horizontal="right" vertical="center"/>
    </xf>
    <xf numFmtId="180" fontId="66" fillId="0" borderId="0" xfId="3" applyNumberFormat="1" applyFont="1" applyAlignment="1">
      <alignment vertical="center"/>
    </xf>
    <xf numFmtId="180" fontId="67" fillId="0" borderId="0" xfId="3" applyNumberFormat="1" applyFont="1" applyAlignment="1">
      <alignment horizontal="right"/>
    </xf>
    <xf numFmtId="177" fontId="23" fillId="0" borderId="0" xfId="1" applyFont="1" applyAlignment="1"/>
    <xf numFmtId="49" fontId="23" fillId="0" borderId="2" xfId="0" applyNumberFormat="1" applyFont="1" applyBorder="1" applyAlignment="1">
      <alignment horizontal="center" vertical="center" wrapText="1"/>
    </xf>
    <xf numFmtId="177" fontId="23" fillId="0" borderId="0" xfId="0" applyNumberFormat="1" applyFont="1">
      <alignment vertical="center"/>
    </xf>
    <xf numFmtId="183" fontId="23" fillId="0" borderId="0" xfId="0" applyNumberFormat="1" applyFont="1">
      <alignment vertical="center"/>
    </xf>
    <xf numFmtId="44" fontId="28" fillId="0" borderId="22" xfId="0" applyNumberFormat="1" applyFont="1" applyBorder="1" applyAlignment="1">
      <alignment horizontal="center" vertical="center"/>
    </xf>
    <xf numFmtId="0" fontId="37" fillId="0" borderId="50" xfId="22" applyFont="1" applyBorder="1" applyAlignment="1">
      <alignment horizontal="center" vertical="center" wrapText="1"/>
    </xf>
    <xf numFmtId="0" fontId="42" fillId="4" borderId="54" xfId="22" applyFont="1" applyFill="1" applyBorder="1" applyAlignment="1">
      <alignment horizontal="center" vertical="center" wrapText="1"/>
    </xf>
    <xf numFmtId="0" fontId="42" fillId="4" borderId="55" xfId="22" applyFont="1" applyFill="1" applyBorder="1" applyAlignment="1">
      <alignment horizontal="center" vertical="center" wrapText="1"/>
    </xf>
    <xf numFmtId="0" fontId="42" fillId="4" borderId="53" xfId="22" applyFont="1" applyFill="1" applyBorder="1" applyAlignment="1">
      <alignment horizontal="center" vertical="center" wrapText="1"/>
    </xf>
    <xf numFmtId="0" fontId="60" fillId="4" borderId="22" xfId="0" applyFont="1" applyFill="1" applyBorder="1" applyAlignment="1">
      <alignment horizontal="center" vertical="center" wrapText="1"/>
    </xf>
    <xf numFmtId="0" fontId="69" fillId="4" borderId="30" xfId="22" applyFont="1" applyFill="1" applyBorder="1" applyAlignment="1">
      <alignment horizontal="center" vertical="center" wrapText="1"/>
    </xf>
    <xf numFmtId="0" fontId="58" fillId="4" borderId="30" xfId="22" applyFont="1" applyFill="1" applyBorder="1" applyAlignment="1">
      <alignment horizontal="center" vertical="center" wrapText="1"/>
    </xf>
    <xf numFmtId="0" fontId="62" fillId="0" borderId="14" xfId="8" applyFont="1" applyBorder="1" applyAlignment="1">
      <alignment horizontal="center" vertical="center"/>
    </xf>
    <xf numFmtId="0" fontId="62" fillId="0" borderId="14" xfId="6" applyFont="1" applyBorder="1" applyAlignment="1">
      <alignment horizontal="center" vertical="center"/>
    </xf>
    <xf numFmtId="0" fontId="62" fillId="4" borderId="14" xfId="8" applyFont="1" applyFill="1" applyBorder="1" applyAlignment="1">
      <alignment horizontal="center" vertical="center"/>
    </xf>
    <xf numFmtId="0" fontId="62" fillId="4" borderId="14" xfId="6" applyFont="1" applyFill="1" applyBorder="1" applyAlignment="1">
      <alignment horizontal="center" vertical="center"/>
    </xf>
    <xf numFmtId="0" fontId="26" fillId="0" borderId="14" xfId="8" applyFont="1" applyBorder="1" applyAlignment="1">
      <alignment horizontal="center" vertical="center"/>
    </xf>
    <xf numFmtId="0" fontId="73" fillId="6" borderId="2" xfId="0" applyFont="1" applyFill="1" applyBorder="1" applyAlignment="1">
      <alignment horizontal="center" vertical="center"/>
    </xf>
    <xf numFmtId="0" fontId="74" fillId="6" borderId="2" xfId="0" applyFont="1" applyFill="1" applyBorder="1" applyAlignment="1">
      <alignment horizontal="center" vertical="center"/>
    </xf>
    <xf numFmtId="0" fontId="73" fillId="6" borderId="0" xfId="0" applyFont="1" applyFill="1" applyAlignment="1">
      <alignment horizontal="center" vertical="center"/>
    </xf>
    <xf numFmtId="0" fontId="71" fillId="4" borderId="37" xfId="22" applyFont="1" applyFill="1" applyBorder="1" applyAlignment="1">
      <alignment horizontal="center" vertical="center"/>
    </xf>
    <xf numFmtId="187" fontId="59" fillId="4" borderId="2" xfId="1" applyNumberFormat="1" applyFont="1" applyFill="1" applyBorder="1" applyAlignment="1">
      <alignment horizontal="center" vertical="center"/>
    </xf>
    <xf numFmtId="185" fontId="59" fillId="4" borderId="2" xfId="1" applyNumberFormat="1" applyFont="1" applyFill="1" applyBorder="1" applyAlignment="1">
      <alignment horizontal="center" vertical="center"/>
    </xf>
    <xf numFmtId="177" fontId="32" fillId="4" borderId="2" xfId="1" applyFont="1" applyFill="1" applyBorder="1" applyAlignment="1">
      <alignment horizontal="center" vertical="center"/>
    </xf>
    <xf numFmtId="177" fontId="23" fillId="4" borderId="2" xfId="1" applyFont="1" applyFill="1" applyBorder="1" applyAlignment="1">
      <alignment horizontal="center" vertical="center" wrapText="1"/>
    </xf>
    <xf numFmtId="183" fontId="33" fillId="4"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xf>
    <xf numFmtId="183" fontId="33" fillId="4" borderId="2" xfId="25" applyNumberFormat="1" applyFont="1" applyFill="1" applyBorder="1" applyAlignment="1">
      <alignment horizontal="right" vertical="center"/>
    </xf>
    <xf numFmtId="41" fontId="68" fillId="4" borderId="0" xfId="21" applyFont="1" applyFill="1" applyBorder="1" applyAlignment="1">
      <alignment horizontal="center" vertical="center" wrapText="1"/>
    </xf>
    <xf numFmtId="177" fontId="75" fillId="4" borderId="2" xfId="1" applyFont="1" applyFill="1" applyBorder="1" applyAlignment="1">
      <alignment horizontal="center" vertical="center" wrapText="1"/>
    </xf>
    <xf numFmtId="0" fontId="77" fillId="0" borderId="14" xfId="6" applyFont="1" applyBorder="1" applyAlignment="1">
      <alignment vertical="center"/>
    </xf>
    <xf numFmtId="178" fontId="77" fillId="0" borderId="14" xfId="5" applyFont="1" applyFill="1" applyBorder="1" applyAlignment="1">
      <alignment horizontal="right" vertical="center"/>
    </xf>
    <xf numFmtId="178" fontId="77" fillId="4" borderId="14" xfId="5" applyFont="1" applyFill="1" applyBorder="1" applyAlignment="1">
      <alignment horizontal="right" vertical="center"/>
    </xf>
    <xf numFmtId="180" fontId="78" fillId="7" borderId="0" xfId="3" applyNumberFormat="1" applyFont="1" applyFill="1" applyAlignment="1">
      <alignment vertical="center"/>
    </xf>
    <xf numFmtId="0" fontId="79" fillId="0" borderId="38" xfId="22" applyFont="1" applyBorder="1" applyAlignment="1">
      <alignment horizontal="center" vertical="center" wrapText="1"/>
    </xf>
    <xf numFmtId="0" fontId="49" fillId="11" borderId="30" xfId="22" applyFont="1" applyFill="1" applyBorder="1" applyAlignment="1">
      <alignment horizontal="center" vertical="center" wrapText="1"/>
    </xf>
    <xf numFmtId="0" fontId="42" fillId="0" borderId="49" xfId="22" quotePrefix="1" applyFont="1" applyBorder="1" applyAlignment="1">
      <alignment horizontal="center" vertical="center" wrapText="1"/>
    </xf>
    <xf numFmtId="0" fontId="80" fillId="0" borderId="15" xfId="6" quotePrefix="1" applyFont="1" applyBorder="1" applyAlignment="1">
      <alignment horizontal="right" vertical="center"/>
    </xf>
    <xf numFmtId="177" fontId="80" fillId="0" borderId="19" xfId="1" applyFont="1" applyFill="1" applyBorder="1" applyAlignment="1">
      <alignment horizontal="right" vertical="center"/>
    </xf>
    <xf numFmtId="0" fontId="41" fillId="0" borderId="47" xfId="22" applyFont="1" applyBorder="1" applyAlignment="1">
      <alignment horizontal="center" vertical="center" wrapText="1"/>
    </xf>
    <xf numFmtId="0" fontId="49" fillId="0" borderId="59" xfId="22" applyFont="1" applyBorder="1" applyAlignment="1">
      <alignment vertical="center" wrapText="1"/>
    </xf>
    <xf numFmtId="0" fontId="22" fillId="0" borderId="0" xfId="6" applyFont="1" applyAlignment="1">
      <alignment horizontal="center" vertical="center"/>
    </xf>
    <xf numFmtId="0" fontId="16" fillId="0" borderId="3" xfId="6" applyFont="1" applyBorder="1" applyAlignment="1">
      <alignment vertical="center" wrapText="1"/>
    </xf>
    <xf numFmtId="0" fontId="16" fillId="0" borderId="4" xfId="6" applyFont="1" applyBorder="1" applyAlignment="1">
      <alignment vertical="center" wrapText="1"/>
    </xf>
    <xf numFmtId="0" fontId="16" fillId="0" borderId="5" xfId="6" applyFont="1" applyBorder="1" applyAlignment="1">
      <alignment vertical="center" wrapText="1"/>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39" fillId="10" borderId="35" xfId="22" applyFont="1" applyFill="1" applyBorder="1" applyAlignment="1">
      <alignment horizontal="center" vertical="center" wrapText="1"/>
    </xf>
    <xf numFmtId="0" fontId="39" fillId="10" borderId="48" xfId="22" applyFont="1" applyFill="1" applyBorder="1" applyAlignment="1">
      <alignment horizontal="center" vertical="center" wrapText="1"/>
    </xf>
    <xf numFmtId="0" fontId="39" fillId="10" borderId="32" xfId="22" applyFont="1" applyFill="1" applyBorder="1" applyAlignment="1">
      <alignment horizontal="center" vertical="center"/>
    </xf>
    <xf numFmtId="0" fontId="39" fillId="10" borderId="43" xfId="22" applyFont="1" applyFill="1" applyBorder="1" applyAlignment="1">
      <alignment horizontal="center" vertical="center"/>
    </xf>
    <xf numFmtId="0" fontId="39" fillId="10" borderId="33" xfId="22" applyFont="1" applyFill="1" applyBorder="1" applyAlignment="1">
      <alignment horizontal="center" vertical="center"/>
    </xf>
    <xf numFmtId="0" fontId="39" fillId="10" borderId="44" xfId="22" applyFont="1" applyFill="1" applyBorder="1" applyAlignment="1">
      <alignment horizontal="center" vertical="center"/>
    </xf>
    <xf numFmtId="0" fontId="40" fillId="10" borderId="33" xfId="22" applyFont="1" applyFill="1" applyBorder="1" applyAlignment="1">
      <alignment horizontal="center" vertical="center" wrapText="1"/>
    </xf>
    <xf numFmtId="0" fontId="40" fillId="10" borderId="44" xfId="22" applyFont="1" applyFill="1" applyBorder="1" applyAlignment="1">
      <alignment horizontal="center" vertical="center"/>
    </xf>
    <xf numFmtId="0" fontId="40" fillId="10" borderId="33" xfId="22" applyFont="1" applyFill="1" applyBorder="1" applyAlignment="1">
      <alignment horizontal="center" vertical="center"/>
    </xf>
    <xf numFmtId="0" fontId="39" fillId="10" borderId="33" xfId="22" applyFont="1" applyFill="1" applyBorder="1" applyAlignment="1">
      <alignment horizontal="center" vertical="center" wrapText="1"/>
    </xf>
    <xf numFmtId="0" fontId="39" fillId="10" borderId="44" xfId="22" applyFont="1" applyFill="1" applyBorder="1" applyAlignment="1">
      <alignment horizontal="center" vertical="center" wrapText="1"/>
    </xf>
    <xf numFmtId="188" fontId="82" fillId="10" borderId="57" xfId="22" applyNumberFormat="1" applyFont="1" applyFill="1" applyBorder="1" applyAlignment="1">
      <alignment horizontal="center" vertical="center"/>
    </xf>
    <xf numFmtId="188" fontId="82" fillId="10" borderId="58" xfId="22" applyNumberFormat="1" applyFont="1" applyFill="1" applyBorder="1" applyAlignment="1">
      <alignment horizontal="center" vertical="center"/>
    </xf>
    <xf numFmtId="0" fontId="81" fillId="0" borderId="56" xfId="22" applyFont="1" applyBorder="1" applyAlignment="1">
      <alignment horizontal="center" vertical="center" wrapText="1"/>
    </xf>
    <xf numFmtId="0" fontId="81" fillId="0" borderId="57" xfId="22" applyFont="1" applyBorder="1" applyAlignment="1">
      <alignment horizontal="center" vertical="center" wrapText="1"/>
    </xf>
    <xf numFmtId="189" fontId="82" fillId="10" borderId="57" xfId="22" applyNumberFormat="1" applyFont="1" applyFill="1" applyBorder="1" applyAlignment="1">
      <alignment horizontal="center" vertical="center"/>
    </xf>
    <xf numFmtId="189" fontId="82" fillId="10" borderId="58" xfId="22" applyNumberFormat="1" applyFont="1" applyFill="1" applyBorder="1" applyAlignment="1">
      <alignment horizontal="center" vertical="center"/>
    </xf>
    <xf numFmtId="0" fontId="39" fillId="10" borderId="52" xfId="22" applyFont="1" applyFill="1" applyBorder="1" applyAlignment="1">
      <alignment horizontal="center" vertical="center"/>
    </xf>
    <xf numFmtId="0" fontId="39" fillId="10" borderId="34" xfId="22" applyFont="1" applyFill="1" applyBorder="1" applyAlignment="1">
      <alignment horizontal="center" vertical="center"/>
    </xf>
    <xf numFmtId="0" fontId="43" fillId="0" borderId="39" xfId="22" applyFont="1" applyBorder="1" applyAlignment="1">
      <alignment horizontal="center" vertical="center" wrapText="1"/>
    </xf>
    <xf numFmtId="0" fontId="43" fillId="0" borderId="40" xfId="22" applyFont="1" applyBorder="1" applyAlignment="1">
      <alignment horizontal="center" vertical="center" wrapText="1"/>
    </xf>
  </cellXfs>
  <cellStyles count="26">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BA67D6C0-F4AB-4BDB-AD98-9284C0EF0D07}"/>
    <cellStyle name="쉼표 [0] 2 4 2" xfId="20" xr:uid="{82F7DE00-7E0F-4135-9D8B-23A5F95E9E50}"/>
    <cellStyle name="쉼표 [0] 3" xfId="16" xr:uid="{8F7BE219-40E1-4BBB-A9BD-02188B74B2A3}"/>
    <cellStyle name="쉼표 [0] 4" xfId="21" xr:uid="{BDD5CECE-202B-4017-8E56-8FAE5E389DED}"/>
    <cellStyle name="쉼표 [0]_내역서(표준단가)_1" xfId="25" xr:uid="{76646175-2F19-42F5-AD1D-DFC9419D9A4F}"/>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4" xr:uid="{C2C85335-3EEA-4CA2-B9B6-754B15788CDA}"/>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E19CB8E-6644-4778-9FD0-797E6D4124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726F5110-C2EF-4EDF-A6C1-BB2C6AEB9B4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E2FAA9B8-C88C-484B-B071-378D17E108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68C1ED7-4EC2-454B-9B95-D504D80F60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5977F2CD-B268-4BAC-B4D2-DEC11E9BE5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37399A93-D84F-4C0E-93C1-74182E533C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E6BC856C-DB38-42E3-8AF5-F63F7A7741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D13C4CEF-0D67-404B-A0C5-0B33D7DEDA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1F48D6C-E2E2-4796-8B43-22EBCC83B6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ABE56EF7-737F-4004-A3CE-33FA01B062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4DE265F4-03F4-43BC-950E-049DDF174D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94D1DF18-DADB-49E2-9722-934A8D6E7F6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3F817DA7-7DAE-4E2E-8360-80FFEEA3D2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686DC7D-1BB2-4B2C-BC31-F78F6DB654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8E97650C-18AE-4E81-98C4-15F378C4F7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D4DF15DA-69B3-42C9-9743-35D95F53232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6C4BDC9D-8CAF-45F6-81A9-BF994F8CA6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2F23B517-36F3-4C7A-AE25-B8C909B5432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70E3032B-D92B-4F84-9C32-9D281867A14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050DA069-A44A-4729-B8DC-6F3B62C27C0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CF433550-C0B1-4660-9AFA-976EB83197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5EF4582E-737F-438E-8BC9-550EF350B1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EE6A0215-A62D-498E-AF42-874D01BBA1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02A81DB-9615-46F3-877E-8A8CA2CED6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4B84DD5B-E5E6-4DB3-9A9D-BA56BF669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CE16E1ED-0189-4FC5-AD5D-80A71D62EF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8A027D23-1F7F-4093-9EEB-7DDDF2AC10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6E56F17B-2A82-4B98-A468-78CC07E382C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411AAD36-1177-4C00-974D-3029C70A31F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838120A6-F49B-4A2D-BFAE-1DA65A93021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676D940A-69CF-4D85-8906-4D9875CA38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B32190B8-7EAA-4EB5-A1D1-7019EBA5377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17D5995E-2913-43C2-B2F1-FDF5981CCF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5E4F88BF-D72E-48CC-8E35-EFADA21B7A6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F39E963C-0434-4CFC-BC3F-9657B4ADD4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A6A0D66A-A698-42F5-A53C-A39FBC8873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E710BC3B-8E35-4E10-9856-443A37726D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2CA32CDD-825C-4288-8B85-5D903025956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56ED194C-D76F-4BBC-80E6-43FFFE8CC4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74D4E49-42DD-4FAA-8E65-3EE3AF4D9F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BC6B0DB8-BCA9-4811-997F-D360002047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B29832BD-EF11-4F9A-BF32-A4DCBDD128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043A86F4-9F25-4F01-86A9-F973DF44FE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DE61B29B-3E0B-4B72-A242-2C909E8159E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77B9CE98-1CC3-4E04-AD1F-A17891FAFC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058BBD5B-33E3-410A-B77F-2754E7B149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984769E4-42CF-4C46-A2AD-F0C1DF96DF5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64C6C40F-9B35-4BF5-8D69-C7F8D5C879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63FB04A4-AC57-4E98-980D-45090F36E9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93AFD3A0-22CB-4C4F-8B54-EC35D5AD91E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7F609A4E-AF7C-4000-A626-62882C54BC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5BBB6C40-A89C-46D4-B323-F3E57BE4D59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703B37C5-0637-4A67-9273-C72B09A3C87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E08D12B7-F307-4529-B71E-B1653A80BBD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00113C91-AC1D-4FFA-BA04-270FE2A61D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2997930B-1D6D-497C-A744-FD963FE1B7C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A5B91E04-C3DB-4BEF-AB01-86A585A63E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3F420F22-A6F8-4D3B-9057-E5CDAEBC05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999E337B-6C26-430B-BCC3-43E4D44C64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F0527D5-5D3C-4CA0-8889-5C19E4270D0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E4A5DBD4-1B66-42AE-9FB9-3BE9307EC6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A399E569-6B94-4713-99FF-E59D7F7493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EAD7BA2A-C5B7-4759-BF09-EB64F50598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829F3CB0-F4CA-4473-8D8E-000BAD4B98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C91AA989-0C52-4B78-9DCA-7AAC6FF74C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BDE1224D-8BEE-4068-91AB-8B46695CAEB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33B01C82-3F36-4F82-9506-EA3C41B406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937967D6-E3BC-4513-93D3-3C8E7995594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121A418F-E6C5-44AF-8822-54DE77CB50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A1D766B4-8267-4F3F-AE8C-42FEB60043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9F7AF7EC-DCE7-48C1-B245-2F6B8228B5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A4E98B80-C06D-40CA-8F8D-E5E993FAEA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9061D67-5618-4B53-8BD4-17C84526AA2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FF8FF3F0-0428-401E-8FA8-D87B9F2697D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5BBA6119-E5C5-424F-AFA0-2958D9A6B1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3FE728CB-EFC0-4B60-907B-75A638CCC6E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B5576EE-F2D3-4FD5-B7E8-D5716AE61F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4BC18453-54F4-403C-9265-CAB04A807A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E2401B29-BA7F-4F4F-B450-4C1D658CAE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9BA7BD66-4409-4F8C-8B4A-AE1F77B4419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72F1CC16-F162-43B6-A5E1-53A96E68CF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8CCFE54A-A8B2-400C-ABA9-BA093DE1695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F64C3C8C-825B-4595-A35E-962C7C1EDA0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4934A1F2-BFF0-4B0C-A87D-DF64842152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AF548A73-AEC7-4DD9-99FC-638320FC7A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40F169FF-9881-4780-B220-D3929C3EEB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DC9A5D20-8954-4948-818B-3236FED5A0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F2799889-A035-4008-B088-FF23B3BA4D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37B04892-0AF0-4D12-B8CF-FFCD2193027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CBBCC452-6932-451C-81F6-694ED94ECE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3769857-D98F-441A-9744-BDE7A2789E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0D417542-F3EA-4203-A452-0CB9FE8514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AB13F76C-79B5-4CE0-9114-F6D0F544D1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24FA12F0-F684-4A60-B813-802A4348C6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4A3EBBC0-90DF-40EC-869C-A77AE5A94483}"/>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48453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5BAEA2B0-ACA6-49EB-BD34-3F6B0222ED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18F40062-66DE-4B57-A899-9573C031E28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90DC345F-E6C6-4D2C-AE39-146CF8E33A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6F99607C-43CA-40F8-A17C-B4189F0A5A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8B07C21F-028B-45B6-872B-ED29D1CFFE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93074675-0DEC-4ADC-9E85-75602604EF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4BAE0BE2-4140-4C56-91C0-16FEEA8DEC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4A0CB77E-AB23-4CA1-91A3-4E49312EB9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62842B32-B01E-46F9-A07A-98F2EAC0B0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13BD2EA7-E939-4FA6-8BDA-C92E6A25E5B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2BD7CC5F-5069-41F2-8001-3A4D6DEEF7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F89EA212-8EF2-4FD3-B2CB-E9C6DDA723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EB86B137-475C-436D-AB0E-AF3E9C2D9D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DDD5C0FB-AA27-4420-8D6A-6A5641E355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DCC3A64B-9479-4E90-832C-21D33E7B53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61A4082D-9AA9-4012-B245-25EAE51237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세ㄱㄱㄱ</a:t>
          </a:r>
        </a:p>
      </xdr:txBody>
    </xdr:sp>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592095</xdr:colOff>
      <xdr:row>3</xdr:row>
      <xdr:rowOff>51486</xdr:rowOff>
    </xdr:from>
    <xdr:to>
      <xdr:col>47</xdr:col>
      <xdr:colOff>498206</xdr:colOff>
      <xdr:row>28</xdr:row>
      <xdr:rowOff>186262</xdr:rowOff>
    </xdr:to>
    <xdr:sp macro="" textlink="">
      <xdr:nvSpPr>
        <xdr:cNvPr id="22" name="직사각형 21">
          <a:extLst>
            <a:ext uri="{FF2B5EF4-FFF2-40B4-BE49-F238E27FC236}">
              <a16:creationId xmlns:a16="http://schemas.microsoft.com/office/drawing/2014/main" id="{6B45E51F-1C32-40F3-A515-E0ECD0F8BC43}"/>
            </a:ext>
          </a:extLst>
        </xdr:cNvPr>
        <xdr:cNvSpPr/>
      </xdr:nvSpPr>
      <xdr:spPr>
        <a:xfrm>
          <a:off x="28562130" y="707940"/>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602907</xdr:colOff>
      <xdr:row>32</xdr:row>
      <xdr:rowOff>100915</xdr:rowOff>
    </xdr:from>
    <xdr:to>
      <xdr:col>47</xdr:col>
      <xdr:colOff>509018</xdr:colOff>
      <xdr:row>58</xdr:row>
      <xdr:rowOff>16872</xdr:rowOff>
    </xdr:to>
    <xdr:sp macro="" textlink="">
      <xdr:nvSpPr>
        <xdr:cNvPr id="27" name="직사각형 26">
          <a:extLst>
            <a:ext uri="{FF2B5EF4-FFF2-40B4-BE49-F238E27FC236}">
              <a16:creationId xmlns:a16="http://schemas.microsoft.com/office/drawing/2014/main" id="{9D883A98-E2C4-4F28-9DAD-2F819D0A45CF}"/>
            </a:ext>
          </a:extLst>
        </xdr:cNvPr>
        <xdr:cNvSpPr/>
      </xdr:nvSpPr>
      <xdr:spPr>
        <a:xfrm>
          <a:off x="28572942" y="7103077"/>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48</xdr:col>
      <xdr:colOff>643582</xdr:colOff>
      <xdr:row>3</xdr:row>
      <xdr:rowOff>77230</xdr:rowOff>
    </xdr:from>
    <xdr:to>
      <xdr:col>54</xdr:col>
      <xdr:colOff>549693</xdr:colOff>
      <xdr:row>28</xdr:row>
      <xdr:rowOff>212006</xdr:rowOff>
    </xdr:to>
    <xdr:sp macro="" textlink="">
      <xdr:nvSpPr>
        <xdr:cNvPr id="28" name="직사각형 27">
          <a:extLst>
            <a:ext uri="{FF2B5EF4-FFF2-40B4-BE49-F238E27FC236}">
              <a16:creationId xmlns:a16="http://schemas.microsoft.com/office/drawing/2014/main" id="{D2E95B1C-1B39-47FD-8ACE-9942C16C40A4}"/>
            </a:ext>
          </a:extLst>
        </xdr:cNvPr>
        <xdr:cNvSpPr/>
      </xdr:nvSpPr>
      <xdr:spPr>
        <a:xfrm>
          <a:off x="33388987" y="733684"/>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49</xdr:col>
      <xdr:colOff>0</xdr:colOff>
      <xdr:row>32</xdr:row>
      <xdr:rowOff>102974</xdr:rowOff>
    </xdr:from>
    <xdr:to>
      <xdr:col>54</xdr:col>
      <xdr:colOff>588309</xdr:colOff>
      <xdr:row>58</xdr:row>
      <xdr:rowOff>18931</xdr:rowOff>
    </xdr:to>
    <xdr:sp macro="" textlink="">
      <xdr:nvSpPr>
        <xdr:cNvPr id="29" name="직사각형 28">
          <a:extLst>
            <a:ext uri="{FF2B5EF4-FFF2-40B4-BE49-F238E27FC236}">
              <a16:creationId xmlns:a16="http://schemas.microsoft.com/office/drawing/2014/main" id="{3C23EB62-9265-4FD4-A59F-307D4D17D96C}"/>
            </a:ext>
          </a:extLst>
        </xdr:cNvPr>
        <xdr:cNvSpPr/>
      </xdr:nvSpPr>
      <xdr:spPr>
        <a:xfrm>
          <a:off x="33427603" y="7105136"/>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251810</xdr:colOff>
      <xdr:row>3</xdr:row>
      <xdr:rowOff>197068</xdr:rowOff>
    </xdr:from>
    <xdr:to>
      <xdr:col>5</xdr:col>
      <xdr:colOff>611243</xdr:colOff>
      <xdr:row>17</xdr:row>
      <xdr:rowOff>50132</xdr:rowOff>
    </xdr:to>
    <xdr:pic>
      <xdr:nvPicPr>
        <xdr:cNvPr id="11" name="그림 10">
          <a:extLst>
            <a:ext uri="{FF2B5EF4-FFF2-40B4-BE49-F238E27FC236}">
              <a16:creationId xmlns:a16="http://schemas.microsoft.com/office/drawing/2014/main" id="{9FD995AE-FB45-856D-4CDE-985260F78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810" y="848779"/>
          <a:ext cx="3785091" cy="2894379"/>
        </a:xfrm>
        <a:prstGeom prst="rect">
          <a:avLst/>
        </a:prstGeom>
      </xdr:spPr>
    </xdr:pic>
    <xdr:clientData/>
  </xdr:twoCellAnchor>
  <xdr:twoCellAnchor editAs="oneCell">
    <xdr:from>
      <xdr:col>6</xdr:col>
      <xdr:colOff>689741</xdr:colOff>
      <xdr:row>3</xdr:row>
      <xdr:rowOff>131379</xdr:rowOff>
    </xdr:from>
    <xdr:to>
      <xdr:col>12</xdr:col>
      <xdr:colOff>415377</xdr:colOff>
      <xdr:row>17</xdr:row>
      <xdr:rowOff>32845</xdr:rowOff>
    </xdr:to>
    <xdr:pic>
      <xdr:nvPicPr>
        <xdr:cNvPr id="16" name="그림 15">
          <a:extLst>
            <a:ext uri="{FF2B5EF4-FFF2-40B4-BE49-F238E27FC236}">
              <a16:creationId xmlns:a16="http://schemas.microsoft.com/office/drawing/2014/main" id="{E29A385D-53F8-89E9-90F2-032945DB01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28189" y="755431"/>
          <a:ext cx="3864085" cy="28137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ssoor\OneDrive\&#48148;&#53461;%20&#54868;&#47732;\&#44160;&#53664;&#50857;%20&#51221;&#49328;%20&#45236;&#50669;_&#44592;&#49689;&#49324;%20&#48143;%20&#49324;&#53469;%20&#44596;&#44553;&#48372;&#49688;%20&#51089;&#50629;(&#44148;&#52629;)-7&#52264;%20(1).xlsx" TargetMode="External"/><Relationship Id="rId1" Type="http://schemas.openxmlformats.org/officeDocument/2006/relationships/externalLinkPath" Target="file:///C:\Users\ssoor\OneDrive\&#48148;&#53461;%20&#54868;&#47732;\&#44596;&#44553;%20&#48372;&#49688;\&#44160;&#53664;&#50857;%20&#51221;&#49328;%20&#45236;&#50669;_&#44592;&#49689;&#49324;%20&#48143;%20&#49324;&#53469;%20&#44596;&#44553;&#48372;&#49688;%20&#51089;&#50629;(&#44148;&#52629;)-7&#5226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갑지"/>
      <sheetName val="내역서(표준단가)-7차"/>
      <sheetName val="관리소 접수 입력"/>
      <sheetName val="시중가 근거서류 "/>
    </sheetNames>
    <sheetDataSet>
      <sheetData sheetId="0"/>
      <sheetData sheetId="1">
        <row r="15">
          <cell r="S15">
            <v>0</v>
          </cell>
          <cell r="U15">
            <v>0</v>
          </cell>
        </row>
      </sheetData>
      <sheetData sheetId="2"/>
      <sheetData sheetId="3"/>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84F2-D1E6-445D-96AD-9F5F7E410D5E}">
  <sheetPr>
    <pageSetUpPr fitToPage="1"/>
  </sheetPr>
  <dimension ref="A2:I39"/>
  <sheetViews>
    <sheetView showGridLines="0" topLeftCell="C20" zoomScale="80" zoomScaleNormal="80" workbookViewId="0">
      <selection activeCell="F34" sqref="F34"/>
    </sheetView>
  </sheetViews>
  <sheetFormatPr defaultColWidth="9" defaultRowHeight="12.75"/>
  <cols>
    <col min="1" max="1" width="9.875" style="3" customWidth="1"/>
    <col min="2" max="2" width="24.25" style="3" customWidth="1"/>
    <col min="3" max="3" width="27" style="3" customWidth="1"/>
    <col min="4" max="5" width="9" style="3"/>
    <col min="6" max="6" width="34.375" style="3" customWidth="1"/>
    <col min="7" max="7" width="44.75" style="3" customWidth="1"/>
    <col min="8" max="8" width="11.25" style="3" customWidth="1"/>
    <col min="9" max="16384" width="9" style="3"/>
  </cols>
  <sheetData>
    <row r="2" spans="1:9" ht="33">
      <c r="A2" s="202" t="s">
        <v>1</v>
      </c>
      <c r="B2" s="202"/>
      <c r="C2" s="202"/>
      <c r="D2" s="202"/>
      <c r="E2" s="202"/>
      <c r="F2" s="202"/>
      <c r="G2" s="202"/>
      <c r="H2" s="2"/>
    </row>
    <row r="3" spans="1:9" ht="14.25">
      <c r="A3" s="75"/>
      <c r="B3" s="75"/>
      <c r="C3" s="75"/>
      <c r="D3" s="75"/>
      <c r="E3" s="75"/>
      <c r="F3" s="75"/>
      <c r="G3" s="75"/>
      <c r="H3" s="75"/>
    </row>
    <row r="4" spans="1:9" ht="14.25">
      <c r="A4" s="75"/>
      <c r="B4" s="75"/>
      <c r="C4" s="75"/>
      <c r="D4" s="75"/>
      <c r="E4" s="75"/>
      <c r="H4" s="75"/>
    </row>
    <row r="5" spans="1:9" ht="27" customHeight="1">
      <c r="A5" s="76" t="s">
        <v>40</v>
      </c>
      <c r="B5" s="4"/>
      <c r="C5" s="5"/>
      <c r="D5" s="75"/>
      <c r="E5" s="75"/>
      <c r="F5" s="6" t="s">
        <v>30</v>
      </c>
      <c r="G5" s="7" t="s">
        <v>43</v>
      </c>
      <c r="H5" s="75"/>
    </row>
    <row r="6" spans="1:9" ht="27" customHeight="1">
      <c r="A6" s="75"/>
      <c r="B6" s="75"/>
      <c r="C6" s="75"/>
      <c r="D6" s="75"/>
      <c r="E6" s="75"/>
      <c r="F6" s="8" t="s">
        <v>33</v>
      </c>
      <c r="G6" s="9" t="s">
        <v>44</v>
      </c>
      <c r="H6" s="75"/>
    </row>
    <row r="7" spans="1:9" ht="27" customHeight="1">
      <c r="A7" s="203" t="s">
        <v>138</v>
      </c>
      <c r="B7" s="204"/>
      <c r="C7" s="205"/>
      <c r="D7" s="75"/>
      <c r="E7" s="10"/>
      <c r="F7" s="11" t="s">
        <v>34</v>
      </c>
      <c r="G7" s="9" t="s">
        <v>45</v>
      </c>
      <c r="H7" s="75"/>
    </row>
    <row r="8" spans="1:9" ht="27" customHeight="1">
      <c r="A8" s="75"/>
      <c r="B8" s="75"/>
      <c r="C8" s="75"/>
      <c r="D8" s="75"/>
      <c r="E8" s="75"/>
      <c r="F8" s="8" t="s">
        <v>35</v>
      </c>
      <c r="G8" s="9" t="s">
        <v>46</v>
      </c>
      <c r="H8" s="75"/>
    </row>
    <row r="9" spans="1:9" ht="27" customHeight="1">
      <c r="A9" s="206" t="s">
        <v>248</v>
      </c>
      <c r="B9" s="207"/>
      <c r="C9" s="208"/>
      <c r="D9" s="75"/>
      <c r="E9" s="75"/>
      <c r="F9" s="8" t="s">
        <v>36</v>
      </c>
      <c r="G9" s="9" t="s">
        <v>47</v>
      </c>
      <c r="H9" s="75"/>
    </row>
    <row r="10" spans="1:9" ht="27" customHeight="1">
      <c r="A10" s="75"/>
      <c r="B10" s="75"/>
      <c r="C10" s="75"/>
      <c r="D10" s="75"/>
      <c r="E10" s="75"/>
      <c r="F10" s="12" t="s">
        <v>31</v>
      </c>
      <c r="G10" s="13" t="s">
        <v>48</v>
      </c>
      <c r="H10" s="75"/>
      <c r="I10" s="75"/>
    </row>
    <row r="11" spans="1:9" ht="27" customHeight="1">
      <c r="A11" s="209"/>
      <c r="B11" s="210"/>
      <c r="C11" s="210"/>
      <c r="D11" s="75"/>
      <c r="E11" s="14"/>
      <c r="F11" s="15" t="s">
        <v>32</v>
      </c>
      <c r="G11" s="16" t="s">
        <v>49</v>
      </c>
      <c r="H11" s="14"/>
    </row>
    <row r="12" spans="1:9" ht="18.75" thickBot="1">
      <c r="A12" s="17" t="s">
        <v>2</v>
      </c>
      <c r="B12" s="17" t="str">
        <f>NUMBERSTRING(F31,1)</f>
        <v>일천팔백칠십사만사천</v>
      </c>
      <c r="C12" s="18"/>
      <c r="D12" s="1" t="s">
        <v>3</v>
      </c>
      <c r="E12" s="1" t="s">
        <v>4</v>
      </c>
      <c r="F12" s="1" t="s">
        <v>4</v>
      </c>
      <c r="G12" s="1"/>
      <c r="H12" s="19"/>
    </row>
    <row r="13" spans="1:9" ht="15.75" thickTop="1" thickBot="1">
      <c r="A13" s="75"/>
      <c r="B13" s="75"/>
      <c r="C13" s="75"/>
      <c r="D13" s="75"/>
      <c r="E13" s="75"/>
      <c r="F13" s="75"/>
      <c r="G13" s="75"/>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'내역서(표준단가)-1차'!O17</f>
        <v>6372183.5</v>
      </c>
      <c r="G16" s="34"/>
    </row>
    <row r="17" spans="1:7" ht="33" customHeight="1">
      <c r="A17" s="29"/>
      <c r="B17" s="30" t="s">
        <v>14</v>
      </c>
      <c r="C17" s="31"/>
      <c r="D17" s="32"/>
      <c r="E17" s="32"/>
      <c r="F17" s="33">
        <f>'내역서(표준단가)-1차'!Q17</f>
        <v>9945304</v>
      </c>
      <c r="G17" s="35"/>
    </row>
    <row r="18" spans="1:7" ht="33" customHeight="1">
      <c r="A18" s="29"/>
      <c r="B18" s="30" t="s">
        <v>15</v>
      </c>
      <c r="C18" s="31"/>
      <c r="D18" s="32"/>
      <c r="E18" s="32"/>
      <c r="F18" s="33">
        <f>'[8]내역서(표준단가)-7차'!S15+'[8]내역서(표준단가)-7차'!U15</f>
        <v>0</v>
      </c>
      <c r="G18" s="35"/>
    </row>
    <row r="19" spans="1:7" ht="33" customHeight="1">
      <c r="A19" s="29"/>
      <c r="B19" s="36" t="s">
        <v>16</v>
      </c>
      <c r="C19" s="36"/>
      <c r="D19" s="37"/>
      <c r="E19" s="37"/>
      <c r="F19" s="38">
        <f>F16+F17+F18</f>
        <v>16317487.5</v>
      </c>
      <c r="G19" s="35"/>
    </row>
    <row r="20" spans="1:7" ht="33" customHeight="1">
      <c r="A20" s="29"/>
      <c r="B20" s="39" t="s">
        <v>17</v>
      </c>
      <c r="C20" s="40"/>
      <c r="D20" s="32"/>
      <c r="E20" s="32"/>
      <c r="F20" s="41"/>
      <c r="G20" s="35"/>
    </row>
    <row r="21" spans="1:7" ht="33" customHeight="1">
      <c r="A21" s="29"/>
      <c r="B21" s="173" t="s">
        <v>18</v>
      </c>
      <c r="C21" s="191" t="s">
        <v>228</v>
      </c>
      <c r="D21" s="174">
        <v>1</v>
      </c>
      <c r="E21" s="174" t="s">
        <v>19</v>
      </c>
      <c r="F21" s="192">
        <f>F17*4.75%</f>
        <v>472401.94</v>
      </c>
      <c r="G21" s="35" t="s">
        <v>20</v>
      </c>
    </row>
    <row r="22" spans="1:7" ht="33" customHeight="1">
      <c r="A22" s="29"/>
      <c r="B22" s="175" t="s">
        <v>21</v>
      </c>
      <c r="C22" s="191" t="s">
        <v>229</v>
      </c>
      <c r="D22" s="176">
        <v>1</v>
      </c>
      <c r="E22" s="176" t="s">
        <v>19</v>
      </c>
      <c r="F22" s="193">
        <f>F17*3.595%</f>
        <v>357533.67880000005</v>
      </c>
      <c r="G22" s="43" t="s">
        <v>20</v>
      </c>
    </row>
    <row r="23" spans="1:7" ht="33" customHeight="1">
      <c r="A23" s="29"/>
      <c r="B23" s="177" t="s">
        <v>22</v>
      </c>
      <c r="C23" s="40" t="s">
        <v>41</v>
      </c>
      <c r="D23" s="30">
        <v>1</v>
      </c>
      <c r="E23" s="30" t="s">
        <v>19</v>
      </c>
      <c r="F23" s="42">
        <f>F22*12.95%</f>
        <v>46300.611404600008</v>
      </c>
      <c r="G23" s="35" t="s">
        <v>20</v>
      </c>
    </row>
    <row r="24" spans="1:7" ht="33" customHeight="1">
      <c r="A24" s="29"/>
      <c r="B24" s="177" t="s">
        <v>23</v>
      </c>
      <c r="C24" s="40" t="s">
        <v>38</v>
      </c>
      <c r="D24" s="30">
        <v>1</v>
      </c>
      <c r="E24" s="30" t="s">
        <v>19</v>
      </c>
      <c r="F24" s="42">
        <f>F17*1.01%</f>
        <v>100447.5704</v>
      </c>
      <c r="G24" s="35" t="s">
        <v>20</v>
      </c>
    </row>
    <row r="25" spans="1:7" ht="33" customHeight="1">
      <c r="A25" s="29"/>
      <c r="B25" s="177" t="s">
        <v>24</v>
      </c>
      <c r="C25" s="40" t="s">
        <v>42</v>
      </c>
      <c r="D25" s="30">
        <v>1</v>
      </c>
      <c r="E25" s="30" t="s">
        <v>19</v>
      </c>
      <c r="F25" s="42">
        <f>F17*3.56%</f>
        <v>354052.8224</v>
      </c>
      <c r="G25" s="35" t="s">
        <v>20</v>
      </c>
    </row>
    <row r="26" spans="1:7" ht="33" customHeight="1">
      <c r="A26" s="29"/>
      <c r="B26" s="177" t="s">
        <v>25</v>
      </c>
      <c r="C26" s="44" t="s">
        <v>70</v>
      </c>
      <c r="D26" s="30">
        <v>1</v>
      </c>
      <c r="E26" s="30" t="s">
        <v>19</v>
      </c>
      <c r="F26" s="42">
        <f>(F16+F17)*3.11%</f>
        <v>507473.86124999996</v>
      </c>
      <c r="G26" s="35" t="s">
        <v>20</v>
      </c>
    </row>
    <row r="27" spans="1:7" ht="33" customHeight="1">
      <c r="A27" s="29"/>
      <c r="B27" s="177" t="s">
        <v>28</v>
      </c>
      <c r="C27" s="44" t="s">
        <v>29</v>
      </c>
      <c r="D27" s="30">
        <v>1</v>
      </c>
      <c r="E27" s="30" t="s">
        <v>19</v>
      </c>
      <c r="F27" s="42">
        <f>SUM(F17+F21+F22+F23+F24+F25+F26)*5%</f>
        <v>589175.72421272995</v>
      </c>
      <c r="G27" s="35"/>
    </row>
    <row r="28" spans="1:7" ht="33" customHeight="1">
      <c r="A28" s="29"/>
      <c r="B28" s="36" t="s">
        <v>16</v>
      </c>
      <c r="C28" s="45"/>
      <c r="D28" s="46"/>
      <c r="E28" s="37"/>
      <c r="F28" s="47">
        <f>F21+F22+F23+F24+F25+F26+F27</f>
        <v>2427386.2084673299</v>
      </c>
      <c r="G28" s="35"/>
    </row>
    <row r="29" spans="1:7" ht="33" customHeight="1">
      <c r="A29" s="29"/>
      <c r="B29" s="40"/>
      <c r="C29" s="48"/>
      <c r="D29" s="49"/>
      <c r="E29" s="32"/>
      <c r="F29" s="50"/>
      <c r="G29" s="35"/>
    </row>
    <row r="30" spans="1:7" ht="33" customHeight="1">
      <c r="A30" s="29"/>
      <c r="B30" s="51"/>
      <c r="C30" s="48"/>
      <c r="D30" s="49"/>
      <c r="E30" s="32"/>
      <c r="F30" s="52">
        <f>F19+F28+F29</f>
        <v>18744873.708467331</v>
      </c>
      <c r="G30" s="198" t="s">
        <v>257</v>
      </c>
    </row>
    <row r="31" spans="1:7" ht="33" customHeight="1" thickBot="1">
      <c r="A31" s="29"/>
      <c r="B31" s="36" t="s">
        <v>26</v>
      </c>
      <c r="C31" s="36"/>
      <c r="D31" s="37"/>
      <c r="E31" s="37"/>
      <c r="F31" s="194">
        <f>ROUNDDOWN(F30,-3)</f>
        <v>18744000</v>
      </c>
      <c r="G31" s="158"/>
    </row>
    <row r="32" spans="1:7" ht="33" customHeight="1" thickBot="1">
      <c r="A32" s="53"/>
      <c r="B32" s="54" t="s">
        <v>27</v>
      </c>
      <c r="C32" s="55"/>
      <c r="D32" s="55"/>
      <c r="E32" s="55"/>
      <c r="F32" s="56"/>
      <c r="G32" s="199" t="s">
        <v>250</v>
      </c>
    </row>
    <row r="33" spans="2:7" ht="33.75" customHeight="1">
      <c r="B33" s="57"/>
      <c r="F33" s="159" t="s">
        <v>77</v>
      </c>
      <c r="G33" s="160"/>
    </row>
    <row r="34" spans="2:7" ht="24">
      <c r="B34" s="57"/>
      <c r="F34" s="159"/>
      <c r="G34" s="161"/>
    </row>
    <row r="35" spans="2:7" ht="24">
      <c r="F35" s="159"/>
    </row>
    <row r="36" spans="2:7" ht="24">
      <c r="F36" s="159"/>
    </row>
    <row r="37" spans="2:7" ht="24">
      <c r="F37" s="159"/>
    </row>
    <row r="38" spans="2:7" ht="24">
      <c r="F38" s="159"/>
    </row>
    <row r="39" spans="2:7" ht="24">
      <c r="F39" s="159"/>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pageSetUpPr fitToPage="1"/>
  </sheetPr>
  <dimension ref="A1:Z19"/>
  <sheetViews>
    <sheetView showGridLines="0" zoomScale="86" zoomScaleNormal="86" workbookViewId="0">
      <pane ySplit="4" topLeftCell="A5" activePane="bottomLeft" state="frozen"/>
      <selection pane="bottomLeft" activeCell="M5" sqref="M5"/>
    </sheetView>
  </sheetViews>
  <sheetFormatPr defaultColWidth="9" defaultRowHeight="38.1" customHeight="1"/>
  <cols>
    <col min="1" max="1" width="22.625" style="94" bestFit="1" customWidth="1"/>
    <col min="2" max="5" width="4.625" style="94" hidden="1" customWidth="1"/>
    <col min="6" max="6" width="9" style="85" hidden="1" customWidth="1"/>
    <col min="7" max="9" width="12.625" style="85" hidden="1" customWidth="1"/>
    <col min="10" max="10" width="26" style="80" customWidth="1"/>
    <col min="11" max="11" width="30.625" style="80" customWidth="1"/>
    <col min="12" max="12" width="8.75" style="85" customWidth="1"/>
    <col min="13" max="13" width="9.5" style="85" customWidth="1"/>
    <col min="14" max="14" width="10.625" style="85" bestFit="1" customWidth="1"/>
    <col min="15" max="15" width="17.25" style="85" bestFit="1" customWidth="1"/>
    <col min="16" max="16" width="12" style="85" bestFit="1" customWidth="1"/>
    <col min="17" max="17" width="17.25" style="85" bestFit="1" customWidth="1"/>
    <col min="18" max="18" width="9" style="85" hidden="1" customWidth="1"/>
    <col min="19" max="19" width="8.75" style="85" hidden="1" customWidth="1"/>
    <col min="20" max="20" width="10.5" style="85" hidden="1" customWidth="1"/>
    <col min="21" max="21" width="8.75" style="85" hidden="1" customWidth="1"/>
    <col min="22" max="22" width="17.25" style="85" bestFit="1" customWidth="1"/>
    <col min="23" max="23" width="10.625" style="58" hidden="1" customWidth="1"/>
    <col min="24" max="24" width="23.5" style="85" bestFit="1" customWidth="1"/>
    <col min="25" max="16384" width="9" style="85"/>
  </cols>
  <sheetData>
    <row r="1" spans="1:26" ht="19.899999999999999" customHeight="1">
      <c r="A1" s="213"/>
      <c r="B1" s="213"/>
      <c r="C1" s="213"/>
      <c r="D1" s="213"/>
      <c r="E1" s="213"/>
      <c r="F1" s="213"/>
      <c r="G1" s="213"/>
      <c r="H1" s="213"/>
      <c r="I1" s="213"/>
      <c r="N1" s="58"/>
      <c r="O1" s="83" t="s">
        <v>50</v>
      </c>
      <c r="Q1" s="83" t="s">
        <v>50</v>
      </c>
      <c r="S1" s="83" t="s">
        <v>50</v>
      </c>
      <c r="U1" s="83" t="s">
        <v>50</v>
      </c>
    </row>
    <row r="2" spans="1:26" ht="19.899999999999999" customHeight="1" thickBot="1">
      <c r="A2" s="213"/>
      <c r="B2" s="213"/>
      <c r="C2" s="213"/>
      <c r="D2" s="213"/>
      <c r="E2" s="213"/>
      <c r="F2" s="213"/>
      <c r="G2" s="213"/>
      <c r="H2" s="213"/>
      <c r="I2" s="213"/>
      <c r="N2" s="59"/>
      <c r="O2" s="60">
        <v>0.83499999999999996</v>
      </c>
      <c r="Q2" s="60">
        <v>0.83499999999999996</v>
      </c>
      <c r="S2" s="60">
        <v>0.83499999999999996</v>
      </c>
      <c r="U2" s="60">
        <v>0.83499999999999996</v>
      </c>
    </row>
    <row r="3" spans="1:26" ht="19.899999999999999" customHeight="1">
      <c r="A3" s="86"/>
      <c r="B3" s="87"/>
      <c r="C3" s="87"/>
      <c r="D3" s="87"/>
      <c r="E3" s="87"/>
      <c r="F3" s="87" t="s">
        <v>51</v>
      </c>
      <c r="G3" s="87"/>
      <c r="H3" s="87"/>
      <c r="I3" s="87"/>
      <c r="J3" s="214" t="s">
        <v>52</v>
      </c>
      <c r="K3" s="214"/>
      <c r="L3" s="215" t="s">
        <v>39</v>
      </c>
      <c r="M3" s="215" t="s">
        <v>0</v>
      </c>
      <c r="N3" s="217" t="s">
        <v>53</v>
      </c>
      <c r="O3" s="217"/>
      <c r="P3" s="217" t="s">
        <v>54</v>
      </c>
      <c r="Q3" s="217"/>
      <c r="R3" s="218" t="s">
        <v>55</v>
      </c>
      <c r="S3" s="218"/>
      <c r="T3" s="218" t="s">
        <v>56</v>
      </c>
      <c r="U3" s="218"/>
      <c r="V3" s="219" t="s">
        <v>57</v>
      </c>
      <c r="W3" s="221" t="s">
        <v>58</v>
      </c>
      <c r="X3" s="211" t="s">
        <v>37</v>
      </c>
    </row>
    <row r="4" spans="1:26" ht="19.899999999999999" customHeight="1">
      <c r="A4" s="61" t="s">
        <v>59</v>
      </c>
      <c r="B4" s="84"/>
      <c r="C4" s="84"/>
      <c r="D4" s="84"/>
      <c r="E4" s="84"/>
      <c r="F4" s="62" t="s">
        <v>60</v>
      </c>
      <c r="G4" s="62" t="s">
        <v>61</v>
      </c>
      <c r="H4" s="62" t="s">
        <v>62</v>
      </c>
      <c r="I4" s="62" t="s">
        <v>63</v>
      </c>
      <c r="J4" s="81" t="s">
        <v>64</v>
      </c>
      <c r="K4" s="81" t="s">
        <v>65</v>
      </c>
      <c r="L4" s="216"/>
      <c r="M4" s="216"/>
      <c r="N4" s="150" t="s">
        <v>66</v>
      </c>
      <c r="O4" s="63" t="s">
        <v>67</v>
      </c>
      <c r="P4" s="150" t="s">
        <v>68</v>
      </c>
      <c r="Q4" s="63" t="s">
        <v>67</v>
      </c>
      <c r="R4" s="63" t="s">
        <v>69</v>
      </c>
      <c r="S4" s="63" t="s">
        <v>67</v>
      </c>
      <c r="T4" s="63" t="s">
        <v>69</v>
      </c>
      <c r="U4" s="63" t="s">
        <v>67</v>
      </c>
      <c r="V4" s="220"/>
      <c r="W4" s="222"/>
      <c r="X4" s="212"/>
    </row>
    <row r="5" spans="1:26" s="88" customFormat="1" ht="38.1" customHeight="1">
      <c r="A5" s="64" t="str">
        <f t="shared" ref="A5:A14" si="0">F5&amp;G5&amp;H5&amp;I5</f>
        <v>L003</v>
      </c>
      <c r="B5" s="71"/>
      <c r="C5" s="71"/>
      <c r="D5" s="71"/>
      <c r="E5" s="71"/>
      <c r="F5" s="136"/>
      <c r="G5" s="137"/>
      <c r="H5" s="138"/>
      <c r="I5" s="136" t="s">
        <v>96</v>
      </c>
      <c r="J5" s="139" t="s">
        <v>97</v>
      </c>
      <c r="K5" s="139" t="s">
        <v>113</v>
      </c>
      <c r="L5" s="140" t="s">
        <v>98</v>
      </c>
      <c r="M5" s="182">
        <v>42</v>
      </c>
      <c r="N5" s="141"/>
      <c r="O5" s="78">
        <f t="shared" ref="O5:O13" si="1">SUM(N5:N5)*M5*$O$2</f>
        <v>0</v>
      </c>
      <c r="P5" s="77">
        <v>224490</v>
      </c>
      <c r="Q5" s="185">
        <f>M5*P5</f>
        <v>9428580</v>
      </c>
      <c r="R5" s="68"/>
      <c r="S5" s="67">
        <f t="shared" ref="S5:S16" si="2">R5*M5*$S$2</f>
        <v>0</v>
      </c>
      <c r="T5" s="68"/>
      <c r="U5" s="67">
        <f t="shared" ref="U5:U16" si="3">T5*M5*$U$2</f>
        <v>0</v>
      </c>
      <c r="V5" s="68">
        <f t="shared" ref="V5:V16" si="4">SUM(O5+Q5)+S5+U5</f>
        <v>9428580</v>
      </c>
      <c r="W5" s="73"/>
      <c r="X5" s="69"/>
    </row>
    <row r="6" spans="1:26" s="88" customFormat="1" ht="38.1" customHeight="1">
      <c r="A6" s="64" t="str">
        <f t="shared" si="0"/>
        <v>L029</v>
      </c>
      <c r="B6" s="71"/>
      <c r="C6" s="71"/>
      <c r="D6" s="71"/>
      <c r="E6" s="71"/>
      <c r="F6" s="136"/>
      <c r="G6" s="137"/>
      <c r="H6" s="138"/>
      <c r="I6" s="136" t="s">
        <v>227</v>
      </c>
      <c r="J6" s="139" t="s">
        <v>97</v>
      </c>
      <c r="K6" s="139" t="s">
        <v>221</v>
      </c>
      <c r="L6" s="140" t="s">
        <v>98</v>
      </c>
      <c r="M6" s="182">
        <v>2</v>
      </c>
      <c r="N6" s="141"/>
      <c r="O6" s="78"/>
      <c r="P6" s="77">
        <v>258362</v>
      </c>
      <c r="Q6" s="185">
        <f>M6*P6</f>
        <v>516724</v>
      </c>
      <c r="R6" s="68"/>
      <c r="S6" s="67"/>
      <c r="T6" s="68"/>
      <c r="U6" s="67"/>
      <c r="V6" s="68">
        <f t="shared" si="4"/>
        <v>516724</v>
      </c>
      <c r="W6" s="73"/>
      <c r="X6" s="69"/>
    </row>
    <row r="7" spans="1:26" s="88" customFormat="1" ht="35.25" customHeight="1">
      <c r="A7" s="64" t="str">
        <f t="shared" si="0"/>
        <v>M020450310340103</v>
      </c>
      <c r="B7" s="71"/>
      <c r="C7" s="71"/>
      <c r="D7" s="71"/>
      <c r="E7" s="71"/>
      <c r="F7" s="136"/>
      <c r="G7" s="137"/>
      <c r="H7" s="178" t="s">
        <v>232</v>
      </c>
      <c r="I7" s="136"/>
      <c r="J7" s="139" t="s">
        <v>114</v>
      </c>
      <c r="K7" s="139" t="s">
        <v>231</v>
      </c>
      <c r="L7" s="140" t="s">
        <v>99</v>
      </c>
      <c r="M7" s="183">
        <v>91</v>
      </c>
      <c r="N7" s="141">
        <v>36500</v>
      </c>
      <c r="O7" s="78">
        <f t="shared" si="1"/>
        <v>2773452.5</v>
      </c>
      <c r="P7" s="77"/>
      <c r="Q7" s="67">
        <f t="shared" ref="Q7:Q16" si="5">(P7*M7)*$Q$2</f>
        <v>0</v>
      </c>
      <c r="R7" s="68"/>
      <c r="S7" s="67">
        <f t="shared" si="2"/>
        <v>0</v>
      </c>
      <c r="T7" s="68"/>
      <c r="U7" s="67">
        <f t="shared" si="3"/>
        <v>0</v>
      </c>
      <c r="V7" s="68">
        <f t="shared" si="4"/>
        <v>2773452.5</v>
      </c>
      <c r="W7" s="73"/>
      <c r="X7" s="170" t="s">
        <v>77</v>
      </c>
      <c r="Y7" s="151"/>
      <c r="Z7" s="152"/>
    </row>
    <row r="8" spans="1:26" s="88" customFormat="1" ht="38.1" customHeight="1">
      <c r="A8" s="64" t="str">
        <f t="shared" si="0"/>
        <v>M020251411670101</v>
      </c>
      <c r="B8" s="71"/>
      <c r="C8" s="71"/>
      <c r="D8" s="71"/>
      <c r="E8" s="71"/>
      <c r="F8" s="153"/>
      <c r="G8" s="65"/>
      <c r="H8" s="179" t="s">
        <v>234</v>
      </c>
      <c r="I8" s="96"/>
      <c r="J8" s="98" t="s">
        <v>100</v>
      </c>
      <c r="K8" s="154" t="s">
        <v>233</v>
      </c>
      <c r="L8" s="98" t="s">
        <v>101</v>
      </c>
      <c r="M8" s="183">
        <v>51</v>
      </c>
      <c r="N8" s="184">
        <v>5000</v>
      </c>
      <c r="O8" s="78">
        <f t="shared" si="1"/>
        <v>212925</v>
      </c>
      <c r="P8" s="77"/>
      <c r="Q8" s="67">
        <f>(P8*M8)*$Q$2</f>
        <v>0</v>
      </c>
      <c r="R8" s="68"/>
      <c r="S8" s="67">
        <f>R8*M8*$S$2</f>
        <v>0</v>
      </c>
      <c r="T8" s="68"/>
      <c r="U8" s="67">
        <f>T8*M8*$U$2</f>
        <v>0</v>
      </c>
      <c r="V8" s="68">
        <f>SUM(O8+Q8)+S8+U8</f>
        <v>212925</v>
      </c>
      <c r="W8" s="73"/>
      <c r="X8" s="69"/>
    </row>
    <row r="9" spans="1:26" s="88" customFormat="1" ht="38.1" customHeight="1">
      <c r="A9" s="64" t="str">
        <f t="shared" si="0"/>
        <v>M020533113070101</v>
      </c>
      <c r="B9" s="71"/>
      <c r="C9" s="71"/>
      <c r="D9" s="71"/>
      <c r="E9" s="71"/>
      <c r="F9" s="96"/>
      <c r="G9" s="97"/>
      <c r="H9" s="179" t="s">
        <v>236</v>
      </c>
      <c r="I9" s="96"/>
      <c r="J9" s="99" t="s">
        <v>102</v>
      </c>
      <c r="K9" s="99" t="s">
        <v>235</v>
      </c>
      <c r="L9" s="99" t="s">
        <v>103</v>
      </c>
      <c r="M9" s="183">
        <v>139</v>
      </c>
      <c r="N9" s="185">
        <v>3400</v>
      </c>
      <c r="O9" s="78">
        <f t="shared" si="1"/>
        <v>394621</v>
      </c>
      <c r="P9" s="77"/>
      <c r="Q9" s="67">
        <f t="shared" si="5"/>
        <v>0</v>
      </c>
      <c r="R9" s="68"/>
      <c r="S9" s="67">
        <f t="shared" si="2"/>
        <v>0</v>
      </c>
      <c r="T9" s="68"/>
      <c r="U9" s="67">
        <f t="shared" si="3"/>
        <v>0</v>
      </c>
      <c r="V9" s="68">
        <f t="shared" si="4"/>
        <v>394621</v>
      </c>
      <c r="W9" s="73"/>
      <c r="X9" s="165" t="s">
        <v>77</v>
      </c>
    </row>
    <row r="10" spans="1:26" s="88" customFormat="1" ht="38.1" customHeight="1">
      <c r="A10" s="64" t="str">
        <f t="shared" si="0"/>
        <v>M020852810150101</v>
      </c>
      <c r="B10" s="71"/>
      <c r="C10" s="71"/>
      <c r="D10" s="71"/>
      <c r="E10" s="71"/>
      <c r="F10" s="70"/>
      <c r="G10" s="65"/>
      <c r="H10" s="178" t="s">
        <v>230</v>
      </c>
      <c r="I10" s="70"/>
      <c r="J10" s="66" t="s">
        <v>238</v>
      </c>
      <c r="K10" s="66" t="s">
        <v>218</v>
      </c>
      <c r="L10" s="74" t="s">
        <v>244</v>
      </c>
      <c r="M10" s="183">
        <v>55</v>
      </c>
      <c r="N10" s="186">
        <v>55000</v>
      </c>
      <c r="O10" s="78">
        <f t="shared" si="1"/>
        <v>2525875</v>
      </c>
      <c r="P10" s="77"/>
      <c r="Q10" s="67">
        <f t="shared" si="5"/>
        <v>0</v>
      </c>
      <c r="R10" s="68"/>
      <c r="S10" s="67">
        <f t="shared" si="2"/>
        <v>0</v>
      </c>
      <c r="T10" s="68"/>
      <c r="U10" s="67">
        <f t="shared" si="3"/>
        <v>0</v>
      </c>
      <c r="V10" s="68">
        <f t="shared" si="4"/>
        <v>2525875</v>
      </c>
      <c r="W10" s="95"/>
      <c r="X10" s="69"/>
    </row>
    <row r="11" spans="1:26" s="88" customFormat="1" ht="38.1" customHeight="1">
      <c r="A11" s="64" t="str">
        <f t="shared" si="0"/>
        <v>M020750510130102</v>
      </c>
      <c r="B11" s="71"/>
      <c r="C11" s="71"/>
      <c r="D11" s="71"/>
      <c r="E11" s="71"/>
      <c r="F11" s="70"/>
      <c r="G11" s="65"/>
      <c r="H11" s="179" t="s">
        <v>126</v>
      </c>
      <c r="I11" s="70"/>
      <c r="J11" s="162" t="s">
        <v>127</v>
      </c>
      <c r="K11" s="162" t="s">
        <v>239</v>
      </c>
      <c r="L11" s="74" t="s">
        <v>128</v>
      </c>
      <c r="M11" s="183">
        <v>12</v>
      </c>
      <c r="N11" s="187">
        <v>8000</v>
      </c>
      <c r="O11" s="78">
        <f t="shared" si="1"/>
        <v>80160</v>
      </c>
      <c r="P11" s="77"/>
      <c r="Q11" s="67">
        <f t="shared" si="5"/>
        <v>0</v>
      </c>
      <c r="R11" s="68"/>
      <c r="S11" s="67">
        <f t="shared" si="2"/>
        <v>0</v>
      </c>
      <c r="T11" s="68"/>
      <c r="U11" s="67">
        <f t="shared" si="3"/>
        <v>0</v>
      </c>
      <c r="V11" s="68">
        <f t="shared" si="4"/>
        <v>80160</v>
      </c>
      <c r="W11" s="95"/>
      <c r="X11" s="69"/>
    </row>
    <row r="12" spans="1:26" s="88" customFormat="1" ht="38.1" customHeight="1">
      <c r="A12" s="64" t="str">
        <f t="shared" si="0"/>
        <v>M020750510120102</v>
      </c>
      <c r="B12" s="71"/>
      <c r="C12" s="71"/>
      <c r="D12" s="71"/>
      <c r="E12" s="71"/>
      <c r="F12" s="70"/>
      <c r="G12" s="65"/>
      <c r="H12" s="179" t="s">
        <v>130</v>
      </c>
      <c r="I12" s="62"/>
      <c r="J12" s="162" t="s">
        <v>129</v>
      </c>
      <c r="K12" s="162" t="s">
        <v>240</v>
      </c>
      <c r="L12" s="74" t="s">
        <v>128</v>
      </c>
      <c r="M12" s="183">
        <v>0</v>
      </c>
      <c r="N12" s="188">
        <v>6400</v>
      </c>
      <c r="O12" s="78">
        <f t="shared" si="1"/>
        <v>0</v>
      </c>
      <c r="P12" s="77"/>
      <c r="Q12" s="67">
        <f t="shared" ref="Q12:Q14" si="6">(P12*M12)*$Q$2</f>
        <v>0</v>
      </c>
      <c r="R12" s="68"/>
      <c r="S12" s="67">
        <f t="shared" ref="S12:S14" si="7">R12*M12*$S$2</f>
        <v>0</v>
      </c>
      <c r="T12" s="68"/>
      <c r="U12" s="67">
        <f t="shared" ref="U12:U14" si="8">T12*M12*$U$2</f>
        <v>0</v>
      </c>
      <c r="V12" s="68">
        <f t="shared" ref="V12:V14" si="9">SUM(O12+Q12)+S12+U12</f>
        <v>0</v>
      </c>
      <c r="W12" s="95"/>
      <c r="X12" s="69"/>
    </row>
    <row r="13" spans="1:26" s="88" customFormat="1" ht="38.1" customHeight="1">
      <c r="A13" s="64" t="str">
        <f t="shared" si="0"/>
        <v>M020690811520101</v>
      </c>
      <c r="B13" s="71"/>
      <c r="C13" s="71"/>
      <c r="D13" s="71"/>
      <c r="E13" s="71"/>
      <c r="F13" s="70"/>
      <c r="G13" s="65"/>
      <c r="H13" s="179" t="s">
        <v>131</v>
      </c>
      <c r="I13" s="70"/>
      <c r="J13" s="140" t="s">
        <v>132</v>
      </c>
      <c r="K13" s="140" t="s">
        <v>237</v>
      </c>
      <c r="L13" s="74" t="s">
        <v>125</v>
      </c>
      <c r="M13" s="183">
        <v>0</v>
      </c>
      <c r="N13" s="189">
        <v>7500</v>
      </c>
      <c r="O13" s="78">
        <f t="shared" si="1"/>
        <v>0</v>
      </c>
      <c r="P13" s="77"/>
      <c r="Q13" s="67">
        <f t="shared" si="6"/>
        <v>0</v>
      </c>
      <c r="R13" s="68"/>
      <c r="S13" s="67">
        <f t="shared" si="7"/>
        <v>0</v>
      </c>
      <c r="T13" s="68"/>
      <c r="U13" s="67">
        <f t="shared" si="8"/>
        <v>0</v>
      </c>
      <c r="V13" s="68">
        <f t="shared" si="9"/>
        <v>0</v>
      </c>
      <c r="W13" s="95"/>
      <c r="X13" s="69"/>
    </row>
    <row r="14" spans="1:26" s="88" customFormat="1" ht="38.1" customHeight="1">
      <c r="A14" s="64" t="str">
        <f t="shared" si="0"/>
        <v>M020850811250101</v>
      </c>
      <c r="B14" s="71"/>
      <c r="C14" s="71"/>
      <c r="D14" s="71"/>
      <c r="E14" s="71"/>
      <c r="F14" s="70"/>
      <c r="G14" s="65"/>
      <c r="H14" s="180" t="s">
        <v>242</v>
      </c>
      <c r="I14" s="70"/>
      <c r="J14" s="162" t="s">
        <v>249</v>
      </c>
      <c r="K14" s="162" t="s">
        <v>241</v>
      </c>
      <c r="L14" s="74" t="s">
        <v>244</v>
      </c>
      <c r="M14" s="183">
        <v>2</v>
      </c>
      <c r="N14" s="190">
        <v>45000</v>
      </c>
      <c r="O14" s="78">
        <f t="shared" ref="O14" si="10">SUM(N14:N14)*M14*$O$2</f>
        <v>75150</v>
      </c>
      <c r="P14" s="77"/>
      <c r="Q14" s="67">
        <f t="shared" si="6"/>
        <v>0</v>
      </c>
      <c r="R14" s="68"/>
      <c r="S14" s="67">
        <f t="shared" si="7"/>
        <v>0</v>
      </c>
      <c r="T14" s="68"/>
      <c r="U14" s="67">
        <f t="shared" si="8"/>
        <v>0</v>
      </c>
      <c r="V14" s="68">
        <f t="shared" si="9"/>
        <v>75150</v>
      </c>
      <c r="W14" s="73"/>
      <c r="X14" s="69"/>
    </row>
    <row r="15" spans="1:26" s="88" customFormat="1" ht="38.1" customHeight="1">
      <c r="A15" s="64">
        <v>999999</v>
      </c>
      <c r="B15" s="71"/>
      <c r="C15" s="71"/>
      <c r="D15" s="71"/>
      <c r="E15" s="71"/>
      <c r="F15" s="70"/>
      <c r="G15" s="65"/>
      <c r="H15" s="65"/>
      <c r="I15" s="70"/>
      <c r="J15" s="66" t="s">
        <v>115</v>
      </c>
      <c r="K15" s="66" t="s">
        <v>219</v>
      </c>
      <c r="L15" s="74" t="s">
        <v>116</v>
      </c>
      <c r="M15" s="183">
        <v>1</v>
      </c>
      <c r="N15" s="79">
        <v>50000</v>
      </c>
      <c r="O15" s="78">
        <f>SUM(N15:N15)*M15</f>
        <v>50000</v>
      </c>
      <c r="P15" s="77"/>
      <c r="Q15" s="67"/>
      <c r="R15" s="68"/>
      <c r="S15" s="67"/>
      <c r="T15" s="68"/>
      <c r="U15" s="67"/>
      <c r="V15" s="68">
        <f t="shared" si="4"/>
        <v>50000</v>
      </c>
      <c r="W15" s="95"/>
      <c r="X15" s="69"/>
    </row>
    <row r="16" spans="1:26" s="88" customFormat="1" ht="38.1" customHeight="1">
      <c r="A16" s="64">
        <v>999999</v>
      </c>
      <c r="B16" s="71"/>
      <c r="C16" s="71"/>
      <c r="D16" s="71"/>
      <c r="E16" s="71"/>
      <c r="F16" s="70"/>
      <c r="G16" s="65"/>
      <c r="H16" s="65"/>
      <c r="I16" s="70"/>
      <c r="J16" s="66" t="s">
        <v>225</v>
      </c>
      <c r="K16" s="66" t="s">
        <v>220</v>
      </c>
      <c r="L16" s="74" t="s">
        <v>116</v>
      </c>
      <c r="M16" s="183">
        <v>1</v>
      </c>
      <c r="N16" s="79">
        <v>260000</v>
      </c>
      <c r="O16" s="78">
        <f t="shared" ref="O16" si="11">SUM(N16:N16)*M16</f>
        <v>260000</v>
      </c>
      <c r="P16" s="77"/>
      <c r="Q16" s="67">
        <f t="shared" si="5"/>
        <v>0</v>
      </c>
      <c r="R16" s="68"/>
      <c r="S16" s="67">
        <f t="shared" si="2"/>
        <v>0</v>
      </c>
      <c r="T16" s="68"/>
      <c r="U16" s="67">
        <f t="shared" si="3"/>
        <v>0</v>
      </c>
      <c r="V16" s="68">
        <f t="shared" si="4"/>
        <v>260000</v>
      </c>
      <c r="W16" s="95"/>
      <c r="X16" s="69"/>
    </row>
    <row r="17" spans="1:24" s="93" customFormat="1" ht="38.1" customHeight="1">
      <c r="A17" s="89"/>
      <c r="B17" s="90"/>
      <c r="C17" s="90"/>
      <c r="D17" s="90"/>
      <c r="E17" s="90"/>
      <c r="F17" s="90"/>
      <c r="G17" s="90"/>
      <c r="H17" s="90"/>
      <c r="I17" s="90"/>
      <c r="J17" s="82"/>
      <c r="K17" s="82" t="s">
        <v>77</v>
      </c>
      <c r="L17" s="90"/>
      <c r="M17" s="90"/>
      <c r="N17" s="90"/>
      <c r="O17" s="155">
        <f>SUM(O5:O16)</f>
        <v>6372183.5</v>
      </c>
      <c r="P17" s="156"/>
      <c r="Q17" s="155">
        <f>SUM(Q5:Q16)</f>
        <v>9945304</v>
      </c>
      <c r="R17" s="92"/>
      <c r="S17" s="91">
        <f>SUM(S5:S7)</f>
        <v>0</v>
      </c>
      <c r="T17" s="92"/>
      <c r="U17" s="91">
        <f>SUM(U5:U7)</f>
        <v>0</v>
      </c>
      <c r="V17" s="157">
        <f>SUM(V5:W16)</f>
        <v>16317487.5</v>
      </c>
      <c r="W17" s="72"/>
      <c r="X17" s="90"/>
    </row>
    <row r="18" spans="1:24" ht="38.1" customHeight="1">
      <c r="K18" s="80" t="s">
        <v>77</v>
      </c>
      <c r="O18" s="85" t="s">
        <v>77</v>
      </c>
    </row>
    <row r="19" spans="1:24" ht="38.1" customHeight="1">
      <c r="K19" s="80" t="s">
        <v>77</v>
      </c>
      <c r="O19" s="163" t="s">
        <v>77</v>
      </c>
      <c r="Q19" s="164" t="s">
        <v>77</v>
      </c>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4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92D050"/>
    <pageSetUpPr fitToPage="1"/>
  </sheetPr>
  <dimension ref="B1:W48"/>
  <sheetViews>
    <sheetView showZeros="0" tabSelected="1" zoomScale="25" zoomScaleNormal="25" workbookViewId="0">
      <pane ySplit="4" topLeftCell="A22" activePane="bottomLeft" state="frozen"/>
      <selection pane="bottomLeft" activeCell="AQ25" sqref="AQ25"/>
    </sheetView>
  </sheetViews>
  <sheetFormatPr defaultRowHeight="16.5"/>
  <cols>
    <col min="1" max="1" width="1.625" customWidth="1"/>
    <col min="2" max="2" width="9.625" style="109" customWidth="1"/>
    <col min="3" max="3" width="11.375" style="109" bestFit="1" customWidth="1"/>
    <col min="4" max="4" width="15.25" style="109" customWidth="1"/>
    <col min="5" max="5" width="12.75" style="109" customWidth="1"/>
    <col min="6" max="6" width="11.125" style="109" bestFit="1" customWidth="1"/>
    <col min="7" max="7" width="12.75" style="109" customWidth="1"/>
    <col min="8" max="8" width="11.125" style="109" bestFit="1" customWidth="1"/>
    <col min="9" max="9" width="22" style="109" bestFit="1" customWidth="1"/>
    <col min="10" max="10" width="22.625" style="109" bestFit="1" customWidth="1"/>
    <col min="11" max="11" width="9.875" style="109" bestFit="1" customWidth="1"/>
    <col min="12" max="12" width="10.75" style="109" bestFit="1" customWidth="1"/>
    <col min="13" max="13" width="12.625" style="109" bestFit="1" customWidth="1"/>
    <col min="14" max="14" width="61.125" style="109" customWidth="1"/>
    <col min="15" max="15" width="16.5" style="109" customWidth="1"/>
    <col min="16" max="17" width="13.125" style="109" bestFit="1" customWidth="1"/>
    <col min="18" max="18" width="12.75" style="109" bestFit="1" customWidth="1"/>
    <col min="19" max="19" width="16" style="109" bestFit="1" customWidth="1"/>
    <col min="20" max="20" width="16" style="109" customWidth="1"/>
    <col min="21" max="22" width="16" style="109" hidden="1" customWidth="1"/>
    <col min="23" max="23" width="25.875" customWidth="1"/>
    <col min="24" max="24" width="1.625" customWidth="1"/>
  </cols>
  <sheetData>
    <row r="1" spans="2:23" s="100" customFormat="1" ht="87.75" customHeight="1" thickBot="1"/>
    <row r="2" spans="2:23" s="100" customFormat="1" ht="39" customHeight="1">
      <c r="B2" s="225" t="s">
        <v>78</v>
      </c>
      <c r="C2" s="227" t="s">
        <v>79</v>
      </c>
      <c r="D2" s="229" t="s">
        <v>85</v>
      </c>
      <c r="E2" s="231" t="s">
        <v>71</v>
      </c>
      <c r="F2" s="231"/>
      <c r="G2" s="231" t="s">
        <v>72</v>
      </c>
      <c r="H2" s="231"/>
      <c r="I2" s="101" t="s">
        <v>88</v>
      </c>
      <c r="J2" s="101" t="s">
        <v>89</v>
      </c>
      <c r="K2" s="227" t="s">
        <v>73</v>
      </c>
      <c r="L2" s="227" t="s">
        <v>74</v>
      </c>
      <c r="M2" s="227" t="s">
        <v>75</v>
      </c>
      <c r="N2" s="227" t="s">
        <v>76</v>
      </c>
      <c r="O2" s="232" t="s">
        <v>87</v>
      </c>
      <c r="P2" s="227" t="s">
        <v>86</v>
      </c>
      <c r="Q2" s="227"/>
      <c r="R2" s="227"/>
      <c r="S2" s="240"/>
      <c r="T2" s="240"/>
      <c r="U2" s="240"/>
      <c r="V2" s="241"/>
      <c r="W2" s="223" t="s">
        <v>84</v>
      </c>
    </row>
    <row r="3" spans="2:23" s="100" customFormat="1" ht="39" customHeight="1" thickBot="1">
      <c r="B3" s="226"/>
      <c r="C3" s="228"/>
      <c r="D3" s="230"/>
      <c r="E3" s="102" t="s">
        <v>80</v>
      </c>
      <c r="F3" s="103" t="s">
        <v>81</v>
      </c>
      <c r="G3" s="102" t="s">
        <v>80</v>
      </c>
      <c r="H3" s="103" t="s">
        <v>81</v>
      </c>
      <c r="I3" s="104" t="s">
        <v>82</v>
      </c>
      <c r="J3" s="104" t="s">
        <v>83</v>
      </c>
      <c r="K3" s="228"/>
      <c r="L3" s="228"/>
      <c r="M3" s="228"/>
      <c r="N3" s="228"/>
      <c r="O3" s="233"/>
      <c r="P3" s="105" t="s">
        <v>90</v>
      </c>
      <c r="Q3" s="105" t="s">
        <v>91</v>
      </c>
      <c r="R3" s="105" t="s">
        <v>92</v>
      </c>
      <c r="S3" s="200" t="s">
        <v>93</v>
      </c>
      <c r="T3" s="200" t="s">
        <v>107</v>
      </c>
      <c r="U3" s="200" t="s">
        <v>104</v>
      </c>
      <c r="V3" s="200" t="s">
        <v>105</v>
      </c>
      <c r="W3" s="224"/>
    </row>
    <row r="4" spans="2:23" s="109" customFormat="1" ht="31.5">
      <c r="B4" s="134" t="s">
        <v>152</v>
      </c>
      <c r="C4" s="132"/>
      <c r="D4" s="133"/>
      <c r="E4" s="107"/>
      <c r="F4" s="107"/>
      <c r="G4" s="107"/>
      <c r="H4" s="107"/>
      <c r="I4" s="107"/>
      <c r="J4" s="107"/>
      <c r="K4" s="106"/>
      <c r="L4" s="106"/>
      <c r="M4" s="106"/>
      <c r="N4" s="106"/>
      <c r="O4" s="106"/>
      <c r="P4" s="106"/>
      <c r="Q4" s="106"/>
      <c r="R4" s="106"/>
      <c r="S4" s="106"/>
      <c r="T4" s="106"/>
      <c r="U4" s="106"/>
      <c r="V4" s="106"/>
      <c r="W4" s="108"/>
    </row>
    <row r="5" spans="2:23" s="122" customFormat="1" ht="72" customHeight="1">
      <c r="B5" s="197" t="s">
        <v>253</v>
      </c>
      <c r="C5" s="112" t="s">
        <v>94</v>
      </c>
      <c r="D5" s="113">
        <v>2</v>
      </c>
      <c r="E5" s="114">
        <v>46003</v>
      </c>
      <c r="F5" s="115">
        <v>0.375</v>
      </c>
      <c r="G5" s="114">
        <v>46003</v>
      </c>
      <c r="H5" s="115">
        <v>0.5625</v>
      </c>
      <c r="I5" s="116">
        <f t="shared" ref="I5:I6" si="0">H5-F5</f>
        <v>0.1875</v>
      </c>
      <c r="J5" s="110">
        <f t="shared" ref="J5:J7" si="1">I5*D5</f>
        <v>0.375</v>
      </c>
      <c r="K5" s="166" t="s">
        <v>153</v>
      </c>
      <c r="L5" s="166" t="s">
        <v>154</v>
      </c>
      <c r="M5" s="118" t="s">
        <v>95</v>
      </c>
      <c r="N5" s="125" t="s">
        <v>155</v>
      </c>
      <c r="O5" s="148">
        <v>2</v>
      </c>
      <c r="P5" s="167"/>
      <c r="Q5" s="167"/>
      <c r="R5" s="167"/>
      <c r="S5" s="167"/>
      <c r="T5" s="167"/>
      <c r="U5" s="167"/>
      <c r="V5" s="168"/>
      <c r="W5" s="127"/>
    </row>
    <row r="6" spans="2:23" s="122" customFormat="1" ht="72" customHeight="1">
      <c r="B6" s="123" t="s">
        <v>254</v>
      </c>
      <c r="C6" s="112" t="s">
        <v>94</v>
      </c>
      <c r="D6" s="113">
        <v>1</v>
      </c>
      <c r="E6" s="114">
        <v>46021</v>
      </c>
      <c r="F6" s="115">
        <v>0.58333333333333337</v>
      </c>
      <c r="G6" s="114">
        <v>46021</v>
      </c>
      <c r="H6" s="115">
        <v>0.60416666666666663</v>
      </c>
      <c r="I6" s="116">
        <f t="shared" si="0"/>
        <v>2.0833333333333259E-2</v>
      </c>
      <c r="J6" s="110">
        <f t="shared" si="1"/>
        <v>2.0833333333333259E-2</v>
      </c>
      <c r="K6" s="124">
        <v>9</v>
      </c>
      <c r="L6" s="124">
        <v>502</v>
      </c>
      <c r="M6" s="118" t="s">
        <v>95</v>
      </c>
      <c r="N6" s="125" t="s">
        <v>156</v>
      </c>
      <c r="O6" s="196" t="s">
        <v>251</v>
      </c>
      <c r="P6" s="126"/>
      <c r="Q6" s="126"/>
      <c r="R6" s="126"/>
      <c r="S6" s="126"/>
      <c r="T6" s="126"/>
      <c r="U6" s="126"/>
      <c r="V6" s="126"/>
      <c r="W6" s="127" t="s">
        <v>214</v>
      </c>
    </row>
    <row r="7" spans="2:23" s="122" customFormat="1" ht="120">
      <c r="B7" s="111">
        <v>1</v>
      </c>
      <c r="C7" s="112" t="s">
        <v>94</v>
      </c>
      <c r="D7" s="113">
        <v>2</v>
      </c>
      <c r="E7" s="114">
        <v>46041</v>
      </c>
      <c r="F7" s="115">
        <v>0.375</v>
      </c>
      <c r="G7" s="114">
        <v>46041</v>
      </c>
      <c r="H7" s="115">
        <v>0.68055555555555558</v>
      </c>
      <c r="I7" s="116">
        <f t="shared" ref="I7" si="2">H7-F7</f>
        <v>0.30555555555555558</v>
      </c>
      <c r="J7" s="110">
        <f t="shared" si="1"/>
        <v>0.61111111111111116</v>
      </c>
      <c r="K7" s="117" t="s">
        <v>140</v>
      </c>
      <c r="L7" s="117" t="s">
        <v>141</v>
      </c>
      <c r="M7" s="118" t="s">
        <v>95</v>
      </c>
      <c r="N7" s="119" t="s">
        <v>139</v>
      </c>
      <c r="O7" s="148">
        <v>2</v>
      </c>
      <c r="P7" s="120">
        <v>3</v>
      </c>
      <c r="Q7" s="171">
        <v>3</v>
      </c>
      <c r="R7" s="171">
        <v>6</v>
      </c>
      <c r="S7" s="172"/>
      <c r="T7" s="120"/>
      <c r="U7" s="120"/>
      <c r="V7" s="120"/>
      <c r="W7" s="121"/>
    </row>
    <row r="8" spans="2:23" s="122" customFormat="1" ht="198.75" customHeight="1">
      <c r="B8" s="111">
        <v>2</v>
      </c>
      <c r="C8" s="112" t="s">
        <v>94</v>
      </c>
      <c r="D8" s="113">
        <v>2</v>
      </c>
      <c r="E8" s="114">
        <v>46042</v>
      </c>
      <c r="F8" s="115">
        <v>0.375</v>
      </c>
      <c r="G8" s="114">
        <v>46042</v>
      </c>
      <c r="H8" s="115">
        <v>0.68055555555555558</v>
      </c>
      <c r="I8" s="116">
        <f t="shared" ref="I8:I13" si="3">H8-F8</f>
        <v>0.30555555555555558</v>
      </c>
      <c r="J8" s="110">
        <f t="shared" ref="J8:J13" si="4">I8*D8</f>
        <v>0.61111111111111116</v>
      </c>
      <c r="K8" s="117" t="s">
        <v>143</v>
      </c>
      <c r="L8" s="117" t="s">
        <v>222</v>
      </c>
      <c r="M8" s="118" t="s">
        <v>95</v>
      </c>
      <c r="N8" s="119" t="s">
        <v>142</v>
      </c>
      <c r="O8" s="148">
        <v>2</v>
      </c>
      <c r="P8" s="120">
        <v>3</v>
      </c>
      <c r="Q8" s="171">
        <v>5</v>
      </c>
      <c r="R8" s="171">
        <v>18</v>
      </c>
      <c r="S8" s="172"/>
      <c r="T8" s="120"/>
      <c r="U8" s="120"/>
      <c r="V8" s="120"/>
      <c r="W8" s="121"/>
    </row>
    <row r="9" spans="2:23" s="122" customFormat="1" ht="120">
      <c r="B9" s="111">
        <v>3</v>
      </c>
      <c r="C9" s="112" t="s">
        <v>94</v>
      </c>
      <c r="D9" s="113">
        <v>2</v>
      </c>
      <c r="E9" s="114">
        <v>46043</v>
      </c>
      <c r="F9" s="115">
        <v>0.375</v>
      </c>
      <c r="G9" s="114">
        <v>46043</v>
      </c>
      <c r="H9" s="115">
        <v>0.68055555555555558</v>
      </c>
      <c r="I9" s="116">
        <f t="shared" si="3"/>
        <v>0.30555555555555558</v>
      </c>
      <c r="J9" s="110">
        <f t="shared" si="4"/>
        <v>0.61111111111111116</v>
      </c>
      <c r="K9" s="117">
        <v>102</v>
      </c>
      <c r="L9" s="117">
        <v>504</v>
      </c>
      <c r="M9" s="118" t="s">
        <v>95</v>
      </c>
      <c r="N9" s="119" t="s">
        <v>144</v>
      </c>
      <c r="O9" s="148">
        <v>2</v>
      </c>
      <c r="P9" s="120">
        <v>3</v>
      </c>
      <c r="Q9" s="171">
        <v>2</v>
      </c>
      <c r="R9" s="171" t="s">
        <v>77</v>
      </c>
      <c r="S9" s="172" t="s">
        <v>77</v>
      </c>
      <c r="T9" s="120"/>
      <c r="U9" s="120"/>
      <c r="V9" s="120"/>
      <c r="W9" s="121"/>
    </row>
    <row r="10" spans="2:23" s="122" customFormat="1" ht="120">
      <c r="B10" s="111">
        <v>4</v>
      </c>
      <c r="C10" s="112" t="s">
        <v>94</v>
      </c>
      <c r="D10" s="113">
        <v>2</v>
      </c>
      <c r="E10" s="114">
        <v>46044</v>
      </c>
      <c r="F10" s="115">
        <v>0.375</v>
      </c>
      <c r="G10" s="114">
        <v>46044</v>
      </c>
      <c r="H10" s="115">
        <v>0.6875</v>
      </c>
      <c r="I10" s="116">
        <f t="shared" si="3"/>
        <v>0.3125</v>
      </c>
      <c r="J10" s="110">
        <f t="shared" si="4"/>
        <v>0.625</v>
      </c>
      <c r="K10" s="117" t="s">
        <v>145</v>
      </c>
      <c r="L10" s="117" t="s">
        <v>146</v>
      </c>
      <c r="M10" s="118" t="s">
        <v>95</v>
      </c>
      <c r="N10" s="119" t="s">
        <v>147</v>
      </c>
      <c r="O10" s="148">
        <v>2</v>
      </c>
      <c r="P10" s="120">
        <v>2</v>
      </c>
      <c r="Q10" s="171">
        <v>2</v>
      </c>
      <c r="R10" s="171"/>
      <c r="S10" s="172" t="s">
        <v>77</v>
      </c>
      <c r="T10" s="120"/>
      <c r="U10" s="120"/>
      <c r="V10" s="172" t="s">
        <v>77</v>
      </c>
      <c r="W10" s="121" t="s">
        <v>77</v>
      </c>
    </row>
    <row r="11" spans="2:23" s="122" customFormat="1" ht="96">
      <c r="B11" s="111">
        <v>5</v>
      </c>
      <c r="C11" s="112" t="s">
        <v>94</v>
      </c>
      <c r="D11" s="113">
        <v>2</v>
      </c>
      <c r="E11" s="114">
        <v>46045</v>
      </c>
      <c r="F11" s="115">
        <v>0.375</v>
      </c>
      <c r="G11" s="114">
        <v>46045</v>
      </c>
      <c r="H11" s="115">
        <v>0.66666666666666663</v>
      </c>
      <c r="I11" s="116">
        <f t="shared" ref="I11" si="5">H11-F11</f>
        <v>0.29166666666666663</v>
      </c>
      <c r="J11" s="110">
        <f t="shared" ref="J11" si="6">I11*D11</f>
        <v>0.58333333333333326</v>
      </c>
      <c r="K11" s="117" t="s">
        <v>148</v>
      </c>
      <c r="L11" s="117" t="s">
        <v>149</v>
      </c>
      <c r="M11" s="118" t="s">
        <v>95</v>
      </c>
      <c r="N11" s="119" t="s">
        <v>150</v>
      </c>
      <c r="O11" s="196" t="s">
        <v>251</v>
      </c>
      <c r="P11" s="120">
        <v>19</v>
      </c>
      <c r="Q11" s="172"/>
      <c r="R11" s="172"/>
      <c r="S11" s="172" t="s">
        <v>77</v>
      </c>
      <c r="T11" s="120"/>
      <c r="U11" s="120"/>
      <c r="V11" s="120"/>
      <c r="W11" s="121"/>
    </row>
    <row r="12" spans="2:23" s="122" customFormat="1" ht="120">
      <c r="B12" s="111">
        <v>6</v>
      </c>
      <c r="C12" s="112" t="s">
        <v>94</v>
      </c>
      <c r="D12" s="113">
        <v>2</v>
      </c>
      <c r="E12" s="114">
        <v>46048</v>
      </c>
      <c r="F12" s="115">
        <v>0.375</v>
      </c>
      <c r="G12" s="114">
        <v>46048</v>
      </c>
      <c r="H12" s="115">
        <v>0.6875</v>
      </c>
      <c r="I12" s="116">
        <f t="shared" si="3"/>
        <v>0.3125</v>
      </c>
      <c r="J12" s="110">
        <f t="shared" si="4"/>
        <v>0.625</v>
      </c>
      <c r="K12" s="117">
        <v>102</v>
      </c>
      <c r="L12" s="117">
        <v>502</v>
      </c>
      <c r="M12" s="118" t="s">
        <v>95</v>
      </c>
      <c r="N12" s="119" t="s">
        <v>151</v>
      </c>
      <c r="O12" s="148">
        <v>2</v>
      </c>
      <c r="P12" s="120">
        <v>3</v>
      </c>
      <c r="Q12" s="171">
        <v>3</v>
      </c>
      <c r="R12" s="171">
        <v>16</v>
      </c>
      <c r="S12" s="172"/>
      <c r="T12" s="120"/>
      <c r="U12" s="120"/>
      <c r="V12" s="120"/>
      <c r="W12" s="142"/>
    </row>
    <row r="13" spans="2:23" s="122" customFormat="1" ht="72" customHeight="1">
      <c r="B13" s="123">
        <v>7</v>
      </c>
      <c r="C13" s="112" t="s">
        <v>94</v>
      </c>
      <c r="D13" s="113">
        <v>1</v>
      </c>
      <c r="E13" s="114">
        <v>46052</v>
      </c>
      <c r="F13" s="115">
        <v>0.375</v>
      </c>
      <c r="G13" s="114">
        <v>46052</v>
      </c>
      <c r="H13" s="115">
        <v>0.66666666666666663</v>
      </c>
      <c r="I13" s="116">
        <f t="shared" si="3"/>
        <v>0.29166666666666663</v>
      </c>
      <c r="J13" s="110">
        <f t="shared" si="4"/>
        <v>0.29166666666666663</v>
      </c>
      <c r="K13" s="166" t="s">
        <v>157</v>
      </c>
      <c r="L13" s="166" t="s">
        <v>158</v>
      </c>
      <c r="M13" s="118" t="s">
        <v>95</v>
      </c>
      <c r="N13" s="125" t="s">
        <v>159</v>
      </c>
      <c r="O13" s="196" t="s">
        <v>251</v>
      </c>
      <c r="P13" s="120">
        <v>12</v>
      </c>
      <c r="Q13" s="120"/>
      <c r="R13" s="120"/>
      <c r="S13" s="120"/>
      <c r="T13" s="120"/>
      <c r="U13" s="120"/>
      <c r="V13" s="169"/>
      <c r="W13" s="127"/>
    </row>
    <row r="14" spans="2:23" s="122" customFormat="1" ht="120">
      <c r="B14" s="111">
        <v>8</v>
      </c>
      <c r="C14" s="112" t="s">
        <v>94</v>
      </c>
      <c r="D14" s="113">
        <v>2</v>
      </c>
      <c r="E14" s="114">
        <v>46055</v>
      </c>
      <c r="F14" s="115">
        <v>0.375</v>
      </c>
      <c r="G14" s="114">
        <v>46055</v>
      </c>
      <c r="H14" s="115">
        <v>0.68055555555555558</v>
      </c>
      <c r="I14" s="116">
        <f t="shared" ref="I14" si="7">H14-F14</f>
        <v>0.30555555555555558</v>
      </c>
      <c r="J14" s="110">
        <f t="shared" ref="J14" si="8">I14*D14</f>
        <v>0.61111111111111116</v>
      </c>
      <c r="K14" s="117" t="s">
        <v>160</v>
      </c>
      <c r="L14" s="117" t="s">
        <v>161</v>
      </c>
      <c r="M14" s="118" t="s">
        <v>95</v>
      </c>
      <c r="N14" s="119" t="s">
        <v>215</v>
      </c>
      <c r="O14" s="148">
        <v>2</v>
      </c>
      <c r="P14" s="135"/>
      <c r="Q14" s="171">
        <v>3</v>
      </c>
      <c r="R14" s="171">
        <v>12</v>
      </c>
      <c r="S14" s="172"/>
      <c r="T14" s="120"/>
      <c r="U14" s="120"/>
      <c r="V14" s="120"/>
      <c r="W14" s="142"/>
    </row>
    <row r="15" spans="2:23" s="122" customFormat="1" ht="72" customHeight="1">
      <c r="B15" s="111">
        <v>9</v>
      </c>
      <c r="C15" s="112" t="s">
        <v>94</v>
      </c>
      <c r="D15" s="113">
        <v>2</v>
      </c>
      <c r="E15" s="114">
        <v>46065</v>
      </c>
      <c r="F15" s="115">
        <v>0.375</v>
      </c>
      <c r="G15" s="114">
        <v>46065</v>
      </c>
      <c r="H15" s="115">
        <v>0.68055555555555558</v>
      </c>
      <c r="I15" s="116">
        <f t="shared" ref="I15:I18" si="9">H15-F15</f>
        <v>0.30555555555555558</v>
      </c>
      <c r="J15" s="110">
        <f t="shared" ref="J15:J18" si="10">I15*D15</f>
        <v>0.61111111111111116</v>
      </c>
      <c r="K15" s="166">
        <v>103</v>
      </c>
      <c r="L15" s="166" t="s">
        <v>162</v>
      </c>
      <c r="M15" s="118" t="s">
        <v>95</v>
      </c>
      <c r="N15" s="125" t="s">
        <v>163</v>
      </c>
      <c r="O15" s="148">
        <v>2</v>
      </c>
      <c r="P15" s="120"/>
      <c r="Q15" s="171"/>
      <c r="R15" s="171"/>
      <c r="S15" s="120"/>
      <c r="T15" s="120"/>
      <c r="U15" s="120"/>
      <c r="V15" s="169"/>
      <c r="W15" s="127"/>
    </row>
    <row r="16" spans="2:23" s="122" customFormat="1" ht="120">
      <c r="B16" s="111">
        <v>10</v>
      </c>
      <c r="C16" s="112" t="s">
        <v>94</v>
      </c>
      <c r="D16" s="113">
        <v>2</v>
      </c>
      <c r="E16" s="114">
        <v>46066</v>
      </c>
      <c r="F16" s="115">
        <v>0.375</v>
      </c>
      <c r="G16" s="114">
        <v>46066</v>
      </c>
      <c r="H16" s="115">
        <v>0.67361111111111116</v>
      </c>
      <c r="I16" s="116">
        <f t="shared" si="9"/>
        <v>0.29861111111111116</v>
      </c>
      <c r="J16" s="110">
        <f t="shared" si="10"/>
        <v>0.59722222222222232</v>
      </c>
      <c r="K16" s="117" t="s">
        <v>164</v>
      </c>
      <c r="L16" s="117" t="s">
        <v>165</v>
      </c>
      <c r="M16" s="118" t="s">
        <v>95</v>
      </c>
      <c r="N16" s="119" t="s">
        <v>216</v>
      </c>
      <c r="O16" s="148">
        <v>2</v>
      </c>
      <c r="P16" s="135"/>
      <c r="Q16" s="171">
        <v>1</v>
      </c>
      <c r="R16" s="171">
        <v>9</v>
      </c>
      <c r="S16" s="172"/>
      <c r="T16" s="120"/>
      <c r="U16" s="120"/>
      <c r="V16" s="120"/>
      <c r="W16" s="142"/>
    </row>
    <row r="17" spans="2:23" s="122" customFormat="1" ht="72" customHeight="1">
      <c r="B17" s="123">
        <v>11</v>
      </c>
      <c r="C17" s="112" t="s">
        <v>94</v>
      </c>
      <c r="D17" s="113">
        <v>1</v>
      </c>
      <c r="E17" s="114">
        <v>46076</v>
      </c>
      <c r="F17" s="115">
        <v>0.375</v>
      </c>
      <c r="G17" s="114">
        <v>46076</v>
      </c>
      <c r="H17" s="115">
        <v>0.68055555555555558</v>
      </c>
      <c r="I17" s="116">
        <f t="shared" si="9"/>
        <v>0.30555555555555558</v>
      </c>
      <c r="J17" s="110">
        <f t="shared" si="10"/>
        <v>0.30555555555555558</v>
      </c>
      <c r="K17" s="166" t="s">
        <v>167</v>
      </c>
      <c r="L17" s="166" t="s">
        <v>166</v>
      </c>
      <c r="M17" s="118" t="s">
        <v>95</v>
      </c>
      <c r="N17" s="125" t="s">
        <v>168</v>
      </c>
      <c r="O17" s="148">
        <v>1</v>
      </c>
      <c r="P17" s="120"/>
      <c r="Q17" s="171">
        <v>3</v>
      </c>
      <c r="R17" s="171">
        <v>18</v>
      </c>
      <c r="S17" s="120"/>
      <c r="T17" s="120">
        <v>4</v>
      </c>
      <c r="U17" s="120"/>
      <c r="V17" s="169"/>
      <c r="W17" s="127"/>
    </row>
    <row r="18" spans="2:23" s="122" customFormat="1" ht="96">
      <c r="B18" s="111">
        <v>12</v>
      </c>
      <c r="C18" s="112" t="s">
        <v>94</v>
      </c>
      <c r="D18" s="113">
        <v>1</v>
      </c>
      <c r="E18" s="114">
        <v>46077</v>
      </c>
      <c r="F18" s="115">
        <v>0.375</v>
      </c>
      <c r="G18" s="114">
        <v>46077</v>
      </c>
      <c r="H18" s="115">
        <v>0.67708333333333337</v>
      </c>
      <c r="I18" s="116">
        <f t="shared" si="9"/>
        <v>0.30208333333333337</v>
      </c>
      <c r="J18" s="110">
        <f t="shared" si="10"/>
        <v>0.30208333333333337</v>
      </c>
      <c r="K18" s="117" t="s">
        <v>176</v>
      </c>
      <c r="L18" s="117" t="s">
        <v>169</v>
      </c>
      <c r="M18" s="118" t="s">
        <v>95</v>
      </c>
      <c r="N18" s="119" t="s">
        <v>170</v>
      </c>
      <c r="O18" s="196" t="s">
        <v>251</v>
      </c>
      <c r="P18" s="120"/>
      <c r="Q18" s="172"/>
      <c r="R18" s="172"/>
      <c r="S18" s="171">
        <v>3</v>
      </c>
      <c r="T18" s="120"/>
      <c r="U18" s="120"/>
      <c r="V18" s="120"/>
      <c r="W18" s="121"/>
    </row>
    <row r="19" spans="2:23" s="122" customFormat="1" ht="144">
      <c r="B19" s="111">
        <v>13</v>
      </c>
      <c r="C19" s="112" t="s">
        <v>94</v>
      </c>
      <c r="D19" s="113">
        <v>3</v>
      </c>
      <c r="E19" s="114">
        <v>46078</v>
      </c>
      <c r="F19" s="115">
        <v>0.375</v>
      </c>
      <c r="G19" s="114">
        <v>46078</v>
      </c>
      <c r="H19" s="115">
        <v>0.68055555555555558</v>
      </c>
      <c r="I19" s="116">
        <f t="shared" ref="I19" si="11">H19-F19</f>
        <v>0.30555555555555558</v>
      </c>
      <c r="J19" s="110">
        <f t="shared" ref="J19" si="12">I19*D19</f>
        <v>0.91666666666666674</v>
      </c>
      <c r="K19" s="117" t="s">
        <v>171</v>
      </c>
      <c r="L19" s="117" t="s">
        <v>173</v>
      </c>
      <c r="M19" s="118" t="s">
        <v>95</v>
      </c>
      <c r="N19" s="119" t="s">
        <v>172</v>
      </c>
      <c r="O19" s="148">
        <v>3</v>
      </c>
      <c r="P19" s="135"/>
      <c r="Q19" s="172" t="s">
        <v>77</v>
      </c>
      <c r="R19" s="172" t="s">
        <v>77</v>
      </c>
      <c r="S19" s="172"/>
      <c r="T19" s="120">
        <v>4</v>
      </c>
      <c r="U19" s="120"/>
      <c r="V19" s="120"/>
      <c r="W19" s="142"/>
    </row>
    <row r="20" spans="2:23" s="122" customFormat="1" ht="168">
      <c r="B20" s="111">
        <v>14</v>
      </c>
      <c r="C20" s="112" t="s">
        <v>94</v>
      </c>
      <c r="D20" s="113">
        <v>3</v>
      </c>
      <c r="E20" s="114">
        <v>46079</v>
      </c>
      <c r="F20" s="115">
        <v>0.375</v>
      </c>
      <c r="G20" s="114">
        <v>46079</v>
      </c>
      <c r="H20" s="115">
        <v>0.68055555555555558</v>
      </c>
      <c r="I20" s="116">
        <f t="shared" ref="I20" si="13">H20-F20</f>
        <v>0.30555555555555558</v>
      </c>
      <c r="J20" s="110">
        <f t="shared" ref="J20" si="14">I20*D20</f>
        <v>0.91666666666666674</v>
      </c>
      <c r="K20" s="117" t="s">
        <v>175</v>
      </c>
      <c r="L20" s="117" t="s">
        <v>174</v>
      </c>
      <c r="M20" s="118" t="s">
        <v>95</v>
      </c>
      <c r="N20" s="119" t="s">
        <v>177</v>
      </c>
      <c r="O20" s="148">
        <v>3</v>
      </c>
      <c r="P20" s="120">
        <v>3</v>
      </c>
      <c r="Q20" s="172" t="s">
        <v>77</v>
      </c>
      <c r="R20" s="172" t="s">
        <v>77</v>
      </c>
      <c r="S20" s="172"/>
      <c r="T20" s="120"/>
      <c r="U20" s="120"/>
      <c r="V20" s="120"/>
      <c r="W20" s="142"/>
    </row>
    <row r="21" spans="2:23" s="122" customFormat="1" ht="192">
      <c r="B21" s="111">
        <v>15</v>
      </c>
      <c r="C21" s="112" t="s">
        <v>94</v>
      </c>
      <c r="D21" s="113">
        <v>3</v>
      </c>
      <c r="E21" s="114">
        <v>46084</v>
      </c>
      <c r="F21" s="115">
        <v>0.375</v>
      </c>
      <c r="G21" s="114">
        <v>46084</v>
      </c>
      <c r="H21" s="115">
        <v>0.68055555555555558</v>
      </c>
      <c r="I21" s="116">
        <f t="shared" ref="I21:I22" si="15">H21-F21</f>
        <v>0.30555555555555558</v>
      </c>
      <c r="J21" s="110">
        <f t="shared" ref="J21:J22" si="16">I21*D21</f>
        <v>0.91666666666666674</v>
      </c>
      <c r="K21" s="117" t="s">
        <v>180</v>
      </c>
      <c r="L21" s="117" t="s">
        <v>179</v>
      </c>
      <c r="M21" s="118" t="s">
        <v>95</v>
      </c>
      <c r="N21" s="119" t="s">
        <v>178</v>
      </c>
      <c r="O21" s="148">
        <v>3</v>
      </c>
      <c r="P21" s="135"/>
      <c r="Q21" s="120">
        <v>3</v>
      </c>
      <c r="R21" s="172" t="s">
        <v>77</v>
      </c>
      <c r="S21" s="172"/>
      <c r="T21" s="120"/>
      <c r="U21" s="120"/>
      <c r="V21" s="120"/>
      <c r="W21" s="142"/>
    </row>
    <row r="22" spans="2:23" s="122" customFormat="1" ht="48">
      <c r="B22" s="111">
        <v>16</v>
      </c>
      <c r="C22" s="112" t="s">
        <v>94</v>
      </c>
      <c r="D22" s="113">
        <v>1</v>
      </c>
      <c r="E22" s="114">
        <v>46085</v>
      </c>
      <c r="F22" s="115">
        <v>0.375</v>
      </c>
      <c r="G22" s="114">
        <v>46085</v>
      </c>
      <c r="H22" s="115">
        <v>0.68055555555555558</v>
      </c>
      <c r="I22" s="116">
        <f t="shared" si="15"/>
        <v>0.30555555555555558</v>
      </c>
      <c r="J22" s="110">
        <f t="shared" si="16"/>
        <v>0.30555555555555558</v>
      </c>
      <c r="K22" s="117" t="s">
        <v>202</v>
      </c>
      <c r="L22" s="117" t="s">
        <v>246</v>
      </c>
      <c r="M22" s="118" t="s">
        <v>95</v>
      </c>
      <c r="N22" s="119" t="s">
        <v>247</v>
      </c>
      <c r="O22" s="148">
        <v>1</v>
      </c>
      <c r="P22" s="135"/>
      <c r="Q22" s="120" t="s">
        <v>77</v>
      </c>
      <c r="R22" s="172" t="s">
        <v>77</v>
      </c>
      <c r="S22" s="172" t="s">
        <v>77</v>
      </c>
      <c r="T22" s="120"/>
      <c r="U22" s="120"/>
      <c r="V22" s="120"/>
      <c r="W22" s="142"/>
    </row>
    <row r="23" spans="2:23" s="122" customFormat="1" ht="199.5" customHeight="1">
      <c r="B23" s="111" t="s">
        <v>77</v>
      </c>
      <c r="C23" s="112" t="s">
        <v>94</v>
      </c>
      <c r="D23" s="113">
        <v>3</v>
      </c>
      <c r="E23" s="114">
        <v>46085</v>
      </c>
      <c r="F23" s="115">
        <v>0.54166666666666663</v>
      </c>
      <c r="G23" s="114">
        <v>46085</v>
      </c>
      <c r="H23" s="115">
        <v>0.68055555555555558</v>
      </c>
      <c r="I23" s="116">
        <f t="shared" ref="I23:I27" si="17">H23-F23</f>
        <v>0.13888888888888895</v>
      </c>
      <c r="J23" s="110">
        <f t="shared" ref="J23:J27" si="18">I23*D23</f>
        <v>0.41666666666666685</v>
      </c>
      <c r="K23" s="117" t="s">
        <v>186</v>
      </c>
      <c r="L23" s="117" t="s">
        <v>187</v>
      </c>
      <c r="M23" s="118" t="s">
        <v>95</v>
      </c>
      <c r="N23" s="119" t="s">
        <v>188</v>
      </c>
      <c r="O23" s="196" t="s">
        <v>251</v>
      </c>
      <c r="P23" s="135"/>
      <c r="Q23" s="172" t="s">
        <v>77</v>
      </c>
      <c r="R23" s="172" t="s">
        <v>77</v>
      </c>
      <c r="S23" s="171">
        <v>8</v>
      </c>
      <c r="T23" s="120"/>
      <c r="U23" s="120"/>
      <c r="V23" s="120"/>
      <c r="W23" s="142"/>
    </row>
    <row r="24" spans="2:23" s="122" customFormat="1" ht="72" customHeight="1">
      <c r="B24" s="111">
        <v>17</v>
      </c>
      <c r="C24" s="112" t="s">
        <v>94</v>
      </c>
      <c r="D24" s="113">
        <v>2</v>
      </c>
      <c r="E24" s="114">
        <v>46086</v>
      </c>
      <c r="F24" s="115">
        <v>0.54166666666666663</v>
      </c>
      <c r="G24" s="114">
        <v>46086</v>
      </c>
      <c r="H24" s="115">
        <v>0.68055555555555558</v>
      </c>
      <c r="I24" s="116">
        <f t="shared" si="17"/>
        <v>0.13888888888888895</v>
      </c>
      <c r="J24" s="110">
        <f t="shared" si="18"/>
        <v>0.2777777777777779</v>
      </c>
      <c r="K24" s="166" t="s">
        <v>181</v>
      </c>
      <c r="L24" s="166" t="s">
        <v>182</v>
      </c>
      <c r="M24" s="118" t="s">
        <v>95</v>
      </c>
      <c r="N24" s="125" t="s">
        <v>183</v>
      </c>
      <c r="O24" s="148">
        <v>1</v>
      </c>
      <c r="P24" s="120"/>
      <c r="Q24" s="120"/>
      <c r="R24" s="120"/>
      <c r="S24" s="120"/>
      <c r="T24" s="120"/>
      <c r="U24" s="120"/>
      <c r="V24" s="169"/>
      <c r="W24" s="127"/>
    </row>
    <row r="25" spans="2:23" s="122" customFormat="1" ht="120">
      <c r="B25" s="111">
        <v>18</v>
      </c>
      <c r="C25" s="112" t="s">
        <v>94</v>
      </c>
      <c r="D25" s="113">
        <v>3</v>
      </c>
      <c r="E25" s="114">
        <v>46087</v>
      </c>
      <c r="F25" s="115">
        <v>0.375</v>
      </c>
      <c r="G25" s="114">
        <v>46087</v>
      </c>
      <c r="H25" s="115">
        <v>0.67361111111111116</v>
      </c>
      <c r="I25" s="116">
        <f t="shared" si="17"/>
        <v>0.29861111111111116</v>
      </c>
      <c r="J25" s="110">
        <f t="shared" si="18"/>
        <v>0.89583333333333348</v>
      </c>
      <c r="K25" s="117" t="s">
        <v>184</v>
      </c>
      <c r="L25" s="117" t="s">
        <v>185</v>
      </c>
      <c r="M25" s="118" t="s">
        <v>95</v>
      </c>
      <c r="N25" s="119" t="s">
        <v>226</v>
      </c>
      <c r="O25" s="148">
        <v>3</v>
      </c>
      <c r="P25" s="135"/>
      <c r="Q25" s="120">
        <v>7</v>
      </c>
      <c r="R25" s="172" t="s">
        <v>77</v>
      </c>
      <c r="S25" s="172"/>
      <c r="T25" s="120"/>
      <c r="U25" s="120"/>
      <c r="V25" s="120"/>
      <c r="W25" s="142"/>
    </row>
    <row r="26" spans="2:23" s="122" customFormat="1" ht="72" customHeight="1">
      <c r="B26" s="123">
        <v>19</v>
      </c>
      <c r="C26" s="112" t="s">
        <v>94</v>
      </c>
      <c r="D26" s="113">
        <v>2</v>
      </c>
      <c r="E26" s="114">
        <v>46091</v>
      </c>
      <c r="F26" s="115">
        <v>0.54166666666666663</v>
      </c>
      <c r="G26" s="114">
        <v>46091</v>
      </c>
      <c r="H26" s="115">
        <v>0.68055555555555558</v>
      </c>
      <c r="I26" s="116">
        <f t="shared" si="17"/>
        <v>0.13888888888888895</v>
      </c>
      <c r="J26" s="110">
        <f t="shared" si="18"/>
        <v>0.2777777777777779</v>
      </c>
      <c r="K26" s="166" t="s">
        <v>189</v>
      </c>
      <c r="L26" s="166" t="s">
        <v>190</v>
      </c>
      <c r="M26" s="118" t="s">
        <v>95</v>
      </c>
      <c r="N26" s="125" t="s">
        <v>191</v>
      </c>
      <c r="O26" s="196" t="s">
        <v>251</v>
      </c>
      <c r="P26" s="120">
        <v>12</v>
      </c>
      <c r="Q26" s="120"/>
      <c r="R26" s="120"/>
      <c r="S26" s="120"/>
      <c r="T26" s="120"/>
      <c r="U26" s="120"/>
      <c r="V26" s="169"/>
      <c r="W26" s="127"/>
    </row>
    <row r="27" spans="2:23" s="122" customFormat="1" ht="96">
      <c r="B27" s="111">
        <v>20</v>
      </c>
      <c r="C27" s="112" t="s">
        <v>94</v>
      </c>
      <c r="D27" s="113">
        <v>2</v>
      </c>
      <c r="E27" s="114">
        <v>46092</v>
      </c>
      <c r="F27" s="115">
        <v>0.375</v>
      </c>
      <c r="G27" s="114">
        <v>46092</v>
      </c>
      <c r="H27" s="115">
        <v>0.66666666666666663</v>
      </c>
      <c r="I27" s="116">
        <f t="shared" si="17"/>
        <v>0.29166666666666663</v>
      </c>
      <c r="J27" s="110">
        <f t="shared" si="18"/>
        <v>0.58333333333333326</v>
      </c>
      <c r="K27" s="117" t="s">
        <v>192</v>
      </c>
      <c r="L27" s="117" t="s">
        <v>193</v>
      </c>
      <c r="M27" s="118" t="s">
        <v>95</v>
      </c>
      <c r="N27" s="119" t="s">
        <v>194</v>
      </c>
      <c r="O27" s="196" t="s">
        <v>251</v>
      </c>
      <c r="P27" s="120">
        <v>17</v>
      </c>
      <c r="Q27" s="172"/>
      <c r="R27" s="172"/>
      <c r="S27" s="172" t="s">
        <v>77</v>
      </c>
      <c r="T27" s="120"/>
      <c r="U27" s="120"/>
      <c r="V27" s="120"/>
      <c r="W27" s="121"/>
    </row>
    <row r="28" spans="2:23" s="122" customFormat="1" ht="249" customHeight="1">
      <c r="B28" s="111">
        <v>21</v>
      </c>
      <c r="C28" s="112" t="s">
        <v>94</v>
      </c>
      <c r="D28" s="113">
        <v>3</v>
      </c>
      <c r="E28" s="114">
        <v>46093</v>
      </c>
      <c r="F28" s="115">
        <v>0.375</v>
      </c>
      <c r="G28" s="114">
        <v>46093</v>
      </c>
      <c r="H28" s="115">
        <v>0.68055555555555558</v>
      </c>
      <c r="I28" s="116">
        <f t="shared" ref="I28:I34" si="19">H28-F28</f>
        <v>0.30555555555555558</v>
      </c>
      <c r="J28" s="110">
        <f t="shared" ref="J28:J34" si="20">I28*D28</f>
        <v>0.91666666666666674</v>
      </c>
      <c r="K28" s="117" t="s">
        <v>195</v>
      </c>
      <c r="L28" s="117" t="s">
        <v>196</v>
      </c>
      <c r="M28" s="118" t="s">
        <v>95</v>
      </c>
      <c r="N28" s="119" t="s">
        <v>197</v>
      </c>
      <c r="O28" s="148">
        <v>3</v>
      </c>
      <c r="P28" s="135"/>
      <c r="Q28" s="171">
        <v>2</v>
      </c>
      <c r="R28" s="172" t="s">
        <v>77</v>
      </c>
      <c r="S28" s="172" t="s">
        <v>77</v>
      </c>
      <c r="T28" s="120"/>
      <c r="U28" s="120"/>
      <c r="V28" s="120"/>
      <c r="W28" s="142"/>
    </row>
    <row r="29" spans="2:23" s="122" customFormat="1" ht="144">
      <c r="B29" s="181">
        <v>22</v>
      </c>
      <c r="C29" s="112" t="s">
        <v>94</v>
      </c>
      <c r="D29" s="113">
        <v>3</v>
      </c>
      <c r="E29" s="114">
        <v>46097</v>
      </c>
      <c r="F29" s="115">
        <v>0.375</v>
      </c>
      <c r="G29" s="114">
        <v>46097</v>
      </c>
      <c r="H29" s="115">
        <v>0.68055555555555558</v>
      </c>
      <c r="I29" s="116">
        <f t="shared" si="19"/>
        <v>0.30555555555555558</v>
      </c>
      <c r="J29" s="110">
        <f t="shared" si="20"/>
        <v>0.91666666666666674</v>
      </c>
      <c r="K29" s="117" t="s">
        <v>198</v>
      </c>
      <c r="L29" s="117" t="s">
        <v>199</v>
      </c>
      <c r="M29" s="118" t="s">
        <v>95</v>
      </c>
      <c r="N29" s="119" t="s">
        <v>243</v>
      </c>
      <c r="O29" s="148">
        <v>3</v>
      </c>
      <c r="P29" s="120">
        <v>3</v>
      </c>
      <c r="Q29" s="171">
        <v>6</v>
      </c>
      <c r="R29" s="172" t="s">
        <v>77</v>
      </c>
      <c r="S29" s="172"/>
      <c r="T29" s="120"/>
      <c r="U29" s="120"/>
      <c r="V29" s="120"/>
      <c r="W29" s="195" t="s">
        <v>245</v>
      </c>
    </row>
    <row r="30" spans="2:23" s="122" customFormat="1" ht="96">
      <c r="B30" s="111">
        <v>23</v>
      </c>
      <c r="C30" s="112" t="s">
        <v>94</v>
      </c>
      <c r="D30" s="113">
        <v>1</v>
      </c>
      <c r="E30" s="114">
        <v>46098</v>
      </c>
      <c r="F30" s="115">
        <v>0.375</v>
      </c>
      <c r="G30" s="114">
        <v>46098</v>
      </c>
      <c r="H30" s="115">
        <v>0.68055555555555558</v>
      </c>
      <c r="I30" s="116">
        <f t="shared" si="19"/>
        <v>0.30555555555555558</v>
      </c>
      <c r="J30" s="110">
        <f t="shared" si="20"/>
        <v>0.30555555555555558</v>
      </c>
      <c r="K30" s="117" t="s">
        <v>106</v>
      </c>
      <c r="L30" s="117" t="s">
        <v>200</v>
      </c>
      <c r="M30" s="118" t="s">
        <v>95</v>
      </c>
      <c r="N30" s="119" t="s">
        <v>201</v>
      </c>
      <c r="O30" s="148">
        <v>1</v>
      </c>
      <c r="P30" s="120">
        <v>1</v>
      </c>
      <c r="Q30" s="171">
        <v>3</v>
      </c>
      <c r="R30" s="172"/>
      <c r="S30" s="172" t="s">
        <v>77</v>
      </c>
      <c r="T30" s="120">
        <v>4</v>
      </c>
      <c r="U30" s="120"/>
      <c r="V30" s="120"/>
      <c r="W30" s="121"/>
    </row>
    <row r="31" spans="2:23" s="122" customFormat="1" ht="72" customHeight="1">
      <c r="B31" s="111">
        <v>23</v>
      </c>
      <c r="C31" s="112" t="s">
        <v>94</v>
      </c>
      <c r="D31" s="113">
        <v>1</v>
      </c>
      <c r="E31" s="114">
        <v>46098</v>
      </c>
      <c r="F31" s="115">
        <v>0.375</v>
      </c>
      <c r="G31" s="114">
        <v>46098</v>
      </c>
      <c r="H31" s="115">
        <v>0.6875</v>
      </c>
      <c r="I31" s="116">
        <f t="shared" si="19"/>
        <v>0.3125</v>
      </c>
      <c r="J31" s="110">
        <f t="shared" si="20"/>
        <v>0.3125</v>
      </c>
      <c r="K31" s="166" t="s">
        <v>202</v>
      </c>
      <c r="L31" s="166" t="s">
        <v>203</v>
      </c>
      <c r="M31" s="118" t="s">
        <v>95</v>
      </c>
      <c r="N31" s="125" t="s">
        <v>204</v>
      </c>
      <c r="O31" s="148">
        <v>1</v>
      </c>
      <c r="P31" s="120"/>
      <c r="Q31" s="120"/>
      <c r="R31" s="120"/>
      <c r="S31" s="120"/>
      <c r="T31" s="120" t="s">
        <v>77</v>
      </c>
      <c r="U31" s="120"/>
      <c r="V31" s="169"/>
      <c r="W31" s="127"/>
    </row>
    <row r="32" spans="2:23" s="122" customFormat="1" ht="72" customHeight="1">
      <c r="B32" s="123" t="s">
        <v>77</v>
      </c>
      <c r="C32" s="112" t="s">
        <v>94</v>
      </c>
      <c r="D32" s="113">
        <v>1</v>
      </c>
      <c r="E32" s="114">
        <v>46091</v>
      </c>
      <c r="F32" s="115">
        <v>0.54166666666666663</v>
      </c>
      <c r="G32" s="114">
        <v>46091</v>
      </c>
      <c r="H32" s="115">
        <v>0.68055555555555558</v>
      </c>
      <c r="I32" s="116">
        <f t="shared" si="19"/>
        <v>0.13888888888888895</v>
      </c>
      <c r="J32" s="110">
        <f t="shared" si="20"/>
        <v>0.13888888888888895</v>
      </c>
      <c r="K32" s="166">
        <v>103</v>
      </c>
      <c r="L32" s="166" t="s">
        <v>205</v>
      </c>
      <c r="M32" s="118" t="s">
        <v>95</v>
      </c>
      <c r="N32" s="125" t="s">
        <v>223</v>
      </c>
      <c r="O32" s="148">
        <v>1</v>
      </c>
      <c r="P32" s="120">
        <v>3</v>
      </c>
      <c r="Q32" s="120">
        <v>3</v>
      </c>
      <c r="R32" s="120">
        <v>18</v>
      </c>
      <c r="S32" s="120"/>
      <c r="T32" s="120"/>
      <c r="U32" s="120"/>
      <c r="V32" s="169"/>
      <c r="W32" s="127"/>
    </row>
    <row r="33" spans="2:23" s="122" customFormat="1" ht="72" customHeight="1">
      <c r="B33" s="123">
        <v>24</v>
      </c>
      <c r="C33" s="112" t="s">
        <v>94</v>
      </c>
      <c r="D33" s="113">
        <v>1</v>
      </c>
      <c r="E33" s="114">
        <v>46091</v>
      </c>
      <c r="F33" s="115">
        <v>0.54166666666666663</v>
      </c>
      <c r="G33" s="114">
        <v>46091</v>
      </c>
      <c r="H33" s="115">
        <v>0.68055555555555558</v>
      </c>
      <c r="I33" s="116">
        <f t="shared" si="19"/>
        <v>0.13888888888888895</v>
      </c>
      <c r="J33" s="110">
        <f t="shared" si="20"/>
        <v>0.13888888888888895</v>
      </c>
      <c r="K33" s="166" t="s">
        <v>211</v>
      </c>
      <c r="L33" s="166" t="s">
        <v>206</v>
      </c>
      <c r="M33" s="118" t="s">
        <v>95</v>
      </c>
      <c r="N33" s="125" t="s">
        <v>224</v>
      </c>
      <c r="O33" s="148">
        <v>1</v>
      </c>
      <c r="P33" s="120">
        <v>3</v>
      </c>
      <c r="Q33" s="120">
        <v>2</v>
      </c>
      <c r="R33" s="120">
        <v>27</v>
      </c>
      <c r="S33" s="120"/>
      <c r="T33" s="120"/>
      <c r="U33" s="120"/>
      <c r="V33" s="169"/>
      <c r="W33" s="127"/>
    </row>
    <row r="34" spans="2:23" s="122" customFormat="1" ht="72" customHeight="1">
      <c r="B34" s="123">
        <v>25</v>
      </c>
      <c r="C34" s="112" t="s">
        <v>94</v>
      </c>
      <c r="D34" s="113">
        <v>1</v>
      </c>
      <c r="E34" s="114">
        <v>46091</v>
      </c>
      <c r="F34" s="115">
        <v>0.54166666666666663</v>
      </c>
      <c r="G34" s="114">
        <v>46091</v>
      </c>
      <c r="H34" s="115">
        <v>0.68055555555555558</v>
      </c>
      <c r="I34" s="116">
        <f t="shared" si="19"/>
        <v>0.13888888888888895</v>
      </c>
      <c r="J34" s="110">
        <f t="shared" si="20"/>
        <v>0.13888888888888895</v>
      </c>
      <c r="K34" s="166" t="s">
        <v>210</v>
      </c>
      <c r="L34" s="166" t="s">
        <v>207</v>
      </c>
      <c r="M34" s="118" t="s">
        <v>95</v>
      </c>
      <c r="N34" s="125" t="s">
        <v>212</v>
      </c>
      <c r="O34" s="148">
        <v>1</v>
      </c>
      <c r="P34" s="120"/>
      <c r="Q34" s="120">
        <v>3</v>
      </c>
      <c r="R34" s="120">
        <v>15</v>
      </c>
      <c r="S34" s="120"/>
      <c r="T34" s="120"/>
      <c r="U34" s="120"/>
      <c r="V34" s="169"/>
      <c r="W34" s="127"/>
    </row>
    <row r="35" spans="2:23" s="122" customFormat="1" ht="72" customHeight="1">
      <c r="B35" s="111">
        <v>26</v>
      </c>
      <c r="C35" s="112" t="s">
        <v>94</v>
      </c>
      <c r="D35" s="113">
        <v>1</v>
      </c>
      <c r="E35" s="114">
        <v>46098</v>
      </c>
      <c r="F35" s="115">
        <v>0.375</v>
      </c>
      <c r="G35" s="114">
        <v>46098</v>
      </c>
      <c r="H35" s="115">
        <v>0.6875</v>
      </c>
      <c r="I35" s="116">
        <f t="shared" ref="I35" si="21">H35-F35</f>
        <v>0.3125</v>
      </c>
      <c r="J35" s="110">
        <f t="shared" ref="J35" si="22">I35*D35</f>
        <v>0.3125</v>
      </c>
      <c r="K35" s="166" t="s">
        <v>209</v>
      </c>
      <c r="L35" s="166" t="s">
        <v>208</v>
      </c>
      <c r="M35" s="118" t="s">
        <v>95</v>
      </c>
      <c r="N35" s="125" t="s">
        <v>213</v>
      </c>
      <c r="O35" s="196" t="s">
        <v>251</v>
      </c>
      <c r="P35" s="120">
        <v>4</v>
      </c>
      <c r="Q35" s="120"/>
      <c r="R35" s="120"/>
      <c r="S35" s="120"/>
      <c r="T35" s="120"/>
      <c r="U35" s="120"/>
      <c r="V35" s="169"/>
      <c r="W35" s="127" t="s">
        <v>217</v>
      </c>
    </row>
    <row r="36" spans="2:23" s="131" customFormat="1" ht="54.95" customHeight="1" thickBot="1">
      <c r="B36" s="242" t="s">
        <v>252</v>
      </c>
      <c r="C36" s="243"/>
      <c r="D36" s="143">
        <f>SUM(D5:D35)</f>
        <v>58</v>
      </c>
      <c r="E36" s="128"/>
      <c r="F36" s="129"/>
      <c r="G36" s="128"/>
      <c r="H36" s="129"/>
      <c r="I36" s="144">
        <f>SUM(I7:I35)</f>
        <v>7.8298611111111134</v>
      </c>
      <c r="J36" s="144">
        <f>SUM(J7:J35)</f>
        <v>15.072916666666668</v>
      </c>
      <c r="K36" s="145"/>
      <c r="L36" s="146"/>
      <c r="M36" s="145"/>
      <c r="N36" s="147"/>
      <c r="O36" s="143">
        <f t="shared" ref="O36:V36" si="23">SUM(O5:O35)</f>
        <v>44</v>
      </c>
      <c r="P36" s="143">
        <f t="shared" si="23"/>
        <v>91</v>
      </c>
      <c r="Q36" s="143">
        <f t="shared" si="23"/>
        <v>51</v>
      </c>
      <c r="R36" s="143">
        <f t="shared" si="23"/>
        <v>139</v>
      </c>
      <c r="S36" s="143">
        <f t="shared" si="23"/>
        <v>11</v>
      </c>
      <c r="T36" s="143">
        <f t="shared" si="23"/>
        <v>12</v>
      </c>
      <c r="U36" s="143">
        <f t="shared" si="23"/>
        <v>0</v>
      </c>
      <c r="V36" s="143">
        <f t="shared" si="23"/>
        <v>0</v>
      </c>
      <c r="W36" s="130"/>
    </row>
    <row r="37" spans="2:23" ht="9.9499999999999993" customHeight="1"/>
    <row r="39" spans="2:23" ht="32.25" thickBot="1">
      <c r="B39" s="242" t="s">
        <v>117</v>
      </c>
      <c r="C39" s="243"/>
      <c r="D39" s="143">
        <f>D36</f>
        <v>58</v>
      </c>
      <c r="E39" s="128"/>
      <c r="F39" s="129"/>
      <c r="G39" s="128"/>
      <c r="H39" s="129"/>
      <c r="I39" s="144" t="s">
        <v>77</v>
      </c>
      <c r="J39" s="144" t="s">
        <v>77</v>
      </c>
      <c r="K39" s="145"/>
      <c r="L39" s="146"/>
      <c r="M39" s="145"/>
      <c r="N39" s="147"/>
      <c r="O39" s="143">
        <f t="shared" ref="O39:V39" si="24">O36</f>
        <v>44</v>
      </c>
      <c r="P39" s="143">
        <f t="shared" si="24"/>
        <v>91</v>
      </c>
      <c r="Q39" s="143">
        <f t="shared" si="24"/>
        <v>51</v>
      </c>
      <c r="R39" s="143">
        <f t="shared" si="24"/>
        <v>139</v>
      </c>
      <c r="S39" s="143">
        <f t="shared" si="24"/>
        <v>11</v>
      </c>
      <c r="T39" s="143">
        <f t="shared" si="24"/>
        <v>12</v>
      </c>
      <c r="U39" s="143">
        <f t="shared" si="24"/>
        <v>0</v>
      </c>
      <c r="V39" s="143">
        <f t="shared" si="24"/>
        <v>0</v>
      </c>
      <c r="W39" s="130"/>
    </row>
    <row r="41" spans="2:23" ht="17.25" thickBot="1"/>
    <row r="42" spans="2:23" ht="51" customHeight="1" thickBot="1">
      <c r="B42" s="236" t="s">
        <v>255</v>
      </c>
      <c r="C42" s="237"/>
      <c r="D42" s="237"/>
      <c r="E42" s="237"/>
      <c r="F42" s="237"/>
      <c r="G42" s="237"/>
      <c r="H42" s="237"/>
      <c r="I42" s="234">
        <f>O39-D39</f>
        <v>-14</v>
      </c>
      <c r="J42" s="234"/>
      <c r="K42" s="234"/>
      <c r="L42" s="234"/>
      <c r="M42" s="234"/>
      <c r="N42" s="234"/>
      <c r="O42" s="234"/>
      <c r="P42" s="234"/>
      <c r="Q42" s="234"/>
      <c r="R42" s="234"/>
      <c r="S42" s="234"/>
      <c r="T42" s="234"/>
      <c r="U42" s="234"/>
      <c r="V42" s="235"/>
      <c r="W42" s="201"/>
    </row>
    <row r="43" spans="2:23" ht="51" customHeight="1" thickBot="1">
      <c r="B43" s="236" t="s">
        <v>256</v>
      </c>
      <c r="C43" s="237"/>
      <c r="D43" s="237"/>
      <c r="E43" s="237"/>
      <c r="F43" s="237"/>
      <c r="G43" s="237"/>
      <c r="H43" s="237"/>
      <c r="I43" s="238">
        <f>I42*224490</f>
        <v>-3142860</v>
      </c>
      <c r="J43" s="238"/>
      <c r="K43" s="238"/>
      <c r="L43" s="238"/>
      <c r="M43" s="238"/>
      <c r="N43" s="238"/>
      <c r="O43" s="238"/>
      <c r="P43" s="238"/>
      <c r="Q43" s="238"/>
      <c r="R43" s="238"/>
      <c r="S43" s="238"/>
      <c r="T43" s="238"/>
      <c r="U43" s="238"/>
      <c r="V43" s="239"/>
      <c r="W43" s="130"/>
    </row>
    <row r="46" spans="2:23" ht="24">
      <c r="N46" s="119" t="s">
        <v>77</v>
      </c>
    </row>
    <row r="48" spans="2:23" ht="24">
      <c r="N48" s="119" t="s">
        <v>137</v>
      </c>
    </row>
  </sheetData>
  <mergeCells count="18">
    <mergeCell ref="I42:V42"/>
    <mergeCell ref="B42:H42"/>
    <mergeCell ref="B43:H43"/>
    <mergeCell ref="I43:V43"/>
    <mergeCell ref="P2:V2"/>
    <mergeCell ref="B36:C36"/>
    <mergeCell ref="B39:C39"/>
    <mergeCell ref="W2:W3"/>
    <mergeCell ref="B2:B3"/>
    <mergeCell ref="C2:C3"/>
    <mergeCell ref="D2:D3"/>
    <mergeCell ref="E2:F2"/>
    <mergeCell ref="G2:H2"/>
    <mergeCell ref="K2:K3"/>
    <mergeCell ref="L2:L3"/>
    <mergeCell ref="M2:M3"/>
    <mergeCell ref="N2:N3"/>
    <mergeCell ref="O2:O3"/>
  </mergeCells>
  <phoneticPr fontId="9"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X32"/>
  <sheetViews>
    <sheetView topLeftCell="A25" zoomScale="115" zoomScaleNormal="115" workbookViewId="0">
      <selection activeCell="A17" sqref="A17"/>
    </sheetView>
  </sheetViews>
  <sheetFormatPr defaultRowHeight="16.5"/>
  <sheetData>
    <row r="3" spans="1:50">
      <c r="A3" s="149" t="s">
        <v>108</v>
      </c>
      <c r="C3" t="s">
        <v>77</v>
      </c>
      <c r="H3" s="149" t="s">
        <v>110</v>
      </c>
      <c r="O3" t="s">
        <v>112</v>
      </c>
      <c r="V3" t="s">
        <v>118</v>
      </c>
      <c r="AC3" t="s">
        <v>121</v>
      </c>
      <c r="AJ3" t="s">
        <v>122</v>
      </c>
      <c r="AQ3" t="s">
        <v>133</v>
      </c>
      <c r="AX3" t="s">
        <v>134</v>
      </c>
    </row>
    <row r="32" spans="1:50">
      <c r="A32" t="s">
        <v>111</v>
      </c>
      <c r="H32" t="s">
        <v>109</v>
      </c>
      <c r="O32" t="s">
        <v>119</v>
      </c>
      <c r="V32" t="s">
        <v>120</v>
      </c>
      <c r="AC32" t="s">
        <v>123</v>
      </c>
      <c r="AJ32" t="s">
        <v>124</v>
      </c>
      <c r="AQ32" t="s">
        <v>135</v>
      </c>
      <c r="AX32" t="s">
        <v>136</v>
      </c>
    </row>
  </sheetData>
  <phoneticPr fontId="9"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내역서(표준단가)-1차</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2026-04-19T03:37:01Z</dcterms:modified>
</cp:coreProperties>
</file>
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7BEBACEF-B8AE-4E2A-8BA8-3FCB15954531}" xr6:coauthVersionLast="36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Q5" i="4" l="1"/>
  <c r="F2" i="1" l="1"/>
  <c r="E2" i="1" l="1"/>
  <c r="D2" i="1"/>
  <c r="C2" i="1"/>
  <c r="B2" i="1"/>
  <c r="A5" i="4"/>
  <c r="A2" i="1" s="1"/>
  <c r="U6" i="4" l="1"/>
  <c r="S6" i="4"/>
  <c r="Q6" i="4"/>
  <c r="O6" i="4"/>
  <c r="V6" i="4" l="1"/>
  <c r="O5" i="4"/>
  <c r="U5" i="4" l="1"/>
  <c r="S5" i="4"/>
  <c r="V5" i="4" l="1"/>
  <c r="U7" i="4"/>
  <c r="Q7" i="4"/>
  <c r="S7" i="4" l="1"/>
  <c r="V7" i="4" l="1"/>
  <c r="F18" i="5" l="1"/>
  <c r="O7" i="4" l="1"/>
  <c r="F17" i="5" l="1"/>
  <c r="F16" i="5"/>
  <c r="F26" i="5" s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<sst xmlns="http://schemas.openxmlformats.org/spreadsheetml/2006/main" count="130" uniqueCount="109">
  <si>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</si>
  <si>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</si>
  <si>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</si>
  <si>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</si>
  <si>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</si>
  <si>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</si>
  <si>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</si>
  <si>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</si>
  <si>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</si>
  <si>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</si>
  <si>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</si>
  <si>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</si>
  <si>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</si>
  <si>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</si>
  <si>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</si>
  <si>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</si>
  <si>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</si>
  <si>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</si>
  <si>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</si>
  <si>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</si>
  <si>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</si>
  <si>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</si>
  <si>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</si>
  <si>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</si>
  <si>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</si>
  <si>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</si>
  <si>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</si>
  <si>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</si>
  <si>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</si>
  <si>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</si>
  <si>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</si>
  <si>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</si>
  <si>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</si>
  <si>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</si>
  <si>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</si>
  <si>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</si>
  <si>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</si>
  <si>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</si>
  <si>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</si>
  <si>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</si>
  <si>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</si>
  <si>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</si>
  <si>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</si>
  <si>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</si>
  <si>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</si>
  <si>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</si>
  <si>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</si>
  <si>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</si>
  <si>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</si>
  <si>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</si>
  <si>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</si>
  <si>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</si>
  <si>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</si>
  <si>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</si>
  <si>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</si>
  <si>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</si>
  <si>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</si>
  <si>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</si>
  <si>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</si>
  <si>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</si>
  <si>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</si>
  <si>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</si>
  <si>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</si>
  <si>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</si>
  <si>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</si>
  <si>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</si>
  <si>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</si>
  <si>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</si>
  <si>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</si>
  <si>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</si>
  <si>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</si>
  <si>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</si>
  <si>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</si>
  <si>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</si>
  <si>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</si>
  <si>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2동 씽크대 상하부장 문짝교체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</si>
  <si>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</si>
  <si>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</si>
  <si>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</si>
  <si>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2동 씽크대 상하부장 문짝교체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</si>
  <si>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</si>
  <si>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</si>
  <si>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</si>
  <si>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</si>
  <si>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</si>
  <si>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</si>
  <si>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</si>
  <si>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</si>
  <si>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</si>
  <si>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</si>
  <si>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</si>
  <si>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</si>
  <si>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</si>
  <si>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</si>
  <si>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</si>
  <si>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</si>
  <si>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</si>
  <si>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</si>
  <si>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</si>
  <si>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</si>
  <si>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</si>
  <si>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</si>
  <si>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</si>
  <si>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</si>
  <si>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</si>
  <si>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</si>
  <si>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</si>
  <si>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 xml:space="preserve"> 견적일 : 2026년  01월  13일</t>
    <phoneticPr fontId="12" type="noConversion"/>
  </si>
  <si>
    <t xml:space="preserve"> 공사명 : 사택 2-302 씽크대 상하부장 문짝교체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</si>
</sst>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8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83" fontId="20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49" fontId="20" fillId="2" borderId="33" xfId="0" applyNumberFormat="1" applyFont="1" applyFill="1" applyBorder="1" applyAlignment="1">
      <alignment horizontal="center" vertical="center" wrapText="1"/>
    </xf>
    <xf numFmtId="49" fontId="20" fillId="2" borderId="34" xfId="0" applyNumberFormat="1" applyFont="1" applyFill="1" applyBorder="1" applyAlignment="1">
      <alignment horizontal="center" vertical="center" wrapText="1"/>
    </xf>
    <xf numFmtId="184" fontId="20" fillId="0" borderId="0" xfId="0" applyNumberFormat="1" applyFont="1">
      <alignment vertical="center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185" fontId="20" fillId="0" borderId="0" xfId="0" applyNumberFormat="1" applyFont="1">
      <alignment vertical="center"/>
    </xf>
    <xf numFmtId="0" fontId="20" fillId="7" borderId="4" xfId="0" applyFont="1" applyFill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20" fillId="0" borderId="6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49" fontId="25" fillId="7" borderId="3" xfId="0" applyNumberFormat="1" applyFont="1" applyFill="1" applyBorder="1" applyAlignment="1">
      <alignment horizontal="center" vertical="center" wrapText="1"/>
    </xf>
    <xf numFmtId="0" fontId="21" fillId="0" borderId="0" xfId="19" applyFont="1">
      <alignment vertical="center"/>
    </xf>
    <xf numFmtId="0" fontId="26" fillId="0" borderId="0" xfId="19" applyFont="1">
      <alignment vertical="center"/>
    </xf>
    <xf numFmtId="0" fontId="21" fillId="0" borderId="0" xfId="19" applyFont="1" applyAlignment="1">
      <alignment horizontal="center" vertical="center"/>
    </xf>
    <xf numFmtId="0" fontId="21" fillId="0" borderId="0" xfId="0" applyFont="1">
      <alignment vertical="center"/>
    </xf>
    <xf numFmtId="186" fontId="20" fillId="5" borderId="3" xfId="0" applyNumberFormat="1" applyFont="1" applyFill="1" applyBorder="1" applyAlignment="1">
      <alignment horizontal="right" vertical="center" wrapText="1"/>
    </xf>
    <xf numFmtId="186" fontId="20" fillId="0" borderId="3" xfId="0" applyNumberFormat="1" applyFont="1" applyBorder="1" applyAlignment="1">
      <alignment horizontal="right" vertical="center"/>
    </xf>
    <xf numFmtId="186" fontId="20" fillId="6" borderId="3" xfId="1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right" vertical="center" wrapText="1"/>
    </xf>
    <xf numFmtId="187" fontId="20" fillId="0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0" fontId="23" fillId="10" borderId="0" xfId="0" applyFont="1" applyFill="1">
      <alignment vertical="center"/>
    </xf>
    <xf numFmtId="0" fontId="23" fillId="0" borderId="0" xfId="0" applyFont="1">
      <alignment vertical="center"/>
    </xf>
    <xf numFmtId="177" fontId="23" fillId="10" borderId="0" xfId="0" applyNumberFormat="1" applyFont="1" applyFill="1">
      <alignment vertical="center"/>
    </xf>
    <xf numFmtId="0" fontId="24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14</xdr:col>
      <xdr:colOff>1123951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764722"/>
          <a:ext cx="14325600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304801</xdr:colOff>
      <xdr:row>6</xdr:row>
      <xdr:rowOff>9525</xdr:rowOff>
    </xdr:from>
    <xdr:to>
      <xdr:col>4</xdr:col>
      <xdr:colOff>349636</xdr:colOff>
      <xdr:row>39</xdr:row>
      <xdr:rowOff>6085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31106E0-010C-441E-86D7-77259D19F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1" y="1266825"/>
          <a:ext cx="4226310" cy="592349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857251</xdr:colOff>
      <xdr:row>6</xdr:row>
      <xdr:rowOff>47625</xdr:rowOff>
    </xdr:from>
    <xdr:to>
      <xdr:col>9</xdr:col>
      <xdr:colOff>557331</xdr:colOff>
      <xdr:row>39</xdr:row>
      <xdr:rowOff>64295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D27234B-3CEF-4A16-91FE-5CA642E38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6" y="1304925"/>
          <a:ext cx="4233980" cy="5943600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857251</xdr:colOff>
      <xdr:row>6</xdr:row>
      <xdr:rowOff>9525</xdr:rowOff>
    </xdr:from>
    <xdr:to>
      <xdr:col>14</xdr:col>
      <xdr:colOff>647700</xdr:colOff>
      <xdr:row>39</xdr:row>
      <xdr:rowOff>87492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BEFEDED-CA9C-4074-87CD-5EFEE560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626" y="1266825"/>
          <a:ext cx="4276724" cy="6004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M18" sqref="M18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20" t="s">
        <v>6</v>
      </c>
      <c r="B2" s="120"/>
      <c r="C2" s="120"/>
      <c r="D2" s="120"/>
      <c r="E2" s="120"/>
      <c r="F2" s="120"/>
      <c r="G2" s="120"/>
      <c r="H2" s="2"/>
    </row>
    <row r="3" spans="1:9" ht="13.5">
      <c r="A3" s="92"/>
      <c r="B3" s="92"/>
      <c r="C3" s="92"/>
      <c r="D3" s="92"/>
      <c r="E3" s="92"/>
      <c r="F3" s="92"/>
      <c r="G3" s="92"/>
      <c r="H3" s="92"/>
    </row>
    <row r="4" spans="1:9" ht="13.5">
      <c r="A4" s="92"/>
      <c r="B4" s="92"/>
      <c r="C4" s="92"/>
      <c r="D4" s="92"/>
      <c r="E4" s="92"/>
      <c r="H4" s="92"/>
    </row>
    <row r="5" spans="1:9" ht="27" customHeight="1">
      <c r="A5" s="93" t="s">
        <v>64</v>
      </c>
      <c r="B5" s="4"/>
      <c r="C5" s="5"/>
      <c r="D5" s="92"/>
      <c r="E5" s="92"/>
      <c r="F5" s="6" t="s">
        <v>38</v>
      </c>
      <c r="G5" s="7" t="s">
        <v>68</v>
      </c>
      <c r="H5" s="92"/>
    </row>
    <row r="6" spans="1:9" ht="27" customHeight="1">
      <c r="A6" s="92"/>
      <c r="B6" s="92"/>
      <c r="C6" s="92"/>
      <c r="D6" s="92"/>
      <c r="E6" s="92"/>
      <c r="F6" s="8" t="s">
        <v>41</v>
      </c>
      <c r="G6" s="9" t="s">
        <v>69</v>
      </c>
      <c r="H6" s="92"/>
    </row>
    <row r="7" spans="1:9" ht="27" customHeight="1">
      <c r="A7" s="123" t="s">
        <v>108</v>
      </c>
      <c r="B7" s="124"/>
      <c r="C7" s="125"/>
      <c r="D7" s="92"/>
      <c r="E7" s="10"/>
      <c r="F7" s="11" t="s">
        <v>42</v>
      </c>
      <c r="G7" s="9" t="s">
        <v>70</v>
      </c>
      <c r="H7" s="92"/>
    </row>
    <row r="8" spans="1:9" ht="27" customHeight="1">
      <c r="A8" s="92"/>
      <c r="B8" s="92"/>
      <c r="C8" s="92"/>
      <c r="D8" s="92"/>
      <c r="E8" s="92"/>
      <c r="F8" s="8" t="s">
        <v>43</v>
      </c>
      <c r="G8" s="9" t="s">
        <v>71</v>
      </c>
      <c r="H8" s="92"/>
    </row>
    <row r="9" spans="1:9" ht="27" customHeight="1">
      <c r="A9" s="123" t="s">
        <v>107</v>
      </c>
      <c r="B9" s="124"/>
      <c r="C9" s="125"/>
      <c r="D9" s="92"/>
      <c r="E9" s="92"/>
      <c r="F9" s="8" t="s">
        <v>44</v>
      </c>
      <c r="G9" s="9" t="s">
        <v>72</v>
      </c>
      <c r="H9" s="92"/>
    </row>
    <row r="10" spans="1:9" ht="27" customHeight="1">
      <c r="A10" s="92"/>
      <c r="B10" s="92"/>
      <c r="C10" s="92"/>
      <c r="D10" s="92"/>
      <c r="E10" s="92"/>
      <c r="F10" s="12" t="s">
        <v>39</v>
      </c>
      <c r="G10" s="13" t="s">
        <v>73</v>
      </c>
      <c r="H10" s="92"/>
      <c r="I10" s="92"/>
    </row>
    <row r="11" spans="1:9" ht="27" customHeight="1">
      <c r="A11" s="121"/>
      <c r="B11" s="122"/>
      <c r="C11" s="122"/>
      <c r="D11" s="92"/>
      <c r="E11" s="14"/>
      <c r="F11" s="15" t="s">
        <v>40</v>
      </c>
      <c r="G11" s="16" t="s">
        <v>74</v>
      </c>
      <c r="H11" s="14"/>
    </row>
    <row r="12" spans="1:9" ht="19.5" thickBot="1">
      <c r="A12" s="17" t="s">
        <v>7</v>
      </c>
      <c r="B12" s="17" t="str">
        <f>NUMBERSTRING(F31,1)</f>
        <v>일백일십사만오천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92"/>
      <c r="B13" s="92"/>
      <c r="C13" s="92"/>
      <c r="D13" s="92"/>
      <c r="E13" s="92"/>
      <c r="F13" s="92"/>
      <c r="G13" s="92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'내역서(표준단가)'!O7</f>
        <v>850000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'내역서(표준단가)'!Q7</f>
        <v>219321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1069321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9869.4449999999997</v>
      </c>
      <c r="G21" s="35" t="s">
        <v>26</v>
      </c>
    </row>
    <row r="22" spans="1:7" ht="33" customHeight="1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7774.9294500000005</v>
      </c>
      <c r="G22" s="48" t="s">
        <v>28</v>
      </c>
    </row>
    <row r="23" spans="1:7" ht="33" customHeight="1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1006.853363775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2215.1421</v>
      </c>
      <c r="G24" s="35" t="s">
        <v>28</v>
      </c>
    </row>
    <row r="25" spans="1:7" ht="33" customHeight="1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7807.8275999999996</v>
      </c>
      <c r="G25" s="35" t="s">
        <v>28</v>
      </c>
    </row>
    <row r="26" spans="1:7" ht="33" customHeight="1">
      <c r="A26" s="29"/>
      <c r="B26" s="42" t="s">
        <v>32</v>
      </c>
      <c r="C26" s="49" t="s">
        <v>106</v>
      </c>
      <c r="D26" s="30">
        <v>1</v>
      </c>
      <c r="E26" s="30" t="s">
        <v>25</v>
      </c>
      <c r="F26" s="43">
        <f>(F16+F17)*3.11%</f>
        <v>33255.883099999999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14062.554030688751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75992.63464446376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1145313.6346444637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1145000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5.375" style="116" bestFit="1" customWidth="1"/>
    <col min="2" max="5" width="18.5" style="116" hidden="1" customWidth="1"/>
    <col min="6" max="6" width="20.625" style="66" hidden="1" customWidth="1"/>
    <col min="7" max="7" width="15.125" style="66" hidden="1" customWidth="1"/>
    <col min="8" max="8" width="14.625" style="66" hidden="1" customWidth="1"/>
    <col min="9" max="9" width="13.875" style="66" hidden="1" customWidth="1"/>
    <col min="10" max="11" width="30.625" style="106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2.5" style="66" bestFit="1" customWidth="1"/>
    <col min="16" max="16" width="8.25" style="66" customWidth="1"/>
    <col min="17" max="17" width="12.5" style="66" bestFit="1" customWidth="1"/>
    <col min="18" max="18" width="6.375" style="66" customWidth="1"/>
    <col min="19" max="19" width="8.25" style="66" bestFit="1" customWidth="1"/>
    <col min="20" max="20" width="6.375" style="66" customWidth="1"/>
    <col min="21" max="21" width="8.25" style="66" bestFit="1" customWidth="1"/>
    <col min="22" max="22" width="14.5" style="66" bestFit="1" customWidth="1"/>
    <col min="23" max="23" width="10.625" style="67" bestFit="1" customWidth="1"/>
    <col min="24" max="24" width="8.5" style="66" bestFit="1" customWidth="1"/>
    <col min="25" max="16384" width="9" style="66"/>
  </cols>
  <sheetData>
    <row r="1" spans="1:24" ht="19.899999999999999" customHeight="1">
      <c r="A1" s="126"/>
      <c r="B1" s="126"/>
      <c r="C1" s="126"/>
      <c r="D1" s="126"/>
      <c r="E1" s="126"/>
      <c r="F1" s="126"/>
      <c r="G1" s="126"/>
      <c r="H1" s="126"/>
      <c r="I1" s="126"/>
      <c r="N1" s="67"/>
      <c r="O1" s="109" t="s">
        <v>82</v>
      </c>
      <c r="Q1" s="109" t="s">
        <v>82</v>
      </c>
      <c r="S1" s="109" t="s">
        <v>82</v>
      </c>
      <c r="U1" s="109" t="s">
        <v>82</v>
      </c>
    </row>
    <row r="2" spans="1:24" ht="19.899999999999999" customHeight="1" thickBot="1">
      <c r="A2" s="126"/>
      <c r="B2" s="126"/>
      <c r="C2" s="126"/>
      <c r="D2" s="126"/>
      <c r="E2" s="126"/>
      <c r="F2" s="126"/>
      <c r="G2" s="126"/>
      <c r="H2" s="126"/>
      <c r="I2" s="126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>
      <c r="A3" s="110"/>
      <c r="B3" s="110"/>
      <c r="C3" s="110"/>
      <c r="D3" s="110"/>
      <c r="E3" s="110"/>
      <c r="F3" s="110" t="s">
        <v>83</v>
      </c>
      <c r="G3" s="111"/>
      <c r="H3" s="111"/>
      <c r="I3" s="111"/>
      <c r="J3" s="137" t="s">
        <v>84</v>
      </c>
      <c r="K3" s="137"/>
      <c r="L3" s="135" t="s">
        <v>51</v>
      </c>
      <c r="M3" s="135" t="s">
        <v>5</v>
      </c>
      <c r="N3" s="131" t="s">
        <v>85</v>
      </c>
      <c r="O3" s="131"/>
      <c r="P3" s="131" t="s">
        <v>86</v>
      </c>
      <c r="Q3" s="131"/>
      <c r="R3" s="132" t="s">
        <v>87</v>
      </c>
      <c r="S3" s="132"/>
      <c r="T3" s="132" t="s">
        <v>88</v>
      </c>
      <c r="U3" s="132"/>
      <c r="V3" s="133" t="s">
        <v>89</v>
      </c>
      <c r="W3" s="129" t="s">
        <v>90</v>
      </c>
      <c r="X3" s="127" t="s">
        <v>45</v>
      </c>
    </row>
    <row r="4" spans="1:24" ht="19.899999999999999" customHeight="1">
      <c r="A4" s="70" t="s">
        <v>91</v>
      </c>
      <c r="B4" s="71"/>
      <c r="C4" s="71"/>
      <c r="D4" s="71"/>
      <c r="E4" s="71"/>
      <c r="F4" s="72" t="s">
        <v>92</v>
      </c>
      <c r="G4" s="72" t="s">
        <v>93</v>
      </c>
      <c r="H4" s="72" t="s">
        <v>94</v>
      </c>
      <c r="I4" s="72" t="s">
        <v>95</v>
      </c>
      <c r="J4" s="107" t="s">
        <v>96</v>
      </c>
      <c r="K4" s="107" t="s">
        <v>97</v>
      </c>
      <c r="L4" s="136"/>
      <c r="M4" s="136"/>
      <c r="N4" s="73" t="s">
        <v>98</v>
      </c>
      <c r="O4" s="74" t="s">
        <v>99</v>
      </c>
      <c r="P4" s="73" t="s">
        <v>100</v>
      </c>
      <c r="Q4" s="74" t="s">
        <v>99</v>
      </c>
      <c r="R4" s="74" t="s">
        <v>101</v>
      </c>
      <c r="S4" s="74" t="s">
        <v>99</v>
      </c>
      <c r="T4" s="74" t="s">
        <v>101</v>
      </c>
      <c r="U4" s="74" t="s">
        <v>99</v>
      </c>
      <c r="V4" s="134"/>
      <c r="W4" s="130"/>
      <c r="X4" s="128"/>
    </row>
    <row r="5" spans="1:24" s="112" customFormat="1" ht="38.1" customHeight="1">
      <c r="A5" s="75" t="str">
        <f t="shared" ref="A5" si="0">F5&amp;G5&amp;H5&amp;I5</f>
        <v>L003</v>
      </c>
      <c r="B5" s="76"/>
      <c r="C5" s="76"/>
      <c r="D5" s="76"/>
      <c r="E5" s="76"/>
      <c r="F5" s="77"/>
      <c r="G5" s="81"/>
      <c r="H5" s="91"/>
      <c r="I5" s="96" t="s">
        <v>102</v>
      </c>
      <c r="J5" s="94" t="s">
        <v>103</v>
      </c>
      <c r="K5" s="95" t="s">
        <v>104</v>
      </c>
      <c r="L5" s="78" t="s">
        <v>105</v>
      </c>
      <c r="M5" s="105">
        <v>1</v>
      </c>
      <c r="N5" s="102"/>
      <c r="O5" s="103">
        <f>M5*N5</f>
        <v>0</v>
      </c>
      <c r="P5" s="101">
        <v>219321</v>
      </c>
      <c r="Q5" s="103">
        <f>M5*P5</f>
        <v>219321</v>
      </c>
      <c r="R5" s="104"/>
      <c r="S5" s="103">
        <f t="shared" ref="S5" si="1">R5*M5*$S$2</f>
        <v>0</v>
      </c>
      <c r="T5" s="104"/>
      <c r="U5" s="103">
        <f t="shared" ref="U5" si="2">T5*M5*$U$2</f>
        <v>0</v>
      </c>
      <c r="V5" s="79">
        <f t="shared" ref="V5" si="3">SUM(O5+Q5)+S5+U5</f>
        <v>219321</v>
      </c>
      <c r="W5" s="82"/>
      <c r="X5" s="80"/>
    </row>
    <row r="6" spans="1:24" s="112" customFormat="1" ht="38.1" customHeight="1">
      <c r="A6" s="75"/>
      <c r="B6" s="76"/>
      <c r="C6" s="76"/>
      <c r="D6" s="76"/>
      <c r="E6" s="76"/>
      <c r="F6" s="77"/>
      <c r="G6" s="81"/>
      <c r="H6" s="91"/>
      <c r="I6" s="77"/>
      <c r="J6" s="94" t="s">
        <v>75</v>
      </c>
      <c r="K6" s="95" t="s">
        <v>76</v>
      </c>
      <c r="L6" s="78" t="s">
        <v>77</v>
      </c>
      <c r="M6" s="105">
        <v>1</v>
      </c>
      <c r="N6" s="102">
        <v>850000</v>
      </c>
      <c r="O6" s="103">
        <f>M6*N6</f>
        <v>850000</v>
      </c>
      <c r="P6" s="101"/>
      <c r="Q6" s="103">
        <f t="shared" ref="Q6" si="4">(P6*M6)*$Q$2</f>
        <v>0</v>
      </c>
      <c r="R6" s="104"/>
      <c r="S6" s="103">
        <f t="shared" ref="S6" si="5">R6*M6*$S$2</f>
        <v>0</v>
      </c>
      <c r="T6" s="104"/>
      <c r="U6" s="103">
        <f t="shared" ref="U6" si="6">T6*M6*$U$2</f>
        <v>0</v>
      </c>
      <c r="V6" s="79">
        <f t="shared" ref="V6" si="7">SUM(O6+Q6)+S6+U6</f>
        <v>850000</v>
      </c>
      <c r="W6" s="82"/>
      <c r="X6" s="80"/>
    </row>
    <row r="7" spans="1:24" s="114" customFormat="1" ht="38.1" customHeight="1">
      <c r="A7" s="113"/>
      <c r="B7" s="113"/>
      <c r="C7" s="113"/>
      <c r="D7" s="113"/>
      <c r="E7" s="113"/>
      <c r="J7" s="108"/>
      <c r="K7" s="108"/>
      <c r="O7" s="118">
        <f>SUM(O5:O6)</f>
        <v>850000</v>
      </c>
      <c r="Q7" s="118">
        <f>SUM(Q5:Q6)</f>
        <v>219321</v>
      </c>
      <c r="S7" s="115">
        <f>SUM(S5:S6)</f>
        <v>0</v>
      </c>
      <c r="U7" s="115">
        <f>SUM(U5:U6)</f>
        <v>0</v>
      </c>
      <c r="V7" s="119">
        <f>SUM(V5:V6)</f>
        <v>1069321</v>
      </c>
      <c r="W7" s="83"/>
    </row>
    <row r="11" spans="1:24" ht="38.1" customHeight="1">
      <c r="Q11" s="11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topLeftCell="A2" zoomScale="160" zoomScaleNormal="160" zoomScaleSheetLayoutView="85" workbookViewId="0">
      <selection activeCell="P22" sqref="P22"/>
    </sheetView>
  </sheetViews>
  <sheetFormatPr defaultColWidth="9" defaultRowHeight="13.5"/>
  <cols>
    <col min="1" max="1" width="11.5" style="97" bestFit="1" customWidth="1"/>
    <col min="2" max="2" width="17.875" style="97" customWidth="1"/>
    <col min="3" max="3" width="14.625" style="97" customWidth="1"/>
    <col min="4" max="4" width="10.875" style="97" customWidth="1"/>
    <col min="5" max="5" width="12" style="97" customWidth="1"/>
    <col min="6" max="6" width="10.625" style="97" customWidth="1"/>
    <col min="7" max="7" width="13.625" style="98" customWidth="1"/>
    <col min="8" max="8" width="9.625" style="97" customWidth="1"/>
    <col min="9" max="9" width="13.625" style="97" customWidth="1"/>
    <col min="10" max="10" width="12.75" style="97" customWidth="1"/>
    <col min="11" max="11" width="9.25" style="97" customWidth="1"/>
    <col min="12" max="12" width="13.625" style="98" customWidth="1"/>
    <col min="13" max="13" width="9.625" style="97" customWidth="1"/>
    <col min="14" max="14" width="13.625" style="98" customWidth="1"/>
    <col min="15" max="15" width="19.75" style="99" bestFit="1" customWidth="1"/>
    <col min="16" max="16" width="12.25" style="99" bestFit="1" customWidth="1"/>
    <col min="17" max="16384" width="9" style="97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H9" sqref="H9"/>
    </sheetView>
  </sheetViews>
  <sheetFormatPr defaultColWidth="9" defaultRowHeight="13.5"/>
  <cols>
    <col min="1" max="1" width="11.125" style="100" customWidth="1"/>
    <col min="2" max="2" width="13.375" style="100" customWidth="1"/>
    <col min="3" max="3" width="38.75" style="100" customWidth="1"/>
    <col min="4" max="4" width="28.75" style="100" customWidth="1"/>
    <col min="5" max="5" width="5" style="100" customWidth="1"/>
    <col min="6" max="6" width="6.25" style="100" customWidth="1"/>
    <col min="7" max="7" width="10" style="100" customWidth="1"/>
    <col min="8" max="8" width="11.875" style="100" customWidth="1"/>
    <col min="9" max="9" width="10" style="100" customWidth="1"/>
    <col min="10" max="10" width="11.875" style="100" customWidth="1"/>
    <col min="11" max="11" width="10" style="100" customWidth="1"/>
    <col min="12" max="12" width="11.875" style="100" customWidth="1"/>
    <col min="13" max="13" width="10" style="100" customWidth="1"/>
    <col min="14" max="14" width="11.875" style="100" customWidth="1"/>
    <col min="15" max="15" width="9.125" style="100" customWidth="1"/>
    <col min="16" max="16" width="11.5" style="100" customWidth="1"/>
    <col min="17" max="17" width="11.75" style="100" customWidth="1"/>
    <col min="18" max="18" width="17.875" style="100" customWidth="1"/>
    <col min="19" max="16384" width="9" style="100"/>
  </cols>
  <sheetData>
    <row r="1" spans="1:18" ht="18" customHeight="1">
      <c r="A1" s="84" t="s">
        <v>47</v>
      </c>
      <c r="B1" s="85" t="s">
        <v>48</v>
      </c>
      <c r="C1" s="86" t="s">
        <v>49</v>
      </c>
      <c r="D1" s="86" t="s">
        <v>50</v>
      </c>
      <c r="E1" s="86" t="s">
        <v>51</v>
      </c>
      <c r="F1" s="86" t="s">
        <v>5</v>
      </c>
      <c r="G1" s="85" t="s">
        <v>52</v>
      </c>
      <c r="H1" s="85" t="s">
        <v>53</v>
      </c>
      <c r="I1" s="85" t="s">
        <v>54</v>
      </c>
      <c r="J1" s="85" t="s">
        <v>55</v>
      </c>
      <c r="K1" s="85" t="s">
        <v>56</v>
      </c>
      <c r="L1" s="85" t="s">
        <v>57</v>
      </c>
      <c r="M1" s="85" t="s">
        <v>58</v>
      </c>
      <c r="N1" s="85" t="s">
        <v>59</v>
      </c>
      <c r="O1" s="85" t="s">
        <v>60</v>
      </c>
      <c r="P1" s="85" t="s">
        <v>61</v>
      </c>
      <c r="Q1" s="85" t="s">
        <v>62</v>
      </c>
      <c r="R1" s="85" t="s">
        <v>63</v>
      </c>
    </row>
    <row r="2" spans="1:18">
      <c r="A2" s="67">
        <v>999999</v>
      </c>
      <c r="B2" s="67" t="s">
        <v>78</v>
      </c>
      <c r="C2" s="67" t="s">
        <v>79</v>
      </c>
      <c r="D2" s="67" t="s">
        <v>80</v>
      </c>
      <c r="E2" s="67" t="s">
        <v>81</v>
      </c>
      <c r="F2" s="87">
        <v>1</v>
      </c>
      <c r="G2" s="90">
        <v>850000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2" sqref="F2"/>
    </sheetView>
  </sheetViews>
  <sheetFormatPr defaultColWidth="9" defaultRowHeight="13.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100"/>
  </cols>
  <sheetData>
    <row r="1" spans="1:7" ht="18" customHeight="1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66"/>
    </row>
    <row r="2" spans="1:7">
      <c r="A2" s="88" t="str">
        <f>'내역서(표준단가)'!A5</f>
        <v>L003</v>
      </c>
      <c r="B2" s="89">
        <f>'내역서(표준단가)'!F5</f>
        <v>0</v>
      </c>
      <c r="C2" s="89">
        <f>'내역서(표준단가)'!G5</f>
        <v>0</v>
      </c>
      <c r="D2" s="89">
        <f>'내역서(표준단가)'!H5</f>
        <v>0</v>
      </c>
      <c r="E2" s="89" t="str">
        <f>'내역서(표준단가)'!I5</f>
        <v>L003</v>
      </c>
      <c r="F2" s="89">
        <f>'내역서(표준단가)'!M5</f>
        <v>1</v>
      </c>
      <c r="G2" s="66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2026-01-13T05:24:59Z</dcterms:modified>
</cp:coreProperties>
</file>
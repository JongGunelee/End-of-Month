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30\04 PR당사안\"/>
    </mc:Choice>
  </mc:AlternateContent>
  <xr:revisionPtr revIDLastSave="0" documentId="13_ncr:1_{343501C4-ACC2-42F4-9363-F1E835AFE2B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6" i="11"/>
  <c r="J25" i="11"/>
  <c r="J27" i="11" s="1"/>
  <c r="U5" i="4"/>
  <c r="S5" i="4"/>
  <c r="Q5" i="4"/>
  <c r="O5" i="4"/>
  <c r="A5" i="4"/>
  <c r="A2" i="1" s="1"/>
  <c r="J28" i="11" l="1"/>
  <c r="J20" i="11" s="1"/>
  <c r="V5" i="4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V6" i="4"/>
  <c r="U8" i="4"/>
  <c r="S8" i="4"/>
  <c r="Q8" i="4"/>
  <c r="O8" i="4"/>
  <c r="M32" i="11" l="1"/>
  <c r="B15" i="11" s="1"/>
  <c r="V8" i="4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<sst xmlns="http://schemas.openxmlformats.org/spreadsheetml/2006/main" count="253" uniqueCount="185">
  <si>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</si>
  <si>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</si>
  <si>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</si>
  <si>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</si>
  <si>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</si>
  <si>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</si>
  <si>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</si>
  <si>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</si>
  <si>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</si>
  <si>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</si>
  <si>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</si>
  <si>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</si>
  <si>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</si>
  <si>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</si>
  <si>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</si>
  <si>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</si>
  <si>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</si>
  <si>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</si>
  <si>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</si>
  <si>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</si>
  <si>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</si>
  <si>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</si>
  <si>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</si>
  <si>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</si>
  <si>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</si>
  <si>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</si>
  <si>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</si>
  <si>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</si>
  <si>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</si>
  <si>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</si>
  <si>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</si>
  <si>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</si>
  <si>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</si>
  <si>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</si>
  <si>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</si>
  <si>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</si>
  <si>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</si>
  <si>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</si>
  <si>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</si>
  <si>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</si>
  <si>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</si>
  <si>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</si>
  <si>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</si>
  <si>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</si>
  <si>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</si>
  <si>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</si>
  <si>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</si>
  <si>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</si>
  <si>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</si>
  <si>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</si>
  <si>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</si>
  <si>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</si>
  <si>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</si>
  <si>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</si>
  <si>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</si>
  <si>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</si>
  <si>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</si>
  <si>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</si>
  <si>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</si>
  <si>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</si>
  <si>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</si>
  <si>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</si>
  <si>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</si>
  <si>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</si>
  <si>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</si>
  <si>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</si>
  <si>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</si>
  <si>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</si>
  <si>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</si>
  <si>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</si>
  <si>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</si>
  <si>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</si>
  <si>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</si>
  <si>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</si>
  <si>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</si>
  <si>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</si>
  <si>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</si>
  <si>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</si>
  <si>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</si>
  <si>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</si>
  <si>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</si>
  <si>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</si>
  <si>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</si>
  <si>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</si>
  <si>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</si>
  <si>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</si>
  <si>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</si>
  <si>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</si>
  <si>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</si>
  <si>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</si>
  <si>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</si>
  <si>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</si>
  <si>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</si>
  <si>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</si>
  <si>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</si>
  <si>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</si>
  <si>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</si>
  <si>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</si>
  <si>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</si>
  <si>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</si>
  <si>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</si>
  <si>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</si>
  <si>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</si>
  <si>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</si>
  <si>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</si>
  <si>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</si>
  <si>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</si>
  <si>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</si>
  <si>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</si>
  <si>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</si>
  <si>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</si>
  <si>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</si>
  <si>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</si>
  <si>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</si>
  <si>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</si>
  <si>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</si>
  <si>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</si>
  <si>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</si>
  <si>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사택 9-302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</si>
  <si>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</si>
  <si>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</si>
  <si>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</si>
  <si>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</si>
  <si>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</si>
  <si>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</si>
  <si>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</si>
  <si>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</si>
  <si>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</si>
  <si>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</si>
  <si>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</si>
  <si>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</si>
  <si>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</si>
  <si>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</si>
  <si>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</si>
  <si>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</si>
  <si>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</si>
  <si>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</si>
  <si>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</si>
  <si>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</si>
  <si>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</si>
  <si>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</si>
  <si>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</si>
  <si>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</si>
  <si>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</si>
  <si>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</si>
  <si>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</si>
  <si>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</si>
  <si>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</si>
  <si>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</si>
  <si>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</si>
  <si>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</si>
  <si>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</si>
  <si>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</si>
  <si>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</si>
  <si>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</si>
  <si>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</si>
  <si>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</si>
  <si>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</si>
  <si>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</si>
  <si>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</si>
  <si>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</si>
  <si>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</si>
  <si>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</si>
  <si>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</si>
  <si>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</si>
  <si>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</si>
  <si>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</si>
  <si>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</si>
  <si>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</si>
  <si>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</si>
  <si>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</si>
  <si>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</si>
  <si>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</si>
  <si>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</si>
  <si>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</si>
  <si>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</si>
  <si>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</si>
  <si>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</si>
  <si>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</si>
  <si>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</si>
  <si>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</si>
  <si>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</si>
  <si>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</si>
  <si>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9-302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</si>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</sst>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5" fontId="18" fillId="0" borderId="0" xfId="0" applyNumberFormat="1" applyFont="1">
      <alignment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2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Fill="1" applyBorder="1" applyAlignment="1">
      <alignment vertical="center"/>
    </xf>
    <xf numFmtId="0" fontId="26" fillId="0" borderId="10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2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3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0" borderId="23" xfId="17" applyFont="1" applyFill="1" applyBorder="1" applyAlignment="1">
      <alignment horizontal="center" vertical="center"/>
    </xf>
    <xf numFmtId="0" fontId="26" fillId="10" borderId="24" xfId="17" applyFont="1" applyFill="1" applyBorder="1" applyAlignment="1">
      <alignment horizontal="center" vertical="center"/>
    </xf>
    <xf numFmtId="0" fontId="26" fillId="10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6E19B72E-01D8-4DE7-A562-A33ACDAA66E9}"/>
    <cellStyle name="쉼표 [0] 2 84" xfId="24" xr:uid="{91D4F70C-97B9-4EE9-9B22-73D13D59D1DE}"/>
    <cellStyle name="쉼표 [0] 3" xfId="14" xr:uid="{8F7BE219-40E1-4BBB-A9BD-02188B74B2A3}"/>
    <cellStyle name="쉼표 [0] 4" xfId="21" xr:uid="{C06A7AEB-2DEF-4C33-8069-CE5BED414577}"/>
    <cellStyle name="쉼표 [0] 5" xfId="23" xr:uid="{19191473-5819-44DC-A28A-97B40AD4781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E58D1EB0-7BE5-4E06-8383-31CC309BA78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1AE64AD5-6B71-4145-A9D7-F6E2DD121C1F}"/>
    <cellStyle name="표준_P456 공장 및 복지동 전면 유리창 청소건 라상혁님_1129(최종)" xfId="20" xr:uid="{AC5D978C-BEDE-47FA-9717-348DDC6ED9E0}"/>
    <cellStyle name="표준_S&amp;D_MAIN VALVE_최빈_2" xfId="17" xr:uid="{25D5D25E-95DD-45CF-B72F-199F30AD3A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EEE561-6821-4729-8144-FE9B6BB1C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E094-EB40-459E-9EE0-74694550AC2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 x14ac:dyDescent="0.3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 x14ac:dyDescent="0.3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 x14ac:dyDescent="0.3">
      <c r="A3" s="258" t="s">
        <v>119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 x14ac:dyDescent="0.3">
      <c r="A4" s="108" t="s">
        <v>120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 x14ac:dyDescent="0.3">
      <c r="A5" s="113"/>
      <c r="B5" s="169" t="s">
        <v>184</v>
      </c>
      <c r="C5" s="169"/>
      <c r="D5" s="169"/>
      <c r="E5" s="169"/>
      <c r="F5" s="169"/>
      <c r="G5" s="170"/>
      <c r="H5" s="170"/>
      <c r="I5" s="114"/>
      <c r="J5" s="114"/>
      <c r="K5" s="114"/>
      <c r="L5" s="114"/>
      <c r="M5" s="115"/>
      <c r="N5" s="115"/>
      <c r="O5" s="116"/>
    </row>
    <row r="6" spans="1:15" ht="12" customHeight="1" thickBot="1" x14ac:dyDescent="0.3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 x14ac:dyDescent="0.3">
      <c r="A7" s="261" t="s">
        <v>121</v>
      </c>
      <c r="B7" s="262"/>
      <c r="C7" s="263"/>
      <c r="D7" s="171">
        <v>2025</v>
      </c>
      <c r="E7" s="121" t="s">
        <v>122</v>
      </c>
      <c r="F7" s="172">
        <v>5</v>
      </c>
      <c r="G7" s="121" t="s">
        <v>123</v>
      </c>
      <c r="H7" s="172">
        <v>30</v>
      </c>
      <c r="I7" s="121" t="s">
        <v>124</v>
      </c>
      <c r="J7" s="122"/>
      <c r="K7" s="264" t="s">
        <v>125</v>
      </c>
      <c r="L7" s="123" t="s">
        <v>126</v>
      </c>
      <c r="M7" s="123" t="s">
        <v>127</v>
      </c>
      <c r="N7" s="123" t="s">
        <v>128</v>
      </c>
      <c r="O7" s="124" t="s">
        <v>129</v>
      </c>
    </row>
    <row r="8" spans="1:15" ht="23.25" customHeight="1" x14ac:dyDescent="0.3">
      <c r="A8" s="267" t="s">
        <v>130</v>
      </c>
      <c r="B8" s="268"/>
      <c r="C8" s="269"/>
      <c r="D8" s="270" t="s">
        <v>131</v>
      </c>
      <c r="E8" s="271"/>
      <c r="F8" s="271"/>
      <c r="G8" s="272"/>
      <c r="H8" s="273" t="s">
        <v>132</v>
      </c>
      <c r="I8" s="271"/>
      <c r="J8" s="274"/>
      <c r="K8" s="265"/>
      <c r="L8" s="125" t="s">
        <v>133</v>
      </c>
      <c r="M8" s="125" t="s">
        <v>134</v>
      </c>
      <c r="N8" s="125" t="s">
        <v>135</v>
      </c>
      <c r="O8" s="126" t="s">
        <v>136</v>
      </c>
    </row>
    <row r="9" spans="1:15" ht="23.25" customHeight="1" x14ac:dyDescent="0.3">
      <c r="A9" s="267" t="s">
        <v>137</v>
      </c>
      <c r="B9" s="268"/>
      <c r="C9" s="269"/>
      <c r="D9" s="275" t="s">
        <v>138</v>
      </c>
      <c r="E9" s="276"/>
      <c r="F9" s="276"/>
      <c r="G9" s="276"/>
      <c r="H9" s="276"/>
      <c r="I9" s="276"/>
      <c r="J9" s="277"/>
      <c r="K9" s="265"/>
      <c r="L9" s="125" t="s">
        <v>139</v>
      </c>
      <c r="M9" s="278" t="s">
        <v>140</v>
      </c>
      <c r="N9" s="268"/>
      <c r="O9" s="269"/>
    </row>
    <row r="10" spans="1:15" ht="23.25" customHeight="1" thickBot="1" x14ac:dyDescent="0.35">
      <c r="A10" s="279" t="s">
        <v>141</v>
      </c>
      <c r="B10" s="280"/>
      <c r="C10" s="281"/>
      <c r="D10" s="282" t="s">
        <v>142</v>
      </c>
      <c r="E10" s="283"/>
      <c r="F10" s="283"/>
      <c r="G10" s="283"/>
      <c r="H10" s="283"/>
      <c r="I10" s="283"/>
      <c r="J10" s="284"/>
      <c r="K10" s="266"/>
      <c r="L10" s="127" t="s">
        <v>143</v>
      </c>
      <c r="M10" s="127" t="s">
        <v>144</v>
      </c>
      <c r="N10" s="127" t="s">
        <v>145</v>
      </c>
      <c r="O10" s="128" t="s">
        <v>146</v>
      </c>
    </row>
    <row r="11" spans="1:15" ht="21.75" customHeight="1" x14ac:dyDescent="0.3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 x14ac:dyDescent="0.3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 x14ac:dyDescent="0.3">
      <c r="A13" s="135"/>
      <c r="B13" s="254" t="s">
        <v>183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6" t="s">
        <v>147</v>
      </c>
      <c r="O13" s="134"/>
    </row>
    <row r="14" spans="1:15" ht="9" customHeight="1" x14ac:dyDescent="0.3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 x14ac:dyDescent="0.3">
      <c r="A15" s="135"/>
      <c r="B15" s="237" t="str">
        <f>"견 적 금 액 : 一金"&amp;NUMBERSTRING(M32,1) &amp; "원정""(\"&amp; TEXT(M32,"#,###")&amp;"원) [VAT 별도]"</f>
        <v>견 적 금 액 : 一金오백오십칠만일천칠백이십오원정"(\5,571,725원)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 x14ac:dyDescent="0.35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9"/>
      <c r="L16" s="239"/>
      <c r="M16" s="239"/>
      <c r="N16" s="239"/>
      <c r="O16" s="240"/>
    </row>
    <row r="17" spans="1:17" ht="27.75" customHeight="1" thickBot="1" x14ac:dyDescent="0.35">
      <c r="A17" s="137" t="s">
        <v>148</v>
      </c>
      <c r="B17" s="247" t="s">
        <v>149</v>
      </c>
      <c r="C17" s="248"/>
      <c r="D17" s="248"/>
      <c r="E17" s="248"/>
      <c r="F17" s="248"/>
      <c r="G17" s="249"/>
      <c r="H17" s="138" t="s">
        <v>150</v>
      </c>
      <c r="I17" s="139" t="s">
        <v>151</v>
      </c>
      <c r="J17" s="250" t="s">
        <v>152</v>
      </c>
      <c r="K17" s="251"/>
      <c r="L17" s="251"/>
      <c r="M17" s="252"/>
      <c r="N17" s="247" t="s">
        <v>153</v>
      </c>
      <c r="O17" s="253"/>
    </row>
    <row r="18" spans="1:17" ht="28.5" customHeight="1" x14ac:dyDescent="0.3">
      <c r="A18" s="140">
        <v>1</v>
      </c>
      <c r="B18" s="241" t="s">
        <v>52</v>
      </c>
      <c r="C18" s="242"/>
      <c r="D18" s="242"/>
      <c r="E18" s="242"/>
      <c r="F18" s="242"/>
      <c r="G18" s="243"/>
      <c r="H18" s="173">
        <v>1</v>
      </c>
      <c r="I18" s="174" t="s">
        <v>6</v>
      </c>
      <c r="J18" s="244">
        <f>IFERROR(LOOKUP(2, 1/(TRIM('내역서(표준단가)'!O4:O100)&lt;&gt;""), '내역서(표준단가)'!O4:O100), "-")</f>
        <v>897493.73800000001</v>
      </c>
      <c r="K18" s="244"/>
      <c r="L18" s="244"/>
      <c r="M18" s="244"/>
      <c r="N18" s="245"/>
      <c r="O18" s="246"/>
    </row>
    <row r="19" spans="1:17" ht="28.5" customHeight="1" x14ac:dyDescent="0.3">
      <c r="A19" s="141">
        <v>2</v>
      </c>
      <c r="B19" s="221" t="s">
        <v>53</v>
      </c>
      <c r="C19" s="222"/>
      <c r="D19" s="222"/>
      <c r="E19" s="222"/>
      <c r="F19" s="222"/>
      <c r="G19" s="223"/>
      <c r="H19" s="175">
        <v>1</v>
      </c>
      <c r="I19" s="175" t="s">
        <v>6</v>
      </c>
      <c r="J19" s="224">
        <f>IFERROR(LOOKUP(2, 1/(TRIM('내역서(표준단가)'!Q4:Q100)&lt;&gt;""), '내역서(표준단가)'!Q4:Q100), "-")</f>
        <v>3495707.6123039997</v>
      </c>
      <c r="K19" s="225"/>
      <c r="L19" s="225"/>
      <c r="M19" s="226"/>
      <c r="N19" s="227"/>
      <c r="O19" s="228"/>
    </row>
    <row r="20" spans="1:17" ht="28.5" customHeight="1" x14ac:dyDescent="0.3">
      <c r="A20" s="141">
        <v>3</v>
      </c>
      <c r="B20" s="229" t="s">
        <v>154</v>
      </c>
      <c r="C20" s="230"/>
      <c r="D20" s="230"/>
      <c r="E20" s="230"/>
      <c r="F20" s="230"/>
      <c r="G20" s="231"/>
      <c r="H20" s="142">
        <v>1</v>
      </c>
      <c r="I20" s="142" t="s">
        <v>6</v>
      </c>
      <c r="J20" s="232">
        <f>IFERROR(SUM(J21:M29),"-")</f>
        <v>593660.08440047887</v>
      </c>
      <c r="K20" s="233"/>
      <c r="L20" s="233"/>
      <c r="M20" s="234"/>
      <c r="N20" s="235"/>
      <c r="O20" s="236"/>
      <c r="P20" s="143"/>
    </row>
    <row r="21" spans="1:17" ht="28.5" customHeight="1" x14ac:dyDescent="0.3">
      <c r="A21" s="140"/>
      <c r="B21" s="144"/>
      <c r="C21" s="213" t="s">
        <v>155</v>
      </c>
      <c r="D21" s="214"/>
      <c r="E21" s="214"/>
      <c r="F21" s="214"/>
      <c r="G21" s="215"/>
      <c r="H21" s="176">
        <v>1</v>
      </c>
      <c r="I21" s="176" t="s">
        <v>6</v>
      </c>
      <c r="J21" s="21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7"/>
      <c r="L21" s="217"/>
      <c r="M21" s="218"/>
      <c r="N21" s="219" t="s">
        <v>156</v>
      </c>
      <c r="O21" s="220"/>
    </row>
    <row r="22" spans="1:17" ht="28.5" customHeight="1" x14ac:dyDescent="0.3">
      <c r="A22" s="140"/>
      <c r="B22" s="144"/>
      <c r="C22" s="207" t="s">
        <v>157</v>
      </c>
      <c r="D22" s="208"/>
      <c r="E22" s="208"/>
      <c r="F22" s="208"/>
      <c r="G22" s="209"/>
      <c r="H22" s="145">
        <v>3.11</v>
      </c>
      <c r="I22" s="145" t="s">
        <v>158</v>
      </c>
      <c r="J22" s="210">
        <f>IFERROR((J18+J19)*H22%,"-")</f>
        <v>136628.56199445439</v>
      </c>
      <c r="K22" s="211"/>
      <c r="L22" s="211"/>
      <c r="M22" s="212"/>
      <c r="N22" s="203" t="s">
        <v>159</v>
      </c>
      <c r="O22" s="204"/>
    </row>
    <row r="23" spans="1:17" ht="28.5" customHeight="1" x14ac:dyDescent="0.3">
      <c r="A23" s="140"/>
      <c r="B23" s="144"/>
      <c r="C23" s="207" t="s">
        <v>160</v>
      </c>
      <c r="D23" s="208"/>
      <c r="E23" s="208"/>
      <c r="F23" s="208"/>
      <c r="G23" s="209"/>
      <c r="H23" s="145">
        <v>3.56</v>
      </c>
      <c r="I23" s="145" t="s">
        <v>161</v>
      </c>
      <c r="J23" s="210">
        <f>IFERROR(J19*H23%,"-")</f>
        <v>124447.19099802239</v>
      </c>
      <c r="K23" s="211"/>
      <c r="L23" s="211"/>
      <c r="M23" s="212"/>
      <c r="N23" s="203" t="s">
        <v>162</v>
      </c>
      <c r="O23" s="204"/>
    </row>
    <row r="24" spans="1:17" ht="28.5" customHeight="1" x14ac:dyDescent="0.3">
      <c r="A24" s="140"/>
      <c r="B24" s="144"/>
      <c r="C24" s="207" t="s">
        <v>163</v>
      </c>
      <c r="D24" s="208"/>
      <c r="E24" s="208"/>
      <c r="F24" s="208"/>
      <c r="G24" s="209"/>
      <c r="H24" s="145">
        <v>1.01</v>
      </c>
      <c r="I24" s="145" t="s">
        <v>161</v>
      </c>
      <c r="J24" s="210">
        <f>IFERROR(J19*H24%,"-")</f>
        <v>35306.646884270398</v>
      </c>
      <c r="K24" s="211"/>
      <c r="L24" s="211"/>
      <c r="M24" s="212"/>
      <c r="N24" s="203" t="s">
        <v>164</v>
      </c>
      <c r="O24" s="204"/>
    </row>
    <row r="25" spans="1:17" ht="28.5" customHeight="1" x14ac:dyDescent="0.3">
      <c r="A25" s="140"/>
      <c r="B25" s="144"/>
      <c r="C25" s="207" t="s">
        <v>165</v>
      </c>
      <c r="D25" s="208"/>
      <c r="E25" s="208"/>
      <c r="F25" s="208"/>
      <c r="G25" s="209"/>
      <c r="H25" s="146">
        <v>3.5449999999999999</v>
      </c>
      <c r="I25" s="145" t="s">
        <v>161</v>
      </c>
      <c r="J25" s="210">
        <f>IFERROR(J19*H25%,"-")</f>
        <v>123922.83485617679</v>
      </c>
      <c r="K25" s="211"/>
      <c r="L25" s="211"/>
      <c r="M25" s="212"/>
      <c r="N25" s="203" t="s">
        <v>166</v>
      </c>
      <c r="O25" s="204"/>
      <c r="Q25" s="143"/>
    </row>
    <row r="26" spans="1:17" ht="28.5" customHeight="1" x14ac:dyDescent="0.3">
      <c r="A26" s="140"/>
      <c r="B26" s="144"/>
      <c r="C26" s="207" t="s">
        <v>167</v>
      </c>
      <c r="D26" s="208"/>
      <c r="E26" s="208"/>
      <c r="F26" s="208"/>
      <c r="G26" s="209"/>
      <c r="H26" s="145">
        <v>4.5</v>
      </c>
      <c r="I26" s="145" t="s">
        <v>161</v>
      </c>
      <c r="J26" s="210">
        <f>IFERROR(J19*H26%,"-")</f>
        <v>157306.84255367998</v>
      </c>
      <c r="K26" s="211"/>
      <c r="L26" s="211"/>
      <c r="M26" s="212"/>
      <c r="N26" s="203" t="s">
        <v>168</v>
      </c>
      <c r="O26" s="204"/>
      <c r="Q26" s="147"/>
    </row>
    <row r="27" spans="1:17" ht="28.5" customHeight="1" x14ac:dyDescent="0.3">
      <c r="A27" s="140"/>
      <c r="B27" s="144"/>
      <c r="C27" s="197" t="s">
        <v>169</v>
      </c>
      <c r="D27" s="198"/>
      <c r="E27" s="198"/>
      <c r="F27" s="198"/>
      <c r="G27" s="199"/>
      <c r="H27" s="148">
        <v>12.95</v>
      </c>
      <c r="I27" s="149" t="s">
        <v>161</v>
      </c>
      <c r="J27" s="200">
        <f>IFERROR($H$27*J25%,"-")</f>
        <v>16048.007113874894</v>
      </c>
      <c r="K27" s="201"/>
      <c r="L27" s="201"/>
      <c r="M27" s="202"/>
      <c r="N27" s="203" t="s">
        <v>170</v>
      </c>
      <c r="O27" s="204"/>
    </row>
    <row r="28" spans="1:17" ht="28.5" customHeight="1" x14ac:dyDescent="0.3">
      <c r="A28" s="140"/>
      <c r="B28" s="144"/>
      <c r="C28" s="197" t="s">
        <v>171</v>
      </c>
      <c r="D28" s="198"/>
      <c r="E28" s="198"/>
      <c r="F28" s="198"/>
      <c r="G28" s="199"/>
      <c r="H28" s="148">
        <v>8.1000000000000003E-2</v>
      </c>
      <c r="I28" s="149" t="s">
        <v>161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172</v>
      </c>
      <c r="O28" s="206"/>
    </row>
    <row r="29" spans="1:17" ht="28.5" customHeight="1" x14ac:dyDescent="0.3">
      <c r="A29" s="150"/>
      <c r="B29" s="151"/>
      <c r="C29" s="177" t="s">
        <v>173</v>
      </c>
      <c r="D29" s="178"/>
      <c r="E29" s="178"/>
      <c r="F29" s="178"/>
      <c r="G29" s="179"/>
      <c r="H29" s="152">
        <v>1</v>
      </c>
      <c r="I29" s="153" t="s">
        <v>174</v>
      </c>
      <c r="J29" s="180">
        <f>34*0</f>
        <v>0</v>
      </c>
      <c r="K29" s="181"/>
      <c r="L29" s="181"/>
      <c r="M29" s="182"/>
      <c r="N29" s="183" t="s">
        <v>175</v>
      </c>
      <c r="O29" s="184"/>
    </row>
    <row r="30" spans="1:17" ht="28.5" customHeight="1" x14ac:dyDescent="0.3">
      <c r="A30" s="150">
        <v>4</v>
      </c>
      <c r="B30" s="151"/>
      <c r="C30" s="177" t="s">
        <v>176</v>
      </c>
      <c r="D30" s="178"/>
      <c r="E30" s="178"/>
      <c r="F30" s="178"/>
      <c r="G30" s="179"/>
      <c r="H30" s="153">
        <v>5</v>
      </c>
      <c r="I30" s="154" t="s">
        <v>177</v>
      </c>
      <c r="J30" s="190">
        <f>IFERROR(IF(ISNUMBER(H30), SUM(J18:M20) * (H30 / 100), "-"), "-")</f>
        <v>249343.07173522396</v>
      </c>
      <c r="K30" s="191"/>
      <c r="L30" s="191"/>
      <c r="M30" s="192"/>
      <c r="N30" s="193" t="s">
        <v>178</v>
      </c>
      <c r="O30" s="194"/>
    </row>
    <row r="31" spans="1:17" ht="28.5" customHeight="1" thickBot="1" x14ac:dyDescent="0.35">
      <c r="A31" s="150">
        <v>5</v>
      </c>
      <c r="B31" s="151"/>
      <c r="C31" s="177" t="s">
        <v>179</v>
      </c>
      <c r="D31" s="178"/>
      <c r="E31" s="178"/>
      <c r="F31" s="178"/>
      <c r="G31" s="179"/>
      <c r="H31" s="153">
        <v>7.5</v>
      </c>
      <c r="I31" s="154" t="s">
        <v>161</v>
      </c>
      <c r="J31" s="180">
        <f>IFERROR(SUM(J18:M20, J30) * (H31 / 100), "-")+-57194</f>
        <v>335521.33798297768</v>
      </c>
      <c r="K31" s="181"/>
      <c r="L31" s="181"/>
      <c r="M31" s="182"/>
      <c r="N31" s="195" t="s">
        <v>180</v>
      </c>
      <c r="O31" s="196"/>
      <c r="Q31" s="155"/>
    </row>
    <row r="32" spans="1:17" ht="28.5" customHeight="1" thickBot="1" x14ac:dyDescent="0.35">
      <c r="A32" s="185" t="s">
        <v>181</v>
      </c>
      <c r="B32" s="186"/>
      <c r="C32" s="186"/>
      <c r="D32" s="186"/>
      <c r="E32" s="186"/>
      <c r="F32" s="186"/>
      <c r="G32" s="186"/>
      <c r="H32" s="186"/>
      <c r="I32" s="187"/>
      <c r="J32" s="156"/>
      <c r="K32" s="157"/>
      <c r="L32" s="157"/>
      <c r="M32" s="158">
        <f>IFERROR(ROUNDDOWN(SUM(J18:M20)+J30+J31,0),"-")</f>
        <v>5571725</v>
      </c>
      <c r="N32" s="188"/>
      <c r="O32" s="189"/>
      <c r="P32" s="159"/>
    </row>
    <row r="33" spans="1:15" x14ac:dyDescent="0.3">
      <c r="A33" s="160" t="s">
        <v>182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x14ac:dyDescent="0.3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x14ac:dyDescent="0.3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 x14ac:dyDescent="0.3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 x14ac:dyDescent="0.35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 x14ac:dyDescent="0.3">
      <c r="M42" s="155"/>
    </row>
    <row r="43" spans="1:15" x14ac:dyDescent="0.3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topLeftCell="K1" zoomScale="90" zoomScaleNormal="90" workbookViewId="0">
      <pane ySplit="4" topLeftCell="A5" activePane="bottomLeft" state="frozen"/>
      <selection pane="bottomLeft" activeCell="AB12" sqref="AB12"/>
    </sheetView>
  </sheetViews>
  <sheetFormatPr defaultColWidth="9" defaultRowHeight="38.1" customHeight="1" x14ac:dyDescent="0.3"/>
  <cols>
    <col min="1" max="1" width="20.5" style="101" bestFit="1" customWidth="1"/>
    <col min="2" max="5" width="4.625" style="101" hidden="1" customWidth="1"/>
    <col min="6" max="6" width="9" style="87" hidden="1" customWidth="1"/>
    <col min="7" max="9" width="12.625" style="87" hidden="1" customWidth="1"/>
    <col min="10" max="11" width="30.625" style="81" customWidth="1"/>
    <col min="12" max="12" width="12.25" style="87" bestFit="1" customWidth="1"/>
    <col min="13" max="13" width="8.25" style="87" customWidth="1"/>
    <col min="14" max="14" width="10.625" style="87" bestFit="1" customWidth="1"/>
    <col min="15" max="15" width="12.75" style="87" bestFit="1" customWidth="1"/>
    <col min="16" max="16" width="12" style="87" bestFit="1" customWidth="1"/>
    <col min="17" max="17" width="15" style="87" bestFit="1" customWidth="1"/>
    <col min="18" max="18" width="9" style="87" customWidth="1"/>
    <col min="19" max="19" width="8.375" style="87" bestFit="1" customWidth="1"/>
    <col min="20" max="20" width="10.5" style="87" customWidth="1"/>
    <col min="21" max="21" width="8.375" style="87" bestFit="1" customWidth="1"/>
    <col min="22" max="22" width="15.625" style="87" bestFit="1" customWidth="1"/>
    <col min="23" max="23" width="10.625" style="2" bestFit="1" customWidth="1"/>
    <col min="24" max="24" width="8.5" style="87" bestFit="1" customWidth="1"/>
    <col min="25" max="16384" width="9" style="87"/>
  </cols>
  <sheetData>
    <row r="1" spans="1:24" ht="19.899999999999999" customHeight="1" x14ac:dyDescent="0.3">
      <c r="A1" s="285"/>
      <c r="B1" s="285"/>
      <c r="C1" s="285"/>
      <c r="D1" s="285"/>
      <c r="E1" s="285"/>
      <c r="F1" s="285"/>
      <c r="G1" s="285"/>
      <c r="H1" s="285"/>
      <c r="I1" s="285"/>
      <c r="N1" s="2"/>
      <c r="O1" s="85" t="s">
        <v>49</v>
      </c>
      <c r="Q1" s="85" t="s">
        <v>49</v>
      </c>
      <c r="S1" s="85" t="s">
        <v>49</v>
      </c>
      <c r="U1" s="85" t="s">
        <v>49</v>
      </c>
    </row>
    <row r="2" spans="1:24" ht="19.899999999999999" customHeight="1" thickBot="1" x14ac:dyDescent="0.35">
      <c r="A2" s="285"/>
      <c r="B2" s="285"/>
      <c r="C2" s="285"/>
      <c r="D2" s="285"/>
      <c r="E2" s="285"/>
      <c r="F2" s="285"/>
      <c r="G2" s="285"/>
      <c r="H2" s="285"/>
      <c r="I2" s="285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8"/>
      <c r="B3" s="89"/>
      <c r="C3" s="89"/>
      <c r="D3" s="89"/>
      <c r="E3" s="89"/>
      <c r="F3" s="89" t="s">
        <v>50</v>
      </c>
      <c r="G3" s="89"/>
      <c r="H3" s="89"/>
      <c r="I3" s="89"/>
      <c r="J3" s="296" t="s">
        <v>51</v>
      </c>
      <c r="K3" s="296"/>
      <c r="L3" s="294" t="s">
        <v>8</v>
      </c>
      <c r="M3" s="294" t="s">
        <v>5</v>
      </c>
      <c r="N3" s="290" t="s">
        <v>52</v>
      </c>
      <c r="O3" s="290"/>
      <c r="P3" s="290" t="s">
        <v>53</v>
      </c>
      <c r="Q3" s="290"/>
      <c r="R3" s="291" t="s">
        <v>54</v>
      </c>
      <c r="S3" s="291"/>
      <c r="T3" s="291" t="s">
        <v>55</v>
      </c>
      <c r="U3" s="291"/>
      <c r="V3" s="292" t="s">
        <v>56</v>
      </c>
      <c r="W3" s="288" t="s">
        <v>57</v>
      </c>
      <c r="X3" s="286" t="s">
        <v>7</v>
      </c>
    </row>
    <row r="4" spans="1:24" ht="19.899999999999999" customHeight="1" x14ac:dyDescent="0.3">
      <c r="A4" s="5" t="s">
        <v>58</v>
      </c>
      <c r="B4" s="86"/>
      <c r="C4" s="86"/>
      <c r="D4" s="86"/>
      <c r="E4" s="86"/>
      <c r="F4" s="6" t="s">
        <v>59</v>
      </c>
      <c r="G4" s="6" t="s">
        <v>60</v>
      </c>
      <c r="H4" s="6" t="s">
        <v>61</v>
      </c>
      <c r="I4" s="6" t="s">
        <v>62</v>
      </c>
      <c r="J4" s="82" t="s">
        <v>63</v>
      </c>
      <c r="K4" s="82" t="s">
        <v>64</v>
      </c>
      <c r="L4" s="295"/>
      <c r="M4" s="295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93"/>
      <c r="W4" s="289"/>
      <c r="X4" s="287"/>
    </row>
    <row r="5" spans="1:24" s="90" customFormat="1" ht="38.1" customHeight="1" x14ac:dyDescent="0.3">
      <c r="A5" s="9" t="str">
        <f t="shared" ref="A5:A6" si="0">F5&amp;G5&amp;H5&amp;I5</f>
        <v>M020853710050101</v>
      </c>
      <c r="B5" s="45"/>
      <c r="C5" s="45"/>
      <c r="D5" s="45"/>
      <c r="E5" s="45"/>
      <c r="F5" s="39"/>
      <c r="G5" s="10"/>
      <c r="H5" s="10" t="s">
        <v>104</v>
      </c>
      <c r="I5" s="39"/>
      <c r="J5" s="80" t="s">
        <v>105</v>
      </c>
      <c r="K5" s="80" t="s">
        <v>114</v>
      </c>
      <c r="L5" s="59" t="s">
        <v>113</v>
      </c>
      <c r="M5" s="79">
        <v>11.992000000000001</v>
      </c>
      <c r="N5" s="102">
        <v>20900</v>
      </c>
      <c r="O5" s="74">
        <f t="shared" ref="O5" si="1">SUM(N5:N5)*M5*$O$2</f>
        <v>209278.38800000001</v>
      </c>
      <c r="P5" s="73"/>
      <c r="Q5" s="74">
        <f t="shared" ref="Q5:Q17" si="2">(P5*M5)*$Q$2</f>
        <v>0</v>
      </c>
      <c r="R5" s="75"/>
      <c r="S5" s="74">
        <f t="shared" ref="S5:S17" si="3">R5*M5*$S$2</f>
        <v>0</v>
      </c>
      <c r="T5" s="75"/>
      <c r="U5" s="74">
        <f t="shared" ref="U5:U17" si="4">T5*M5*$U$2</f>
        <v>0</v>
      </c>
      <c r="V5" s="13">
        <f t="shared" ref="V5:V17" si="5">SUM(O5+Q5)+S5+U5</f>
        <v>209278.38800000001</v>
      </c>
      <c r="W5" s="58"/>
      <c r="X5" s="14"/>
    </row>
    <row r="6" spans="1:24" s="90" customFormat="1" ht="38.1" customHeight="1" x14ac:dyDescent="0.3">
      <c r="A6" s="9" t="str">
        <f t="shared" si="0"/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80" t="s">
        <v>71</v>
      </c>
      <c r="K6" s="80" t="s">
        <v>115</v>
      </c>
      <c r="L6" s="11" t="s">
        <v>70</v>
      </c>
      <c r="M6" s="79">
        <v>2.956</v>
      </c>
      <c r="N6" s="76"/>
      <c r="O6" s="74">
        <f t="shared" ref="O6" si="6">SUM(N6:N6)*M6*$O$2</f>
        <v>0</v>
      </c>
      <c r="P6" s="73">
        <v>487076</v>
      </c>
      <c r="Q6" s="74">
        <f t="shared" ref="Q6" si="7">(P6*M6)*$Q$2</f>
        <v>1202230.2077599999</v>
      </c>
      <c r="R6" s="75"/>
      <c r="S6" s="74">
        <f t="shared" ref="S6" si="8">R6*M6*$S$2</f>
        <v>0</v>
      </c>
      <c r="T6" s="75"/>
      <c r="U6" s="74">
        <f t="shared" ref="U6" si="9">T6*M6*$U$2</f>
        <v>0</v>
      </c>
      <c r="V6" s="13">
        <f t="shared" ref="V6" si="10">SUM(O6+Q6)+S6+U6</f>
        <v>1202230.2077599999</v>
      </c>
      <c r="W6" s="58"/>
      <c r="X6" s="14"/>
    </row>
    <row r="7" spans="1:24" s="90" customFormat="1" ht="38.1" customHeight="1" x14ac:dyDescent="0.3">
      <c r="A7" s="9" t="str">
        <f t="shared" ref="A7:A18" si="11">F7&amp;G7&amp;H7&amp;I7</f>
        <v>E00000803071260301</v>
      </c>
      <c r="B7" s="45"/>
      <c r="C7" s="45"/>
      <c r="D7" s="45"/>
      <c r="E7" s="45"/>
      <c r="F7" s="39"/>
      <c r="G7" s="10" t="s">
        <v>69</v>
      </c>
      <c r="H7" s="10"/>
      <c r="I7" s="39"/>
      <c r="J7" s="80" t="s">
        <v>72</v>
      </c>
      <c r="K7" s="80" t="s">
        <v>116</v>
      </c>
      <c r="L7" s="11" t="s">
        <v>70</v>
      </c>
      <c r="M7" s="79">
        <v>1.7709999999999999</v>
      </c>
      <c r="N7" s="76"/>
      <c r="O7" s="74">
        <f t="shared" ref="O7:O17" si="12">SUM(N7:N7)*M7*$O$2</f>
        <v>0</v>
      </c>
      <c r="P7" s="73">
        <v>487076</v>
      </c>
      <c r="Q7" s="74">
        <f t="shared" si="2"/>
        <v>720280.68265999993</v>
      </c>
      <c r="R7" s="75"/>
      <c r="S7" s="74">
        <f t="shared" si="3"/>
        <v>0</v>
      </c>
      <c r="T7" s="75"/>
      <c r="U7" s="74">
        <f t="shared" si="4"/>
        <v>0</v>
      </c>
      <c r="V7" s="13">
        <f t="shared" si="5"/>
        <v>720280.68265999993</v>
      </c>
      <c r="W7" s="58"/>
      <c r="X7" s="14"/>
    </row>
    <row r="8" spans="1:24" s="90" customFormat="1" ht="38.1" customHeight="1" x14ac:dyDescent="0.3">
      <c r="A8" s="9" t="str">
        <f t="shared" si="11"/>
        <v>M020809012520101</v>
      </c>
      <c r="B8" s="45"/>
      <c r="C8" s="45"/>
      <c r="D8" s="45"/>
      <c r="E8" s="45"/>
      <c r="F8" s="39"/>
      <c r="G8" s="10"/>
      <c r="H8" s="10" t="s">
        <v>107</v>
      </c>
      <c r="I8" s="39"/>
      <c r="J8" s="80" t="s">
        <v>108</v>
      </c>
      <c r="K8" s="80" t="s">
        <v>109</v>
      </c>
      <c r="L8" s="59" t="s">
        <v>106</v>
      </c>
      <c r="M8" s="79">
        <v>59.5</v>
      </c>
      <c r="N8" s="77">
        <v>13000</v>
      </c>
      <c r="O8" s="74">
        <f t="shared" si="12"/>
        <v>645872.5</v>
      </c>
      <c r="P8" s="73"/>
      <c r="Q8" s="74">
        <f t="shared" si="2"/>
        <v>0</v>
      </c>
      <c r="R8" s="75"/>
      <c r="S8" s="74">
        <f t="shared" si="3"/>
        <v>0</v>
      </c>
      <c r="T8" s="75"/>
      <c r="U8" s="74">
        <f t="shared" si="4"/>
        <v>0</v>
      </c>
      <c r="V8" s="13">
        <f t="shared" si="5"/>
        <v>645872.5</v>
      </c>
      <c r="W8" s="58"/>
      <c r="X8" s="14"/>
    </row>
    <row r="9" spans="1:24" s="90" customFormat="1" ht="38.1" customHeight="1" x14ac:dyDescent="0.3">
      <c r="A9" s="9" t="str">
        <f t="shared" si="11"/>
        <v>E00000803071260401</v>
      </c>
      <c r="B9" s="45"/>
      <c r="C9" s="45"/>
      <c r="D9" s="45"/>
      <c r="E9" s="45"/>
      <c r="F9" s="39"/>
      <c r="G9" s="10" t="s">
        <v>73</v>
      </c>
      <c r="H9" s="10"/>
      <c r="I9" s="39"/>
      <c r="J9" s="80" t="s">
        <v>74</v>
      </c>
      <c r="K9" s="80" t="s">
        <v>117</v>
      </c>
      <c r="L9" s="11" t="s">
        <v>70</v>
      </c>
      <c r="M9" s="79">
        <v>0.97540000000000004</v>
      </c>
      <c r="N9" s="76"/>
      <c r="O9" s="74">
        <f t="shared" si="12"/>
        <v>0</v>
      </c>
      <c r="P9" s="73">
        <v>487076</v>
      </c>
      <c r="Q9" s="74">
        <f t="shared" si="2"/>
        <v>396703.43188400002</v>
      </c>
      <c r="R9" s="75"/>
      <c r="S9" s="74">
        <f t="shared" si="3"/>
        <v>0</v>
      </c>
      <c r="T9" s="75"/>
      <c r="U9" s="74">
        <f t="shared" si="4"/>
        <v>0</v>
      </c>
      <c r="V9" s="13">
        <f t="shared" si="5"/>
        <v>396703.43188400002</v>
      </c>
      <c r="W9" s="58"/>
      <c r="X9" s="14"/>
    </row>
    <row r="10" spans="1:24" s="90" customFormat="1" ht="38.1" customHeight="1" x14ac:dyDescent="0.3">
      <c r="A10" s="9" t="str">
        <f t="shared" si="11"/>
        <v>M020412614110102</v>
      </c>
      <c r="B10" s="45"/>
      <c r="C10" s="45"/>
      <c r="D10" s="45"/>
      <c r="E10" s="45"/>
      <c r="F10" s="39"/>
      <c r="G10" s="10"/>
      <c r="H10" s="69" t="s">
        <v>99</v>
      </c>
      <c r="I10" s="39"/>
      <c r="J10" s="83" t="s">
        <v>98</v>
      </c>
      <c r="K10" s="83" t="s">
        <v>93</v>
      </c>
      <c r="L10" s="70" t="s">
        <v>92</v>
      </c>
      <c r="M10" s="79">
        <v>0.5</v>
      </c>
      <c r="N10" s="78">
        <v>65500</v>
      </c>
      <c r="O10" s="74">
        <f t="shared" si="12"/>
        <v>27346.25</v>
      </c>
      <c r="P10" s="73"/>
      <c r="Q10" s="74"/>
      <c r="R10" s="75"/>
      <c r="S10" s="74"/>
      <c r="T10" s="75"/>
      <c r="U10" s="74"/>
      <c r="V10" s="13">
        <f t="shared" si="5"/>
        <v>27346.25</v>
      </c>
      <c r="W10" s="58"/>
      <c r="X10" s="14"/>
    </row>
    <row r="11" spans="1:24" s="90" customFormat="1" ht="38.1" customHeight="1" x14ac:dyDescent="0.3">
      <c r="A11" s="9" t="str">
        <f t="shared" si="11"/>
        <v>E00000803061120402</v>
      </c>
      <c r="B11" s="45"/>
      <c r="C11" s="45"/>
      <c r="D11" s="45"/>
      <c r="E11" s="45"/>
      <c r="F11" s="39"/>
      <c r="G11" s="10" t="s">
        <v>75</v>
      </c>
      <c r="H11" s="10"/>
      <c r="I11" s="39"/>
      <c r="J11" s="80" t="s">
        <v>76</v>
      </c>
      <c r="K11" s="80" t="s">
        <v>77</v>
      </c>
      <c r="L11" s="59" t="s">
        <v>90</v>
      </c>
      <c r="M11" s="79">
        <v>48</v>
      </c>
      <c r="N11" s="73"/>
      <c r="O11" s="74">
        <f t="shared" si="12"/>
        <v>0</v>
      </c>
      <c r="P11" s="73">
        <v>10432</v>
      </c>
      <c r="Q11" s="74">
        <f t="shared" si="2"/>
        <v>418114.56</v>
      </c>
      <c r="R11" s="75"/>
      <c r="S11" s="74">
        <f t="shared" si="3"/>
        <v>0</v>
      </c>
      <c r="T11" s="75"/>
      <c r="U11" s="74">
        <f t="shared" si="4"/>
        <v>0</v>
      </c>
      <c r="V11" s="13">
        <f t="shared" si="5"/>
        <v>418114.56</v>
      </c>
      <c r="W11" s="58"/>
      <c r="X11" s="14"/>
    </row>
    <row r="12" spans="1:24" s="90" customFormat="1" ht="38.1" customHeight="1" x14ac:dyDescent="0.3">
      <c r="A12" s="9" t="str">
        <f t="shared" si="11"/>
        <v>E00000803061300201</v>
      </c>
      <c r="B12" s="45"/>
      <c r="C12" s="45"/>
      <c r="D12" s="45"/>
      <c r="E12" s="45"/>
      <c r="F12" s="39"/>
      <c r="G12" s="10" t="s">
        <v>79</v>
      </c>
      <c r="H12" s="10"/>
      <c r="I12" s="39"/>
      <c r="J12" s="80" t="s">
        <v>80</v>
      </c>
      <c r="K12" s="80" t="s">
        <v>81</v>
      </c>
      <c r="L12" s="59" t="s">
        <v>78</v>
      </c>
      <c r="M12" s="79">
        <v>48</v>
      </c>
      <c r="N12" s="73"/>
      <c r="O12" s="74">
        <f t="shared" si="12"/>
        <v>0</v>
      </c>
      <c r="P12" s="73">
        <v>6179</v>
      </c>
      <c r="Q12" s="74">
        <f t="shared" si="2"/>
        <v>247654.31999999998</v>
      </c>
      <c r="R12" s="75"/>
      <c r="S12" s="74">
        <f t="shared" si="3"/>
        <v>0</v>
      </c>
      <c r="T12" s="75"/>
      <c r="U12" s="74">
        <f t="shared" si="4"/>
        <v>0</v>
      </c>
      <c r="V12" s="13">
        <f t="shared" si="5"/>
        <v>247654.31999999998</v>
      </c>
      <c r="W12" s="58"/>
      <c r="X12" s="14"/>
    </row>
    <row r="13" spans="1:24" s="90" customFormat="1" ht="38.1" customHeight="1" x14ac:dyDescent="0.3">
      <c r="A13" s="9" t="str">
        <f t="shared" si="11"/>
        <v>M020411810170101</v>
      </c>
      <c r="B13" s="45"/>
      <c r="C13" s="45"/>
      <c r="D13" s="45"/>
      <c r="E13" s="45"/>
      <c r="F13" s="39"/>
      <c r="G13" s="10"/>
      <c r="H13" s="69" t="s">
        <v>94</v>
      </c>
      <c r="I13" s="39"/>
      <c r="J13" s="83" t="s">
        <v>95</v>
      </c>
      <c r="K13" s="83" t="s">
        <v>96</v>
      </c>
      <c r="L13" s="70" t="s">
        <v>92</v>
      </c>
      <c r="M13" s="79">
        <v>0.2</v>
      </c>
      <c r="N13" s="78">
        <v>89800</v>
      </c>
      <c r="O13" s="74">
        <f t="shared" si="12"/>
        <v>14996.599999999999</v>
      </c>
      <c r="P13" s="73"/>
      <c r="Q13" s="74"/>
      <c r="R13" s="75"/>
      <c r="S13" s="74">
        <f t="shared" si="3"/>
        <v>0</v>
      </c>
      <c r="T13" s="75"/>
      <c r="U13" s="74">
        <f t="shared" si="4"/>
        <v>0</v>
      </c>
      <c r="V13" s="13">
        <f t="shared" si="5"/>
        <v>14996.599999999999</v>
      </c>
      <c r="W13" s="58"/>
      <c r="X13" s="14"/>
    </row>
    <row r="14" spans="1:24" s="90" customFormat="1" ht="38.1" customHeight="1" x14ac:dyDescent="0.3">
      <c r="A14" s="9" t="str">
        <f t="shared" si="11"/>
        <v>E00000803061120802</v>
      </c>
      <c r="B14" s="45"/>
      <c r="C14" s="45"/>
      <c r="D14" s="45"/>
      <c r="E14" s="45"/>
      <c r="F14" s="39"/>
      <c r="G14" s="10" t="s">
        <v>82</v>
      </c>
      <c r="H14" s="10"/>
      <c r="I14" s="39"/>
      <c r="J14" s="80" t="s">
        <v>83</v>
      </c>
      <c r="K14" s="80" t="s">
        <v>84</v>
      </c>
      <c r="L14" s="59" t="s">
        <v>78</v>
      </c>
      <c r="M14" s="79">
        <v>16</v>
      </c>
      <c r="N14" s="91"/>
      <c r="O14" s="12">
        <f t="shared" si="12"/>
        <v>0</v>
      </c>
      <c r="P14" s="92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8"/>
      <c r="X14" s="14"/>
    </row>
    <row r="15" spans="1:24" s="90" customFormat="1" ht="38.1" customHeight="1" x14ac:dyDescent="0.3">
      <c r="A15" s="9" t="str">
        <f t="shared" si="11"/>
        <v>E00000803061300701</v>
      </c>
      <c r="B15" s="45"/>
      <c r="C15" s="45"/>
      <c r="D15" s="45"/>
      <c r="E15" s="45"/>
      <c r="F15" s="39"/>
      <c r="G15" s="10" t="s">
        <v>85</v>
      </c>
      <c r="H15" s="10"/>
      <c r="I15" s="39"/>
      <c r="J15" s="80" t="s">
        <v>86</v>
      </c>
      <c r="K15" s="80" t="s">
        <v>81</v>
      </c>
      <c r="L15" s="59" t="s">
        <v>78</v>
      </c>
      <c r="M15" s="79">
        <v>16</v>
      </c>
      <c r="N15" s="60"/>
      <c r="O15" s="12">
        <f t="shared" si="12"/>
        <v>0</v>
      </c>
      <c r="P15" s="92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8"/>
      <c r="X15" s="14"/>
    </row>
    <row r="16" spans="1:24" s="90" customFormat="1" ht="38.1" customHeight="1" x14ac:dyDescent="0.3">
      <c r="A16" s="9" t="str">
        <f t="shared" si="11"/>
        <v>E00000803061120802</v>
      </c>
      <c r="B16" s="45"/>
      <c r="C16" s="45"/>
      <c r="D16" s="45"/>
      <c r="E16" s="45"/>
      <c r="F16" s="39"/>
      <c r="G16" s="10" t="s">
        <v>82</v>
      </c>
      <c r="H16" s="10"/>
      <c r="I16" s="39"/>
      <c r="J16" s="80" t="s">
        <v>87</v>
      </c>
      <c r="K16" s="80" t="s">
        <v>84</v>
      </c>
      <c r="L16" s="59" t="s">
        <v>78</v>
      </c>
      <c r="M16" s="79">
        <v>2</v>
      </c>
      <c r="N16" s="91"/>
      <c r="O16" s="12">
        <f t="shared" si="12"/>
        <v>0</v>
      </c>
      <c r="P16" s="92">
        <v>2422</v>
      </c>
      <c r="Q16" s="12">
        <f t="shared" si="2"/>
        <v>4044.74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4044.74</v>
      </c>
      <c r="W16" s="58"/>
      <c r="X16" s="14"/>
    </row>
    <row r="17" spans="1:24" s="90" customFormat="1" ht="38.1" customHeight="1" x14ac:dyDescent="0.3">
      <c r="A17" s="9" t="str">
        <f t="shared" si="11"/>
        <v>E00000803061300401</v>
      </c>
      <c r="B17" s="45"/>
      <c r="C17" s="45"/>
      <c r="D17" s="45"/>
      <c r="E17" s="45"/>
      <c r="F17" s="39"/>
      <c r="G17" s="10" t="s">
        <v>88</v>
      </c>
      <c r="H17" s="10"/>
      <c r="I17" s="39"/>
      <c r="J17" s="80" t="s">
        <v>89</v>
      </c>
      <c r="K17" s="80" t="s">
        <v>81</v>
      </c>
      <c r="L17" s="59" t="s">
        <v>78</v>
      </c>
      <c r="M17" s="79">
        <v>2</v>
      </c>
      <c r="N17" s="60"/>
      <c r="O17" s="12">
        <f t="shared" si="12"/>
        <v>0</v>
      </c>
      <c r="P17" s="92">
        <v>5677</v>
      </c>
      <c r="Q17" s="12">
        <f t="shared" si="2"/>
        <v>9480.59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9480.59</v>
      </c>
      <c r="W17" s="58"/>
      <c r="X17" s="14"/>
    </row>
    <row r="18" spans="1:24" s="90" customFormat="1" ht="38.1" customHeight="1" x14ac:dyDescent="0.3">
      <c r="A18" s="9" t="str">
        <f t="shared" si="11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93" t="s">
        <v>102</v>
      </c>
      <c r="K18" s="93" t="s">
        <v>111</v>
      </c>
      <c r="L18" s="94" t="s">
        <v>103</v>
      </c>
      <c r="M18" s="79">
        <v>100</v>
      </c>
      <c r="N18" s="91"/>
      <c r="O18" s="12">
        <f t="shared" ref="O18" si="13">SUM(N18:N18)*M18*$O$2</f>
        <v>0</v>
      </c>
      <c r="P18" s="103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8"/>
      <c r="X18" s="14"/>
    </row>
    <row r="19" spans="1:24" s="100" customFormat="1" ht="38.1" customHeight="1" x14ac:dyDescent="0.3">
      <c r="A19" s="95"/>
      <c r="B19" s="96"/>
      <c r="C19" s="96"/>
      <c r="D19" s="96"/>
      <c r="E19" s="96"/>
      <c r="F19" s="96"/>
      <c r="G19" s="96"/>
      <c r="H19" s="96"/>
      <c r="I19" s="96"/>
      <c r="J19" s="84"/>
      <c r="K19" s="84"/>
      <c r="L19" s="96"/>
      <c r="M19" s="96"/>
      <c r="N19" s="96"/>
      <c r="O19" s="97">
        <f>SUM(O5:O18)</f>
        <v>897493.73800000001</v>
      </c>
      <c r="P19" s="98"/>
      <c r="Q19" s="97">
        <f>SUM(Q5:Q18)</f>
        <v>3495707.6123039997</v>
      </c>
      <c r="R19" s="98"/>
      <c r="S19" s="97">
        <f>SUM(S5:S18)</f>
        <v>0</v>
      </c>
      <c r="T19" s="98"/>
      <c r="U19" s="97">
        <f>SUM(U5:U18)</f>
        <v>0</v>
      </c>
      <c r="V19" s="99">
        <f>SUM(V5:V18)</f>
        <v>4393201.3503040001</v>
      </c>
      <c r="W19" s="48"/>
      <c r="X19" s="9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C37" sqref="C37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5.25" style="38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299" t="s">
        <v>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</row>
    <row r="2" spans="1:16" ht="15" customHeight="1" x14ac:dyDescent="0.3">
      <c r="A2" s="300" t="s">
        <v>10</v>
      </c>
      <c r="B2" s="301" t="s">
        <v>11</v>
      </c>
      <c r="C2" s="302" t="s">
        <v>8</v>
      </c>
      <c r="D2" s="302" t="s">
        <v>12</v>
      </c>
      <c r="E2" s="304" t="s">
        <v>13</v>
      </c>
      <c r="F2" s="301"/>
      <c r="G2" s="301" t="s">
        <v>14</v>
      </c>
      <c r="H2" s="301"/>
      <c r="I2" s="305" t="s">
        <v>15</v>
      </c>
      <c r="J2" s="306"/>
      <c r="K2" s="305" t="s">
        <v>16</v>
      </c>
      <c r="L2" s="306"/>
      <c r="M2" s="304" t="s">
        <v>17</v>
      </c>
      <c r="N2" s="301"/>
      <c r="O2" s="307" t="s">
        <v>18</v>
      </c>
    </row>
    <row r="3" spans="1:16" ht="15" customHeight="1" x14ac:dyDescent="0.3">
      <c r="A3" s="300"/>
      <c r="B3" s="301"/>
      <c r="C3" s="303"/>
      <c r="D3" s="303"/>
      <c r="E3" s="68" t="s">
        <v>19</v>
      </c>
      <c r="F3" s="68" t="s">
        <v>20</v>
      </c>
      <c r="G3" s="16" t="s">
        <v>19</v>
      </c>
      <c r="H3" s="68" t="s">
        <v>21</v>
      </c>
      <c r="I3" s="68"/>
      <c r="J3" s="68"/>
      <c r="K3" s="16" t="s">
        <v>19</v>
      </c>
      <c r="L3" s="68" t="s">
        <v>21</v>
      </c>
      <c r="M3" s="16" t="s">
        <v>19</v>
      </c>
      <c r="N3" s="68" t="s">
        <v>21</v>
      </c>
      <c r="O3" s="308"/>
    </row>
    <row r="4" spans="1:16" ht="15" customHeight="1" x14ac:dyDescent="0.3">
      <c r="A4" s="297" t="s">
        <v>118</v>
      </c>
      <c r="B4" s="29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10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2" si="0">D5*E5</f>
        <v>42280</v>
      </c>
      <c r="G5" s="21">
        <v>8839.9</v>
      </c>
      <c r="H5" s="21">
        <f t="shared" ref="H5:H12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312" t="s">
        <v>100</v>
      </c>
    </row>
    <row r="6" spans="1:16" ht="15" customHeight="1" x14ac:dyDescent="0.3">
      <c r="A6" s="311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313"/>
    </row>
    <row r="7" spans="1:16" ht="15" customHeight="1" x14ac:dyDescent="0.3">
      <c r="A7" s="311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13"/>
      <c r="P7" s="56">
        <f>D6+D8+D10+D12</f>
        <v>62</v>
      </c>
    </row>
    <row r="8" spans="1:16" ht="15" customHeight="1" x14ac:dyDescent="0.3">
      <c r="A8" s="311"/>
      <c r="B8" s="18" t="s">
        <v>27</v>
      </c>
      <c r="C8" s="19" t="s">
        <v>24</v>
      </c>
      <c r="D8" s="20">
        <v>16</v>
      </c>
      <c r="E8" s="21">
        <v>1057</v>
      </c>
      <c r="F8" s="21">
        <f t="shared" si="0"/>
        <v>16912</v>
      </c>
      <c r="G8" s="21">
        <v>11617.4</v>
      </c>
      <c r="H8" s="21">
        <f t="shared" si="1"/>
        <v>185878.39999999999</v>
      </c>
      <c r="I8" s="21"/>
      <c r="J8" s="21"/>
      <c r="K8" s="21"/>
      <c r="L8" s="21"/>
      <c r="M8" s="21"/>
      <c r="N8" s="21">
        <f t="shared" si="2"/>
        <v>202790.39999999999</v>
      </c>
      <c r="O8" s="313"/>
    </row>
    <row r="9" spans="1:16" ht="15" customHeight="1" x14ac:dyDescent="0.3">
      <c r="A9" s="311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313"/>
    </row>
    <row r="10" spans="1:16" ht="15" customHeight="1" x14ac:dyDescent="0.3">
      <c r="A10" s="311"/>
      <c r="B10" s="18" t="s">
        <v>29</v>
      </c>
      <c r="C10" s="19" t="s">
        <v>24</v>
      </c>
      <c r="D10" s="20">
        <v>11</v>
      </c>
      <c r="E10" s="21">
        <v>1057</v>
      </c>
      <c r="F10" s="21">
        <f t="shared" si="0"/>
        <v>11627</v>
      </c>
      <c r="G10" s="21">
        <v>11617.4</v>
      </c>
      <c r="H10" s="21">
        <f t="shared" si="1"/>
        <v>127791.4</v>
      </c>
      <c r="I10" s="21"/>
      <c r="J10" s="21"/>
      <c r="K10" s="21"/>
      <c r="L10" s="21"/>
      <c r="M10" s="21"/>
      <c r="N10" s="21">
        <f t="shared" si="2"/>
        <v>139418.4</v>
      </c>
      <c r="O10" s="313"/>
    </row>
    <row r="11" spans="1:16" ht="15" customHeight="1" x14ac:dyDescent="0.3">
      <c r="A11" s="311"/>
      <c r="B11" s="18" t="s">
        <v>30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313"/>
    </row>
    <row r="12" spans="1:16" ht="15" customHeight="1" x14ac:dyDescent="0.3">
      <c r="A12" s="311"/>
      <c r="B12" s="18" t="s">
        <v>31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313"/>
    </row>
    <row r="13" spans="1:16" ht="15" customHeight="1" x14ac:dyDescent="0.3">
      <c r="A13" s="49" t="s">
        <v>32</v>
      </c>
      <c r="B13" s="50"/>
      <c r="C13" s="51"/>
      <c r="D13" s="52">
        <f>SUM(D5:D12)</f>
        <v>198</v>
      </c>
      <c r="E13" s="61"/>
      <c r="F13" s="53">
        <f>SUM(F5:F12)</f>
        <v>209286</v>
      </c>
      <c r="G13" s="53"/>
      <c r="H13" s="53">
        <f>SUM(H5:H12)</f>
        <v>1922505.1999999997</v>
      </c>
      <c r="I13" s="53"/>
      <c r="J13" s="53">
        <f>SUM(J5:J12)</f>
        <v>0</v>
      </c>
      <c r="K13" s="53"/>
      <c r="L13" s="53">
        <f>SUM(L5:L12)</f>
        <v>0</v>
      </c>
      <c r="M13" s="53"/>
      <c r="N13" s="53">
        <f>SUM(N5:N12)</f>
        <v>2131791.1999999997</v>
      </c>
      <c r="O13" s="53"/>
    </row>
    <row r="14" spans="1:16" ht="15" customHeight="1" x14ac:dyDescent="0.3">
      <c r="A14" s="314" t="s">
        <v>101</v>
      </c>
      <c r="B14" s="18" t="s">
        <v>33</v>
      </c>
      <c r="C14" s="19" t="s">
        <v>24</v>
      </c>
      <c r="D14" s="62">
        <v>28.9</v>
      </c>
      <c r="E14" s="21">
        <v>10855</v>
      </c>
      <c r="F14" s="63">
        <f>D14*E14</f>
        <v>313709.5</v>
      </c>
      <c r="G14" s="21">
        <v>6668.1</v>
      </c>
      <c r="H14" s="63">
        <f>D14*G14</f>
        <v>192708.09</v>
      </c>
      <c r="I14" s="63"/>
      <c r="J14" s="63"/>
      <c r="K14" s="21"/>
      <c r="L14" s="63"/>
      <c r="M14" s="21"/>
      <c r="N14" s="63">
        <f t="shared" ref="N14:N17" si="3">F14+H14+J14+L14</f>
        <v>506417.58999999997</v>
      </c>
      <c r="O14" s="313"/>
    </row>
    <row r="15" spans="1:16" ht="15" customHeight="1" x14ac:dyDescent="0.3">
      <c r="A15" s="314"/>
      <c r="B15" s="18" t="s">
        <v>34</v>
      </c>
      <c r="C15" s="19" t="s">
        <v>24</v>
      </c>
      <c r="D15" s="64">
        <v>12.4</v>
      </c>
      <c r="E15" s="21">
        <v>10855</v>
      </c>
      <c r="F15" s="63">
        <f>D15*E15</f>
        <v>134602</v>
      </c>
      <c r="G15" s="21">
        <v>6668.1</v>
      </c>
      <c r="H15" s="63">
        <f>D15*G15</f>
        <v>82684.44</v>
      </c>
      <c r="I15" s="63"/>
      <c r="J15" s="63"/>
      <c r="K15" s="21"/>
      <c r="L15" s="63"/>
      <c r="M15" s="21"/>
      <c r="N15" s="63">
        <f t="shared" si="3"/>
        <v>217286.44</v>
      </c>
      <c r="O15" s="313"/>
    </row>
    <row r="16" spans="1:16" ht="15" customHeight="1" x14ac:dyDescent="0.3">
      <c r="A16" s="314"/>
      <c r="B16" s="18" t="s">
        <v>35</v>
      </c>
      <c r="C16" s="19" t="s">
        <v>24</v>
      </c>
      <c r="D16" s="64">
        <v>9.9</v>
      </c>
      <c r="E16" s="21">
        <v>10855</v>
      </c>
      <c r="F16" s="63">
        <f>D16*E16</f>
        <v>107464.5</v>
      </c>
      <c r="G16" s="21">
        <v>6668.1</v>
      </c>
      <c r="H16" s="63">
        <f>D16*G16</f>
        <v>66014.19</v>
      </c>
      <c r="I16" s="63"/>
      <c r="J16" s="63"/>
      <c r="K16" s="21"/>
      <c r="L16" s="63"/>
      <c r="M16" s="21"/>
      <c r="N16" s="63">
        <f t="shared" si="3"/>
        <v>173478.69</v>
      </c>
      <c r="O16" s="313"/>
    </row>
    <row r="17" spans="1:15" ht="15" customHeight="1" x14ac:dyDescent="0.3">
      <c r="A17" s="315"/>
      <c r="B17" s="18" t="s">
        <v>36</v>
      </c>
      <c r="C17" s="19" t="s">
        <v>24</v>
      </c>
      <c r="D17" s="64">
        <v>8.3000000000000007</v>
      </c>
      <c r="E17" s="21">
        <v>10855</v>
      </c>
      <c r="F17" s="63">
        <f>D17*E17</f>
        <v>90096.500000000015</v>
      </c>
      <c r="G17" s="21">
        <v>6668.1</v>
      </c>
      <c r="H17" s="63">
        <f>D17*G17</f>
        <v>55345.23000000001</v>
      </c>
      <c r="I17" s="63"/>
      <c r="J17" s="63"/>
      <c r="K17" s="21"/>
      <c r="L17" s="63"/>
      <c r="M17" s="21"/>
      <c r="N17" s="63">
        <f t="shared" si="3"/>
        <v>145441.73000000004</v>
      </c>
      <c r="O17" s="316"/>
    </row>
    <row r="18" spans="1:15" ht="15" customHeight="1" x14ac:dyDescent="0.3">
      <c r="A18" s="40" t="s">
        <v>32</v>
      </c>
      <c r="B18" s="23"/>
      <c r="C18" s="27"/>
      <c r="D18" s="57">
        <f>SUM(D14:D17)</f>
        <v>59.5</v>
      </c>
      <c r="E18" s="26"/>
      <c r="F18" s="26">
        <f>SUM(F14:F17)</f>
        <v>645872.5</v>
      </c>
      <c r="G18" s="26"/>
      <c r="H18" s="26">
        <f>SUM(H14:H17)</f>
        <v>396751.95000000007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1042624.45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5" t="s">
        <v>97</v>
      </c>
      <c r="B20" s="71" t="s">
        <v>93</v>
      </c>
      <c r="C20" s="71" t="s">
        <v>92</v>
      </c>
      <c r="D20" s="54">
        <v>0.5</v>
      </c>
      <c r="E20" s="21">
        <v>54693</v>
      </c>
      <c r="F20" s="63">
        <f>D20*E20</f>
        <v>27346.5</v>
      </c>
      <c r="G20" s="21"/>
      <c r="H20" s="21"/>
      <c r="I20" s="21"/>
      <c r="J20" s="21"/>
      <c r="K20" s="21"/>
      <c r="L20" s="21"/>
      <c r="M20" s="21"/>
      <c r="N20" s="66">
        <f t="shared" ref="N20:N29" si="4">F20+H20+J20+L20</f>
        <v>27346.5</v>
      </c>
      <c r="O20" s="21"/>
    </row>
    <row r="21" spans="1:15" ht="15" customHeight="1" x14ac:dyDescent="0.3">
      <c r="A21" s="317" t="s">
        <v>38</v>
      </c>
      <c r="B21" s="28" t="s">
        <v>39</v>
      </c>
      <c r="C21" s="29" t="s">
        <v>24</v>
      </c>
      <c r="D21" s="30">
        <v>24</v>
      </c>
      <c r="E21" s="66"/>
      <c r="F21" s="66">
        <f>D21*E21</f>
        <v>0</v>
      </c>
      <c r="G21" s="66">
        <v>8711</v>
      </c>
      <c r="H21" s="66">
        <f t="shared" ref="H21:H27" si="5">D21*G21</f>
        <v>209064</v>
      </c>
      <c r="I21" s="66"/>
      <c r="J21" s="66"/>
      <c r="K21" s="66"/>
      <c r="L21" s="66"/>
      <c r="M21" s="66"/>
      <c r="N21" s="66">
        <f t="shared" si="4"/>
        <v>209064</v>
      </c>
      <c r="O21" s="21"/>
    </row>
    <row r="22" spans="1:15" ht="15" customHeight="1" x14ac:dyDescent="0.3">
      <c r="A22" s="317"/>
      <c r="B22" s="28" t="s">
        <v>40</v>
      </c>
      <c r="C22" s="29" t="s">
        <v>24</v>
      </c>
      <c r="D22" s="30">
        <v>24</v>
      </c>
      <c r="E22" s="66"/>
      <c r="F22" s="66">
        <f t="shared" ref="F22:F29" si="6">D22*E22</f>
        <v>0</v>
      </c>
      <c r="G22" s="66">
        <v>5159</v>
      </c>
      <c r="H22" s="66">
        <f t="shared" si="5"/>
        <v>123816</v>
      </c>
      <c r="I22" s="66"/>
      <c r="J22" s="66"/>
      <c r="K22" s="66"/>
      <c r="L22" s="66"/>
      <c r="M22" s="66"/>
      <c r="N22" s="66">
        <f t="shared" si="4"/>
        <v>123816</v>
      </c>
      <c r="O22" s="21"/>
    </row>
    <row r="23" spans="1:15" ht="15" customHeight="1" x14ac:dyDescent="0.3">
      <c r="A23" s="317" t="s">
        <v>41</v>
      </c>
      <c r="B23" s="28" t="s">
        <v>39</v>
      </c>
      <c r="C23" s="29" t="s">
        <v>24</v>
      </c>
      <c r="D23" s="30">
        <v>24</v>
      </c>
      <c r="E23" s="66"/>
      <c r="F23" s="66">
        <f>D23*E23</f>
        <v>0</v>
      </c>
      <c r="G23" s="66">
        <v>8711</v>
      </c>
      <c r="H23" s="66">
        <f t="shared" si="5"/>
        <v>209064</v>
      </c>
      <c r="I23" s="66"/>
      <c r="J23" s="66"/>
      <c r="K23" s="66"/>
      <c r="L23" s="66"/>
      <c r="M23" s="66"/>
      <c r="N23" s="66">
        <f t="shared" si="4"/>
        <v>209064</v>
      </c>
      <c r="O23" s="21"/>
    </row>
    <row r="24" spans="1:15" ht="15" customHeight="1" x14ac:dyDescent="0.3">
      <c r="A24" s="317"/>
      <c r="B24" s="28" t="s">
        <v>40</v>
      </c>
      <c r="C24" s="29" t="s">
        <v>24</v>
      </c>
      <c r="D24" s="30">
        <v>24</v>
      </c>
      <c r="E24" s="66"/>
      <c r="F24" s="66">
        <f t="shared" ref="F24:F27" si="7">D24*E24</f>
        <v>0</v>
      </c>
      <c r="G24" s="66">
        <v>5159</v>
      </c>
      <c r="H24" s="66">
        <f t="shared" si="5"/>
        <v>123816</v>
      </c>
      <c r="I24" s="66"/>
      <c r="J24" s="66"/>
      <c r="K24" s="66"/>
      <c r="L24" s="66"/>
      <c r="M24" s="66"/>
      <c r="N24" s="66">
        <f t="shared" si="4"/>
        <v>123816</v>
      </c>
      <c r="O24" s="21"/>
    </row>
    <row r="25" spans="1:15" ht="15" customHeight="1" x14ac:dyDescent="0.3">
      <c r="A25" s="72" t="s">
        <v>95</v>
      </c>
      <c r="B25" s="71" t="s">
        <v>96</v>
      </c>
      <c r="C25" s="71" t="s">
        <v>92</v>
      </c>
      <c r="D25" s="54">
        <v>0.2</v>
      </c>
      <c r="E25" s="21">
        <v>74987</v>
      </c>
      <c r="F25" s="66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6">
        <f t="shared" si="4"/>
        <v>14997.400000000001</v>
      </c>
      <c r="O25" s="21"/>
    </row>
    <row r="26" spans="1:15" ht="15" customHeight="1" x14ac:dyDescent="0.3">
      <c r="A26" s="309" t="s">
        <v>42</v>
      </c>
      <c r="B26" s="28" t="s">
        <v>43</v>
      </c>
      <c r="C26" s="29" t="s">
        <v>24</v>
      </c>
      <c r="D26" s="30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3"/>
      <c r="M26" s="21"/>
      <c r="N26" s="63">
        <f t="shared" si="4"/>
        <v>32352</v>
      </c>
      <c r="O26" s="21"/>
    </row>
    <row r="27" spans="1:15" ht="15" customHeight="1" x14ac:dyDescent="0.3">
      <c r="A27" s="309"/>
      <c r="B27" s="28" t="s">
        <v>44</v>
      </c>
      <c r="C27" s="29" t="s">
        <v>24</v>
      </c>
      <c r="D27" s="30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3"/>
      <c r="M27" s="21"/>
      <c r="N27" s="63">
        <f t="shared" si="4"/>
        <v>50176</v>
      </c>
      <c r="O27" s="21"/>
    </row>
    <row r="28" spans="1:15" ht="15" customHeight="1" x14ac:dyDescent="0.3">
      <c r="A28" s="309" t="s">
        <v>45</v>
      </c>
      <c r="B28" s="28" t="s">
        <v>43</v>
      </c>
      <c r="C28" s="29" t="s">
        <v>24</v>
      </c>
      <c r="D28" s="30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3"/>
      <c r="M28" s="21"/>
      <c r="N28" s="63">
        <f t="shared" si="4"/>
        <v>4044</v>
      </c>
      <c r="O28" s="21"/>
    </row>
    <row r="29" spans="1:15" ht="15" customHeight="1" x14ac:dyDescent="0.3">
      <c r="A29" s="309"/>
      <c r="B29" s="28" t="s">
        <v>46</v>
      </c>
      <c r="C29" s="29" t="s">
        <v>24</v>
      </c>
      <c r="D29" s="30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3"/>
      <c r="M29" s="21"/>
      <c r="N29" s="63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761812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804155.9</v>
      </c>
      <c r="O30" s="26"/>
    </row>
    <row r="31" spans="1:15" ht="15" customHeight="1" x14ac:dyDescent="0.3">
      <c r="A31" s="47" t="s">
        <v>47</v>
      </c>
      <c r="B31" s="18" t="s">
        <v>110</v>
      </c>
      <c r="C31" s="19" t="s">
        <v>24</v>
      </c>
      <c r="D31" s="67">
        <v>100</v>
      </c>
      <c r="E31" s="63"/>
      <c r="F31" s="63"/>
      <c r="G31" s="21">
        <v>4147</v>
      </c>
      <c r="H31" s="63">
        <f>D31*G31</f>
        <v>414700</v>
      </c>
      <c r="I31" s="63"/>
      <c r="J31" s="63"/>
      <c r="K31" s="63"/>
      <c r="L31" s="63"/>
      <c r="M31" s="63"/>
      <c r="N31" s="63">
        <f>F31+H31+J31+L31</f>
        <v>414700</v>
      </c>
      <c r="O31" s="33" t="s">
        <v>48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414700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414700</v>
      </c>
      <c r="O32" s="35"/>
    </row>
    <row r="33" spans="1:15" ht="15" customHeight="1" x14ac:dyDescent="0.3">
      <c r="A33" s="40" t="s">
        <v>91</v>
      </c>
      <c r="B33" s="23"/>
      <c r="C33" s="24"/>
      <c r="D33" s="34"/>
      <c r="E33" s="36"/>
      <c r="F33" s="37">
        <f>F13+F18+F30+F32</f>
        <v>897502.4</v>
      </c>
      <c r="G33" s="37"/>
      <c r="H33" s="37">
        <f>H13+H18+H30+H32</f>
        <v>3495769.15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4393271.5499999989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E35" sqref="E35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5">
        <f>'내역서(표준단가)'!M5</f>
        <v>11.992000000000001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5">
        <f>'내역서(표준단가)'!M6</f>
        <v>2.956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5">
        <f>'내역서(표준단가)'!M7</f>
        <v>1.7709999999999999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5">
        <f>'내역서(표준단가)'!M8</f>
        <v>59.5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5">
        <f>'내역서(표준단가)'!M9</f>
        <v>0.97540000000000004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5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5">
        <f>'내역서(표준단가)'!M11</f>
        <v>48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5">
        <f>'내역서(표준단가)'!M12</f>
        <v>48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5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5">
        <f>'내역서(표준단가)'!M14</f>
        <v>16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5">
        <f>'내역서(표준단가)'!M15</f>
        <v>16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5">
        <f>'내역서(표준단가)'!M16</f>
        <v>2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5">
        <f>'내역서(표준단가)'!M17</f>
        <v>2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5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2025-05-30T00:43:38Z</dcterms:modified>
</cp:coreProperties>
</file>
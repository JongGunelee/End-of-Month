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현재_통합_문서"/>
  <mc:AlternateContent xmlns:mc="http://schemas.openxmlformats.org/markup-compatibility/2006">
    <mc:Choice Requires="x15">
      <x15ac:absPath xmlns:x15ac="http://schemas.microsoft.com/office/spreadsheetml/2010/11/ac" url="D:\02 기숙사 및 사택\02 견적작업\02 견적서\01 솔루션\260117\04 PR당사안\"/>
    </mc:Choice>
  </mc:AlternateContent>
  <xr:revisionPtr revIDLastSave="0" documentId="13_ncr:1_{B602330A-AE7B-4636-9431-F9B8080E87B2}" xr6:coauthVersionLast="47" xr6:coauthVersionMax="47" xr10:uidLastSave="{00000000-0000-0000-0000-000000000000}"/>
  <bookViews>
    <workbookView xWindow="-60" yWindow="-60" windowWidth="28920" windowHeight="16320" xr2:uid="{00000000-000D-0000-FFFF-FFFF00000000}"/>
  </bookViews>
  <sheets>
    <sheet name="PR당사안" sheetId="19" r:id="rId1"/>
    <sheet name="내역서(표준단가)" sheetId="4" r:id="rId2"/>
    <sheet name="상세내역" sheetId="18" r:id="rId3"/>
    <sheet name="Upload" sheetId="1" r:id="rId4"/>
  </sheets>
  <externalReferences>
    <externalReference r:id="rId5"/>
    <externalReference r:id="rId6"/>
    <externalReference r:id="rId7"/>
    <externalReference r:id="rId8"/>
  </externalReferences>
  <definedNames>
    <definedName name="_" hidden="1">#REF!</definedName>
    <definedName name="_Fill" hidden="1">#REF!</definedName>
    <definedName name="_Key1" hidden="1">#REF!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#REF!</definedName>
    <definedName name="a\" hidden="1">{#N/A,#N/A,TRUE,"자재관리";#N/A,#N/A,TRUE,"품질"}</definedName>
    <definedName name="A1C1" hidden="1">#REF!</definedName>
    <definedName name="AccessDatabase" hidden="1">"D:\공무jaje\98년품의-수불\98146.mdb"</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hidden="1">{#N/A,#N/A,FALSE,"CCTV"}</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hidden="1">{"'Sheet1'!$E$23","'Sheet1'!$A$3:$H$19","'Sheet1'!$A$1:$H$19"}</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hidden="1">{#N/A,#N/A,FALSE,"자재관리";#N/A,#N/A,FALSE,"자재관리";#N/A,#N/A,FALSE,"자재관리"}</definedName>
    <definedName name="DDD"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hidden="1">{#N/A,#N/A,FALSE,"자재관리";#N/A,#N/A,FALSE,"자재관리";#N/A,#N/A,FALSE,"자재관리"}</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{#N/A,#N/A,FALSE,"자재관리";#N/A,#N/A,FALSE,"자재관리";#N/A,#N/A,FALSE,"자재관리"}</definedName>
    <definedName name="DKFDK" hidden="1">{#N/A,#N/A,FALSE,"전력간선"}</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hidden="1">{#N/A,#N/A,FALSE,"전력간선"}</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#REF!</definedName>
    <definedName name="FHFK" hidden="1">#REF!</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{#N/A,#N/A,FALSE,"자재관리";#N/A,#N/A,FALSE,"자재관리";#N/A,#N/A,FALSE,"자재관리"}</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{#N/A,#N/A,FALSE,"자재관리";#N/A,#N/A,FALSE,"자재관리";#N/A,#N/A,FALSE,"자재관리"}</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hidden="1">{#N/A,#N/A,FALSE,"자재관리";#N/A,#N/A,FALSE,"자재관리";#N/A,#N/A,FALSE,"자재관리"}</definedName>
    <definedName name="knauf" hidden="1">{#N/A,#N/A,FALSE,"자재관리";#N/A,#N/A,FALSE,"자재관리";#N/A,#N/A,FALSE,"자재관리"}</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hidden="1">{#N/A,#N/A,TRUE,"자재관리";#N/A,#N/A,TRUE,"품질"}</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hidden="1">{#N/A,#N/A,FALSE,"자재관리";#N/A,#N/A,FALSE,"자재관리";#N/A,#N/A,FALSE,"자재관리"}</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hidden="1">{#N/A,#N/A,FALSE,"자재관리";#N/A,#N/A,FALSE,"자재관리";#N/A,#N/A,FALSE,"자재관리"}</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hidden="1">{#N/A,#N/A,FALSE,"자재관리";#N/A,#N/A,FALSE,"자재관리";#N/A,#N/A,FALSE,"자재관리"}</definedName>
    <definedName name="PRESS" hidden="1">{"'Sheet1'!$E$23","'Sheet1'!$A$3:$H$19","'Sheet1'!$A$1:$H$19"}</definedName>
    <definedName name="press1" hidden="1">{"'Sheet1'!$E$23","'Sheet1'!$A$3:$H$19","'Sheet1'!$A$1:$H$19"}</definedName>
    <definedName name="_xlnm.Print_Area">#REF!</definedName>
    <definedName name="_xlnm.Print_Titles">#REF!,#REF!</definedName>
    <definedName name="Q" hidden="1">{#N/A,#N/A,FALSE,"자재관리";#N/A,#N/A,FALSE,"자재관리";#N/A,#N/A,FALSE,"자재관리"}</definedName>
    <definedName name="qqq" hidden="1">{#N/A,#N/A,FALSE,"전력간선"}</definedName>
    <definedName name="QQQW" hidden="1">{#N/A,#N/A,FALSE,"전력간선"}</definedName>
    <definedName name="ret" hidden="1">{#N/A,#N/A,FALSE,"전력간선"}</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hidden="1">{#N/A,#N/A,FALSE,"전력간선"}</definedName>
    <definedName name="RK" hidden="1">#REF!</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hidden="1">{#N/A,#N/A,FALSE,"전력간선"}</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hidden="1">{#N/A,#N/A,TRUE,"자재관리";#N/A,#N/A,TRUE,"품질"}</definedName>
    <definedName name="SD" hidden="1">{#N/A,#N/A,FALSE,"자재관리";#N/A,#N/A,FALSE,"자재관리";#N/A,#N/A,FALSE,"자재관리"}</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hidden="1">{#N/A,#N/A,FALSE,"전력간선"}</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hidden="1">{#N/A,#N/A,TRUE,"자재관리";#N/A,#N/A,TRUE,"품질"}</definedName>
    <definedName name="tka" hidden="1">{#N/A,#N/A,FALSE,"전력간선"}</definedName>
    <definedName name="TTTT" hidden="1">#REF!</definedName>
    <definedName name="uwehdiueih" hidden="1">{#N/A,#N/A,FALSE,"자재관리";#N/A,#N/A,FALSE,"자재관리";#N/A,#N/A,FALSE,"자재관리"}</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hidden="1">{#N/A,#N/A,FALSE,"CCTV"}</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일위대가." hidden="1">{#N/A,#N/A,TRUE,"대가1"}</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hidden="1">{#N/A,#N/A,TRUE,"자재관리";#N/A,#N/A,TRUE,"품질"}</definedName>
    <definedName name="yy" hidden="1">{#N/A,#N/A,FALSE,"전력간선"}</definedName>
    <definedName name="YY0" hidden="1">{#N/A,#N/A,FALSE,"전력간선"}</definedName>
    <definedName name="yyy" hidden="1">[1]수량산출!$A$1:$A$8561</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hidden="1">{#N/A,#N/A,FALSE,"CCTV"}</definedName>
    <definedName name="가스실행내역" hidden="1">{#N/A,#N/A,FALSE,"전력간선"}</definedName>
    <definedName name="가실" hidden="1">{#N/A,#N/A,FALSE,"전력간선"}</definedName>
    <definedName name="가아" hidden="1">[2]수량산출!#REF!</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[3]수량산출!$A$3:$H$8539</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'[4]내역서1999.8최종'!$A$1:$A$2438</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hidden="1">{#N/A,#N/A,FALSE,"CCTV"}</definedName>
    <definedName name="공문" hidden="1">{#N/A,#N/A,FALSE,"자재관리";#N/A,#N/A,FALSE,"자재관리";#N/A,#N/A,FALSE,"자재관리"}</definedName>
    <definedName name="공문1" hidden="1">{#N/A,#N/A,FALSE,"자재관리";#N/A,#N/A,FALSE,"자재관리";#N/A,#N/A,FALSE,"자재관리"}</definedName>
    <definedName name="공장동" hidden="1">#REF!</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hidden="1">{#N/A,#N/A,FALSE,"신청통보";#N/A,#N/A,FALSE,"기성확인서";#N/A,#N/A,FALSE,"기성내역서"}</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hidden="1">{#N/A,#N/A,TRUE,"자재관리";#N/A,#N/A,TRUE,"품질"}</definedName>
    <definedName name="기계단가1" hidden="1">{#N/A,#N/A,FALSE,"전력간선"}</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hidden="1">{#N/A,#N/A,TRUE,"자재관리";#N/A,#N/A,TRUE,"품질"}</definedName>
    <definedName name="ㄴㄴㄴ" hidden="1">{#N/A,#N/A,FALSE,"자재관리";#N/A,#N/A,FALSE,"자재관리";#N/A,#N/A,FALSE,"자재관리"}</definedName>
    <definedName name="ㄴㄴㄴㄴ" hidden="1">#REF!</definedName>
    <definedName name="ㄴㄴㄴㄴㄴ" hidden="1">{#N/A,#N/A,TRUE,"자재관리";#N/A,#N/A,TRUE,"품질"}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hidden="1">{#N/A,#N/A,FALSE,"자재관리";#N/A,#N/A,FALSE,"자재관리";#N/A,#N/A,FALSE,"자재관리"}</definedName>
    <definedName name="ㄴㅌㄴㅌ" hidden="1">{#N/A,#N/A,FALSE,"CCTV"}</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hidden="1">{#N/A,#N/A,FALSE,"CCTV"}</definedName>
    <definedName name="내역점검"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hidden="1">{#N/A,#N/A,FALSE,"전력간선"}</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hidden="1">{#N/A,#N/A,FALSE,"도급대비시행율";#N/A,#N/A,FALSE,"결의서";#N/A,#N/A,FALSE,"내역서";#N/A,#N/A,FALSE,"도급예상"}</definedName>
    <definedName name="럭키" hidden="1">{#N/A,#N/A,FALSE,"전력간선"}</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hidden="1">{#N/A,#N/A,FALSE,"자재관리";#N/A,#N/A,FALSE,"자재관리";#N/A,#N/A,FALSE,"자재관리"}</definedName>
    <definedName name="ㅁㄱㄷ" hidden="1">{#N/A,#N/A,FALSE,"자재관리";#N/A,#N/A,FALSE,"자재관리";#N/A,#N/A,FALSE,"자재관리"}</definedName>
    <definedName name="ㅁㅁ" hidden="1">{#N/A,#N/A,FALSE,"전력간선"}</definedName>
    <definedName name="ㅁㅇ" hidden="1">{#N/A,#N/A,FALSE,"자재관리";#N/A,#N/A,FALSE,"자재관리";#N/A,#N/A,FALSE,"자재관리"}</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hidden="1">{#N/A,#N/A,FALSE,"전력간선"}</definedName>
    <definedName name="목표" hidden="1">{#N/A,#N/A,FALSE,"자재관리";#N/A,#N/A,FALSE,"자재관리";#N/A,#N/A,FALSE,"자재관리"}</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hidden="1">{#N/A,#N/A,FALSE,"전력간선"}</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{#N/A,#N/A,FALSE,"자재관리";#N/A,#N/A,FALSE,"자재관리";#N/A,#N/A,FALSE,"자재관리"}</definedName>
    <definedName name="ㅅㅅ" hidden="1">#REF!</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hidden="1">{#N/A,#N/A,FALSE,"자재관리";#N/A,#N/A,FALSE,"자재관리";#N/A,#N/A,FALSE,"자재관리"}</definedName>
    <definedName name="서원영" hidden="1">{#N/A,#N/A,FALSE,"자재관리";#N/A,#N/A,FALSE,"자재관리";#N/A,#N/A,FALSE,"자재관리"}</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hidden="1">{#N/A,#N/A,FALSE,"자재관리";#N/A,#N/A,FALSE,"자재관리";#N/A,#N/A,FALSE,"자재관리"}</definedName>
    <definedName name="소화갑지" hidden="1">{#N/A,#N/A,FALSE,"CCTV"}</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hidden="1">{#N/A,#N/A,TRUE,"자재관리";#N/A,#N/A,TRUE,"품질"}</definedName>
    <definedName name="ㅇㄴㅇㄴ" hidden="1">{#N/A,#N/A,FALSE,"CCTV"}</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ㅇㅇ" hidden="1">{#N/A,#N/A,TRUE,"자재관리";#N/A,#N/A,TRUE,"품질"}</definedName>
    <definedName name="아" hidden="1">{#N/A,#N/A,FALSE,"자재관리";#N/A,#N/A,FALSE,"자재관리";#N/A,#N/A,FALSE,"자재관리"}</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hidden="1">{#N/A,#N/A,FALSE,"자재관리";#N/A,#N/A,FALSE,"자재관리";#N/A,#N/A,FALSE,"자재관리"}</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hidden="1">{#N/A,#N/A,FALSE,"자재관리";#N/A,#N/A,FALSE,"자재관리";#N/A,#N/A,FALSE,"자재관리"}</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hidden="1">{#N/A,#N/A,FALSE,"자재관리";#N/A,#N/A,FALSE,"자재관리";#N/A,#N/A,FALSE,"자재관리"}</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hidden="1">{#N/A,#N/A,FALSE,"전력간선"}</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hidden="1">{#N/A,#N/A,FALSE,"전력간선"}</definedName>
    <definedName name="예상도급내역" hidden="1">{#N/A,#N/A,FALSE,"CCTV"}</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hidden="1">{#N/A,#N/A,FALSE,"자재관리";#N/A,#N/A,FALSE,"자재관리";#N/A,#N/A,FALSE,"자재관리"}</definedName>
    <definedName name="우인표지" hidden="1">{#N/A,#N/A,TRUE,"자재관리";#N/A,#N/A,TRUE,"품질"}</definedName>
    <definedName name="원가TABLE" hidden="1">{#N/A,#N/A,TRUE,"자재관리";#N/A,#N/A,TRUE,"품질"}</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hidden="1">{#N/A,#N/A,FALSE,"도급대비시행율";#N/A,#N/A,FALSE,"결의서";#N/A,#N/A,FALSE,"내역서";#N/A,#N/A,FALSE,"도급예상"}</definedName>
    <definedName name="이" hidden="1">{#N/A,#N/A,FALSE,"자재관리";#N/A,#N/A,FALSE,"자재관리";#N/A,#N/A,FALSE,"자재관리"}</definedName>
    <definedName name="이름" hidden="1">{#N/A,#N/A,FALSE,"전력간선"}</definedName>
    <definedName name="이봉해" hidden="1">{#N/A,#N/A,FALSE,"자재관리";#N/A,#N/A,FALSE,"자재관리";#N/A,#N/A,FALSE,"자재관리"}</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hidden="1">{#N/A,#N/A,FALSE,"도급대비시행율";#N/A,#N/A,FALSE,"결의서";#N/A,#N/A,FALSE,"내역서";#N/A,#N/A,FALSE,"도급예상"}</definedName>
    <definedName name="ㅈ" hidden="1">{#N/A,#N/A,FALSE,"자재관리";#N/A,#N/A,FALSE,"자재관리";#N/A,#N/A,FALSE,"자재관리"}</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hidden="1">{#N/A,#N/A,FALSE,"자재관리";#N/A,#N/A,FALSE,"자재관리";#N/A,#N/A,FALSE,"자재관리"}</definedName>
    <definedName name="재료비1" hidden="1">{#N/A,#N/A,FALSE,"자재관리";#N/A,#N/A,FALSE,"자재관리";#N/A,#N/A,FALSE,"자재관리"}</definedName>
    <definedName name="전기" hidden="1">{#N/A,#N/A,FALSE,"전력간선"}</definedName>
    <definedName name="전년" hidden="1">{#N/A,#N/A,FALSE,"자재관리";#N/A,#N/A,FALSE,"자재관리";#N/A,#N/A,FALSE,"자재관리"}</definedName>
    <definedName name="전년월" hidden="1">{#N/A,#N/A,FALSE,"자재관리";#N/A,#N/A,FALSE,"자재관리";#N/A,#N/A,FALSE,"자재관리"}</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hidden="1">{#N/A,#N/A,FALSE,"CCTV"}</definedName>
    <definedName name="조정내역2" hidden="1">{#N/A,#N/A,FALSE,"전력간선"}</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hidden="1">{#N/A,#N/A,FALSE,"자재관리";#N/A,#N/A,FALSE,"자재관리";#N/A,#N/A,FALSE,"자재관리"}</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hidden="1">{#N/A,#N/A,FALSE,"전력간선"}</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hidden="1">{#N/A,#N/A,FALSE,"도급대비시행율";#N/A,#N/A,FALSE,"결의서";#N/A,#N/A,FALSE,"내역서";#N/A,#N/A,FALSE,"도급예상"}</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hidden="1">{#N/A,#N/A,FALSE,"자재관리";#N/A,#N/A,FALSE,"자재관리";#N/A,#N/A,FALSE,"자재관리"}</definedName>
    <definedName name="투자비내역" hidden="1">{#N/A,#N/A,TRUE,"자재관리";#N/A,#N/A,TRUE,"품질"}</definedName>
    <definedName name="팀별" hidden="1">{#N/A,#N/A,FALSE,"자재관리";#N/A,#N/A,FALSE,"자재관리";#N/A,#N/A,FALSE,"자재관리"}</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hidden="1">{#N/A,#N/A,FALSE,"자재관리";#N/A,#N/A,FALSE,"자재관리";#N/A,#N/A,FALSE,"자재관리"}</definedName>
    <definedName name="ㅎ" hidden="1">{#N/A,#N/A,TRUE,"자재관리";#N/A,#N/A,TRUE,"품질"}</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hidden="1">{#N/A,#N/A,FALSE,"CCTV"}</definedName>
    <definedName name="하행터널" hidden="1">{#N/A,#N/A,TRUE,"대가1"}</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hidden="1">{#N/A,#N/A,FALSE,"전력간선"}</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hidden="1">{"'Sheet1'!$E$23","'Sheet1'!$A$3:$H$19","'Sheet1'!$A$1:$H$19"}</definedName>
    <definedName name="ㅏㅓㅏ" hidden="1">{#N/A,#N/A,FALSE,"물가변동 (2)";#N/A,#N/A,FALSE,"공사비";#N/A,#N/A,FALSE,"사급";#N/A,#N/A,FALSE,"도급집계";#N/A,#N/A,FALSE,"재료비";#N/A,#N/A,FALSE,"노무비";#N/A,#N/A,FALSE,"경비"}</definedName>
    <definedName name="ㅏㅓㅗ" hidden="1">{#N/A,#N/A,FALSE,"전력간선"}</definedName>
    <definedName name="ㅓ" hidden="1">{#N/A,#N/A,TRUE,"자재관리";#N/A,#N/A,TRUE,"품질"}</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hidden="1">{#N/A,#N/A,FALSE,"자재관리";#N/A,#N/A,FALSE,"자재관리";#N/A,#N/A,FALSE,"자재관리"}</definedName>
    <definedName name="ㅛㅛㅛㅛ" hidden="1">[1]수량산출!$A$1:$A$8561</definedName>
    <definedName name="ㅜ" hidden="1">[3]수량산출!#REF!</definedName>
    <definedName name="ㅜㅜㅜㅜㅜㅜㅜㅜㅜㅜㅜㅜㅜㅜㅜㅜㅜㅜㅜㅜㅜㅜㅜㅜㅜㅜㅜㅜㅜㅜㅜㅜㅜㅜㅜㅜㅜㅜㅜㅜㅜㅜ" hidden="1">{#N/A,#N/A,FALSE,"CCTV"}</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1" i="19" l="1"/>
  <c r="J21" i="19"/>
  <c r="J19" i="19"/>
  <c r="J18" i="19"/>
  <c r="J29" i="19"/>
  <c r="F8" i="1"/>
  <c r="E8" i="1"/>
  <c r="D8" i="1"/>
  <c r="C8" i="1"/>
  <c r="B8" i="1"/>
  <c r="F7" i="1"/>
  <c r="E7" i="1"/>
  <c r="D7" i="1"/>
  <c r="C7" i="1"/>
  <c r="B7" i="1"/>
  <c r="F6" i="1"/>
  <c r="E6" i="1"/>
  <c r="D6" i="1"/>
  <c r="C6" i="1"/>
  <c r="B6" i="1"/>
  <c r="F5" i="1"/>
  <c r="E5" i="1"/>
  <c r="D5" i="1"/>
  <c r="C5" i="1"/>
  <c r="B5" i="1"/>
  <c r="F4" i="1"/>
  <c r="E4" i="1"/>
  <c r="D4" i="1"/>
  <c r="C4" i="1"/>
  <c r="B4" i="1"/>
  <c r="F3" i="1"/>
  <c r="E3" i="1"/>
  <c r="D3" i="1"/>
  <c r="C3" i="1"/>
  <c r="B3" i="1"/>
  <c r="O16" i="18"/>
  <c r="O10" i="18"/>
  <c r="O9" i="18"/>
  <c r="O8" i="18"/>
  <c r="O7" i="18"/>
  <c r="O5" i="18"/>
  <c r="J24" i="19" l="1"/>
  <c r="J23" i="19"/>
  <c r="J26" i="19"/>
  <c r="J25" i="19"/>
  <c r="J27" i="19" s="1"/>
  <c r="J22" i="19"/>
  <c r="L17" i="18"/>
  <c r="H15" i="18"/>
  <c r="F15" i="18"/>
  <c r="H14" i="18"/>
  <c r="F14" i="18"/>
  <c r="H13" i="18"/>
  <c r="F13" i="18"/>
  <c r="F12" i="18"/>
  <c r="N12" i="18" s="1"/>
  <c r="F11" i="18"/>
  <c r="N11" i="18" s="1"/>
  <c r="J16" i="18"/>
  <c r="J17" i="18" s="1"/>
  <c r="F16" i="18"/>
  <c r="H10" i="18"/>
  <c r="F10" i="18"/>
  <c r="H9" i="18"/>
  <c r="F9" i="18"/>
  <c r="H8" i="18"/>
  <c r="F8" i="18"/>
  <c r="F7" i="18"/>
  <c r="N7" i="18" s="1"/>
  <c r="F6" i="18"/>
  <c r="N6" i="18" s="1"/>
  <c r="H5" i="18"/>
  <c r="F5" i="18"/>
  <c r="U11" i="4"/>
  <c r="O11" i="4"/>
  <c r="E11" i="4"/>
  <c r="A8" i="1" s="1"/>
  <c r="U10" i="4"/>
  <c r="S10" i="4"/>
  <c r="Q10" i="4"/>
  <c r="O10" i="4"/>
  <c r="E10" i="4"/>
  <c r="A7" i="1" s="1"/>
  <c r="U9" i="4"/>
  <c r="S9" i="4"/>
  <c r="Q9" i="4"/>
  <c r="O9" i="4"/>
  <c r="E9" i="4"/>
  <c r="A6" i="1" s="1"/>
  <c r="U8" i="4"/>
  <c r="S8" i="4"/>
  <c r="Q8" i="4"/>
  <c r="O8" i="4"/>
  <c r="E8" i="4"/>
  <c r="A5" i="1" s="1"/>
  <c r="U7" i="4"/>
  <c r="S7" i="4"/>
  <c r="Q7" i="4"/>
  <c r="O7" i="4"/>
  <c r="E7" i="4"/>
  <c r="A4" i="1" s="1"/>
  <c r="U6" i="4"/>
  <c r="S6" i="4"/>
  <c r="Q6" i="4"/>
  <c r="O6" i="4"/>
  <c r="E6" i="4"/>
  <c r="A3" i="1" s="1"/>
  <c r="U5" i="4"/>
  <c r="S5" i="4"/>
  <c r="Q5" i="4"/>
  <c r="O5" i="4"/>
  <c r="E5" i="4"/>
  <c r="J28" i="19" l="1"/>
  <c r="J20" i="19" s="1"/>
  <c r="N5" i="18"/>
  <c r="V5" i="4"/>
  <c r="N15" i="18"/>
  <c r="N10" i="18"/>
  <c r="H17" i="18"/>
  <c r="N16" i="18"/>
  <c r="F17" i="18"/>
  <c r="N14" i="18"/>
  <c r="N9" i="18"/>
  <c r="V11" i="4"/>
  <c r="V10" i="4"/>
  <c r="V9" i="4"/>
  <c r="V8" i="4"/>
  <c r="V7" i="4"/>
  <c r="V6" i="4"/>
  <c r="N8" i="18"/>
  <c r="N13" i="18"/>
  <c r="J30" i="19" l="1"/>
  <c r="N17" i="18"/>
  <c r="N4" i="18"/>
  <c r="M32" i="19" l="1"/>
  <c r="B15" i="19" s="1"/>
  <c r="F2" i="1"/>
  <c r="E2" i="1"/>
  <c r="D2" i="1"/>
  <c r="C2" i="1"/>
  <c r="B2" i="1"/>
  <c r="A2" i="1"/>
  <c r="U12" i="4" l="1"/>
  <c r="Q12" i="4"/>
  <c r="S12" i="4" l="1"/>
  <c r="V12" i="4" l="1"/>
  <c r="O12"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J3" authorId="0" shapeId="0" xr:uid="{00000000-0006-0000-0100-000001000000}">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sharedStrings.xml><?xml version="1.0" encoding="utf-8"?>
<sst xmlns="http://schemas.openxmlformats.org/spreadsheetml/2006/main" count="198" uniqueCount="152">
  <si>
    <t>구분</t>
  </si>
  <si>
    <t>표준단가</t>
  </si>
  <si>
    <t>표준품셈</t>
  </si>
  <si>
    <t>물가정보</t>
  </si>
  <si>
    <t>노임단가</t>
  </si>
  <si>
    <t>수량</t>
  </si>
  <si>
    <t>식</t>
    <phoneticPr fontId="17" type="noConversion"/>
  </si>
  <si>
    <t>할증기준</t>
    <phoneticPr fontId="11" type="noConversion"/>
  </si>
  <si>
    <t>단위</t>
  </si>
  <si>
    <t>TON</t>
  </si>
  <si>
    <t>m</t>
  </si>
  <si>
    <t>내 역 서</t>
    <phoneticPr fontId="17" type="noConversion"/>
  </si>
  <si>
    <t>품        명</t>
    <phoneticPr fontId="17" type="noConversion"/>
  </si>
  <si>
    <t>규      격</t>
  </si>
  <si>
    <t>수 량</t>
    <phoneticPr fontId="17" type="noConversion"/>
  </si>
  <si>
    <t xml:space="preserve">재    료   비   </t>
    <phoneticPr fontId="17" type="noConversion"/>
  </si>
  <si>
    <t>노   무   비</t>
    <phoneticPr fontId="17" type="noConversion"/>
  </si>
  <si>
    <t>기계경비</t>
    <phoneticPr fontId="17" type="noConversion"/>
  </si>
  <si>
    <t>기타경비</t>
    <phoneticPr fontId="17" type="noConversion"/>
  </si>
  <si>
    <t>합 계</t>
    <phoneticPr fontId="17" type="noConversion"/>
  </si>
  <si>
    <t>단   가</t>
    <phoneticPr fontId="17" type="noConversion"/>
  </si>
  <si>
    <t>금     액</t>
    <phoneticPr fontId="17" type="noConversion"/>
  </si>
  <si>
    <t>열반사 단열재</t>
    <phoneticPr fontId="13" type="noConversion"/>
  </si>
  <si>
    <t>단면접착, 6*1000*1000</t>
    <phoneticPr fontId="13" type="noConversion"/>
  </si>
  <si>
    <t>M2</t>
    <phoneticPr fontId="13" type="noConversion"/>
  </si>
  <si>
    <t>이보드</t>
    <phoneticPr fontId="13" type="noConversion"/>
  </si>
  <si>
    <t>이보드13t*2700*h:2400</t>
    <phoneticPr fontId="13" type="noConversion"/>
  </si>
  <si>
    <t>석고판 나사고정</t>
    <phoneticPr fontId="13" type="noConversion"/>
  </si>
  <si>
    <t>바탕용*2겹</t>
    <phoneticPr fontId="13" type="noConversion"/>
  </si>
  <si>
    <t>조이너 및 몰딩</t>
  </si>
  <si>
    <t>몰딩</t>
    <phoneticPr fontId="13" type="noConversion"/>
  </si>
  <si>
    <t>m</t>
    <phoneticPr fontId="13" type="noConversion"/>
  </si>
  <si>
    <t>혼합건설 폐기물, 운반비 포함</t>
    <phoneticPr fontId="13" type="noConversion"/>
  </si>
  <si>
    <t>TON</t>
    <phoneticPr fontId="13" type="noConversion"/>
  </si>
  <si>
    <t>▼낙찰율</t>
    <phoneticPr fontId="13" type="noConversion"/>
  </si>
  <si>
    <t>▶ 표준 Code(표준단가/품셈/물정/노임) 순서별 입력(Upload 자동반영)</t>
    <phoneticPr fontId="11" type="noConversion"/>
  </si>
  <si>
    <t>주요내역</t>
    <phoneticPr fontId="11" type="noConversion"/>
  </si>
  <si>
    <t>재료비</t>
    <phoneticPr fontId="13" type="noConversion"/>
  </si>
  <si>
    <t>노무비</t>
    <phoneticPr fontId="13" type="noConversion"/>
  </si>
  <si>
    <t>기계경비</t>
  </si>
  <si>
    <t>기타경비(부자재비)</t>
  </si>
  <si>
    <t>합계</t>
    <phoneticPr fontId="13" type="noConversion"/>
  </si>
  <si>
    <t>노무비 할증</t>
    <phoneticPr fontId="11" type="noConversion"/>
  </si>
  <si>
    <t>합계</t>
    <phoneticPr fontId="11" type="noConversion"/>
  </si>
  <si>
    <t>표준단가 D</t>
    <phoneticPr fontId="11" type="noConversion"/>
  </si>
  <si>
    <t>표준품셈 E</t>
    <phoneticPr fontId="11" type="noConversion"/>
  </si>
  <si>
    <t>물가정보 M</t>
    <phoneticPr fontId="11" type="noConversion"/>
  </si>
  <si>
    <t>노임단가 L</t>
    <phoneticPr fontId="11" type="noConversion"/>
  </si>
  <si>
    <t>품목</t>
    <phoneticPr fontId="11" type="noConversion"/>
  </si>
  <si>
    <t>규격</t>
    <phoneticPr fontId="11" type="noConversion"/>
  </si>
  <si>
    <t>품셈/표단</t>
    <phoneticPr fontId="11" type="noConversion"/>
  </si>
  <si>
    <t>금액</t>
  </si>
  <si>
    <t>단가</t>
    <phoneticPr fontId="13" type="noConversion"/>
  </si>
  <si>
    <t>단가</t>
  </si>
  <si>
    <t>E00000801011510201</t>
  </si>
  <si>
    <t>건출물 현장정리</t>
  </si>
  <si>
    <t>(연면적 ㎡ 당)</t>
  </si>
  <si>
    <t>M020750510120102</t>
  </si>
  <si>
    <t>에너폴(태화론 TW-06, 6㎜×1M×50M단면-점착 대체)</t>
    <phoneticPr fontId="11" type="noConversion"/>
  </si>
  <si>
    <t>900 X 1800X40, 3호(비중0.020)</t>
  </si>
  <si>
    <t>매</t>
  </si>
  <si>
    <t>E00000803066520103</t>
  </si>
  <si>
    <t>석고판 설치(나사 고정)</t>
  </si>
  <si>
    <t>(일당)</t>
  </si>
  <si>
    <t>M020531910380101</t>
  </si>
  <si>
    <t>연질/러버베이스 적용 (합성수지류,걸레받이 대체)</t>
    <phoneticPr fontId="11" type="noConversion"/>
  </si>
  <si>
    <t>100h, 2.5t</t>
  </si>
  <si>
    <t>E00000803066520502</t>
  </si>
  <si>
    <t>걸레받이 설치, 종합적산정보 389p</t>
    <phoneticPr fontId="11" type="noConversion"/>
  </si>
  <si>
    <t>M020750510130102</t>
  </si>
  <si>
    <t>에너폴(이보드, 1000*1000*13T, 대체)</t>
    <phoneticPr fontId="11" type="noConversion"/>
  </si>
  <si>
    <t>900 X 1800X50, 3호(비중0.020)</t>
  </si>
  <si>
    <t>M020806810430101</t>
  </si>
  <si>
    <t>산업폐기물처리비=내부창호폐기물 적용(1세대)</t>
    <phoneticPr fontId="11" type="noConversion"/>
  </si>
  <si>
    <t>STEEL CONCORE PANEL 기준, (소운반비별도), 적용</t>
    <phoneticPr fontId="11" type="noConversion"/>
  </si>
  <si>
    <t>1.건축물 현장정리</t>
    <phoneticPr fontId="17" type="noConversion"/>
  </si>
  <si>
    <t>기존 단열재 철거 포함</t>
    <phoneticPr fontId="11" type="noConversion"/>
  </si>
  <si>
    <t>㎡</t>
    <phoneticPr fontId="17" type="noConversion"/>
  </si>
  <si>
    <t>철근콘크리트조·철골·철근콘크리트조</t>
    <phoneticPr fontId="11" type="noConversion"/>
  </si>
  <si>
    <t>2.작은방1</t>
    <phoneticPr fontId="13" type="noConversion"/>
  </si>
  <si>
    <t>3.작은방2</t>
    <phoneticPr fontId="13" type="noConversion"/>
  </si>
  <si>
    <t>4.폐기물 처리</t>
    <phoneticPr fontId="13" type="noConversion"/>
  </si>
  <si>
    <t>(전체면적 3.4*h:2.5)=8.5</t>
    <phoneticPr fontId="11" type="noConversion"/>
  </si>
  <si>
    <t>바탕용(2겹) (시공량 : 30㎡),시공총량36/일당30=1.2</t>
    <phoneticPr fontId="11" type="noConversion"/>
  </si>
  <si>
    <t>중밀도섬유판(시공량 : 165m), 설치수량m, 16/165=0.0969</t>
    <phoneticPr fontId="11" type="noConversion"/>
  </si>
  <si>
    <t>공사명 : 사택 103-103 단열작업(안방,작은방1,2- 열반사+이보드)</t>
    <phoneticPr fontId="17" type="noConversion"/>
  </si>
  <si>
    <t>見  積  書</t>
    <phoneticPr fontId="17" type="noConversion"/>
  </si>
  <si>
    <t>수 신: LG에너지솔루션</t>
    <phoneticPr fontId="17" type="noConversion"/>
  </si>
  <si>
    <r>
      <t>견  적  일  자</t>
    </r>
    <r>
      <rPr>
        <sz val="12"/>
        <rFont val="Arial"/>
        <family val="2"/>
      </rPr>
      <t/>
    </r>
    <phoneticPr fontId="17" type="noConversion"/>
  </si>
  <si>
    <t>년</t>
    <phoneticPr fontId="17" type="noConversion"/>
  </si>
  <si>
    <t>월</t>
    <phoneticPr fontId="17" type="noConversion"/>
  </si>
  <si>
    <t>일</t>
    <phoneticPr fontId="17" type="noConversion"/>
  </si>
  <si>
    <t>공
급
자</t>
    <phoneticPr fontId="17" type="noConversion"/>
  </si>
  <si>
    <t>등록번호</t>
    <phoneticPr fontId="17" type="noConversion"/>
  </si>
  <si>
    <t>707-86-02-404</t>
    <phoneticPr fontId="17" type="noConversion"/>
  </si>
  <si>
    <t>전      화</t>
    <phoneticPr fontId="17" type="noConversion"/>
  </si>
  <si>
    <t>02-6924-5539</t>
    <phoneticPr fontId="17" type="noConversion"/>
  </si>
  <si>
    <r>
      <t>견  적  담  당</t>
    </r>
    <r>
      <rPr>
        <sz val="12"/>
        <rFont val="Arial"/>
        <family val="2"/>
      </rPr>
      <t/>
    </r>
    <phoneticPr fontId="17" type="noConversion"/>
  </si>
  <si>
    <t>이종근</t>
    <phoneticPr fontId="17" type="noConversion"/>
  </si>
  <si>
    <t>파트너</t>
    <phoneticPr fontId="11" type="noConversion"/>
  </si>
  <si>
    <t>상      호</t>
    <phoneticPr fontId="17" type="noConversion"/>
  </si>
  <si>
    <t>㈜에스앤아이코퍼레이션</t>
    <phoneticPr fontId="17" type="noConversion"/>
  </si>
  <si>
    <t>대      표</t>
    <phoneticPr fontId="17" type="noConversion"/>
  </si>
  <si>
    <t>서 현</t>
    <phoneticPr fontId="17" type="noConversion"/>
  </si>
  <si>
    <r>
      <t>견적유효기간</t>
    </r>
    <r>
      <rPr>
        <sz val="12"/>
        <rFont val="Arial"/>
        <family val="2"/>
      </rPr>
      <t/>
    </r>
    <phoneticPr fontId="17" type="noConversion"/>
  </si>
  <si>
    <t>견적 제출 후 30일 까지</t>
    <phoneticPr fontId="13" type="noConversion"/>
  </si>
  <si>
    <t>주      소</t>
    <phoneticPr fontId="17" type="noConversion"/>
  </si>
  <si>
    <t>서울특별시 강서구 마곡중앙로150</t>
    <phoneticPr fontId="17" type="noConversion"/>
  </si>
  <si>
    <t>납        기</t>
    <phoneticPr fontId="17" type="noConversion"/>
  </si>
  <si>
    <t>발주 후 개별 협의</t>
    <phoneticPr fontId="17" type="noConversion"/>
  </si>
  <si>
    <t>업      태</t>
    <phoneticPr fontId="17" type="noConversion"/>
  </si>
  <si>
    <t>부동산, 서비스</t>
    <phoneticPr fontId="17" type="noConversion"/>
  </si>
  <si>
    <t>종      목</t>
    <phoneticPr fontId="17" type="noConversion"/>
  </si>
  <si>
    <t>임대 및 관리</t>
    <phoneticPr fontId="17" type="noConversion"/>
  </si>
  <si>
    <t>견적을 제출 합니다</t>
    <phoneticPr fontId="17" type="noConversion"/>
  </si>
  <si>
    <t>NO</t>
    <phoneticPr fontId="50" type="noConversion"/>
  </si>
  <si>
    <t>구          분</t>
    <phoneticPr fontId="50" type="noConversion"/>
  </si>
  <si>
    <t>수량</t>
    <phoneticPr fontId="50" type="noConversion"/>
  </si>
  <si>
    <t>단위</t>
    <phoneticPr fontId="50" type="noConversion"/>
  </si>
  <si>
    <t>금    액</t>
    <phoneticPr fontId="50" type="noConversion"/>
  </si>
  <si>
    <t>비    고</t>
    <phoneticPr fontId="50" type="noConversion"/>
  </si>
  <si>
    <t>경   비</t>
    <phoneticPr fontId="17" type="noConversion"/>
  </si>
  <si>
    <t>기계 및 기타경비</t>
    <phoneticPr fontId="17" type="noConversion"/>
  </si>
  <si>
    <t>중장비 사용 등</t>
    <phoneticPr fontId="13" type="noConversion"/>
  </si>
  <si>
    <t>안전관리비</t>
    <phoneticPr fontId="17" type="noConversion"/>
  </si>
  <si>
    <t>%</t>
    <phoneticPr fontId="17" type="noConversion"/>
  </si>
  <si>
    <t>(재료비+노무비)*3.11%</t>
    <phoneticPr fontId="11" type="noConversion"/>
  </si>
  <si>
    <t>산재 보험료</t>
  </si>
  <si>
    <t>%</t>
  </si>
  <si>
    <t>노무비*3.56%</t>
    <phoneticPr fontId="11" type="noConversion"/>
  </si>
  <si>
    <t>고용보험료</t>
  </si>
  <si>
    <t>노무비*1.01%</t>
  </si>
  <si>
    <t>국민건강 보험료</t>
  </si>
  <si>
    <t>노무비*3.545%</t>
    <phoneticPr fontId="13" type="noConversion"/>
  </si>
  <si>
    <t>국민연금 보험료</t>
  </si>
  <si>
    <t>노무비*4.5%</t>
  </si>
  <si>
    <t>노인장기요양 보험료</t>
    <phoneticPr fontId="17" type="noConversion"/>
  </si>
  <si>
    <t>건강보험료*12.95%</t>
    <phoneticPr fontId="13" type="noConversion"/>
  </si>
  <si>
    <t>하도급대금지급보증증권</t>
    <phoneticPr fontId="17" type="noConversion"/>
  </si>
  <si>
    <t>1천만원 이상 공사시 적용</t>
    <phoneticPr fontId="13" type="noConversion"/>
  </si>
  <si>
    <t>폐기물처리 부담금</t>
    <phoneticPr fontId="17" type="noConversion"/>
  </si>
  <si>
    <t>식</t>
    <phoneticPr fontId="11" type="noConversion"/>
  </si>
  <si>
    <t>폐기물발생 시 적용 (kg당 34원)</t>
    <phoneticPr fontId="13" type="noConversion"/>
  </si>
  <si>
    <t>일반관리비</t>
    <phoneticPr fontId="13" type="noConversion"/>
  </si>
  <si>
    <t>%</t>
    <phoneticPr fontId="13" type="noConversion"/>
  </si>
  <si>
    <t>(재료비 + 노무비 + 경비)*5%</t>
    <phoneticPr fontId="13" type="noConversion"/>
  </si>
  <si>
    <t>이      윤</t>
    <phoneticPr fontId="17" type="noConversion"/>
  </si>
  <si>
    <t>(재료비+노무비+경비+일반관리비)*7.5%</t>
    <phoneticPr fontId="13" type="noConversion"/>
  </si>
  <si>
    <t>공사금액</t>
    <phoneticPr fontId="17" type="noConversion"/>
  </si>
  <si>
    <t>*유첨 : 견적서 내역서 1부      ─ 끝 ─</t>
    <phoneticPr fontId="17" type="noConversion"/>
  </si>
  <si>
    <t>사택 103-103 단열작업</t>
  </si>
  <si>
    <t>대전 업무지원팀 / 김규환님 귀하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</si>
</sst>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176" formatCode="_(* #,##0_);_(* \(#,##0\);_(* &quot;-&quot;_);_(@_)"/>
    <numFmt numFmtId="177" formatCode="_(* #,##0.00_);_(* \(#,##0.00\);_(* &quot;-&quot;??_);_(@_)"/>
    <numFmt numFmtId="178" formatCode="_(&quot;₩&quot;* #,##0_);_(&quot;₩&quot;* \(#,##0\);_(&quot;₩&quot;* &quot;-&quot;_);_(@_)"/>
    <numFmt numFmtId="179" formatCode="_ * #,##0_ ;_ * \-#,##0_ ;_ * &quot;-&quot;_ ;_ @_ "/>
    <numFmt numFmtId="180" formatCode="#"/>
    <numFmt numFmtId="181" formatCode="0.0%"/>
    <numFmt numFmtId="182" formatCode="#,##0_);[Red]\(#,##0\)"/>
    <numFmt numFmtId="183" formatCode="#,##0_ "/>
    <numFmt numFmtId="184" formatCode="0_);[Red]\(0\)"/>
    <numFmt numFmtId="185" formatCode="&quot;₩&quot;#,##0"/>
    <numFmt numFmtId="186" formatCode="0.00_);[Red]\(0.00\)"/>
    <numFmt numFmtId="187" formatCode="0.000"/>
    <numFmt numFmtId="188" formatCode="#,##0;\-#,##0;"/>
    <numFmt numFmtId="189" formatCode="0.000_);[Red]\(0.000\)"/>
    <numFmt numFmtId="190" formatCode="0.000_ "/>
    <numFmt numFmtId="191" formatCode="0.0_);[Red]\(0.0\)"/>
    <numFmt numFmtId="192" formatCode="&quot;공사명:&quot;\ @"/>
  </numFmts>
  <fonts count="53" x14ac:knownFonts="1">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b/>
      <sz val="12"/>
      <color rgb="FF000000"/>
      <name val="LG스마트체 Regular"/>
      <family val="3"/>
      <charset val="129"/>
    </font>
    <font>
      <sz val="8"/>
      <name val="돋움"/>
      <family val="3"/>
      <charset val="129"/>
    </font>
    <font>
      <sz val="9"/>
      <color indexed="81"/>
      <name val="Tahoma"/>
      <family val="2"/>
    </font>
    <font>
      <b/>
      <sz val="9"/>
      <color indexed="81"/>
      <name val="Tahoma"/>
      <family val="2"/>
    </font>
    <font>
      <b/>
      <sz val="9"/>
      <color indexed="81"/>
      <name val="돋움"/>
      <family val="3"/>
      <charset val="129"/>
    </font>
    <font>
      <sz val="11"/>
      <name val="돋움"/>
      <family val="3"/>
      <charset val="129"/>
    </font>
    <font>
      <sz val="10"/>
      <color rgb="FF000000"/>
      <name val="LG스마트체 Regular"/>
      <family val="3"/>
      <charset val="129"/>
    </font>
    <font>
      <sz val="11"/>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11"/>
      <color rgb="FF000000"/>
      <name val="맑은 고딕"/>
      <family val="2"/>
      <charset val="129"/>
      <scheme val="minor"/>
    </font>
    <font>
      <sz val="8.5"/>
      <color rgb="FF000000"/>
      <name val="돋움"/>
      <family val="3"/>
      <charset val="129"/>
    </font>
    <font>
      <b/>
      <sz val="10"/>
      <color rgb="FF000000"/>
      <name val="굴림"/>
      <family val="3"/>
      <charset val="129"/>
    </font>
    <font>
      <b/>
      <sz val="9"/>
      <color rgb="FF000000"/>
      <name val="굴림"/>
      <family val="3"/>
      <charset val="129"/>
    </font>
    <font>
      <sz val="9"/>
      <color rgb="FF000000"/>
      <name val="굴림"/>
      <family val="3"/>
      <charset val="129"/>
    </font>
    <font>
      <sz val="11"/>
      <color rgb="FF000000"/>
      <name val="맑은 고딕"/>
      <family val="2"/>
      <scheme val="minor"/>
    </font>
    <font>
      <sz val="9"/>
      <color rgb="FF000000"/>
      <name val="LG스마트체 Regular"/>
      <family val="3"/>
      <charset val="129"/>
    </font>
    <font>
      <sz val="9"/>
      <name val="굴림"/>
      <family val="3"/>
      <charset val="129"/>
    </font>
    <font>
      <b/>
      <sz val="16"/>
      <name val="굴림"/>
      <family val="3"/>
      <charset val="129"/>
    </font>
    <font>
      <sz val="8.5"/>
      <color rgb="FF000000"/>
      <name val="LG스마트체 Regular"/>
      <family val="3"/>
      <charset val="129"/>
    </font>
    <font>
      <sz val="9"/>
      <color rgb="FFFF0000"/>
      <name val="LG스마트체 Regular"/>
      <family val="3"/>
      <charset val="129"/>
    </font>
    <font>
      <sz val="36"/>
      <name val="LG스마트체2.0 Regular"/>
      <family val="3"/>
      <charset val="129"/>
    </font>
    <font>
      <sz val="11"/>
      <name val="LG스마트체2.0 Regular"/>
      <family val="3"/>
      <charset val="129"/>
    </font>
    <font>
      <b/>
      <u/>
      <sz val="36"/>
      <name val="LG스마트체2.0 Regular"/>
      <family val="3"/>
      <charset val="129"/>
    </font>
    <font>
      <u/>
      <sz val="12"/>
      <name val="LG스마트체2.0 Regular"/>
      <family val="3"/>
      <charset val="129"/>
    </font>
    <font>
      <sz val="14"/>
      <name val="LG스마트체2.0 Regular"/>
      <family val="3"/>
      <charset val="129"/>
    </font>
    <font>
      <sz val="10"/>
      <name val="LG스마트체2.0 Regular"/>
      <family val="3"/>
      <charset val="129"/>
    </font>
    <font>
      <sz val="12"/>
      <name val="LG스마트체2.0 Regular"/>
      <family val="3"/>
      <charset val="129"/>
    </font>
    <font>
      <sz val="12"/>
      <name val="Arial"/>
      <family val="2"/>
    </font>
    <font>
      <sz val="12"/>
      <color indexed="64"/>
      <name val="LG스마트체2.0 Regular"/>
      <family val="3"/>
      <charset val="129"/>
    </font>
    <font>
      <sz val="10"/>
      <color indexed="64"/>
      <name val="LG스마트체2.0 Regular"/>
      <family val="3"/>
      <charset val="129"/>
    </font>
    <font>
      <u/>
      <sz val="14"/>
      <color theme="0"/>
      <name val="LG스마트체2.0 Regular"/>
      <family val="3"/>
      <charset val="129"/>
    </font>
    <font>
      <b/>
      <sz val="11"/>
      <name val="LG스마트체2.0 Regular"/>
      <family val="3"/>
      <charset val="129"/>
    </font>
    <font>
      <b/>
      <sz val="14"/>
      <color indexed="9"/>
      <name val="LG스마트체2.0 Regular"/>
      <family val="3"/>
      <charset val="129"/>
    </font>
    <font>
      <sz val="12"/>
      <name val="바탕체"/>
      <family val="1"/>
      <charset val="129"/>
    </font>
    <font>
      <sz val="9"/>
      <name val="LG스마트체2.0 Regular"/>
      <family val="3"/>
      <charset val="129"/>
    </font>
    <font>
      <b/>
      <sz val="12"/>
      <color indexed="9"/>
      <name val="LG스마트체2.0 Regular"/>
      <family val="3"/>
      <charset val="129"/>
    </font>
  </fonts>
  <fills count="14">
    <fill>
      <patternFill patternType="none"/>
    </fill>
    <fill>
      <patternFill patternType="gray125"/>
    </fill>
    <fill>
      <patternFill patternType="solid">
        <fgColor rgb="FFF5F5F5"/>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1"/>
        <bgColor indexed="64"/>
      </patternFill>
    </fill>
    <fill>
      <patternFill patternType="solid">
        <fgColor rgb="FFFFFF00"/>
        <bgColor indexed="64"/>
      </patternFill>
    </fill>
    <fill>
      <patternFill patternType="solid">
        <fgColor indexed="9"/>
        <bgColor indexed="64"/>
      </patternFill>
    </fill>
    <fill>
      <patternFill patternType="solid">
        <fgColor indexed="8"/>
        <bgColor indexed="64"/>
      </patternFill>
    </fill>
    <fill>
      <patternFill patternType="solid">
        <fgColor indexed="42"/>
        <bgColor indexed="64"/>
      </patternFill>
    </fill>
    <fill>
      <patternFill patternType="solid">
        <fgColor indexed="23"/>
        <bgColor indexed="64"/>
      </patternFill>
    </fill>
  </fills>
  <borders count="78">
    <border>
      <left/>
      <right/>
      <top/>
      <bottom/>
      <diagonal/>
    </border>
    <border>
      <left style="thin">
        <color rgb="FFDCDBDA"/>
      </left>
      <right style="thin">
        <color rgb="FFDCDBDA"/>
      </right>
      <top style="thin">
        <color rgb="FFDCDBDA"/>
      </top>
      <bottom style="thin">
        <color rgb="FFDCDBDA"/>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style="hair">
        <color indexed="64"/>
      </left>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thin">
        <color indexed="64"/>
      </left>
      <right style="medium">
        <color indexed="64"/>
      </right>
      <top style="hair">
        <color indexed="64"/>
      </top>
      <bottom style="hair">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indexed="64"/>
      </right>
      <top/>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diagonal/>
    </border>
    <border>
      <left style="hair">
        <color indexed="64"/>
      </left>
      <right style="medium">
        <color indexed="64"/>
      </right>
      <top style="medium">
        <color indexed="64"/>
      </top>
      <bottom style="hair">
        <color indexed="64"/>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diagonal/>
    </border>
    <border>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9"/>
      </right>
      <top style="medium">
        <color indexed="64"/>
      </top>
      <bottom style="medium">
        <color indexed="64"/>
      </bottom>
      <diagonal/>
    </border>
    <border>
      <left style="medium">
        <color indexed="9"/>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auto="1"/>
      </right>
      <top/>
      <bottom style="medium">
        <color auto="1"/>
      </bottom>
      <diagonal/>
    </border>
  </borders>
  <cellStyleXfs count="37">
    <xf numFmtId="0" fontId="0" fillId="0" borderId="0">
      <alignment vertical="center"/>
    </xf>
    <xf numFmtId="176" fontId="12" fillId="0" borderId="0" applyFont="0" applyFill="0" applyBorder="0" applyAlignment="0" applyProtection="0">
      <alignment vertical="center"/>
    </xf>
    <xf numFmtId="9" fontId="12" fillId="0" borderId="0" applyFont="0" applyFill="0" applyBorder="0" applyAlignment="0" applyProtection="0">
      <alignment vertical="center"/>
    </xf>
    <xf numFmtId="0" fontId="14" fillId="0" borderId="0"/>
    <xf numFmtId="176" fontId="10" fillId="0" borderId="0" applyFont="0" applyFill="0" applyBorder="0" applyAlignment="0" applyProtection="0">
      <alignment vertical="center"/>
    </xf>
    <xf numFmtId="179" fontId="15" fillId="0" borderId="0" applyFont="0" applyFill="0" applyBorder="0" applyAlignment="0" applyProtection="0"/>
    <xf numFmtId="0" fontId="10" fillId="0" borderId="0">
      <alignment vertical="center"/>
    </xf>
    <xf numFmtId="9" fontId="15" fillId="0" borderId="0" applyFont="0" applyFill="0" applyBorder="0" applyAlignment="0" applyProtection="0"/>
    <xf numFmtId="0" fontId="14" fillId="0" borderId="0"/>
    <xf numFmtId="0" fontId="21" fillId="0" borderId="0"/>
    <xf numFmtId="178" fontId="21" fillId="0" borderId="0" applyFont="0" applyFill="0" applyBorder="0" applyAlignment="0" applyProtection="0"/>
    <xf numFmtId="176" fontId="21" fillId="0" borderId="0" applyFont="0" applyFill="0" applyBorder="0" applyAlignment="0" applyProtection="0">
      <alignment vertical="center"/>
    </xf>
    <xf numFmtId="0" fontId="9" fillId="0" borderId="0">
      <alignment vertical="center"/>
    </xf>
    <xf numFmtId="0" fontId="8" fillId="0" borderId="0">
      <alignment vertical="center"/>
    </xf>
    <xf numFmtId="176" fontId="8" fillId="0" borderId="0" applyFont="0" applyFill="0" applyBorder="0" applyAlignment="0" applyProtection="0">
      <alignment vertical="center"/>
    </xf>
    <xf numFmtId="0" fontId="7" fillId="0" borderId="0">
      <alignment vertical="center"/>
    </xf>
    <xf numFmtId="176" fontId="7" fillId="0" borderId="0" applyFont="0" applyFill="0" applyBorder="0" applyAlignment="0" applyProtection="0">
      <alignment vertical="center"/>
    </xf>
    <xf numFmtId="0" fontId="6" fillId="0" borderId="0">
      <alignment vertical="center"/>
    </xf>
    <xf numFmtId="176" fontId="6" fillId="0" borderId="0" applyFont="0" applyFill="0" applyBorder="0" applyAlignment="0" applyProtection="0">
      <alignment vertical="center"/>
    </xf>
    <xf numFmtId="0" fontId="6" fillId="0" borderId="0">
      <alignment vertical="center"/>
    </xf>
    <xf numFmtId="0" fontId="5" fillId="0" borderId="0">
      <alignment vertical="center"/>
    </xf>
    <xf numFmtId="176" fontId="5" fillId="0" borderId="0" applyFont="0" applyFill="0" applyBorder="0" applyAlignment="0" applyProtection="0">
      <alignment vertical="center"/>
    </xf>
    <xf numFmtId="0" fontId="5" fillId="0" borderId="0">
      <alignment vertical="center"/>
    </xf>
    <xf numFmtId="0" fontId="4" fillId="0" borderId="0">
      <alignment vertical="center"/>
    </xf>
    <xf numFmtId="176" fontId="4" fillId="0" borderId="0" applyFont="0" applyFill="0" applyBorder="0" applyAlignment="0" applyProtection="0">
      <alignment vertical="center"/>
    </xf>
    <xf numFmtId="176" fontId="3" fillId="0" borderId="0" applyFont="0" applyFill="0" applyBorder="0" applyAlignment="0" applyProtection="0">
      <alignment vertical="center"/>
    </xf>
    <xf numFmtId="0" fontId="2" fillId="0" borderId="0">
      <alignment vertical="center"/>
    </xf>
    <xf numFmtId="176" fontId="2" fillId="0" borderId="0" applyFont="0" applyFill="0" applyBorder="0" applyAlignment="0" applyProtection="0">
      <alignment vertical="center"/>
    </xf>
    <xf numFmtId="0" fontId="2" fillId="0" borderId="0">
      <alignment vertical="center"/>
    </xf>
    <xf numFmtId="0" fontId="21" fillId="0" borderId="0"/>
    <xf numFmtId="0" fontId="21" fillId="0" borderId="0">
      <alignment vertical="center"/>
    </xf>
    <xf numFmtId="0" fontId="21" fillId="0" borderId="0">
      <alignment vertical="center"/>
    </xf>
    <xf numFmtId="0" fontId="21" fillId="0" borderId="0">
      <alignment vertical="center"/>
    </xf>
    <xf numFmtId="176" fontId="12" fillId="0" borderId="0" applyFont="0" applyFill="0" applyBorder="0" applyAlignment="0" applyProtection="0">
      <alignment vertical="center"/>
    </xf>
    <xf numFmtId="176" fontId="21" fillId="0" borderId="0" applyFont="0" applyFill="0" applyBorder="0" applyAlignment="0" applyProtection="0">
      <alignment vertical="center"/>
    </xf>
    <xf numFmtId="179" fontId="15" fillId="0" borderId="0" applyFont="0" applyFill="0" applyBorder="0" applyAlignment="0" applyProtection="0"/>
    <xf numFmtId="176" fontId="1" fillId="0" borderId="0" applyFont="0" applyFill="0" applyBorder="0" applyAlignment="0" applyProtection="0">
      <alignment vertical="center"/>
    </xf>
  </cellStyleXfs>
  <cellXfs count="292">
    <xf numFmtId="0" fontId="0" fillId="0" borderId="0" xfId="0">
      <alignment vertical="center"/>
    </xf>
    <xf numFmtId="0" fontId="27" fillId="0" borderId="0" xfId="26" applyFont="1" applyAlignment="1">
      <alignment horizontal="right" vertical="center"/>
    </xf>
    <xf numFmtId="0" fontId="28" fillId="0" borderId="14" xfId="26" quotePrefix="1" applyFont="1" applyBorder="1" applyAlignment="1">
      <alignment horizontal="center" vertical="center"/>
    </xf>
    <xf numFmtId="0" fontId="28" fillId="0" borderId="16" xfId="26" quotePrefix="1" applyFont="1" applyBorder="1" applyAlignment="1">
      <alignment horizontal="center" vertical="center"/>
    </xf>
    <xf numFmtId="182" fontId="28" fillId="0" borderId="14" xfId="26" quotePrefix="1" applyNumberFormat="1" applyFont="1" applyBorder="1" applyAlignment="1">
      <alignment horizontal="center" vertical="center"/>
    </xf>
    <xf numFmtId="176" fontId="30" fillId="5" borderId="14" xfId="11" applyFont="1" applyFill="1" applyBorder="1" applyAlignment="1">
      <alignment vertical="center"/>
    </xf>
    <xf numFmtId="176" fontId="30" fillId="5" borderId="14" xfId="11" applyFont="1" applyFill="1" applyBorder="1" applyAlignment="1">
      <alignment horizontal="center" vertical="center"/>
    </xf>
    <xf numFmtId="185" fontId="29" fillId="9" borderId="14" xfId="11" applyNumberFormat="1" applyFont="1" applyFill="1" applyBorder="1" applyAlignment="1">
      <alignment horizontal="center" vertical="center"/>
    </xf>
    <xf numFmtId="0" fontId="29" fillId="9" borderId="14" xfId="26" applyFont="1" applyFill="1" applyBorder="1" applyAlignment="1">
      <alignment horizontal="center" vertical="center"/>
    </xf>
    <xf numFmtId="186" fontId="29" fillId="9" borderId="14" xfId="11" applyNumberFormat="1" applyFont="1" applyFill="1" applyBorder="1" applyAlignment="1">
      <alignment horizontal="center" vertical="center"/>
    </xf>
    <xf numFmtId="182" fontId="29" fillId="9" borderId="14" xfId="11" applyNumberFormat="1" applyFont="1" applyFill="1" applyBorder="1" applyAlignment="1">
      <alignment horizontal="right" vertical="center" wrapText="1"/>
    </xf>
    <xf numFmtId="182" fontId="29" fillId="9" borderId="14" xfId="11" applyNumberFormat="1" applyFont="1" applyFill="1" applyBorder="1" applyAlignment="1">
      <alignment vertical="center"/>
    </xf>
    <xf numFmtId="0" fontId="29" fillId="9" borderId="14" xfId="26" applyFont="1" applyFill="1" applyBorder="1" applyAlignment="1">
      <alignment horizontal="right" vertical="center"/>
    </xf>
    <xf numFmtId="0" fontId="26" fillId="0" borderId="0" xfId="28" applyFont="1">
      <alignment vertical="center"/>
    </xf>
    <xf numFmtId="0" fontId="31" fillId="0" borderId="0" xfId="0" applyFont="1">
      <alignment vertical="center"/>
    </xf>
    <xf numFmtId="180" fontId="23" fillId="0" borderId="0" xfId="1" applyNumberFormat="1" applyFont="1" applyAlignment="1">
      <alignment horizontal="center" vertical="center"/>
    </xf>
    <xf numFmtId="0" fontId="25" fillId="0" borderId="0" xfId="0" applyFont="1" applyAlignment="1">
      <alignment horizontal="center" vertical="center"/>
    </xf>
    <xf numFmtId="0" fontId="22" fillId="0" borderId="0" xfId="0" applyFont="1">
      <alignment vertical="center"/>
    </xf>
    <xf numFmtId="0" fontId="22" fillId="0" borderId="0" xfId="0" applyFont="1" applyAlignment="1">
      <alignment horizontal="center" vertical="center"/>
    </xf>
    <xf numFmtId="9" fontId="25" fillId="0" borderId="0" xfId="0" applyNumberFormat="1" applyFont="1" applyAlignment="1">
      <alignment horizontal="center" vertical="center"/>
    </xf>
    <xf numFmtId="181" fontId="25" fillId="3" borderId="0" xfId="2" applyNumberFormat="1" applyFont="1" applyFill="1" applyAlignment="1">
      <alignment horizontal="center" vertical="center"/>
    </xf>
    <xf numFmtId="0" fontId="25" fillId="8" borderId="9" xfId="0" applyFont="1" applyFill="1" applyBorder="1">
      <alignment vertical="center"/>
    </xf>
    <xf numFmtId="0" fontId="25" fillId="8" borderId="6" xfId="0" applyFont="1" applyFill="1" applyBorder="1">
      <alignment vertical="center"/>
    </xf>
    <xf numFmtId="0" fontId="25" fillId="4" borderId="7" xfId="0" applyFont="1" applyFill="1" applyBorder="1" applyAlignment="1">
      <alignment horizontal="center" vertical="center"/>
    </xf>
    <xf numFmtId="0" fontId="25" fillId="7" borderId="2" xfId="0" applyFont="1" applyFill="1" applyBorder="1" applyAlignment="1">
      <alignment horizontal="center" vertical="center"/>
    </xf>
    <xf numFmtId="0" fontId="25" fillId="4" borderId="2" xfId="3" applyFont="1" applyFill="1" applyBorder="1" applyAlignment="1">
      <alignment horizontal="center" vertical="center"/>
    </xf>
    <xf numFmtId="176" fontId="25" fillId="4" borderId="2" xfId="4" applyFont="1" applyFill="1" applyBorder="1" applyAlignment="1">
      <alignment horizontal="center" vertical="center"/>
    </xf>
    <xf numFmtId="179" fontId="25" fillId="4" borderId="2" xfId="5" applyFont="1" applyFill="1" applyBorder="1" applyAlignment="1">
      <alignment horizontal="center" vertical="center"/>
    </xf>
    <xf numFmtId="0" fontId="22" fillId="6" borderId="7" xfId="0" applyFont="1" applyFill="1" applyBorder="1" applyAlignment="1">
      <alignment horizontal="center" vertical="center"/>
    </xf>
    <xf numFmtId="176" fontId="22" fillId="5" borderId="2" xfId="1" applyFont="1" applyFill="1" applyBorder="1" applyAlignment="1">
      <alignment horizontal="center" vertical="center" wrapText="1"/>
    </xf>
    <xf numFmtId="0" fontId="32" fillId="0" borderId="8" xfId="0" applyFont="1" applyBorder="1" applyAlignment="1">
      <alignment horizontal="center" vertical="center"/>
    </xf>
    <xf numFmtId="0" fontId="32" fillId="0" borderId="0" xfId="0" applyFont="1">
      <alignment vertical="center"/>
    </xf>
    <xf numFmtId="0" fontId="24" fillId="9" borderId="0" xfId="0" applyFont="1" applyFill="1">
      <alignment vertical="center"/>
    </xf>
    <xf numFmtId="0" fontId="24" fillId="0" borderId="0" xfId="0" applyFont="1">
      <alignment vertical="center"/>
    </xf>
    <xf numFmtId="176" fontId="16" fillId="9" borderId="0" xfId="0" applyNumberFormat="1" applyFont="1" applyFill="1">
      <alignment vertical="center"/>
    </xf>
    <xf numFmtId="0" fontId="16" fillId="0" borderId="0" xfId="0" applyFont="1">
      <alignment vertical="center"/>
    </xf>
    <xf numFmtId="176" fontId="16" fillId="0" borderId="0" xfId="0" applyNumberFormat="1" applyFont="1">
      <alignment vertical="center"/>
    </xf>
    <xf numFmtId="0" fontId="24" fillId="0" borderId="0" xfId="0" applyFont="1" applyAlignment="1">
      <alignment horizontal="center" vertical="center"/>
    </xf>
    <xf numFmtId="0" fontId="25" fillId="5" borderId="0" xfId="0" applyFont="1" applyFill="1">
      <alignment vertical="center"/>
    </xf>
    <xf numFmtId="183" fontId="28" fillId="9" borderId="16" xfId="11" applyNumberFormat="1" applyFont="1" applyFill="1" applyBorder="1" applyAlignment="1">
      <alignment horizontal="center" vertical="center"/>
    </xf>
    <xf numFmtId="49" fontId="22" fillId="2" borderId="1" xfId="0" applyNumberFormat="1" applyFont="1" applyFill="1" applyBorder="1" applyAlignment="1">
      <alignment horizontal="center" vertical="center" wrapText="1"/>
    </xf>
    <xf numFmtId="180" fontId="22" fillId="7" borderId="1" xfId="1" applyNumberFormat="1" applyFont="1" applyFill="1" applyBorder="1" applyAlignment="1">
      <alignment horizontal="center" vertical="center"/>
    </xf>
    <xf numFmtId="180" fontId="22" fillId="0" borderId="1" xfId="1" applyNumberFormat="1" applyFont="1" applyBorder="1" applyAlignment="1">
      <alignment horizontal="center" vertical="center"/>
    </xf>
    <xf numFmtId="183" fontId="33" fillId="5" borderId="14" xfId="11" applyNumberFormat="1" applyFont="1" applyFill="1" applyBorder="1" applyAlignment="1">
      <alignment horizontal="center" vertical="center" wrapText="1"/>
    </xf>
    <xf numFmtId="184" fontId="27" fillId="0" borderId="0" xfId="26" applyNumberFormat="1" applyFont="1" applyAlignment="1">
      <alignment horizontal="right" vertical="center"/>
    </xf>
    <xf numFmtId="49" fontId="22" fillId="7" borderId="2" xfId="0" applyNumberFormat="1" applyFont="1" applyFill="1" applyBorder="1" applyAlignment="1">
      <alignment horizontal="center" vertical="center"/>
    </xf>
    <xf numFmtId="0" fontId="22" fillId="7" borderId="2" xfId="0" applyFont="1" applyFill="1" applyBorder="1" applyAlignment="1">
      <alignment horizontal="center" vertical="center"/>
    </xf>
    <xf numFmtId="49" fontId="22" fillId="0" borderId="2" xfId="0" applyNumberFormat="1" applyFont="1" applyBorder="1" applyAlignment="1">
      <alignment horizontal="center" vertical="center" wrapText="1"/>
    </xf>
    <xf numFmtId="49" fontId="22" fillId="5" borderId="2" xfId="0" applyNumberFormat="1" applyFont="1" applyFill="1" applyBorder="1" applyAlignment="1">
      <alignment horizontal="center" vertical="center"/>
    </xf>
    <xf numFmtId="187" fontId="22" fillId="5" borderId="2" xfId="1" applyNumberFormat="1" applyFont="1" applyFill="1" applyBorder="1" applyAlignment="1">
      <alignment horizontal="center" vertical="center"/>
    </xf>
    <xf numFmtId="188" fontId="22" fillId="5" borderId="2" xfId="0" applyNumberFormat="1" applyFont="1" applyFill="1" applyBorder="1" applyAlignment="1">
      <alignment horizontal="right" vertical="center"/>
    </xf>
    <xf numFmtId="188" fontId="22" fillId="6" borderId="2" xfId="1" applyNumberFormat="1" applyFont="1" applyFill="1" applyBorder="1" applyAlignment="1">
      <alignment horizontal="right" vertical="center" wrapText="1"/>
    </xf>
    <xf numFmtId="188" fontId="22" fillId="5" borderId="2" xfId="1" applyNumberFormat="1" applyFont="1" applyFill="1" applyBorder="1" applyAlignment="1">
      <alignment horizontal="right" vertical="center"/>
    </xf>
    <xf numFmtId="188" fontId="22" fillId="0" borderId="2" xfId="1" applyNumberFormat="1" applyFont="1" applyFill="1" applyBorder="1" applyAlignment="1">
      <alignment horizontal="right" vertical="center" wrapText="1"/>
    </xf>
    <xf numFmtId="176" fontId="22" fillId="0" borderId="2" xfId="1" applyFont="1" applyFill="1" applyBorder="1" applyAlignment="1">
      <alignment vertical="center" wrapText="1"/>
    </xf>
    <xf numFmtId="189" fontId="22" fillId="5" borderId="2" xfId="1" applyNumberFormat="1" applyFont="1" applyFill="1" applyBorder="1" applyAlignment="1">
      <alignment vertical="center"/>
    </xf>
    <xf numFmtId="0" fontId="22" fillId="0" borderId="8" xfId="0" applyFont="1" applyBorder="1">
      <alignment vertical="center"/>
    </xf>
    <xf numFmtId="49" fontId="22" fillId="7" borderId="2" xfId="0" applyNumberFormat="1" applyFont="1" applyFill="1" applyBorder="1" applyAlignment="1">
      <alignment horizontal="center" vertical="center" wrapText="1"/>
    </xf>
    <xf numFmtId="188" fontId="22" fillId="5" borderId="2" xfId="0" applyNumberFormat="1" applyFont="1" applyFill="1" applyBorder="1" applyAlignment="1">
      <alignment horizontal="right" vertical="center" wrapText="1"/>
    </xf>
    <xf numFmtId="176" fontId="22" fillId="5" borderId="2" xfId="1" applyFont="1" applyFill="1" applyBorder="1" applyAlignment="1">
      <alignment vertical="center" wrapText="1"/>
    </xf>
    <xf numFmtId="0" fontId="32" fillId="7" borderId="2" xfId="0" applyFont="1" applyFill="1" applyBorder="1" applyAlignment="1">
      <alignment horizontal="center" vertical="center"/>
    </xf>
    <xf numFmtId="49" fontId="22" fillId="5" borderId="2" xfId="0" applyNumberFormat="1" applyFont="1" applyFill="1" applyBorder="1" applyAlignment="1">
      <alignment horizontal="center" vertical="center" wrapText="1"/>
    </xf>
    <xf numFmtId="188" fontId="22" fillId="5" borderId="2" xfId="1" applyNumberFormat="1" applyFont="1" applyFill="1" applyBorder="1" applyAlignment="1">
      <alignment horizontal="right" vertical="center" wrapText="1"/>
    </xf>
    <xf numFmtId="49" fontId="25" fillId="7" borderId="2" xfId="0" applyNumberFormat="1" applyFont="1" applyFill="1" applyBorder="1" applyAlignment="1">
      <alignment vertical="center" wrapText="1"/>
    </xf>
    <xf numFmtId="0" fontId="22" fillId="7" borderId="2" xfId="0" applyFont="1" applyFill="1" applyBorder="1">
      <alignment vertical="center"/>
    </xf>
    <xf numFmtId="49" fontId="22" fillId="7" borderId="2" xfId="0" applyNumberFormat="1" applyFont="1" applyFill="1" applyBorder="1" applyAlignment="1">
      <alignment vertical="center" wrapText="1"/>
    </xf>
    <xf numFmtId="49" fontId="22" fillId="5" borderId="2" xfId="1" applyNumberFormat="1" applyFont="1" applyFill="1" applyBorder="1" applyAlignment="1">
      <alignment horizontal="center" vertical="center"/>
    </xf>
    <xf numFmtId="183" fontId="25" fillId="5" borderId="14" xfId="11" applyNumberFormat="1" applyFont="1" applyFill="1" applyBorder="1" applyAlignment="1">
      <alignment vertical="center"/>
    </xf>
    <xf numFmtId="183" fontId="32" fillId="5" borderId="14" xfId="11" applyNumberFormat="1" applyFont="1" applyFill="1" applyBorder="1" applyAlignment="1">
      <alignment horizontal="center" vertical="center"/>
    </xf>
    <xf numFmtId="0" fontId="32" fillId="5" borderId="14" xfId="26" applyFont="1" applyFill="1" applyBorder="1" applyAlignment="1">
      <alignment horizontal="center" vertical="center"/>
    </xf>
    <xf numFmtId="182" fontId="32" fillId="5" borderId="14" xfId="11" applyNumberFormat="1" applyFont="1" applyFill="1" applyBorder="1" applyAlignment="1">
      <alignment horizontal="right" vertical="center" wrapText="1"/>
    </xf>
    <xf numFmtId="176" fontId="32" fillId="5" borderId="14" xfId="11" applyFont="1" applyFill="1" applyBorder="1" applyAlignment="1">
      <alignment vertical="center"/>
    </xf>
    <xf numFmtId="176" fontId="32" fillId="5" borderId="14" xfId="11" applyFont="1" applyFill="1" applyBorder="1">
      <alignment vertical="center"/>
    </xf>
    <xf numFmtId="182" fontId="32" fillId="5" borderId="14" xfId="26" applyNumberFormat="1" applyFont="1" applyFill="1" applyBorder="1" applyAlignment="1">
      <alignment horizontal="left" vertical="center" wrapText="1"/>
    </xf>
    <xf numFmtId="176" fontId="32" fillId="5" borderId="14" xfId="11" applyFont="1" applyFill="1" applyBorder="1" applyAlignment="1">
      <alignment horizontal="center" vertical="center"/>
    </xf>
    <xf numFmtId="0" fontId="35" fillId="0" borderId="0" xfId="26" applyFont="1" applyAlignment="1">
      <alignment horizontal="right" vertical="center"/>
    </xf>
    <xf numFmtId="0" fontId="25" fillId="5" borderId="14" xfId="3" applyFont="1" applyFill="1" applyBorder="1" applyAlignment="1">
      <alignment vertical="center"/>
    </xf>
    <xf numFmtId="0" fontId="32" fillId="0" borderId="14" xfId="3" applyFont="1" applyBorder="1" applyAlignment="1">
      <alignment horizontal="center" vertical="center"/>
    </xf>
    <xf numFmtId="176" fontId="32" fillId="0" borderId="14" xfId="11" applyFont="1" applyFill="1" applyBorder="1" applyAlignment="1">
      <alignment horizontal="center" vertical="center"/>
    </xf>
    <xf numFmtId="179" fontId="32" fillId="0" borderId="14" xfId="5" applyFont="1" applyFill="1" applyBorder="1" applyAlignment="1">
      <alignment vertical="center"/>
    </xf>
    <xf numFmtId="176" fontId="32" fillId="0" borderId="14" xfId="11" applyFont="1" applyFill="1" applyBorder="1" applyAlignment="1">
      <alignment vertical="center"/>
    </xf>
    <xf numFmtId="0" fontId="22" fillId="5" borderId="14" xfId="3" applyFont="1" applyFill="1" applyBorder="1" applyAlignment="1">
      <alignment vertical="center"/>
    </xf>
    <xf numFmtId="179" fontId="32" fillId="5" borderId="14" xfId="5" applyFont="1" applyFill="1" applyBorder="1" applyAlignment="1">
      <alignment vertical="center"/>
    </xf>
    <xf numFmtId="0" fontId="32" fillId="5" borderId="14" xfId="3" applyFont="1" applyFill="1" applyBorder="1" applyAlignment="1">
      <alignment horizontal="center" vertical="center"/>
    </xf>
    <xf numFmtId="190" fontId="22" fillId="0" borderId="1" xfId="1" applyNumberFormat="1" applyFont="1" applyBorder="1" applyAlignment="1">
      <alignment horizontal="center" vertical="center"/>
    </xf>
    <xf numFmtId="191" fontId="32" fillId="5" borderId="14" xfId="11" applyNumberFormat="1" applyFont="1" applyFill="1" applyBorder="1" applyAlignment="1">
      <alignment horizontal="center" vertical="center"/>
    </xf>
    <xf numFmtId="191" fontId="36" fillId="5" borderId="14" xfId="27" applyNumberFormat="1" applyFont="1" applyFill="1" applyBorder="1" applyAlignment="1">
      <alignment horizontal="center" vertical="center"/>
    </xf>
    <xf numFmtId="191" fontId="35" fillId="0" borderId="0" xfId="26" applyNumberFormat="1" applyFont="1" applyAlignment="1">
      <alignment horizontal="right" vertical="center"/>
    </xf>
    <xf numFmtId="0" fontId="38" fillId="0" borderId="0" xfId="30" applyFont="1">
      <alignment vertical="center"/>
    </xf>
    <xf numFmtId="0" fontId="37" fillId="0" borderId="23" xfId="29" applyFont="1" applyBorder="1" applyAlignment="1">
      <alignment horizontal="center" vertical="center"/>
    </xf>
    <xf numFmtId="0" fontId="37" fillId="0" borderId="0" xfId="29" applyFont="1" applyAlignment="1">
      <alignment horizontal="center" vertical="center"/>
    </xf>
    <xf numFmtId="0" fontId="37" fillId="0" borderId="24" xfId="29" applyFont="1" applyBorder="1" applyAlignment="1">
      <alignment horizontal="center" vertical="center"/>
    </xf>
    <xf numFmtId="0" fontId="40" fillId="0" borderId="23" xfId="29" applyFont="1" applyBorder="1" applyAlignment="1">
      <alignment horizontal="left" vertical="center"/>
    </xf>
    <xf numFmtId="0" fontId="41" fillId="0" borderId="0" xfId="29" applyFont="1" applyAlignment="1">
      <alignment vertical="center"/>
    </xf>
    <xf numFmtId="0" fontId="41" fillId="0" borderId="0" xfId="29" applyFont="1" applyAlignment="1">
      <alignment horizontal="left" vertical="center" textRotation="1"/>
    </xf>
    <xf numFmtId="0" fontId="42" fillId="0" borderId="0" xfId="29" applyFont="1" applyAlignment="1">
      <alignment horizontal="centerContinuous" vertical="center"/>
    </xf>
    <xf numFmtId="0" fontId="42" fillId="0" borderId="24" xfId="29" applyFont="1" applyBorder="1" applyAlignment="1">
      <alignment vertical="center"/>
    </xf>
    <xf numFmtId="0" fontId="43" fillId="0" borderId="23" xfId="29" applyFont="1" applyBorder="1" applyAlignment="1">
      <alignment horizontal="left" vertical="center" indent="2"/>
    </xf>
    <xf numFmtId="0" fontId="38" fillId="0" borderId="13" xfId="29" applyFont="1" applyBorder="1" applyAlignment="1">
      <alignment vertical="center"/>
    </xf>
    <xf numFmtId="0" fontId="38" fillId="0" borderId="0" xfId="29" applyFont="1" applyAlignment="1">
      <alignment vertical="center"/>
    </xf>
    <xf numFmtId="0" fontId="42" fillId="0" borderId="24" xfId="29" applyFont="1" applyBorder="1" applyAlignment="1">
      <alignment horizontal="right" vertical="center"/>
    </xf>
    <xf numFmtId="0" fontId="43" fillId="0" borderId="23" xfId="29" applyFont="1" applyBorder="1" applyAlignment="1">
      <alignment vertical="center"/>
    </xf>
    <xf numFmtId="0" fontId="43" fillId="0" borderId="0" xfId="29" applyFont="1" applyAlignment="1">
      <alignment vertical="center"/>
    </xf>
    <xf numFmtId="0" fontId="42" fillId="0" borderId="0" xfId="29" applyFont="1" applyAlignment="1">
      <alignment horizontal="right" vertical="center"/>
    </xf>
    <xf numFmtId="0" fontId="43" fillId="0" borderId="24" xfId="29" applyFont="1" applyBorder="1" applyAlignment="1">
      <alignment vertical="center"/>
    </xf>
    <xf numFmtId="0" fontId="38" fillId="0" borderId="26" xfId="29" applyFont="1" applyBorder="1" applyAlignment="1">
      <alignment horizontal="center" vertical="center"/>
    </xf>
    <xf numFmtId="0" fontId="38" fillId="0" borderId="27" xfId="29" applyFont="1" applyBorder="1" applyAlignment="1">
      <alignment horizontal="center" vertical="center"/>
    </xf>
    <xf numFmtId="0" fontId="38" fillId="0" borderId="6" xfId="29" applyFont="1" applyBorder="1" applyAlignment="1">
      <alignment horizontal="center" vertical="center"/>
    </xf>
    <xf numFmtId="0" fontId="38" fillId="0" borderId="29" xfId="29" applyFont="1" applyBorder="1" applyAlignment="1">
      <alignment horizontal="center" vertical="center"/>
    </xf>
    <xf numFmtId="0" fontId="38" fillId="0" borderId="2" xfId="29" applyFont="1" applyBorder="1" applyAlignment="1">
      <alignment horizontal="center" vertical="center"/>
    </xf>
    <xf numFmtId="0" fontId="46" fillId="0" borderId="8" xfId="29" applyFont="1" applyBorder="1" applyAlignment="1">
      <alignment horizontal="center" vertical="center"/>
    </xf>
    <xf numFmtId="0" fontId="38" fillId="0" borderId="37" xfId="29" applyFont="1" applyBorder="1" applyAlignment="1">
      <alignment horizontal="center" vertical="center"/>
    </xf>
    <xf numFmtId="0" fontId="38" fillId="0" borderId="38" xfId="29" applyFont="1" applyBorder="1" applyAlignment="1">
      <alignment horizontal="center" vertical="center"/>
    </xf>
    <xf numFmtId="0" fontId="38" fillId="0" borderId="23" xfId="29" applyFont="1" applyBorder="1" applyAlignment="1">
      <alignment horizontal="center" vertical="center"/>
    </xf>
    <xf numFmtId="0" fontId="38" fillId="0" borderId="0" xfId="29" applyFont="1" applyAlignment="1">
      <alignment horizontal="center" vertical="center"/>
    </xf>
    <xf numFmtId="0" fontId="38" fillId="0" borderId="0" xfId="29" applyFont="1" applyAlignment="1">
      <alignment horizontal="left" vertical="center" indent="1"/>
    </xf>
    <xf numFmtId="0" fontId="42" fillId="0" borderId="0" xfId="29" applyFont="1" applyAlignment="1">
      <alignment vertical="center"/>
    </xf>
    <xf numFmtId="0" fontId="38" fillId="0" borderId="23" xfId="29" applyFont="1" applyBorder="1" applyAlignment="1">
      <alignment vertical="center"/>
    </xf>
    <xf numFmtId="0" fontId="38" fillId="0" borderId="24" xfId="29" applyFont="1" applyBorder="1" applyAlignment="1">
      <alignment vertical="center"/>
    </xf>
    <xf numFmtId="0" fontId="43" fillId="0" borderId="23" xfId="29" applyFont="1" applyBorder="1" applyAlignment="1">
      <alignment horizontal="left" vertical="center" indent="1"/>
    </xf>
    <xf numFmtId="0" fontId="48" fillId="0" borderId="0" xfId="29" applyFont="1" applyAlignment="1">
      <alignment vertical="center"/>
    </xf>
    <xf numFmtId="0" fontId="48" fillId="12" borderId="39" xfId="29" applyFont="1" applyFill="1" applyBorder="1" applyAlignment="1">
      <alignment horizontal="center" vertical="center"/>
    </xf>
    <xf numFmtId="0" fontId="48" fillId="12" borderId="40" xfId="29" applyFont="1" applyFill="1" applyBorder="1" applyAlignment="1">
      <alignment horizontal="center" vertical="center"/>
    </xf>
    <xf numFmtId="3" fontId="48" fillId="12" borderId="40" xfId="29" applyNumberFormat="1" applyFont="1" applyFill="1" applyBorder="1" applyAlignment="1">
      <alignment horizontal="center" vertical="center"/>
    </xf>
    <xf numFmtId="0" fontId="38" fillId="0" borderId="44" xfId="29" applyFont="1" applyBorder="1" applyAlignment="1">
      <alignment horizontal="center" vertical="center"/>
    </xf>
    <xf numFmtId="0" fontId="38" fillId="0" borderId="48" xfId="29" applyFont="1" applyBorder="1" applyAlignment="1">
      <alignment horizontal="center" vertical="center"/>
    </xf>
    <xf numFmtId="0" fontId="38" fillId="0" borderId="16" xfId="32" applyFont="1" applyBorder="1" applyAlignment="1">
      <alignment horizontal="center" vertical="center"/>
    </xf>
    <xf numFmtId="176" fontId="38" fillId="0" borderId="0" xfId="30" applyNumberFormat="1" applyFont="1">
      <alignment vertical="center"/>
    </xf>
    <xf numFmtId="0" fontId="38" fillId="0" borderId="54" xfId="32" applyFont="1" applyBorder="1" applyAlignment="1">
      <alignment horizontal="left" vertical="center" wrapText="1" indent="1"/>
    </xf>
    <xf numFmtId="0" fontId="42" fillId="0" borderId="59" xfId="32" applyFont="1" applyBorder="1" applyAlignment="1">
      <alignment horizontal="center" vertical="center"/>
    </xf>
    <xf numFmtId="187" fontId="42" fillId="0" borderId="59" xfId="32" applyNumberFormat="1" applyFont="1" applyBorder="1" applyAlignment="1">
      <alignment horizontal="center" vertical="center"/>
    </xf>
    <xf numFmtId="177" fontId="38" fillId="0" borderId="0" xfId="30" applyNumberFormat="1" applyFont="1">
      <alignment vertical="center"/>
    </xf>
    <xf numFmtId="2" fontId="42" fillId="0" borderId="61" xfId="32" applyNumberFormat="1" applyFont="1" applyBorder="1" applyAlignment="1">
      <alignment horizontal="center" vertical="center"/>
    </xf>
    <xf numFmtId="0" fontId="42" fillId="0" borderId="64" xfId="32" applyFont="1" applyBorder="1" applyAlignment="1">
      <alignment horizontal="center" vertical="center"/>
    </xf>
    <xf numFmtId="0" fontId="38" fillId="0" borderId="66" xfId="29" applyFont="1" applyBorder="1" applyAlignment="1">
      <alignment horizontal="center" vertical="center"/>
    </xf>
    <xf numFmtId="0" fontId="38" fillId="0" borderId="19" xfId="32" applyFont="1" applyBorder="1" applyAlignment="1">
      <alignment horizontal="left" vertical="center" wrapText="1" indent="1"/>
    </xf>
    <xf numFmtId="1" fontId="42" fillId="0" borderId="67" xfId="32" applyNumberFormat="1" applyFont="1" applyBorder="1" applyAlignment="1">
      <alignment horizontal="center" vertical="center"/>
    </xf>
    <xf numFmtId="0" fontId="42" fillId="0" borderId="67" xfId="32" applyFont="1" applyBorder="1" applyAlignment="1">
      <alignment horizontal="center" vertical="center"/>
    </xf>
    <xf numFmtId="0" fontId="42" fillId="0" borderId="71" xfId="32" applyFont="1" applyBorder="1" applyAlignment="1">
      <alignment horizontal="center" vertical="center"/>
    </xf>
    <xf numFmtId="176" fontId="38" fillId="0" borderId="0" xfId="33" applyFont="1">
      <alignment vertical="center"/>
    </xf>
    <xf numFmtId="176" fontId="52" fillId="13" borderId="41" xfId="29" applyNumberFormat="1" applyFont="1" applyFill="1" applyBorder="1" applyAlignment="1">
      <alignment horizontal="right" vertical="center"/>
    </xf>
    <xf numFmtId="0" fontId="52" fillId="13" borderId="41" xfId="29" applyFont="1" applyFill="1" applyBorder="1" applyAlignment="1">
      <alignment horizontal="right" vertical="center"/>
    </xf>
    <xf numFmtId="176" fontId="52" fillId="13" borderId="73" xfId="33" applyFont="1" applyFill="1" applyBorder="1" applyAlignment="1">
      <alignment horizontal="right" vertical="center"/>
    </xf>
    <xf numFmtId="179" fontId="38" fillId="0" borderId="0" xfId="35" applyFont="1" applyAlignment="1">
      <alignment vertical="center"/>
    </xf>
    <xf numFmtId="49" fontId="42" fillId="0" borderId="23" xfId="29" applyNumberFormat="1" applyFont="1" applyBorder="1" applyAlignment="1">
      <alignment horizontal="left" vertical="center" indent="1"/>
    </xf>
    <xf numFmtId="49" fontId="38" fillId="0" borderId="0" xfId="29" applyNumberFormat="1" applyFont="1" applyAlignment="1">
      <alignment vertical="center"/>
    </xf>
    <xf numFmtId="49" fontId="38" fillId="0" borderId="24" xfId="29" applyNumberFormat="1" applyFont="1" applyBorder="1" applyAlignment="1">
      <alignment vertical="center"/>
    </xf>
    <xf numFmtId="49" fontId="38" fillId="0" borderId="23" xfId="29" applyNumberFormat="1" applyFont="1" applyBorder="1" applyAlignment="1">
      <alignment vertical="center"/>
    </xf>
    <xf numFmtId="0" fontId="43" fillId="0" borderId="0" xfId="32" applyFont="1" applyAlignment="1">
      <alignment horizontal="left" vertical="center"/>
    </xf>
    <xf numFmtId="0" fontId="43" fillId="0" borderId="24" xfId="32" applyFont="1" applyBorder="1" applyAlignment="1">
      <alignment horizontal="left" vertical="center"/>
    </xf>
    <xf numFmtId="49" fontId="38" fillId="0" borderId="75" xfId="29" applyNumberFormat="1" applyFont="1" applyBorder="1" applyAlignment="1">
      <alignment vertical="center"/>
    </xf>
    <xf numFmtId="49" fontId="38" fillId="0" borderId="76" xfId="29" applyNumberFormat="1" applyFont="1" applyBorder="1" applyAlignment="1">
      <alignment vertical="center"/>
    </xf>
    <xf numFmtId="49" fontId="38" fillId="0" borderId="77" xfId="29" applyNumberFormat="1" applyFont="1" applyBorder="1" applyAlignment="1">
      <alignment vertical="center"/>
    </xf>
    <xf numFmtId="0" fontId="43" fillId="0" borderId="13" xfId="29" applyFont="1" applyFill="1" applyBorder="1" applyAlignment="1">
      <alignment vertical="center"/>
    </xf>
    <xf numFmtId="0" fontId="38" fillId="0" borderId="13" xfId="29" applyFont="1" applyFill="1" applyBorder="1" applyAlignment="1">
      <alignment vertical="center"/>
    </xf>
    <xf numFmtId="0" fontId="38" fillId="0" borderId="25" xfId="29" applyFont="1" applyFill="1" applyBorder="1" applyAlignment="1">
      <alignment horizontal="right" vertical="center"/>
    </xf>
    <xf numFmtId="0" fontId="38" fillId="0" borderId="26" xfId="29" applyFont="1" applyFill="1" applyBorder="1" applyAlignment="1">
      <alignment horizontal="center" vertical="center"/>
    </xf>
    <xf numFmtId="0" fontId="38" fillId="0" borderId="45" xfId="32" applyFont="1" applyFill="1" applyBorder="1" applyAlignment="1">
      <alignment horizontal="center" vertical="center"/>
    </xf>
    <xf numFmtId="0" fontId="38" fillId="0" borderId="47" xfId="32" applyFont="1" applyFill="1" applyBorder="1" applyAlignment="1">
      <alignment horizontal="center" vertical="center"/>
    </xf>
    <xf numFmtId="0" fontId="38" fillId="0" borderId="15" xfId="32" applyFont="1" applyFill="1" applyBorder="1" applyAlignment="1">
      <alignment horizontal="center" vertical="center"/>
    </xf>
    <xf numFmtId="0" fontId="42" fillId="0" borderId="55" xfId="32" applyFont="1" applyFill="1" applyBorder="1" applyAlignment="1">
      <alignment horizontal="center" vertical="center"/>
    </xf>
    <xf numFmtId="0" fontId="42" fillId="0" borderId="67" xfId="32" applyFont="1" applyBorder="1" applyAlignment="1">
      <alignment horizontal="left" vertical="center" wrapText="1" indent="1"/>
    </xf>
    <xf numFmtId="0" fontId="42" fillId="0" borderId="68" xfId="32" applyFont="1" applyBorder="1" applyAlignment="1">
      <alignment horizontal="left" vertical="center" wrapText="1" indent="1"/>
    </xf>
    <xf numFmtId="0" fontId="42" fillId="0" borderId="69" xfId="32" applyFont="1" applyBorder="1" applyAlignment="1">
      <alignment horizontal="left" vertical="center" wrapText="1" indent="1"/>
    </xf>
    <xf numFmtId="176" fontId="38" fillId="0" borderId="67" xfId="33" applyFont="1" applyFill="1" applyBorder="1" applyAlignment="1">
      <alignment horizontal="right" vertical="center"/>
    </xf>
    <xf numFmtId="176" fontId="38" fillId="0" borderId="68" xfId="33" applyFont="1" applyFill="1" applyBorder="1" applyAlignment="1">
      <alignment horizontal="right" vertical="center"/>
    </xf>
    <xf numFmtId="176" fontId="38" fillId="0" borderId="69" xfId="33" applyFont="1" applyFill="1" applyBorder="1" applyAlignment="1">
      <alignment horizontal="right" vertical="center"/>
    </xf>
    <xf numFmtId="176" fontId="38" fillId="0" borderId="67" xfId="34" applyFont="1" applyFill="1" applyBorder="1" applyAlignment="1">
      <alignment horizontal="left" vertical="center"/>
    </xf>
    <xf numFmtId="176" fontId="38" fillId="0" borderId="70" xfId="34" applyFont="1" applyFill="1" applyBorder="1" applyAlignment="1">
      <alignment horizontal="left" vertical="center"/>
    </xf>
    <xf numFmtId="0" fontId="52" fillId="13" borderId="72" xfId="29" applyFont="1" applyFill="1" applyBorder="1" applyAlignment="1">
      <alignment horizontal="center" vertical="center"/>
    </xf>
    <xf numFmtId="0" fontId="52" fillId="13" borderId="41" xfId="29" applyFont="1" applyFill="1" applyBorder="1" applyAlignment="1">
      <alignment horizontal="center" vertical="center"/>
    </xf>
    <xf numFmtId="0" fontId="52" fillId="13" borderId="73" xfId="29" applyFont="1" applyFill="1" applyBorder="1" applyAlignment="1">
      <alignment horizontal="center" vertical="center"/>
    </xf>
    <xf numFmtId="9" fontId="52" fillId="13" borderId="74" xfId="2" applyFont="1" applyFill="1" applyBorder="1" applyAlignment="1">
      <alignment horizontal="center" vertical="center"/>
    </xf>
    <xf numFmtId="9" fontId="52" fillId="13" borderId="43" xfId="2" applyFont="1" applyFill="1" applyBorder="1" applyAlignment="1">
      <alignment horizontal="center" vertical="center"/>
    </xf>
    <xf numFmtId="176" fontId="38" fillId="0" borderId="16" xfId="33" applyFont="1" applyFill="1" applyBorder="1" applyAlignment="1">
      <alignment horizontal="right" vertical="center"/>
    </xf>
    <xf numFmtId="176" fontId="38" fillId="0" borderId="17" xfId="33" applyFont="1" applyFill="1" applyBorder="1" applyAlignment="1">
      <alignment horizontal="right" vertical="center"/>
    </xf>
    <xf numFmtId="176" fontId="38" fillId="0" borderId="18" xfId="33" applyFont="1" applyFill="1" applyBorder="1" applyAlignment="1">
      <alignment horizontal="right" vertical="center"/>
    </xf>
    <xf numFmtId="176" fontId="38" fillId="0" borderId="16" xfId="34" applyFont="1" applyFill="1" applyBorder="1" applyAlignment="1">
      <alignment horizontal="left" vertical="center"/>
    </xf>
    <xf numFmtId="176" fontId="38" fillId="0" borderId="53" xfId="34" applyFont="1" applyFill="1" applyBorder="1" applyAlignment="1">
      <alignment horizontal="left" vertical="center"/>
    </xf>
    <xf numFmtId="176" fontId="51" fillId="0" borderId="67" xfId="34" applyFont="1" applyBorder="1" applyAlignment="1">
      <alignment horizontal="left" vertical="center"/>
    </xf>
    <xf numFmtId="176" fontId="51" fillId="0" borderId="70" xfId="34" applyFont="1" applyBorder="1" applyAlignment="1">
      <alignment horizontal="left" vertical="center"/>
    </xf>
    <xf numFmtId="0" fontId="42" fillId="0" borderId="61" xfId="32" applyFont="1" applyBorder="1" applyAlignment="1">
      <alignment horizontal="left" vertical="center" wrapText="1" indent="1"/>
    </xf>
    <xf numFmtId="0" fontId="42" fillId="0" borderId="62" xfId="32" applyFont="1" applyBorder="1" applyAlignment="1">
      <alignment horizontal="left" vertical="center" wrapText="1" indent="1"/>
    </xf>
    <xf numFmtId="0" fontId="42" fillId="0" borderId="63" xfId="32" applyFont="1" applyBorder="1" applyAlignment="1">
      <alignment horizontal="left" vertical="center" wrapText="1" indent="1"/>
    </xf>
    <xf numFmtId="176" fontId="38" fillId="0" borderId="61" xfId="33" applyFont="1" applyFill="1" applyBorder="1" applyAlignment="1">
      <alignment horizontal="right" vertical="center"/>
    </xf>
    <xf numFmtId="176" fontId="38" fillId="0" borderId="62" xfId="33" applyFont="1" applyFill="1" applyBorder="1" applyAlignment="1">
      <alignment horizontal="right" vertical="center"/>
    </xf>
    <xf numFmtId="176" fontId="38" fillId="0" borderId="63" xfId="33" applyFont="1" applyFill="1" applyBorder="1" applyAlignment="1">
      <alignment horizontal="right" vertical="center"/>
    </xf>
    <xf numFmtId="176" fontId="38" fillId="0" borderId="59" xfId="34" applyFont="1" applyFill="1" applyBorder="1" applyAlignment="1">
      <alignment horizontal="left" vertical="center"/>
    </xf>
    <xf numFmtId="176" fontId="38" fillId="0" borderId="31" xfId="34" applyFont="1" applyFill="1" applyBorder="1" applyAlignment="1">
      <alignment horizontal="left" vertical="center"/>
    </xf>
    <xf numFmtId="176" fontId="38" fillId="0" borderId="61" xfId="34" applyFont="1" applyFill="1" applyBorder="1" applyAlignment="1">
      <alignment horizontal="left" vertical="center"/>
    </xf>
    <xf numFmtId="176" fontId="38" fillId="0" borderId="65" xfId="34" applyFont="1" applyFill="1" applyBorder="1" applyAlignment="1">
      <alignment horizontal="left" vertical="center"/>
    </xf>
    <xf numFmtId="0" fontId="42" fillId="0" borderId="59" xfId="32" applyFont="1" applyBorder="1" applyAlignment="1">
      <alignment horizontal="left" vertical="center" wrapText="1" indent="1"/>
    </xf>
    <xf numFmtId="0" fontId="42" fillId="0" borderId="4" xfId="32" applyFont="1" applyBorder="1" applyAlignment="1">
      <alignment horizontal="left" vertical="center" wrapText="1" indent="1"/>
    </xf>
    <xf numFmtId="0" fontId="42" fillId="0" borderId="60" xfId="32" applyFont="1" applyBorder="1" applyAlignment="1">
      <alignment horizontal="left" vertical="center" wrapText="1" indent="1"/>
    </xf>
    <xf numFmtId="176" fontId="38" fillId="0" borderId="59" xfId="33" applyFont="1" applyFill="1" applyBorder="1" applyAlignment="1">
      <alignment horizontal="right" vertical="center"/>
    </xf>
    <xf numFmtId="176" fontId="38" fillId="0" borderId="4" xfId="33" applyFont="1" applyFill="1" applyBorder="1" applyAlignment="1">
      <alignment horizontal="right" vertical="center"/>
    </xf>
    <xf numFmtId="176" fontId="38" fillId="0" borderId="60" xfId="33" applyFont="1" applyFill="1" applyBorder="1" applyAlignment="1">
      <alignment horizontal="right" vertical="center"/>
    </xf>
    <xf numFmtId="0" fontId="42" fillId="0" borderId="55" xfId="32" applyFont="1" applyFill="1" applyBorder="1" applyAlignment="1">
      <alignment horizontal="left" vertical="center" wrapText="1" indent="1"/>
    </xf>
    <xf numFmtId="0" fontId="42" fillId="0" borderId="56" xfId="32" applyFont="1" applyFill="1" applyBorder="1" applyAlignment="1">
      <alignment horizontal="left" vertical="center" wrapText="1" indent="1"/>
    </xf>
    <xf numFmtId="0" fontId="42" fillId="0" borderId="57" xfId="32" applyFont="1" applyFill="1" applyBorder="1" applyAlignment="1">
      <alignment horizontal="left" vertical="center" wrapText="1" indent="1"/>
    </xf>
    <xf numFmtId="176" fontId="38" fillId="0" borderId="55" xfId="33" applyFont="1" applyFill="1" applyBorder="1" applyAlignment="1">
      <alignment horizontal="right" vertical="center"/>
    </xf>
    <xf numFmtId="176" fontId="38" fillId="0" borderId="56" xfId="33" applyFont="1" applyFill="1" applyBorder="1" applyAlignment="1">
      <alignment horizontal="right" vertical="center"/>
    </xf>
    <xf numFmtId="176" fontId="38" fillId="0" borderId="57" xfId="33" applyFont="1" applyFill="1" applyBorder="1" applyAlignment="1">
      <alignment horizontal="right" vertical="center"/>
    </xf>
    <xf numFmtId="176" fontId="38" fillId="0" borderId="55" xfId="34" applyFont="1" applyBorder="1" applyAlignment="1">
      <alignment horizontal="left" vertical="center"/>
    </xf>
    <xf numFmtId="176" fontId="38" fillId="0" borderId="58" xfId="34" applyFont="1" applyBorder="1" applyAlignment="1">
      <alignment horizontal="left" vertical="center"/>
    </xf>
    <xf numFmtId="0" fontId="38" fillId="0" borderId="49" xfId="32" applyFont="1" applyFill="1" applyBorder="1" applyAlignment="1">
      <alignment horizontal="center" vertical="center" wrapText="1"/>
    </xf>
    <xf numFmtId="0" fontId="38" fillId="0" borderId="50" xfId="32" applyFont="1" applyFill="1" applyBorder="1" applyAlignment="1">
      <alignment horizontal="center" vertical="center" wrapText="1"/>
    </xf>
    <xf numFmtId="0" fontId="38" fillId="0" borderId="51" xfId="32" applyFont="1" applyFill="1" applyBorder="1" applyAlignment="1">
      <alignment horizontal="center" vertical="center" wrapText="1"/>
    </xf>
    <xf numFmtId="176" fontId="38" fillId="0" borderId="49" xfId="33" applyFont="1" applyFill="1" applyBorder="1" applyAlignment="1">
      <alignment horizontal="right" vertical="center"/>
    </xf>
    <xf numFmtId="176" fontId="38" fillId="0" borderId="50" xfId="33" applyFont="1" applyFill="1" applyBorder="1" applyAlignment="1">
      <alignment horizontal="right" vertical="center"/>
    </xf>
    <xf numFmtId="176" fontId="38" fillId="0" borderId="51" xfId="33" applyFont="1" applyFill="1" applyBorder="1" applyAlignment="1">
      <alignment horizontal="right" vertical="center"/>
    </xf>
    <xf numFmtId="176" fontId="38" fillId="0" borderId="49" xfId="34" applyFont="1" applyBorder="1" applyAlignment="1">
      <alignment horizontal="left" vertical="center"/>
    </xf>
    <xf numFmtId="176" fontId="38" fillId="0" borderId="52" xfId="34" applyFont="1" applyBorder="1" applyAlignment="1">
      <alignment horizontal="left" vertical="center"/>
    </xf>
    <xf numFmtId="0" fontId="38" fillId="0" borderId="49" xfId="32" applyFont="1" applyBorder="1" applyAlignment="1">
      <alignment horizontal="center" vertical="center" wrapText="1"/>
    </xf>
    <xf numFmtId="0" fontId="38" fillId="0" borderId="50" xfId="32" applyFont="1" applyBorder="1" applyAlignment="1">
      <alignment horizontal="center" vertical="center" wrapText="1"/>
    </xf>
    <xf numFmtId="0" fontId="38" fillId="0" borderId="51" xfId="32" applyFont="1" applyBorder="1" applyAlignment="1">
      <alignment horizontal="center" vertical="center" wrapText="1"/>
    </xf>
    <xf numFmtId="176" fontId="38" fillId="0" borderId="16" xfId="33" applyFont="1" applyBorder="1" applyAlignment="1">
      <alignment horizontal="center" vertical="center"/>
    </xf>
    <xf numFmtId="176" fontId="38" fillId="0" borderId="17" xfId="33" applyFont="1" applyBorder="1" applyAlignment="1">
      <alignment horizontal="center" vertical="center"/>
    </xf>
    <xf numFmtId="176" fontId="38" fillId="0" borderId="18" xfId="33" applyFont="1" applyBorder="1" applyAlignment="1">
      <alignment horizontal="center" vertical="center"/>
    </xf>
    <xf numFmtId="176" fontId="38" fillId="0" borderId="16" xfId="34" applyFont="1" applyBorder="1" applyAlignment="1">
      <alignment horizontal="left" vertical="center"/>
    </xf>
    <xf numFmtId="176" fontId="38" fillId="0" borderId="53" xfId="34" applyFont="1" applyBorder="1" applyAlignment="1">
      <alignment horizontal="left" vertical="center"/>
    </xf>
    <xf numFmtId="0" fontId="49" fillId="11" borderId="0" xfId="31" applyFont="1" applyFill="1" applyAlignment="1">
      <alignment horizontal="left" vertical="center"/>
    </xf>
    <xf numFmtId="0" fontId="49" fillId="11" borderId="24" xfId="31" applyFont="1" applyFill="1" applyBorder="1" applyAlignment="1">
      <alignment horizontal="left" vertical="center"/>
    </xf>
    <xf numFmtId="0" fontId="38" fillId="0" borderId="0" xfId="29" applyFont="1" applyAlignment="1">
      <alignment horizontal="right" vertical="center"/>
    </xf>
    <xf numFmtId="0" fontId="38" fillId="0" borderId="24" xfId="29" applyFont="1" applyBorder="1" applyAlignment="1">
      <alignment horizontal="right" vertical="center"/>
    </xf>
    <xf numFmtId="0" fontId="38" fillId="0" borderId="45" xfId="32" applyFont="1" applyFill="1" applyBorder="1" applyAlignment="1">
      <alignment horizontal="center" vertical="center" wrapText="1"/>
    </xf>
    <xf numFmtId="0" fontId="38" fillId="0" borderId="26" xfId="32" applyFont="1" applyFill="1" applyBorder="1" applyAlignment="1">
      <alignment horizontal="center" vertical="center" wrapText="1"/>
    </xf>
    <xf numFmtId="0" fontId="38" fillId="0" borderId="46" xfId="32" applyFont="1" applyFill="1" applyBorder="1" applyAlignment="1">
      <alignment horizontal="center" vertical="center" wrapText="1"/>
    </xf>
    <xf numFmtId="176" fontId="38" fillId="0" borderId="47" xfId="33" applyFont="1" applyFill="1" applyBorder="1" applyAlignment="1">
      <alignment horizontal="right" vertical="center"/>
    </xf>
    <xf numFmtId="176" fontId="38" fillId="0" borderId="45" xfId="32" applyNumberFormat="1" applyFont="1" applyBorder="1" applyAlignment="1">
      <alignment horizontal="left" vertical="center"/>
    </xf>
    <xf numFmtId="176" fontId="38" fillId="0" borderId="27" xfId="32" applyNumberFormat="1" applyFont="1" applyBorder="1" applyAlignment="1">
      <alignment horizontal="left" vertical="center"/>
    </xf>
    <xf numFmtId="0" fontId="48" fillId="12" borderId="40" xfId="29" applyFont="1" applyFill="1" applyBorder="1" applyAlignment="1">
      <alignment horizontal="center" vertical="center"/>
    </xf>
    <xf numFmtId="0" fontId="48" fillId="12" borderId="41" xfId="29" applyFont="1" applyFill="1" applyBorder="1" applyAlignment="1">
      <alignment horizontal="center" vertical="center"/>
    </xf>
    <xf numFmtId="0" fontId="48" fillId="12" borderId="42" xfId="29" applyFont="1" applyFill="1" applyBorder="1" applyAlignment="1">
      <alignment horizontal="center" vertical="center"/>
    </xf>
    <xf numFmtId="3" fontId="48" fillId="12" borderId="40" xfId="29" applyNumberFormat="1" applyFont="1" applyFill="1" applyBorder="1" applyAlignment="1">
      <alignment horizontal="center" vertical="center"/>
    </xf>
    <xf numFmtId="3" fontId="48" fillId="12" borderId="41" xfId="29" applyNumberFormat="1" applyFont="1" applyFill="1" applyBorder="1" applyAlignment="1">
      <alignment horizontal="center" vertical="center"/>
    </xf>
    <xf numFmtId="3" fontId="48" fillId="12" borderId="42" xfId="29" applyNumberFormat="1" applyFont="1" applyFill="1" applyBorder="1" applyAlignment="1">
      <alignment horizontal="center" vertical="center"/>
    </xf>
    <xf numFmtId="0" fontId="48" fillId="12" borderId="43" xfId="29" applyFont="1" applyFill="1" applyBorder="1" applyAlignment="1">
      <alignment horizontal="center" vertical="center"/>
    </xf>
    <xf numFmtId="192" fontId="47" fillId="11" borderId="0" xfId="29" applyNumberFormat="1" applyFont="1" applyFill="1" applyAlignment="1">
      <alignment horizontal="left" vertical="center"/>
    </xf>
    <xf numFmtId="0" fontId="37" fillId="0" borderId="20" xfId="29" applyFont="1" applyBorder="1" applyAlignment="1">
      <alignment horizontal="center" vertical="center"/>
    </xf>
    <xf numFmtId="0" fontId="37" fillId="0" borderId="21" xfId="29" applyFont="1" applyBorder="1" applyAlignment="1">
      <alignment horizontal="center" vertical="center"/>
    </xf>
    <xf numFmtId="0" fontId="37" fillId="0" borderId="22" xfId="29" applyFont="1" applyBorder="1" applyAlignment="1">
      <alignment horizontal="center" vertical="center"/>
    </xf>
    <xf numFmtId="0" fontId="39" fillId="0" borderId="23" xfId="29" applyFont="1" applyBorder="1" applyAlignment="1" applyProtection="1">
      <alignment horizontal="center" vertical="center"/>
      <protection locked="0"/>
    </xf>
    <xf numFmtId="0" fontId="39" fillId="0" borderId="0" xfId="29" applyFont="1" applyAlignment="1" applyProtection="1">
      <alignment horizontal="center" vertical="center"/>
      <protection locked="0"/>
    </xf>
    <xf numFmtId="0" fontId="39" fillId="0" borderId="24" xfId="29" applyFont="1" applyBorder="1" applyAlignment="1" applyProtection="1">
      <alignment horizontal="center" vertical="center"/>
      <protection locked="0"/>
    </xf>
    <xf numFmtId="0" fontId="38" fillId="10" borderId="25" xfId="29" applyFont="1" applyFill="1" applyBorder="1" applyAlignment="1">
      <alignment horizontal="center" vertical="center"/>
    </xf>
    <xf numFmtId="0" fontId="38" fillId="10" borderId="26" xfId="29" applyFont="1" applyFill="1" applyBorder="1" applyAlignment="1">
      <alignment horizontal="center" vertical="center"/>
    </xf>
    <xf numFmtId="0" fontId="38" fillId="10" borderId="27" xfId="29" applyFont="1" applyFill="1" applyBorder="1" applyAlignment="1">
      <alignment horizontal="center" vertical="center"/>
    </xf>
    <xf numFmtId="0" fontId="38" fillId="0" borderId="28" xfId="29" applyFont="1" applyBorder="1" applyAlignment="1">
      <alignment horizontal="center" vertical="center" wrapText="1"/>
    </xf>
    <xf numFmtId="0" fontId="38" fillId="0" borderId="32" xfId="29" applyFont="1" applyBorder="1" applyAlignment="1">
      <alignment horizontal="center" vertical="center"/>
    </xf>
    <xf numFmtId="0" fontId="38" fillId="0" borderId="36" xfId="29" applyFont="1" applyBorder="1" applyAlignment="1">
      <alignment horizontal="center" vertical="center"/>
    </xf>
    <xf numFmtId="0" fontId="38" fillId="0" borderId="30" xfId="29" applyFont="1" applyBorder="1" applyAlignment="1">
      <alignment horizontal="center" vertical="center"/>
    </xf>
    <xf numFmtId="0" fontId="38" fillId="0" borderId="4" xfId="29" applyFont="1" applyBorder="1" applyAlignment="1">
      <alignment horizontal="center" vertical="center"/>
    </xf>
    <xf numFmtId="0" fontId="38" fillId="0" borderId="31" xfId="29" applyFont="1" applyBorder="1" applyAlignment="1">
      <alignment horizontal="center" vertical="center"/>
    </xf>
    <xf numFmtId="0" fontId="45" fillId="0" borderId="30" xfId="29" applyFont="1" applyBorder="1" applyAlignment="1">
      <alignment horizontal="center" vertical="center"/>
    </xf>
    <xf numFmtId="0" fontId="43" fillId="0" borderId="4" xfId="29" applyFont="1" applyBorder="1" applyAlignment="1">
      <alignment horizontal="center" vertical="center"/>
    </xf>
    <xf numFmtId="0" fontId="43" fillId="0" borderId="5" xfId="29" applyFont="1" applyBorder="1" applyAlignment="1">
      <alignment horizontal="center" vertical="center"/>
    </xf>
    <xf numFmtId="0" fontId="45" fillId="0" borderId="3" xfId="29" applyFont="1" applyBorder="1" applyAlignment="1">
      <alignment horizontal="center" vertical="center"/>
    </xf>
    <xf numFmtId="0" fontId="43" fillId="0" borderId="31" xfId="29" applyFont="1" applyBorder="1" applyAlignment="1">
      <alignment horizontal="center" vertical="center"/>
    </xf>
    <xf numFmtId="0" fontId="38" fillId="0" borderId="30" xfId="29" applyFont="1" applyBorder="1" applyAlignment="1">
      <alignment horizontal="left" vertical="center" indent="1"/>
    </xf>
    <xf numFmtId="0" fontId="38" fillId="0" borderId="4" xfId="29" applyFont="1" applyBorder="1" applyAlignment="1">
      <alignment horizontal="left" vertical="center" indent="1"/>
    </xf>
    <xf numFmtId="0" fontId="38" fillId="0" borderId="31" xfId="29" applyFont="1" applyBorder="1" applyAlignment="1">
      <alignment horizontal="left" vertical="center" indent="1"/>
    </xf>
    <xf numFmtId="0" fontId="38" fillId="0" borderId="3" xfId="29" applyFont="1" applyBorder="1" applyAlignment="1">
      <alignment horizontal="center" vertical="center"/>
    </xf>
    <xf numFmtId="0" fontId="38" fillId="0" borderId="33" xfId="29" applyFont="1" applyBorder="1" applyAlignment="1">
      <alignment horizontal="center" vertical="center"/>
    </xf>
    <xf numFmtId="0" fontId="38" fillId="0" borderId="34" xfId="29" applyFont="1" applyBorder="1" applyAlignment="1">
      <alignment horizontal="center" vertical="center"/>
    </xf>
    <xf numFmtId="0" fontId="38" fillId="0" borderId="35" xfId="29" applyFont="1" applyBorder="1" applyAlignment="1">
      <alignment horizontal="center" vertical="center"/>
    </xf>
    <xf numFmtId="0" fontId="38" fillId="0" borderId="33" xfId="29" applyFont="1" applyBorder="1" applyAlignment="1">
      <alignment horizontal="left" vertical="center" indent="1"/>
    </xf>
    <xf numFmtId="0" fontId="38" fillId="0" borderId="34" xfId="29" applyFont="1" applyBorder="1" applyAlignment="1">
      <alignment horizontal="left" vertical="center" indent="1"/>
    </xf>
    <xf numFmtId="0" fontId="38" fillId="0" borderId="35" xfId="29" applyFont="1" applyBorder="1" applyAlignment="1">
      <alignment horizontal="left" vertical="center" indent="1"/>
    </xf>
    <xf numFmtId="0" fontId="25" fillId="0" borderId="0" xfId="0" applyFont="1" applyAlignment="1">
      <alignment horizontal="center" vertical="center"/>
    </xf>
    <xf numFmtId="0" fontId="22" fillId="0" borderId="11" xfId="0" applyFont="1" applyBorder="1" applyAlignment="1">
      <alignment horizontal="center" vertical="center"/>
    </xf>
    <xf numFmtId="0" fontId="22" fillId="0" borderId="12" xfId="0" applyFont="1" applyBorder="1" applyAlignment="1">
      <alignment horizontal="center" vertical="center"/>
    </xf>
    <xf numFmtId="0" fontId="25" fillId="0" borderId="10" xfId="0" applyFont="1" applyBorder="1" applyAlignment="1">
      <alignment horizontal="center" vertical="center"/>
    </xf>
    <xf numFmtId="0" fontId="25" fillId="8" borderId="3" xfId="0" applyFont="1" applyFill="1" applyBorder="1" applyAlignment="1">
      <alignment horizontal="center" vertical="center"/>
    </xf>
    <xf numFmtId="176" fontId="25" fillId="4" borderId="6" xfId="4" applyFont="1" applyFill="1" applyBorder="1" applyAlignment="1">
      <alignment horizontal="center" vertical="center"/>
    </xf>
    <xf numFmtId="179" fontId="25" fillId="4" borderId="6" xfId="5" applyFont="1" applyFill="1" applyBorder="1" applyAlignment="1">
      <alignment horizontal="center" vertical="center"/>
    </xf>
    <xf numFmtId="0" fontId="25" fillId="4" borderId="6" xfId="0" applyFont="1" applyFill="1" applyBorder="1" applyAlignment="1">
      <alignment horizontal="center" vertical="center"/>
    </xf>
    <xf numFmtId="0" fontId="25" fillId="4" borderId="2" xfId="0" applyFont="1" applyFill="1" applyBorder="1" applyAlignment="1">
      <alignment horizontal="center" vertical="center"/>
    </xf>
    <xf numFmtId="0" fontId="25" fillId="4" borderId="6" xfId="3" applyFont="1" applyFill="1" applyBorder="1" applyAlignment="1">
      <alignment horizontal="center" vertical="center"/>
    </xf>
    <xf numFmtId="0" fontId="25" fillId="4" borderId="2" xfId="3" applyFont="1" applyFill="1" applyBorder="1" applyAlignment="1">
      <alignment horizontal="center" vertical="center"/>
    </xf>
    <xf numFmtId="183" fontId="28" fillId="5" borderId="16" xfId="11" applyNumberFormat="1" applyFont="1" applyFill="1" applyBorder="1" applyAlignment="1">
      <alignment vertical="center"/>
    </xf>
    <xf numFmtId="183" fontId="28" fillId="5" borderId="17" xfId="11" applyNumberFormat="1" applyFont="1" applyFill="1" applyBorder="1" applyAlignment="1">
      <alignment vertical="center"/>
    </xf>
    <xf numFmtId="183" fontId="28" fillId="5" borderId="18" xfId="11" applyNumberFormat="1" applyFont="1" applyFill="1" applyBorder="1" applyAlignment="1">
      <alignment vertical="center"/>
    </xf>
    <xf numFmtId="0" fontId="34" fillId="0" borderId="13" xfId="17" applyFont="1" applyBorder="1" applyAlignment="1">
      <alignment horizontal="center" vertical="center"/>
    </xf>
    <xf numFmtId="0" fontId="28" fillId="0" borderId="14" xfId="26" quotePrefix="1" applyFont="1" applyBorder="1" applyAlignment="1">
      <alignment horizontal="center" vertical="center"/>
    </xf>
    <xf numFmtId="0" fontId="28" fillId="0" borderId="15" xfId="26" quotePrefix="1" applyFont="1" applyBorder="1" applyAlignment="1">
      <alignment horizontal="center" vertical="center"/>
    </xf>
    <xf numFmtId="0" fontId="28" fillId="0" borderId="19" xfId="26" quotePrefix="1" applyFont="1" applyBorder="1" applyAlignment="1">
      <alignment horizontal="center" vertical="center"/>
    </xf>
    <xf numFmtId="0" fontId="28" fillId="0" borderId="14" xfId="26" applyFont="1" applyBorder="1" applyAlignment="1">
      <alignment horizontal="center" vertical="center"/>
    </xf>
    <xf numFmtId="0" fontId="28" fillId="0" borderId="16" xfId="26" quotePrefix="1" applyFont="1" applyBorder="1" applyAlignment="1">
      <alignment horizontal="center" vertical="center"/>
    </xf>
    <xf numFmtId="0" fontId="28" fillId="0" borderId="17" xfId="26" quotePrefix="1" applyFont="1" applyBorder="1" applyAlignment="1">
      <alignment horizontal="center" vertical="center"/>
    </xf>
    <xf numFmtId="0" fontId="28" fillId="0" borderId="16" xfId="26" applyFont="1" applyBorder="1" applyAlignment="1">
      <alignment horizontal="center" vertical="center"/>
    </xf>
    <xf numFmtId="0" fontId="28" fillId="0" borderId="18" xfId="26" quotePrefix="1" applyFont="1" applyBorder="1" applyAlignment="1">
      <alignment horizontal="center" vertical="center"/>
    </xf>
  </cellXfs>
  <cellStyles count="37">
    <cellStyle name="백분율" xfId="2" builtinId="5"/>
    <cellStyle name="백분율 2 64" xfId="7" xr:uid="{00000000-0005-0000-0000-000001000000}"/>
    <cellStyle name="쉼표 [0]" xfId="1" builtinId="6"/>
    <cellStyle name="쉼표 [0] 17" xfId="5" xr:uid="{00000000-0005-0000-0000-000003000000}"/>
    <cellStyle name="쉼표 [0] 2" xfId="4" xr:uid="{00000000-0005-0000-0000-000004000000}"/>
    <cellStyle name="쉼표 [0] 2 2" xfId="16" xr:uid="{9DE5560C-89D3-4234-A527-EA49B53D4971}"/>
    <cellStyle name="쉼표 [0] 2 2 29" xfId="11" xr:uid="{00000000-0005-0000-0000-000005000000}"/>
    <cellStyle name="쉼표 [0] 2 2 29 2" xfId="34" xr:uid="{D65A71D4-3858-4C19-8F43-4CD393903E9C}"/>
    <cellStyle name="쉼표 [0] 2 3" xfId="25" xr:uid="{84145116-34A3-4978-AA23-E773F15D72CE}"/>
    <cellStyle name="쉼표 [0] 2 4" xfId="18" xr:uid="{C58DB114-3DFC-48BF-B279-68E81CF1801D}"/>
    <cellStyle name="쉼표 [0] 2 4 2" xfId="21" xr:uid="{3070FDD1-D076-4267-9734-55DC834440C4}"/>
    <cellStyle name="쉼표 [0] 2 4 3" xfId="24" xr:uid="{466D6A9D-2A7A-4571-B4E2-02F547DF6FB9}"/>
    <cellStyle name="쉼표 [0] 2 84" xfId="36" xr:uid="{2F5DD3C0-772D-4146-92EC-31896239C778}"/>
    <cellStyle name="쉼표 [0] 3" xfId="14" xr:uid="{8F7BE219-40E1-4BBB-A9BD-02188B74B2A3}"/>
    <cellStyle name="쉼표 [0] 4" xfId="27" xr:uid="{CC0B73B0-7462-4D01-B0C9-D11C17A5C7E0}"/>
    <cellStyle name="쉼표 [0] 5" xfId="33" xr:uid="{28D408DE-4D2A-4438-ADC4-37CDB16190C3}"/>
    <cellStyle name="쉼표 [0] 5 2" xfId="35" xr:uid="{1AE7B12A-B448-44D8-A50B-31E03DD3D11B}"/>
    <cellStyle name="통화 [0] 2 2" xfId="10" xr:uid="{00000000-0005-0000-0000-000007000000}"/>
    <cellStyle name="표준" xfId="0" builtinId="0"/>
    <cellStyle name="표준 10 10 2" xfId="3" xr:uid="{00000000-0005-0000-0000-000009000000}"/>
    <cellStyle name="표준 10 2" xfId="30" xr:uid="{75FCFDD4-4015-46B3-85CC-89F347A470F3}"/>
    <cellStyle name="표준 10 31" xfId="9" xr:uid="{00000000-0005-0000-0000-00000A000000}"/>
    <cellStyle name="표준 2" xfId="6" xr:uid="{00000000-0005-0000-0000-00000B000000}"/>
    <cellStyle name="표준 2 10 5" xfId="8" xr:uid="{00000000-0005-0000-0000-00000C000000}"/>
    <cellStyle name="표준 3" xfId="12" xr:uid="{00000000-0005-0000-0000-00000D000000}"/>
    <cellStyle name="표준 4" xfId="13" xr:uid="{08D43F33-5EF4-4FAF-B422-8A71947BBD29}"/>
    <cellStyle name="표준 4 2" xfId="28" xr:uid="{A898D59C-3907-4A75-B1F7-B14959F506CD}"/>
    <cellStyle name="표준 5" xfId="15" xr:uid="{B39ACF8E-5B1E-4331-957C-34579729CB23}"/>
    <cellStyle name="표준 7" xfId="17" xr:uid="{770BEF39-67CB-4F3D-B0A1-B9F2AC9B03D6}"/>
    <cellStyle name="표준 7 2" xfId="19" xr:uid="{BBDF599D-71D4-4FB2-A99A-2A9C80AF2F9D}"/>
    <cellStyle name="표준 7 2 2" xfId="22" xr:uid="{BCA625FF-3FCE-40BD-81AF-FBF4F681E961}"/>
    <cellStyle name="표준 7 3" xfId="20" xr:uid="{A72D0E51-CAF5-48A9-AF10-3C24C6DC4809}"/>
    <cellStyle name="표준 7 4" xfId="23" xr:uid="{E41D2D8C-4847-4DF4-B71B-D261D8C7B5A5}"/>
    <cellStyle name="표준 7 5" xfId="26" xr:uid="{45A185AB-D45B-4577-8C95-A6E8E02BCB48}"/>
    <cellStyle name="표준_p1공장 외벽청소(08.03.17)" xfId="31" xr:uid="{8AB1B90A-48B0-491F-AFF6-E81B0548E0A8}"/>
    <cellStyle name="표준_P456 공장 및 복지동 전면 유리창 청소건 라상혁님_1129(최종)" xfId="32" xr:uid="{3AF84B3D-FB13-44F8-988E-D534F22C79C2}"/>
    <cellStyle name="표준_S&amp;D_MAIN VALVE_최빈_2" xfId="29" xr:uid="{6211C553-F70A-4E11-88BD-E4DB06B0BE8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sharedStrings" Target="sharedStrings.xml"/><Relationship Id="rId5" Type="http://schemas.openxmlformats.org/officeDocument/2006/relationships/externalLink" Target="externalLinks/externalLink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13</xdr:col>
      <xdr:colOff>549088</xdr:colOff>
      <xdr:row>1</xdr:row>
      <xdr:rowOff>22410</xdr:rowOff>
    </xdr:from>
    <xdr:to>
      <xdr:col>14</xdr:col>
      <xdr:colOff>1064559</xdr:colOff>
      <xdr:row>2</xdr:row>
      <xdr:rowOff>354912</xdr:rowOff>
    </xdr:to>
    <xdr:pic>
      <xdr:nvPicPr>
        <xdr:cNvPr id="2" name="그림 1">
          <a:extLst>
            <a:ext uri="{FF2B5EF4-FFF2-40B4-BE49-F238E27FC236}">
              <a16:creationId xmlns:a16="http://schemas.microsoft.com/office/drawing/2014/main" id="{E88BBE7F-0C19-4FC1-83D4-B030734B581F}"/>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1173" b="11539"/>
        <a:stretch/>
      </xdr:blipFill>
      <xdr:spPr>
        <a:xfrm>
          <a:off x="6559363" y="136710"/>
          <a:ext cx="1496546" cy="45632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s>
    <sheetDataSet>
      <sheetData sheetId="0"/>
      <sheetData sheetId="1"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F326341-2EA2-4320-B3AC-3880B76AEABD}">
  <we:reference id="wa200005271" version="2.6.1.0" store="en-US" storeType="OMEX"/>
  <we:alternateReferences>
    <we:reference id="WA200005271" version="2.6.1.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D3270-1434-423C-88ED-816620E34CA1}">
  <sheetPr>
    <tabColor rgb="FF0000FF"/>
  </sheetPr>
  <dimension ref="A1:Q43"/>
  <sheetViews>
    <sheetView tabSelected="1" view="pageBreakPreview" topLeftCell="A5" zoomScale="85" zoomScaleNormal="85" zoomScaleSheetLayoutView="85" workbookViewId="0">
      <selection activeCell="M9" sqref="M9:O9"/>
    </sheetView>
  </sheetViews>
  <sheetFormatPr defaultRowHeight="14.25" x14ac:dyDescent="0.3"/>
  <cols>
    <col min="1" max="1" width="5" style="88" customWidth="1"/>
    <col min="2" max="2" width="3.875" style="88" customWidth="1"/>
    <col min="3" max="3" width="5" style="88" customWidth="1"/>
    <col min="4" max="4" width="6.25" style="88" customWidth="1"/>
    <col min="5" max="5" width="2.875" style="88" customWidth="1"/>
    <col min="6" max="6" width="4" style="88" customWidth="1"/>
    <col min="7" max="7" width="4.75" style="88" customWidth="1"/>
    <col min="8" max="8" width="5.5" style="88" customWidth="1"/>
    <col min="9" max="9" width="5.375" style="88" customWidth="1"/>
    <col min="10" max="10" width="1.25" style="88" customWidth="1"/>
    <col min="11" max="11" width="4.375" style="88" customWidth="1"/>
    <col min="12" max="12" width="10.375" style="88" customWidth="1"/>
    <col min="13" max="13" width="20.25" style="88" bestFit="1" customWidth="1"/>
    <col min="14" max="14" width="12.875" style="88" customWidth="1"/>
    <col min="15" max="15" width="15.5" style="88" bestFit="1" customWidth="1"/>
    <col min="16" max="16" width="2.75" style="88" customWidth="1"/>
    <col min="17" max="17" width="12" style="88" bestFit="1" customWidth="1"/>
    <col min="18" max="243" width="9" style="88"/>
    <col min="244" max="244" width="5" style="88" customWidth="1"/>
    <col min="245" max="245" width="3.875" style="88" customWidth="1"/>
    <col min="246" max="246" width="5" style="88" customWidth="1"/>
    <col min="247" max="247" width="6.25" style="88" customWidth="1"/>
    <col min="248" max="248" width="2.875" style="88" customWidth="1"/>
    <col min="249" max="249" width="4" style="88" customWidth="1"/>
    <col min="250" max="250" width="4.75" style="88" customWidth="1"/>
    <col min="251" max="251" width="5.5" style="88" customWidth="1"/>
    <col min="252" max="252" width="5.375" style="88" customWidth="1"/>
    <col min="253" max="253" width="1.25" style="88" customWidth="1"/>
    <col min="254" max="254" width="4.375" style="88" customWidth="1"/>
    <col min="255" max="255" width="10.375" style="88" customWidth="1"/>
    <col min="256" max="256" width="16.625" style="88" customWidth="1"/>
    <col min="257" max="257" width="10.875" style="88" customWidth="1"/>
    <col min="258" max="258" width="18.75" style="88" customWidth="1"/>
    <col min="259" max="259" width="14.25" style="88" bestFit="1" customWidth="1"/>
    <col min="260" max="499" width="9" style="88"/>
    <col min="500" max="500" width="5" style="88" customWidth="1"/>
    <col min="501" max="501" width="3.875" style="88" customWidth="1"/>
    <col min="502" max="502" width="5" style="88" customWidth="1"/>
    <col min="503" max="503" width="6.25" style="88" customWidth="1"/>
    <col min="504" max="504" width="2.875" style="88" customWidth="1"/>
    <col min="505" max="505" width="4" style="88" customWidth="1"/>
    <col min="506" max="506" width="4.75" style="88" customWidth="1"/>
    <col min="507" max="507" width="5.5" style="88" customWidth="1"/>
    <col min="508" max="508" width="5.375" style="88" customWidth="1"/>
    <col min="509" max="509" width="1.25" style="88" customWidth="1"/>
    <col min="510" max="510" width="4.375" style="88" customWidth="1"/>
    <col min="511" max="511" width="10.375" style="88" customWidth="1"/>
    <col min="512" max="512" width="16.625" style="88" customWidth="1"/>
    <col min="513" max="513" width="10.875" style="88" customWidth="1"/>
    <col min="514" max="514" width="18.75" style="88" customWidth="1"/>
    <col min="515" max="515" width="14.25" style="88" bestFit="1" customWidth="1"/>
    <col min="516" max="755" width="9" style="88"/>
    <col min="756" max="756" width="5" style="88" customWidth="1"/>
    <col min="757" max="757" width="3.875" style="88" customWidth="1"/>
    <col min="758" max="758" width="5" style="88" customWidth="1"/>
    <col min="759" max="759" width="6.25" style="88" customWidth="1"/>
    <col min="760" max="760" width="2.875" style="88" customWidth="1"/>
    <col min="761" max="761" width="4" style="88" customWidth="1"/>
    <col min="762" max="762" width="4.75" style="88" customWidth="1"/>
    <col min="763" max="763" width="5.5" style="88" customWidth="1"/>
    <col min="764" max="764" width="5.375" style="88" customWidth="1"/>
    <col min="765" max="765" width="1.25" style="88" customWidth="1"/>
    <col min="766" max="766" width="4.375" style="88" customWidth="1"/>
    <col min="767" max="767" width="10.375" style="88" customWidth="1"/>
    <col min="768" max="768" width="16.625" style="88" customWidth="1"/>
    <col min="769" max="769" width="10.875" style="88" customWidth="1"/>
    <col min="770" max="770" width="18.75" style="88" customWidth="1"/>
    <col min="771" max="771" width="14.25" style="88" bestFit="1" customWidth="1"/>
    <col min="772" max="1011" width="9" style="88"/>
    <col min="1012" max="1012" width="5" style="88" customWidth="1"/>
    <col min="1013" max="1013" width="3.875" style="88" customWidth="1"/>
    <col min="1014" max="1014" width="5" style="88" customWidth="1"/>
    <col min="1015" max="1015" width="6.25" style="88" customWidth="1"/>
    <col min="1016" max="1016" width="2.875" style="88" customWidth="1"/>
    <col min="1017" max="1017" width="4" style="88" customWidth="1"/>
    <col min="1018" max="1018" width="4.75" style="88" customWidth="1"/>
    <col min="1019" max="1019" width="5.5" style="88" customWidth="1"/>
    <col min="1020" max="1020" width="5.375" style="88" customWidth="1"/>
    <col min="1021" max="1021" width="1.25" style="88" customWidth="1"/>
    <col min="1022" max="1022" width="4.375" style="88" customWidth="1"/>
    <col min="1023" max="1023" width="10.375" style="88" customWidth="1"/>
    <col min="1024" max="1024" width="16.625" style="88" customWidth="1"/>
    <col min="1025" max="1025" width="10.875" style="88" customWidth="1"/>
    <col min="1026" max="1026" width="18.75" style="88" customWidth="1"/>
    <col min="1027" max="1027" width="14.25" style="88" bestFit="1" customWidth="1"/>
    <col min="1028" max="1267" width="9" style="88"/>
    <col min="1268" max="1268" width="5" style="88" customWidth="1"/>
    <col min="1269" max="1269" width="3.875" style="88" customWidth="1"/>
    <col min="1270" max="1270" width="5" style="88" customWidth="1"/>
    <col min="1271" max="1271" width="6.25" style="88" customWidth="1"/>
    <col min="1272" max="1272" width="2.875" style="88" customWidth="1"/>
    <col min="1273" max="1273" width="4" style="88" customWidth="1"/>
    <col min="1274" max="1274" width="4.75" style="88" customWidth="1"/>
    <col min="1275" max="1275" width="5.5" style="88" customWidth="1"/>
    <col min="1276" max="1276" width="5.375" style="88" customWidth="1"/>
    <col min="1277" max="1277" width="1.25" style="88" customWidth="1"/>
    <col min="1278" max="1278" width="4.375" style="88" customWidth="1"/>
    <col min="1279" max="1279" width="10.375" style="88" customWidth="1"/>
    <col min="1280" max="1280" width="16.625" style="88" customWidth="1"/>
    <col min="1281" max="1281" width="10.875" style="88" customWidth="1"/>
    <col min="1282" max="1282" width="18.75" style="88" customWidth="1"/>
    <col min="1283" max="1283" width="14.25" style="88" bestFit="1" customWidth="1"/>
    <col min="1284" max="1523" width="9" style="88"/>
    <col min="1524" max="1524" width="5" style="88" customWidth="1"/>
    <col min="1525" max="1525" width="3.875" style="88" customWidth="1"/>
    <col min="1526" max="1526" width="5" style="88" customWidth="1"/>
    <col min="1527" max="1527" width="6.25" style="88" customWidth="1"/>
    <col min="1528" max="1528" width="2.875" style="88" customWidth="1"/>
    <col min="1529" max="1529" width="4" style="88" customWidth="1"/>
    <col min="1530" max="1530" width="4.75" style="88" customWidth="1"/>
    <col min="1531" max="1531" width="5.5" style="88" customWidth="1"/>
    <col min="1532" max="1532" width="5.375" style="88" customWidth="1"/>
    <col min="1533" max="1533" width="1.25" style="88" customWidth="1"/>
    <col min="1534" max="1534" width="4.375" style="88" customWidth="1"/>
    <col min="1535" max="1535" width="10.375" style="88" customWidth="1"/>
    <col min="1536" max="1536" width="16.625" style="88" customWidth="1"/>
    <col min="1537" max="1537" width="10.875" style="88" customWidth="1"/>
    <col min="1538" max="1538" width="18.75" style="88" customWidth="1"/>
    <col min="1539" max="1539" width="14.25" style="88" bestFit="1" customWidth="1"/>
    <col min="1540" max="1779" width="9" style="88"/>
    <col min="1780" max="1780" width="5" style="88" customWidth="1"/>
    <col min="1781" max="1781" width="3.875" style="88" customWidth="1"/>
    <col min="1782" max="1782" width="5" style="88" customWidth="1"/>
    <col min="1783" max="1783" width="6.25" style="88" customWidth="1"/>
    <col min="1784" max="1784" width="2.875" style="88" customWidth="1"/>
    <col min="1785" max="1785" width="4" style="88" customWidth="1"/>
    <col min="1786" max="1786" width="4.75" style="88" customWidth="1"/>
    <col min="1787" max="1787" width="5.5" style="88" customWidth="1"/>
    <col min="1788" max="1788" width="5.375" style="88" customWidth="1"/>
    <col min="1789" max="1789" width="1.25" style="88" customWidth="1"/>
    <col min="1790" max="1790" width="4.375" style="88" customWidth="1"/>
    <col min="1791" max="1791" width="10.375" style="88" customWidth="1"/>
    <col min="1792" max="1792" width="16.625" style="88" customWidth="1"/>
    <col min="1793" max="1793" width="10.875" style="88" customWidth="1"/>
    <col min="1794" max="1794" width="18.75" style="88" customWidth="1"/>
    <col min="1795" max="1795" width="14.25" style="88" bestFit="1" customWidth="1"/>
    <col min="1796" max="2035" width="9" style="88"/>
    <col min="2036" max="2036" width="5" style="88" customWidth="1"/>
    <col min="2037" max="2037" width="3.875" style="88" customWidth="1"/>
    <col min="2038" max="2038" width="5" style="88" customWidth="1"/>
    <col min="2039" max="2039" width="6.25" style="88" customWidth="1"/>
    <col min="2040" max="2040" width="2.875" style="88" customWidth="1"/>
    <col min="2041" max="2041" width="4" style="88" customWidth="1"/>
    <col min="2042" max="2042" width="4.75" style="88" customWidth="1"/>
    <col min="2043" max="2043" width="5.5" style="88" customWidth="1"/>
    <col min="2044" max="2044" width="5.375" style="88" customWidth="1"/>
    <col min="2045" max="2045" width="1.25" style="88" customWidth="1"/>
    <col min="2046" max="2046" width="4.375" style="88" customWidth="1"/>
    <col min="2047" max="2047" width="10.375" style="88" customWidth="1"/>
    <col min="2048" max="2048" width="16.625" style="88" customWidth="1"/>
    <col min="2049" max="2049" width="10.875" style="88" customWidth="1"/>
    <col min="2050" max="2050" width="18.75" style="88" customWidth="1"/>
    <col min="2051" max="2051" width="14.25" style="88" bestFit="1" customWidth="1"/>
    <col min="2052" max="2291" width="9" style="88"/>
    <col min="2292" max="2292" width="5" style="88" customWidth="1"/>
    <col min="2293" max="2293" width="3.875" style="88" customWidth="1"/>
    <col min="2294" max="2294" width="5" style="88" customWidth="1"/>
    <col min="2295" max="2295" width="6.25" style="88" customWidth="1"/>
    <col min="2296" max="2296" width="2.875" style="88" customWidth="1"/>
    <col min="2297" max="2297" width="4" style="88" customWidth="1"/>
    <col min="2298" max="2298" width="4.75" style="88" customWidth="1"/>
    <col min="2299" max="2299" width="5.5" style="88" customWidth="1"/>
    <col min="2300" max="2300" width="5.375" style="88" customWidth="1"/>
    <col min="2301" max="2301" width="1.25" style="88" customWidth="1"/>
    <col min="2302" max="2302" width="4.375" style="88" customWidth="1"/>
    <col min="2303" max="2303" width="10.375" style="88" customWidth="1"/>
    <col min="2304" max="2304" width="16.625" style="88" customWidth="1"/>
    <col min="2305" max="2305" width="10.875" style="88" customWidth="1"/>
    <col min="2306" max="2306" width="18.75" style="88" customWidth="1"/>
    <col min="2307" max="2307" width="14.25" style="88" bestFit="1" customWidth="1"/>
    <col min="2308" max="2547" width="9" style="88"/>
    <col min="2548" max="2548" width="5" style="88" customWidth="1"/>
    <col min="2549" max="2549" width="3.875" style="88" customWidth="1"/>
    <col min="2550" max="2550" width="5" style="88" customWidth="1"/>
    <col min="2551" max="2551" width="6.25" style="88" customWidth="1"/>
    <col min="2552" max="2552" width="2.875" style="88" customWidth="1"/>
    <col min="2553" max="2553" width="4" style="88" customWidth="1"/>
    <col min="2554" max="2554" width="4.75" style="88" customWidth="1"/>
    <col min="2555" max="2555" width="5.5" style="88" customWidth="1"/>
    <col min="2556" max="2556" width="5.375" style="88" customWidth="1"/>
    <col min="2557" max="2557" width="1.25" style="88" customWidth="1"/>
    <col min="2558" max="2558" width="4.375" style="88" customWidth="1"/>
    <col min="2559" max="2559" width="10.375" style="88" customWidth="1"/>
    <col min="2560" max="2560" width="16.625" style="88" customWidth="1"/>
    <col min="2561" max="2561" width="10.875" style="88" customWidth="1"/>
    <col min="2562" max="2562" width="18.75" style="88" customWidth="1"/>
    <col min="2563" max="2563" width="14.25" style="88" bestFit="1" customWidth="1"/>
    <col min="2564" max="2803" width="9" style="88"/>
    <col min="2804" max="2804" width="5" style="88" customWidth="1"/>
    <col min="2805" max="2805" width="3.875" style="88" customWidth="1"/>
    <col min="2806" max="2806" width="5" style="88" customWidth="1"/>
    <col min="2807" max="2807" width="6.25" style="88" customWidth="1"/>
    <col min="2808" max="2808" width="2.875" style="88" customWidth="1"/>
    <col min="2809" max="2809" width="4" style="88" customWidth="1"/>
    <col min="2810" max="2810" width="4.75" style="88" customWidth="1"/>
    <col min="2811" max="2811" width="5.5" style="88" customWidth="1"/>
    <col min="2812" max="2812" width="5.375" style="88" customWidth="1"/>
    <col min="2813" max="2813" width="1.25" style="88" customWidth="1"/>
    <col min="2814" max="2814" width="4.375" style="88" customWidth="1"/>
    <col min="2815" max="2815" width="10.375" style="88" customWidth="1"/>
    <col min="2816" max="2816" width="16.625" style="88" customWidth="1"/>
    <col min="2817" max="2817" width="10.875" style="88" customWidth="1"/>
    <col min="2818" max="2818" width="18.75" style="88" customWidth="1"/>
    <col min="2819" max="2819" width="14.25" style="88" bestFit="1" customWidth="1"/>
    <col min="2820" max="3059" width="9" style="88"/>
    <col min="3060" max="3060" width="5" style="88" customWidth="1"/>
    <col min="3061" max="3061" width="3.875" style="88" customWidth="1"/>
    <col min="3062" max="3062" width="5" style="88" customWidth="1"/>
    <col min="3063" max="3063" width="6.25" style="88" customWidth="1"/>
    <col min="3064" max="3064" width="2.875" style="88" customWidth="1"/>
    <col min="3065" max="3065" width="4" style="88" customWidth="1"/>
    <col min="3066" max="3066" width="4.75" style="88" customWidth="1"/>
    <col min="3067" max="3067" width="5.5" style="88" customWidth="1"/>
    <col min="3068" max="3068" width="5.375" style="88" customWidth="1"/>
    <col min="3069" max="3069" width="1.25" style="88" customWidth="1"/>
    <col min="3070" max="3070" width="4.375" style="88" customWidth="1"/>
    <col min="3071" max="3071" width="10.375" style="88" customWidth="1"/>
    <col min="3072" max="3072" width="16.625" style="88" customWidth="1"/>
    <col min="3073" max="3073" width="10.875" style="88" customWidth="1"/>
    <col min="3074" max="3074" width="18.75" style="88" customWidth="1"/>
    <col min="3075" max="3075" width="14.25" style="88" bestFit="1" customWidth="1"/>
    <col min="3076" max="3315" width="9" style="88"/>
    <col min="3316" max="3316" width="5" style="88" customWidth="1"/>
    <col min="3317" max="3317" width="3.875" style="88" customWidth="1"/>
    <col min="3318" max="3318" width="5" style="88" customWidth="1"/>
    <col min="3319" max="3319" width="6.25" style="88" customWidth="1"/>
    <col min="3320" max="3320" width="2.875" style="88" customWidth="1"/>
    <col min="3321" max="3321" width="4" style="88" customWidth="1"/>
    <col min="3322" max="3322" width="4.75" style="88" customWidth="1"/>
    <col min="3323" max="3323" width="5.5" style="88" customWidth="1"/>
    <col min="3324" max="3324" width="5.375" style="88" customWidth="1"/>
    <col min="3325" max="3325" width="1.25" style="88" customWidth="1"/>
    <col min="3326" max="3326" width="4.375" style="88" customWidth="1"/>
    <col min="3327" max="3327" width="10.375" style="88" customWidth="1"/>
    <col min="3328" max="3328" width="16.625" style="88" customWidth="1"/>
    <col min="3329" max="3329" width="10.875" style="88" customWidth="1"/>
    <col min="3330" max="3330" width="18.75" style="88" customWidth="1"/>
    <col min="3331" max="3331" width="14.25" style="88" bestFit="1" customWidth="1"/>
    <col min="3332" max="3571" width="9" style="88"/>
    <col min="3572" max="3572" width="5" style="88" customWidth="1"/>
    <col min="3573" max="3573" width="3.875" style="88" customWidth="1"/>
    <col min="3574" max="3574" width="5" style="88" customWidth="1"/>
    <col min="3575" max="3575" width="6.25" style="88" customWidth="1"/>
    <col min="3576" max="3576" width="2.875" style="88" customWidth="1"/>
    <col min="3577" max="3577" width="4" style="88" customWidth="1"/>
    <col min="3578" max="3578" width="4.75" style="88" customWidth="1"/>
    <col min="3579" max="3579" width="5.5" style="88" customWidth="1"/>
    <col min="3580" max="3580" width="5.375" style="88" customWidth="1"/>
    <col min="3581" max="3581" width="1.25" style="88" customWidth="1"/>
    <col min="3582" max="3582" width="4.375" style="88" customWidth="1"/>
    <col min="3583" max="3583" width="10.375" style="88" customWidth="1"/>
    <col min="3584" max="3584" width="16.625" style="88" customWidth="1"/>
    <col min="3585" max="3585" width="10.875" style="88" customWidth="1"/>
    <col min="3586" max="3586" width="18.75" style="88" customWidth="1"/>
    <col min="3587" max="3587" width="14.25" style="88" bestFit="1" customWidth="1"/>
    <col min="3588" max="3827" width="9" style="88"/>
    <col min="3828" max="3828" width="5" style="88" customWidth="1"/>
    <col min="3829" max="3829" width="3.875" style="88" customWidth="1"/>
    <col min="3830" max="3830" width="5" style="88" customWidth="1"/>
    <col min="3831" max="3831" width="6.25" style="88" customWidth="1"/>
    <col min="3832" max="3832" width="2.875" style="88" customWidth="1"/>
    <col min="3833" max="3833" width="4" style="88" customWidth="1"/>
    <col min="3834" max="3834" width="4.75" style="88" customWidth="1"/>
    <col min="3835" max="3835" width="5.5" style="88" customWidth="1"/>
    <col min="3836" max="3836" width="5.375" style="88" customWidth="1"/>
    <col min="3837" max="3837" width="1.25" style="88" customWidth="1"/>
    <col min="3838" max="3838" width="4.375" style="88" customWidth="1"/>
    <col min="3839" max="3839" width="10.375" style="88" customWidth="1"/>
    <col min="3840" max="3840" width="16.625" style="88" customWidth="1"/>
    <col min="3841" max="3841" width="10.875" style="88" customWidth="1"/>
    <col min="3842" max="3842" width="18.75" style="88" customWidth="1"/>
    <col min="3843" max="3843" width="14.25" style="88" bestFit="1" customWidth="1"/>
    <col min="3844" max="4083" width="9" style="88"/>
    <col min="4084" max="4084" width="5" style="88" customWidth="1"/>
    <col min="4085" max="4085" width="3.875" style="88" customWidth="1"/>
    <col min="4086" max="4086" width="5" style="88" customWidth="1"/>
    <col min="4087" max="4087" width="6.25" style="88" customWidth="1"/>
    <col min="4088" max="4088" width="2.875" style="88" customWidth="1"/>
    <col min="4089" max="4089" width="4" style="88" customWidth="1"/>
    <col min="4090" max="4090" width="4.75" style="88" customWidth="1"/>
    <col min="4091" max="4091" width="5.5" style="88" customWidth="1"/>
    <col min="4092" max="4092" width="5.375" style="88" customWidth="1"/>
    <col min="4093" max="4093" width="1.25" style="88" customWidth="1"/>
    <col min="4094" max="4094" width="4.375" style="88" customWidth="1"/>
    <col min="4095" max="4095" width="10.375" style="88" customWidth="1"/>
    <col min="4096" max="4096" width="16.625" style="88" customWidth="1"/>
    <col min="4097" max="4097" width="10.875" style="88" customWidth="1"/>
    <col min="4098" max="4098" width="18.75" style="88" customWidth="1"/>
    <col min="4099" max="4099" width="14.25" style="88" bestFit="1" customWidth="1"/>
    <col min="4100" max="4339" width="9" style="88"/>
    <col min="4340" max="4340" width="5" style="88" customWidth="1"/>
    <col min="4341" max="4341" width="3.875" style="88" customWidth="1"/>
    <col min="4342" max="4342" width="5" style="88" customWidth="1"/>
    <col min="4343" max="4343" width="6.25" style="88" customWidth="1"/>
    <col min="4344" max="4344" width="2.875" style="88" customWidth="1"/>
    <col min="4345" max="4345" width="4" style="88" customWidth="1"/>
    <col min="4346" max="4346" width="4.75" style="88" customWidth="1"/>
    <col min="4347" max="4347" width="5.5" style="88" customWidth="1"/>
    <col min="4348" max="4348" width="5.375" style="88" customWidth="1"/>
    <col min="4349" max="4349" width="1.25" style="88" customWidth="1"/>
    <col min="4350" max="4350" width="4.375" style="88" customWidth="1"/>
    <col min="4351" max="4351" width="10.375" style="88" customWidth="1"/>
    <col min="4352" max="4352" width="16.625" style="88" customWidth="1"/>
    <col min="4353" max="4353" width="10.875" style="88" customWidth="1"/>
    <col min="4354" max="4354" width="18.75" style="88" customWidth="1"/>
    <col min="4355" max="4355" width="14.25" style="88" bestFit="1" customWidth="1"/>
    <col min="4356" max="4595" width="9" style="88"/>
    <col min="4596" max="4596" width="5" style="88" customWidth="1"/>
    <col min="4597" max="4597" width="3.875" style="88" customWidth="1"/>
    <col min="4598" max="4598" width="5" style="88" customWidth="1"/>
    <col min="4599" max="4599" width="6.25" style="88" customWidth="1"/>
    <col min="4600" max="4600" width="2.875" style="88" customWidth="1"/>
    <col min="4601" max="4601" width="4" style="88" customWidth="1"/>
    <col min="4602" max="4602" width="4.75" style="88" customWidth="1"/>
    <col min="4603" max="4603" width="5.5" style="88" customWidth="1"/>
    <col min="4604" max="4604" width="5.375" style="88" customWidth="1"/>
    <col min="4605" max="4605" width="1.25" style="88" customWidth="1"/>
    <col min="4606" max="4606" width="4.375" style="88" customWidth="1"/>
    <col min="4607" max="4607" width="10.375" style="88" customWidth="1"/>
    <col min="4608" max="4608" width="16.625" style="88" customWidth="1"/>
    <col min="4609" max="4609" width="10.875" style="88" customWidth="1"/>
    <col min="4610" max="4610" width="18.75" style="88" customWidth="1"/>
    <col min="4611" max="4611" width="14.25" style="88" bestFit="1" customWidth="1"/>
    <col min="4612" max="4851" width="9" style="88"/>
    <col min="4852" max="4852" width="5" style="88" customWidth="1"/>
    <col min="4853" max="4853" width="3.875" style="88" customWidth="1"/>
    <col min="4854" max="4854" width="5" style="88" customWidth="1"/>
    <col min="4855" max="4855" width="6.25" style="88" customWidth="1"/>
    <col min="4856" max="4856" width="2.875" style="88" customWidth="1"/>
    <col min="4857" max="4857" width="4" style="88" customWidth="1"/>
    <col min="4858" max="4858" width="4.75" style="88" customWidth="1"/>
    <col min="4859" max="4859" width="5.5" style="88" customWidth="1"/>
    <col min="4860" max="4860" width="5.375" style="88" customWidth="1"/>
    <col min="4861" max="4861" width="1.25" style="88" customWidth="1"/>
    <col min="4862" max="4862" width="4.375" style="88" customWidth="1"/>
    <col min="4863" max="4863" width="10.375" style="88" customWidth="1"/>
    <col min="4864" max="4864" width="16.625" style="88" customWidth="1"/>
    <col min="4865" max="4865" width="10.875" style="88" customWidth="1"/>
    <col min="4866" max="4866" width="18.75" style="88" customWidth="1"/>
    <col min="4867" max="4867" width="14.25" style="88" bestFit="1" customWidth="1"/>
    <col min="4868" max="5107" width="9" style="88"/>
    <col min="5108" max="5108" width="5" style="88" customWidth="1"/>
    <col min="5109" max="5109" width="3.875" style="88" customWidth="1"/>
    <col min="5110" max="5110" width="5" style="88" customWidth="1"/>
    <col min="5111" max="5111" width="6.25" style="88" customWidth="1"/>
    <col min="5112" max="5112" width="2.875" style="88" customWidth="1"/>
    <col min="5113" max="5113" width="4" style="88" customWidth="1"/>
    <col min="5114" max="5114" width="4.75" style="88" customWidth="1"/>
    <col min="5115" max="5115" width="5.5" style="88" customWidth="1"/>
    <col min="5116" max="5116" width="5.375" style="88" customWidth="1"/>
    <col min="5117" max="5117" width="1.25" style="88" customWidth="1"/>
    <col min="5118" max="5118" width="4.375" style="88" customWidth="1"/>
    <col min="5119" max="5119" width="10.375" style="88" customWidth="1"/>
    <col min="5120" max="5120" width="16.625" style="88" customWidth="1"/>
    <col min="5121" max="5121" width="10.875" style="88" customWidth="1"/>
    <col min="5122" max="5122" width="18.75" style="88" customWidth="1"/>
    <col min="5123" max="5123" width="14.25" style="88" bestFit="1" customWidth="1"/>
    <col min="5124" max="5363" width="9" style="88"/>
    <col min="5364" max="5364" width="5" style="88" customWidth="1"/>
    <col min="5365" max="5365" width="3.875" style="88" customWidth="1"/>
    <col min="5366" max="5366" width="5" style="88" customWidth="1"/>
    <col min="5367" max="5367" width="6.25" style="88" customWidth="1"/>
    <col min="5368" max="5368" width="2.875" style="88" customWidth="1"/>
    <col min="5369" max="5369" width="4" style="88" customWidth="1"/>
    <col min="5370" max="5370" width="4.75" style="88" customWidth="1"/>
    <col min="5371" max="5371" width="5.5" style="88" customWidth="1"/>
    <col min="5372" max="5372" width="5.375" style="88" customWidth="1"/>
    <col min="5373" max="5373" width="1.25" style="88" customWidth="1"/>
    <col min="5374" max="5374" width="4.375" style="88" customWidth="1"/>
    <col min="5375" max="5375" width="10.375" style="88" customWidth="1"/>
    <col min="5376" max="5376" width="16.625" style="88" customWidth="1"/>
    <col min="5377" max="5377" width="10.875" style="88" customWidth="1"/>
    <col min="5378" max="5378" width="18.75" style="88" customWidth="1"/>
    <col min="5379" max="5379" width="14.25" style="88" bestFit="1" customWidth="1"/>
    <col min="5380" max="5619" width="9" style="88"/>
    <col min="5620" max="5620" width="5" style="88" customWidth="1"/>
    <col min="5621" max="5621" width="3.875" style="88" customWidth="1"/>
    <col min="5622" max="5622" width="5" style="88" customWidth="1"/>
    <col min="5623" max="5623" width="6.25" style="88" customWidth="1"/>
    <col min="5624" max="5624" width="2.875" style="88" customWidth="1"/>
    <col min="5625" max="5625" width="4" style="88" customWidth="1"/>
    <col min="5626" max="5626" width="4.75" style="88" customWidth="1"/>
    <col min="5627" max="5627" width="5.5" style="88" customWidth="1"/>
    <col min="5628" max="5628" width="5.375" style="88" customWidth="1"/>
    <col min="5629" max="5629" width="1.25" style="88" customWidth="1"/>
    <col min="5630" max="5630" width="4.375" style="88" customWidth="1"/>
    <col min="5631" max="5631" width="10.375" style="88" customWidth="1"/>
    <col min="5632" max="5632" width="16.625" style="88" customWidth="1"/>
    <col min="5633" max="5633" width="10.875" style="88" customWidth="1"/>
    <col min="5634" max="5634" width="18.75" style="88" customWidth="1"/>
    <col min="5635" max="5635" width="14.25" style="88" bestFit="1" customWidth="1"/>
    <col min="5636" max="5875" width="9" style="88"/>
    <col min="5876" max="5876" width="5" style="88" customWidth="1"/>
    <col min="5877" max="5877" width="3.875" style="88" customWidth="1"/>
    <col min="5878" max="5878" width="5" style="88" customWidth="1"/>
    <col min="5879" max="5879" width="6.25" style="88" customWidth="1"/>
    <col min="5880" max="5880" width="2.875" style="88" customWidth="1"/>
    <col min="5881" max="5881" width="4" style="88" customWidth="1"/>
    <col min="5882" max="5882" width="4.75" style="88" customWidth="1"/>
    <col min="5883" max="5883" width="5.5" style="88" customWidth="1"/>
    <col min="5884" max="5884" width="5.375" style="88" customWidth="1"/>
    <col min="5885" max="5885" width="1.25" style="88" customWidth="1"/>
    <col min="5886" max="5886" width="4.375" style="88" customWidth="1"/>
    <col min="5887" max="5887" width="10.375" style="88" customWidth="1"/>
    <col min="5888" max="5888" width="16.625" style="88" customWidth="1"/>
    <col min="5889" max="5889" width="10.875" style="88" customWidth="1"/>
    <col min="5890" max="5890" width="18.75" style="88" customWidth="1"/>
    <col min="5891" max="5891" width="14.25" style="88" bestFit="1" customWidth="1"/>
    <col min="5892" max="6131" width="9" style="88"/>
    <col min="6132" max="6132" width="5" style="88" customWidth="1"/>
    <col min="6133" max="6133" width="3.875" style="88" customWidth="1"/>
    <col min="6134" max="6134" width="5" style="88" customWidth="1"/>
    <col min="6135" max="6135" width="6.25" style="88" customWidth="1"/>
    <col min="6136" max="6136" width="2.875" style="88" customWidth="1"/>
    <col min="6137" max="6137" width="4" style="88" customWidth="1"/>
    <col min="6138" max="6138" width="4.75" style="88" customWidth="1"/>
    <col min="6139" max="6139" width="5.5" style="88" customWidth="1"/>
    <col min="6140" max="6140" width="5.375" style="88" customWidth="1"/>
    <col min="6141" max="6141" width="1.25" style="88" customWidth="1"/>
    <col min="6142" max="6142" width="4.375" style="88" customWidth="1"/>
    <col min="6143" max="6143" width="10.375" style="88" customWidth="1"/>
    <col min="6144" max="6144" width="16.625" style="88" customWidth="1"/>
    <col min="6145" max="6145" width="10.875" style="88" customWidth="1"/>
    <col min="6146" max="6146" width="18.75" style="88" customWidth="1"/>
    <col min="6147" max="6147" width="14.25" style="88" bestFit="1" customWidth="1"/>
    <col min="6148" max="6387" width="9" style="88"/>
    <col min="6388" max="6388" width="5" style="88" customWidth="1"/>
    <col min="6389" max="6389" width="3.875" style="88" customWidth="1"/>
    <col min="6390" max="6390" width="5" style="88" customWidth="1"/>
    <col min="6391" max="6391" width="6.25" style="88" customWidth="1"/>
    <col min="6392" max="6392" width="2.875" style="88" customWidth="1"/>
    <col min="6393" max="6393" width="4" style="88" customWidth="1"/>
    <col min="6394" max="6394" width="4.75" style="88" customWidth="1"/>
    <col min="6395" max="6395" width="5.5" style="88" customWidth="1"/>
    <col min="6396" max="6396" width="5.375" style="88" customWidth="1"/>
    <col min="6397" max="6397" width="1.25" style="88" customWidth="1"/>
    <col min="6398" max="6398" width="4.375" style="88" customWidth="1"/>
    <col min="6399" max="6399" width="10.375" style="88" customWidth="1"/>
    <col min="6400" max="6400" width="16.625" style="88" customWidth="1"/>
    <col min="6401" max="6401" width="10.875" style="88" customWidth="1"/>
    <col min="6402" max="6402" width="18.75" style="88" customWidth="1"/>
    <col min="6403" max="6403" width="14.25" style="88" bestFit="1" customWidth="1"/>
    <col min="6404" max="6643" width="9" style="88"/>
    <col min="6644" max="6644" width="5" style="88" customWidth="1"/>
    <col min="6645" max="6645" width="3.875" style="88" customWidth="1"/>
    <col min="6646" max="6646" width="5" style="88" customWidth="1"/>
    <col min="6647" max="6647" width="6.25" style="88" customWidth="1"/>
    <col min="6648" max="6648" width="2.875" style="88" customWidth="1"/>
    <col min="6649" max="6649" width="4" style="88" customWidth="1"/>
    <col min="6650" max="6650" width="4.75" style="88" customWidth="1"/>
    <col min="6651" max="6651" width="5.5" style="88" customWidth="1"/>
    <col min="6652" max="6652" width="5.375" style="88" customWidth="1"/>
    <col min="6653" max="6653" width="1.25" style="88" customWidth="1"/>
    <col min="6654" max="6654" width="4.375" style="88" customWidth="1"/>
    <col min="6655" max="6655" width="10.375" style="88" customWidth="1"/>
    <col min="6656" max="6656" width="16.625" style="88" customWidth="1"/>
    <col min="6657" max="6657" width="10.875" style="88" customWidth="1"/>
    <col min="6658" max="6658" width="18.75" style="88" customWidth="1"/>
    <col min="6659" max="6659" width="14.25" style="88" bestFit="1" customWidth="1"/>
    <col min="6660" max="6899" width="9" style="88"/>
    <col min="6900" max="6900" width="5" style="88" customWidth="1"/>
    <col min="6901" max="6901" width="3.875" style="88" customWidth="1"/>
    <col min="6902" max="6902" width="5" style="88" customWidth="1"/>
    <col min="6903" max="6903" width="6.25" style="88" customWidth="1"/>
    <col min="6904" max="6904" width="2.875" style="88" customWidth="1"/>
    <col min="6905" max="6905" width="4" style="88" customWidth="1"/>
    <col min="6906" max="6906" width="4.75" style="88" customWidth="1"/>
    <col min="6907" max="6907" width="5.5" style="88" customWidth="1"/>
    <col min="6908" max="6908" width="5.375" style="88" customWidth="1"/>
    <col min="6909" max="6909" width="1.25" style="88" customWidth="1"/>
    <col min="6910" max="6910" width="4.375" style="88" customWidth="1"/>
    <col min="6911" max="6911" width="10.375" style="88" customWidth="1"/>
    <col min="6912" max="6912" width="16.625" style="88" customWidth="1"/>
    <col min="6913" max="6913" width="10.875" style="88" customWidth="1"/>
    <col min="6914" max="6914" width="18.75" style="88" customWidth="1"/>
    <col min="6915" max="6915" width="14.25" style="88" bestFit="1" customWidth="1"/>
    <col min="6916" max="7155" width="9" style="88"/>
    <col min="7156" max="7156" width="5" style="88" customWidth="1"/>
    <col min="7157" max="7157" width="3.875" style="88" customWidth="1"/>
    <col min="7158" max="7158" width="5" style="88" customWidth="1"/>
    <col min="7159" max="7159" width="6.25" style="88" customWidth="1"/>
    <col min="7160" max="7160" width="2.875" style="88" customWidth="1"/>
    <col min="7161" max="7161" width="4" style="88" customWidth="1"/>
    <col min="7162" max="7162" width="4.75" style="88" customWidth="1"/>
    <col min="7163" max="7163" width="5.5" style="88" customWidth="1"/>
    <col min="7164" max="7164" width="5.375" style="88" customWidth="1"/>
    <col min="7165" max="7165" width="1.25" style="88" customWidth="1"/>
    <col min="7166" max="7166" width="4.375" style="88" customWidth="1"/>
    <col min="7167" max="7167" width="10.375" style="88" customWidth="1"/>
    <col min="7168" max="7168" width="16.625" style="88" customWidth="1"/>
    <col min="7169" max="7169" width="10.875" style="88" customWidth="1"/>
    <col min="7170" max="7170" width="18.75" style="88" customWidth="1"/>
    <col min="7171" max="7171" width="14.25" style="88" bestFit="1" customWidth="1"/>
    <col min="7172" max="7411" width="9" style="88"/>
    <col min="7412" max="7412" width="5" style="88" customWidth="1"/>
    <col min="7413" max="7413" width="3.875" style="88" customWidth="1"/>
    <col min="7414" max="7414" width="5" style="88" customWidth="1"/>
    <col min="7415" max="7415" width="6.25" style="88" customWidth="1"/>
    <col min="7416" max="7416" width="2.875" style="88" customWidth="1"/>
    <col min="7417" max="7417" width="4" style="88" customWidth="1"/>
    <col min="7418" max="7418" width="4.75" style="88" customWidth="1"/>
    <col min="7419" max="7419" width="5.5" style="88" customWidth="1"/>
    <col min="7420" max="7420" width="5.375" style="88" customWidth="1"/>
    <col min="7421" max="7421" width="1.25" style="88" customWidth="1"/>
    <col min="7422" max="7422" width="4.375" style="88" customWidth="1"/>
    <col min="7423" max="7423" width="10.375" style="88" customWidth="1"/>
    <col min="7424" max="7424" width="16.625" style="88" customWidth="1"/>
    <col min="7425" max="7425" width="10.875" style="88" customWidth="1"/>
    <col min="7426" max="7426" width="18.75" style="88" customWidth="1"/>
    <col min="7427" max="7427" width="14.25" style="88" bestFit="1" customWidth="1"/>
    <col min="7428" max="7667" width="9" style="88"/>
    <col min="7668" max="7668" width="5" style="88" customWidth="1"/>
    <col min="7669" max="7669" width="3.875" style="88" customWidth="1"/>
    <col min="7670" max="7670" width="5" style="88" customWidth="1"/>
    <col min="7671" max="7671" width="6.25" style="88" customWidth="1"/>
    <col min="7672" max="7672" width="2.875" style="88" customWidth="1"/>
    <col min="7673" max="7673" width="4" style="88" customWidth="1"/>
    <col min="7674" max="7674" width="4.75" style="88" customWidth="1"/>
    <col min="7675" max="7675" width="5.5" style="88" customWidth="1"/>
    <col min="7676" max="7676" width="5.375" style="88" customWidth="1"/>
    <col min="7677" max="7677" width="1.25" style="88" customWidth="1"/>
    <col min="7678" max="7678" width="4.375" style="88" customWidth="1"/>
    <col min="7679" max="7679" width="10.375" style="88" customWidth="1"/>
    <col min="7680" max="7680" width="16.625" style="88" customWidth="1"/>
    <col min="7681" max="7681" width="10.875" style="88" customWidth="1"/>
    <col min="7682" max="7682" width="18.75" style="88" customWidth="1"/>
    <col min="7683" max="7683" width="14.25" style="88" bestFit="1" customWidth="1"/>
    <col min="7684" max="7923" width="9" style="88"/>
    <col min="7924" max="7924" width="5" style="88" customWidth="1"/>
    <col min="7925" max="7925" width="3.875" style="88" customWidth="1"/>
    <col min="7926" max="7926" width="5" style="88" customWidth="1"/>
    <col min="7927" max="7927" width="6.25" style="88" customWidth="1"/>
    <col min="7928" max="7928" width="2.875" style="88" customWidth="1"/>
    <col min="7929" max="7929" width="4" style="88" customWidth="1"/>
    <col min="7930" max="7930" width="4.75" style="88" customWidth="1"/>
    <col min="7931" max="7931" width="5.5" style="88" customWidth="1"/>
    <col min="7932" max="7932" width="5.375" style="88" customWidth="1"/>
    <col min="7933" max="7933" width="1.25" style="88" customWidth="1"/>
    <col min="7934" max="7934" width="4.375" style="88" customWidth="1"/>
    <col min="7935" max="7935" width="10.375" style="88" customWidth="1"/>
    <col min="7936" max="7936" width="16.625" style="88" customWidth="1"/>
    <col min="7937" max="7937" width="10.875" style="88" customWidth="1"/>
    <col min="7938" max="7938" width="18.75" style="88" customWidth="1"/>
    <col min="7939" max="7939" width="14.25" style="88" bestFit="1" customWidth="1"/>
    <col min="7940" max="8179" width="9" style="88"/>
    <col min="8180" max="8180" width="5" style="88" customWidth="1"/>
    <col min="8181" max="8181" width="3.875" style="88" customWidth="1"/>
    <col min="8182" max="8182" width="5" style="88" customWidth="1"/>
    <col min="8183" max="8183" width="6.25" style="88" customWidth="1"/>
    <col min="8184" max="8184" width="2.875" style="88" customWidth="1"/>
    <col min="8185" max="8185" width="4" style="88" customWidth="1"/>
    <col min="8186" max="8186" width="4.75" style="88" customWidth="1"/>
    <col min="8187" max="8187" width="5.5" style="88" customWidth="1"/>
    <col min="8188" max="8188" width="5.375" style="88" customWidth="1"/>
    <col min="8189" max="8189" width="1.25" style="88" customWidth="1"/>
    <col min="8190" max="8190" width="4.375" style="88" customWidth="1"/>
    <col min="8191" max="8191" width="10.375" style="88" customWidth="1"/>
    <col min="8192" max="8192" width="16.625" style="88" customWidth="1"/>
    <col min="8193" max="8193" width="10.875" style="88" customWidth="1"/>
    <col min="8194" max="8194" width="18.75" style="88" customWidth="1"/>
    <col min="8195" max="8195" width="14.25" style="88" bestFit="1" customWidth="1"/>
    <col min="8196" max="8435" width="9" style="88"/>
    <col min="8436" max="8436" width="5" style="88" customWidth="1"/>
    <col min="8437" max="8437" width="3.875" style="88" customWidth="1"/>
    <col min="8438" max="8438" width="5" style="88" customWidth="1"/>
    <col min="8439" max="8439" width="6.25" style="88" customWidth="1"/>
    <col min="8440" max="8440" width="2.875" style="88" customWidth="1"/>
    <col min="8441" max="8441" width="4" style="88" customWidth="1"/>
    <col min="8442" max="8442" width="4.75" style="88" customWidth="1"/>
    <col min="8443" max="8443" width="5.5" style="88" customWidth="1"/>
    <col min="8444" max="8444" width="5.375" style="88" customWidth="1"/>
    <col min="8445" max="8445" width="1.25" style="88" customWidth="1"/>
    <col min="8446" max="8446" width="4.375" style="88" customWidth="1"/>
    <col min="8447" max="8447" width="10.375" style="88" customWidth="1"/>
    <col min="8448" max="8448" width="16.625" style="88" customWidth="1"/>
    <col min="8449" max="8449" width="10.875" style="88" customWidth="1"/>
    <col min="8450" max="8450" width="18.75" style="88" customWidth="1"/>
    <col min="8451" max="8451" width="14.25" style="88" bestFit="1" customWidth="1"/>
    <col min="8452" max="8691" width="9" style="88"/>
    <col min="8692" max="8692" width="5" style="88" customWidth="1"/>
    <col min="8693" max="8693" width="3.875" style="88" customWidth="1"/>
    <col min="8694" max="8694" width="5" style="88" customWidth="1"/>
    <col min="8695" max="8695" width="6.25" style="88" customWidth="1"/>
    <col min="8696" max="8696" width="2.875" style="88" customWidth="1"/>
    <col min="8697" max="8697" width="4" style="88" customWidth="1"/>
    <col min="8698" max="8698" width="4.75" style="88" customWidth="1"/>
    <col min="8699" max="8699" width="5.5" style="88" customWidth="1"/>
    <col min="8700" max="8700" width="5.375" style="88" customWidth="1"/>
    <col min="8701" max="8701" width="1.25" style="88" customWidth="1"/>
    <col min="8702" max="8702" width="4.375" style="88" customWidth="1"/>
    <col min="8703" max="8703" width="10.375" style="88" customWidth="1"/>
    <col min="8704" max="8704" width="16.625" style="88" customWidth="1"/>
    <col min="8705" max="8705" width="10.875" style="88" customWidth="1"/>
    <col min="8706" max="8706" width="18.75" style="88" customWidth="1"/>
    <col min="8707" max="8707" width="14.25" style="88" bestFit="1" customWidth="1"/>
    <col min="8708" max="8947" width="9" style="88"/>
    <col min="8948" max="8948" width="5" style="88" customWidth="1"/>
    <col min="8949" max="8949" width="3.875" style="88" customWidth="1"/>
    <col min="8950" max="8950" width="5" style="88" customWidth="1"/>
    <col min="8951" max="8951" width="6.25" style="88" customWidth="1"/>
    <col min="8952" max="8952" width="2.875" style="88" customWidth="1"/>
    <col min="8953" max="8953" width="4" style="88" customWidth="1"/>
    <col min="8954" max="8954" width="4.75" style="88" customWidth="1"/>
    <col min="8955" max="8955" width="5.5" style="88" customWidth="1"/>
    <col min="8956" max="8956" width="5.375" style="88" customWidth="1"/>
    <col min="8957" max="8957" width="1.25" style="88" customWidth="1"/>
    <col min="8958" max="8958" width="4.375" style="88" customWidth="1"/>
    <col min="8959" max="8959" width="10.375" style="88" customWidth="1"/>
    <col min="8960" max="8960" width="16.625" style="88" customWidth="1"/>
    <col min="8961" max="8961" width="10.875" style="88" customWidth="1"/>
    <col min="8962" max="8962" width="18.75" style="88" customWidth="1"/>
    <col min="8963" max="8963" width="14.25" style="88" bestFit="1" customWidth="1"/>
    <col min="8964" max="9203" width="9" style="88"/>
    <col min="9204" max="9204" width="5" style="88" customWidth="1"/>
    <col min="9205" max="9205" width="3.875" style="88" customWidth="1"/>
    <col min="9206" max="9206" width="5" style="88" customWidth="1"/>
    <col min="9207" max="9207" width="6.25" style="88" customWidth="1"/>
    <col min="9208" max="9208" width="2.875" style="88" customWidth="1"/>
    <col min="9209" max="9209" width="4" style="88" customWidth="1"/>
    <col min="9210" max="9210" width="4.75" style="88" customWidth="1"/>
    <col min="9211" max="9211" width="5.5" style="88" customWidth="1"/>
    <col min="9212" max="9212" width="5.375" style="88" customWidth="1"/>
    <col min="9213" max="9213" width="1.25" style="88" customWidth="1"/>
    <col min="9214" max="9214" width="4.375" style="88" customWidth="1"/>
    <col min="9215" max="9215" width="10.375" style="88" customWidth="1"/>
    <col min="9216" max="9216" width="16.625" style="88" customWidth="1"/>
    <col min="9217" max="9217" width="10.875" style="88" customWidth="1"/>
    <col min="9218" max="9218" width="18.75" style="88" customWidth="1"/>
    <col min="9219" max="9219" width="14.25" style="88" bestFit="1" customWidth="1"/>
    <col min="9220" max="9459" width="9" style="88"/>
    <col min="9460" max="9460" width="5" style="88" customWidth="1"/>
    <col min="9461" max="9461" width="3.875" style="88" customWidth="1"/>
    <col min="9462" max="9462" width="5" style="88" customWidth="1"/>
    <col min="9463" max="9463" width="6.25" style="88" customWidth="1"/>
    <col min="9464" max="9464" width="2.875" style="88" customWidth="1"/>
    <col min="9465" max="9465" width="4" style="88" customWidth="1"/>
    <col min="9466" max="9466" width="4.75" style="88" customWidth="1"/>
    <col min="9467" max="9467" width="5.5" style="88" customWidth="1"/>
    <col min="9468" max="9468" width="5.375" style="88" customWidth="1"/>
    <col min="9469" max="9469" width="1.25" style="88" customWidth="1"/>
    <col min="9470" max="9470" width="4.375" style="88" customWidth="1"/>
    <col min="9471" max="9471" width="10.375" style="88" customWidth="1"/>
    <col min="9472" max="9472" width="16.625" style="88" customWidth="1"/>
    <col min="9473" max="9473" width="10.875" style="88" customWidth="1"/>
    <col min="9474" max="9474" width="18.75" style="88" customWidth="1"/>
    <col min="9475" max="9475" width="14.25" style="88" bestFit="1" customWidth="1"/>
    <col min="9476" max="9715" width="9" style="88"/>
    <col min="9716" max="9716" width="5" style="88" customWidth="1"/>
    <col min="9717" max="9717" width="3.875" style="88" customWidth="1"/>
    <col min="9718" max="9718" width="5" style="88" customWidth="1"/>
    <col min="9719" max="9719" width="6.25" style="88" customWidth="1"/>
    <col min="9720" max="9720" width="2.875" style="88" customWidth="1"/>
    <col min="9721" max="9721" width="4" style="88" customWidth="1"/>
    <col min="9722" max="9722" width="4.75" style="88" customWidth="1"/>
    <col min="9723" max="9723" width="5.5" style="88" customWidth="1"/>
    <col min="9724" max="9724" width="5.375" style="88" customWidth="1"/>
    <col min="9725" max="9725" width="1.25" style="88" customWidth="1"/>
    <col min="9726" max="9726" width="4.375" style="88" customWidth="1"/>
    <col min="9727" max="9727" width="10.375" style="88" customWidth="1"/>
    <col min="9728" max="9728" width="16.625" style="88" customWidth="1"/>
    <col min="9729" max="9729" width="10.875" style="88" customWidth="1"/>
    <col min="9730" max="9730" width="18.75" style="88" customWidth="1"/>
    <col min="9731" max="9731" width="14.25" style="88" bestFit="1" customWidth="1"/>
    <col min="9732" max="9971" width="9" style="88"/>
    <col min="9972" max="9972" width="5" style="88" customWidth="1"/>
    <col min="9973" max="9973" width="3.875" style="88" customWidth="1"/>
    <col min="9974" max="9974" width="5" style="88" customWidth="1"/>
    <col min="9975" max="9975" width="6.25" style="88" customWidth="1"/>
    <col min="9976" max="9976" width="2.875" style="88" customWidth="1"/>
    <col min="9977" max="9977" width="4" style="88" customWidth="1"/>
    <col min="9978" max="9978" width="4.75" style="88" customWidth="1"/>
    <col min="9979" max="9979" width="5.5" style="88" customWidth="1"/>
    <col min="9980" max="9980" width="5.375" style="88" customWidth="1"/>
    <col min="9981" max="9981" width="1.25" style="88" customWidth="1"/>
    <col min="9982" max="9982" width="4.375" style="88" customWidth="1"/>
    <col min="9983" max="9983" width="10.375" style="88" customWidth="1"/>
    <col min="9984" max="9984" width="16.625" style="88" customWidth="1"/>
    <col min="9985" max="9985" width="10.875" style="88" customWidth="1"/>
    <col min="9986" max="9986" width="18.75" style="88" customWidth="1"/>
    <col min="9987" max="9987" width="14.25" style="88" bestFit="1" customWidth="1"/>
    <col min="9988" max="10227" width="9" style="88"/>
    <col min="10228" max="10228" width="5" style="88" customWidth="1"/>
    <col min="10229" max="10229" width="3.875" style="88" customWidth="1"/>
    <col min="10230" max="10230" width="5" style="88" customWidth="1"/>
    <col min="10231" max="10231" width="6.25" style="88" customWidth="1"/>
    <col min="10232" max="10232" width="2.875" style="88" customWidth="1"/>
    <col min="10233" max="10233" width="4" style="88" customWidth="1"/>
    <col min="10234" max="10234" width="4.75" style="88" customWidth="1"/>
    <col min="10235" max="10235" width="5.5" style="88" customWidth="1"/>
    <col min="10236" max="10236" width="5.375" style="88" customWidth="1"/>
    <col min="10237" max="10237" width="1.25" style="88" customWidth="1"/>
    <col min="10238" max="10238" width="4.375" style="88" customWidth="1"/>
    <col min="10239" max="10239" width="10.375" style="88" customWidth="1"/>
    <col min="10240" max="10240" width="16.625" style="88" customWidth="1"/>
    <col min="10241" max="10241" width="10.875" style="88" customWidth="1"/>
    <col min="10242" max="10242" width="18.75" style="88" customWidth="1"/>
    <col min="10243" max="10243" width="14.25" style="88" bestFit="1" customWidth="1"/>
    <col min="10244" max="10483" width="9" style="88"/>
    <col min="10484" max="10484" width="5" style="88" customWidth="1"/>
    <col min="10485" max="10485" width="3.875" style="88" customWidth="1"/>
    <col min="10486" max="10486" width="5" style="88" customWidth="1"/>
    <col min="10487" max="10487" width="6.25" style="88" customWidth="1"/>
    <col min="10488" max="10488" width="2.875" style="88" customWidth="1"/>
    <col min="10489" max="10489" width="4" style="88" customWidth="1"/>
    <col min="10490" max="10490" width="4.75" style="88" customWidth="1"/>
    <col min="10491" max="10491" width="5.5" style="88" customWidth="1"/>
    <col min="10492" max="10492" width="5.375" style="88" customWidth="1"/>
    <col min="10493" max="10493" width="1.25" style="88" customWidth="1"/>
    <col min="10494" max="10494" width="4.375" style="88" customWidth="1"/>
    <col min="10495" max="10495" width="10.375" style="88" customWidth="1"/>
    <col min="10496" max="10496" width="16.625" style="88" customWidth="1"/>
    <col min="10497" max="10497" width="10.875" style="88" customWidth="1"/>
    <col min="10498" max="10498" width="18.75" style="88" customWidth="1"/>
    <col min="10499" max="10499" width="14.25" style="88" bestFit="1" customWidth="1"/>
    <col min="10500" max="10739" width="9" style="88"/>
    <col min="10740" max="10740" width="5" style="88" customWidth="1"/>
    <col min="10741" max="10741" width="3.875" style="88" customWidth="1"/>
    <col min="10742" max="10742" width="5" style="88" customWidth="1"/>
    <col min="10743" max="10743" width="6.25" style="88" customWidth="1"/>
    <col min="10744" max="10744" width="2.875" style="88" customWidth="1"/>
    <col min="10745" max="10745" width="4" style="88" customWidth="1"/>
    <col min="10746" max="10746" width="4.75" style="88" customWidth="1"/>
    <col min="10747" max="10747" width="5.5" style="88" customWidth="1"/>
    <col min="10748" max="10748" width="5.375" style="88" customWidth="1"/>
    <col min="10749" max="10749" width="1.25" style="88" customWidth="1"/>
    <col min="10750" max="10750" width="4.375" style="88" customWidth="1"/>
    <col min="10751" max="10751" width="10.375" style="88" customWidth="1"/>
    <col min="10752" max="10752" width="16.625" style="88" customWidth="1"/>
    <col min="10753" max="10753" width="10.875" style="88" customWidth="1"/>
    <col min="10754" max="10754" width="18.75" style="88" customWidth="1"/>
    <col min="10755" max="10755" width="14.25" style="88" bestFit="1" customWidth="1"/>
    <col min="10756" max="10995" width="9" style="88"/>
    <col min="10996" max="10996" width="5" style="88" customWidth="1"/>
    <col min="10997" max="10997" width="3.875" style="88" customWidth="1"/>
    <col min="10998" max="10998" width="5" style="88" customWidth="1"/>
    <col min="10999" max="10999" width="6.25" style="88" customWidth="1"/>
    <col min="11000" max="11000" width="2.875" style="88" customWidth="1"/>
    <col min="11001" max="11001" width="4" style="88" customWidth="1"/>
    <col min="11002" max="11002" width="4.75" style="88" customWidth="1"/>
    <col min="11003" max="11003" width="5.5" style="88" customWidth="1"/>
    <col min="11004" max="11004" width="5.375" style="88" customWidth="1"/>
    <col min="11005" max="11005" width="1.25" style="88" customWidth="1"/>
    <col min="11006" max="11006" width="4.375" style="88" customWidth="1"/>
    <col min="11007" max="11007" width="10.375" style="88" customWidth="1"/>
    <col min="11008" max="11008" width="16.625" style="88" customWidth="1"/>
    <col min="11009" max="11009" width="10.875" style="88" customWidth="1"/>
    <col min="11010" max="11010" width="18.75" style="88" customWidth="1"/>
    <col min="11011" max="11011" width="14.25" style="88" bestFit="1" customWidth="1"/>
    <col min="11012" max="11251" width="9" style="88"/>
    <col min="11252" max="11252" width="5" style="88" customWidth="1"/>
    <col min="11253" max="11253" width="3.875" style="88" customWidth="1"/>
    <col min="11254" max="11254" width="5" style="88" customWidth="1"/>
    <col min="11255" max="11255" width="6.25" style="88" customWidth="1"/>
    <col min="11256" max="11256" width="2.875" style="88" customWidth="1"/>
    <col min="11257" max="11257" width="4" style="88" customWidth="1"/>
    <col min="11258" max="11258" width="4.75" style="88" customWidth="1"/>
    <col min="11259" max="11259" width="5.5" style="88" customWidth="1"/>
    <col min="11260" max="11260" width="5.375" style="88" customWidth="1"/>
    <col min="11261" max="11261" width="1.25" style="88" customWidth="1"/>
    <col min="11262" max="11262" width="4.375" style="88" customWidth="1"/>
    <col min="11263" max="11263" width="10.375" style="88" customWidth="1"/>
    <col min="11264" max="11264" width="16.625" style="88" customWidth="1"/>
    <col min="11265" max="11265" width="10.875" style="88" customWidth="1"/>
    <col min="11266" max="11266" width="18.75" style="88" customWidth="1"/>
    <col min="11267" max="11267" width="14.25" style="88" bestFit="1" customWidth="1"/>
    <col min="11268" max="11507" width="9" style="88"/>
    <col min="11508" max="11508" width="5" style="88" customWidth="1"/>
    <col min="11509" max="11509" width="3.875" style="88" customWidth="1"/>
    <col min="11510" max="11510" width="5" style="88" customWidth="1"/>
    <col min="11511" max="11511" width="6.25" style="88" customWidth="1"/>
    <col min="11512" max="11512" width="2.875" style="88" customWidth="1"/>
    <col min="11513" max="11513" width="4" style="88" customWidth="1"/>
    <col min="11514" max="11514" width="4.75" style="88" customWidth="1"/>
    <col min="11515" max="11515" width="5.5" style="88" customWidth="1"/>
    <col min="11516" max="11516" width="5.375" style="88" customWidth="1"/>
    <col min="11517" max="11517" width="1.25" style="88" customWidth="1"/>
    <col min="11518" max="11518" width="4.375" style="88" customWidth="1"/>
    <col min="11519" max="11519" width="10.375" style="88" customWidth="1"/>
    <col min="11520" max="11520" width="16.625" style="88" customWidth="1"/>
    <col min="11521" max="11521" width="10.875" style="88" customWidth="1"/>
    <col min="11522" max="11522" width="18.75" style="88" customWidth="1"/>
    <col min="11523" max="11523" width="14.25" style="88" bestFit="1" customWidth="1"/>
    <col min="11524" max="11763" width="9" style="88"/>
    <col min="11764" max="11764" width="5" style="88" customWidth="1"/>
    <col min="11765" max="11765" width="3.875" style="88" customWidth="1"/>
    <col min="11766" max="11766" width="5" style="88" customWidth="1"/>
    <col min="11767" max="11767" width="6.25" style="88" customWidth="1"/>
    <col min="11768" max="11768" width="2.875" style="88" customWidth="1"/>
    <col min="11769" max="11769" width="4" style="88" customWidth="1"/>
    <col min="11770" max="11770" width="4.75" style="88" customWidth="1"/>
    <col min="11771" max="11771" width="5.5" style="88" customWidth="1"/>
    <col min="11772" max="11772" width="5.375" style="88" customWidth="1"/>
    <col min="11773" max="11773" width="1.25" style="88" customWidth="1"/>
    <col min="11774" max="11774" width="4.375" style="88" customWidth="1"/>
    <col min="11775" max="11775" width="10.375" style="88" customWidth="1"/>
    <col min="11776" max="11776" width="16.625" style="88" customWidth="1"/>
    <col min="11777" max="11777" width="10.875" style="88" customWidth="1"/>
    <col min="11778" max="11778" width="18.75" style="88" customWidth="1"/>
    <col min="11779" max="11779" width="14.25" style="88" bestFit="1" customWidth="1"/>
    <col min="11780" max="12019" width="9" style="88"/>
    <col min="12020" max="12020" width="5" style="88" customWidth="1"/>
    <col min="12021" max="12021" width="3.875" style="88" customWidth="1"/>
    <col min="12022" max="12022" width="5" style="88" customWidth="1"/>
    <col min="12023" max="12023" width="6.25" style="88" customWidth="1"/>
    <col min="12024" max="12024" width="2.875" style="88" customWidth="1"/>
    <col min="12025" max="12025" width="4" style="88" customWidth="1"/>
    <col min="12026" max="12026" width="4.75" style="88" customWidth="1"/>
    <col min="12027" max="12027" width="5.5" style="88" customWidth="1"/>
    <col min="12028" max="12028" width="5.375" style="88" customWidth="1"/>
    <col min="12029" max="12029" width="1.25" style="88" customWidth="1"/>
    <col min="12030" max="12030" width="4.375" style="88" customWidth="1"/>
    <col min="12031" max="12031" width="10.375" style="88" customWidth="1"/>
    <col min="12032" max="12032" width="16.625" style="88" customWidth="1"/>
    <col min="12033" max="12033" width="10.875" style="88" customWidth="1"/>
    <col min="12034" max="12034" width="18.75" style="88" customWidth="1"/>
    <col min="12035" max="12035" width="14.25" style="88" bestFit="1" customWidth="1"/>
    <col min="12036" max="12275" width="9" style="88"/>
    <col min="12276" max="12276" width="5" style="88" customWidth="1"/>
    <col min="12277" max="12277" width="3.875" style="88" customWidth="1"/>
    <col min="12278" max="12278" width="5" style="88" customWidth="1"/>
    <col min="12279" max="12279" width="6.25" style="88" customWidth="1"/>
    <col min="12280" max="12280" width="2.875" style="88" customWidth="1"/>
    <col min="12281" max="12281" width="4" style="88" customWidth="1"/>
    <col min="12282" max="12282" width="4.75" style="88" customWidth="1"/>
    <col min="12283" max="12283" width="5.5" style="88" customWidth="1"/>
    <col min="12284" max="12284" width="5.375" style="88" customWidth="1"/>
    <col min="12285" max="12285" width="1.25" style="88" customWidth="1"/>
    <col min="12286" max="12286" width="4.375" style="88" customWidth="1"/>
    <col min="12287" max="12287" width="10.375" style="88" customWidth="1"/>
    <col min="12288" max="12288" width="16.625" style="88" customWidth="1"/>
    <col min="12289" max="12289" width="10.875" style="88" customWidth="1"/>
    <col min="12290" max="12290" width="18.75" style="88" customWidth="1"/>
    <col min="12291" max="12291" width="14.25" style="88" bestFit="1" customWidth="1"/>
    <col min="12292" max="12531" width="9" style="88"/>
    <col min="12532" max="12532" width="5" style="88" customWidth="1"/>
    <col min="12533" max="12533" width="3.875" style="88" customWidth="1"/>
    <col min="12534" max="12534" width="5" style="88" customWidth="1"/>
    <col min="12535" max="12535" width="6.25" style="88" customWidth="1"/>
    <col min="12536" max="12536" width="2.875" style="88" customWidth="1"/>
    <col min="12537" max="12537" width="4" style="88" customWidth="1"/>
    <col min="12538" max="12538" width="4.75" style="88" customWidth="1"/>
    <col min="12539" max="12539" width="5.5" style="88" customWidth="1"/>
    <col min="12540" max="12540" width="5.375" style="88" customWidth="1"/>
    <col min="12541" max="12541" width="1.25" style="88" customWidth="1"/>
    <col min="12542" max="12542" width="4.375" style="88" customWidth="1"/>
    <col min="12543" max="12543" width="10.375" style="88" customWidth="1"/>
    <col min="12544" max="12544" width="16.625" style="88" customWidth="1"/>
    <col min="12545" max="12545" width="10.875" style="88" customWidth="1"/>
    <col min="12546" max="12546" width="18.75" style="88" customWidth="1"/>
    <col min="12547" max="12547" width="14.25" style="88" bestFit="1" customWidth="1"/>
    <col min="12548" max="12787" width="9" style="88"/>
    <col min="12788" max="12788" width="5" style="88" customWidth="1"/>
    <col min="12789" max="12789" width="3.875" style="88" customWidth="1"/>
    <col min="12790" max="12790" width="5" style="88" customWidth="1"/>
    <col min="12791" max="12791" width="6.25" style="88" customWidth="1"/>
    <col min="12792" max="12792" width="2.875" style="88" customWidth="1"/>
    <col min="12793" max="12793" width="4" style="88" customWidth="1"/>
    <col min="12794" max="12794" width="4.75" style="88" customWidth="1"/>
    <col min="12795" max="12795" width="5.5" style="88" customWidth="1"/>
    <col min="12796" max="12796" width="5.375" style="88" customWidth="1"/>
    <col min="12797" max="12797" width="1.25" style="88" customWidth="1"/>
    <col min="12798" max="12798" width="4.375" style="88" customWidth="1"/>
    <col min="12799" max="12799" width="10.375" style="88" customWidth="1"/>
    <col min="12800" max="12800" width="16.625" style="88" customWidth="1"/>
    <col min="12801" max="12801" width="10.875" style="88" customWidth="1"/>
    <col min="12802" max="12802" width="18.75" style="88" customWidth="1"/>
    <col min="12803" max="12803" width="14.25" style="88" bestFit="1" customWidth="1"/>
    <col min="12804" max="13043" width="9" style="88"/>
    <col min="13044" max="13044" width="5" style="88" customWidth="1"/>
    <col min="13045" max="13045" width="3.875" style="88" customWidth="1"/>
    <col min="13046" max="13046" width="5" style="88" customWidth="1"/>
    <col min="13047" max="13047" width="6.25" style="88" customWidth="1"/>
    <col min="13048" max="13048" width="2.875" style="88" customWidth="1"/>
    <col min="13049" max="13049" width="4" style="88" customWidth="1"/>
    <col min="13050" max="13050" width="4.75" style="88" customWidth="1"/>
    <col min="13051" max="13051" width="5.5" style="88" customWidth="1"/>
    <col min="13052" max="13052" width="5.375" style="88" customWidth="1"/>
    <col min="13053" max="13053" width="1.25" style="88" customWidth="1"/>
    <col min="13054" max="13054" width="4.375" style="88" customWidth="1"/>
    <col min="13055" max="13055" width="10.375" style="88" customWidth="1"/>
    <col min="13056" max="13056" width="16.625" style="88" customWidth="1"/>
    <col min="13057" max="13057" width="10.875" style="88" customWidth="1"/>
    <col min="13058" max="13058" width="18.75" style="88" customWidth="1"/>
    <col min="13059" max="13059" width="14.25" style="88" bestFit="1" customWidth="1"/>
    <col min="13060" max="13299" width="9" style="88"/>
    <col min="13300" max="13300" width="5" style="88" customWidth="1"/>
    <col min="13301" max="13301" width="3.875" style="88" customWidth="1"/>
    <col min="13302" max="13302" width="5" style="88" customWidth="1"/>
    <col min="13303" max="13303" width="6.25" style="88" customWidth="1"/>
    <col min="13304" max="13304" width="2.875" style="88" customWidth="1"/>
    <col min="13305" max="13305" width="4" style="88" customWidth="1"/>
    <col min="13306" max="13306" width="4.75" style="88" customWidth="1"/>
    <col min="13307" max="13307" width="5.5" style="88" customWidth="1"/>
    <col min="13308" max="13308" width="5.375" style="88" customWidth="1"/>
    <col min="13309" max="13309" width="1.25" style="88" customWidth="1"/>
    <col min="13310" max="13310" width="4.375" style="88" customWidth="1"/>
    <col min="13311" max="13311" width="10.375" style="88" customWidth="1"/>
    <col min="13312" max="13312" width="16.625" style="88" customWidth="1"/>
    <col min="13313" max="13313" width="10.875" style="88" customWidth="1"/>
    <col min="13314" max="13314" width="18.75" style="88" customWidth="1"/>
    <col min="13315" max="13315" width="14.25" style="88" bestFit="1" customWidth="1"/>
    <col min="13316" max="13555" width="9" style="88"/>
    <col min="13556" max="13556" width="5" style="88" customWidth="1"/>
    <col min="13557" max="13557" width="3.875" style="88" customWidth="1"/>
    <col min="13558" max="13558" width="5" style="88" customWidth="1"/>
    <col min="13559" max="13559" width="6.25" style="88" customWidth="1"/>
    <col min="13560" max="13560" width="2.875" style="88" customWidth="1"/>
    <col min="13561" max="13561" width="4" style="88" customWidth="1"/>
    <col min="13562" max="13562" width="4.75" style="88" customWidth="1"/>
    <col min="13563" max="13563" width="5.5" style="88" customWidth="1"/>
    <col min="13564" max="13564" width="5.375" style="88" customWidth="1"/>
    <col min="13565" max="13565" width="1.25" style="88" customWidth="1"/>
    <col min="13566" max="13566" width="4.375" style="88" customWidth="1"/>
    <col min="13567" max="13567" width="10.375" style="88" customWidth="1"/>
    <col min="13568" max="13568" width="16.625" style="88" customWidth="1"/>
    <col min="13569" max="13569" width="10.875" style="88" customWidth="1"/>
    <col min="13570" max="13570" width="18.75" style="88" customWidth="1"/>
    <col min="13571" max="13571" width="14.25" style="88" bestFit="1" customWidth="1"/>
    <col min="13572" max="13811" width="9" style="88"/>
    <col min="13812" max="13812" width="5" style="88" customWidth="1"/>
    <col min="13813" max="13813" width="3.875" style="88" customWidth="1"/>
    <col min="13814" max="13814" width="5" style="88" customWidth="1"/>
    <col min="13815" max="13815" width="6.25" style="88" customWidth="1"/>
    <col min="13816" max="13816" width="2.875" style="88" customWidth="1"/>
    <col min="13817" max="13817" width="4" style="88" customWidth="1"/>
    <col min="13818" max="13818" width="4.75" style="88" customWidth="1"/>
    <col min="13819" max="13819" width="5.5" style="88" customWidth="1"/>
    <col min="13820" max="13820" width="5.375" style="88" customWidth="1"/>
    <col min="13821" max="13821" width="1.25" style="88" customWidth="1"/>
    <col min="13822" max="13822" width="4.375" style="88" customWidth="1"/>
    <col min="13823" max="13823" width="10.375" style="88" customWidth="1"/>
    <col min="13824" max="13824" width="16.625" style="88" customWidth="1"/>
    <col min="13825" max="13825" width="10.875" style="88" customWidth="1"/>
    <col min="13826" max="13826" width="18.75" style="88" customWidth="1"/>
    <col min="13827" max="13827" width="14.25" style="88" bestFit="1" customWidth="1"/>
    <col min="13828" max="14067" width="9" style="88"/>
    <col min="14068" max="14068" width="5" style="88" customWidth="1"/>
    <col min="14069" max="14069" width="3.875" style="88" customWidth="1"/>
    <col min="14070" max="14070" width="5" style="88" customWidth="1"/>
    <col min="14071" max="14071" width="6.25" style="88" customWidth="1"/>
    <col min="14072" max="14072" width="2.875" style="88" customWidth="1"/>
    <col min="14073" max="14073" width="4" style="88" customWidth="1"/>
    <col min="14074" max="14074" width="4.75" style="88" customWidth="1"/>
    <col min="14075" max="14075" width="5.5" style="88" customWidth="1"/>
    <col min="14076" max="14076" width="5.375" style="88" customWidth="1"/>
    <col min="14077" max="14077" width="1.25" style="88" customWidth="1"/>
    <col min="14078" max="14078" width="4.375" style="88" customWidth="1"/>
    <col min="14079" max="14079" width="10.375" style="88" customWidth="1"/>
    <col min="14080" max="14080" width="16.625" style="88" customWidth="1"/>
    <col min="14081" max="14081" width="10.875" style="88" customWidth="1"/>
    <col min="14082" max="14082" width="18.75" style="88" customWidth="1"/>
    <col min="14083" max="14083" width="14.25" style="88" bestFit="1" customWidth="1"/>
    <col min="14084" max="14323" width="9" style="88"/>
    <col min="14324" max="14324" width="5" style="88" customWidth="1"/>
    <col min="14325" max="14325" width="3.875" style="88" customWidth="1"/>
    <col min="14326" max="14326" width="5" style="88" customWidth="1"/>
    <col min="14327" max="14327" width="6.25" style="88" customWidth="1"/>
    <col min="14328" max="14328" width="2.875" style="88" customWidth="1"/>
    <col min="14329" max="14329" width="4" style="88" customWidth="1"/>
    <col min="14330" max="14330" width="4.75" style="88" customWidth="1"/>
    <col min="14331" max="14331" width="5.5" style="88" customWidth="1"/>
    <col min="14332" max="14332" width="5.375" style="88" customWidth="1"/>
    <col min="14333" max="14333" width="1.25" style="88" customWidth="1"/>
    <col min="14334" max="14334" width="4.375" style="88" customWidth="1"/>
    <col min="14335" max="14335" width="10.375" style="88" customWidth="1"/>
    <col min="14336" max="14336" width="16.625" style="88" customWidth="1"/>
    <col min="14337" max="14337" width="10.875" style="88" customWidth="1"/>
    <col min="14338" max="14338" width="18.75" style="88" customWidth="1"/>
    <col min="14339" max="14339" width="14.25" style="88" bestFit="1" customWidth="1"/>
    <col min="14340" max="14579" width="9" style="88"/>
    <col min="14580" max="14580" width="5" style="88" customWidth="1"/>
    <col min="14581" max="14581" width="3.875" style="88" customWidth="1"/>
    <col min="14582" max="14582" width="5" style="88" customWidth="1"/>
    <col min="14583" max="14583" width="6.25" style="88" customWidth="1"/>
    <col min="14584" max="14584" width="2.875" style="88" customWidth="1"/>
    <col min="14585" max="14585" width="4" style="88" customWidth="1"/>
    <col min="14586" max="14586" width="4.75" style="88" customWidth="1"/>
    <col min="14587" max="14587" width="5.5" style="88" customWidth="1"/>
    <col min="14588" max="14588" width="5.375" style="88" customWidth="1"/>
    <col min="14589" max="14589" width="1.25" style="88" customWidth="1"/>
    <col min="14590" max="14590" width="4.375" style="88" customWidth="1"/>
    <col min="14591" max="14591" width="10.375" style="88" customWidth="1"/>
    <col min="14592" max="14592" width="16.625" style="88" customWidth="1"/>
    <col min="14593" max="14593" width="10.875" style="88" customWidth="1"/>
    <col min="14594" max="14594" width="18.75" style="88" customWidth="1"/>
    <col min="14595" max="14595" width="14.25" style="88" bestFit="1" customWidth="1"/>
    <col min="14596" max="14835" width="9" style="88"/>
    <col min="14836" max="14836" width="5" style="88" customWidth="1"/>
    <col min="14837" max="14837" width="3.875" style="88" customWidth="1"/>
    <col min="14838" max="14838" width="5" style="88" customWidth="1"/>
    <col min="14839" max="14839" width="6.25" style="88" customWidth="1"/>
    <col min="14840" max="14840" width="2.875" style="88" customWidth="1"/>
    <col min="14841" max="14841" width="4" style="88" customWidth="1"/>
    <col min="14842" max="14842" width="4.75" style="88" customWidth="1"/>
    <col min="14843" max="14843" width="5.5" style="88" customWidth="1"/>
    <col min="14844" max="14844" width="5.375" style="88" customWidth="1"/>
    <col min="14845" max="14845" width="1.25" style="88" customWidth="1"/>
    <col min="14846" max="14846" width="4.375" style="88" customWidth="1"/>
    <col min="14847" max="14847" width="10.375" style="88" customWidth="1"/>
    <col min="14848" max="14848" width="16.625" style="88" customWidth="1"/>
    <col min="14849" max="14849" width="10.875" style="88" customWidth="1"/>
    <col min="14850" max="14850" width="18.75" style="88" customWidth="1"/>
    <col min="14851" max="14851" width="14.25" style="88" bestFit="1" customWidth="1"/>
    <col min="14852" max="15091" width="9" style="88"/>
    <col min="15092" max="15092" width="5" style="88" customWidth="1"/>
    <col min="15093" max="15093" width="3.875" style="88" customWidth="1"/>
    <col min="15094" max="15094" width="5" style="88" customWidth="1"/>
    <col min="15095" max="15095" width="6.25" style="88" customWidth="1"/>
    <col min="15096" max="15096" width="2.875" style="88" customWidth="1"/>
    <col min="15097" max="15097" width="4" style="88" customWidth="1"/>
    <col min="15098" max="15098" width="4.75" style="88" customWidth="1"/>
    <col min="15099" max="15099" width="5.5" style="88" customWidth="1"/>
    <col min="15100" max="15100" width="5.375" style="88" customWidth="1"/>
    <col min="15101" max="15101" width="1.25" style="88" customWidth="1"/>
    <col min="15102" max="15102" width="4.375" style="88" customWidth="1"/>
    <col min="15103" max="15103" width="10.375" style="88" customWidth="1"/>
    <col min="15104" max="15104" width="16.625" style="88" customWidth="1"/>
    <col min="15105" max="15105" width="10.875" style="88" customWidth="1"/>
    <col min="15106" max="15106" width="18.75" style="88" customWidth="1"/>
    <col min="15107" max="15107" width="14.25" style="88" bestFit="1" customWidth="1"/>
    <col min="15108" max="15347" width="9" style="88"/>
    <col min="15348" max="15348" width="5" style="88" customWidth="1"/>
    <col min="15349" max="15349" width="3.875" style="88" customWidth="1"/>
    <col min="15350" max="15350" width="5" style="88" customWidth="1"/>
    <col min="15351" max="15351" width="6.25" style="88" customWidth="1"/>
    <col min="15352" max="15352" width="2.875" style="88" customWidth="1"/>
    <col min="15353" max="15353" width="4" style="88" customWidth="1"/>
    <col min="15354" max="15354" width="4.75" style="88" customWidth="1"/>
    <col min="15355" max="15355" width="5.5" style="88" customWidth="1"/>
    <col min="15356" max="15356" width="5.375" style="88" customWidth="1"/>
    <col min="15357" max="15357" width="1.25" style="88" customWidth="1"/>
    <col min="15358" max="15358" width="4.375" style="88" customWidth="1"/>
    <col min="15359" max="15359" width="10.375" style="88" customWidth="1"/>
    <col min="15360" max="15360" width="16.625" style="88" customWidth="1"/>
    <col min="15361" max="15361" width="10.875" style="88" customWidth="1"/>
    <col min="15362" max="15362" width="18.75" style="88" customWidth="1"/>
    <col min="15363" max="15363" width="14.25" style="88" bestFit="1" customWidth="1"/>
    <col min="15364" max="15603" width="9" style="88"/>
    <col min="15604" max="15604" width="5" style="88" customWidth="1"/>
    <col min="15605" max="15605" width="3.875" style="88" customWidth="1"/>
    <col min="15606" max="15606" width="5" style="88" customWidth="1"/>
    <col min="15607" max="15607" width="6.25" style="88" customWidth="1"/>
    <col min="15608" max="15608" width="2.875" style="88" customWidth="1"/>
    <col min="15609" max="15609" width="4" style="88" customWidth="1"/>
    <col min="15610" max="15610" width="4.75" style="88" customWidth="1"/>
    <col min="15611" max="15611" width="5.5" style="88" customWidth="1"/>
    <col min="15612" max="15612" width="5.375" style="88" customWidth="1"/>
    <col min="15613" max="15613" width="1.25" style="88" customWidth="1"/>
    <col min="15614" max="15614" width="4.375" style="88" customWidth="1"/>
    <col min="15615" max="15615" width="10.375" style="88" customWidth="1"/>
    <col min="15616" max="15616" width="16.625" style="88" customWidth="1"/>
    <col min="15617" max="15617" width="10.875" style="88" customWidth="1"/>
    <col min="15618" max="15618" width="18.75" style="88" customWidth="1"/>
    <col min="15619" max="15619" width="14.25" style="88" bestFit="1" customWidth="1"/>
    <col min="15620" max="15859" width="9" style="88"/>
    <col min="15860" max="15860" width="5" style="88" customWidth="1"/>
    <col min="15861" max="15861" width="3.875" style="88" customWidth="1"/>
    <col min="15862" max="15862" width="5" style="88" customWidth="1"/>
    <col min="15863" max="15863" width="6.25" style="88" customWidth="1"/>
    <col min="15864" max="15864" width="2.875" style="88" customWidth="1"/>
    <col min="15865" max="15865" width="4" style="88" customWidth="1"/>
    <col min="15866" max="15866" width="4.75" style="88" customWidth="1"/>
    <col min="15867" max="15867" width="5.5" style="88" customWidth="1"/>
    <col min="15868" max="15868" width="5.375" style="88" customWidth="1"/>
    <col min="15869" max="15869" width="1.25" style="88" customWidth="1"/>
    <col min="15870" max="15870" width="4.375" style="88" customWidth="1"/>
    <col min="15871" max="15871" width="10.375" style="88" customWidth="1"/>
    <col min="15872" max="15872" width="16.625" style="88" customWidth="1"/>
    <col min="15873" max="15873" width="10.875" style="88" customWidth="1"/>
    <col min="15874" max="15874" width="18.75" style="88" customWidth="1"/>
    <col min="15875" max="15875" width="14.25" style="88" bestFit="1" customWidth="1"/>
    <col min="15876" max="16115" width="9" style="88"/>
    <col min="16116" max="16116" width="5" style="88" customWidth="1"/>
    <col min="16117" max="16117" width="3.875" style="88" customWidth="1"/>
    <col min="16118" max="16118" width="5" style="88" customWidth="1"/>
    <col min="16119" max="16119" width="6.25" style="88" customWidth="1"/>
    <col min="16120" max="16120" width="2.875" style="88" customWidth="1"/>
    <col min="16121" max="16121" width="4" style="88" customWidth="1"/>
    <col min="16122" max="16122" width="4.75" style="88" customWidth="1"/>
    <col min="16123" max="16123" width="5.5" style="88" customWidth="1"/>
    <col min="16124" max="16124" width="5.375" style="88" customWidth="1"/>
    <col min="16125" max="16125" width="1.25" style="88" customWidth="1"/>
    <col min="16126" max="16126" width="4.375" style="88" customWidth="1"/>
    <col min="16127" max="16127" width="10.375" style="88" customWidth="1"/>
    <col min="16128" max="16128" width="16.625" style="88" customWidth="1"/>
    <col min="16129" max="16129" width="10.875" style="88" customWidth="1"/>
    <col min="16130" max="16130" width="18.75" style="88" customWidth="1"/>
    <col min="16131" max="16131" width="14.25" style="88" bestFit="1" customWidth="1"/>
    <col min="16132" max="16384" width="9" style="88"/>
  </cols>
  <sheetData>
    <row r="1" spans="1:15" ht="9" customHeight="1" x14ac:dyDescent="0.3">
      <c r="A1" s="239"/>
      <c r="B1" s="240"/>
      <c r="C1" s="240"/>
      <c r="D1" s="240"/>
      <c r="E1" s="240"/>
      <c r="F1" s="240"/>
      <c r="G1" s="240"/>
      <c r="H1" s="240"/>
      <c r="I1" s="240"/>
      <c r="J1" s="240"/>
      <c r="K1" s="240"/>
      <c r="L1" s="240"/>
      <c r="M1" s="240"/>
      <c r="N1" s="240"/>
      <c r="O1" s="241"/>
    </row>
    <row r="2" spans="1:15" ht="9.75" customHeight="1" x14ac:dyDescent="0.3">
      <c r="A2" s="89"/>
      <c r="B2" s="90"/>
      <c r="C2" s="90"/>
      <c r="D2" s="90"/>
      <c r="E2" s="90"/>
      <c r="F2" s="90"/>
      <c r="G2" s="90"/>
      <c r="H2" s="90"/>
      <c r="I2" s="90"/>
      <c r="J2" s="90"/>
      <c r="K2" s="90"/>
      <c r="L2" s="90"/>
      <c r="M2" s="90"/>
      <c r="N2" s="90"/>
      <c r="O2" s="91"/>
    </row>
    <row r="3" spans="1:15" ht="45" x14ac:dyDescent="0.3">
      <c r="A3" s="242" t="s">
        <v>86</v>
      </c>
      <c r="B3" s="243"/>
      <c r="C3" s="243"/>
      <c r="D3" s="243"/>
      <c r="E3" s="243"/>
      <c r="F3" s="243"/>
      <c r="G3" s="243"/>
      <c r="H3" s="243"/>
      <c r="I3" s="243"/>
      <c r="J3" s="243"/>
      <c r="K3" s="243"/>
      <c r="L3" s="243"/>
      <c r="M3" s="243"/>
      <c r="N3" s="243"/>
      <c r="O3" s="244"/>
    </row>
    <row r="4" spans="1:15" ht="16.5" customHeight="1" x14ac:dyDescent="0.3">
      <c r="A4" s="92" t="s">
        <v>87</v>
      </c>
      <c r="B4" s="93"/>
      <c r="C4" s="93"/>
      <c r="D4" s="93"/>
      <c r="E4" s="93"/>
      <c r="F4" s="93"/>
      <c r="G4" s="93"/>
      <c r="H4" s="93"/>
      <c r="I4" s="94"/>
      <c r="J4" s="94"/>
      <c r="K4" s="95"/>
      <c r="L4" s="95"/>
      <c r="M4" s="95"/>
      <c r="N4" s="95"/>
      <c r="O4" s="96"/>
    </row>
    <row r="5" spans="1:15" ht="21" customHeight="1" x14ac:dyDescent="0.3">
      <c r="A5" s="97"/>
      <c r="B5" s="153" t="s">
        <v>151</v>
      </c>
      <c r="C5" s="153"/>
      <c r="D5" s="153"/>
      <c r="E5" s="153"/>
      <c r="F5" s="153"/>
      <c r="G5" s="154"/>
      <c r="H5" s="154"/>
      <c r="I5" s="98"/>
      <c r="J5" s="98"/>
      <c r="K5" s="98"/>
      <c r="L5" s="98"/>
      <c r="M5" s="99"/>
      <c r="N5" s="99"/>
      <c r="O5" s="100"/>
    </row>
    <row r="6" spans="1:15" ht="12" customHeight="1" thickBot="1" x14ac:dyDescent="0.35">
      <c r="A6" s="101"/>
      <c r="B6" s="102"/>
      <c r="C6" s="102"/>
      <c r="D6" s="102"/>
      <c r="E6" s="102"/>
      <c r="F6" s="102"/>
      <c r="G6" s="102"/>
      <c r="H6" s="102"/>
      <c r="I6" s="102"/>
      <c r="J6" s="102"/>
      <c r="K6" s="103"/>
      <c r="L6" s="103"/>
      <c r="M6" s="103"/>
      <c r="N6" s="103"/>
      <c r="O6" s="104"/>
    </row>
    <row r="7" spans="1:15" ht="23.25" customHeight="1" x14ac:dyDescent="0.3">
      <c r="A7" s="245" t="s">
        <v>88</v>
      </c>
      <c r="B7" s="246"/>
      <c r="C7" s="247"/>
      <c r="D7" s="155">
        <v>2026</v>
      </c>
      <c r="E7" s="105" t="s">
        <v>89</v>
      </c>
      <c r="F7" s="156">
        <v>1</v>
      </c>
      <c r="G7" s="105" t="s">
        <v>90</v>
      </c>
      <c r="H7" s="156">
        <v>17</v>
      </c>
      <c r="I7" s="105" t="s">
        <v>91</v>
      </c>
      <c r="J7" s="106"/>
      <c r="K7" s="248" t="s">
        <v>92</v>
      </c>
      <c r="L7" s="107" t="s">
        <v>93</v>
      </c>
      <c r="M7" s="107" t="s">
        <v>94</v>
      </c>
      <c r="N7" s="107" t="s">
        <v>95</v>
      </c>
      <c r="O7" s="108" t="s">
        <v>96</v>
      </c>
    </row>
    <row r="8" spans="1:15" ht="23.25" customHeight="1" x14ac:dyDescent="0.3">
      <c r="A8" s="251" t="s">
        <v>97</v>
      </c>
      <c r="B8" s="252"/>
      <c r="C8" s="253"/>
      <c r="D8" s="254" t="s">
        <v>98</v>
      </c>
      <c r="E8" s="255"/>
      <c r="F8" s="255"/>
      <c r="G8" s="256"/>
      <c r="H8" s="257" t="s">
        <v>99</v>
      </c>
      <c r="I8" s="255"/>
      <c r="J8" s="258"/>
      <c r="K8" s="249"/>
      <c r="L8" s="109" t="s">
        <v>100</v>
      </c>
      <c r="M8" s="109" t="s">
        <v>101</v>
      </c>
      <c r="N8" s="109" t="s">
        <v>102</v>
      </c>
      <c r="O8" s="110" t="s">
        <v>103</v>
      </c>
    </row>
    <row r="9" spans="1:15" ht="23.25" customHeight="1" x14ac:dyDescent="0.3">
      <c r="A9" s="251" t="s">
        <v>104</v>
      </c>
      <c r="B9" s="252"/>
      <c r="C9" s="253"/>
      <c r="D9" s="259" t="s">
        <v>105</v>
      </c>
      <c r="E9" s="260"/>
      <c r="F9" s="260"/>
      <c r="G9" s="260"/>
      <c r="H9" s="260"/>
      <c r="I9" s="260"/>
      <c r="J9" s="261"/>
      <c r="K9" s="249"/>
      <c r="L9" s="109" t="s">
        <v>106</v>
      </c>
      <c r="M9" s="262" t="s">
        <v>107</v>
      </c>
      <c r="N9" s="252"/>
      <c r="O9" s="253"/>
    </row>
    <row r="10" spans="1:15" ht="23.25" customHeight="1" thickBot="1" x14ac:dyDescent="0.35">
      <c r="A10" s="263" t="s">
        <v>108</v>
      </c>
      <c r="B10" s="264"/>
      <c r="C10" s="265"/>
      <c r="D10" s="266" t="s">
        <v>109</v>
      </c>
      <c r="E10" s="267"/>
      <c r="F10" s="267"/>
      <c r="G10" s="267"/>
      <c r="H10" s="267"/>
      <c r="I10" s="267"/>
      <c r="J10" s="268"/>
      <c r="K10" s="250"/>
      <c r="L10" s="111" t="s">
        <v>110</v>
      </c>
      <c r="M10" s="111" t="s">
        <v>111</v>
      </c>
      <c r="N10" s="111" t="s">
        <v>112</v>
      </c>
      <c r="O10" s="112" t="s">
        <v>113</v>
      </c>
    </row>
    <row r="11" spans="1:15" ht="21.75" customHeight="1" x14ac:dyDescent="0.3">
      <c r="A11" s="113"/>
      <c r="B11" s="114"/>
      <c r="C11" s="114"/>
      <c r="D11" s="115"/>
      <c r="E11" s="115"/>
      <c r="F11" s="115"/>
      <c r="G11" s="115"/>
      <c r="H11" s="115"/>
      <c r="I11" s="115"/>
      <c r="J11" s="115"/>
      <c r="K11" s="116"/>
      <c r="L11" s="116"/>
      <c r="M11" s="116"/>
      <c r="N11" s="116"/>
      <c r="O11" s="96"/>
    </row>
    <row r="12" spans="1:15" ht="21.75" customHeight="1" x14ac:dyDescent="0.3">
      <c r="A12" s="117"/>
      <c r="B12" s="99"/>
      <c r="C12" s="99"/>
      <c r="D12" s="99"/>
      <c r="E12" s="99"/>
      <c r="F12" s="99"/>
      <c r="G12" s="99"/>
      <c r="H12" s="99"/>
      <c r="I12" s="116"/>
      <c r="J12" s="116"/>
      <c r="K12" s="116"/>
      <c r="L12" s="116"/>
      <c r="M12" s="116"/>
      <c r="N12" s="116"/>
      <c r="O12" s="118"/>
    </row>
    <row r="13" spans="1:15" ht="24" customHeight="1" x14ac:dyDescent="0.3">
      <c r="A13" s="119"/>
      <c r="B13" s="238" t="s">
        <v>150</v>
      </c>
      <c r="C13" s="238"/>
      <c r="D13" s="238"/>
      <c r="E13" s="238"/>
      <c r="F13" s="238"/>
      <c r="G13" s="238"/>
      <c r="H13" s="238"/>
      <c r="I13" s="238"/>
      <c r="J13" s="238"/>
      <c r="K13" s="238"/>
      <c r="L13" s="238"/>
      <c r="M13" s="238"/>
      <c r="N13" s="120" t="s">
        <v>114</v>
      </c>
      <c r="O13" s="118"/>
    </row>
    <row r="14" spans="1:15" ht="9" customHeight="1" x14ac:dyDescent="0.3">
      <c r="A14" s="119"/>
      <c r="B14" s="99"/>
      <c r="C14" s="99"/>
      <c r="D14" s="99"/>
      <c r="E14" s="99"/>
      <c r="F14" s="99"/>
      <c r="G14" s="99"/>
      <c r="H14" s="99"/>
      <c r="I14" s="116"/>
      <c r="J14" s="116"/>
      <c r="K14" s="116"/>
      <c r="L14" s="116"/>
      <c r="M14" s="116"/>
      <c r="N14" s="116"/>
      <c r="O14" s="118"/>
    </row>
    <row r="15" spans="1:15" ht="25.5" customHeight="1" x14ac:dyDescent="0.3">
      <c r="A15" s="119"/>
      <c r="B15" s="221" t="str">
        <f>"견 적 금 액 : 一金"&amp;NUMBERSTRING(M32,1) &amp; "원정""(\"&amp; TEXT(M32,"#,###")&amp;"원) [VAT 별도]"</f>
        <v>견 적 금 액 : 一金일백사십칠만칠천오십원정"(\1,477,050원) [VAT 별도]</v>
      </c>
      <c r="C15" s="221"/>
      <c r="D15" s="221"/>
      <c r="E15" s="221"/>
      <c r="F15" s="221"/>
      <c r="G15" s="221"/>
      <c r="H15" s="221"/>
      <c r="I15" s="221"/>
      <c r="J15" s="221"/>
      <c r="K15" s="221"/>
      <c r="L15" s="221"/>
      <c r="M15" s="221"/>
      <c r="N15" s="221"/>
      <c r="O15" s="222"/>
    </row>
    <row r="16" spans="1:15" ht="15" thickBot="1" x14ac:dyDescent="0.35">
      <c r="A16" s="117"/>
      <c r="B16" s="116"/>
      <c r="C16" s="116"/>
      <c r="D16" s="116"/>
      <c r="E16" s="116"/>
      <c r="F16" s="116"/>
      <c r="G16" s="116"/>
      <c r="H16" s="116"/>
      <c r="I16" s="99"/>
      <c r="J16" s="99"/>
      <c r="K16" s="223"/>
      <c r="L16" s="223"/>
      <c r="M16" s="223"/>
      <c r="N16" s="223"/>
      <c r="O16" s="224"/>
    </row>
    <row r="17" spans="1:17" ht="27.75" customHeight="1" thickBot="1" x14ac:dyDescent="0.35">
      <c r="A17" s="121" t="s">
        <v>115</v>
      </c>
      <c r="B17" s="231" t="s">
        <v>116</v>
      </c>
      <c r="C17" s="232"/>
      <c r="D17" s="232"/>
      <c r="E17" s="232"/>
      <c r="F17" s="232"/>
      <c r="G17" s="233"/>
      <c r="H17" s="122" t="s">
        <v>117</v>
      </c>
      <c r="I17" s="123" t="s">
        <v>118</v>
      </c>
      <c r="J17" s="234" t="s">
        <v>119</v>
      </c>
      <c r="K17" s="235"/>
      <c r="L17" s="235"/>
      <c r="M17" s="236"/>
      <c r="N17" s="231" t="s">
        <v>120</v>
      </c>
      <c r="O17" s="237"/>
    </row>
    <row r="18" spans="1:17" ht="28.5" customHeight="1" x14ac:dyDescent="0.3">
      <c r="A18" s="124">
        <v>1</v>
      </c>
      <c r="B18" s="225" t="s">
        <v>37</v>
      </c>
      <c r="C18" s="226"/>
      <c r="D18" s="226"/>
      <c r="E18" s="226"/>
      <c r="F18" s="226"/>
      <c r="G18" s="227"/>
      <c r="H18" s="157">
        <v>1</v>
      </c>
      <c r="I18" s="158" t="s">
        <v>6</v>
      </c>
      <c r="J18" s="228">
        <f>IFERROR(LOOKUP(2, 1/(TRIM('내역서(표준단가)'!O4:O100)&lt;&gt;""), '내역서(표준단가)'!O4:O100), "-")</f>
        <v>325950.59999999998</v>
      </c>
      <c r="K18" s="228"/>
      <c r="L18" s="228"/>
      <c r="M18" s="228"/>
      <c r="N18" s="229"/>
      <c r="O18" s="230"/>
    </row>
    <row r="19" spans="1:17" ht="28.5" customHeight="1" x14ac:dyDescent="0.3">
      <c r="A19" s="125">
        <v>2</v>
      </c>
      <c r="B19" s="205" t="s">
        <v>38</v>
      </c>
      <c r="C19" s="206"/>
      <c r="D19" s="206"/>
      <c r="E19" s="206"/>
      <c r="F19" s="206"/>
      <c r="G19" s="207"/>
      <c r="H19" s="159">
        <v>1</v>
      </c>
      <c r="I19" s="159" t="s">
        <v>6</v>
      </c>
      <c r="J19" s="208">
        <f>IFERROR(LOOKUP(2, 1/(TRIM('내역서(표준단가)'!Q4:Q100)&lt;&gt;""), '내역서(표준단가)'!Q4:Q100), "-")</f>
        <v>850484.38604149991</v>
      </c>
      <c r="K19" s="209"/>
      <c r="L19" s="209"/>
      <c r="M19" s="210"/>
      <c r="N19" s="211"/>
      <c r="O19" s="212"/>
    </row>
    <row r="20" spans="1:17" ht="28.5" customHeight="1" x14ac:dyDescent="0.3">
      <c r="A20" s="125">
        <v>3</v>
      </c>
      <c r="B20" s="213" t="s">
        <v>121</v>
      </c>
      <c r="C20" s="214"/>
      <c r="D20" s="214"/>
      <c r="E20" s="214"/>
      <c r="F20" s="214"/>
      <c r="G20" s="215"/>
      <c r="H20" s="126">
        <v>1</v>
      </c>
      <c r="I20" s="126" t="s">
        <v>6</v>
      </c>
      <c r="J20" s="216">
        <f>IFERROR(SUM(J21:M29),"-")</f>
        <v>147780.1158223555</v>
      </c>
      <c r="K20" s="217"/>
      <c r="L20" s="217"/>
      <c r="M20" s="218"/>
      <c r="N20" s="219"/>
      <c r="O20" s="220"/>
      <c r="P20" s="127"/>
    </row>
    <row r="21" spans="1:17" ht="28.5" customHeight="1" x14ac:dyDescent="0.3">
      <c r="A21" s="124"/>
      <c r="B21" s="128"/>
      <c r="C21" s="197" t="s">
        <v>122</v>
      </c>
      <c r="D21" s="198"/>
      <c r="E21" s="198"/>
      <c r="F21" s="198"/>
      <c r="G21" s="199"/>
      <c r="H21" s="160">
        <v>1</v>
      </c>
      <c r="I21" s="160" t="s">
        <v>6</v>
      </c>
      <c r="J21" s="200">
        <f>IFERROR(LOOKUP(2, 1/(TRIM('내역서(표준단가)'!S4:S100)&lt;&gt;""), '내역서(표준단가)'!S4:S100) + LOOKUP(2, 1/(TRIM('내역서(표준단가)'!U4:U100)&lt;&gt;""), '내역서(표준단가)'!U4:U100), "-")</f>
        <v>0</v>
      </c>
      <c r="K21" s="201"/>
      <c r="L21" s="201"/>
      <c r="M21" s="202"/>
      <c r="N21" s="203" t="s">
        <v>123</v>
      </c>
      <c r="O21" s="204"/>
    </row>
    <row r="22" spans="1:17" ht="28.5" customHeight="1" x14ac:dyDescent="0.3">
      <c r="A22" s="124"/>
      <c r="B22" s="128"/>
      <c r="C22" s="191" t="s">
        <v>124</v>
      </c>
      <c r="D22" s="192"/>
      <c r="E22" s="192"/>
      <c r="F22" s="192"/>
      <c r="G22" s="193"/>
      <c r="H22" s="129">
        <v>3.11</v>
      </c>
      <c r="I22" s="129" t="s">
        <v>125</v>
      </c>
      <c r="J22" s="194">
        <f>IFERROR((J18+J19)*H22%,"-")</f>
        <v>36587.12806589064</v>
      </c>
      <c r="K22" s="195"/>
      <c r="L22" s="195"/>
      <c r="M22" s="196"/>
      <c r="N22" s="187" t="s">
        <v>126</v>
      </c>
      <c r="O22" s="188"/>
    </row>
    <row r="23" spans="1:17" ht="28.5" customHeight="1" x14ac:dyDescent="0.3">
      <c r="A23" s="124"/>
      <c r="B23" s="128"/>
      <c r="C23" s="191" t="s">
        <v>127</v>
      </c>
      <c r="D23" s="192"/>
      <c r="E23" s="192"/>
      <c r="F23" s="192"/>
      <c r="G23" s="193"/>
      <c r="H23" s="129">
        <v>3.56</v>
      </c>
      <c r="I23" s="129" t="s">
        <v>128</v>
      </c>
      <c r="J23" s="194">
        <f>IFERROR(J19*H23%,"-")</f>
        <v>30277.244143077398</v>
      </c>
      <c r="K23" s="195"/>
      <c r="L23" s="195"/>
      <c r="M23" s="196"/>
      <c r="N23" s="187" t="s">
        <v>129</v>
      </c>
      <c r="O23" s="188"/>
    </row>
    <row r="24" spans="1:17" ht="28.5" customHeight="1" x14ac:dyDescent="0.3">
      <c r="A24" s="124"/>
      <c r="B24" s="128"/>
      <c r="C24" s="191" t="s">
        <v>130</v>
      </c>
      <c r="D24" s="192"/>
      <c r="E24" s="192"/>
      <c r="F24" s="192"/>
      <c r="G24" s="193"/>
      <c r="H24" s="129">
        <v>1.01</v>
      </c>
      <c r="I24" s="129" t="s">
        <v>128</v>
      </c>
      <c r="J24" s="194">
        <f>IFERROR(J19*H24%,"-")</f>
        <v>8589.8922990191495</v>
      </c>
      <c r="K24" s="195"/>
      <c r="L24" s="195"/>
      <c r="M24" s="196"/>
      <c r="N24" s="187" t="s">
        <v>131</v>
      </c>
      <c r="O24" s="188"/>
    </row>
    <row r="25" spans="1:17" ht="28.5" customHeight="1" x14ac:dyDescent="0.3">
      <c r="A25" s="124"/>
      <c r="B25" s="128"/>
      <c r="C25" s="191" t="s">
        <v>132</v>
      </c>
      <c r="D25" s="192"/>
      <c r="E25" s="192"/>
      <c r="F25" s="192"/>
      <c r="G25" s="193"/>
      <c r="H25" s="130">
        <v>3.5449999999999999</v>
      </c>
      <c r="I25" s="129" t="s">
        <v>128</v>
      </c>
      <c r="J25" s="194">
        <f>IFERROR(J19*H25%,"-")</f>
        <v>30149.671485171173</v>
      </c>
      <c r="K25" s="195"/>
      <c r="L25" s="195"/>
      <c r="M25" s="196"/>
      <c r="N25" s="187" t="s">
        <v>133</v>
      </c>
      <c r="O25" s="188"/>
      <c r="Q25" s="127"/>
    </row>
    <row r="26" spans="1:17" ht="28.5" customHeight="1" x14ac:dyDescent="0.3">
      <c r="A26" s="124"/>
      <c r="B26" s="128"/>
      <c r="C26" s="191" t="s">
        <v>134</v>
      </c>
      <c r="D26" s="192"/>
      <c r="E26" s="192"/>
      <c r="F26" s="192"/>
      <c r="G26" s="193"/>
      <c r="H26" s="129">
        <v>4.5</v>
      </c>
      <c r="I26" s="129" t="s">
        <v>128</v>
      </c>
      <c r="J26" s="194">
        <f>IFERROR(J19*H26%,"-")</f>
        <v>38271.797371867491</v>
      </c>
      <c r="K26" s="195"/>
      <c r="L26" s="195"/>
      <c r="M26" s="196"/>
      <c r="N26" s="187" t="s">
        <v>135</v>
      </c>
      <c r="O26" s="188"/>
      <c r="Q26" s="131"/>
    </row>
    <row r="27" spans="1:17" ht="28.5" customHeight="1" x14ac:dyDescent="0.3">
      <c r="A27" s="124"/>
      <c r="B27" s="128"/>
      <c r="C27" s="181" t="s">
        <v>136</v>
      </c>
      <c r="D27" s="182"/>
      <c r="E27" s="182"/>
      <c r="F27" s="182"/>
      <c r="G27" s="183"/>
      <c r="H27" s="132">
        <v>12.95</v>
      </c>
      <c r="I27" s="133" t="s">
        <v>128</v>
      </c>
      <c r="J27" s="184">
        <f>IFERROR($H$27*J25%,"-")</f>
        <v>3904.3824573296665</v>
      </c>
      <c r="K27" s="185"/>
      <c r="L27" s="185"/>
      <c r="M27" s="186"/>
      <c r="N27" s="187" t="s">
        <v>137</v>
      </c>
      <c r="O27" s="188"/>
    </row>
    <row r="28" spans="1:17" ht="28.5" customHeight="1" x14ac:dyDescent="0.3">
      <c r="A28" s="124"/>
      <c r="B28" s="128"/>
      <c r="C28" s="181" t="s">
        <v>138</v>
      </c>
      <c r="D28" s="182"/>
      <c r="E28" s="182"/>
      <c r="F28" s="182"/>
      <c r="G28" s="183"/>
      <c r="H28" s="132">
        <v>8.1000000000000003E-2</v>
      </c>
      <c r="I28" s="133" t="s">
        <v>128</v>
      </c>
      <c r="J28" s="184" t="str">
        <f>IFERROR(IF(SUM(J21:J27,J18:J19)&gt;=10000000,SUM(J21:J27,J18:J19)*H28%,"-"),"-")</f>
        <v>-</v>
      </c>
      <c r="K28" s="185"/>
      <c r="L28" s="185"/>
      <c r="M28" s="186"/>
      <c r="N28" s="189" t="s">
        <v>139</v>
      </c>
      <c r="O28" s="190"/>
    </row>
    <row r="29" spans="1:17" ht="28.5" customHeight="1" x14ac:dyDescent="0.3">
      <c r="A29" s="134"/>
      <c r="B29" s="135"/>
      <c r="C29" s="161" t="s">
        <v>140</v>
      </c>
      <c r="D29" s="162"/>
      <c r="E29" s="162"/>
      <c r="F29" s="162"/>
      <c r="G29" s="163"/>
      <c r="H29" s="136">
        <v>1</v>
      </c>
      <c r="I29" s="137" t="s">
        <v>141</v>
      </c>
      <c r="J29" s="164">
        <f>34*0</f>
        <v>0</v>
      </c>
      <c r="K29" s="165"/>
      <c r="L29" s="165"/>
      <c r="M29" s="166"/>
      <c r="N29" s="167" t="s">
        <v>142</v>
      </c>
      <c r="O29" s="168"/>
    </row>
    <row r="30" spans="1:17" ht="28.5" customHeight="1" x14ac:dyDescent="0.3">
      <c r="A30" s="134">
        <v>4</v>
      </c>
      <c r="B30" s="135"/>
      <c r="C30" s="161" t="s">
        <v>143</v>
      </c>
      <c r="D30" s="162"/>
      <c r="E30" s="162"/>
      <c r="F30" s="162"/>
      <c r="G30" s="163"/>
      <c r="H30" s="137">
        <v>5</v>
      </c>
      <c r="I30" s="138" t="s">
        <v>144</v>
      </c>
      <c r="J30" s="174">
        <f>IFERROR(IF(ISNUMBER(H30), SUM(J18:M20) * (H30 / 100), "-"), "-")</f>
        <v>66210.755093192769</v>
      </c>
      <c r="K30" s="175"/>
      <c r="L30" s="175"/>
      <c r="M30" s="176"/>
      <c r="N30" s="177" t="s">
        <v>145</v>
      </c>
      <c r="O30" s="178"/>
    </row>
    <row r="31" spans="1:17" ht="28.5" customHeight="1" thickBot="1" x14ac:dyDescent="0.35">
      <c r="A31" s="134">
        <v>5</v>
      </c>
      <c r="B31" s="135"/>
      <c r="C31" s="161" t="s">
        <v>146</v>
      </c>
      <c r="D31" s="162"/>
      <c r="E31" s="162"/>
      <c r="F31" s="162"/>
      <c r="G31" s="163"/>
      <c r="H31" s="137">
        <v>7.5</v>
      </c>
      <c r="I31" s="138" t="s">
        <v>128</v>
      </c>
      <c r="J31" s="164">
        <f>IFERROR(SUM(J18:M20, J30) * (H31 / 100), "-")+-17657</f>
        <v>86624.939271778596</v>
      </c>
      <c r="K31" s="165"/>
      <c r="L31" s="165"/>
      <c r="M31" s="166"/>
      <c r="N31" s="179" t="s">
        <v>147</v>
      </c>
      <c r="O31" s="180"/>
      <c r="Q31" s="139"/>
    </row>
    <row r="32" spans="1:17" ht="28.5" customHeight="1" thickBot="1" x14ac:dyDescent="0.35">
      <c r="A32" s="169" t="s">
        <v>148</v>
      </c>
      <c r="B32" s="170"/>
      <c r="C32" s="170"/>
      <c r="D32" s="170"/>
      <c r="E32" s="170"/>
      <c r="F32" s="170"/>
      <c r="G32" s="170"/>
      <c r="H32" s="170"/>
      <c r="I32" s="171"/>
      <c r="J32" s="140"/>
      <c r="K32" s="141"/>
      <c r="L32" s="141"/>
      <c r="M32" s="142">
        <f>IFERROR(ROUNDDOWN(SUM(J18:M20)+J30+J31,0),"-")</f>
        <v>1477050</v>
      </c>
      <c r="N32" s="172"/>
      <c r="O32" s="173"/>
      <c r="P32" s="143"/>
    </row>
    <row r="33" spans="1:15" x14ac:dyDescent="0.3">
      <c r="A33" s="144" t="s">
        <v>149</v>
      </c>
      <c r="B33" s="145"/>
      <c r="C33" s="145"/>
      <c r="D33" s="145"/>
      <c r="E33" s="145"/>
      <c r="F33" s="145"/>
      <c r="G33" s="145"/>
      <c r="H33" s="145"/>
      <c r="I33" s="145"/>
      <c r="J33" s="145"/>
      <c r="K33" s="145"/>
      <c r="L33" s="145"/>
      <c r="M33" s="145"/>
      <c r="N33" s="145"/>
      <c r="O33" s="146"/>
    </row>
    <row r="34" spans="1:15" x14ac:dyDescent="0.3">
      <c r="A34" s="147"/>
      <c r="B34" s="145"/>
      <c r="C34" s="145"/>
      <c r="D34" s="145"/>
      <c r="E34" s="145"/>
      <c r="F34" s="145"/>
      <c r="G34" s="145"/>
      <c r="H34" s="145"/>
      <c r="I34" s="145"/>
      <c r="J34" s="145"/>
      <c r="K34" s="145"/>
      <c r="L34" s="145"/>
      <c r="M34" s="145"/>
      <c r="N34" s="145"/>
      <c r="O34" s="146"/>
    </row>
    <row r="35" spans="1:15" x14ac:dyDescent="0.3">
      <c r="A35" s="147"/>
      <c r="B35" s="145"/>
      <c r="C35" s="145"/>
      <c r="D35" s="145"/>
      <c r="E35" s="145"/>
      <c r="F35" s="145"/>
      <c r="G35" s="145"/>
      <c r="H35" s="145"/>
      <c r="I35" s="145"/>
      <c r="J35" s="145"/>
      <c r="K35" s="145"/>
      <c r="L35" s="145"/>
      <c r="M35" s="145"/>
      <c r="N35" s="145"/>
      <c r="O35" s="146"/>
    </row>
    <row r="36" spans="1:15" x14ac:dyDescent="0.3">
      <c r="A36" s="147"/>
      <c r="B36" s="145"/>
      <c r="C36" s="145"/>
      <c r="D36" s="145"/>
      <c r="E36" s="145"/>
      <c r="F36" s="145"/>
      <c r="G36" s="145"/>
      <c r="H36" s="145"/>
      <c r="I36" s="145"/>
      <c r="J36" s="145"/>
      <c r="K36" s="145"/>
      <c r="L36" s="145"/>
      <c r="M36" s="145"/>
      <c r="N36" s="145"/>
      <c r="O36" s="146"/>
    </row>
    <row r="37" spans="1:15" ht="15.75" x14ac:dyDescent="0.3">
      <c r="A37" s="147"/>
      <c r="B37" s="148"/>
      <c r="C37" s="148"/>
      <c r="D37" s="148"/>
      <c r="E37" s="148"/>
      <c r="F37" s="148"/>
      <c r="G37" s="148"/>
      <c r="H37" s="148"/>
      <c r="I37" s="148"/>
      <c r="J37" s="148"/>
      <c r="K37" s="148"/>
      <c r="L37" s="148"/>
      <c r="M37" s="148"/>
      <c r="N37" s="148"/>
      <c r="O37" s="149"/>
    </row>
    <row r="38" spans="1:15" ht="15.75" x14ac:dyDescent="0.3">
      <c r="A38" s="147"/>
      <c r="B38" s="148"/>
      <c r="C38" s="148"/>
      <c r="D38" s="148"/>
      <c r="E38" s="148"/>
      <c r="F38" s="148"/>
      <c r="G38" s="148"/>
      <c r="H38" s="148"/>
      <c r="I38" s="148"/>
      <c r="J38" s="148"/>
      <c r="K38" s="148"/>
      <c r="L38" s="148"/>
      <c r="M38" s="148"/>
      <c r="N38" s="148"/>
      <c r="O38" s="149"/>
    </row>
    <row r="39" spans="1:15" ht="15.75" x14ac:dyDescent="0.3">
      <c r="A39" s="147"/>
      <c r="B39" s="148"/>
      <c r="C39" s="148"/>
      <c r="D39" s="148"/>
      <c r="E39" s="148"/>
      <c r="F39" s="148"/>
      <c r="G39" s="148"/>
      <c r="H39" s="148"/>
      <c r="I39" s="148"/>
      <c r="J39" s="148"/>
      <c r="K39" s="148"/>
      <c r="L39" s="148"/>
      <c r="M39" s="148"/>
      <c r="N39" s="148"/>
      <c r="O39" s="149"/>
    </row>
    <row r="40" spans="1:15" ht="15" thickBot="1" x14ac:dyDescent="0.35">
      <c r="A40" s="150"/>
      <c r="B40" s="151"/>
      <c r="C40" s="151"/>
      <c r="D40" s="151"/>
      <c r="E40" s="151"/>
      <c r="F40" s="151"/>
      <c r="G40" s="151"/>
      <c r="H40" s="151"/>
      <c r="I40" s="151"/>
      <c r="J40" s="151"/>
      <c r="K40" s="151"/>
      <c r="L40" s="151"/>
      <c r="M40" s="151"/>
      <c r="N40" s="151"/>
      <c r="O40" s="152"/>
    </row>
    <row r="42" spans="1:15" x14ac:dyDescent="0.3">
      <c r="M42" s="139"/>
    </row>
    <row r="43" spans="1:15" x14ac:dyDescent="0.3">
      <c r="M43" s="139"/>
    </row>
  </sheetData>
  <mergeCells count="62">
    <mergeCell ref="B13:M13"/>
    <mergeCell ref="A1:O1"/>
    <mergeCell ref="A3:O3"/>
    <mergeCell ref="A7:C7"/>
    <mergeCell ref="K7:K10"/>
    <mergeCell ref="A8:C8"/>
    <mergeCell ref="D8:G8"/>
    <mergeCell ref="H8:J8"/>
    <mergeCell ref="A9:C9"/>
    <mergeCell ref="D9:J9"/>
    <mergeCell ref="M9:O9"/>
    <mergeCell ref="A10:C10"/>
    <mergeCell ref="D10:J10"/>
    <mergeCell ref="B15:O15"/>
    <mergeCell ref="K16:O16"/>
    <mergeCell ref="B18:G18"/>
    <mergeCell ref="J18:M18"/>
    <mergeCell ref="N18:O18"/>
    <mergeCell ref="B17:G17"/>
    <mergeCell ref="J17:M17"/>
    <mergeCell ref="N17:O17"/>
    <mergeCell ref="B19:G19"/>
    <mergeCell ref="J19:M19"/>
    <mergeCell ref="N19:O19"/>
    <mergeCell ref="B20:G20"/>
    <mergeCell ref="J20:M20"/>
    <mergeCell ref="N20:O20"/>
    <mergeCell ref="C21:G21"/>
    <mergeCell ref="J21:M21"/>
    <mergeCell ref="N21:O21"/>
    <mergeCell ref="C22:G22"/>
    <mergeCell ref="J22:M22"/>
    <mergeCell ref="N22:O22"/>
    <mergeCell ref="C23:G23"/>
    <mergeCell ref="J23:M23"/>
    <mergeCell ref="N23:O23"/>
    <mergeCell ref="C24:G24"/>
    <mergeCell ref="J24:M24"/>
    <mergeCell ref="N24:O24"/>
    <mergeCell ref="C25:G25"/>
    <mergeCell ref="J25:M25"/>
    <mergeCell ref="N25:O25"/>
    <mergeCell ref="C26:G26"/>
    <mergeCell ref="J26:M26"/>
    <mergeCell ref="N26:O26"/>
    <mergeCell ref="C27:G27"/>
    <mergeCell ref="J27:M27"/>
    <mergeCell ref="N27:O27"/>
    <mergeCell ref="C28:G28"/>
    <mergeCell ref="J28:M28"/>
    <mergeCell ref="N28:O28"/>
    <mergeCell ref="C29:G29"/>
    <mergeCell ref="J29:M29"/>
    <mergeCell ref="N29:O29"/>
    <mergeCell ref="A32:I32"/>
    <mergeCell ref="N32:O32"/>
    <mergeCell ref="C30:G30"/>
    <mergeCell ref="J30:M30"/>
    <mergeCell ref="N30:O30"/>
    <mergeCell ref="C31:G31"/>
    <mergeCell ref="J31:M31"/>
    <mergeCell ref="N31:O31"/>
  </mergeCells>
  <phoneticPr fontId="11" type="noConversion"/>
  <pageMargins left="0.23622047244094491" right="0.23622047244094491" top="0.35433070866141736" bottom="0.35433070866141736" header="0" footer="0"/>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00FF"/>
    <pageSetUpPr fitToPage="1"/>
  </sheetPr>
  <dimension ref="A1:X18"/>
  <sheetViews>
    <sheetView showGridLines="0" topLeftCell="E1" zoomScale="90" zoomScaleNormal="90" workbookViewId="0">
      <selection activeCell="K32" sqref="K32"/>
    </sheetView>
  </sheetViews>
  <sheetFormatPr defaultColWidth="9" defaultRowHeight="12.75" x14ac:dyDescent="0.3"/>
  <cols>
    <col min="1" max="4" width="9" style="17" hidden="1" customWidth="1"/>
    <col min="5" max="5" width="17.5" style="38" bestFit="1" customWidth="1"/>
    <col min="6" max="9" width="15.625" style="17" customWidth="1"/>
    <col min="10" max="10" width="37.625" style="17" bestFit="1" customWidth="1"/>
    <col min="11" max="11" width="25" style="17" bestFit="1" customWidth="1"/>
    <col min="12" max="12" width="9.625" style="17" bestFit="1" customWidth="1"/>
    <col min="13" max="13" width="7.125" style="17" bestFit="1" customWidth="1"/>
    <col min="14" max="14" width="10.25" style="17" bestFit="1" customWidth="1"/>
    <col min="15" max="15" width="13.125" style="17" bestFit="1" customWidth="1"/>
    <col min="16" max="16" width="7.125" style="17" bestFit="1" customWidth="1"/>
    <col min="17" max="17" width="15.5" style="17" bestFit="1" customWidth="1"/>
    <col min="18" max="18" width="10.25" style="17" customWidth="1"/>
    <col min="19" max="19" width="11.75" style="17" customWidth="1"/>
    <col min="20" max="20" width="10" style="17" customWidth="1"/>
    <col min="21" max="21" width="11.75" style="17" customWidth="1"/>
    <col min="22" max="22" width="15.5" style="17" bestFit="1" customWidth="1"/>
    <col min="23" max="23" width="10.625" style="18" bestFit="1" customWidth="1"/>
    <col min="24" max="24" width="8.5" style="17" bestFit="1" customWidth="1"/>
    <col min="25" max="16384" width="9" style="17"/>
  </cols>
  <sheetData>
    <row r="1" spans="5:24" ht="19.899999999999999" customHeight="1" x14ac:dyDescent="0.3">
      <c r="E1" s="269"/>
      <c r="F1" s="269"/>
      <c r="G1" s="269"/>
      <c r="H1" s="269"/>
      <c r="I1" s="269"/>
      <c r="N1" s="18"/>
      <c r="O1" s="16" t="s">
        <v>34</v>
      </c>
      <c r="Q1" s="16" t="s">
        <v>34</v>
      </c>
      <c r="S1" s="16" t="s">
        <v>34</v>
      </c>
      <c r="U1" s="16" t="s">
        <v>34</v>
      </c>
    </row>
    <row r="2" spans="5:24" ht="19.899999999999999" customHeight="1" thickBot="1" x14ac:dyDescent="0.35">
      <c r="E2" s="269"/>
      <c r="F2" s="269"/>
      <c r="G2" s="269"/>
      <c r="H2" s="269"/>
      <c r="I2" s="269"/>
      <c r="N2" s="19"/>
      <c r="O2" s="20">
        <v>0.83499999999999996</v>
      </c>
      <c r="Q2" s="20">
        <v>0.83499999999999996</v>
      </c>
      <c r="S2" s="20">
        <v>0.83499999999999996</v>
      </c>
      <c r="U2" s="20">
        <v>0.83499999999999996</v>
      </c>
    </row>
    <row r="3" spans="5:24" ht="19.899999999999999" customHeight="1" x14ac:dyDescent="0.3">
      <c r="E3" s="21"/>
      <c r="F3" s="21" t="s">
        <v>35</v>
      </c>
      <c r="G3" s="22"/>
      <c r="H3" s="22"/>
      <c r="I3" s="22"/>
      <c r="J3" s="278" t="s">
        <v>36</v>
      </c>
      <c r="K3" s="278"/>
      <c r="L3" s="278" t="s">
        <v>8</v>
      </c>
      <c r="M3" s="278" t="s">
        <v>5</v>
      </c>
      <c r="N3" s="274" t="s">
        <v>37</v>
      </c>
      <c r="O3" s="274"/>
      <c r="P3" s="274" t="s">
        <v>38</v>
      </c>
      <c r="Q3" s="274"/>
      <c r="R3" s="275" t="s">
        <v>39</v>
      </c>
      <c r="S3" s="275"/>
      <c r="T3" s="275" t="s">
        <v>40</v>
      </c>
      <c r="U3" s="275"/>
      <c r="V3" s="276" t="s">
        <v>41</v>
      </c>
      <c r="W3" s="272" t="s">
        <v>42</v>
      </c>
      <c r="X3" s="270" t="s">
        <v>7</v>
      </c>
    </row>
    <row r="4" spans="5:24" ht="19.899999999999999" customHeight="1" x14ac:dyDescent="0.3">
      <c r="E4" s="23" t="s">
        <v>43</v>
      </c>
      <c r="F4" s="24" t="s">
        <v>44</v>
      </c>
      <c r="G4" s="24" t="s">
        <v>45</v>
      </c>
      <c r="H4" s="24" t="s">
        <v>46</v>
      </c>
      <c r="I4" s="24" t="s">
        <v>47</v>
      </c>
      <c r="J4" s="25" t="s">
        <v>48</v>
      </c>
      <c r="K4" s="25" t="s">
        <v>49</v>
      </c>
      <c r="L4" s="279"/>
      <c r="M4" s="279"/>
      <c r="N4" s="26" t="s">
        <v>50</v>
      </c>
      <c r="O4" s="27" t="s">
        <v>51</v>
      </c>
      <c r="P4" s="26" t="s">
        <v>52</v>
      </c>
      <c r="Q4" s="27" t="s">
        <v>51</v>
      </c>
      <c r="R4" s="27" t="s">
        <v>53</v>
      </c>
      <c r="S4" s="27" t="s">
        <v>51</v>
      </c>
      <c r="T4" s="27" t="s">
        <v>53</v>
      </c>
      <c r="U4" s="27" t="s">
        <v>51</v>
      </c>
      <c r="V4" s="277"/>
      <c r="W4" s="273"/>
      <c r="X4" s="271"/>
    </row>
    <row r="5" spans="5:24" s="31" customFormat="1" ht="38.1" customHeight="1" x14ac:dyDescent="0.3">
      <c r="E5" s="28" t="str">
        <f t="shared" ref="E5:E11" si="0">F5&amp;G5&amp;H5&amp;I5</f>
        <v>E00000801011510201</v>
      </c>
      <c r="F5" s="45"/>
      <c r="G5" s="46" t="s">
        <v>54</v>
      </c>
      <c r="H5" s="46"/>
      <c r="I5" s="45"/>
      <c r="J5" s="47" t="s">
        <v>55</v>
      </c>
      <c r="K5" s="47" t="s">
        <v>78</v>
      </c>
      <c r="L5" s="48" t="s">
        <v>56</v>
      </c>
      <c r="M5" s="49">
        <v>8</v>
      </c>
      <c r="N5" s="50"/>
      <c r="O5" s="51">
        <f t="shared" ref="O5:O11" si="1">SUM(N5:N5)*M5*$O$2</f>
        <v>0</v>
      </c>
      <c r="P5" s="52">
        <v>21520</v>
      </c>
      <c r="Q5" s="51">
        <f t="shared" ref="Q5:Q10" si="2">(P5*M5)*$Q$2</f>
        <v>143753.60000000001</v>
      </c>
      <c r="R5" s="53"/>
      <c r="S5" s="51">
        <f t="shared" ref="S5:S10" si="3">R5*M5*$S$2</f>
        <v>0</v>
      </c>
      <c r="T5" s="53"/>
      <c r="U5" s="51">
        <f t="shared" ref="U5:U11" si="4">T5*M5*$U$2</f>
        <v>0</v>
      </c>
      <c r="V5" s="54">
        <f t="shared" ref="V5:V11" si="5">SUM(O5+Q5)+S5+U5</f>
        <v>143753.60000000001</v>
      </c>
      <c r="W5" s="55"/>
      <c r="X5" s="56"/>
    </row>
    <row r="6" spans="5:24" s="31" customFormat="1" ht="38.1" customHeight="1" x14ac:dyDescent="0.3">
      <c r="E6" s="28" t="str">
        <f t="shared" si="0"/>
        <v>M020750510120102</v>
      </c>
      <c r="F6" s="57"/>
      <c r="G6" s="24"/>
      <c r="H6" s="46" t="s">
        <v>57</v>
      </c>
      <c r="I6" s="24"/>
      <c r="J6" s="47" t="s">
        <v>58</v>
      </c>
      <c r="K6" s="47" t="s">
        <v>59</v>
      </c>
      <c r="L6" s="48" t="s">
        <v>60</v>
      </c>
      <c r="M6" s="49">
        <v>18</v>
      </c>
      <c r="N6" s="52">
        <v>6400</v>
      </c>
      <c r="O6" s="51">
        <f t="shared" si="1"/>
        <v>96192</v>
      </c>
      <c r="P6" s="58"/>
      <c r="Q6" s="51">
        <f t="shared" si="2"/>
        <v>0</v>
      </c>
      <c r="R6" s="53"/>
      <c r="S6" s="51">
        <f t="shared" si="3"/>
        <v>0</v>
      </c>
      <c r="T6" s="53"/>
      <c r="U6" s="51">
        <f t="shared" si="4"/>
        <v>0</v>
      </c>
      <c r="V6" s="59">
        <f t="shared" si="5"/>
        <v>96192</v>
      </c>
      <c r="W6" s="55"/>
      <c r="X6" s="56"/>
    </row>
    <row r="7" spans="5:24" s="31" customFormat="1" ht="38.1" customHeight="1" x14ac:dyDescent="0.3">
      <c r="E7" s="28" t="str">
        <f t="shared" si="0"/>
        <v>E00000803066520103</v>
      </c>
      <c r="F7" s="45"/>
      <c r="G7" s="60" t="s">
        <v>61</v>
      </c>
      <c r="H7" s="46"/>
      <c r="I7" s="45"/>
      <c r="J7" s="47" t="s">
        <v>62</v>
      </c>
      <c r="K7" s="47" t="s">
        <v>83</v>
      </c>
      <c r="L7" s="61" t="s">
        <v>63</v>
      </c>
      <c r="M7" s="49">
        <v>1.2</v>
      </c>
      <c r="N7" s="62"/>
      <c r="O7" s="51">
        <f t="shared" si="1"/>
        <v>0</v>
      </c>
      <c r="P7" s="52">
        <v>652621</v>
      </c>
      <c r="Q7" s="51">
        <f t="shared" si="2"/>
        <v>653926.24199999997</v>
      </c>
      <c r="R7" s="53"/>
      <c r="S7" s="51">
        <f t="shared" si="3"/>
        <v>0</v>
      </c>
      <c r="T7" s="53"/>
      <c r="U7" s="51">
        <f t="shared" si="4"/>
        <v>0</v>
      </c>
      <c r="V7" s="54">
        <f t="shared" si="5"/>
        <v>653926.24199999997</v>
      </c>
      <c r="W7" s="55"/>
      <c r="X7" s="56"/>
    </row>
    <row r="8" spans="5:24" s="31" customFormat="1" ht="38.1" customHeight="1" x14ac:dyDescent="0.3">
      <c r="E8" s="28" t="str">
        <f t="shared" si="0"/>
        <v>M020531910380101</v>
      </c>
      <c r="F8" s="57"/>
      <c r="G8" s="24"/>
      <c r="H8" s="46" t="s">
        <v>64</v>
      </c>
      <c r="I8" s="24"/>
      <c r="J8" s="47" t="s">
        <v>65</v>
      </c>
      <c r="K8" s="47" t="s">
        <v>66</v>
      </c>
      <c r="L8" s="48" t="s">
        <v>10</v>
      </c>
      <c r="M8" s="49">
        <v>16</v>
      </c>
      <c r="N8" s="62">
        <v>3510</v>
      </c>
      <c r="O8" s="51">
        <f t="shared" si="1"/>
        <v>46893.599999999999</v>
      </c>
      <c r="P8" s="58"/>
      <c r="Q8" s="51">
        <f t="shared" si="2"/>
        <v>0</v>
      </c>
      <c r="R8" s="53"/>
      <c r="S8" s="51">
        <f t="shared" si="3"/>
        <v>0</v>
      </c>
      <c r="T8" s="53"/>
      <c r="U8" s="51">
        <f t="shared" si="4"/>
        <v>0</v>
      </c>
      <c r="V8" s="59">
        <f t="shared" si="5"/>
        <v>46893.599999999999</v>
      </c>
      <c r="W8" s="55"/>
      <c r="X8" s="56"/>
    </row>
    <row r="9" spans="5:24" s="31" customFormat="1" ht="38.1" customHeight="1" x14ac:dyDescent="0.3">
      <c r="E9" s="28" t="str">
        <f t="shared" si="0"/>
        <v>E00000803066520502</v>
      </c>
      <c r="F9" s="57"/>
      <c r="G9" s="46" t="s">
        <v>67</v>
      </c>
      <c r="H9" s="24"/>
      <c r="I9" s="24"/>
      <c r="J9" s="47" t="s">
        <v>68</v>
      </c>
      <c r="K9" s="47" t="s">
        <v>84</v>
      </c>
      <c r="L9" s="48" t="s">
        <v>63</v>
      </c>
      <c r="M9" s="49">
        <v>9.69E-2</v>
      </c>
      <c r="N9" s="50"/>
      <c r="O9" s="51">
        <f t="shared" si="1"/>
        <v>0</v>
      </c>
      <c r="P9" s="52">
        <v>652621</v>
      </c>
      <c r="Q9" s="51">
        <f t="shared" si="2"/>
        <v>52804.544041499998</v>
      </c>
      <c r="R9" s="53"/>
      <c r="S9" s="51">
        <f t="shared" si="3"/>
        <v>0</v>
      </c>
      <c r="T9" s="53"/>
      <c r="U9" s="51">
        <f t="shared" si="4"/>
        <v>0</v>
      </c>
      <c r="V9" s="59">
        <f t="shared" si="5"/>
        <v>52804.544041499998</v>
      </c>
      <c r="W9" s="55"/>
      <c r="X9" s="56"/>
    </row>
    <row r="10" spans="5:24" s="31" customFormat="1" ht="38.1" customHeight="1" x14ac:dyDescent="0.3">
      <c r="E10" s="28" t="str">
        <f t="shared" si="0"/>
        <v>M020750510130102</v>
      </c>
      <c r="F10" s="57"/>
      <c r="G10" s="24"/>
      <c r="H10" s="46" t="s">
        <v>69</v>
      </c>
      <c r="I10" s="24"/>
      <c r="J10" s="47" t="s">
        <v>70</v>
      </c>
      <c r="K10" s="47" t="s">
        <v>71</v>
      </c>
      <c r="L10" s="48" t="s">
        <v>60</v>
      </c>
      <c r="M10" s="49">
        <v>18</v>
      </c>
      <c r="N10" s="52">
        <v>8000</v>
      </c>
      <c r="O10" s="51">
        <f t="shared" si="1"/>
        <v>120240</v>
      </c>
      <c r="P10" s="58"/>
      <c r="Q10" s="51">
        <f t="shared" si="2"/>
        <v>0</v>
      </c>
      <c r="R10" s="53"/>
      <c r="S10" s="51">
        <f t="shared" si="3"/>
        <v>0</v>
      </c>
      <c r="T10" s="53"/>
      <c r="U10" s="51">
        <f t="shared" si="4"/>
        <v>0</v>
      </c>
      <c r="V10" s="29">
        <f t="shared" si="5"/>
        <v>120240</v>
      </c>
      <c r="W10" s="55"/>
      <c r="X10" s="30"/>
    </row>
    <row r="11" spans="5:24" s="31" customFormat="1" ht="38.1" customHeight="1" x14ac:dyDescent="0.3">
      <c r="E11" s="28" t="str">
        <f t="shared" si="0"/>
        <v>M020806810430101</v>
      </c>
      <c r="F11" s="63"/>
      <c r="G11" s="64"/>
      <c r="H11" s="46" t="s">
        <v>72</v>
      </c>
      <c r="I11" s="65"/>
      <c r="J11" s="47" t="s">
        <v>73</v>
      </c>
      <c r="K11" s="47" t="s">
        <v>74</v>
      </c>
      <c r="L11" s="66" t="s">
        <v>9</v>
      </c>
      <c r="M11" s="49">
        <v>0.5</v>
      </c>
      <c r="N11" s="62">
        <v>150000</v>
      </c>
      <c r="O11" s="51">
        <f t="shared" si="1"/>
        <v>62625</v>
      </c>
      <c r="P11" s="58"/>
      <c r="Q11" s="51"/>
      <c r="R11" s="53"/>
      <c r="S11" s="51"/>
      <c r="T11" s="62"/>
      <c r="U11" s="51">
        <f t="shared" si="4"/>
        <v>0</v>
      </c>
      <c r="V11" s="54">
        <f t="shared" si="5"/>
        <v>62625</v>
      </c>
      <c r="W11" s="55"/>
      <c r="X11" s="56"/>
    </row>
    <row r="12" spans="5:24" s="33" customFormat="1" ht="19.899999999999999" customHeight="1" x14ac:dyDescent="0.3">
      <c r="E12" s="32"/>
      <c r="O12" s="34">
        <f>SUM(O5:O11)</f>
        <v>325950.59999999998</v>
      </c>
      <c r="P12" s="35"/>
      <c r="Q12" s="34">
        <f>SUM(Q5:Q11)</f>
        <v>850484.38604149991</v>
      </c>
      <c r="R12" s="35"/>
      <c r="S12" s="34">
        <f>SUM(S5:S11)</f>
        <v>0</v>
      </c>
      <c r="T12" s="35"/>
      <c r="U12" s="34">
        <f>SUM(U5:U11)</f>
        <v>0</v>
      </c>
      <c r="V12" s="36">
        <f>SUM(V5:V11)</f>
        <v>1176434.9860414998</v>
      </c>
      <c r="W12" s="37"/>
    </row>
    <row r="15" spans="5:24" x14ac:dyDescent="0.3">
      <c r="M15" s="44"/>
    </row>
    <row r="16" spans="5:24" x14ac:dyDescent="0.3">
      <c r="M16" s="44"/>
    </row>
    <row r="17" spans="13:13" x14ac:dyDescent="0.3">
      <c r="M17" s="44"/>
    </row>
    <row r="18" spans="13:13" x14ac:dyDescent="0.3">
      <c r="M18" s="44"/>
    </row>
  </sheetData>
  <mergeCells count="12">
    <mergeCell ref="E1:I1"/>
    <mergeCell ref="X3:X4"/>
    <mergeCell ref="E2:I2"/>
    <mergeCell ref="W3:W4"/>
    <mergeCell ref="P3:Q3"/>
    <mergeCell ref="R3:S3"/>
    <mergeCell ref="T3:U3"/>
    <mergeCell ref="V3:V4"/>
    <mergeCell ref="L3:L4"/>
    <mergeCell ref="M3:M4"/>
    <mergeCell ref="N3:O3"/>
    <mergeCell ref="J3:K3"/>
  </mergeCells>
  <phoneticPr fontId="11" type="noConversion"/>
  <pageMargins left="0.7" right="0.7" top="0.75" bottom="0.75" header="0.3" footer="0.3"/>
  <pageSetup paperSize="9" scale="36"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B4D0E1-0F27-4051-AFDE-371CA709650B}">
  <sheetPr codeName="Sheet3">
    <tabColor rgb="FF0000FF"/>
    <pageSetUpPr fitToPage="1"/>
  </sheetPr>
  <dimension ref="A1:O17"/>
  <sheetViews>
    <sheetView zoomScaleNormal="100" workbookViewId="0">
      <selection activeCell="B26" sqref="B26"/>
    </sheetView>
  </sheetViews>
  <sheetFormatPr defaultColWidth="9" defaultRowHeight="16.5" x14ac:dyDescent="0.3"/>
  <cols>
    <col min="1" max="1" width="22.625" style="13" customWidth="1"/>
    <col min="2" max="2" width="27.625" style="13" customWidth="1"/>
    <col min="3" max="3" width="5.75" style="13" customWidth="1"/>
    <col min="4" max="4" width="5.25" style="13" customWidth="1"/>
    <col min="5" max="14" width="10.625" style="13" customWidth="1"/>
    <col min="15" max="16384" width="9" style="14"/>
  </cols>
  <sheetData>
    <row r="1" spans="1:15" s="1" customFormat="1" ht="26.25" customHeight="1" x14ac:dyDescent="0.3">
      <c r="A1" s="283" t="s">
        <v>11</v>
      </c>
      <c r="B1" s="283"/>
      <c r="C1" s="283"/>
      <c r="D1" s="283"/>
      <c r="E1" s="283"/>
      <c r="F1" s="283"/>
      <c r="G1" s="283"/>
      <c r="H1" s="283"/>
      <c r="I1" s="283"/>
      <c r="J1" s="283"/>
      <c r="K1" s="283"/>
      <c r="L1" s="283"/>
      <c r="M1" s="283"/>
      <c r="N1" s="283"/>
    </row>
    <row r="2" spans="1:15" s="1" customFormat="1" ht="20.100000000000001" customHeight="1" x14ac:dyDescent="0.3">
      <c r="A2" s="284" t="s">
        <v>12</v>
      </c>
      <c r="B2" s="284" t="s">
        <v>13</v>
      </c>
      <c r="C2" s="285" t="s">
        <v>8</v>
      </c>
      <c r="D2" s="285" t="s">
        <v>14</v>
      </c>
      <c r="E2" s="287" t="s">
        <v>15</v>
      </c>
      <c r="F2" s="284"/>
      <c r="G2" s="288" t="s">
        <v>16</v>
      </c>
      <c r="H2" s="289"/>
      <c r="I2" s="290" t="s">
        <v>17</v>
      </c>
      <c r="J2" s="289"/>
      <c r="K2" s="290" t="s">
        <v>18</v>
      </c>
      <c r="L2" s="289"/>
      <c r="M2" s="290" t="s">
        <v>19</v>
      </c>
      <c r="N2" s="291"/>
    </row>
    <row r="3" spans="1:15" s="1" customFormat="1" ht="20.100000000000001" customHeight="1" x14ac:dyDescent="0.3">
      <c r="A3" s="284"/>
      <c r="B3" s="284"/>
      <c r="C3" s="286"/>
      <c r="D3" s="286"/>
      <c r="E3" s="2" t="s">
        <v>20</v>
      </c>
      <c r="F3" s="2" t="s">
        <v>21</v>
      </c>
      <c r="G3" s="4" t="s">
        <v>20</v>
      </c>
      <c r="H3" s="3" t="s">
        <v>21</v>
      </c>
      <c r="I3" s="4" t="s">
        <v>20</v>
      </c>
      <c r="J3" s="3" t="s">
        <v>21</v>
      </c>
      <c r="K3" s="4" t="s">
        <v>20</v>
      </c>
      <c r="L3" s="3" t="s">
        <v>21</v>
      </c>
      <c r="M3" s="4" t="s">
        <v>20</v>
      </c>
      <c r="N3" s="2" t="s">
        <v>21</v>
      </c>
    </row>
    <row r="4" spans="1:15" s="1" customFormat="1" ht="20.100000000000001" customHeight="1" x14ac:dyDescent="0.3">
      <c r="A4" s="280" t="s">
        <v>85</v>
      </c>
      <c r="B4" s="281"/>
      <c r="C4" s="281"/>
      <c r="D4" s="282"/>
      <c r="E4" s="5"/>
      <c r="F4" s="5"/>
      <c r="G4" s="5"/>
      <c r="H4" s="5"/>
      <c r="I4" s="5"/>
      <c r="J4" s="5"/>
      <c r="K4" s="5"/>
      <c r="L4" s="5"/>
      <c r="M4" s="5"/>
      <c r="N4" s="6">
        <f>F4+H4+J4+L4</f>
        <v>0</v>
      </c>
    </row>
    <row r="5" spans="1:15" s="75" customFormat="1" ht="20.100000000000001" customHeight="1" x14ac:dyDescent="0.3">
      <c r="A5" s="67" t="s">
        <v>75</v>
      </c>
      <c r="B5" s="68" t="s">
        <v>76</v>
      </c>
      <c r="C5" s="69" t="s">
        <v>77</v>
      </c>
      <c r="D5" s="85">
        <v>8</v>
      </c>
      <c r="E5" s="70"/>
      <c r="F5" s="71">
        <f t="shared" ref="F5" si="0">D5*E5</f>
        <v>0</v>
      </c>
      <c r="G5" s="72">
        <v>17969</v>
      </c>
      <c r="H5" s="70">
        <f>D5*G5</f>
        <v>143752</v>
      </c>
      <c r="I5" s="70"/>
      <c r="J5" s="73"/>
      <c r="K5" s="70"/>
      <c r="L5" s="73"/>
      <c r="M5" s="74"/>
      <c r="N5" s="74">
        <f>F5+H5+J5+L5</f>
        <v>143752</v>
      </c>
      <c r="O5" s="87">
        <f>D5</f>
        <v>8</v>
      </c>
    </row>
    <row r="6" spans="1:15" s="75" customFormat="1" ht="20.100000000000001" customHeight="1" x14ac:dyDescent="0.3">
      <c r="A6" s="76" t="s">
        <v>79</v>
      </c>
      <c r="B6" s="43" t="s">
        <v>82</v>
      </c>
      <c r="C6" s="78"/>
      <c r="D6" s="85"/>
      <c r="E6" s="79"/>
      <c r="F6" s="80">
        <f t="shared" ref="F6:F16" si="1">D6*E6</f>
        <v>0</v>
      </c>
      <c r="G6" s="71"/>
      <c r="H6" s="70"/>
      <c r="I6" s="80"/>
      <c r="J6" s="80"/>
      <c r="K6" s="80"/>
      <c r="L6" s="80"/>
      <c r="M6" s="78"/>
      <c r="N6" s="74">
        <f t="shared" ref="N6:N16" si="2">F6+H6+J6+L6</f>
        <v>0</v>
      </c>
    </row>
    <row r="7" spans="1:15" s="75" customFormat="1" ht="20.100000000000001" customHeight="1" x14ac:dyDescent="0.3">
      <c r="A7" s="81" t="s">
        <v>22</v>
      </c>
      <c r="B7" s="77" t="s">
        <v>23</v>
      </c>
      <c r="C7" s="77" t="s">
        <v>24</v>
      </c>
      <c r="D7" s="85">
        <v>9</v>
      </c>
      <c r="E7" s="71">
        <v>5344</v>
      </c>
      <c r="F7" s="71">
        <f t="shared" si="1"/>
        <v>48096</v>
      </c>
      <c r="G7" s="71"/>
      <c r="H7" s="70"/>
      <c r="I7" s="71"/>
      <c r="J7" s="71"/>
      <c r="K7" s="71"/>
      <c r="L7" s="71"/>
      <c r="M7" s="74"/>
      <c r="N7" s="74">
        <f t="shared" si="2"/>
        <v>48096</v>
      </c>
      <c r="O7" s="87">
        <f>D7+D12</f>
        <v>18</v>
      </c>
    </row>
    <row r="8" spans="1:15" s="75" customFormat="1" ht="20.100000000000001" customHeight="1" x14ac:dyDescent="0.3">
      <c r="A8" s="81" t="s">
        <v>25</v>
      </c>
      <c r="B8" s="77" t="s">
        <v>26</v>
      </c>
      <c r="C8" s="77" t="s">
        <v>24</v>
      </c>
      <c r="D8" s="85">
        <v>9</v>
      </c>
      <c r="E8" s="82">
        <v>6680</v>
      </c>
      <c r="F8" s="71">
        <f t="shared" si="1"/>
        <v>60120</v>
      </c>
      <c r="G8" s="71"/>
      <c r="H8" s="70">
        <f t="shared" ref="H8:H10" si="3">D8*G8</f>
        <v>0</v>
      </c>
      <c r="I8" s="71"/>
      <c r="J8" s="71"/>
      <c r="K8" s="71"/>
      <c r="L8" s="71"/>
      <c r="M8" s="74"/>
      <c r="N8" s="74">
        <f t="shared" si="2"/>
        <v>60120</v>
      </c>
      <c r="O8" s="87">
        <f>D8+D13</f>
        <v>18</v>
      </c>
    </row>
    <row r="9" spans="1:15" s="75" customFormat="1" ht="20.100000000000001" customHeight="1" x14ac:dyDescent="0.3">
      <c r="A9" s="81" t="s">
        <v>27</v>
      </c>
      <c r="B9" s="83" t="s">
        <v>28</v>
      </c>
      <c r="C9" s="83" t="s">
        <v>24</v>
      </c>
      <c r="D9" s="85">
        <v>18</v>
      </c>
      <c r="E9" s="71"/>
      <c r="F9" s="71">
        <f t="shared" si="1"/>
        <v>0</v>
      </c>
      <c r="G9" s="71">
        <v>18165</v>
      </c>
      <c r="H9" s="70">
        <f t="shared" si="3"/>
        <v>326970</v>
      </c>
      <c r="I9" s="71"/>
      <c r="J9" s="71"/>
      <c r="K9" s="71"/>
      <c r="L9" s="71"/>
      <c r="M9" s="74"/>
      <c r="N9" s="74">
        <f t="shared" si="2"/>
        <v>326970</v>
      </c>
      <c r="O9" s="87">
        <f>D9+D14</f>
        <v>36</v>
      </c>
    </row>
    <row r="10" spans="1:15" s="75" customFormat="1" ht="20.100000000000001" customHeight="1" x14ac:dyDescent="0.3">
      <c r="A10" s="81" t="s">
        <v>29</v>
      </c>
      <c r="B10" s="77" t="s">
        <v>30</v>
      </c>
      <c r="C10" s="78" t="s">
        <v>31</v>
      </c>
      <c r="D10" s="85">
        <v>8</v>
      </c>
      <c r="E10" s="82">
        <v>2931</v>
      </c>
      <c r="F10" s="71">
        <f t="shared" si="1"/>
        <v>23448</v>
      </c>
      <c r="G10" s="71">
        <v>3302</v>
      </c>
      <c r="H10" s="70">
        <f t="shared" si="3"/>
        <v>26416</v>
      </c>
      <c r="I10" s="71"/>
      <c r="J10" s="71"/>
      <c r="K10" s="71"/>
      <c r="L10" s="71"/>
      <c r="M10" s="74"/>
      <c r="N10" s="74">
        <f t="shared" si="2"/>
        <v>49864</v>
      </c>
      <c r="O10" s="87">
        <f>D10+D15</f>
        <v>16</v>
      </c>
    </row>
    <row r="11" spans="1:15" s="75" customFormat="1" ht="20.100000000000001" customHeight="1" x14ac:dyDescent="0.3">
      <c r="A11" s="76" t="s">
        <v>80</v>
      </c>
      <c r="B11" s="43" t="s">
        <v>82</v>
      </c>
      <c r="C11" s="78"/>
      <c r="D11" s="85"/>
      <c r="E11" s="79"/>
      <c r="F11" s="80">
        <f t="shared" ref="F11:F15" si="4">D11*E11</f>
        <v>0</v>
      </c>
      <c r="G11" s="71"/>
      <c r="H11" s="70"/>
      <c r="I11" s="80"/>
      <c r="J11" s="80"/>
      <c r="K11" s="80"/>
      <c r="L11" s="80"/>
      <c r="M11" s="78"/>
      <c r="N11" s="74">
        <f t="shared" ref="N11:N15" si="5">F11+H11+J11+L11</f>
        <v>0</v>
      </c>
    </row>
    <row r="12" spans="1:15" s="75" customFormat="1" ht="20.100000000000001" customHeight="1" x14ac:dyDescent="0.3">
      <c r="A12" s="81" t="s">
        <v>22</v>
      </c>
      <c r="B12" s="77" t="s">
        <v>23</v>
      </c>
      <c r="C12" s="77" t="s">
        <v>24</v>
      </c>
      <c r="D12" s="85">
        <v>9</v>
      </c>
      <c r="E12" s="71">
        <v>5344</v>
      </c>
      <c r="F12" s="71">
        <f t="shared" si="4"/>
        <v>48096</v>
      </c>
      <c r="G12" s="71"/>
      <c r="H12" s="70"/>
      <c r="I12" s="71"/>
      <c r="J12" s="71"/>
      <c r="K12" s="71"/>
      <c r="L12" s="71"/>
      <c r="M12" s="74"/>
      <c r="N12" s="74">
        <f t="shared" si="5"/>
        <v>48096</v>
      </c>
    </row>
    <row r="13" spans="1:15" s="75" customFormat="1" ht="20.100000000000001" customHeight="1" x14ac:dyDescent="0.3">
      <c r="A13" s="81" t="s">
        <v>25</v>
      </c>
      <c r="B13" s="77" t="s">
        <v>26</v>
      </c>
      <c r="C13" s="77" t="s">
        <v>24</v>
      </c>
      <c r="D13" s="85">
        <v>9</v>
      </c>
      <c r="E13" s="82">
        <v>6680</v>
      </c>
      <c r="F13" s="71">
        <f t="shared" si="4"/>
        <v>60120</v>
      </c>
      <c r="G13" s="71"/>
      <c r="H13" s="70">
        <f t="shared" ref="H13:H15" si="6">D13*G13</f>
        <v>0</v>
      </c>
      <c r="I13" s="71"/>
      <c r="J13" s="71"/>
      <c r="K13" s="71"/>
      <c r="L13" s="71"/>
      <c r="M13" s="74"/>
      <c r="N13" s="74">
        <f t="shared" si="5"/>
        <v>60120</v>
      </c>
    </row>
    <row r="14" spans="1:15" s="75" customFormat="1" ht="20.100000000000001" customHeight="1" x14ac:dyDescent="0.3">
      <c r="A14" s="81" t="s">
        <v>27</v>
      </c>
      <c r="B14" s="83" t="s">
        <v>28</v>
      </c>
      <c r="C14" s="83" t="s">
        <v>24</v>
      </c>
      <c r="D14" s="85">
        <v>18</v>
      </c>
      <c r="E14" s="71"/>
      <c r="F14" s="71">
        <f t="shared" si="4"/>
        <v>0</v>
      </c>
      <c r="G14" s="71">
        <v>18165</v>
      </c>
      <c r="H14" s="70">
        <f t="shared" si="6"/>
        <v>326970</v>
      </c>
      <c r="I14" s="71"/>
      <c r="J14" s="71"/>
      <c r="K14" s="71"/>
      <c r="L14" s="71"/>
      <c r="M14" s="74"/>
      <c r="N14" s="74">
        <f t="shared" si="5"/>
        <v>326970</v>
      </c>
    </row>
    <row r="15" spans="1:15" s="75" customFormat="1" ht="20.100000000000001" customHeight="1" x14ac:dyDescent="0.3">
      <c r="A15" s="81" t="s">
        <v>29</v>
      </c>
      <c r="B15" s="77" t="s">
        <v>30</v>
      </c>
      <c r="C15" s="78" t="s">
        <v>31</v>
      </c>
      <c r="D15" s="85">
        <v>8</v>
      </c>
      <c r="E15" s="82">
        <v>2931</v>
      </c>
      <c r="F15" s="71">
        <f t="shared" si="4"/>
        <v>23448</v>
      </c>
      <c r="G15" s="71">
        <v>3302</v>
      </c>
      <c r="H15" s="70">
        <f t="shared" si="6"/>
        <v>26416</v>
      </c>
      <c r="I15" s="71"/>
      <c r="J15" s="71"/>
      <c r="K15" s="71"/>
      <c r="L15" s="71"/>
      <c r="M15" s="74"/>
      <c r="N15" s="74">
        <f t="shared" si="5"/>
        <v>49864</v>
      </c>
    </row>
    <row r="16" spans="1:15" s="75" customFormat="1" ht="20.100000000000001" customHeight="1" x14ac:dyDescent="0.3">
      <c r="A16" s="76" t="s">
        <v>81</v>
      </c>
      <c r="B16" s="83" t="s">
        <v>32</v>
      </c>
      <c r="C16" s="83" t="s">
        <v>33</v>
      </c>
      <c r="D16" s="86">
        <v>0.5</v>
      </c>
      <c r="E16" s="71">
        <v>125250</v>
      </c>
      <c r="F16" s="71">
        <f t="shared" si="1"/>
        <v>62625</v>
      </c>
      <c r="G16" s="71"/>
      <c r="H16" s="70"/>
      <c r="I16" s="71"/>
      <c r="J16" s="71">
        <f>D16*I16</f>
        <v>0</v>
      </c>
      <c r="K16" s="71"/>
      <c r="L16" s="71"/>
      <c r="M16" s="74"/>
      <c r="N16" s="74">
        <f t="shared" si="2"/>
        <v>62625</v>
      </c>
      <c r="O16" s="87">
        <f>D16</f>
        <v>0.5</v>
      </c>
    </row>
    <row r="17" spans="1:14" s="1" customFormat="1" ht="20.100000000000001" customHeight="1" x14ac:dyDescent="0.3">
      <c r="A17" s="39" t="s">
        <v>19</v>
      </c>
      <c r="B17" s="7"/>
      <c r="C17" s="8"/>
      <c r="D17" s="9"/>
      <c r="E17" s="10"/>
      <c r="F17" s="11">
        <f>SUM(F5:F16)</f>
        <v>325953</v>
      </c>
      <c r="G17" s="10"/>
      <c r="H17" s="11">
        <f>SUM(H5:H16)</f>
        <v>850524</v>
      </c>
      <c r="I17" s="10"/>
      <c r="J17" s="11">
        <f>SUM(J5:J16)</f>
        <v>0</v>
      </c>
      <c r="K17" s="10"/>
      <c r="L17" s="11">
        <f>SUM(L5:L16)</f>
        <v>0</v>
      </c>
      <c r="M17" s="12"/>
      <c r="N17" s="11">
        <f>SUM(N5:N16)</f>
        <v>1176477</v>
      </c>
    </row>
  </sheetData>
  <mergeCells count="11">
    <mergeCell ref="A4:D4"/>
    <mergeCell ref="A1:N1"/>
    <mergeCell ref="A2:A3"/>
    <mergeCell ref="B2:B3"/>
    <mergeCell ref="C2:C3"/>
    <mergeCell ref="D2:D3"/>
    <mergeCell ref="E2:F2"/>
    <mergeCell ref="G2:H2"/>
    <mergeCell ref="I2:J2"/>
    <mergeCell ref="K2:L2"/>
    <mergeCell ref="M2:N2"/>
  </mergeCells>
  <phoneticPr fontId="11" type="noConversion"/>
  <pageMargins left="0.7" right="0.7" top="0.75" bottom="0.75" header="0.3" footer="0.3"/>
  <pageSetup paperSize="9" scale="67"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dimension ref="A1:F8"/>
  <sheetViews>
    <sheetView showGridLines="0" zoomScaleNormal="100" workbookViewId="0">
      <selection activeCell="I24" sqref="I24"/>
    </sheetView>
  </sheetViews>
  <sheetFormatPr defaultColWidth="9" defaultRowHeight="16.5" x14ac:dyDescent="0.3"/>
  <cols>
    <col min="1" max="1" width="25.125" style="15" customWidth="1"/>
    <col min="2" max="2" width="16.25" style="15" customWidth="1"/>
    <col min="3" max="3" width="22.375" style="15" customWidth="1"/>
    <col min="4" max="4" width="24.125" style="15" customWidth="1"/>
    <col min="5" max="5" width="13" style="15" customWidth="1"/>
    <col min="6" max="6" width="7.5" style="15" customWidth="1"/>
    <col min="7" max="16384" width="9" style="14"/>
  </cols>
  <sheetData>
    <row r="1" spans="1:6" ht="18" customHeight="1" x14ac:dyDescent="0.3">
      <c r="A1" s="40" t="s">
        <v>0</v>
      </c>
      <c r="B1" s="40" t="s">
        <v>1</v>
      </c>
      <c r="C1" s="40" t="s">
        <v>2</v>
      </c>
      <c r="D1" s="40" t="s">
        <v>3</v>
      </c>
      <c r="E1" s="40" t="s">
        <v>4</v>
      </c>
      <c r="F1" s="40" t="s">
        <v>5</v>
      </c>
    </row>
    <row r="2" spans="1:6" x14ac:dyDescent="0.3">
      <c r="A2" s="41" t="str">
        <f>'내역서(표준단가)'!E5</f>
        <v>E00000801011510201</v>
      </c>
      <c r="B2" s="42">
        <f>'내역서(표준단가)'!F5</f>
        <v>0</v>
      </c>
      <c r="C2" s="42" t="str">
        <f>'내역서(표준단가)'!G5</f>
        <v>E00000801011510201</v>
      </c>
      <c r="D2" s="42">
        <f>'내역서(표준단가)'!H5</f>
        <v>0</v>
      </c>
      <c r="E2" s="42">
        <f>'내역서(표준단가)'!I5</f>
        <v>0</v>
      </c>
      <c r="F2" s="84">
        <f>'내역서(표준단가)'!M5</f>
        <v>8</v>
      </c>
    </row>
    <row r="3" spans="1:6" x14ac:dyDescent="0.3">
      <c r="A3" s="41" t="str">
        <f>'내역서(표준단가)'!E6</f>
        <v>M020750510120102</v>
      </c>
      <c r="B3" s="42">
        <f>'내역서(표준단가)'!F6</f>
        <v>0</v>
      </c>
      <c r="C3" s="42">
        <f>'내역서(표준단가)'!G6</f>
        <v>0</v>
      </c>
      <c r="D3" s="42" t="str">
        <f>'내역서(표준단가)'!H6</f>
        <v>M020750510120102</v>
      </c>
      <c r="E3" s="42">
        <f>'내역서(표준단가)'!I6</f>
        <v>0</v>
      </c>
      <c r="F3" s="84">
        <f>'내역서(표준단가)'!M6</f>
        <v>18</v>
      </c>
    </row>
    <row r="4" spans="1:6" x14ac:dyDescent="0.3">
      <c r="A4" s="41" t="str">
        <f>'내역서(표준단가)'!E7</f>
        <v>E00000803066520103</v>
      </c>
      <c r="B4" s="42">
        <f>'내역서(표준단가)'!F7</f>
        <v>0</v>
      </c>
      <c r="C4" s="42" t="str">
        <f>'내역서(표준단가)'!G7</f>
        <v>E00000803066520103</v>
      </c>
      <c r="D4" s="42">
        <f>'내역서(표준단가)'!H7</f>
        <v>0</v>
      </c>
      <c r="E4" s="42">
        <f>'내역서(표준단가)'!I7</f>
        <v>0</v>
      </c>
      <c r="F4" s="84">
        <f>'내역서(표준단가)'!M7</f>
        <v>1.2</v>
      </c>
    </row>
    <row r="5" spans="1:6" x14ac:dyDescent="0.3">
      <c r="A5" s="41" t="str">
        <f>'내역서(표준단가)'!E8</f>
        <v>M020531910380101</v>
      </c>
      <c r="B5" s="42">
        <f>'내역서(표준단가)'!F8</f>
        <v>0</v>
      </c>
      <c r="C5" s="42">
        <f>'내역서(표준단가)'!G8</f>
        <v>0</v>
      </c>
      <c r="D5" s="42" t="str">
        <f>'내역서(표준단가)'!H8</f>
        <v>M020531910380101</v>
      </c>
      <c r="E5" s="42">
        <f>'내역서(표준단가)'!I8</f>
        <v>0</v>
      </c>
      <c r="F5" s="84">
        <f>'내역서(표준단가)'!M8</f>
        <v>16</v>
      </c>
    </row>
    <row r="6" spans="1:6" x14ac:dyDescent="0.3">
      <c r="A6" s="41" t="str">
        <f>'내역서(표준단가)'!E9</f>
        <v>E00000803066520502</v>
      </c>
      <c r="B6" s="42">
        <f>'내역서(표준단가)'!F9</f>
        <v>0</v>
      </c>
      <c r="C6" s="42" t="str">
        <f>'내역서(표준단가)'!G9</f>
        <v>E00000803066520502</v>
      </c>
      <c r="D6" s="42">
        <f>'내역서(표준단가)'!H9</f>
        <v>0</v>
      </c>
      <c r="E6" s="42">
        <f>'내역서(표준단가)'!I9</f>
        <v>0</v>
      </c>
      <c r="F6" s="84">
        <f>'내역서(표준단가)'!M9</f>
        <v>9.69E-2</v>
      </c>
    </row>
    <row r="7" spans="1:6" x14ac:dyDescent="0.3">
      <c r="A7" s="41" t="str">
        <f>'내역서(표준단가)'!E10</f>
        <v>M020750510130102</v>
      </c>
      <c r="B7" s="42">
        <f>'내역서(표준단가)'!F10</f>
        <v>0</v>
      </c>
      <c r="C7" s="42">
        <f>'내역서(표준단가)'!G10</f>
        <v>0</v>
      </c>
      <c r="D7" s="42" t="str">
        <f>'내역서(표준단가)'!H10</f>
        <v>M020750510130102</v>
      </c>
      <c r="E7" s="42">
        <f>'내역서(표준단가)'!I10</f>
        <v>0</v>
      </c>
      <c r="F7" s="84">
        <f>'내역서(표준단가)'!M10</f>
        <v>18</v>
      </c>
    </row>
    <row r="8" spans="1:6" x14ac:dyDescent="0.3">
      <c r="A8" s="41" t="str">
        <f>'내역서(표준단가)'!E11</f>
        <v>M020806810430101</v>
      </c>
      <c r="B8" s="42">
        <f>'내역서(표준단가)'!F11</f>
        <v>0</v>
      </c>
      <c r="C8" s="42">
        <f>'내역서(표준단가)'!G11</f>
        <v>0</v>
      </c>
      <c r="D8" s="42" t="str">
        <f>'내역서(표준단가)'!H11</f>
        <v>M020806810430101</v>
      </c>
      <c r="E8" s="42">
        <f>'내역서(표준단가)'!I11</f>
        <v>0</v>
      </c>
      <c r="F8" s="84">
        <f>'내역서(표준단가)'!M11</f>
        <v>0.5</v>
      </c>
    </row>
  </sheetData>
  <phoneticPr fontId="11" type="noConversion"/>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PR당사안</vt:lpstr>
      <vt:lpstr>내역서(표준단가)</vt:lpstr>
      <vt:lpstr>상세내역</vt:lpstr>
      <vt:lpstr>Upload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cp:lastPrinted>2024-01-06T06:05:11Z</cp:lastPrinted>
  <dcterms:created xsi:type="dcterms:W3CDTF">2020-09-15T23:52:51Z</dcterms:created>
  <dcterms:modified xsi:type="dcterms:W3CDTF">2026-01-18T06:47:19Z</dcterms:modified>
</cp:coreProperties>
</file>
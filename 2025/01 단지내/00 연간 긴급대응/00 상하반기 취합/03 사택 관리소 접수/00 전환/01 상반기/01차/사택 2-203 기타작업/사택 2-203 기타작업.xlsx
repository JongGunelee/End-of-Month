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E5CF4E64-C558-40C3-9A07-6402DE7FEEB3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기타작업" sheetId="9" r:id="rId1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H8" i="9" l="1"/>
  <c r="F8" i="9"/>
  <c r="N8" i="9" s="1"/>
  <c r="H5" i="9" l="1"/>
  <c r="N5" i="9" s="1"/>
  <c r="L9" i="9" l="1"/>
  <c r="J9" i="9"/>
  <c r="L6" i="9"/>
  <c r="J6" i="9"/>
  <c r="H9" i="9"/>
  <c r="F9" i="9"/>
  <c r="H6" i="9"/>
  <c r="F6" i="9"/>
  <c r="J10" i="9" l="1"/>
  <c r="N9" i="9"/>
  <c r="N6" i="9"/>
  <c r="L10" i="9"/>
</calcChain>
</file>

<file path=xl/sharedStrings.xml><?xml version="1.0" encoding="utf-8"?>
<sst xmlns="http://schemas.openxmlformats.org/spreadsheetml/2006/main" count="31" uniqueCount="25">
  <si>
    <t>단위</t>
  </si>
  <si>
    <t xml:space="preserve"> 내   역   서</t>
    <phoneticPr fontId="10" type="noConversion"/>
  </si>
  <si>
    <t>품        명</t>
    <phoneticPr fontId="10" type="noConversion"/>
  </si>
  <si>
    <t>규      격</t>
  </si>
  <si>
    <t>수 량</t>
    <phoneticPr fontId="10" type="noConversion"/>
  </si>
  <si>
    <t xml:space="preserve">재    료   비   </t>
    <phoneticPr fontId="10" type="noConversion"/>
  </si>
  <si>
    <t>노   무   비</t>
    <phoneticPr fontId="10" type="noConversion"/>
  </si>
  <si>
    <t xml:space="preserve"> 기계경비</t>
    <phoneticPr fontId="6" type="noConversion"/>
  </si>
  <si>
    <t xml:space="preserve"> 기타경비(부자재비)</t>
    <phoneticPr fontId="6" type="noConversion"/>
  </si>
  <si>
    <t>합  계</t>
    <phoneticPr fontId="10" type="noConversion"/>
  </si>
  <si>
    <t>비  고</t>
    <phoneticPr fontId="10" type="noConversion"/>
  </si>
  <si>
    <t>단   가</t>
    <phoneticPr fontId="10" type="noConversion"/>
  </si>
  <si>
    <t>금     액</t>
    <phoneticPr fontId="10" type="noConversion"/>
  </si>
  <si>
    <t>금    액</t>
    <phoneticPr fontId="10" type="noConversion"/>
  </si>
  <si>
    <t>소 계</t>
    <phoneticPr fontId="6" type="noConversion"/>
  </si>
  <si>
    <t>인</t>
    <phoneticPr fontId="6" type="noConversion"/>
  </si>
  <si>
    <t>합 계</t>
    <phoneticPr fontId="6" type="noConversion"/>
  </si>
  <si>
    <t>특별인부</t>
    <phoneticPr fontId="5" type="noConversion"/>
  </si>
  <si>
    <t>도어보수</t>
    <phoneticPr fontId="5" type="noConversion"/>
  </si>
  <si>
    <t>뒤베란다 도어보수+화장실 도어 엣지 시트지보수</t>
    <phoneticPr fontId="5" type="noConversion"/>
  </si>
  <si>
    <t>알루미늄창호 설치</t>
  </si>
  <si>
    <t>개소</t>
  </si>
  <si>
    <t>(뒤베란다(2개), 주방(1개))교체</t>
    <phoneticPr fontId="5" type="noConversion"/>
  </si>
  <si>
    <t>1.도어보수(2개소)</t>
    <phoneticPr fontId="6" type="noConversion"/>
  </si>
  <si>
    <t>2.방충망교체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</si>
</sst>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80" formatCode="_-* #,##0_-;&quot;₩&quot;\!\-* #,##0_-;_-* &quot;-&quot;_-;_-@_-"/>
    <numFmt numFmtId="185" formatCode="#,##0_);[Red]\(#,##0\)"/>
    <numFmt numFmtId="186" formatCode="#,##0_ "/>
    <numFmt numFmtId="187" formatCode="&quot;₩&quot;#,##0"/>
    <numFmt numFmtId="188" formatCode="0_);[Red]\(0\)"/>
  </numFmts>
  <fonts count="18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5">
    <xf numFmtId="0" fontId="0" fillId="0" borderId="0">
      <alignment vertical="center"/>
    </xf>
    <xf numFmtId="0" fontId="7" fillId="0" borderId="0"/>
    <xf numFmtId="177" fontId="4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4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1" fillId="0" borderId="0"/>
    <xf numFmtId="176" fontId="11" fillId="0" borderId="0" applyFont="0" applyFill="0" applyBorder="0" applyAlignment="0" applyProtection="0"/>
    <xf numFmtId="177" fontId="1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6" fillId="2" borderId="2" xfId="11" applyFont="1" applyFill="1" applyBorder="1" applyAlignment="1">
      <alignment horizontal="center" vertical="center"/>
    </xf>
    <xf numFmtId="185" fontId="16" fillId="2" borderId="2" xfId="12" applyNumberFormat="1" applyFont="1" applyFill="1" applyBorder="1" applyAlignment="1">
      <alignment vertical="center"/>
    </xf>
    <xf numFmtId="0" fontId="13" fillId="0" borderId="0" xfId="0" applyFont="1">
      <alignment vertical="center"/>
    </xf>
    <xf numFmtId="0" fontId="17" fillId="0" borderId="2" xfId="11" quotePrefix="1" applyFont="1" applyBorder="1" applyAlignment="1">
      <alignment horizontal="center" vertical="center"/>
    </xf>
    <xf numFmtId="185" fontId="17" fillId="0" borderId="2" xfId="11" quotePrefix="1" applyNumberFormat="1" applyFont="1" applyBorder="1" applyAlignment="1">
      <alignment horizontal="center" vertical="center"/>
    </xf>
    <xf numFmtId="177" fontId="16" fillId="0" borderId="2" xfId="9" applyFont="1" applyBorder="1" applyAlignment="1">
      <alignment vertical="center"/>
    </xf>
    <xf numFmtId="185" fontId="16" fillId="2" borderId="2" xfId="9" applyNumberFormat="1" applyFont="1" applyFill="1" applyBorder="1" applyAlignment="1">
      <alignment horizontal="right" vertical="center" wrapText="1"/>
    </xf>
    <xf numFmtId="185" fontId="16" fillId="0" borderId="2" xfId="9" applyNumberFormat="1" applyFont="1" applyBorder="1" applyAlignment="1">
      <alignment horizontal="right" vertical="center" wrapText="1"/>
    </xf>
    <xf numFmtId="187" fontId="16" fillId="3" borderId="2" xfId="9" applyNumberFormat="1" applyFont="1" applyFill="1" applyBorder="1" applyAlignment="1">
      <alignment horizontal="center" vertical="center"/>
    </xf>
    <xf numFmtId="177" fontId="16" fillId="3" borderId="2" xfId="9" applyFont="1" applyFill="1" applyBorder="1" applyAlignment="1">
      <alignment horizontal="center" vertical="center"/>
    </xf>
    <xf numFmtId="188" fontId="16" fillId="3" borderId="2" xfId="9" applyNumberFormat="1" applyFont="1" applyFill="1" applyBorder="1" applyAlignment="1">
      <alignment horizontal="center" vertical="center"/>
    </xf>
    <xf numFmtId="185" fontId="16" fillId="0" borderId="2" xfId="9" applyNumberFormat="1" applyFont="1" applyBorder="1" applyAlignment="1">
      <alignment vertical="center"/>
    </xf>
    <xf numFmtId="185" fontId="16" fillId="3" borderId="2" xfId="9" applyNumberFormat="1" applyFont="1" applyFill="1" applyBorder="1" applyAlignment="1">
      <alignment vertical="center" wrapText="1"/>
    </xf>
    <xf numFmtId="185" fontId="17" fillId="3" borderId="2" xfId="9" applyNumberFormat="1" applyFont="1" applyFill="1" applyBorder="1" applyAlignment="1">
      <alignment vertical="center" wrapText="1"/>
    </xf>
    <xf numFmtId="187" fontId="17" fillId="4" borderId="2" xfId="9" applyNumberFormat="1" applyFont="1" applyFill="1" applyBorder="1" applyAlignment="1">
      <alignment horizontal="center" vertical="center"/>
    </xf>
    <xf numFmtId="177" fontId="17" fillId="4" borderId="2" xfId="9" applyFont="1" applyFill="1" applyBorder="1" applyAlignment="1">
      <alignment horizontal="center" vertical="center"/>
    </xf>
    <xf numFmtId="188" fontId="17" fillId="4" borderId="2" xfId="9" applyNumberFormat="1" applyFont="1" applyFill="1" applyBorder="1" applyAlignment="1">
      <alignment horizontal="center" vertical="center"/>
    </xf>
    <xf numFmtId="185" fontId="17" fillId="4" borderId="2" xfId="9" applyNumberFormat="1" applyFont="1" applyFill="1" applyBorder="1" applyAlignment="1">
      <alignment vertical="center" wrapText="1"/>
    </xf>
    <xf numFmtId="0" fontId="13" fillId="0" borderId="0" xfId="11" applyFont="1">
      <alignment vertical="center"/>
    </xf>
    <xf numFmtId="0" fontId="15" fillId="3" borderId="2" xfId="9" applyNumberFormat="1" applyFont="1" applyFill="1" applyBorder="1" applyAlignment="1">
      <alignment horizontal="center" vertical="center"/>
    </xf>
    <xf numFmtId="186" fontId="15" fillId="0" borderId="2" xfId="9" applyNumberFormat="1" applyFont="1" applyBorder="1" applyAlignment="1">
      <alignment vertical="center"/>
    </xf>
    <xf numFmtId="0" fontId="12" fillId="2" borderId="2" xfId="11" applyFont="1" applyFill="1" applyBorder="1">
      <alignment vertical="center"/>
    </xf>
    <xf numFmtId="0" fontId="15" fillId="4" borderId="2" xfId="9" applyNumberFormat="1" applyFont="1" applyFill="1" applyBorder="1" applyAlignment="1">
      <alignment horizontal="center" vertical="center"/>
    </xf>
    <xf numFmtId="0" fontId="16" fillId="2" borderId="2" xfId="11" applyFont="1" applyFill="1" applyBorder="1" applyAlignment="1">
      <alignment horizontal="center" vertical="center" wrapText="1"/>
    </xf>
    <xf numFmtId="186" fontId="17" fillId="0" borderId="2" xfId="9" applyNumberFormat="1" applyFont="1" applyBorder="1" applyAlignment="1">
      <alignment vertical="center"/>
    </xf>
    <xf numFmtId="185" fontId="16" fillId="2" borderId="2" xfId="9" applyNumberFormat="1" applyFont="1" applyFill="1" applyBorder="1" applyAlignment="1">
      <alignment vertical="center"/>
    </xf>
    <xf numFmtId="0" fontId="15" fillId="0" borderId="1" xfId="11" applyFont="1" applyBorder="1" applyAlignment="1">
      <alignment horizontal="center" vertical="center"/>
    </xf>
    <xf numFmtId="0" fontId="14" fillId="0" borderId="1" xfId="11" applyFont="1" applyBorder="1" applyAlignment="1">
      <alignment horizontal="center" vertical="center"/>
    </xf>
    <xf numFmtId="0" fontId="15" fillId="0" borderId="2" xfId="11" quotePrefix="1" applyFont="1" applyBorder="1" applyAlignment="1">
      <alignment horizontal="center" vertical="center"/>
    </xf>
    <xf numFmtId="0" fontId="17" fillId="0" borderId="2" xfId="11" quotePrefix="1" applyFont="1" applyBorder="1" applyAlignment="1">
      <alignment horizontal="center" vertical="center"/>
    </xf>
    <xf numFmtId="0" fontId="17" fillId="0" borderId="3" xfId="11" quotePrefix="1" applyFont="1" applyBorder="1" applyAlignment="1">
      <alignment horizontal="center" vertical="center"/>
    </xf>
    <xf numFmtId="0" fontId="17" fillId="0" borderId="6" xfId="11" quotePrefix="1" applyFont="1" applyBorder="1" applyAlignment="1">
      <alignment horizontal="center" vertical="center"/>
    </xf>
    <xf numFmtId="0" fontId="17" fillId="0" borderId="2" xfId="11" applyFont="1" applyBorder="1" applyAlignment="1">
      <alignment horizontal="center" vertical="center"/>
    </xf>
    <xf numFmtId="0" fontId="17" fillId="0" borderId="4" xfId="11" quotePrefix="1" applyFont="1" applyBorder="1" applyAlignment="1">
      <alignment horizontal="center" vertical="center"/>
    </xf>
    <xf numFmtId="0" fontId="17" fillId="0" borderId="5" xfId="11" quotePrefix="1" applyFont="1" applyBorder="1" applyAlignment="1">
      <alignment horizontal="center" vertical="center"/>
    </xf>
    <xf numFmtId="0" fontId="17" fillId="0" borderId="3" xfId="11" applyFont="1" applyBorder="1" applyAlignment="1">
      <alignment horizontal="center" vertical="center"/>
    </xf>
    <xf numFmtId="0" fontId="17" fillId="0" borderId="6" xfId="11" applyFont="1" applyBorder="1" applyAlignment="1">
      <alignment horizontal="center" vertical="center"/>
    </xf>
  </cellXfs>
  <cellStyles count="15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10"/>
  <sheetViews>
    <sheetView tabSelected="1" zoomScale="90" zoomScaleNormal="90" workbookViewId="0">
      <selection activeCell="N18" sqref="N18"/>
    </sheetView>
  </sheetViews>
  <sheetFormatPr defaultColWidth="9" defaultRowHeight="13.5"/>
  <cols>
    <col min="1" max="1" width="22.625" style="19" customWidth="1"/>
    <col min="2" max="2" width="27.625" style="19" customWidth="1"/>
    <col min="3" max="3" width="5.75" style="19" customWidth="1"/>
    <col min="4" max="4" width="5.25" style="19" customWidth="1"/>
    <col min="5" max="8" width="20.625" style="19" customWidth="1"/>
    <col min="9" max="13" width="20.625" style="19" hidden="1" customWidth="1"/>
    <col min="14" max="14" width="20.625" style="19" customWidth="1"/>
    <col min="15" max="15" width="32.75" style="19" customWidth="1"/>
    <col min="16" max="16384" width="9" style="3"/>
  </cols>
  <sheetData>
    <row r="1" spans="1:15" ht="27" customHeight="1">
      <c r="A1" s="27" t="s">
        <v>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5" ht="12.95" customHeight="1">
      <c r="A2" s="29" t="s">
        <v>2</v>
      </c>
      <c r="B2" s="30" t="s">
        <v>3</v>
      </c>
      <c r="C2" s="31" t="s">
        <v>0</v>
      </c>
      <c r="D2" s="31" t="s">
        <v>4</v>
      </c>
      <c r="E2" s="33" t="s">
        <v>5</v>
      </c>
      <c r="F2" s="30"/>
      <c r="G2" s="30" t="s">
        <v>6</v>
      </c>
      <c r="H2" s="30"/>
      <c r="I2" s="34" t="s">
        <v>7</v>
      </c>
      <c r="J2" s="35"/>
      <c r="K2" s="34" t="s">
        <v>8</v>
      </c>
      <c r="L2" s="35"/>
      <c r="M2" s="33" t="s">
        <v>9</v>
      </c>
      <c r="N2" s="30"/>
      <c r="O2" s="36" t="s">
        <v>10</v>
      </c>
    </row>
    <row r="3" spans="1:15" ht="12.95" customHeight="1">
      <c r="A3" s="29"/>
      <c r="B3" s="30"/>
      <c r="C3" s="32"/>
      <c r="D3" s="32"/>
      <c r="E3" s="4" t="s">
        <v>11</v>
      </c>
      <c r="F3" s="4" t="s">
        <v>12</v>
      </c>
      <c r="G3" s="5" t="s">
        <v>11</v>
      </c>
      <c r="H3" s="4" t="s">
        <v>13</v>
      </c>
      <c r="I3" s="4"/>
      <c r="J3" s="4"/>
      <c r="K3" s="5" t="s">
        <v>11</v>
      </c>
      <c r="L3" s="4" t="s">
        <v>13</v>
      </c>
      <c r="M3" s="5" t="s">
        <v>11</v>
      </c>
      <c r="N3" s="4" t="s">
        <v>13</v>
      </c>
      <c r="O3" s="37"/>
    </row>
    <row r="4" spans="1:15" ht="24.75" customHeight="1">
      <c r="A4" s="21" t="s">
        <v>23</v>
      </c>
      <c r="B4" s="24" t="s">
        <v>19</v>
      </c>
      <c r="C4" s="6"/>
      <c r="D4" s="6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5" ht="12.95" customHeight="1">
      <c r="A5" s="22" t="s">
        <v>18</v>
      </c>
      <c r="B5" s="1" t="s">
        <v>17</v>
      </c>
      <c r="C5" s="1" t="s">
        <v>15</v>
      </c>
      <c r="D5" s="1">
        <v>1</v>
      </c>
      <c r="E5" s="2"/>
      <c r="F5" s="2"/>
      <c r="G5" s="2"/>
      <c r="H5" s="2">
        <f t="shared" ref="H5" si="0">D5*G5</f>
        <v>0</v>
      </c>
      <c r="I5" s="12"/>
      <c r="J5" s="12"/>
      <c r="K5" s="12"/>
      <c r="L5" s="12"/>
      <c r="M5" s="12"/>
      <c r="N5" s="8">
        <f t="shared" ref="N5" si="1">F5+H5+J5+L5</f>
        <v>0</v>
      </c>
      <c r="O5" s="12"/>
    </row>
    <row r="6" spans="1:15" ht="12.95" customHeight="1">
      <c r="A6" s="20" t="s">
        <v>14</v>
      </c>
      <c r="B6" s="9"/>
      <c r="C6" s="10"/>
      <c r="D6" s="11"/>
      <c r="E6" s="13"/>
      <c r="F6" s="14">
        <f>F5</f>
        <v>0</v>
      </c>
      <c r="G6" s="13"/>
      <c r="H6" s="14">
        <f>H5</f>
        <v>0</v>
      </c>
      <c r="I6" s="13"/>
      <c r="J6" s="14">
        <f t="shared" ref="J6:N6" si="2">J5</f>
        <v>0</v>
      </c>
      <c r="K6" s="14"/>
      <c r="L6" s="14">
        <f t="shared" si="2"/>
        <v>0</v>
      </c>
      <c r="M6" s="14"/>
      <c r="N6" s="14">
        <f t="shared" si="2"/>
        <v>0</v>
      </c>
      <c r="O6" s="13"/>
    </row>
    <row r="7" spans="1:15" ht="12.95" customHeight="1">
      <c r="A7" s="21" t="s">
        <v>24</v>
      </c>
      <c r="B7" s="25"/>
      <c r="C7" s="6"/>
      <c r="D7" s="6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spans="1:15" ht="12.95" customHeight="1">
      <c r="A8" s="22" t="s">
        <v>20</v>
      </c>
      <c r="B8" s="1" t="s">
        <v>22</v>
      </c>
      <c r="C8" s="1" t="s">
        <v>21</v>
      </c>
      <c r="D8" s="1">
        <v>3</v>
      </c>
      <c r="E8" s="2"/>
      <c r="F8" s="2">
        <f t="shared" ref="F8" si="3">D8*E8</f>
        <v>0</v>
      </c>
      <c r="G8" s="2"/>
      <c r="H8" s="2">
        <f t="shared" ref="H8" si="4">D8*G8</f>
        <v>0</v>
      </c>
      <c r="I8" s="26"/>
      <c r="J8" s="26"/>
      <c r="K8" s="26"/>
      <c r="L8" s="26"/>
      <c r="M8" s="26"/>
      <c r="N8" s="7">
        <f>F8+H8+J8+L8</f>
        <v>0</v>
      </c>
      <c r="O8" s="26"/>
    </row>
    <row r="9" spans="1:15" ht="12.95" customHeight="1">
      <c r="A9" s="20" t="s">
        <v>14</v>
      </c>
      <c r="B9" s="9"/>
      <c r="C9" s="10"/>
      <c r="D9" s="11"/>
      <c r="E9" s="13"/>
      <c r="F9" s="14">
        <f>F8</f>
        <v>0</v>
      </c>
      <c r="G9" s="13"/>
      <c r="H9" s="14">
        <f>H8</f>
        <v>0</v>
      </c>
      <c r="I9" s="13"/>
      <c r="J9" s="14">
        <f>J8</f>
        <v>0</v>
      </c>
      <c r="K9" s="13"/>
      <c r="L9" s="14">
        <f>L8</f>
        <v>0</v>
      </c>
      <c r="M9" s="13"/>
      <c r="N9" s="14">
        <f>N8</f>
        <v>0</v>
      </c>
      <c r="O9" s="13"/>
    </row>
    <row r="10" spans="1:15" ht="12.95" customHeight="1">
      <c r="A10" s="23" t="s">
        <v>16</v>
      </c>
      <c r="B10" s="15"/>
      <c r="C10" s="16"/>
      <c r="D10" s="17"/>
      <c r="E10" s="18"/>
      <c r="F10" s="18"/>
      <c r="G10" s="18"/>
      <c r="H10" s="18"/>
      <c r="I10" s="18"/>
      <c r="J10" s="18" t="e">
        <f>#REF!+#REF!+#REF!+#REF!+J6+J9</f>
        <v>#REF!</v>
      </c>
      <c r="K10" s="18"/>
      <c r="L10" s="18" t="e">
        <f>#REF!+#REF!+#REF!+#REF!+L6+L9</f>
        <v>#REF!</v>
      </c>
      <c r="M10" s="18"/>
      <c r="N10" s="18"/>
      <c r="O10" s="18"/>
    </row>
  </sheetData>
  <mergeCells count="11"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기타작업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2025-02-04T05:54:49Z</dcterms:modified>
</cp:coreProperties>
</file>
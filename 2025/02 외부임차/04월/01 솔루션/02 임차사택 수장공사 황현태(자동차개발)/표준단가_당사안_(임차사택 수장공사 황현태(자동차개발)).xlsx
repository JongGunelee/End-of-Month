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6 외부임차 월마감\25년-외부임차\02월\01 솔루션\01 임차사택 수장공사 황현태(자동차개발)\"/>
    </mc:Choice>
  </mc:AlternateContent>
  <xr:revisionPtr revIDLastSave="0" documentId="13_ncr:1_{D1D2A2DB-41DB-4B6E-B0AF-637FC9EEB318}" xr6:coauthVersionLast="47" xr6:coauthVersionMax="47" xr10:uidLastSave="{00000000-0000-0000-0000-000000000000}"/>
  <bookViews>
    <workbookView xWindow="14310" yWindow="0" windowWidth="14490" windowHeight="15480" firstSheet="2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r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  <c r="F3" i="1"/>
  <c r="E3" i="1"/>
  <c r="D3" i="1"/>
  <c r="C3" i="1"/>
  <c r="B3" i="1"/>
  <c r="D13" i="9" l="1"/>
  <c r="F2" i="1" l="1"/>
  <c r="E2" i="1"/>
  <c r="D2" i="1"/>
  <c r="C2" i="1"/>
  <c r="B2" i="1"/>
  <c r="J24" i="9" l="1"/>
  <c r="J14" i="9"/>
  <c r="H12" i="9"/>
  <c r="F12" i="9"/>
  <c r="H11" i="9"/>
  <c r="F11" i="9"/>
  <c r="H10" i="9"/>
  <c r="F10" i="9"/>
  <c r="N10" i="9" s="1"/>
  <c r="H9" i="9"/>
  <c r="F9" i="9"/>
  <c r="H8" i="9"/>
  <c r="F8" i="9"/>
  <c r="N8" i="9" s="1"/>
  <c r="H7" i="9"/>
  <c r="F7" i="9"/>
  <c r="H6" i="9"/>
  <c r="F6" i="9"/>
  <c r="H5" i="9"/>
  <c r="F5" i="9"/>
  <c r="N6" i="9" l="1"/>
  <c r="N12" i="9"/>
  <c r="N5" i="9"/>
  <c r="N7" i="9"/>
  <c r="N9" i="9"/>
  <c r="N11" i="9"/>
  <c r="H24" i="9"/>
  <c r="J25" i="9"/>
  <c r="F14" i="9"/>
  <c r="L14" i="9"/>
  <c r="L24" i="9"/>
  <c r="F24" i="9"/>
  <c r="F25" i="9" l="1"/>
  <c r="J8" i="4"/>
  <c r="A9" i="4"/>
  <c r="A7" i="4"/>
  <c r="A4" i="1" s="1"/>
  <c r="A6" i="4"/>
  <c r="A3" i="1" s="1"/>
  <c r="A5" i="4"/>
  <c r="A2" i="1" s="1"/>
  <c r="U7" i="4" l="1"/>
  <c r="S7" i="4"/>
  <c r="Q7" i="4"/>
  <c r="O7" i="4"/>
  <c r="U6" i="4"/>
  <c r="S6" i="4"/>
  <c r="Q6" i="4"/>
  <c r="O6" i="4"/>
  <c r="U5" i="4"/>
  <c r="S5" i="4"/>
  <c r="Q5" i="4"/>
  <c r="O5" i="4"/>
  <c r="V5" i="4" l="1"/>
  <c r="V7" i="4"/>
  <c r="V6" i="4"/>
  <c r="D24" i="9"/>
  <c r="D14" i="9"/>
  <c r="H13" i="9"/>
  <c r="N13" i="9" l="1"/>
  <c r="N14" i="9" s="1"/>
  <c r="H14" i="9"/>
  <c r="H25" i="9" s="1"/>
  <c r="N24" i="9"/>
  <c r="N25" i="9" s="1"/>
  <c r="U9" i="4" l="1"/>
  <c r="S9" i="4"/>
  <c r="Q9" i="4"/>
  <c r="O9" i="4"/>
  <c r="U8" i="4"/>
  <c r="S8" i="4"/>
  <c r="Q8" i="4"/>
  <c r="O8" i="4"/>
  <c r="V8" i="4" l="1"/>
  <c r="V9" i="4"/>
  <c r="U10" i="4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<sst xmlns="http://schemas.openxmlformats.org/spreadsheetml/2006/main" count="209" uniqueCount="160">
  <si>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</si>
  <si>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</si>
  <si>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</si>
  <si>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</si>
  <si>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</si>
  <si>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</si>
  <si>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</si>
  <si>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</si>
  <si>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</si>
  <si>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</si>
  <si>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</si>
  <si>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</si>
  <si>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</si>
  <si>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</si>
  <si>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</si>
  <si>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</si>
  <si>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</si>
  <si>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</si>
  <si>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</si>
  <si>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</si>
  <si>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</si>
  <si>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</si>
  <si>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</si>
  <si>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</si>
  <si>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</si>
  <si>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</si>
  <si>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</si>
  <si>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</si>
  <si>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</si>
  <si>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</si>
  <si>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</si>
  <si>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</si>
  <si>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</si>
  <si>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</si>
  <si>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</si>
  <si>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</si>
  <si>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</si>
  <si>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</si>
  <si>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</si>
  <si>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</si>
  <si>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</si>
  <si>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</si>
  <si>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</si>
  <si>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</si>
  <si>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</si>
  <si>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</si>
  <si>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</si>
  <si>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</si>
  <si>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</si>
  <si>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</si>
  <si>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</si>
  <si>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</si>
  <si>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</si>
  <si>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</si>
  <si>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</si>
  <si>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</si>
  <si>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</si>
  <si>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</si>
  <si>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</si>
  <si>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</si>
  <si>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</si>
  <si>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</si>
  <si>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</si>
  <si>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</si>
  <si>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</si>
  <si>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</si>
  <si>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</si>
  <si>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</si>
  <si>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</si>
  <si>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</si>
  <si>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</si>
  <si>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</si>
  <si>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</si>
  <si>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</si>
  <si>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</si>
  <si>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</si>
  <si>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</si>
  <si>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</si>
  <si>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</si>
  <si>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</si>
  <si>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</si>
  <si>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</si>
  <si>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</si>
  <si>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</si>
  <si>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</si>
  <si>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</si>
  <si>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</si>
  <si>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</si>
  <si>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</si>
  <si>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</si>
  <si>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</si>
  <si>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</si>
  <si>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</si>
  <si>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</si>
  <si>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</si>
  <si>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</si>
  <si>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</si>
  <si>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</si>
  <si>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</si>
  <si>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</si>
  <si>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</si>
  <si>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</si>
  <si>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</si>
  <si>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</si>
  <si>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</si>
  <si>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</si>
  <si>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</si>
  <si>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</si>
  <si>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</si>
  <si>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</si>
  <si>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</si>
  <si>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</si>
  <si>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</si>
  <si>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</si>
  <si>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</si>
  <si>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</si>
  <si>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</si>
  <si>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</si>
  <si>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</si>
  <si>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</si>
  <si>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</si>
  <si>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</si>
  <si>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</si>
  <si>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</si>
  <si>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</si>
  <si>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</si>
  <si>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</si>
  <si>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</si>
  <si>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</si>
  <si>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합지벽지(LG하우시스 휘앙세)</t>
    <phoneticPr fontId="5" type="noConversion"/>
  </si>
  <si>
    <t>영선,건축</t>
    <phoneticPr fontId="5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</si>
  <si>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</si>
  <si>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</si>
  <si>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</si>
  <si>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</si>
  <si>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</si>
  <si>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40%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</si>
  <si>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</si>
  <si>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</si>
  <si>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</si>
  <si>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</si>
  <si>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</si>
  <si>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</si>
  <si>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</si>
  <si>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</si>
  <si>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</si>
  <si>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</si>
  <si>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</si>
  <si>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</si>
  <si>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</si>
  <si>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</si>
  <si>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</si>
  <si>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</si>
  <si>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</si>
  <si>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</si>
  <si>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</si>
  <si>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</si>
  <si>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견적일 : 2024 년  12월  30일</t>
    <phoneticPr fontId="11" type="noConversion"/>
  </si>
  <si>
    <t xml:space="preserve"> 공사명 : 임차사택 수장공사-황현태책임</t>
    <phoneticPr fontId="11" type="noConversion"/>
  </si>
  <si>
    <t xml:space="preserve"> 임차사택 수장공사-황현태책임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</si>
</sst>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Fill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3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49" t="s">
        <v>6</v>
      </c>
      <c r="B2" s="149"/>
      <c r="C2" s="149"/>
      <c r="D2" s="149"/>
      <c r="E2" s="149"/>
      <c r="F2" s="149"/>
      <c r="G2" s="149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52" t="s">
        <v>158</v>
      </c>
      <c r="B7" s="153"/>
      <c r="C7" s="154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52" t="s">
        <v>157</v>
      </c>
      <c r="B9" s="153"/>
      <c r="C9" s="154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50"/>
      <c r="B11" s="151"/>
      <c r="C11" s="151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일백칠십만육천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'내역서(표준단가)'!O10</f>
        <v>199732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'내역서(표준단가)'!Q10</f>
        <v>1231883.8499999999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'내역서(표준단가)'!S10+'내역서(표준단가)'!U10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1431615.8499999999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55434.773249999991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43670.282482499999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5655.3015814837499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12442.026884999997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43855.065059999994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41946.344405000003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71744.382183199195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274748.17584718292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1706364.0258471828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1706000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90" zoomScaleNormal="90" workbookViewId="0">
      <selection activeCell="W40" sqref="W40"/>
    </sheetView>
  </sheetViews>
  <sheetFormatPr defaultColWidth="9" defaultRowHeight="12.75" x14ac:dyDescent="0.3"/>
  <cols>
    <col min="1" max="1" width="17.5" style="113" bestFit="1" customWidth="1"/>
    <col min="2" max="5" width="18.5" style="113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3.125" style="82" bestFit="1" customWidth="1"/>
    <col min="16" max="16" width="6.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55"/>
      <c r="B1" s="155"/>
      <c r="C1" s="155"/>
      <c r="D1" s="155"/>
      <c r="E1" s="155"/>
      <c r="F1" s="155"/>
      <c r="G1" s="155"/>
      <c r="H1" s="155"/>
      <c r="I1" s="155"/>
      <c r="N1" s="83"/>
      <c r="O1" s="81" t="s">
        <v>137</v>
      </c>
      <c r="Q1" s="81" t="s">
        <v>137</v>
      </c>
      <c r="S1" s="81" t="s">
        <v>137</v>
      </c>
      <c r="U1" s="81" t="s">
        <v>137</v>
      </c>
    </row>
    <row r="2" spans="1:24" ht="19.899999999999999" customHeight="1" thickBot="1" x14ac:dyDescent="0.35">
      <c r="A2" s="155"/>
      <c r="B2" s="155"/>
      <c r="C2" s="155"/>
      <c r="D2" s="155"/>
      <c r="E2" s="155"/>
      <c r="F2" s="155"/>
      <c r="G2" s="155"/>
      <c r="H2" s="155"/>
      <c r="I2" s="155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138</v>
      </c>
      <c r="G3" s="87"/>
      <c r="H3" s="87"/>
      <c r="I3" s="87"/>
      <c r="J3" s="164" t="s">
        <v>139</v>
      </c>
      <c r="K3" s="164"/>
      <c r="L3" s="164" t="s">
        <v>52</v>
      </c>
      <c r="M3" s="164" t="s">
        <v>5</v>
      </c>
      <c r="N3" s="160" t="s">
        <v>140</v>
      </c>
      <c r="O3" s="160"/>
      <c r="P3" s="160" t="s">
        <v>141</v>
      </c>
      <c r="Q3" s="160"/>
      <c r="R3" s="161" t="s">
        <v>142</v>
      </c>
      <c r="S3" s="161"/>
      <c r="T3" s="161" t="s">
        <v>143</v>
      </c>
      <c r="U3" s="161"/>
      <c r="V3" s="162" t="s">
        <v>144</v>
      </c>
      <c r="W3" s="158" t="s">
        <v>145</v>
      </c>
      <c r="X3" s="156" t="s">
        <v>46</v>
      </c>
    </row>
    <row r="4" spans="1:24" ht="19.899999999999999" customHeight="1" x14ac:dyDescent="0.3">
      <c r="A4" s="88" t="s">
        <v>146</v>
      </c>
      <c r="B4" s="89"/>
      <c r="C4" s="89"/>
      <c r="D4" s="89"/>
      <c r="E4" s="89"/>
      <c r="F4" s="90" t="s">
        <v>147</v>
      </c>
      <c r="G4" s="90" t="s">
        <v>148</v>
      </c>
      <c r="H4" s="90" t="s">
        <v>149</v>
      </c>
      <c r="I4" s="90" t="s">
        <v>150</v>
      </c>
      <c r="J4" s="91" t="s">
        <v>151</v>
      </c>
      <c r="K4" s="91" t="s">
        <v>152</v>
      </c>
      <c r="L4" s="165"/>
      <c r="M4" s="165"/>
      <c r="N4" s="92" t="s">
        <v>153</v>
      </c>
      <c r="O4" s="93" t="s">
        <v>154</v>
      </c>
      <c r="P4" s="92" t="s">
        <v>155</v>
      </c>
      <c r="Q4" s="93" t="s">
        <v>154</v>
      </c>
      <c r="R4" s="93" t="s">
        <v>156</v>
      </c>
      <c r="S4" s="93" t="s">
        <v>154</v>
      </c>
      <c r="T4" s="93" t="s">
        <v>156</v>
      </c>
      <c r="U4" s="93" t="s">
        <v>154</v>
      </c>
      <c r="V4" s="163"/>
      <c r="W4" s="159"/>
      <c r="X4" s="157"/>
    </row>
    <row r="5" spans="1:24" s="104" customFormat="1" ht="19.899999999999999" customHeight="1" x14ac:dyDescent="0.3">
      <c r="A5" s="94" t="str">
        <f t="shared" ref="A5:A9" si="0">F5&amp;G5&amp;H5&amp;I5</f>
        <v>D02641</v>
      </c>
      <c r="B5" s="95"/>
      <c r="C5" s="95"/>
      <c r="D5" s="95"/>
      <c r="E5" s="95"/>
      <c r="F5" s="97" t="s">
        <v>120</v>
      </c>
      <c r="G5" s="96"/>
      <c r="H5" s="96"/>
      <c r="I5" s="97"/>
      <c r="J5" s="98" t="s">
        <v>121</v>
      </c>
      <c r="K5" s="98" t="s">
        <v>122</v>
      </c>
      <c r="L5" s="98" t="s">
        <v>123</v>
      </c>
      <c r="M5" s="137">
        <v>122</v>
      </c>
      <c r="N5" s="99"/>
      <c r="O5" s="100">
        <f t="shared" ref="O5:O7" si="1">SUM(N5:N5)*M5*$O$2</f>
        <v>0</v>
      </c>
      <c r="P5" s="138">
        <v>6691</v>
      </c>
      <c r="Q5" s="100">
        <f t="shared" ref="Q5:Q7" si="2">(P5*M5)*$Q$2</f>
        <v>681612.16999999993</v>
      </c>
      <c r="R5" s="101"/>
      <c r="S5" s="100">
        <f t="shared" ref="S5:S7" si="3">R5*M5*$S$2</f>
        <v>0</v>
      </c>
      <c r="T5" s="101"/>
      <c r="U5" s="100">
        <f t="shared" ref="U5:U7" si="4">T5*M5*$U$2</f>
        <v>0</v>
      </c>
      <c r="V5" s="101">
        <f t="shared" ref="V5:V7" si="5">SUM(O5+Q5)+S5+U5</f>
        <v>681612.16999999993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124</v>
      </c>
      <c r="G6" s="96"/>
      <c r="H6" s="96"/>
      <c r="I6" s="97"/>
      <c r="J6" s="98" t="s">
        <v>125</v>
      </c>
      <c r="K6" s="98" t="s">
        <v>122</v>
      </c>
      <c r="L6" s="98" t="s">
        <v>123</v>
      </c>
      <c r="M6" s="137">
        <v>62</v>
      </c>
      <c r="N6" s="99"/>
      <c r="O6" s="100">
        <f t="shared" si="1"/>
        <v>0</v>
      </c>
      <c r="P6" s="138">
        <v>8698</v>
      </c>
      <c r="Q6" s="100">
        <f t="shared" si="2"/>
        <v>450295.45999999996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450295.45999999996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126</v>
      </c>
      <c r="G7" s="96"/>
      <c r="H7" s="96"/>
      <c r="I7" s="97"/>
      <c r="J7" s="98" t="s">
        <v>127</v>
      </c>
      <c r="K7" s="98" t="s">
        <v>128</v>
      </c>
      <c r="L7" s="98" t="s">
        <v>123</v>
      </c>
      <c r="M7" s="137">
        <v>74</v>
      </c>
      <c r="N7" s="99"/>
      <c r="O7" s="100">
        <f t="shared" si="1"/>
        <v>0</v>
      </c>
      <c r="P7" s="138">
        <v>1618</v>
      </c>
      <c r="Q7" s="100">
        <f t="shared" si="2"/>
        <v>99976.22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99976.22</v>
      </c>
      <c r="W7" s="102"/>
      <c r="X7" s="103"/>
    </row>
    <row r="8" spans="1:24" s="104" customFormat="1" ht="19.899999999999999" customHeight="1" x14ac:dyDescent="0.3">
      <c r="A8" s="94"/>
      <c r="B8" s="95"/>
      <c r="C8" s="95"/>
      <c r="D8" s="95"/>
      <c r="E8" s="95"/>
      <c r="F8" s="97"/>
      <c r="G8" s="96"/>
      <c r="H8" s="96"/>
      <c r="I8" s="97"/>
      <c r="J8" s="98" t="str">
        <f>"시중가_"&amp;K8&amp;")"</f>
        <v>시중가_합지벽지(LG하우시스 휘앙세))</v>
      </c>
      <c r="K8" s="98" t="s">
        <v>129</v>
      </c>
      <c r="L8" s="98" t="s">
        <v>123</v>
      </c>
      <c r="M8" s="137">
        <v>184</v>
      </c>
      <c r="N8" s="99">
        <v>1300</v>
      </c>
      <c r="O8" s="100">
        <f t="shared" ref="O8:O9" si="6">SUM(N8:N8)*M8*$O$2</f>
        <v>199732</v>
      </c>
      <c r="P8" s="105"/>
      <c r="Q8" s="100">
        <f t="shared" ref="Q8:Q9" si="7">(P8*M8)*$Q$2</f>
        <v>0</v>
      </c>
      <c r="R8" s="101"/>
      <c r="S8" s="100">
        <f t="shared" ref="S8:S9" si="8">R8*M8*$S$2</f>
        <v>0</v>
      </c>
      <c r="T8" s="101"/>
      <c r="U8" s="100">
        <f t="shared" ref="U8:U9" si="9">T8*M8*$U$2</f>
        <v>0</v>
      </c>
      <c r="V8" s="101">
        <f t="shared" ref="V8:V9" si="10">SUM(O8+Q8)+S8+U8</f>
        <v>199732</v>
      </c>
      <c r="W8" s="102"/>
      <c r="X8" s="103"/>
    </row>
    <row r="9" spans="1:24" s="104" customFormat="1" ht="19.899999999999999" customHeight="1" x14ac:dyDescent="0.3">
      <c r="A9" s="94" t="str">
        <f t="shared" si="0"/>
        <v/>
      </c>
      <c r="B9" s="95"/>
      <c r="C9" s="95"/>
      <c r="D9" s="95"/>
      <c r="E9" s="95"/>
      <c r="F9" s="97"/>
      <c r="G9" s="96"/>
      <c r="H9" s="96"/>
      <c r="I9" s="97"/>
      <c r="J9" s="139"/>
      <c r="K9" s="139"/>
      <c r="L9" s="140"/>
      <c r="M9" s="137"/>
      <c r="N9" s="99"/>
      <c r="O9" s="100">
        <f t="shared" si="6"/>
        <v>0</v>
      </c>
      <c r="P9" s="105"/>
      <c r="Q9" s="100">
        <f t="shared" si="7"/>
        <v>0</v>
      </c>
      <c r="R9" s="101"/>
      <c r="S9" s="100">
        <f t="shared" si="8"/>
        <v>0</v>
      </c>
      <c r="T9" s="101"/>
      <c r="U9" s="100">
        <f t="shared" si="9"/>
        <v>0</v>
      </c>
      <c r="V9" s="101">
        <f t="shared" si="10"/>
        <v>0</v>
      </c>
      <c r="W9" s="106"/>
      <c r="X9" s="103"/>
    </row>
    <row r="10" spans="1:24" s="108" customFormat="1" ht="19.899999999999999" customHeight="1" x14ac:dyDescent="0.3">
      <c r="A10" s="107"/>
      <c r="B10" s="107"/>
      <c r="C10" s="107"/>
      <c r="D10" s="107"/>
      <c r="E10" s="107"/>
      <c r="O10" s="109">
        <f>SUM(O5:O9)</f>
        <v>199732</v>
      </c>
      <c r="P10" s="110"/>
      <c r="Q10" s="109">
        <f>SUM(Q5:Q9)</f>
        <v>1231883.8499999999</v>
      </c>
      <c r="R10" s="110"/>
      <c r="S10" s="109">
        <f>SUM(S5:S9)</f>
        <v>0</v>
      </c>
      <c r="T10" s="110"/>
      <c r="U10" s="109">
        <f>SUM(U5:U9)</f>
        <v>0</v>
      </c>
      <c r="V10" s="111">
        <f>SUM(V5:V9)</f>
        <v>1431615.8499999999</v>
      </c>
      <c r="W10" s="112"/>
    </row>
    <row r="14" spans="1:24" x14ac:dyDescent="0.3">
      <c r="Q14" s="11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25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136" customWidth="1"/>
    <col min="2" max="2" width="27.625" style="136" customWidth="1"/>
    <col min="3" max="3" width="5.75" style="136" customWidth="1"/>
    <col min="4" max="4" width="5.25" style="136" customWidth="1"/>
    <col min="5" max="8" width="20.625" style="136" customWidth="1"/>
    <col min="9" max="12" width="20.625" style="136" hidden="1" customWidth="1"/>
    <col min="13" max="14" width="20.625" style="136" customWidth="1"/>
    <col min="15" max="15" width="32.75" style="136" customWidth="1"/>
    <col min="16" max="16384" width="9" style="115"/>
  </cols>
  <sheetData>
    <row r="1" spans="1:16" ht="27" customHeight="1" x14ac:dyDescent="0.3">
      <c r="A1" s="166" t="s">
        <v>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6" ht="12.95" customHeight="1" x14ac:dyDescent="0.3">
      <c r="A2" s="168" t="s">
        <v>77</v>
      </c>
      <c r="B2" s="169" t="s">
        <v>78</v>
      </c>
      <c r="C2" s="170" t="s">
        <v>52</v>
      </c>
      <c r="D2" s="170" t="s">
        <v>79</v>
      </c>
      <c r="E2" s="172" t="s">
        <v>80</v>
      </c>
      <c r="F2" s="169"/>
      <c r="G2" s="169" t="s">
        <v>81</v>
      </c>
      <c r="H2" s="169"/>
      <c r="I2" s="173" t="s">
        <v>82</v>
      </c>
      <c r="J2" s="174"/>
      <c r="K2" s="173" t="s">
        <v>83</v>
      </c>
      <c r="L2" s="174"/>
      <c r="M2" s="172" t="s">
        <v>84</v>
      </c>
      <c r="N2" s="169"/>
      <c r="O2" s="175" t="s">
        <v>85</v>
      </c>
    </row>
    <row r="3" spans="1:16" ht="12.95" customHeight="1" x14ac:dyDescent="0.3">
      <c r="A3" s="168"/>
      <c r="B3" s="169"/>
      <c r="C3" s="171"/>
      <c r="D3" s="171"/>
      <c r="E3" s="116" t="s">
        <v>86</v>
      </c>
      <c r="F3" s="116" t="s">
        <v>87</v>
      </c>
      <c r="G3" s="117" t="s">
        <v>86</v>
      </c>
      <c r="H3" s="116" t="s">
        <v>88</v>
      </c>
      <c r="I3" s="116"/>
      <c r="J3" s="116"/>
      <c r="K3" s="117" t="s">
        <v>86</v>
      </c>
      <c r="L3" s="116" t="s">
        <v>88</v>
      </c>
      <c r="M3" s="117" t="s">
        <v>86</v>
      </c>
      <c r="N3" s="116" t="s">
        <v>88</v>
      </c>
      <c r="O3" s="176"/>
    </row>
    <row r="4" spans="1:16" ht="12.95" customHeight="1" x14ac:dyDescent="0.3">
      <c r="A4" s="186" t="s">
        <v>159</v>
      </c>
      <c r="B4" s="187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</row>
    <row r="5" spans="1:16" ht="12.95" customHeight="1" x14ac:dyDescent="0.3">
      <c r="A5" s="180" t="s">
        <v>89</v>
      </c>
      <c r="B5" s="119" t="s">
        <v>90</v>
      </c>
      <c r="C5" s="120" t="s">
        <v>91</v>
      </c>
      <c r="D5" s="121">
        <v>40</v>
      </c>
      <c r="E5" s="122">
        <v>1086</v>
      </c>
      <c r="F5" s="123">
        <f t="shared" ref="F5:F12" si="0">D5*E5</f>
        <v>43440</v>
      </c>
      <c r="G5" s="123">
        <v>5587</v>
      </c>
      <c r="H5" s="122">
        <f t="shared" ref="H5:H13" si="1">D5*G5</f>
        <v>223480</v>
      </c>
      <c r="I5" s="122"/>
      <c r="J5" s="122"/>
      <c r="K5" s="123"/>
      <c r="L5" s="123"/>
      <c r="M5" s="123"/>
      <c r="N5" s="123">
        <f>F5+H5+J5+L5</f>
        <v>266920</v>
      </c>
      <c r="O5" s="177" t="s">
        <v>131</v>
      </c>
    </row>
    <row r="6" spans="1:16" ht="12.95" customHeight="1" x14ac:dyDescent="0.3">
      <c r="A6" s="181"/>
      <c r="B6" s="119" t="s">
        <v>92</v>
      </c>
      <c r="C6" s="120" t="s">
        <v>91</v>
      </c>
      <c r="D6" s="121">
        <v>24</v>
      </c>
      <c r="E6" s="122">
        <v>1086</v>
      </c>
      <c r="F6" s="123">
        <f t="shared" si="0"/>
        <v>26064</v>
      </c>
      <c r="G6" s="123">
        <v>7263</v>
      </c>
      <c r="H6" s="122">
        <f t="shared" si="1"/>
        <v>174312</v>
      </c>
      <c r="I6" s="122"/>
      <c r="J6" s="122"/>
      <c r="K6" s="123"/>
      <c r="L6" s="123"/>
      <c r="M6" s="123"/>
      <c r="N6" s="123">
        <f t="shared" ref="N6:N13" si="2">F6+H6+J6+L6</f>
        <v>200376</v>
      </c>
      <c r="O6" s="178"/>
    </row>
    <row r="7" spans="1:16" ht="12.95" customHeight="1" x14ac:dyDescent="0.3">
      <c r="A7" s="181"/>
      <c r="B7" s="119" t="s">
        <v>93</v>
      </c>
      <c r="C7" s="120" t="s">
        <v>91</v>
      </c>
      <c r="D7" s="121">
        <v>32</v>
      </c>
      <c r="E7" s="122">
        <v>1086</v>
      </c>
      <c r="F7" s="123">
        <f t="shared" si="0"/>
        <v>34752</v>
      </c>
      <c r="G7" s="123">
        <v>5587</v>
      </c>
      <c r="H7" s="122">
        <f t="shared" si="1"/>
        <v>178784</v>
      </c>
      <c r="I7" s="122"/>
      <c r="J7" s="122"/>
      <c r="K7" s="123"/>
      <c r="L7" s="123"/>
      <c r="M7" s="123"/>
      <c r="N7" s="123">
        <f t="shared" si="2"/>
        <v>213536</v>
      </c>
      <c r="O7" s="178"/>
    </row>
    <row r="8" spans="1:16" ht="12.95" customHeight="1" x14ac:dyDescent="0.3">
      <c r="A8" s="181"/>
      <c r="B8" s="119" t="s">
        <v>94</v>
      </c>
      <c r="C8" s="120" t="s">
        <v>91</v>
      </c>
      <c r="D8" s="121">
        <v>16</v>
      </c>
      <c r="E8" s="122">
        <v>1086</v>
      </c>
      <c r="F8" s="123">
        <f t="shared" si="0"/>
        <v>17376</v>
      </c>
      <c r="G8" s="123">
        <v>7263</v>
      </c>
      <c r="H8" s="122">
        <f t="shared" si="1"/>
        <v>116208</v>
      </c>
      <c r="I8" s="122"/>
      <c r="J8" s="122"/>
      <c r="K8" s="123"/>
      <c r="L8" s="123"/>
      <c r="M8" s="123"/>
      <c r="N8" s="123">
        <f t="shared" si="2"/>
        <v>133584</v>
      </c>
      <c r="O8" s="178"/>
    </row>
    <row r="9" spans="1:16" ht="12.95" customHeight="1" x14ac:dyDescent="0.3">
      <c r="A9" s="181"/>
      <c r="B9" s="119" t="s">
        <v>95</v>
      </c>
      <c r="C9" s="120" t="s">
        <v>91</v>
      </c>
      <c r="D9" s="121">
        <v>25</v>
      </c>
      <c r="E9" s="122">
        <v>1086</v>
      </c>
      <c r="F9" s="123">
        <f t="shared" si="0"/>
        <v>27150</v>
      </c>
      <c r="G9" s="123">
        <v>5587</v>
      </c>
      <c r="H9" s="122">
        <f t="shared" si="1"/>
        <v>139675</v>
      </c>
      <c r="I9" s="122"/>
      <c r="J9" s="122"/>
      <c r="K9" s="123"/>
      <c r="L9" s="123"/>
      <c r="M9" s="123"/>
      <c r="N9" s="123">
        <f t="shared" si="2"/>
        <v>166825</v>
      </c>
      <c r="O9" s="178"/>
    </row>
    <row r="10" spans="1:16" ht="12.95" customHeight="1" x14ac:dyDescent="0.3">
      <c r="A10" s="181"/>
      <c r="B10" s="119" t="s">
        <v>96</v>
      </c>
      <c r="C10" s="120" t="s">
        <v>91</v>
      </c>
      <c r="D10" s="121">
        <v>11</v>
      </c>
      <c r="E10" s="122">
        <v>1086</v>
      </c>
      <c r="F10" s="123">
        <f t="shared" si="0"/>
        <v>11946</v>
      </c>
      <c r="G10" s="123">
        <v>7263</v>
      </c>
      <c r="H10" s="122">
        <f t="shared" si="1"/>
        <v>79893</v>
      </c>
      <c r="I10" s="122"/>
      <c r="J10" s="122"/>
      <c r="K10" s="123"/>
      <c r="L10" s="123"/>
      <c r="M10" s="123"/>
      <c r="N10" s="123">
        <f t="shared" si="2"/>
        <v>91839</v>
      </c>
      <c r="O10" s="178"/>
    </row>
    <row r="11" spans="1:16" ht="12.95" customHeight="1" x14ac:dyDescent="0.3">
      <c r="A11" s="181"/>
      <c r="B11" s="119" t="s">
        <v>97</v>
      </c>
      <c r="C11" s="120" t="s">
        <v>91</v>
      </c>
      <c r="D11" s="121">
        <v>25</v>
      </c>
      <c r="E11" s="122">
        <v>1086</v>
      </c>
      <c r="F11" s="123">
        <f t="shared" si="0"/>
        <v>27150</v>
      </c>
      <c r="G11" s="123">
        <v>5587</v>
      </c>
      <c r="H11" s="122">
        <f t="shared" si="1"/>
        <v>139675</v>
      </c>
      <c r="I11" s="122"/>
      <c r="J11" s="122"/>
      <c r="K11" s="123"/>
      <c r="L11" s="123"/>
      <c r="M11" s="123"/>
      <c r="N11" s="123">
        <f t="shared" si="2"/>
        <v>166825</v>
      </c>
      <c r="O11" s="178"/>
    </row>
    <row r="12" spans="1:16" ht="12.95" customHeight="1" x14ac:dyDescent="0.3">
      <c r="A12" s="181"/>
      <c r="B12" s="119" t="s">
        <v>98</v>
      </c>
      <c r="C12" s="120" t="s">
        <v>91</v>
      </c>
      <c r="D12" s="121">
        <v>11</v>
      </c>
      <c r="E12" s="122">
        <v>1086</v>
      </c>
      <c r="F12" s="123">
        <f t="shared" si="0"/>
        <v>11946</v>
      </c>
      <c r="G12" s="123">
        <v>7263</v>
      </c>
      <c r="H12" s="122">
        <f t="shared" si="1"/>
        <v>79893</v>
      </c>
      <c r="I12" s="122"/>
      <c r="J12" s="122"/>
      <c r="K12" s="123"/>
      <c r="L12" s="123"/>
      <c r="M12" s="123"/>
      <c r="N12" s="123">
        <f t="shared" si="2"/>
        <v>91839</v>
      </c>
      <c r="O12" s="178"/>
    </row>
    <row r="13" spans="1:16" ht="12.95" customHeight="1" x14ac:dyDescent="0.3">
      <c r="A13" s="182"/>
      <c r="B13" s="119" t="s">
        <v>136</v>
      </c>
      <c r="C13" s="120" t="s">
        <v>91</v>
      </c>
      <c r="D13" s="124">
        <f>SUM(D5:D12)*40%</f>
        <v>73.600000000000009</v>
      </c>
      <c r="E13" s="122"/>
      <c r="F13" s="123"/>
      <c r="G13" s="123">
        <v>1351</v>
      </c>
      <c r="H13" s="122">
        <f t="shared" si="1"/>
        <v>99433.600000000006</v>
      </c>
      <c r="I13" s="122"/>
      <c r="J13" s="122"/>
      <c r="K13" s="123"/>
      <c r="L13" s="123"/>
      <c r="M13" s="123"/>
      <c r="N13" s="123">
        <f t="shared" si="2"/>
        <v>99433.600000000006</v>
      </c>
      <c r="O13" s="179"/>
    </row>
    <row r="14" spans="1:16" ht="12.95" customHeight="1" x14ac:dyDescent="0.3">
      <c r="A14" s="141" t="s">
        <v>99</v>
      </c>
      <c r="B14" s="125"/>
      <c r="C14" s="126"/>
      <c r="D14" s="127">
        <f>SUM(D5:D12)</f>
        <v>184</v>
      </c>
      <c r="E14" s="128"/>
      <c r="F14" s="128">
        <f>SUM(F5:F13)</f>
        <v>199824</v>
      </c>
      <c r="G14" s="128"/>
      <c r="H14" s="128">
        <f>SUM(H5:H13)</f>
        <v>1231353.6000000001</v>
      </c>
      <c r="I14" s="128"/>
      <c r="J14" s="128">
        <f>SUM(J5:J13)</f>
        <v>0</v>
      </c>
      <c r="K14" s="128"/>
      <c r="L14" s="128">
        <f>SUM(L5:L13)</f>
        <v>0</v>
      </c>
      <c r="M14" s="128"/>
      <c r="N14" s="128">
        <f>SUM(N5:N13)</f>
        <v>1431177.6</v>
      </c>
      <c r="O14" s="128"/>
      <c r="P14" s="129"/>
    </row>
    <row r="15" spans="1:16" ht="12.95" customHeight="1" x14ac:dyDescent="0.3">
      <c r="A15" s="183" t="s">
        <v>100</v>
      </c>
      <c r="B15" s="119" t="s">
        <v>101</v>
      </c>
      <c r="C15" s="120" t="s">
        <v>91</v>
      </c>
      <c r="D15" s="124"/>
      <c r="E15" s="122"/>
      <c r="F15" s="122"/>
      <c r="G15" s="122"/>
      <c r="H15" s="123"/>
      <c r="I15" s="122"/>
      <c r="J15" s="122"/>
      <c r="K15" s="122"/>
      <c r="L15" s="123"/>
      <c r="M15" s="122"/>
      <c r="N15" s="123"/>
      <c r="O15" s="177" t="s">
        <v>132</v>
      </c>
    </row>
    <row r="16" spans="1:16" ht="12.95" customHeight="1" x14ac:dyDescent="0.3">
      <c r="A16" s="184"/>
      <c r="B16" s="119" t="s">
        <v>102</v>
      </c>
      <c r="C16" s="120" t="s">
        <v>91</v>
      </c>
      <c r="D16" s="130"/>
      <c r="E16" s="122"/>
      <c r="F16" s="122"/>
      <c r="G16" s="122"/>
      <c r="H16" s="123"/>
      <c r="I16" s="122"/>
      <c r="J16" s="122"/>
      <c r="K16" s="122"/>
      <c r="L16" s="123"/>
      <c r="M16" s="122"/>
      <c r="N16" s="123"/>
      <c r="O16" s="178"/>
    </row>
    <row r="17" spans="1:15" ht="12.95" customHeight="1" x14ac:dyDescent="0.3">
      <c r="A17" s="184"/>
      <c r="B17" s="119" t="s">
        <v>103</v>
      </c>
      <c r="C17" s="120" t="s">
        <v>91</v>
      </c>
      <c r="D17" s="130"/>
      <c r="E17" s="122"/>
      <c r="F17" s="122"/>
      <c r="G17" s="122"/>
      <c r="H17" s="123"/>
      <c r="I17" s="122"/>
      <c r="J17" s="122"/>
      <c r="K17" s="122"/>
      <c r="L17" s="123"/>
      <c r="M17" s="122"/>
      <c r="N17" s="123"/>
      <c r="O17" s="178"/>
    </row>
    <row r="18" spans="1:15" ht="12.95" customHeight="1" x14ac:dyDescent="0.3">
      <c r="A18" s="184"/>
      <c r="B18" s="119" t="s">
        <v>104</v>
      </c>
      <c r="C18" s="120" t="s">
        <v>91</v>
      </c>
      <c r="D18" s="130"/>
      <c r="E18" s="122"/>
      <c r="F18" s="122"/>
      <c r="G18" s="122"/>
      <c r="H18" s="123"/>
      <c r="I18" s="122"/>
      <c r="J18" s="122"/>
      <c r="K18" s="122"/>
      <c r="L18" s="123"/>
      <c r="M18" s="122"/>
      <c r="N18" s="123"/>
      <c r="O18" s="178"/>
    </row>
    <row r="19" spans="1:15" ht="12.95" customHeight="1" x14ac:dyDescent="0.3">
      <c r="A19" s="184"/>
      <c r="B19" s="119" t="s">
        <v>105</v>
      </c>
      <c r="C19" s="120" t="s">
        <v>106</v>
      </c>
      <c r="D19" s="130"/>
      <c r="E19" s="123"/>
      <c r="F19" s="123"/>
      <c r="G19" s="122"/>
      <c r="H19" s="123"/>
      <c r="I19" s="123"/>
      <c r="J19" s="123"/>
      <c r="K19" s="122"/>
      <c r="L19" s="123"/>
      <c r="M19" s="122"/>
      <c r="N19" s="123"/>
      <c r="O19" s="178"/>
    </row>
    <row r="20" spans="1:15" ht="12.95" customHeight="1" x14ac:dyDescent="0.3">
      <c r="A20" s="184"/>
      <c r="B20" s="119" t="s">
        <v>107</v>
      </c>
      <c r="C20" s="120" t="s">
        <v>91</v>
      </c>
      <c r="D20" s="124"/>
      <c r="E20" s="123"/>
      <c r="F20" s="123"/>
      <c r="G20" s="122"/>
      <c r="H20" s="123"/>
      <c r="I20" s="123"/>
      <c r="J20" s="123"/>
      <c r="K20" s="122"/>
      <c r="L20" s="123"/>
      <c r="M20" s="122"/>
      <c r="N20" s="123"/>
      <c r="O20" s="178"/>
    </row>
    <row r="21" spans="1:15" ht="12.95" customHeight="1" x14ac:dyDescent="0.3">
      <c r="A21" s="184"/>
      <c r="B21" s="119" t="s">
        <v>108</v>
      </c>
      <c r="C21" s="120" t="s">
        <v>91</v>
      </c>
      <c r="D21" s="130"/>
      <c r="E21" s="123"/>
      <c r="F21" s="123"/>
      <c r="G21" s="122"/>
      <c r="H21" s="123"/>
      <c r="I21" s="123"/>
      <c r="J21" s="123"/>
      <c r="K21" s="122"/>
      <c r="L21" s="123"/>
      <c r="M21" s="122"/>
      <c r="N21" s="123"/>
      <c r="O21" s="178"/>
    </row>
    <row r="22" spans="1:15" ht="12.95" customHeight="1" x14ac:dyDescent="0.3">
      <c r="A22" s="184"/>
      <c r="B22" s="119" t="s">
        <v>109</v>
      </c>
      <c r="C22" s="120" t="s">
        <v>91</v>
      </c>
      <c r="D22" s="130"/>
      <c r="E22" s="123"/>
      <c r="F22" s="123"/>
      <c r="G22" s="122"/>
      <c r="H22" s="123"/>
      <c r="I22" s="123"/>
      <c r="J22" s="123"/>
      <c r="K22" s="122"/>
      <c r="L22" s="123"/>
      <c r="M22" s="122"/>
      <c r="N22" s="123"/>
      <c r="O22" s="178"/>
    </row>
    <row r="23" spans="1:15" ht="12.95" customHeight="1" x14ac:dyDescent="0.3">
      <c r="A23" s="185"/>
      <c r="B23" s="119" t="s">
        <v>110</v>
      </c>
      <c r="C23" s="120" t="s">
        <v>91</v>
      </c>
      <c r="D23" s="130"/>
      <c r="E23" s="123"/>
      <c r="F23" s="123"/>
      <c r="G23" s="122"/>
      <c r="H23" s="123"/>
      <c r="I23" s="123"/>
      <c r="J23" s="123"/>
      <c r="K23" s="122"/>
      <c r="L23" s="123"/>
      <c r="M23" s="122"/>
      <c r="N23" s="123"/>
      <c r="O23" s="179"/>
    </row>
    <row r="24" spans="1:15" ht="12.95" customHeight="1" x14ac:dyDescent="0.3">
      <c r="A24" s="141" t="s">
        <v>99</v>
      </c>
      <c r="B24" s="125"/>
      <c r="C24" s="131"/>
      <c r="D24" s="131">
        <f>SUM(D20:D23)</f>
        <v>0</v>
      </c>
      <c r="E24" s="128"/>
      <c r="F24" s="128">
        <f>SUM(F15:F23)</f>
        <v>0</v>
      </c>
      <c r="G24" s="128"/>
      <c r="H24" s="128">
        <f>SUM(H15:H23)</f>
        <v>0</v>
      </c>
      <c r="I24" s="128"/>
      <c r="J24" s="128">
        <f>SUM(J15:J23)</f>
        <v>0</v>
      </c>
      <c r="K24" s="128"/>
      <c r="L24" s="128">
        <f>SUM(L15:L23)</f>
        <v>0</v>
      </c>
      <c r="M24" s="128"/>
      <c r="N24" s="128">
        <f>SUM(N15:N23)</f>
        <v>0</v>
      </c>
      <c r="O24" s="128"/>
    </row>
    <row r="25" spans="1:15" ht="12.95" customHeight="1" x14ac:dyDescent="0.3">
      <c r="A25" s="142" t="s">
        <v>111</v>
      </c>
      <c r="B25" s="132"/>
      <c r="C25" s="133"/>
      <c r="D25" s="134"/>
      <c r="E25" s="135"/>
      <c r="F25" s="135">
        <f>F14+F24</f>
        <v>199824</v>
      </c>
      <c r="G25" s="135"/>
      <c r="H25" s="135">
        <f>H14+H24</f>
        <v>1231353.6000000001</v>
      </c>
      <c r="I25" s="135"/>
      <c r="J25" s="135" t="e">
        <f>J15+J24+#REF!+#REF!+#REF!+#REF!+#REF!+#REF!+#REF!</f>
        <v>#REF!</v>
      </c>
      <c r="K25" s="135"/>
      <c r="L25" s="135"/>
      <c r="M25" s="135"/>
      <c r="N25" s="135">
        <f>N14+N24</f>
        <v>1431177.6</v>
      </c>
      <c r="O25" s="135"/>
    </row>
  </sheetData>
  <mergeCells count="16">
    <mergeCell ref="O5:O13"/>
    <mergeCell ref="A5:A13"/>
    <mergeCell ref="O15:O23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188" t="s">
        <v>112</v>
      </c>
      <c r="B2" s="188"/>
      <c r="G2" s="69"/>
      <c r="L2" s="69"/>
      <c r="N2" s="69"/>
      <c r="O2" s="70"/>
      <c r="P2" s="70"/>
    </row>
    <row r="3" spans="1:16" s="68" customFormat="1" x14ac:dyDescent="0.3">
      <c r="A3" s="71" t="s">
        <v>113</v>
      </c>
      <c r="B3" s="72" t="s">
        <v>114</v>
      </c>
      <c r="C3" s="72" t="s">
        <v>115</v>
      </c>
      <c r="D3" s="72" t="s">
        <v>116</v>
      </c>
      <c r="E3" s="73" t="s">
        <v>117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118</v>
      </c>
      <c r="C4" s="75" t="s">
        <v>119</v>
      </c>
      <c r="D4" s="76">
        <v>1300</v>
      </c>
      <c r="E4" s="77" t="s">
        <v>135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4"/>
  <sheetViews>
    <sheetView tabSelected="1" workbookViewId="0">
      <selection activeCell="A3" sqref="A3:XFD3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7.6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45" t="s">
        <v>48</v>
      </c>
      <c r="B1" s="146" t="s">
        <v>49</v>
      </c>
      <c r="C1" s="146" t="s">
        <v>50</v>
      </c>
      <c r="D1" s="146" t="s">
        <v>51</v>
      </c>
      <c r="E1" s="146" t="s">
        <v>52</v>
      </c>
      <c r="F1" s="146" t="s">
        <v>5</v>
      </c>
      <c r="G1" s="146" t="s">
        <v>53</v>
      </c>
      <c r="H1" s="146" t="s">
        <v>54</v>
      </c>
      <c r="I1" s="146" t="s">
        <v>55</v>
      </c>
      <c r="J1" s="146" t="s">
        <v>56</v>
      </c>
      <c r="K1" s="146" t="s">
        <v>57</v>
      </c>
      <c r="L1" s="146" t="s">
        <v>58</v>
      </c>
      <c r="M1" s="146" t="s">
        <v>59</v>
      </c>
      <c r="N1" s="146" t="s">
        <v>60</v>
      </c>
      <c r="O1" s="146" t="s">
        <v>61</v>
      </c>
      <c r="P1" s="146" t="s">
        <v>62</v>
      </c>
      <c r="Q1" s="146" t="s">
        <v>63</v>
      </c>
      <c r="R1" s="146" t="s">
        <v>64</v>
      </c>
    </row>
    <row r="2" spans="1:18" x14ac:dyDescent="0.3">
      <c r="A2" s="83">
        <v>999999</v>
      </c>
      <c r="B2" s="82" t="s">
        <v>130</v>
      </c>
      <c r="C2" s="83" t="s">
        <v>134</v>
      </c>
      <c r="D2" s="83" t="s">
        <v>133</v>
      </c>
      <c r="E2" s="83" t="s">
        <v>123</v>
      </c>
      <c r="F2" s="143">
        <v>184</v>
      </c>
      <c r="G2" s="144">
        <v>1086</v>
      </c>
      <c r="H2" s="144"/>
      <c r="I2" s="144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D3" s="79"/>
    </row>
    <row r="4" spans="1:18" x14ac:dyDescent="0.3">
      <c r="D4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Normal="100" workbookViewId="0">
      <selection activeCell="L26" sqref="L26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45" t="s">
        <v>0</v>
      </c>
      <c r="B1" s="145" t="s">
        <v>1</v>
      </c>
      <c r="C1" s="145" t="s">
        <v>2</v>
      </c>
      <c r="D1" s="145" t="s">
        <v>3</v>
      </c>
      <c r="E1" s="145" t="s">
        <v>4</v>
      </c>
      <c r="F1" s="145" t="s">
        <v>5</v>
      </c>
    </row>
    <row r="2" spans="1:6" x14ac:dyDescent="0.3">
      <c r="A2" s="147" t="str">
        <f>'내역서(표준단가)'!A5</f>
        <v>D02641</v>
      </c>
      <c r="B2" s="148" t="str">
        <f>'내역서(표준단가)'!F5</f>
        <v>D02641</v>
      </c>
      <c r="C2" s="148">
        <f>'내역서(표준단가)'!G5</f>
        <v>0</v>
      </c>
      <c r="D2" s="148">
        <f>'내역서(표준단가)'!H5</f>
        <v>0</v>
      </c>
      <c r="E2" s="148">
        <f>'내역서(표준단가)'!I5</f>
        <v>0</v>
      </c>
      <c r="F2" s="148">
        <f>'내역서(표준단가)'!M5</f>
        <v>122</v>
      </c>
    </row>
    <row r="3" spans="1:6" x14ac:dyDescent="0.3">
      <c r="A3" s="147" t="str">
        <f>'내역서(표준단가)'!A6</f>
        <v>D02642</v>
      </c>
      <c r="B3" s="148" t="str">
        <f>'내역서(표준단가)'!F6</f>
        <v>D02642</v>
      </c>
      <c r="C3" s="148">
        <f>'내역서(표준단가)'!G6</f>
        <v>0</v>
      </c>
      <c r="D3" s="148">
        <f>'내역서(표준단가)'!H6</f>
        <v>0</v>
      </c>
      <c r="E3" s="148">
        <f>'내역서(표준단가)'!I6</f>
        <v>0</v>
      </c>
      <c r="F3" s="148">
        <f>'내역서(표준단가)'!M6</f>
        <v>62</v>
      </c>
    </row>
    <row r="4" spans="1:6" x14ac:dyDescent="0.3">
      <c r="A4" s="147" t="str">
        <f>'내역서(표준단가)'!A7</f>
        <v>D02873</v>
      </c>
      <c r="B4" s="148" t="str">
        <f>'내역서(표준단가)'!F7</f>
        <v>D02873</v>
      </c>
      <c r="C4" s="148">
        <f>'내역서(표준단가)'!G7</f>
        <v>0</v>
      </c>
      <c r="D4" s="148">
        <f>'내역서(표준단가)'!H7</f>
        <v>0</v>
      </c>
      <c r="E4" s="148">
        <f>'내역서(표준단가)'!I7</f>
        <v>0</v>
      </c>
      <c r="F4" s="148">
        <f>'내역서(표준단가)'!M7</f>
        <v>74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2025-01-15T07:16:31Z</dcterms:modified>
</cp:coreProperties>
</file>
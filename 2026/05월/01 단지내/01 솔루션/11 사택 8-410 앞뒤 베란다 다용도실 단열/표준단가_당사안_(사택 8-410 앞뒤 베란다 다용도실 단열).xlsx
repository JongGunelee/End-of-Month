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75127185-898A-4AE3-AFE0-B96522B2B9A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/>
  <c r="O5" i="4"/>
  <c r="M5" i="4"/>
  <c r="A5" i="4"/>
  <c r="A2" i="1" s="1"/>
  <c r="R5" i="4" l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R7" i="4" l="1"/>
  <c r="R8" i="4"/>
  <c r="R9" i="4"/>
  <c r="R6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<sst xmlns="http://schemas.openxmlformats.org/spreadsheetml/2006/main" count="121" uniqueCount="100">
  <si>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</si>
  <si>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</si>
  <si>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</si>
  <si>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</si>
  <si>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</si>
  <si>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</si>
  <si>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</si>
  <si>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</si>
  <si>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</si>
  <si>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</si>
  <si>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</si>
  <si>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</si>
  <si>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</si>
  <si>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</si>
  <si>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</si>
  <si>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</si>
  <si>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</si>
  <si>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</si>
  <si>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</si>
  <si>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</si>
  <si>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</si>
  <si>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</si>
  <si>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</si>
  <si>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</si>
  <si>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</si>
  <si>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</si>
  <si>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</si>
  <si>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</si>
  <si>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</si>
  <si>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</si>
  <si>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</si>
  <si>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</si>
  <si>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</si>
  <si>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</si>
  <si>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</si>
  <si>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</si>
  <si>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</si>
  <si>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</si>
  <si>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</si>
  <si>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</si>
  <si>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</si>
  <si>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</si>
  <si>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</si>
  <si>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</si>
  <si>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</si>
  <si>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</si>
  <si>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</si>
  <si>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</si>
  <si>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</si>
  <si>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</si>
  <si>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</si>
  <si>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</si>
  <si>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</si>
  <si>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</si>
  <si>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</si>
  <si>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</si>
  <si>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</si>
  <si>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</si>
  <si>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</si>
  <si>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</si>
  <si>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</si>
  <si>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</si>
  <si>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</si>
  <si>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</si>
  <si>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</si>
  <si>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</si>
  <si>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</si>
  <si>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</si>
  <si>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</si>
  <si>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</si>
  <si>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</si>
  <si>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</si>
  <si>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</si>
  <si>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</si>
  <si>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</si>
  <si>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</si>
  <si>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</si>
  <si>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</si>
  <si>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</si>
  <si>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</si>
  <si>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</si>
  <si>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</si>
  <si>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</si>
  <si>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</si>
  <si>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</si>
  <si>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</si>
  <si>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</si>
  <si>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</si>
  <si>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</si>
  <si>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</si>
  <si>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</si>
  <si>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</si>
  <si>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35㎡),시공총량40/일당35=1.1429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</si>
  <si>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</si>
  <si>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</si>
  <si>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L002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</si>
  <si>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</si>
  <si>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</si>
  <si>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8-410 앞뒤 다용도실 단열작업(열반사6t+이보드 23t)</t>
    <phoneticPr fontId="16" type="noConversion"/>
  </si>
  <si>
    <t xml:space="preserve"> 견적일 : 2026년  03월  30일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</si>
</sst>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0_ "/>
    <numFmt numFmtId="185" formatCode="#,##0;\-#,##0;"/>
    <numFmt numFmtId="186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184" fontId="21" fillId="0" borderId="1" xfId="1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5" fontId="21" fillId="12" borderId="3" xfId="31" applyNumberFormat="1" applyFont="1" applyFill="1" applyBorder="1" applyAlignment="1">
      <alignment horizontal="right" vertical="center"/>
    </xf>
    <xf numFmtId="185" fontId="21" fillId="6" borderId="3" xfId="1" applyNumberFormat="1" applyFont="1" applyFill="1" applyBorder="1" applyAlignment="1">
      <alignment horizontal="right" vertical="center" wrapText="1"/>
    </xf>
    <xf numFmtId="185" fontId="21" fillId="0" borderId="3" xfId="1" applyNumberFormat="1" applyFont="1" applyFill="1" applyBorder="1" applyAlignment="1">
      <alignment horizontal="right" vertical="center" wrapText="1"/>
    </xf>
    <xf numFmtId="185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6" fontId="21" fillId="12" borderId="3" xfId="32" applyNumberFormat="1" applyFont="1" applyFill="1" applyBorder="1" applyAlignment="1">
      <alignment horizontal="center" vertical="center"/>
    </xf>
    <xf numFmtId="186" fontId="21" fillId="5" borderId="3" xfId="1" applyNumberFormat="1" applyFont="1" applyFill="1" applyBorder="1" applyAlignment="1">
      <alignment horizontal="center" vertical="center"/>
    </xf>
    <xf numFmtId="186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8" fillId="12" borderId="3" xfId="32" applyNumberFormat="1" applyFont="1" applyFill="1" applyBorder="1" applyAlignment="1">
      <alignment horizontal="right" vertical="center"/>
    </xf>
    <xf numFmtId="183" fontId="28" fillId="12" borderId="3" xfId="31" applyNumberFormat="1" applyFont="1" applyFill="1" applyBorder="1" applyAlignment="1">
      <alignment vertical="center" wrapText="1"/>
    </xf>
    <xf numFmtId="176" fontId="28" fillId="12" borderId="3" xfId="32" applyFont="1" applyFill="1" applyBorder="1">
      <alignment vertical="center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D826A050-BD22-41DF-B264-4867D2373CBC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357215B0-0350-4163-B1AD-82BE912566C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7" sqref="M1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5"/>
      <c r="B3" s="85"/>
      <c r="C3" s="85"/>
      <c r="D3" s="85"/>
      <c r="E3" s="85"/>
      <c r="F3" s="85"/>
      <c r="G3" s="85"/>
      <c r="H3" s="85"/>
    </row>
    <row r="4" spans="1:9" ht="14.25">
      <c r="A4" s="85"/>
      <c r="B4" s="85"/>
      <c r="C4" s="85"/>
      <c r="D4" s="85"/>
      <c r="E4" s="85"/>
      <c r="H4" s="85"/>
    </row>
    <row r="5" spans="1:9" ht="27" customHeight="1">
      <c r="A5" s="86" t="s">
        <v>46</v>
      </c>
      <c r="B5" s="4"/>
      <c r="C5" s="5"/>
      <c r="D5" s="85"/>
      <c r="E5" s="85"/>
      <c r="F5" s="6" t="s">
        <v>37</v>
      </c>
      <c r="G5" s="7" t="s">
        <v>49</v>
      </c>
      <c r="H5" s="85"/>
    </row>
    <row r="6" spans="1:9" ht="27" customHeight="1">
      <c r="A6" s="85"/>
      <c r="B6" s="85"/>
      <c r="C6" s="85"/>
      <c r="D6" s="85"/>
      <c r="E6" s="85"/>
      <c r="F6" s="8" t="s">
        <v>40</v>
      </c>
      <c r="G6" s="9" t="s">
        <v>50</v>
      </c>
      <c r="H6" s="85"/>
    </row>
    <row r="7" spans="1:9" ht="27" customHeight="1">
      <c r="A7" s="133" t="s">
        <v>98</v>
      </c>
      <c r="B7" s="134"/>
      <c r="C7" s="135"/>
      <c r="D7" s="85"/>
      <c r="E7" s="10"/>
      <c r="F7" s="11" t="s">
        <v>41</v>
      </c>
      <c r="G7" s="9" t="s">
        <v>51</v>
      </c>
      <c r="H7" s="85"/>
    </row>
    <row r="8" spans="1:9" ht="27" customHeight="1">
      <c r="A8" s="85"/>
      <c r="B8" s="85"/>
      <c r="C8" s="85"/>
      <c r="D8" s="85"/>
      <c r="E8" s="85"/>
      <c r="F8" s="8" t="s">
        <v>42</v>
      </c>
      <c r="G8" s="9" t="s">
        <v>52</v>
      </c>
      <c r="H8" s="85"/>
    </row>
    <row r="9" spans="1:9" ht="27" customHeight="1">
      <c r="A9" s="130" t="s">
        <v>99</v>
      </c>
      <c r="B9" s="131"/>
      <c r="C9" s="132"/>
      <c r="D9" s="85"/>
      <c r="E9" s="85"/>
      <c r="F9" s="8" t="s">
        <v>43</v>
      </c>
      <c r="G9" s="9" t="s">
        <v>53</v>
      </c>
      <c r="H9" s="85"/>
    </row>
    <row r="10" spans="1:9" ht="27" customHeight="1">
      <c r="A10" s="85"/>
      <c r="B10" s="85"/>
      <c r="C10" s="85"/>
      <c r="D10" s="85"/>
      <c r="E10" s="85"/>
      <c r="F10" s="12" t="s">
        <v>38</v>
      </c>
      <c r="G10" s="13" t="s">
        <v>54</v>
      </c>
      <c r="H10" s="85"/>
      <c r="I10" s="85"/>
    </row>
    <row r="11" spans="1:9" ht="27" customHeight="1">
      <c r="A11" s="128"/>
      <c r="B11" s="129"/>
      <c r="C11" s="129"/>
      <c r="D11" s="85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이백일만칠천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5"/>
      <c r="B13" s="85"/>
      <c r="C13" s="85"/>
      <c r="D13" s="85"/>
      <c r="E13" s="85"/>
      <c r="F13" s="85"/>
      <c r="G13" s="85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307280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1390112.0479285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1697392.0479285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66030.322276603751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49974.52812302958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6471.7013919323308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14040.131684077849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49487.988906254599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52788.892690576351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81445.28065004872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320238.84572252317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2017630.893651023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2017000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/>
  <cols>
    <col min="1" max="1" width="22.625" style="115" bestFit="1" customWidth="1"/>
    <col min="2" max="5" width="17.625" style="106" hidden="1" customWidth="1"/>
    <col min="6" max="6" width="40.375" style="102" customWidth="1"/>
    <col min="7" max="7" width="30.625" style="102" customWidth="1"/>
    <col min="8" max="8" width="12" style="106" bestFit="1" customWidth="1"/>
    <col min="9" max="9" width="6.75" style="106" customWidth="1"/>
    <col min="10" max="10" width="10.25" style="106" bestFit="1" customWidth="1"/>
    <col min="11" max="11" width="13.25" style="106" bestFit="1" customWidth="1"/>
    <col min="12" max="12" width="9.5" style="106" customWidth="1"/>
    <col min="13" max="13" width="15.625" style="106" bestFit="1" customWidth="1"/>
    <col min="14" max="14" width="6.375" style="106" customWidth="1"/>
    <col min="15" max="15" width="8.75" style="106" bestFit="1" customWidth="1"/>
    <col min="16" max="16" width="6.375" style="106" customWidth="1"/>
    <col min="17" max="17" width="8.75" style="106" bestFit="1" customWidth="1"/>
    <col min="18" max="18" width="15.5" style="106" bestFit="1" customWidth="1"/>
    <col min="19" max="19" width="10.625" style="62" bestFit="1" customWidth="1"/>
    <col min="20" max="20" width="8.5" style="106" bestFit="1" customWidth="1"/>
    <col min="21" max="16384" width="9" style="106"/>
  </cols>
  <sheetData>
    <row r="1" spans="1:20" ht="19.899999999999999" customHeight="1">
      <c r="A1" s="136"/>
      <c r="B1" s="136"/>
      <c r="C1" s="136"/>
      <c r="D1" s="136"/>
      <c r="E1" s="136"/>
      <c r="J1" s="62"/>
      <c r="K1" s="105" t="s">
        <v>58</v>
      </c>
      <c r="M1" s="105" t="s">
        <v>58</v>
      </c>
      <c r="O1" s="105" t="s">
        <v>58</v>
      </c>
      <c r="Q1" s="105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7"/>
      <c r="B3" s="107" t="s">
        <v>59</v>
      </c>
      <c r="C3" s="108"/>
      <c r="D3" s="108"/>
      <c r="E3" s="108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3" t="s">
        <v>73</v>
      </c>
      <c r="G4" s="103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9" customFormat="1" ht="38.1" customHeight="1">
      <c r="A5" s="69" t="str">
        <f t="shared" ref="A5:A9" si="0">B5&amp;C5&amp;D5&amp;E5</f>
        <v>L002</v>
      </c>
      <c r="B5" s="81"/>
      <c r="C5" s="84"/>
      <c r="D5" s="82"/>
      <c r="E5" s="81" t="s">
        <v>95</v>
      </c>
      <c r="F5" s="88" t="s">
        <v>93</v>
      </c>
      <c r="G5" s="88" t="s">
        <v>94</v>
      </c>
      <c r="H5" s="96" t="s">
        <v>91</v>
      </c>
      <c r="I5" s="99">
        <v>1.7</v>
      </c>
      <c r="J5" s="92"/>
      <c r="K5" s="93">
        <f t="shared" ref="K5:K9" si="1">SUM(J5:J5)*I5*$K$2</f>
        <v>0</v>
      </c>
      <c r="L5" s="117">
        <v>171037</v>
      </c>
      <c r="M5" s="93">
        <f>I5*L5</f>
        <v>290762.89999999997</v>
      </c>
      <c r="N5" s="94"/>
      <c r="O5" s="93">
        <f t="shared" ref="O5:O9" si="2">N5*I5*$O$2</f>
        <v>0</v>
      </c>
      <c r="P5" s="94"/>
      <c r="Q5" s="93">
        <f t="shared" ref="Q5:Q9" si="3">P5*I5*$Q$2</f>
        <v>0</v>
      </c>
      <c r="R5" s="72">
        <f t="shared" ref="R5:R9" si="4">SUM(K5+M5)+O5+Q5</f>
        <v>290762.89999999997</v>
      </c>
      <c r="S5" s="73"/>
      <c r="T5" s="74"/>
    </row>
    <row r="6" spans="1:20" s="109" customFormat="1" ht="38.1" customHeight="1">
      <c r="A6" s="69" t="str">
        <f t="shared" si="0"/>
        <v>M020750510120102</v>
      </c>
      <c r="B6" s="81"/>
      <c r="C6" s="82"/>
      <c r="D6" s="84" t="s">
        <v>80</v>
      </c>
      <c r="E6" s="82"/>
      <c r="F6" s="88" t="s">
        <v>81</v>
      </c>
      <c r="G6" s="88" t="s">
        <v>82</v>
      </c>
      <c r="H6" s="96" t="s">
        <v>83</v>
      </c>
      <c r="I6" s="100">
        <v>20</v>
      </c>
      <c r="J6" s="117">
        <v>6400</v>
      </c>
      <c r="K6" s="93">
        <f t="shared" si="1"/>
        <v>106880</v>
      </c>
      <c r="L6" s="95"/>
      <c r="M6" s="93">
        <f t="shared" ref="M6:M8" si="5">(L6*I6)*$M$2</f>
        <v>0</v>
      </c>
      <c r="N6" s="94"/>
      <c r="O6" s="93">
        <f t="shared" si="2"/>
        <v>0</v>
      </c>
      <c r="P6" s="94"/>
      <c r="Q6" s="93">
        <f t="shared" si="3"/>
        <v>0</v>
      </c>
      <c r="R6" s="72">
        <f t="shared" si="4"/>
        <v>106880</v>
      </c>
      <c r="S6" s="73"/>
      <c r="T6" s="74"/>
    </row>
    <row r="7" spans="1:20" s="109" customFormat="1" ht="38.1" customHeight="1">
      <c r="A7" s="69" t="str">
        <f t="shared" si="0"/>
        <v>M020750510130104</v>
      </c>
      <c r="B7" s="81"/>
      <c r="C7" s="84"/>
      <c r="D7" s="84" t="s">
        <v>84</v>
      </c>
      <c r="E7" s="84"/>
      <c r="F7" s="88" t="s">
        <v>85</v>
      </c>
      <c r="G7" s="88" t="s">
        <v>86</v>
      </c>
      <c r="H7" s="96" t="s">
        <v>83</v>
      </c>
      <c r="I7" s="99">
        <v>20</v>
      </c>
      <c r="J7" s="117">
        <v>12000</v>
      </c>
      <c r="K7" s="93">
        <f t="shared" si="1"/>
        <v>200400</v>
      </c>
      <c r="L7" s="95"/>
      <c r="M7" s="93">
        <f t="shared" si="5"/>
        <v>0</v>
      </c>
      <c r="N7" s="94"/>
      <c r="O7" s="93">
        <f t="shared" si="2"/>
        <v>0</v>
      </c>
      <c r="P7" s="94"/>
      <c r="Q7" s="93">
        <f t="shared" si="3"/>
        <v>0</v>
      </c>
      <c r="R7" s="72">
        <f t="shared" si="4"/>
        <v>200400</v>
      </c>
      <c r="S7" s="73"/>
      <c r="T7" s="74"/>
    </row>
    <row r="8" spans="1:20" s="109" customFormat="1" ht="38.1" customHeight="1">
      <c r="A8" s="69" t="str">
        <f t="shared" si="0"/>
        <v>E00000803066470202</v>
      </c>
      <c r="B8" s="89"/>
      <c r="C8" s="84" t="s">
        <v>87</v>
      </c>
      <c r="D8" s="84"/>
      <c r="E8" s="89"/>
      <c r="F8" s="88" t="s">
        <v>88</v>
      </c>
      <c r="G8" s="88" t="s">
        <v>92</v>
      </c>
      <c r="H8" s="97" t="s">
        <v>89</v>
      </c>
      <c r="I8" s="99">
        <v>1.1429</v>
      </c>
      <c r="J8" s="90"/>
      <c r="K8" s="70">
        <f t="shared" si="1"/>
        <v>0</v>
      </c>
      <c r="L8" s="119">
        <v>681499</v>
      </c>
      <c r="M8" s="70">
        <f t="shared" si="5"/>
        <v>650369.14792849997</v>
      </c>
      <c r="N8" s="71"/>
      <c r="O8" s="70">
        <f t="shared" si="2"/>
        <v>0</v>
      </c>
      <c r="P8" s="71"/>
      <c r="Q8" s="70">
        <f t="shared" si="3"/>
        <v>0</v>
      </c>
      <c r="R8" s="72">
        <f t="shared" si="4"/>
        <v>650369.14792849997</v>
      </c>
      <c r="S8" s="73"/>
      <c r="T8" s="74"/>
    </row>
    <row r="9" spans="1:20" s="109" customFormat="1" ht="38.1" customHeight="1">
      <c r="A9" s="69" t="str">
        <f t="shared" si="0"/>
        <v>L003</v>
      </c>
      <c r="B9" s="81"/>
      <c r="C9" s="82"/>
      <c r="D9" s="82"/>
      <c r="E9" s="81" t="s">
        <v>56</v>
      </c>
      <c r="F9" s="87" t="s">
        <v>57</v>
      </c>
      <c r="G9" s="88" t="s">
        <v>90</v>
      </c>
      <c r="H9" s="98" t="s">
        <v>91</v>
      </c>
      <c r="I9" s="101">
        <v>2</v>
      </c>
      <c r="J9" s="83"/>
      <c r="K9" s="70">
        <f t="shared" si="1"/>
        <v>0</v>
      </c>
      <c r="L9" s="118">
        <v>224490</v>
      </c>
      <c r="M9" s="70">
        <f t="shared" ref="M9" si="6">I9*L9</f>
        <v>448980</v>
      </c>
      <c r="N9" s="71"/>
      <c r="O9" s="70">
        <f t="shared" si="2"/>
        <v>0</v>
      </c>
      <c r="P9" s="71"/>
      <c r="Q9" s="70">
        <f t="shared" si="3"/>
        <v>0</v>
      </c>
      <c r="R9" s="72">
        <f t="shared" si="4"/>
        <v>448980</v>
      </c>
      <c r="S9" s="79"/>
      <c r="T9" s="74"/>
    </row>
    <row r="10" spans="1:20" s="111" customFormat="1" ht="38.1" customHeight="1">
      <c r="A10" s="110"/>
      <c r="F10" s="104"/>
      <c r="G10" s="104"/>
      <c r="K10" s="112">
        <f>SUM(K5:K9)</f>
        <v>307280</v>
      </c>
      <c r="L10" s="113"/>
      <c r="M10" s="112">
        <f>SUM(M5:M9)</f>
        <v>1390112.0479285</v>
      </c>
      <c r="N10" s="113"/>
      <c r="O10" s="112">
        <f>SUM(O5:O9)</f>
        <v>0</v>
      </c>
      <c r="P10" s="113"/>
      <c r="Q10" s="112">
        <f>SUM(Q5:Q9)</f>
        <v>0</v>
      </c>
      <c r="R10" s="114">
        <f>SUM(R5:R9)</f>
        <v>1697392.0479285</v>
      </c>
      <c r="S10" s="75"/>
    </row>
    <row r="14" spans="1:20" ht="38.1" customHeight="1">
      <c r="M14" s="116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K27" sqref="K27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1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80">
        <f>'내역서(표준단가)'!I5</f>
        <v>1.7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80">
        <f>'내역서(표준단가)'!I6</f>
        <v>20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80">
        <f>'내역서(표준단가)'!I7</f>
        <v>20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80">
        <f>'내역서(표준단가)'!I8</f>
        <v>1.1429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80">
        <f>'내역서(표준단가)'!I9</f>
        <v>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2026-04-06T01:33:43Z</dcterms:modified>
</cp:coreProperties>
</file>
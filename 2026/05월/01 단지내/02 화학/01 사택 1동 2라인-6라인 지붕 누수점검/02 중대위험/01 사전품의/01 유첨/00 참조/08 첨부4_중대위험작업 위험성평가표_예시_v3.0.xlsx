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안전 관련 공지\표준문서 제개정\'250205 안전보건표준문서 제개정\중대위험작업 관련 자료\"/>
    </mc:Choice>
  </mc:AlternateContent>
  <xr:revisionPtr revIDLastSave="0" documentId="13_ncr:1_{96D56E80-2B48-4D4F-8E00-256B002FBF1D}" xr6:coauthVersionLast="36" xr6:coauthVersionMax="36" xr10:uidLastSave="{00000000-0000-0000-0000-000000000000}"/>
  <bookViews>
    <workbookView xWindow="0" yWindow="0" windowWidth="21570" windowHeight="7275" xr2:uid="{E3F7E11D-DD9C-4559-AE6A-6610212970A2}"/>
  </bookViews>
  <sheets>
    <sheet name="위험성평가표(예시)" sheetId="6" r:id="rId1"/>
    <sheet name="1-1)외벽로프(자체제어하강기)" sheetId="8" r:id="rId2"/>
    <sheet name="1-2)외벽로프" sheetId="7" r:id="rId3"/>
    <sheet name="2-1)스카이(고소작업차)" sheetId="9" r:id="rId4"/>
    <sheet name="2-2)이동식 크레인" sheetId="18" r:id="rId5"/>
    <sheet name="2-3)굴착기" sheetId="21" r:id="rId6"/>
    <sheet name="2-4)지게차" sheetId="22" r:id="rId7"/>
    <sheet name="3)비계" sheetId="10" r:id="rId8"/>
    <sheet name="4)기계식 주차설비" sheetId="11" r:id="rId9"/>
    <sheet name="5)용접용단작업_산소" sheetId="13" r:id="rId10"/>
    <sheet name="5)용접용단작업_알곤" sheetId="20" r:id="rId11"/>
    <sheet name="5)용접용단작업_아크" sheetId="19" r:id="rId12"/>
    <sheet name="6)밀폐공간" sheetId="14" r:id="rId13"/>
    <sheet name="7)수변전설비" sheetId="15" r:id="rId14"/>
    <sheet name="8)승강기" sheetId="16" r:id="rId15"/>
    <sheet name="9)4m이상 고소작업" sheetId="17" r:id="rId16"/>
  </sheets>
  <externalReferences>
    <externalReference r:id="rId17"/>
    <externalReference r:id="rId18"/>
    <externalReference r:id="rId19"/>
  </externalReferences>
  <definedNames>
    <definedName name="_xlnm._FilterDatabase" localSheetId="1" hidden="1">#REF!</definedName>
    <definedName name="_xlnm._FilterDatabase" localSheetId="2" hidden="1">#REF!</definedName>
    <definedName name="_xlnm._FilterDatabase" localSheetId="3" hidden="1">#REF!</definedName>
    <definedName name="_xlnm._FilterDatabase" localSheetId="4" hidden="1">#REF!</definedName>
    <definedName name="_xlnm._FilterDatabase" localSheetId="5" hidden="1">#REF!</definedName>
    <definedName name="_xlnm._FilterDatabase" localSheetId="7" hidden="1">#REF!</definedName>
    <definedName name="_xlnm._FilterDatabase" localSheetId="8" hidden="1">#REF!</definedName>
    <definedName name="_xlnm._FilterDatabase" localSheetId="9" hidden="1">#REF!</definedName>
    <definedName name="_xlnm._FilterDatabase" localSheetId="11" hidden="1">#REF!</definedName>
    <definedName name="_xlnm._FilterDatabase" localSheetId="10" hidden="1">#REF!</definedName>
    <definedName name="_xlnm._FilterDatabase" localSheetId="12" hidden="1">#REF!</definedName>
    <definedName name="_xlnm._FilterDatabase" localSheetId="13" hidden="1">#REF!</definedName>
    <definedName name="_xlnm._FilterDatabase" localSheetId="14" hidden="1">#REF!</definedName>
    <definedName name="_xlnm._FilterDatabase" localSheetId="15" hidden="1">#REF!</definedName>
    <definedName name="_xlnm._FilterDatabase" localSheetId="0" hidden="1">#REF!</definedName>
    <definedName name="_xlnm._FilterDatabase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localSheetId="4" hidden="1">#REF!</definedName>
    <definedName name="_Key1" localSheetId="5" hidden="1">#REF!</definedName>
    <definedName name="_Key1" localSheetId="7" hidden="1">#REF!</definedName>
    <definedName name="_Key1" localSheetId="8" hidden="1">#REF!</definedName>
    <definedName name="_Key1" localSheetId="9" hidden="1">#REF!</definedName>
    <definedName name="_Key1" localSheetId="11" hidden="1">#REF!</definedName>
    <definedName name="_Key1" localSheetId="10" hidden="1">#REF!</definedName>
    <definedName name="_Key1" localSheetId="12" hidden="1">#REF!</definedName>
    <definedName name="_Key1" localSheetId="13" hidden="1">#REF!</definedName>
    <definedName name="_Key1" localSheetId="14" hidden="1">#REF!</definedName>
    <definedName name="_Key1" localSheetId="15" hidden="1">#REF!</definedName>
    <definedName name="_Key1" localSheetId="0" hidden="1">#REF!</definedName>
    <definedName name="_Key1" hidden="1">#REF!</definedName>
    <definedName name="_KEY2" localSheetId="1" hidden="1">[1]수리결과!#REF!</definedName>
    <definedName name="_KEY2" localSheetId="2" hidden="1">[1]수리결과!#REF!</definedName>
    <definedName name="_KEY2" localSheetId="3" hidden="1">[1]수리결과!#REF!</definedName>
    <definedName name="_KEY2" localSheetId="4" hidden="1">[1]수리결과!#REF!</definedName>
    <definedName name="_KEY2" localSheetId="5" hidden="1">[1]수리결과!#REF!</definedName>
    <definedName name="_KEY2" localSheetId="7" hidden="1">[1]수리결과!#REF!</definedName>
    <definedName name="_KEY2" localSheetId="8" hidden="1">[1]수리결과!#REF!</definedName>
    <definedName name="_KEY2" localSheetId="9" hidden="1">[1]수리결과!#REF!</definedName>
    <definedName name="_KEY2" localSheetId="11" hidden="1">[1]수리결과!#REF!</definedName>
    <definedName name="_KEY2" localSheetId="10" hidden="1">[1]수리결과!#REF!</definedName>
    <definedName name="_KEY2" localSheetId="12" hidden="1">[1]수리결과!#REF!</definedName>
    <definedName name="_KEY2" localSheetId="13" hidden="1">[1]수리결과!#REF!</definedName>
    <definedName name="_KEY2" localSheetId="14" hidden="1">[1]수리결과!#REF!</definedName>
    <definedName name="_KEY2" localSheetId="15" hidden="1">[1]수리결과!#REF!</definedName>
    <definedName name="_KEY2" localSheetId="0" hidden="1">[1]수리결과!#REF!</definedName>
    <definedName name="_KEY2" hidden="1">[1]수리결과!#REF!</definedName>
    <definedName name="_Order1" hidden="1">255</definedName>
    <definedName name="_Order2" hidden="1">0</definedName>
    <definedName name="_Sort" localSheetId="1" hidden="1">#REF!</definedName>
    <definedName name="_Sort" localSheetId="2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7" hidden="1">#REF!</definedName>
    <definedName name="_Sort" localSheetId="8" hidden="1">#REF!</definedName>
    <definedName name="_Sort" localSheetId="9" hidden="1">#REF!</definedName>
    <definedName name="_Sort" localSheetId="11" hidden="1">#REF!</definedName>
    <definedName name="_Sort" localSheetId="10" hidden="1">#REF!</definedName>
    <definedName name="_Sort" localSheetId="12" hidden="1">#REF!</definedName>
    <definedName name="_Sort" localSheetId="13" hidden="1">#REF!</definedName>
    <definedName name="_Sort" localSheetId="14" hidden="1">#REF!</definedName>
    <definedName name="_Sort" localSheetId="15" hidden="1">#REF!</definedName>
    <definedName name="_Sort" localSheetId="0" hidden="1">#REF!</definedName>
    <definedName name="_Sort" hidden="1">#REF!</definedName>
    <definedName name="ddd" localSheetId="1" hidden="1">#REF!</definedName>
    <definedName name="ddd" localSheetId="2" hidden="1">#REF!</definedName>
    <definedName name="ddd" localSheetId="3" hidden="1">#REF!</definedName>
    <definedName name="ddd" localSheetId="4" hidden="1">#REF!</definedName>
    <definedName name="ddd" localSheetId="5" hidden="1">#REF!</definedName>
    <definedName name="ddd" localSheetId="7" hidden="1">#REF!</definedName>
    <definedName name="ddd" localSheetId="8" hidden="1">#REF!</definedName>
    <definedName name="ddd" localSheetId="9" hidden="1">#REF!</definedName>
    <definedName name="ddd" localSheetId="11" hidden="1">#REF!</definedName>
    <definedName name="ddd" localSheetId="10" hidden="1">#REF!</definedName>
    <definedName name="ddd" localSheetId="12" hidden="1">#REF!</definedName>
    <definedName name="ddd" localSheetId="13" hidden="1">#REF!</definedName>
    <definedName name="ddd" localSheetId="14" hidden="1">#REF!</definedName>
    <definedName name="ddd" localSheetId="15" hidden="1">#REF!</definedName>
    <definedName name="ddd" localSheetId="0" hidden="1">#REF!</definedName>
    <definedName name="ddd" hidden="1">#REF!</definedName>
    <definedName name="dsd" localSheetId="1" hidden="1">#REF!</definedName>
    <definedName name="dsd" localSheetId="2" hidden="1">#REF!</definedName>
    <definedName name="dsd" localSheetId="3" hidden="1">#REF!</definedName>
    <definedName name="dsd" localSheetId="4" hidden="1">#REF!</definedName>
    <definedName name="dsd" localSheetId="5" hidden="1">#REF!</definedName>
    <definedName name="dsd" localSheetId="7" hidden="1">#REF!</definedName>
    <definedName name="dsd" localSheetId="8" hidden="1">#REF!</definedName>
    <definedName name="dsd" localSheetId="9" hidden="1">#REF!</definedName>
    <definedName name="dsd" localSheetId="11" hidden="1">#REF!</definedName>
    <definedName name="dsd" localSheetId="10" hidden="1">#REF!</definedName>
    <definedName name="dsd" localSheetId="12" hidden="1">#REF!</definedName>
    <definedName name="dsd" localSheetId="13" hidden="1">#REF!</definedName>
    <definedName name="dsd" localSheetId="14" hidden="1">#REF!</definedName>
    <definedName name="dsd" localSheetId="15" hidden="1">#REF!</definedName>
    <definedName name="dsd" localSheetId="0" hidden="1">#REF!</definedName>
    <definedName name="dsd" hidden="1">#REF!</definedName>
    <definedName name="RRR" hidden="1">[2]울산시산표!$G$1:$G$1019</definedName>
    <definedName name="갑지" localSheetId="1" hidden="1">#REF!</definedName>
    <definedName name="갑지" localSheetId="2" hidden="1">#REF!</definedName>
    <definedName name="갑지" localSheetId="3" hidden="1">#REF!</definedName>
    <definedName name="갑지" localSheetId="4" hidden="1">#REF!</definedName>
    <definedName name="갑지" localSheetId="5" hidden="1">#REF!</definedName>
    <definedName name="갑지" localSheetId="7" hidden="1">#REF!</definedName>
    <definedName name="갑지" localSheetId="8" hidden="1">#REF!</definedName>
    <definedName name="갑지" localSheetId="9" hidden="1">#REF!</definedName>
    <definedName name="갑지" localSheetId="11" hidden="1">#REF!</definedName>
    <definedName name="갑지" localSheetId="10" hidden="1">#REF!</definedName>
    <definedName name="갑지" localSheetId="12" hidden="1">#REF!</definedName>
    <definedName name="갑지" localSheetId="13" hidden="1">#REF!</definedName>
    <definedName name="갑지" localSheetId="14" hidden="1">#REF!</definedName>
    <definedName name="갑지" localSheetId="15" hidden="1">#REF!</definedName>
    <definedName name="갑지" localSheetId="0" hidden="1">#REF!</definedName>
    <definedName name="갑지" hidden="1">#REF!</definedName>
    <definedName name="갑지2" localSheetId="1" hidden="1">#REF!</definedName>
    <definedName name="갑지2" localSheetId="2" hidden="1">#REF!</definedName>
    <definedName name="갑지2" localSheetId="3" hidden="1">#REF!</definedName>
    <definedName name="갑지2" localSheetId="4" hidden="1">#REF!</definedName>
    <definedName name="갑지2" localSheetId="5" hidden="1">#REF!</definedName>
    <definedName name="갑지2" localSheetId="7" hidden="1">#REF!</definedName>
    <definedName name="갑지2" localSheetId="8" hidden="1">#REF!</definedName>
    <definedName name="갑지2" localSheetId="9" hidden="1">#REF!</definedName>
    <definedName name="갑지2" localSheetId="11" hidden="1">#REF!</definedName>
    <definedName name="갑지2" localSheetId="10" hidden="1">#REF!</definedName>
    <definedName name="갑지2" localSheetId="12" hidden="1">#REF!</definedName>
    <definedName name="갑지2" localSheetId="13" hidden="1">#REF!</definedName>
    <definedName name="갑지2" localSheetId="14" hidden="1">#REF!</definedName>
    <definedName name="갑지2" localSheetId="15" hidden="1">#REF!</definedName>
    <definedName name="갑지2" localSheetId="0" hidden="1">#REF!</definedName>
    <definedName name="갑지2" hidden="1">#REF!</definedName>
    <definedName name="ㅁㄴㅇㄴㅁㄴㅇ" localSheetId="1" hidden="1">[1]수리결과!#REF!</definedName>
    <definedName name="ㅁㄴㅇㄴㅁㄴㅇ" localSheetId="2" hidden="1">[1]수리결과!#REF!</definedName>
    <definedName name="ㅁㄴㅇㄴㅁㄴㅇ" localSheetId="3" hidden="1">[1]수리결과!#REF!</definedName>
    <definedName name="ㅁㄴㅇㄴㅁㄴㅇ" localSheetId="4" hidden="1">[1]수리결과!#REF!</definedName>
    <definedName name="ㅁㄴㅇㄴㅁㄴㅇ" localSheetId="5" hidden="1">[1]수리결과!#REF!</definedName>
    <definedName name="ㅁㄴㅇㄴㅁㄴㅇ" localSheetId="7" hidden="1">[1]수리결과!#REF!</definedName>
    <definedName name="ㅁㄴㅇㄴㅁㄴㅇ" localSheetId="8" hidden="1">[1]수리결과!#REF!</definedName>
    <definedName name="ㅁㄴㅇㄴㅁㄴㅇ" localSheetId="9" hidden="1">[1]수리결과!#REF!</definedName>
    <definedName name="ㅁㄴㅇㄴㅁㄴㅇ" localSheetId="11" hidden="1">[1]수리결과!#REF!</definedName>
    <definedName name="ㅁㄴㅇㄴㅁㄴㅇ" localSheetId="10" hidden="1">[1]수리결과!#REF!</definedName>
    <definedName name="ㅁㄴㅇㄴㅁㄴㅇ" localSheetId="12" hidden="1">[1]수리결과!#REF!</definedName>
    <definedName name="ㅁㄴㅇㄴㅁㄴㅇ" localSheetId="13" hidden="1">[1]수리결과!#REF!</definedName>
    <definedName name="ㅁㄴㅇㄴㅁㄴㅇ" localSheetId="14" hidden="1">[1]수리결과!#REF!</definedName>
    <definedName name="ㅁㄴㅇㄴㅁㄴㅇ" localSheetId="15" hidden="1">[1]수리결과!#REF!</definedName>
    <definedName name="ㅁㄴㅇㄴㅁㄴㅇ" localSheetId="0" hidden="1">[1]수리결과!#REF!</definedName>
    <definedName name="ㅁㄴㅇㄴㅁㄴㅇ" hidden="1">[1]수리결과!#REF!</definedName>
    <definedName name="보증일반환산" localSheetId="1" hidden="1">[3]수리결과!#REF!</definedName>
    <definedName name="보증일반환산" localSheetId="2" hidden="1">[3]수리결과!#REF!</definedName>
    <definedName name="보증일반환산" localSheetId="3" hidden="1">[3]수리결과!#REF!</definedName>
    <definedName name="보증일반환산" localSheetId="4" hidden="1">[3]수리결과!#REF!</definedName>
    <definedName name="보증일반환산" localSheetId="5" hidden="1">[3]수리결과!#REF!</definedName>
    <definedName name="보증일반환산" localSheetId="7" hidden="1">[3]수리결과!#REF!</definedName>
    <definedName name="보증일반환산" localSheetId="8" hidden="1">[3]수리결과!#REF!</definedName>
    <definedName name="보증일반환산" localSheetId="9" hidden="1">[3]수리결과!#REF!</definedName>
    <definedName name="보증일반환산" localSheetId="11" hidden="1">[3]수리결과!#REF!</definedName>
    <definedName name="보증일반환산" localSheetId="10" hidden="1">[3]수리결과!#REF!</definedName>
    <definedName name="보증일반환산" localSheetId="12" hidden="1">[3]수리결과!#REF!</definedName>
    <definedName name="보증일반환산" localSheetId="13" hidden="1">[3]수리결과!#REF!</definedName>
    <definedName name="보증일반환산" localSheetId="14" hidden="1">[3]수리결과!#REF!</definedName>
    <definedName name="보증일반환산" localSheetId="15" hidden="1">[3]수리결과!#REF!</definedName>
    <definedName name="보증일반환산" localSheetId="0" hidden="1">[3]수리결과!#REF!</definedName>
    <definedName name="보증일반환산" hidden="1">[3]수리결과!#REF!</definedName>
    <definedName name="양싲ㄱㅈ" localSheetId="1" hidden="1">#REF!</definedName>
    <definedName name="양싲ㄱㅈ" localSheetId="2" hidden="1">#REF!</definedName>
    <definedName name="양싲ㄱㅈ" localSheetId="3" hidden="1">#REF!</definedName>
    <definedName name="양싲ㄱㅈ" localSheetId="4" hidden="1">#REF!</definedName>
    <definedName name="양싲ㄱㅈ" localSheetId="5" hidden="1">#REF!</definedName>
    <definedName name="양싲ㄱㅈ" localSheetId="7" hidden="1">#REF!</definedName>
    <definedName name="양싲ㄱㅈ" localSheetId="8" hidden="1">#REF!</definedName>
    <definedName name="양싲ㄱㅈ" localSheetId="9" hidden="1">#REF!</definedName>
    <definedName name="양싲ㄱㅈ" localSheetId="11" hidden="1">#REF!</definedName>
    <definedName name="양싲ㄱㅈ" localSheetId="10" hidden="1">#REF!</definedName>
    <definedName name="양싲ㄱㅈ" localSheetId="12" hidden="1">#REF!</definedName>
    <definedName name="양싲ㄱㅈ" localSheetId="13" hidden="1">#REF!</definedName>
    <definedName name="양싲ㄱㅈ" localSheetId="14" hidden="1">#REF!</definedName>
    <definedName name="양싲ㄱㅈ" localSheetId="15" hidden="1">#REF!</definedName>
    <definedName name="양싲ㄱㅈ" localSheetId="0" hidden="1">#REF!</definedName>
    <definedName name="양싲ㄱㅈ" hidden="1">#REF!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8" i="7" l="1"/>
  <c r="L17" i="7"/>
  <c r="H18" i="7"/>
  <c r="H17" i="7"/>
  <c r="L16" i="7"/>
  <c r="H16" i="7"/>
  <c r="L17" i="22" l="1"/>
  <c r="H17" i="22"/>
  <c r="H7" i="22"/>
  <c r="L16" i="22"/>
  <c r="H16" i="22"/>
  <c r="L15" i="22"/>
  <c r="H15" i="22"/>
  <c r="L14" i="22"/>
  <c r="H14" i="22"/>
  <c r="L13" i="22"/>
  <c r="H13" i="22"/>
  <c r="L12" i="22"/>
  <c r="H12" i="22"/>
  <c r="L11" i="22"/>
  <c r="H11" i="22"/>
  <c r="L10" i="22"/>
  <c r="H10" i="22"/>
  <c r="L9" i="22"/>
  <c r="H9" i="22"/>
  <c r="L8" i="22"/>
  <c r="H8" i="22"/>
  <c r="L7" i="22"/>
  <c r="L15" i="21"/>
  <c r="H15" i="21"/>
  <c r="L14" i="21"/>
  <c r="H14" i="21"/>
  <c r="L13" i="21"/>
  <c r="H13" i="21"/>
  <c r="L12" i="21"/>
  <c r="H12" i="21"/>
  <c r="L11" i="21"/>
  <c r="H11" i="21"/>
  <c r="L10" i="21"/>
  <c r="H10" i="21"/>
  <c r="L9" i="21"/>
  <c r="H9" i="21"/>
  <c r="L8" i="21"/>
  <c r="H8" i="21"/>
  <c r="L7" i="21"/>
  <c r="H7" i="21"/>
  <c r="H10" i="19" l="1"/>
  <c r="L21" i="20"/>
  <c r="H21" i="20"/>
  <c r="L20" i="20"/>
  <c r="H20" i="20"/>
  <c r="L19" i="20"/>
  <c r="H19" i="20"/>
  <c r="L18" i="20"/>
  <c r="H18" i="20"/>
  <c r="L17" i="20"/>
  <c r="H17" i="20"/>
  <c r="L16" i="20"/>
  <c r="H16" i="20"/>
  <c r="L15" i="20"/>
  <c r="H15" i="20"/>
  <c r="L14" i="20"/>
  <c r="H14" i="20"/>
  <c r="L13" i="20"/>
  <c r="H13" i="20"/>
  <c r="L12" i="20"/>
  <c r="H12" i="20"/>
  <c r="L11" i="20"/>
  <c r="H11" i="20"/>
  <c r="L10" i="20"/>
  <c r="H10" i="20"/>
  <c r="L9" i="20"/>
  <c r="H9" i="20"/>
  <c r="L8" i="20"/>
  <c r="H8" i="20"/>
  <c r="L7" i="20"/>
  <c r="H7" i="20"/>
  <c r="L19" i="19"/>
  <c r="H19" i="19"/>
  <c r="L18" i="19"/>
  <c r="H18" i="19"/>
  <c r="L17" i="19"/>
  <c r="H17" i="19"/>
  <c r="L16" i="19"/>
  <c r="H16" i="19"/>
  <c r="L15" i="19"/>
  <c r="H15" i="19"/>
  <c r="L14" i="19"/>
  <c r="H14" i="19"/>
  <c r="L13" i="19"/>
  <c r="H13" i="19"/>
  <c r="L12" i="19"/>
  <c r="H12" i="19"/>
  <c r="L11" i="19"/>
  <c r="H11" i="19"/>
  <c r="L10" i="19"/>
  <c r="L9" i="19"/>
  <c r="H9" i="19"/>
  <c r="L8" i="19"/>
  <c r="H8" i="19"/>
  <c r="L7" i="19"/>
  <c r="H7" i="19"/>
  <c r="L12" i="18" l="1"/>
  <c r="H12" i="18"/>
  <c r="L18" i="18"/>
  <c r="H18" i="18"/>
  <c r="L17" i="18"/>
  <c r="H17" i="18"/>
  <c r="L16" i="18"/>
  <c r="H16" i="18"/>
  <c r="L15" i="18"/>
  <c r="H15" i="18"/>
  <c r="L14" i="18"/>
  <c r="H14" i="18"/>
  <c r="L13" i="18"/>
  <c r="H13" i="18"/>
  <c r="L11" i="18"/>
  <c r="H11" i="18"/>
  <c r="L10" i="18"/>
  <c r="H10" i="18"/>
  <c r="L9" i="18"/>
  <c r="H9" i="18"/>
  <c r="L8" i="18"/>
  <c r="H8" i="18"/>
  <c r="L7" i="18"/>
  <c r="H7" i="18"/>
  <c r="L20" i="13" l="1"/>
  <c r="H20" i="13"/>
  <c r="L50" i="17" l="1"/>
  <c r="L49" i="17"/>
  <c r="L48" i="17"/>
  <c r="L47" i="17"/>
  <c r="L46" i="17"/>
  <c r="L45" i="17"/>
  <c r="L44" i="17"/>
  <c r="L43" i="17"/>
  <c r="L42" i="17"/>
  <c r="L41" i="17"/>
  <c r="L40" i="17"/>
  <c r="L39" i="17"/>
  <c r="L38" i="17"/>
  <c r="L37" i="17"/>
  <c r="L36" i="17"/>
  <c r="L35" i="17"/>
  <c r="L34" i="17"/>
  <c r="L33" i="17"/>
  <c r="L32" i="17"/>
  <c r="L31" i="17"/>
  <c r="L30" i="17"/>
  <c r="L29" i="17"/>
  <c r="L28" i="17"/>
  <c r="L27" i="17"/>
  <c r="L26" i="17"/>
  <c r="L25" i="17"/>
  <c r="L24" i="17"/>
  <c r="L23" i="17"/>
  <c r="L22" i="17"/>
  <c r="L21" i="17"/>
  <c r="L20" i="17"/>
  <c r="L19" i="17"/>
  <c r="L18" i="17"/>
  <c r="L17" i="17"/>
  <c r="L16" i="17"/>
  <c r="L15" i="17"/>
  <c r="L14" i="17"/>
  <c r="L13" i="17"/>
  <c r="L12" i="17"/>
  <c r="L11" i="17"/>
  <c r="L10" i="17"/>
  <c r="L9" i="17"/>
  <c r="L8" i="17"/>
  <c r="L7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L20" i="16" l="1"/>
  <c r="L19" i="16"/>
  <c r="L18" i="16"/>
  <c r="L17" i="16"/>
  <c r="L16" i="16"/>
  <c r="L15" i="16"/>
  <c r="L14" i="16"/>
  <c r="L13" i="16"/>
  <c r="L12" i="16"/>
  <c r="L11" i="16"/>
  <c r="L10" i="16"/>
  <c r="L9" i="16"/>
  <c r="L8" i="16"/>
  <c r="L7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L18" i="15" l="1"/>
  <c r="L17" i="15"/>
  <c r="L16" i="15"/>
  <c r="L15" i="15"/>
  <c r="L14" i="15"/>
  <c r="L13" i="15"/>
  <c r="L12" i="15"/>
  <c r="L11" i="15"/>
  <c r="L10" i="15"/>
  <c r="L9" i="15"/>
  <c r="L8" i="15"/>
  <c r="L7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L19" i="14" l="1"/>
  <c r="H19" i="14"/>
  <c r="L18" i="14"/>
  <c r="H18" i="14"/>
  <c r="L17" i="14"/>
  <c r="H17" i="14"/>
  <c r="L16" i="14"/>
  <c r="H16" i="14"/>
  <c r="L15" i="14"/>
  <c r="H15" i="14"/>
  <c r="L14" i="14"/>
  <c r="H14" i="14"/>
  <c r="L13" i="14"/>
  <c r="H13" i="14"/>
  <c r="L12" i="14"/>
  <c r="H12" i="14"/>
  <c r="L11" i="14"/>
  <c r="H11" i="14"/>
  <c r="L10" i="14"/>
  <c r="H10" i="14"/>
  <c r="L9" i="14"/>
  <c r="H9" i="14"/>
  <c r="L8" i="14"/>
  <c r="H8" i="14"/>
  <c r="L7" i="14"/>
  <c r="H7" i="14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L13" i="11" l="1"/>
  <c r="L12" i="11"/>
  <c r="L11" i="11"/>
  <c r="L10" i="11"/>
  <c r="L9" i="11"/>
  <c r="L8" i="11"/>
  <c r="L7" i="11"/>
  <c r="H13" i="11"/>
  <c r="H12" i="11"/>
  <c r="H11" i="11"/>
  <c r="H10" i="11"/>
  <c r="H9" i="11"/>
  <c r="H8" i="11"/>
  <c r="H7" i="11"/>
  <c r="L22" i="10" l="1"/>
  <c r="L21" i="10"/>
  <c r="L20" i="10"/>
  <c r="L19" i="10"/>
  <c r="L18" i="10"/>
  <c r="L17" i="10"/>
  <c r="L16" i="10"/>
  <c r="L15" i="10"/>
  <c r="L14" i="10"/>
  <c r="L13" i="10"/>
  <c r="L12" i="10"/>
  <c r="L11" i="10"/>
  <c r="L10" i="10"/>
  <c r="L9" i="10"/>
  <c r="L8" i="10"/>
  <c r="L7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L17" i="9" l="1"/>
  <c r="L16" i="9"/>
  <c r="L15" i="9"/>
  <c r="L14" i="9"/>
  <c r="L13" i="9"/>
  <c r="L12" i="9"/>
  <c r="L11" i="9"/>
  <c r="L10" i="9"/>
  <c r="L9" i="9"/>
  <c r="L8" i="9"/>
  <c r="L7" i="9"/>
  <c r="H17" i="9"/>
  <c r="H16" i="9"/>
  <c r="H15" i="9"/>
  <c r="H14" i="9"/>
  <c r="H13" i="9"/>
  <c r="H12" i="9"/>
  <c r="H11" i="9"/>
  <c r="H10" i="9"/>
  <c r="H9" i="9"/>
  <c r="H8" i="9"/>
  <c r="H7" i="9"/>
  <c r="L16" i="8" l="1"/>
  <c r="L15" i="8"/>
  <c r="L14" i="8"/>
  <c r="L13" i="8"/>
  <c r="L12" i="8"/>
  <c r="L11" i="8"/>
  <c r="L10" i="8"/>
  <c r="L9" i="8"/>
  <c r="L8" i="8"/>
  <c r="L7" i="8"/>
  <c r="H16" i="8"/>
  <c r="H15" i="8"/>
  <c r="H14" i="8"/>
  <c r="H13" i="8"/>
  <c r="H12" i="8"/>
  <c r="H11" i="8"/>
  <c r="H10" i="8"/>
  <c r="H9" i="8"/>
  <c r="H8" i="8"/>
  <c r="H7" i="8"/>
  <c r="L19" i="7" l="1"/>
  <c r="L15" i="7"/>
  <c r="L14" i="7"/>
  <c r="L13" i="7"/>
  <c r="L12" i="7"/>
  <c r="L11" i="7"/>
  <c r="L10" i="7"/>
  <c r="L9" i="7"/>
  <c r="L8" i="7"/>
  <c r="L7" i="7"/>
  <c r="H19" i="7"/>
  <c r="H15" i="7"/>
  <c r="H14" i="7"/>
  <c r="H13" i="7"/>
  <c r="H12" i="7"/>
  <c r="H11" i="7"/>
  <c r="H10" i="7"/>
  <c r="H9" i="7"/>
  <c r="H8" i="7"/>
  <c r="H7" i="7"/>
  <c r="L19" i="6" l="1"/>
  <c r="L18" i="6"/>
  <c r="L17" i="6"/>
  <c r="L16" i="6"/>
  <c r="L15" i="6"/>
  <c r="L14" i="6"/>
  <c r="L13" i="6"/>
  <c r="L12" i="6"/>
  <c r="L11" i="6"/>
  <c r="L10" i="6"/>
  <c r="L9" i="6"/>
  <c r="L8" i="6"/>
  <c r="L7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</calcChain>
</file>

<file path=xl/sharedStrings.xml><?xml version="1.0" encoding="utf-8"?>
<sst xmlns="http://schemas.openxmlformats.org/spreadsheetml/2006/main" count="985" uniqueCount="447">
  <si>
    <t>구분</t>
    <phoneticPr fontId="1" type="noConversion"/>
  </si>
  <si>
    <t>승강기</t>
    <phoneticPr fontId="1" type="noConversion"/>
  </si>
  <si>
    <t>현장별 특성 반영</t>
    <phoneticPr fontId="1" type="noConversion"/>
  </si>
  <si>
    <t>4m 이상 (4m 미만 장소라도 추락위험이 있는 장소 포함) 고소작업 시 안전벨트 착용 및 안전고리 체결, 안전고리를 체결할 곳이 없는 곳은 16mm 이상 로프를 설치하고 로립(코브라)을 설치한 후 안전고리를 체결한 상태에서 작업 (주변에 안전고리를 체결할 수 있는 시설물이 있는 경우 해당 시설물에 고리 체결)</t>
    <phoneticPr fontId="1" type="noConversion"/>
  </si>
  <si>
    <t>추락</t>
  </si>
  <si>
    <t>입상 덕트 설치 중 휴식 또는 작업 마감시에는 반드시 덕트 오픈구간 덮개를 덮을 것</t>
    <phoneticPr fontId="1" type="noConversion"/>
  </si>
  <si>
    <t>천장 내부에서 작업 시 천장재가 파손되지 않게 별도 작업발판 설치 후 작업 및 생명줄(16mm 이상 PP로프) 및 로립 (코브라)을 설치하고 안전고리 체결 후 작업</t>
    <phoneticPr fontId="1" type="noConversion"/>
  </si>
  <si>
    <t>장비 반입구를 이용한 작업 종료 시 반드시 개구부 덮개가 닫혔는지 확인한 후 종료</t>
    <phoneticPr fontId="1" type="noConversion"/>
  </si>
  <si>
    <t>장비 반입구 개방 시 장비를 이용하여 개방, 사정에 의하여 인력 개방 시 주변에 생명줄(16mm 이상 PP로프)을 설치하고 안전대 착용 및 안전고리 걸고 작업</t>
    <phoneticPr fontId="1" type="noConversion"/>
  </si>
  <si>
    <t>경사지붕 단부에 안전난간대가 설치된 상태에서 작업</t>
  </si>
  <si>
    <t>고소작업 용도로 지게차 사용 금지 (포크 위에는 어떠한 경우에도 올라서지 말 것)</t>
    <phoneticPr fontId="1" type="noConversion"/>
  </si>
  <si>
    <t>지게차 포크에 탑승한 상태에서 작업 중 추락 위험</t>
  </si>
  <si>
    <t>법면 상부 등 추락 위험장소에 안전난간대 설치 등 추락방지 조치 실시 후 작업</t>
    <phoneticPr fontId="1" type="noConversion"/>
  </si>
  <si>
    <t>작업장 주변 개구부에는 덮개, 단부에는 안전난간대 설치 후 작업</t>
  </si>
  <si>
    <t>데크플레이트 설치장소까지 안전하게 이동할 수 있는 가설통로 설치</t>
  </si>
  <si>
    <t>철골부재의 접합부는 구조내력을 가질 수 있도록 누락되지 않게 볼트 체결</t>
    <phoneticPr fontId="1" type="noConversion"/>
  </si>
  <si>
    <t>철골 기둥에는 견고한 승강용 트랩을 설치한 후 승강</t>
  </si>
  <si>
    <t>철골 구조물 주요 이동통로에는 고정된 안전통로 설치</t>
  </si>
  <si>
    <t>타설장소 주변 개구부에는 덮개를 설치하고 단부에는 안전난간대를 설치한 후 작업</t>
    <phoneticPr fontId="1" type="noConversion"/>
  </si>
  <si>
    <t>2m 이상의 굴착법면 단부에는 추락예방을 위하여 추락방지 휀스 (난간대 등)를 설치 후 작업 실시</t>
    <phoneticPr fontId="1" type="noConversion"/>
  </si>
  <si>
    <t>토사 반출 작업 시 운반트럭 상부에 무리하게 올라가는 것을 금지</t>
    <phoneticPr fontId="1" type="noConversion"/>
  </si>
  <si>
    <t>A형 사다리를 일자 사다리로 변형사용 금지</t>
    <phoneticPr fontId="1" type="noConversion"/>
  </si>
  <si>
    <t>작업발판 (말비계)은 반드시 폭이 40cm 이상 되는 것 사용</t>
    <phoneticPr fontId="1" type="noConversion"/>
  </si>
  <si>
    <t>작업발판 (말비계)는 기성제품을 사용하고 변형된 것은 사용금지하며, 변형된 말비계는 현장에서 폐기 조치</t>
    <phoneticPr fontId="1" type="noConversion"/>
  </si>
  <si>
    <t>안전기준에 적합한 인증된 말비계 사용하며, 작업발판 (말비계)을 임의로 제작하여 사용 금지</t>
    <phoneticPr fontId="1" type="noConversion"/>
  </si>
  <si>
    <t>이동식비계는 밑면 최소폭이 4배 이하로 조립</t>
    <phoneticPr fontId="1" type="noConversion"/>
  </si>
  <si>
    <t>낙하</t>
  </si>
  <si>
    <t>이동식 비계에 재료 및 공구 등을 올리거나 내릴때는 달포대 등을 사용
(달포대를 사용한 자재 인양시 안전하중 준수 및 낙하방지 조치 실시)</t>
    <phoneticPr fontId="1" type="noConversion"/>
  </si>
  <si>
    <t>전도</t>
  </si>
  <si>
    <t>이동식 비계 작업발판이 빈틈없이 설치된 상태에서 작업</t>
  </si>
  <si>
    <t>2단 이상 이동식비계에는 반드시 아웃트리거를 설치하고 작업</t>
  </si>
  <si>
    <t>작업자가 탄 채로 이동식 비계 이동 금지</t>
  </si>
  <si>
    <t>이동식 비계 최상부에 안전난간대 (상부난간대, 중간난간대, 발끝막이판) 설치 후 작업</t>
    <phoneticPr fontId="1" type="noConversion"/>
  </si>
  <si>
    <t>강도</t>
    <phoneticPr fontId="1" type="noConversion"/>
  </si>
  <si>
    <t>빈도</t>
    <phoneticPr fontId="1" type="noConversion"/>
  </si>
  <si>
    <t>개선대책 및 관리계획</t>
    <phoneticPr fontId="1" type="noConversion"/>
  </si>
  <si>
    <t>세부작업</t>
    <phoneticPr fontId="1" type="noConversion"/>
  </si>
  <si>
    <t xml:space="preserve">차량 주변 (아우트리거 설치 지점)이 평탄하고 견고한지 확인하고 4개의 아우트리거를 최대로 확장, 접지판이 모두 지면에 밀착되도록 설치 </t>
    <phoneticPr fontId="1" type="noConversion"/>
  </si>
  <si>
    <t>전도</t>
    <phoneticPr fontId="1" type="noConversion"/>
  </si>
  <si>
    <t>협착</t>
  </si>
  <si>
    <t>스카이 (고소작업차)</t>
    <phoneticPr fontId="1" type="noConversion"/>
  </si>
  <si>
    <t>정전작업 종료 후 전원공급 전에 먼지, 볼트, 공구류가 제거 되었는지 확인 후 공급</t>
    <phoneticPr fontId="1" type="noConversion"/>
  </si>
  <si>
    <t>화재/폭발</t>
  </si>
  <si>
    <t>전기설비 앞 안전거리 라인 표시 및 눈에 잘 띄는 곳에 전압 표시</t>
  </si>
  <si>
    <t>감전</t>
  </si>
  <si>
    <t>전기설비 작업 시 고압을 저압으로 오인하여 안전거리 미확보로 감전 위험</t>
    <phoneticPr fontId="1" type="noConversion"/>
  </si>
  <si>
    <t>전기설비 충전부 절연조치 및 절연덮개 부착 여부를 확인하고 조치가 된 상태에서 작업 실시</t>
    <phoneticPr fontId="1" type="noConversion"/>
  </si>
  <si>
    <t>전기기기는 접지극이 있는 플러그 및 콘센트를 사용하고 누전차단기가 설치된 상태에서 작업</t>
    <phoneticPr fontId="1" type="noConversion"/>
  </si>
  <si>
    <t>절연모, 절연화, 절연장갑 착용</t>
  </si>
  <si>
    <t>정전작업 시 잔류 전하 미방전으로 작업자 감전 위험</t>
    <phoneticPr fontId="1" type="noConversion"/>
  </si>
  <si>
    <t>정전작업 시 전원 공급부 전원 차단 후 시건장치를 하고 통전금지 표시 부착
(Lock Out, Tag Out)</t>
    <phoneticPr fontId="1" type="noConversion"/>
  </si>
  <si>
    <t>토치 등 화기 사용시 화상방지를 위한 안전장갑 착용 후 작업</t>
  </si>
  <si>
    <t>건강이상</t>
  </si>
  <si>
    <t>작업 중 토치 등 화기 사용시 열에 의하여 작업자 화상</t>
    <phoneticPr fontId="1" type="noConversion"/>
  </si>
  <si>
    <t>용접기 홀더, 피복, 충전부가 노출된 경우 절연 테이프 등으로 노출되지 않도록 조치하고 용접기 접지 실시</t>
    <phoneticPr fontId="1" type="noConversion"/>
  </si>
  <si>
    <t>비래</t>
  </si>
  <si>
    <t>인화성 물질 작업구역 내에서 화기사용 금지</t>
    <phoneticPr fontId="1" type="noConversion"/>
  </si>
  <si>
    <t>인화성 물질 인접장소에서 화기사용으로 인한 화재 위험</t>
    <phoneticPr fontId="1" type="noConversion"/>
  </si>
  <si>
    <t>작업 시 산소 또는 LPG의 지속적인 누출로 과잉산소 상태에서
프로판 가스 혼합 시 폭발 위험</t>
    <phoneticPr fontId="1" type="noConversion"/>
  </si>
  <si>
    <t>LPG 호스 측에 역화방지기 설치 후 작업</t>
    <phoneticPr fontId="1" type="noConversion"/>
  </si>
  <si>
    <t>작업장 주변에 외부인/외부작업자가 접근하지 못하도록 안전구획 (안전테이프, 라바콘 걸이대 등 활용)을 설치하고 통제자 (신호수)를 배치</t>
    <phoneticPr fontId="1" type="noConversion"/>
  </si>
  <si>
    <t>낙하</t>
    <phoneticPr fontId="1" type="noConversion"/>
  </si>
  <si>
    <t>안전대 걸이시설 (생명로프, 16mm 이상) 설치, 안전대 고리를 체결한 상태로 이동</t>
    <phoneticPr fontId="1" type="noConversion"/>
  </si>
  <si>
    <t>자재 인력운반시 가급적 1인 20kg 이하만 실시하고, 긴 자재는 2인 1조 운반</t>
  </si>
  <si>
    <t>자재 인력운반 시 비정상적인 운반자세로 인하여 허리 등 근골격계 질환 위험</t>
    <phoneticPr fontId="1" type="noConversion"/>
  </si>
  <si>
    <t>자재 인력운반 시 모서리 등에 베임을 방지하기 위하여 보호장갑 착용 후 작업</t>
    <phoneticPr fontId="1" type="noConversion"/>
  </si>
  <si>
    <t>철물 자재 인력운반 시 모서리 등에 베임을 방지하기 위하여 보호장갑 착용 후 작업</t>
    <phoneticPr fontId="1" type="noConversion"/>
  </si>
  <si>
    <t>리어카 등으로 자재 운반시 운반로 개구부 등에 덮개 설치 등 추락방지 조치 실시</t>
    <phoneticPr fontId="1" type="noConversion"/>
  </si>
  <si>
    <t>비계 결속부에는 반드시 전용 크램프를 사용하여 결속</t>
  </si>
  <si>
    <t>비계에는 벽이음 전용철물을 사용하여 5m 이내 마다 수직 및 수평으로 벽체와 연결</t>
    <phoneticPr fontId="1" type="noConversion"/>
  </si>
  <si>
    <t>비계 상에는 반드시 사다리 및 비계다리 등 승강시설을 설치 후 이동</t>
    <phoneticPr fontId="1" type="noConversion"/>
  </si>
  <si>
    <t>비계기둥 밑단에는 침하 방지조치 (깔판 또는 깔목) 실시</t>
    <phoneticPr fontId="1" type="noConversion"/>
  </si>
  <si>
    <t>비계 상에서 작업 시 그네식 안전대를 착용하고 안전고리를 걸고 작업</t>
    <phoneticPr fontId="1" type="noConversion"/>
  </si>
  <si>
    <t>설비 전원부에 잠금장치를 설치하고, 조작금지 안내판을 부착하고 외부인 출입금지 조치</t>
    <phoneticPr fontId="1" type="noConversion"/>
  </si>
  <si>
    <t>단부 발끝막이판 설치 및 공구함 별도 설치</t>
    <phoneticPr fontId="1" type="noConversion"/>
  </si>
  <si>
    <t>작업 시 작업 및 통행에 지장이 없도록 충분한 조명설비 설치</t>
    <phoneticPr fontId="1" type="noConversion"/>
  </si>
  <si>
    <t>작업장소 또는 이동동선에 작업자가 걸려 넘어질 위험이 있는 장애물은 제거 또는 전도 방지조치 (경사판 설치 등) 후 작업</t>
    <phoneticPr fontId="1" type="noConversion"/>
  </si>
  <si>
    <t>옥내·외 작업장 바닥의 물기 등을 제거하고 정리·정돈 상태 확인 후 이동 또는 점검/작업</t>
  </si>
  <si>
    <t>설비 상부에서 작업 시 안전대 착용하고 안전고리 체결 후 작업, 체결할 곳이 없을 경우 생명줄 (16mm 이상 PP 로프) 및 로립 (코브라)을 설치하고 안전고리 체결 후 작업</t>
    <phoneticPr fontId="1" type="noConversion"/>
  </si>
  <si>
    <t>기계식 주차설비</t>
    <phoneticPr fontId="1" type="noConversion"/>
  </si>
  <si>
    <t>와이어휠 등 중량물 설치시 체인블럭 등 인양장비 사용하고 와이어휠 회전작업 시에는 장갑착용 금지</t>
    <phoneticPr fontId="1" type="noConversion"/>
  </si>
  <si>
    <t>설비 수리시에는 반드시 작동을 멈추고 작업 실시</t>
  </si>
  <si>
    <t>각 층 승강기 출입구에 안전난간대 설치 및 출입통제 실시</t>
  </si>
  <si>
    <t>승강기 승강구 조립시 개구부가 없도록 전면에 덮개 설치</t>
  </si>
  <si>
    <t>승강기 승강구 단부 발끝막이판 설치 및 공구함 별도 설치</t>
  </si>
  <si>
    <t>승강기 바닥 및 천장 단부구간에는 안전난간대를 설치 후 작업</t>
  </si>
  <si>
    <t>승강기실 출입구 등 추락위험 장소에 안전난간대 설치</t>
    <phoneticPr fontId="1" type="noConversion"/>
  </si>
  <si>
    <t>가이드레일 설치 시 하부 근로자 출입통제 실시 및 가이드레일 가볼트 조임 철저</t>
  </si>
  <si>
    <t>승강기 승강구 단부 발끝막이판 설치 및 공구함 별도 설치, 공구함은 별도로 설치하고 작업 중 낙하물이 발생되지 않도록 함</t>
    <phoneticPr fontId="1" type="noConversion"/>
  </si>
  <si>
    <t>작업 전 중량물의 하중이 체인블럭의 안전하중 이하일 경우에만 인양작업 실시</t>
  </si>
  <si>
    <t>작업 중 다량의 가스 흡입으로 호흡기 장애 위험</t>
  </si>
  <si>
    <t>유해물질을 이용한 세관/세척 작업장에는 출입금지 구역을 설정 (접근금지 휀스 설치 등)하고 경고표지를 설치, 감시자 배치</t>
    <phoneticPr fontId="1" type="noConversion"/>
  </si>
  <si>
    <t>유해물질을 이용한 세관/세척 작업 중 유해물질이 튀어 근처 작업자 또는 보행자에 신체손상</t>
  </si>
  <si>
    <t>유해물질을 이용한 세관/세척 작업시 작업자가 MSDS 미인지 상태에서 사용 중 유해물질
접촉에 따른 신체 손상</t>
    <phoneticPr fontId="1" type="noConversion"/>
  </si>
  <si>
    <t>유해물질을 이용한 세관/세척 작업 시 보호구를 미착용한 상태에서 유해물질에 접촉되어
신체 손상</t>
    <phoneticPr fontId="1" type="noConversion"/>
  </si>
  <si>
    <t xml:space="preserve">산 또는 알칼리가 들어있는 세척조에 물을 넣어 희석시 산 또는 알칼리가 튀어 신체 손상 </t>
  </si>
  <si>
    <t>작업/점검을 위해 이동중 낮은 상부 배관 또는 구조물에 머리가 부딪치는 위험</t>
  </si>
  <si>
    <t>정화조 개구부 (부폐조, 침전조 등)에서 안전난간 등 미설치된 상태에서 작업 중 추락</t>
    <phoneticPr fontId="1" type="noConversion"/>
  </si>
  <si>
    <t>환기팬 가동 시 (흡기) 주위 작업에 의해 발생하는 유해가스나 먼지가 밀폐공간 내로 유입되지 않도록 할 것</t>
    <phoneticPr fontId="1" type="noConversion"/>
  </si>
  <si>
    <t>환기가 불충분한 장소에서 유해물질 작업 시 질식</t>
  </si>
  <si>
    <t>지하 밀폐공간에서 방수 작업 중 유독가스 또는 산소 부족으로 작업자 질식</t>
  </si>
  <si>
    <t>가스 누출로 인한 작업자 질식위험</t>
  </si>
  <si>
    <t>산소농도가 부족한 밀폐공간 작업 시 산소농도 부족으로 인한 질식</t>
  </si>
  <si>
    <t>밀폐공간 작업 시 유해가스 흡입으로 작업 중 질식</t>
  </si>
  <si>
    <t>밀폐공간 작업 시 산소농도 부족으로 작업 중 질식</t>
  </si>
  <si>
    <t>설비 등 세관/세척</t>
    <phoneticPr fontId="1" type="noConversion"/>
  </si>
  <si>
    <t>밀폐공간 (물탱크, 정화조 등)</t>
    <phoneticPr fontId="1" type="noConversion"/>
  </si>
  <si>
    <t>풍속이 초당 10m 이상, 강우량이 시간당 1mm 이상, 강설량이 시간당 1cm 이상인 경우 달비계 작업 중지</t>
    <phoneticPr fontId="1" type="noConversion"/>
  </si>
  <si>
    <t>달비계 작업대에 탑승 전 안전대 안전고리를 구명줄 (생명줄)에 체결 후 이동</t>
    <phoneticPr fontId="1" type="noConversion"/>
  </si>
  <si>
    <t>달비계 지지로프는 부서지거나 파단되지 않는 견고한 구조물에 체결하고 작업</t>
    <phoneticPr fontId="1" type="noConversion"/>
  </si>
  <si>
    <t>외벽로프 (달비계)</t>
    <phoneticPr fontId="1" type="noConversion"/>
  </si>
  <si>
    <t>비계</t>
    <phoneticPr fontId="1" type="noConversion"/>
  </si>
  <si>
    <t>◆ 중대위험작업 위험성평가표</t>
    <phoneticPr fontId="1" type="noConversion"/>
  </si>
  <si>
    <t>유해위험요인 파악</t>
    <phoneticPr fontId="1" type="noConversion"/>
  </si>
  <si>
    <t>위험분류</t>
    <phoneticPr fontId="1" type="noConversion"/>
  </si>
  <si>
    <t>유해위험요인</t>
    <phoneticPr fontId="1" type="noConversion"/>
  </si>
  <si>
    <t>개선 전</t>
    <phoneticPr fontId="1" type="noConversion"/>
  </si>
  <si>
    <t>등급</t>
    <phoneticPr fontId="1" type="noConversion"/>
  </si>
  <si>
    <t>개선 후</t>
    <phoneticPr fontId="1" type="noConversion"/>
  </si>
  <si>
    <t>밀폐공간 출입 전 산소농도측정기로 산소농도를 측정하고 산소농도의 범위가 18% 이상 23.5% 미만일 시 작업 실시, 정상범위를 벗어나면 즉시 작업 중지하고 대피(가스의 종류에 따라 체류하는 층&lt;layer&gt;가 다를 수 있으므로 층별로 나눠서 농도 측정)</t>
    <phoneticPr fontId="1" type="noConversion"/>
  </si>
  <si>
    <t>밀폐공간 출입 전 가스측정기로 유해가스 농도를 측정하여 탄산가스의 농도 1.5% 미만, 황화수소의 농도 10ppm 미만일 시 작업 실시, 정상범위를 벗어나면 즉시 작업 중지하고 대피(측정 주기는 법정 휴식시간/점심시간 후 작업투입 전 등에 실시)</t>
    <phoneticPr fontId="1" type="noConversion"/>
  </si>
  <si>
    <t>산소농도가 부족한 장소에서 작업 시 호흡용 보호구 (공기호흡기, 산소호흡기, 송기마스크) 착용 후 작업하며, 인증 및 검사 된 보호구 인지 확인함</t>
    <phoneticPr fontId="1" type="noConversion"/>
  </si>
  <si>
    <t>밀폐공간에서 방수 작업시 환기시설 (송풍기 등) 설치 및 가스/산소농도 측정하여 양호 시 (산소 18% 이상 23.5% 미만, 탄산가스 1.5% 미만, 황화수소 10ppm 미만) 실시, 측정 주기는 법정 휴식시간/점심시간 후 작업투입전 등에 실시</t>
    <phoneticPr fontId="1" type="noConversion"/>
  </si>
  <si>
    <t>정화조 개구부 (부폐조, 침전조 등)에서의 작업자 추락재해 예방을 위해 안전나간 등을 설치한 후 작업</t>
    <phoneticPr fontId="1" type="noConversion"/>
  </si>
  <si>
    <t>낮은 배관/덕트/서포트 철골에서 머리가 부딪힐 우려가 있는 낮은 배관/덕트/서포트 철골에는 보호패드를 설치하고 안전모 착용 후 이동 및 작업 (보호패드 + 경고표지 부착)</t>
    <phoneticPr fontId="1" type="noConversion"/>
  </si>
  <si>
    <t>산 또는 알칼리 희석 시 자격증 있는 사람이 취급하고 반드시 물을 먼저 세척조에 넣은 다음 산 또는 알칼리를 천천히 부어야 함, 올바른 보호구 착용 (예:내화학성 보호의, 보호작업 등)</t>
    <phoneticPr fontId="1" type="noConversion"/>
  </si>
  <si>
    <t>유해물질을 이용한 세관/세척 작업 시 보안경, 고무장갑, 고무재질 앞치마, 고무장화를 착용한 상태에서 작업, 충분히 눈을 보호해 줄 수 있는 보안경(고급형) 사용</t>
    <phoneticPr fontId="1" type="noConversion"/>
  </si>
  <si>
    <t>가스 취급설비 작업 시 방독마스크 및 안전장갑 등 안전보호구 착용</t>
    <phoneticPr fontId="1" type="noConversion"/>
  </si>
  <si>
    <t>해당 유해물질 MSDS를 작업장에 비치하고 작업 전 내용을 인지한 후 작업 실시</t>
    <phoneticPr fontId="1" type="noConversion"/>
  </si>
  <si>
    <t>질식</t>
    <phoneticPr fontId="1" type="noConversion"/>
  </si>
  <si>
    <t>추락</t>
    <phoneticPr fontId="1" type="noConversion"/>
  </si>
  <si>
    <t>충돌</t>
    <phoneticPr fontId="1" type="noConversion"/>
  </si>
  <si>
    <t>건강이상</t>
    <phoneticPr fontId="1" type="noConversion"/>
  </si>
  <si>
    <t>외벽청소</t>
    <phoneticPr fontId="1" type="noConversion"/>
  </si>
  <si>
    <t>외벽로프
(달비계 작업)</t>
    <phoneticPr fontId="1" type="noConversion"/>
  </si>
  <si>
    <t>달비계 지지로프가 손성되거나 부식되어 작업 중 끊어져 작업자 추락 위험</t>
    <phoneticPr fontId="1" type="noConversion"/>
  </si>
  <si>
    <t>달비계 지지로프의 고정 구조물이 부서지면서 작업자 추락 위험</t>
    <phoneticPr fontId="1" type="noConversion"/>
  </si>
  <si>
    <t>수직구명줄(생명줄) 미설치하고 안전대 미체결 상태에서 작업 중 작업자 추락 위험</t>
    <phoneticPr fontId="1" type="noConversion"/>
  </si>
  <si>
    <t>건물 옥상 단부에서 달비계 작업대에 올라 타려던 중 작업자가 균형을 잃고 추락 위험</t>
    <phoneticPr fontId="1" type="noConversion"/>
  </si>
  <si>
    <t>달비계를 이용하여 작업 중 강풍에 의하여 균형을 잃고 작업자 추락 위험</t>
    <phoneticPr fontId="1" type="noConversion"/>
  </si>
  <si>
    <t>달비계 작업 시 건축물의 모서리 등과 로프가 접촉하는 부분에서 로프가 끊어져 작업자 추락 위험</t>
    <phoneticPr fontId="1" type="noConversion"/>
  </si>
  <si>
    <t>달비계 작업 시 작업용 지지로프의 결속부가 풀리면서 작업자 추락 위험</t>
    <phoneticPr fontId="1" type="noConversion"/>
  </si>
  <si>
    <t>작업지휘자 없이 외벽청소 작업 중 작업자의 불안전한 행동으로 추락 위험</t>
    <phoneticPr fontId="1" type="noConversion"/>
  </si>
  <si>
    <t>작업자가 음주상태에서 작업 중 위험사항을 인지하지 못하여 추락 위험</t>
    <phoneticPr fontId="1" type="noConversion"/>
  </si>
  <si>
    <t>달비계를 이용하여 작업 중 도구 등이 낙하하여 하부 작업자 또는 보행자에 타격 위험</t>
    <phoneticPr fontId="1" type="noConversion"/>
  </si>
  <si>
    <t>달비계 작업 시 수직구명줄(생명줄)을 16mm 이상 PP로프로 설치하고 로립 설치 및 안전고리 체결은 반드시 지상(옥상)에서 실시(작업대 탑승 전)</t>
    <phoneticPr fontId="1" type="noConversion"/>
  </si>
  <si>
    <t>달비계 작업 전 건축물의 모서리 등과 로프가 접촉하는 부분에는 보호대를 설치하고 작업</t>
    <phoneticPr fontId="1" type="noConversion"/>
  </si>
  <si>
    <t>달비계 작업용 지지로프는 2개소 이상 견고한 구조물에 체결하고 클립 등으로 풀리지 않게 고정하고 작업</t>
    <phoneticPr fontId="1" type="noConversion"/>
  </si>
  <si>
    <t>외벽청소 작업 시에는 상층부에 작업지휘자를 배치하여 비상상황에 대처하도록 함</t>
    <phoneticPr fontId="1" type="noConversion"/>
  </si>
  <si>
    <t>외벽청소 작업 전 작업자의 건강상태(음주 여부 등)를 확인 후 이상이 없을 시 작업에 투입</t>
    <phoneticPr fontId="1" type="noConversion"/>
  </si>
  <si>
    <t>출입금지 구역설정, 경고표지 설치, 하부 감시자 배치, 도구이탈방지끈 사용, 상부에 낙하 위험물 제거 후 작업</t>
    <phoneticPr fontId="1" type="noConversion"/>
  </si>
  <si>
    <t>작업로프 및 생명로프(자일로프)가 손성되거나 부식되어 작업 중 끊어져 작업자 추락 위험</t>
    <phoneticPr fontId="1" type="noConversion"/>
  </si>
  <si>
    <t>작업로프 및 생명로프(자일로프)의 고정 구조물이 부서지면서 작업자 추락 위험</t>
    <phoneticPr fontId="1" type="noConversion"/>
  </si>
  <si>
    <t>외벽작업 중 강풍에 의하여 균형을 잃고 작업자 추락 위험</t>
    <phoneticPr fontId="1" type="noConversion"/>
  </si>
  <si>
    <t>외벽 작업 시 건축물의 모서리 등과 로프가 접촉하는 부분에서 로프가 끊어져 작업자 추락 위험</t>
    <phoneticPr fontId="1" type="noConversion"/>
  </si>
  <si>
    <t>외벽 작업 시, 자체 제어 하강기 및 추락방지장치의 로프 방향을 반대로 체결하여 고정되지 않으면서 작업자 추락 위험</t>
    <phoneticPr fontId="1" type="noConversion"/>
  </si>
  <si>
    <t>외벽 작업 중 도구 등이 낙하하여 하부 작업자 또는 보행자에 타격 위험</t>
    <phoneticPr fontId="1" type="noConversion"/>
  </si>
  <si>
    <t>자일로프는 작업 중 파단되지 않도록 인장강도가 22.9kN인 산업용 자일로프를 사용하고 손상이 없고 견고한 것인지 확인 후 작업</t>
    <phoneticPr fontId="1" type="noConversion"/>
  </si>
  <si>
    <t>자일로프는 부서지거나 파단되지 않는 견고한 구조물에 체결하고 작업</t>
    <phoneticPr fontId="1" type="noConversion"/>
  </si>
  <si>
    <t>외벽 작업 시 수직구명줄(생명줄)을 인장강도 22.9kN이상의 산업용 자일로프로 설치하고 추락방지장치(아삽락 등) 설치 및 안전고리 체결은 반드시 지상(옥상)에서 실시(작업실시 전)</t>
    <phoneticPr fontId="1" type="noConversion"/>
  </si>
  <si>
    <t>풍속이 초당 10m 이상, 강우량이 시간당 1mm 이상, 강설량이 시간당 1cm 이상인 경우 외벽 작업 중지</t>
    <phoneticPr fontId="1" type="noConversion"/>
  </si>
  <si>
    <t>작업 전 건축물의 모서리 등과 로프가 접촉하는 부분에는 보호대를 설치하고 작업</t>
    <phoneticPr fontId="1" type="noConversion"/>
  </si>
  <si>
    <t>로프는 2개소 이상 견고한 구조물에 체결하고 클립 등으로 풀리지 않게 고정하고 작업 전 올바른 방향으로 체결하였는지 반드시 확인 후 작업</t>
    <phoneticPr fontId="1" type="noConversion"/>
  </si>
  <si>
    <t>외벽로프 (자체제어하강기))</t>
    <phoneticPr fontId="1" type="noConversion"/>
  </si>
  <si>
    <t>외벽로프
(자체제어하강기)</t>
    <phoneticPr fontId="1" type="noConversion"/>
  </si>
  <si>
    <t>스카이
(고소작업차)</t>
    <phoneticPr fontId="1" type="noConversion"/>
  </si>
  <si>
    <t>스카이
(고소작업차)
작업</t>
    <phoneticPr fontId="1" type="noConversion"/>
  </si>
  <si>
    <t>고소작업차 (스카이) 붐 상승 상태에서 이동하다 균형을 잃고 전도되어 탑승 작업자 추락 및 주위 작업자 협착 위험</t>
  </si>
  <si>
    <t>고소작업차 (스카이) 작업 시 안전난간대를 밟고 작업 중 균형을 잃고 추락 위험</t>
  </si>
  <si>
    <t>고소작업차 (스카이) 허용 작업반경 초과로 장비가 전도되어 작업자 추락 및 하부 작업자 협착 위험</t>
  </si>
  <si>
    <t>고소작업차 (스카이) 아웃트리거 설치 불량으로 장비가 전도되어 작업자 추락 및 하부 작업자 협착 위험</t>
  </si>
  <si>
    <t>고소작업차 (스카이) 붐대를 연장한 상태로 주행하다 전도되어 작업자 추락 및 하부 작업자 협착 위험</t>
  </si>
  <si>
    <t>고소작업차 (스카이)에 안전난간대가 미설치 되어 작업 중 작업자 추락 위험</t>
  </si>
  <si>
    <t>고소작업차 (스카이) 정비불량에 따른 작업자 추락 위험</t>
  </si>
  <si>
    <t>고소작업차 (스카이) 작업 시 작업자가 실수로 공구를 떨어뜨려 하부에 있는 작업자 또는 보행자 충격 위험</t>
  </si>
  <si>
    <t>고소작업차 (스카이) 작업 중 공구 등이 낙하하여 하부 작업자 또는 보행자 타격 위험</t>
  </si>
  <si>
    <t>고소작업차 (스카이)를 사용하여 작업 시 불시 과상승으로 천장 구조물과 작업대 사이에 협착 위험</t>
  </si>
  <si>
    <t>고소작업차 (스카이) 아우트리거를 일부 확장하지 않은 상태에서 작업 중 전도 위험</t>
  </si>
  <si>
    <t>고소작업차 (스카이) 붐 상승 상태에서 이동 금지, 반드시 붐이 완전히 하강된 후 이동 실시</t>
  </si>
  <si>
    <t>고소작업차 (스카이) 작업 시  바스켓 내에서만 작업 실시
안전난간대 밟고 작업 금지(안전난간을 밟아야 할 경우 관리감독자와 상의하여 다른 작업방법을 찾도록 함)</t>
  </si>
  <si>
    <t>작업반경 제어장치가 장착된 고소작업차 (스카이) 사용하고, 
고소작업차 (스카이) 조종석 안전 모니터링 장치 작동상태 확인</t>
  </si>
  <si>
    <t>고소작업차 (스카이) 사용 전 아웃트리거 정상작동 여부 점검 실시 및 하부에는 침하방지 조치 실시, 아웃트리거가 설치된 반경에 바리케이드를 설치하여 작업자 출입통제 실시</t>
  </si>
  <si>
    <t>고소작업차 (스카이) 붐을 상승시킨 상태에서 작업자를 태우고 이동하는것 금지, 붐을 내린 상태에서 규정속도를 준수하고 지면상태를 고려하여 주행</t>
  </si>
  <si>
    <t>고소작업차 (스카이)의 작업대 주위에 안전난간대를 설치하여 작업하고 임의로 해체 금지</t>
  </si>
  <si>
    <t>고소작업차 (스카이)의 장비 검사증 및 운전자 교육 이수증 확인</t>
  </si>
  <si>
    <t>고소작업차 (스카이) 작업 시 작업 안내문 및 위험범위 내 출입금지 펜스를 설치하고 유도자 배치 후 작업</t>
  </si>
  <si>
    <t>고소작업차 (스카이) 작업구역 내 임의 작업자 출입금지 조치 (접근금지 휀스 설치 등), 통제자 (신호수) 배치</t>
  </si>
  <si>
    <t>고소작업차 (스카이) 사용 시 과상승 방지를 위하여 머리보다 높게 끼임방지 장치 (과상승 방지봉)를 설치하고, 사용전 작동여부 확인 후 작업</t>
  </si>
  <si>
    <t>비계
조립 및 해체</t>
    <phoneticPr fontId="1" type="noConversion"/>
  </si>
  <si>
    <t>베임</t>
    <phoneticPr fontId="1" type="noConversion"/>
  </si>
  <si>
    <t>비계 상에 작업자가 안전대를 미착용하고 올라서서 작업 중 추락 위험</t>
    <phoneticPr fontId="1" type="noConversion"/>
  </si>
  <si>
    <t>비계기둥 하부 지반침하로 비계기둥이 침하되면서 붕괴되어 작업자 추락 위험</t>
    <phoneticPr fontId="1" type="noConversion"/>
  </si>
  <si>
    <t>비계 조립 시 비계 설치기준 미준수로 작업중 붕괴되어 작업자 추락 위험</t>
    <phoneticPr fontId="1" type="noConversion"/>
  </si>
  <si>
    <t>비계 상에 자재를 과적재하여 비계가 하중을 견디지 못하고 붕괴되어 작업자 추락 위험</t>
    <phoneticPr fontId="1" type="noConversion"/>
  </si>
  <si>
    <t>비계 상 승강설비 미설치로 작업자가 비계를 무리하게 올라가던 중 추락 위험</t>
    <phoneticPr fontId="1" type="noConversion"/>
  </si>
  <si>
    <t>비계에 벽이음 미설치로 작업중 비계가 붕괴되어 작업자 추락 위험</t>
    <phoneticPr fontId="1" type="noConversion"/>
  </si>
  <si>
    <t>비계 결속부로 불량 크램프를 사용하다 비계가 붕괴되어 작업자 추락 위험</t>
    <phoneticPr fontId="1" type="noConversion"/>
  </si>
  <si>
    <t>리어카 등으로 자재 운반시 운반로 개구부에 추락 위험</t>
    <phoneticPr fontId="1" type="noConversion"/>
  </si>
  <si>
    <t xml:space="preserve">비계작업 중 공구 또는 자재가 낙하되어 하부에서 작업중이던 작업자 타격 위험 </t>
    <phoneticPr fontId="1" type="noConversion"/>
  </si>
  <si>
    <t>자재묶음 고정해체 시 차량 상부 자재가 전도하여 밑에 있던 작업자 타격 위험</t>
    <phoneticPr fontId="1" type="noConversion"/>
  </si>
  <si>
    <t>철물 자재 인력운반 중 철제 모서리 등에 베임 또는 긁힘 위험</t>
    <phoneticPr fontId="1" type="noConversion"/>
  </si>
  <si>
    <t>자재 인력운반 중 모서리 등에 베임 또는 긁힘 위험</t>
    <phoneticPr fontId="1" type="noConversion"/>
  </si>
  <si>
    <t>자재 반입, 운반 시 무리하게 단독으로 인력운반하다가 요통 발생 위험</t>
    <phoneticPr fontId="1" type="noConversion"/>
  </si>
  <si>
    <t>비계 조립·해체 中 안전대 걸이시설 미설치로 안전대 고리 미체결한 상태에서 이동 중 추락 위험</t>
    <phoneticPr fontId="1" type="noConversion"/>
  </si>
  <si>
    <t>작업장 주변 안전구획 미설치, 통제자 (신호수) 미배치 상태에서 타 작업자 접근 중 낙하하는 비계 자재에 맞음 위험</t>
    <phoneticPr fontId="1" type="noConversion"/>
  </si>
  <si>
    <t>자재반입 시 평탄지반으로 차량유도 및 자재묶음 해체 전 전도 우려 자재는 선 점검하여 조치 (묶음 해체 시 자재가 낙하할 수 있는 방향에 위치 금지)</t>
    <phoneticPr fontId="1" type="noConversion"/>
  </si>
  <si>
    <t xml:space="preserve">비계 조립 시 설치기준 준수 (비계 기둥간격: 띠장방향 1.5~1.8m, 장선방향 1.5m 이하, 띠장간격: 첫번째 2m 그 외에 1.5m 이하, 장선간격: 1.5m 이하, 작업발판: 폭 40cm 이상) 비계설치 구역에 외부인 출입금지용 바리케이드 설치  </t>
    <phoneticPr fontId="1" type="noConversion"/>
  </si>
  <si>
    <t>비계 상에는 최대 적재하중 (비계 기둥간 400kg 이하) 표시를 설치하고 과적재하지 않도록 조치</t>
    <phoneticPr fontId="1" type="noConversion"/>
  </si>
  <si>
    <t>비계조립 및 작업 시 하부에는 접근금지 조치 실시 (접근금지 휀스 등 설치) 도구이탈방지끈을 렌치 등에 부착하여 낙하물을 방지</t>
    <phoneticPr fontId="1" type="noConversion"/>
  </si>
  <si>
    <t>인력운반 시 적정중량 (1인 20kg 이하)을 준수하여 운반하고 긴 부재 등은 2인 1조로 운반 실시</t>
    <phoneticPr fontId="1" type="noConversion"/>
  </si>
  <si>
    <t>기계식 주차설비
점검</t>
    <phoneticPr fontId="1" type="noConversion"/>
  </si>
  <si>
    <t>체인블럭 작업 시 훅해지장치 탈락으로 인양물이 낙하되어 근처 작업자 타격 위험</t>
    <phoneticPr fontId="1" type="noConversion"/>
  </si>
  <si>
    <t>작업장 주변부에 추락방지 시설 (난간대, 덮개 등) 미설치로 작업 중 추락 위험</t>
    <phoneticPr fontId="1" type="noConversion"/>
  </si>
  <si>
    <t>바닥 물기가 제거되지 않은 상태에서 이동 또는 점검/작업 중 미끄러져 전도 위험</t>
    <phoneticPr fontId="1" type="noConversion"/>
  </si>
  <si>
    <t>작업 중  또는 이동중 바닥 장애물에 걸려 넘어짐 위험</t>
    <phoneticPr fontId="1" type="noConversion"/>
  </si>
  <si>
    <t>작업 시 조명설비 불량으로 이동 중 발을 헛딛어 전도 위험</t>
    <phoneticPr fontId="1" type="noConversion"/>
  </si>
  <si>
    <t>불안전하게 놓여진 공구, 자재가 낙하하여 하부 작업자 타격 위험</t>
    <phoneticPr fontId="1" type="noConversion"/>
  </si>
  <si>
    <t>설비 작업 중 타 작업자가 정지되어 있는 설비를 가동하여 작업 중인 작업자 협착 위험</t>
    <phoneticPr fontId="1" type="noConversion"/>
  </si>
  <si>
    <t>설비 상부에서 작업 시 안전대 착용하고 안전고리 체결 후 작업, 체결할 곳이 없을 경우 생명줄 (16mm 이상 PP 로프) 및 로립(코브라)을 설치하고 안전고리 체결 후 작업</t>
    <phoneticPr fontId="1" type="noConversion"/>
  </si>
  <si>
    <t>수변전설비</t>
    <phoneticPr fontId="1" type="noConversion"/>
  </si>
  <si>
    <t>수변전설비
(보수작업)</t>
    <phoneticPr fontId="1" type="noConversion"/>
  </si>
  <si>
    <t>감전</t>
    <phoneticPr fontId="1" type="noConversion"/>
  </si>
  <si>
    <t>감전사고 발생 가능한 장소에 감전주의, 고압경고 등 안전보건표지판 부착</t>
    <phoneticPr fontId="1" type="noConversion"/>
  </si>
  <si>
    <t>작업전선 피복이 벗겨진 상태에서 피부와 접촉하여 감전 위험</t>
    <phoneticPr fontId="1" type="noConversion"/>
  </si>
  <si>
    <t>정전작업 시 정전 여부 미확인으로 정전이 안된 상태에서 접촉되어 감전 위험</t>
    <phoneticPr fontId="1" type="noConversion"/>
  </si>
  <si>
    <t>정전작업 시 전원 공급부 차단 후 미시건 및 미표시로 타 작업자가 통전시켜 감전 위험</t>
    <phoneticPr fontId="1" type="noConversion"/>
  </si>
  <si>
    <t>활선점검 및 작업 시 접근 한계거리 이내로 접근하여 감전 위험</t>
    <phoneticPr fontId="1" type="noConversion"/>
  </si>
  <si>
    <t>전기작업 시 절연용 보호구 미착용으로 감전 위험</t>
    <phoneticPr fontId="1" type="noConversion"/>
  </si>
  <si>
    <t>전기설비 작업 중 오조작에 의하여 충전부에 감전 위험</t>
    <phoneticPr fontId="1" type="noConversion"/>
  </si>
  <si>
    <t>전기기기의 미접지로 인하여 누전에 의한 감전 위험</t>
    <phoneticPr fontId="1" type="noConversion"/>
  </si>
  <si>
    <t>전기설비 점검 및 작업 중 오조작에 의하여 충전부에 감전 위험</t>
    <phoneticPr fontId="1" type="noConversion"/>
  </si>
  <si>
    <t>정전작업 후 먼지, 볼트, 공구류 등을 제거하지 않은 상태에서 전원을 공급하여 부스바와 외함간 지락사고로 인한 화재 위험</t>
    <phoneticPr fontId="1" type="noConversion"/>
  </si>
  <si>
    <t>작업장소에 감전주의, 고압경고 등 안전보건표지 미부착으로 작업자 안전 인지 부족으로 인한 사고 발생 위험</t>
    <phoneticPr fontId="1" type="noConversion"/>
  </si>
  <si>
    <t>전선의 피복손상 및 전선 접속불량 여부를 확인하고 불량 발견 시 테이핑 등 절연조치 후 작업 (손상 상태가 심할 경우 폐기)</t>
    <phoneticPr fontId="1" type="noConversion"/>
  </si>
  <si>
    <t>정전작업 시 검전기나 측정기를 사용하여 2개소 이상 정전 여부를 확인하고 정전이 확인된 상태에서 작업</t>
    <phoneticPr fontId="1" type="noConversion"/>
  </si>
  <si>
    <t>잔류전하 방전 시 DS봉 또는 방전봉의 접지선 측을 접지단자에 확실하게 고정하고 DS봉을 L1, L2, L3 각 상 노출 도전부에 접촉시켜 잔류전하를 방전</t>
    <phoneticPr fontId="1" type="noConversion"/>
  </si>
  <si>
    <t>특고압 검전기 (전압에 맞는 검전기 사용)를 활용하여 각상에 비접촉으로 활선 여부를 확인 (활선 시 점등 및 경보음 발생)</t>
    <phoneticPr fontId="1" type="noConversion"/>
  </si>
  <si>
    <t>전기설비 충전부 절연 조치 및 절연덮개 부착 여부를 확인하고 조치가 된 상태에서 작업 실시</t>
    <phoneticPr fontId="1" type="noConversion"/>
  </si>
  <si>
    <t>승강기
기계 설치/점검 등</t>
    <phoneticPr fontId="1" type="noConversion"/>
  </si>
  <si>
    <t>협착</t>
    <phoneticPr fontId="1" type="noConversion"/>
  </si>
  <si>
    <t>체인블럭 작업 중 정격하중 초과로 인하여 인양물이 파단 및 탈락되면서 낙하되어 근처 작업자 타격 위험</t>
    <phoneticPr fontId="1" type="noConversion"/>
  </si>
  <si>
    <t>가이드레일 교정작업 중 공구 등이 낙하하여 하부 작업자 타격 위험</t>
    <phoneticPr fontId="1" type="noConversion"/>
  </si>
  <si>
    <t>가이드레일 설치 중 볼트조임 불량으로 인하여 레일이 낙하하여 하부 작업자 타격 위험</t>
    <phoneticPr fontId="1" type="noConversion"/>
  </si>
  <si>
    <t>승강기 바닥 및 천장 단부에서 안전난간대 미설치로 인하여 작업자 추락 위험</t>
    <phoneticPr fontId="1" type="noConversion"/>
  </si>
  <si>
    <t>승강기실 단부 안전난간대 미설치로 작업자 추락 위험</t>
    <phoneticPr fontId="1" type="noConversion"/>
  </si>
  <si>
    <t>승강기 승강구 조립시 천장, 바닥 개구부 덮개 미설치로 추락 위험</t>
    <phoneticPr fontId="1" type="noConversion"/>
  </si>
  <si>
    <t>승강기 승강구에 불안전하게 놓여진 공구, 자재가 낙하하여 하부 작업자 타격 위험</t>
    <phoneticPr fontId="1" type="noConversion"/>
  </si>
  <si>
    <t>설비 상부에서 작업 시 안전대 미체결로 인하여 단부에서 추락 위험</t>
    <phoneticPr fontId="1" type="noConversion"/>
  </si>
  <si>
    <t>각 층 승강기 출입구에 안전난간대 미설치로 작업자 추락 위험</t>
    <phoneticPr fontId="1" type="noConversion"/>
  </si>
  <si>
    <t>설비 수리 시 회전체에 의하여 작업자 협착 위험</t>
    <phoneticPr fontId="1" type="noConversion"/>
  </si>
  <si>
    <t>와이어휠 설치 중 와이어휠과 기계사이에 작업자 협착 위험</t>
    <phoneticPr fontId="1" type="noConversion"/>
  </si>
  <si>
    <t>훅해지장치가 탈락된 경우 인양 금지, 훅해지장치 설치 후 작업 실시</t>
    <phoneticPr fontId="1" type="noConversion"/>
  </si>
  <si>
    <t>4m이상 고소작업</t>
    <phoneticPr fontId="1" type="noConversion"/>
  </si>
  <si>
    <t>승강용 사다리가 없는 구형 이동식 비계에서 오르던 중 발을 헛디뎌 추락 위험</t>
    <phoneticPr fontId="1" type="noConversion"/>
  </si>
  <si>
    <t>인증된 승강용 사다리 사용하며, 승강용 사다리가 없는 구형 이동식 비계에는 별도의 승강용 사다리를 부착하고 작업</t>
    <phoneticPr fontId="1" type="noConversion"/>
  </si>
  <si>
    <t>이동식 비계 상부 안전난간대 미설치로 인하여 작업중 단부에서 추락 위험</t>
    <phoneticPr fontId="1" type="noConversion"/>
  </si>
  <si>
    <t>이동식 비계에 작업자가 탄 채로 이동중 바닥장애물에 의하여 이동식비계가 전도되어 작업자 추락 위험</t>
    <phoneticPr fontId="1" type="noConversion"/>
  </si>
  <si>
    <t>2단 이상 이동식 비계 작업 중 하중이 한쪽으로 치우쳐 이동식 비계가 전도되어 작업자 추락 위험</t>
    <phoneticPr fontId="1" type="noConversion"/>
  </si>
  <si>
    <t>이동식 비계 작업 시 허용하중 이상 자재를 적재하여 이동식 비계가 붕괴되어 작업자 추락 위험</t>
    <phoneticPr fontId="1" type="noConversion"/>
  </si>
  <si>
    <t>이동식 비계에서 작업 중 작업발판 빈틈에 발이 걸려 넘어짐 위험</t>
    <phoneticPr fontId="1" type="noConversion"/>
  </si>
  <si>
    <t>경사로에 이동식 비계를 설치하여 작업 중 작업발판의 높이가 맞지 않아 균형을 잃어 전도 위험</t>
    <phoneticPr fontId="1" type="noConversion"/>
  </si>
  <si>
    <t>이동식 비계에 재료 및 공구 등을 올리던 중 낙하하여 하부 작업자 타격 위험</t>
    <phoneticPr fontId="1" type="noConversion"/>
  </si>
  <si>
    <t>이동식 비계를 과하게 높이 조립하여 사용 중 이동식 비계가 전도 되어 작업자 추락 위험</t>
    <phoneticPr fontId="1" type="noConversion"/>
  </si>
  <si>
    <t>각재 등으로 작업발판 (말비계)을 임의로 제작하여 사용 중 부러지면서 작업자 추락 위험</t>
    <phoneticPr fontId="1" type="noConversion"/>
  </si>
  <si>
    <t>작업발판 (말비계)이 변형되어 작업 중 고정부가 탈락하여 작업자 추락 위험</t>
    <phoneticPr fontId="1" type="noConversion"/>
  </si>
  <si>
    <t>작업발판 (말비계)의 폭이 부족하여 작업 중 발판에서 작업자 추락 위험</t>
    <phoneticPr fontId="1" type="noConversion"/>
  </si>
  <si>
    <t>작업발판 (말비계)에서 작업 중 자재, 공구 등을 밟아 중심을 잃고 작업자 추락 위험</t>
    <phoneticPr fontId="1" type="noConversion"/>
  </si>
  <si>
    <t>A형 사다리 사용 작업 중 하중에 의하여 사다리가 갑자기 펴져 작업자 추락 위험</t>
    <phoneticPr fontId="1" type="noConversion"/>
  </si>
  <si>
    <t>사다리 사용 작업 중 보행자가 사다리와 충돌하여 작업자가 균형을 잃고 추락 위험</t>
    <phoneticPr fontId="1" type="noConversion"/>
  </si>
  <si>
    <t>통행이 빈번한 장소에 사다리를 설치할 때는 작업 중임을 알리는 표지판을 설치하고 유도자를 배치</t>
    <phoneticPr fontId="1" type="noConversion"/>
  </si>
  <si>
    <t>사다리가 경사진 면에 설치된 상태에서 작업 중 사다리가 미끄러지며 작업자 추락 위험</t>
    <phoneticPr fontId="1" type="noConversion"/>
  </si>
  <si>
    <t>A형 사다리를 일자 사다리로 변경하여 이동 중 약한 부위 (중간 부위)에서 균형을 잃고 추락 위험</t>
    <phoneticPr fontId="1" type="noConversion"/>
  </si>
  <si>
    <t>A형 사다리 아웃트리거 미설치로 작업 중 사다리가 하중에 의하여 넘어져 작업자 추락 위험</t>
    <phoneticPr fontId="1" type="noConversion"/>
  </si>
  <si>
    <t>A형 사다리 작업시 최상부에서 작업중 하중에 의하여 균형을 잃고 추락 위험</t>
    <phoneticPr fontId="1" type="noConversion"/>
  </si>
  <si>
    <t>작업자가 무리하게 운반트럭 상부에 올라가다 균형을 잃고 추락 위험</t>
    <phoneticPr fontId="1" type="noConversion"/>
  </si>
  <si>
    <t>2m 이상의 굴착법면 단부에서 작업 시 안전난간 등 추락방지 시설 미설치로 인하여 작업 중 추락 위험</t>
    <phoneticPr fontId="1" type="noConversion"/>
  </si>
  <si>
    <t>옹벽, 보강토 블럭쌓기 중 작업자가 추락방지 시설이 미설치된 단부에서 균형을 잃고 추락 위험</t>
    <phoneticPr fontId="1" type="noConversion"/>
  </si>
  <si>
    <t>타설장소 주변 개구부, 단부에 추락방지 조치 미실시로 작업자 작업 중 추락 위험</t>
    <phoneticPr fontId="1" type="noConversion"/>
  </si>
  <si>
    <t>안전대 미착용 및 추락방지망이 미설치된 상태에서 철골빔 상 이동 및 작업 중 추락 위험</t>
    <phoneticPr fontId="1" type="noConversion"/>
  </si>
  <si>
    <t>안전통로가 미설치된 철골과 철골 사이를 건너서 작업자가 이동 중 추락 위험</t>
    <phoneticPr fontId="1" type="noConversion"/>
  </si>
  <si>
    <t>승강트랩이 미설치된 철골기둥에 무리하게 승강 중 추락 위험</t>
    <phoneticPr fontId="1" type="noConversion"/>
  </si>
  <si>
    <t>철골부재 조립 시 볼트체결 부족으로 구조물이 도괴되어 작업자 추락 또는 하부 작업자 타격 위험</t>
    <phoneticPr fontId="1" type="noConversion"/>
  </si>
  <si>
    <t>데크플레이트 상에서 작업자 이동 또는 작업 중 개구부, 슬라브 단부로 추락 위험</t>
    <phoneticPr fontId="1" type="noConversion"/>
  </si>
  <si>
    <t>가설통로가 미설치되어 데크플레이트 설치장소로 작업자가 무리하게 이동 중 추락 위험</t>
    <phoneticPr fontId="1" type="noConversion"/>
  </si>
  <si>
    <t>법면 상부, 옹벽 상부에 안전난간대 미설치로 작업자가 작업중 추락 위험</t>
    <phoneticPr fontId="1" type="noConversion"/>
  </si>
  <si>
    <t>조경수목 가지치기 중 나무에서 추락 위험</t>
    <phoneticPr fontId="1" type="noConversion"/>
  </si>
  <si>
    <t>조경작업 시 조형물에 무리하게 올라서서 작업 중 작업자 추락 위험</t>
    <phoneticPr fontId="1" type="noConversion"/>
  </si>
  <si>
    <t>경사지붕으로 통하는 통로가 협소하여 무리하게 이동 중 추락 위험</t>
    <phoneticPr fontId="1" type="noConversion"/>
  </si>
  <si>
    <t>경사지붕 단부에서 안전난간대가 미설치된 상태에서 작업중 단부로 추락 위험</t>
    <phoneticPr fontId="1" type="noConversion"/>
  </si>
  <si>
    <t>장비 반입구를 이용하여 설비 반입 시 인력으로 장비 반입구를 개방하다 균형을 잃고 개구부로 추락 위험</t>
    <phoneticPr fontId="1" type="noConversion"/>
  </si>
  <si>
    <t>장비 반입구 사용 후 개구부 덮개 등을 덮지 않고 방치하여 이동 중이던 타 작업자 추락 위험</t>
    <phoneticPr fontId="1" type="noConversion"/>
  </si>
  <si>
    <t>천장 내부에서 작업 시 천장재 파손으로 인하여 천장재와 함께 추락 위험</t>
    <phoneticPr fontId="1" type="noConversion"/>
  </si>
  <si>
    <t>상부에 설치된 배관 보온 시 안전벨트 미착용으로 인하여 작업자 추락 위험</t>
    <phoneticPr fontId="1" type="noConversion"/>
  </si>
  <si>
    <t>상부 덕트 설치 또는 해체 시 안전벨트 미착용으로 인하여 작업자 추락 위험</t>
    <phoneticPr fontId="1" type="noConversion"/>
  </si>
  <si>
    <t>입상 덕트 설치 중 오픈된 상태에서 휴식 또는 작업을 마감하여 타 작업자 작업 중 덕트 내부로 추락 위험</t>
    <phoneticPr fontId="1" type="noConversion"/>
  </si>
  <si>
    <t>4m 이상 (4m 미만 장소라도 추락위험이 있는 장소 포함) 고소작업 중 안전벨트 걸이시설 미설치, 안전고리 미체결로 인한 추락 위험</t>
    <phoneticPr fontId="1" type="noConversion"/>
  </si>
  <si>
    <t>이동식 비계에 최대 적재하중 (250kg) 표지판을 부착하고, 적재량을 최대 적재하중이하로 관리</t>
    <phoneticPr fontId="1" type="noConversion"/>
  </si>
  <si>
    <t>가능하면 경사면 바깥 평지에서 고소작업대 (스카이)를 사용한 작업 권장하며, 경사진 곳에 이동식 비계 설치 시 잭베이스 철물 등을 이용하여 균형을 맞춰 설치하고 작업실시</t>
    <phoneticPr fontId="1" type="noConversion"/>
  </si>
  <si>
    <t>작업발판 (말비계)에서 작업 시에는 작업발판 (말비계) 위에 자재, 공구 등을 올려놓지 말 것</t>
    <phoneticPr fontId="1" type="noConversion"/>
  </si>
  <si>
    <t>사다리 발판, 고리 (벌림쇠), Locking 장치의 이상 유무를 확인하고, 2중/3중 벌어짐 방지장치 설치, 2인 이상 사용 금지</t>
    <phoneticPr fontId="1" type="noConversion"/>
  </si>
  <si>
    <t>아웃트리거가 부착된 사다리 사용하며, 사다리는 평평한 바닥에 미끄러지지 않도록 안전하게 설치, 2중/3중 벌어짐 방지장치 설치</t>
    <phoneticPr fontId="1" type="noConversion"/>
  </si>
  <si>
    <t>A형 사다리 아웃트리거를 설치 후 작업 및 2인 1조 작업 실시,  2중/3중 벌어짐 방지장치 설치</t>
    <phoneticPr fontId="1" type="noConversion"/>
  </si>
  <si>
    <t>2중/3중 벌어짐 방지장치 설치, A형 사다리 최상부에서 작업 금지 
(A형 사다리 최상부에서 최소 2단 아래서 작업 실시)</t>
    <phoneticPr fontId="1" type="noConversion"/>
  </si>
  <si>
    <t>3m 이상 보강토 옹벽블록 설치 작업 시에는 생명줄 (16mm 이상 로프)을 설치하고 로립 (일명 코브라)을 설치한 후 안전고리 체결한 상태에서 작업</t>
    <phoneticPr fontId="1" type="noConversion"/>
  </si>
  <si>
    <t>철골빔 상에 안전대 부착설비 (생명줄) 및 안전대 고리를 체결하고 이동, 철골 구조물에는 추락방지망 설치</t>
    <phoneticPr fontId="1" type="noConversion"/>
  </si>
  <si>
    <t>데크플레이트 개구부, 슬라브 단부에 안전대 걸이용 로프 (생명줄) 설치 및 추락위험 표지판을 설치</t>
    <phoneticPr fontId="1" type="noConversion"/>
  </si>
  <si>
    <t xml:space="preserve">조경수목 가지치기를 위해 나무에 올라갈 때에는 안전대를 착용하고 안전고리를 나뭇가지 등에 걸고 작업 (안전고리를 걸기에 나뭇가지가 튼튼한지 여부 반드시 확인) </t>
    <phoneticPr fontId="1" type="noConversion"/>
  </si>
  <si>
    <t>조경작업 시 조형물에 올라가서 작업 시에는 안전대를 착용하고 안전고리를 적절한 곳에 걸고 작업</t>
    <phoneticPr fontId="1" type="noConversion"/>
  </si>
  <si>
    <t>경사지붕으로 통하는 통로는 안전하게 확보, 통로가 없을 시 워킹타워 등 별도 통로 설치 후 작업</t>
    <phoneticPr fontId="1" type="noConversion"/>
  </si>
  <si>
    <t>설비 상부에서 작업 시 안전대를 착용하고 안전고리를 체결 후 작업, 체결할 곳이 없을 경우 생명줄 (16mm 이상 PP로프) 및 로립 (코브라)을 설치하고 안전고리 체결 후 작업</t>
    <phoneticPr fontId="1" type="noConversion"/>
  </si>
  <si>
    <t>상부에 설치된 배관 보온 시 안전벨트를 착용하고 안전고리를 걸고 작업, 걸 곳이 없는 경우 생명줄 (16mm 이상 PP로프) 및 로립 (코브라)을 설치하고 안전고리 체결 후 작업</t>
    <phoneticPr fontId="1" type="noConversion"/>
  </si>
  <si>
    <t>상부 덕트 설치 또는 해체 시 안전벨트를 착용하고 안전고리를 걸고 작업, 걸곳이 없는 경우 생명줄 (16mm 이상 PP로프) 및 로립 (코브라)을 설치하고 안전고리 체결 후 작업</t>
    <phoneticPr fontId="1" type="noConversion"/>
  </si>
  <si>
    <t>◆ 중대위험작업 위험성평가표 (서명지 첨부 필수)</t>
    <phoneticPr fontId="1" type="noConversion"/>
  </si>
  <si>
    <t>체류되는 알곤가스는 계속하여 배기조치하거나 공기를 투입하여 순환 실시</t>
    <phoneticPr fontId="1" type="noConversion"/>
  </si>
  <si>
    <t>장비 작업 반경 내 접근으로 충돌 및 협착 위험</t>
    <phoneticPr fontId="1" type="noConversion"/>
  </si>
  <si>
    <t>이동식 크레인 이동 중 충돌 및 협착 사고 위험</t>
    <phoneticPr fontId="1" type="noConversion"/>
  </si>
  <si>
    <t>이동식 크레인 아웃트리거 미사용으로 자재 인양 중 크레인 전도 위험</t>
    <phoneticPr fontId="1" type="noConversion"/>
  </si>
  <si>
    <t>인양 중 인양로프의 파단에 의한 자재의 낙하에 의한 비래 위험</t>
    <phoneticPr fontId="1" type="noConversion"/>
  </si>
  <si>
    <t>자재 하역 작업 시 자재의 낙하 위험</t>
    <phoneticPr fontId="1" type="noConversion"/>
  </si>
  <si>
    <t>장비의 수시점검 미흡으로 인한 안전장치 등 작동 불량으로 인한 사고 위험</t>
    <phoneticPr fontId="1" type="noConversion"/>
  </si>
  <si>
    <t>장비설치 위치 신호수 미배치로 인한 충돌 및 협착 위험</t>
    <phoneticPr fontId="1" type="noConversion"/>
  </si>
  <si>
    <t>작업 준비 중 수평 미확보로 인한 작업 중 크레인 전도 위험</t>
    <phoneticPr fontId="1" type="noConversion"/>
  </si>
  <si>
    <t>자재 끝단 부분에 결속하여 결속이 풀리거나 벗겨져 자재 낙하 위험</t>
    <phoneticPr fontId="1" type="noConversion"/>
  </si>
  <si>
    <t>이동식 크레인의 아웃트리거 일부 미확장으로 인한 크레인 전도 위험</t>
    <phoneticPr fontId="1" type="noConversion"/>
  </si>
  <si>
    <t>장비로 와이어로프를 빼는 과정에서 와이어로프의 탄성에 의한 비래 위험</t>
    <phoneticPr fontId="1" type="noConversion"/>
  </si>
  <si>
    <t>비래</t>
    <phoneticPr fontId="1" type="noConversion"/>
  </si>
  <si>
    <t>후크해지 장치 불량으로 인한 낙하 위험</t>
    <phoneticPr fontId="1" type="noConversion"/>
  </si>
  <si>
    <t>통로 구획 및 이동 경로 확보</t>
    <phoneticPr fontId="1" type="noConversion"/>
  </si>
  <si>
    <t>작업 전 줄걸이 이상 유무 확인 점검 실시</t>
    <phoneticPr fontId="1" type="noConversion"/>
  </si>
  <si>
    <t>이동식 크레인 사용 시 아웃트리거 최대 확장 사용, 받침 설치하여 지반침하 방지조치 후 작업</t>
    <phoneticPr fontId="1" type="noConversion"/>
  </si>
  <si>
    <t>작업장 이동경로 확보, 후방 카메라, 경보음 작동, 지게차 전담 신호수 배치로 출입 통제 조치 후 작업</t>
    <phoneticPr fontId="1" type="noConversion"/>
  </si>
  <si>
    <t>작업 전 달기기구 점검 및 안전수칙 준수</t>
    <phoneticPr fontId="1" type="noConversion"/>
  </si>
  <si>
    <t>작업 전 및 사용 중 수시로 점검하여 안전한 상태 확보</t>
    <phoneticPr fontId="1" type="noConversion"/>
  </si>
  <si>
    <t>건설기계 작업구간 전담 신호수 배치</t>
    <phoneticPr fontId="1" type="noConversion"/>
  </si>
  <si>
    <t>후크해지 장치 사용 중 수시점검, 인양 초기 관리 철저</t>
    <phoneticPr fontId="1" type="noConversion"/>
  </si>
  <si>
    <t>이동식 크레인 설치 시 수평계를 확인하여 장비의 수평 상태 확인 철저</t>
    <phoneticPr fontId="1" type="noConversion"/>
  </si>
  <si>
    <t>결속된 자재의 무게중심을 고려하여 인양</t>
    <phoneticPr fontId="1" type="noConversion"/>
  </si>
  <si>
    <t>차량 주변 (아웃트리거 설치 지점)이 평탄하고 견고한지 확인하고 4개의 아웃트리거를 최대로 확장, 접지판이 모두 지면에 밀착되도록 설치</t>
    <phoneticPr fontId="1" type="noConversion"/>
  </si>
  <si>
    <t>장비를 이용하여 와이어로프 제거 시 서서히 와이어로프의 탄성을 제거하면서 빼낸다.</t>
    <phoneticPr fontId="1" type="noConversion"/>
  </si>
  <si>
    <t>이동식 크레인</t>
    <phoneticPr fontId="1" type="noConversion"/>
  </si>
  <si>
    <t>이동식 크레인
작업</t>
    <phoneticPr fontId="1" type="noConversion"/>
  </si>
  <si>
    <t>알곤용접•용단작업</t>
    <phoneticPr fontId="1" type="noConversion"/>
  </si>
  <si>
    <t>아크용접•용단작업</t>
    <phoneticPr fontId="1" type="noConversion"/>
  </si>
  <si>
    <t>용접기에 (자동)전격방지기 설치</t>
    <phoneticPr fontId="1" type="noConversion"/>
  </si>
  <si>
    <t>밀폐공간에서 작업 시 불활성기체(알곤, 헬륨 등)의 지속적인 누출로 질식 위험</t>
    <phoneticPr fontId="1" type="noConversion"/>
  </si>
  <si>
    <t>불활성 가스 배출로 인한 사고예방으로 충분한 환기 및 조절밸브 작동을 서서히 하면서
작업, 가스누설 검사 실시</t>
    <phoneticPr fontId="1" type="noConversion"/>
  </si>
  <si>
    <t>작업장소 주위의 인화성 물질 접촉으로 인한 화재위험</t>
    <phoneticPr fontId="1" type="noConversion"/>
  </si>
  <si>
    <t>용접•용단작업 부근에서 도장작업 중 불티로 인하여 화재</t>
  </si>
  <si>
    <t>도장작업장 주변에서 용접•용단작업 및 화기사용을 금지하고 대형소화기 1대, 3.3kg 
4대 비치</t>
  </si>
  <si>
    <t>용접•용단작업 전 주변의 가연성 물질 제거 또는 방염조치하고 불티방지포 설치 및 대형소화기 1대, 3.3kg 4대 비치, 화기감시인 배치 후 작업</t>
  </si>
  <si>
    <t>절단 및 용접•용단작업 시 불티에 의하여 주변 인화성 및 가연성 물질에
옮겨 화재</t>
  </si>
  <si>
    <t>용접•용단이기 무부하 시 전격방지기 미설치로 인한 감전 위험</t>
  </si>
  <si>
    <t>배관 용접•용단 작업시 가스측정기 등으로 배관 내 잔류가스 유무를 확인하고 작업</t>
  </si>
  <si>
    <t>용접•용단작업 시 용접•용단용 보안면 및 용접•용단장갑 착용</t>
  </si>
  <si>
    <t>용접•용단 작업 시 보안경, 보안면 및 작업복 (긴팔, 긴바지) 착용 후 작업</t>
  </si>
  <si>
    <t>용접•용단작업 시 홀더 및 피복, 충전부 노출로 인한 감전</t>
  </si>
  <si>
    <t>용접•용단이기 홀더, 피복, 충전부가 노출된 경우 절연 테이프 등으로 노출되지 않도록 조치하고 용접•용단이기 접지 실시</t>
  </si>
  <si>
    <t>구조물 용접•용단작업 중 철 구조물에 어스를 연결하여 사용 중 구조물
에서 작업하는 타 작업자 감전</t>
  </si>
  <si>
    <t xml:space="preserve">구조물 용접•용단 시 부득이하게 어스를 연결할 경우 타 작업 금지토록 함
(작업금지 표지판 설치) </t>
  </si>
  <si>
    <t>용접•용단 작업 시 알곤가스 누출로 인하여 질식 위험</t>
  </si>
  <si>
    <t>배관용접•용단 작업 중 배관 내 잔류가스로 인하여 화재 또는 폭발</t>
  </si>
  <si>
    <t>용접•용단작업 시 용접•용단 파편이 튀어 눈 또는 안면 상해</t>
  </si>
  <si>
    <t>용접•용단 작업 시 비산되는 불꽃에 의하여 피부 화상 및 눈 상해
위험</t>
    <phoneticPr fontId="1" type="noConversion"/>
  </si>
  <si>
    <t>용접•용단 작업 시 보안경, 보안면 및 작업복 (긴팔, 긴바지) 착용 후 작업</t>
    <phoneticPr fontId="1" type="noConversion"/>
  </si>
  <si>
    <t>용접•용단 작업장소 주위의 인화성 물질 접촉으로 인한 화재위험</t>
    <phoneticPr fontId="1" type="noConversion"/>
  </si>
  <si>
    <t>용접•용단 작업 시 LPG 용기 및 호스 내부에 역화로 인하여 폭발
위험</t>
    <phoneticPr fontId="1" type="noConversion"/>
  </si>
  <si>
    <t>용접•용단작업 전 주변의 가연성 물질 제거 또는 방염조치하고 불티방지포 설치 및 대형소화기 1대, 3.3kg 4대 비치, 화기감시인 배치 후 작업</t>
    <phoneticPr fontId="1" type="noConversion"/>
  </si>
  <si>
    <t>용접•용단작업 시 작업자가 MSDS 미인지 상태에서 사용 작업 중 흄 흡입에 따른 신체 손상</t>
    <phoneticPr fontId="1" type="noConversion"/>
  </si>
  <si>
    <t>용접•용단 작업 흄에 대한 MSDS를 작업장에 비치하고 작업 전 내용을 인지한 후 작업 실시</t>
    <phoneticPr fontId="1" type="noConversion"/>
  </si>
  <si>
    <t>용접•용단작업 시 용접용 보안면 및 용접장갑 착용</t>
    <phoneticPr fontId="1" type="noConversion"/>
  </si>
  <si>
    <t>용접•용단작업 전 주변의 가연성 물질 제거 또는 방염조치하고 불티방지포 설치 및 대형소화기 1대, 3.3kg 4대 비치, 화기감시인 배치 후 작업</t>
    <phoneticPr fontId="1" type="noConversion"/>
  </si>
  <si>
    <t>감독자에 의한 용접•용단 작업전 점검 실시
과잉 산소배출로 인한 사고예방으로 충분한 환기 및 조절밸브 작동을 서서히 하면서
작업, 가스누설 검사 실시</t>
    <phoneticPr fontId="1" type="noConversion"/>
  </si>
  <si>
    <t>용접•용단작업 시 불티에 의하여 주변 인화성 및 가연성 물질에
옮겨 화재</t>
    <phoneticPr fontId="1" type="noConversion"/>
  </si>
  <si>
    <t>배관 용접•용단 작업 중 배관 내 잔류가스로 인하여 질식 위험</t>
    <phoneticPr fontId="1" type="noConversion"/>
  </si>
  <si>
    <t>용접•용단 작업 시 용접•용단 파편이 튀어 눈 또는 안면 상해</t>
    <phoneticPr fontId="1" type="noConversion"/>
  </si>
  <si>
    <t>용접•용단 작업 시 비산되는 불꽃에 의하여 피부 화상 및 눈 상해 위험</t>
    <phoneticPr fontId="1" type="noConversion"/>
  </si>
  <si>
    <t>용접•용단작업 시 작업자가 MSDS 미인지 상태에서 사용 작업 중 흄 흡입에 따른 신체 손상</t>
    <phoneticPr fontId="1" type="noConversion"/>
  </si>
  <si>
    <t>용접•용단 작업 흄에 대한 MSDS를 작업장에 비치하고 작업 전 내용을 인지한 후 작업 실시</t>
    <phoneticPr fontId="1" type="noConversion"/>
  </si>
  <si>
    <t>용접•용단이기 홀더, 피복, 충전부가 노출된 경우 절연 테이프 등으로 노출되지 않도록 조치하고 용접기 접지 실시</t>
    <phoneticPr fontId="1" type="noConversion"/>
  </si>
  <si>
    <t>용접•용단 작업 전 주변의 가연성 물질 제거 또는 방염조치하고 불티방지포 설치 및 대형소화기 1대, 3.3kg 4대 비치, 화기감시인 배치 후 작업</t>
    <phoneticPr fontId="1" type="noConversion"/>
  </si>
  <si>
    <t>산소용접•용단작업</t>
    <phoneticPr fontId="1" type="noConversion"/>
  </si>
  <si>
    <t>용접•용단 작업 부근에서 도장작업 중 불티로 인하여 화재</t>
    <phoneticPr fontId="1" type="noConversion"/>
  </si>
  <si>
    <t>용접•용단</t>
    <phoneticPr fontId="1" type="noConversion"/>
  </si>
  <si>
    <t>용접•용단</t>
    <phoneticPr fontId="1" type="noConversion"/>
  </si>
  <si>
    <t>용접•용단작업 시 불티가 불티방지포 미설치 상태에서 가연성 물질로 튀어 화재</t>
    <phoneticPr fontId="1" type="noConversion"/>
  </si>
  <si>
    <t>용접•용단작업 시 불티가 불티방지포 미설치 상태에서 가연성 물질로 튀어 화재</t>
    <phoneticPr fontId="1" type="noConversion"/>
  </si>
  <si>
    <t>작업 중 용접봉 사용시 열에 의하여 작업자 화상</t>
    <phoneticPr fontId="1" type="noConversion"/>
  </si>
  <si>
    <t>화상방지를 위한 안전장갑 착용 후 작업</t>
    <phoneticPr fontId="1" type="noConversion"/>
  </si>
  <si>
    <t>용접•용단 작업 시 용접용 보안면 및 용접장갑 착용</t>
    <phoneticPr fontId="1" type="noConversion"/>
  </si>
  <si>
    <t>인화성 물질 인접장소에서 용접•용단으로 인한 화재 위험</t>
    <phoneticPr fontId="1" type="noConversion"/>
  </si>
  <si>
    <t>용접•용단 작업 시 파편이 튀어 눈 또는 안면 상해</t>
    <phoneticPr fontId="1" type="noConversion"/>
  </si>
  <si>
    <t>용접•용단 작업 시 홀더 및 피복, 충전부 노출로 인한 감전</t>
    <phoneticPr fontId="1" type="noConversion"/>
  </si>
  <si>
    <t>구조물 용접•용단 작업 중 철 구조물에 어스를 연결하여 사용 중 구조물
에서 작업하는 타 작업자 감전</t>
    <phoneticPr fontId="1" type="noConversion"/>
  </si>
  <si>
    <t>용접•용단 작업 시 작업자가 MSDS 미인지 상태에서 사용 작업 중 흄 흡입에 따른 신체 손상</t>
    <phoneticPr fontId="1" type="noConversion"/>
  </si>
  <si>
    <t>도장작업장 주변에서 용접•용단 작업 및 화기사용을 금지하고 대형소화기 1대, 3.3kg 
4대 비치</t>
    <phoneticPr fontId="1" type="noConversion"/>
  </si>
  <si>
    <t>용접•용단 작업 시 불티가 불티방지포 미설치 상태에서 가연성 물질로
튀어 화재</t>
    <phoneticPr fontId="1" type="noConversion"/>
  </si>
  <si>
    <t>달비계 지지로프는 작업 중 파단되지 않도록 22mm 이상의 PP로프를 사용하고 손상이 없고 견고한 것인지 확인 후 작업</t>
    <phoneticPr fontId="1" type="noConversion"/>
  </si>
  <si>
    <t>굴착기</t>
    <phoneticPr fontId="1" type="noConversion"/>
  </si>
  <si>
    <t>중량물 운반 작업중 전도사고 발생</t>
    <phoneticPr fontId="1" type="noConversion"/>
  </si>
  <si>
    <t>전도·전락</t>
    <phoneticPr fontId="1" type="noConversion"/>
  </si>
  <si>
    <t>굴착면 기울기 유지
(설계도서의 기울기 준수)</t>
    <phoneticPr fontId="1" type="noConversion"/>
  </si>
  <si>
    <t>노면폭 확보 및 지반상태 확인
강우시 작업금지 (경사지)</t>
    <phoneticPr fontId="1" type="noConversion"/>
  </si>
  <si>
    <t>장비의 목적 외 사용금지</t>
    <phoneticPr fontId="1" type="noConversion"/>
  </si>
  <si>
    <t>운전원 외 장비조작 금지</t>
    <phoneticPr fontId="1" type="noConversion"/>
  </si>
  <si>
    <t>비탈면 굴착중 토사붕괴에 의한 장비 전도·전락, 매몰사고 발생</t>
    <phoneticPr fontId="1" type="noConversion"/>
  </si>
  <si>
    <t>장비 운행중 노면폭 부족에 따른 장비 전도·전락사고 발생</t>
    <phoneticPr fontId="1" type="noConversion"/>
  </si>
  <si>
    <t>무자격 운전원의 장비조작 미숙으로 전도 및 전락사고 발생</t>
    <phoneticPr fontId="1" type="noConversion"/>
  </si>
  <si>
    <t>굴착기 붐ㆍ암ㆍ버킷 등의 선회에 의하여 근로자에게 위험을 미칠 우려가 있는 장소 내 근로자 접근 및 유도자 미배치에 따른 충돌사고 발생</t>
    <phoneticPr fontId="1" type="noConversion"/>
  </si>
  <si>
    <t>후진경보기 미작동 및 후사경 후 방영상표시 장치 파손에 따른 충돌사고 발생</t>
    <phoneticPr fontId="1" type="noConversion"/>
  </si>
  <si>
    <t>시동중 운전자가 운전석 이탈에 의한 장비의 갑작스러운 이동으로 충돌사고 발생</t>
    <phoneticPr fontId="1" type="noConversion"/>
  </si>
  <si>
    <t>퀵커플러 안전핀 고정상태 미체결 및 불량에 의한 버킷 탈락으로 협착사고 발생</t>
    <phoneticPr fontId="1" type="noConversion"/>
  </si>
  <si>
    <t>붐(Boom)을 올린상태에서 장비 운행중 고압선에 접촉되어 감전 사고 발생</t>
    <phoneticPr fontId="1" type="noConversion"/>
  </si>
  <si>
    <t>굴착기 붐ㆍ암ㆍ버킷 등의 선회에 의하여 근로자에게 위
험을 미칠 우려가 있는 장소 내근로자 출입통제 및 유도자 배치</t>
    <phoneticPr fontId="1" type="noConversion"/>
  </si>
  <si>
    <t>후진경보기(Backward Alarm)작동 상태 확인 및 후사경 후방 영상표시 장치 교체 정비</t>
    <phoneticPr fontId="1" type="noConversion"/>
  </si>
  <si>
    <t>운전자는 시동중 운전석 이탈금지</t>
    <phoneticPr fontId="1" type="noConversion"/>
  </si>
  <si>
    <t>퀵커플러 안전핀 체결상태 확인</t>
    <phoneticPr fontId="1" type="noConversion"/>
  </si>
  <si>
    <r>
      <t>붐을 올린상태에서 운행 금지 및 고압선 절연 방호 설비 유</t>
    </r>
    <r>
      <rPr>
        <sz val="10"/>
        <rFont val="Tahoma"/>
        <family val="3"/>
        <charset val="1"/>
      </rPr>
      <t>․</t>
    </r>
    <r>
      <rPr>
        <sz val="10"/>
        <rFont val="맑은 고딕"/>
        <family val="3"/>
        <charset val="129"/>
        <scheme val="minor"/>
      </rPr>
      <t>무 확인</t>
    </r>
    <phoneticPr fontId="1" type="noConversion"/>
  </si>
  <si>
    <t>지게차 작업통로 미구획으로 인한 사고</t>
  </si>
  <si>
    <t>FORK를 화물에 맞지 않게 벌려서 작업중 낙하</t>
  </si>
  <si>
    <t>전방시선 미확보 및 화물 적재불량에 의한 사고</t>
  </si>
  <si>
    <t xml:space="preserve">지게차 하역 작업반경내 출입금지, 후진경보기, 후방감시카메라 설치 </t>
  </si>
  <si>
    <t>하역작업 시 후진 중 지게차와 충돌</t>
  </si>
  <si>
    <t>적재작업중 포크, 자재에 발등 협착사고</t>
  </si>
  <si>
    <t>중량물 과다적재 및 급선회로 인한 낙하 사고</t>
  </si>
  <si>
    <t>화물 적재불량으로 인한 낙하사고</t>
  </si>
  <si>
    <t>작업전 지게차 상태 등 점검 미흡으로 인한 사고</t>
    <phoneticPr fontId="1" type="noConversion"/>
  </si>
  <si>
    <t>작업전에 다음항목에 대해 점검 실시 
- 제동장치 및 조정장치 기능
- 하역장치 및 유압장치 기능
- 차륜상태
- 전조등, 후조등, 경광등,
- 방향지시기 기능
- 경보장치 기능</t>
    <phoneticPr fontId="1" type="noConversion"/>
  </si>
  <si>
    <t>지게차 하역작업을 위해 자재 운반차량 적재함에서 작업중인 근로자쪽으로 포크가 급하게 접근하여 추락</t>
    <phoneticPr fontId="1" type="noConversion"/>
  </si>
  <si>
    <t>지게차 작업계획서 작성 미흡으로 인한 사고</t>
    <phoneticPr fontId="1" type="noConversion"/>
  </si>
  <si>
    <t>작업장소의 넓이 및 지형,  화물의 종류 및 형상
지게차의 종류 및 능력,  운행경로, 작업방법 등에 대해 계확을 수립하고 근로자에게 교육 실시</t>
    <phoneticPr fontId="1" type="noConversion"/>
  </si>
  <si>
    <t>지게차 운전자는 신호수의 신호에 의해 작업토록 안전교육 실시</t>
  </si>
  <si>
    <t>지게차 작업통로 구획 지정하여 운영</t>
  </si>
  <si>
    <t>FORK를 안전한 넓이로 벌려서 화물의 균형을 고려하여 하역</t>
  </si>
  <si>
    <t>전방시야를 확보할 수 있도록 지면에서 FORK를 30CM 정도 띄어서 운행, 화물 적재를 편하중 적재  금지</t>
  </si>
  <si>
    <t>자재 하역시 균형을 잡아 하역작업 실시</t>
  </si>
  <si>
    <t>적재작업 시 포크나 자재하부에 신체를 넣지 않도록 하고 적재시 받침목을 고여 적재</t>
  </si>
  <si>
    <t>중량물 과다적재 금지 및 운전 중 급선회을 방지하도록 운전자 교육 실시</t>
  </si>
  <si>
    <t>화물의 종류에 따른 적재방법을 수립하고 작업 실시</t>
  </si>
  <si>
    <t>충졸</t>
    <phoneticPr fontId="1" type="noConversion"/>
  </si>
  <si>
    <t>낙하</t>
    <phoneticPr fontId="1" type="noConversion"/>
  </si>
  <si>
    <t>외벽로프(달비계) 좌/우측 걸이대 사용 시 후크 해지 장치 미사용하여 자재 양중 시 건물 상승풍에 의해 자재 떨어짐 위험</t>
    <phoneticPr fontId="1" type="noConversion"/>
  </si>
  <si>
    <t>1. 카라비너를 이용하여 자재를 로프에 양중
2. 후크 해지 장치 미 사용 시 자재 걸이 및 양중 금지</t>
    <phoneticPr fontId="1" type="noConversion"/>
  </si>
  <si>
    <t>추락</t>
    <phoneticPr fontId="1" type="noConversion"/>
  </si>
  <si>
    <t>난간대 넓이 대비 코브라 길이가 짧아 로립을 거는 중 불안전한 자세로 체결 시도하다가 추락 위험</t>
    <phoneticPr fontId="1" type="noConversion"/>
  </si>
  <si>
    <t>안전벨트 생명줄 체결 후 로립 체결 실시</t>
    <phoneticPr fontId="1" type="noConversion"/>
  </si>
  <si>
    <t>검증된 카라비너 사용 (충격하중 검토 필요)</t>
    <phoneticPr fontId="1" type="noConversion"/>
  </si>
  <si>
    <t>안전벨트 D링에 미검증된 카라비너를 추가로 2~3개 사용하여 길이 연장하여 작업 진행 중 정격하중 이상의 충격으로 카라비너 파단되어 추락 위험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</si>
</sst>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name val="Arial"/>
      <family val="2"/>
    </font>
    <font>
      <sz val="16"/>
      <name val="LG스마트체 Regular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Tahoma"/>
      <family val="3"/>
      <charset val="1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/>
  </cellStyleXfs>
  <cellXfs count="66">
    <xf numFmtId="0" fontId="0" fillId="0" borderId="0" xfId="0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41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3" fillId="0" borderId="3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41" fontId="2" fillId="2" borderId="1" xfId="0" applyNumberFormat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1" xfId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41" fontId="3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10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NumberFormat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0" applyNumberFormat="1" applyFont="1" applyFill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/>
    </xf>
    <xf numFmtId="0" fontId="10" fillId="0" borderId="8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 readingOrder="1"/>
    </xf>
    <xf numFmtId="0" fontId="5" fillId="0" borderId="8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2">
    <cellStyle name="표준" xfId="0" builtinId="0"/>
    <cellStyle name="표준 3" xfId="1" xr:uid="{739FC089-306E-44CD-9D95-DC499AFA481E}"/>
  </cellStyles>
  <dxfs count="129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00CCFF"/>
      <color rgb="FF3399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136072</xdr:colOff>
      <xdr:row>19</xdr:row>
      <xdr:rowOff>108857</xdr:rowOff>
    </xdr:from>
    <xdr:to>
      <xdr:col>4</xdr:col>
      <xdr:colOff>1941135</xdr:colOff>
      <xdr:row>22</xdr:row>
      <xdr:rowOff>113393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8382ABAE-9F3A-48BB-9210-72B5D79C4547}"/>
            </a:ext>
          </a:extLst>
        </xdr:cNvPr>
        <xdr:cNvSpPr/>
      </xdr:nvSpPr>
      <xdr:spPr>
        <a:xfrm>
          <a:off x="1455965" y="8041821"/>
          <a:ext cx="4036634" cy="6168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/>
            <a:t>현장별 특성에 맞는 위험요인을 추가 </a:t>
          </a:r>
        </a:p>
      </xdr:txBody>
    </xdr:sp>
    <xdr:clientData/>
  </xdr:twoCellAnchor>
  <xdr:twoCellAnchor>
    <xdr:from>
      <xdr:col>8</xdr:col>
      <xdr:colOff>1156608</xdr:colOff>
      <xdr:row>0</xdr:row>
      <xdr:rowOff>81643</xdr:rowOff>
    </xdr:from>
    <xdr:to>
      <xdr:col>8</xdr:col>
      <xdr:colOff>4122964</xdr:colOff>
      <xdr:row>3</xdr:row>
      <xdr:rowOff>95251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C1B57A60-D038-4AA7-B665-CA2AFBE25CB9}"/>
            </a:ext>
          </a:extLst>
        </xdr:cNvPr>
        <xdr:cNvSpPr/>
      </xdr:nvSpPr>
      <xdr:spPr>
        <a:xfrm>
          <a:off x="10613572" y="81643"/>
          <a:ext cx="2966356" cy="8164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/>
            <a:t>위험성평가표</a:t>
          </a:r>
          <a:endParaRPr lang="en-US" altLang="ko-KR" sz="1400"/>
        </a:p>
        <a:p>
          <a:pPr algn="l"/>
          <a:r>
            <a:rPr lang="ko-KR" altLang="en-US" sz="1400"/>
            <a:t>현장별 특성에 맞게 빈도</a:t>
          </a:r>
          <a:r>
            <a:rPr lang="en-US" altLang="ko-KR" sz="1400"/>
            <a:t>/</a:t>
          </a:r>
          <a:r>
            <a:rPr lang="ko-KR" altLang="en-US" sz="1400"/>
            <a:t>강도 수정</a:t>
          </a:r>
        </a:p>
      </xdr:txBody>
    </xdr:sp>
    <xdr:clientData/>
  </xdr:twoCellAnchor>
  <xdr:twoCellAnchor editAs="oneCell">
    <xdr:from>
      <xdr:col>13</xdr:col>
      <xdr:colOff>136072</xdr:colOff>
      <xdr:row>11</xdr:row>
      <xdr:rowOff>190500</xdr:rowOff>
    </xdr:from>
    <xdr:to>
      <xdr:col>24</xdr:col>
      <xdr:colOff>27214</xdr:colOff>
      <xdr:row>15</xdr:row>
      <xdr:rowOff>612322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8AD0939A-FDD7-4674-8CB1-17967A816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57965" y="4014107"/>
          <a:ext cx="7375071" cy="2313215"/>
        </a:xfrm>
        <a:prstGeom prst="rect">
          <a:avLst/>
        </a:prstGeom>
      </xdr:spPr>
    </xdr:pic>
    <xdr:clientData/>
  </xdr:twoCellAnchor>
  <xdr:twoCellAnchor>
    <xdr:from>
      <xdr:col>13</xdr:col>
      <xdr:colOff>163287</xdr:colOff>
      <xdr:row>10</xdr:row>
      <xdr:rowOff>244927</xdr:rowOff>
    </xdr:from>
    <xdr:to>
      <xdr:col>14</xdr:col>
      <xdr:colOff>653143</xdr:colOff>
      <xdr:row>11</xdr:row>
      <xdr:rowOff>149679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9283ADA-58DA-40E5-9EDD-993BDF9D53F0}"/>
            </a:ext>
          </a:extLst>
        </xdr:cNvPr>
        <xdr:cNvSpPr/>
      </xdr:nvSpPr>
      <xdr:spPr>
        <a:xfrm>
          <a:off x="16709573" y="3551463"/>
          <a:ext cx="1170213" cy="42182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/>
            <a:t>위험성 결정</a:t>
          </a:r>
        </a:p>
      </xdr:txBody>
    </xdr:sp>
    <xdr:clientData/>
  </xdr:twoCellAnchor>
  <xdr:twoCellAnchor>
    <xdr:from>
      <xdr:col>8</xdr:col>
      <xdr:colOff>4993822</xdr:colOff>
      <xdr:row>3</xdr:row>
      <xdr:rowOff>108858</xdr:rowOff>
    </xdr:from>
    <xdr:to>
      <xdr:col>12</xdr:col>
      <xdr:colOff>27214</xdr:colOff>
      <xdr:row>18</xdr:row>
      <xdr:rowOff>299357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9BCD2C3B-0295-462B-8C25-6122E33ACCB0}"/>
            </a:ext>
          </a:extLst>
        </xdr:cNvPr>
        <xdr:cNvSpPr/>
      </xdr:nvSpPr>
      <xdr:spPr>
        <a:xfrm>
          <a:off x="14450786" y="911679"/>
          <a:ext cx="1687285" cy="698046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</xdr:colOff>
      <xdr:row>3</xdr:row>
      <xdr:rowOff>136072</xdr:rowOff>
    </xdr:from>
    <xdr:to>
      <xdr:col>8</xdr:col>
      <xdr:colOff>108857</xdr:colOff>
      <xdr:row>18</xdr:row>
      <xdr:rowOff>299357</xdr:rowOff>
    </xdr:to>
    <xdr:sp macro="" textlink="">
      <xdr:nvSpPr>
        <xdr:cNvPr id="12" name="사각형: 둥근 모서리 11">
          <a:extLst>
            <a:ext uri="{FF2B5EF4-FFF2-40B4-BE49-F238E27FC236}">
              <a16:creationId xmlns:a16="http://schemas.microsoft.com/office/drawing/2014/main" id="{DCB65370-48A1-4E22-86BE-35C4BAA371A7}"/>
            </a:ext>
          </a:extLst>
        </xdr:cNvPr>
        <xdr:cNvSpPr/>
      </xdr:nvSpPr>
      <xdr:spPr>
        <a:xfrm>
          <a:off x="7946572" y="938893"/>
          <a:ext cx="1619249" cy="695325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74840</xdr:colOff>
      <xdr:row>1</xdr:row>
      <xdr:rowOff>285752</xdr:rowOff>
    </xdr:from>
    <xdr:to>
      <xdr:col>8</xdr:col>
      <xdr:colOff>1156608</xdr:colOff>
      <xdr:row>3</xdr:row>
      <xdr:rowOff>136073</xdr:rowOff>
    </xdr:to>
    <xdr:cxnSp macro="">
      <xdr:nvCxnSpPr>
        <xdr:cNvPr id="5" name="연결선: 꺾임 4">
          <a:extLst>
            <a:ext uri="{FF2B5EF4-FFF2-40B4-BE49-F238E27FC236}">
              <a16:creationId xmlns:a16="http://schemas.microsoft.com/office/drawing/2014/main" id="{0D72B282-C9FE-4A0A-BA22-93DE1FE9E616}"/>
            </a:ext>
          </a:extLst>
        </xdr:cNvPr>
        <xdr:cNvCxnSpPr>
          <a:stCxn id="12" idx="0"/>
          <a:endCxn id="8" idx="1"/>
        </xdr:cNvCxnSpPr>
      </xdr:nvCxnSpPr>
      <xdr:spPr>
        <a:xfrm rot="5400000" flipH="1" flipV="1">
          <a:off x="9460367" y="-214311"/>
          <a:ext cx="449035" cy="1857375"/>
        </a:xfrm>
        <a:prstGeom prst="bentConnector2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4122965</xdr:colOff>
      <xdr:row>1</xdr:row>
      <xdr:rowOff>285751</xdr:rowOff>
    </xdr:from>
    <xdr:to>
      <xdr:col>10</xdr:col>
      <xdr:colOff>394609</xdr:colOff>
      <xdr:row>3</xdr:row>
      <xdr:rowOff>108858</xdr:rowOff>
    </xdr:to>
    <xdr:cxnSp macro="">
      <xdr:nvCxnSpPr>
        <xdr:cNvPr id="16" name="연결선: 꺾임 15">
          <a:extLst>
            <a:ext uri="{FF2B5EF4-FFF2-40B4-BE49-F238E27FC236}">
              <a16:creationId xmlns:a16="http://schemas.microsoft.com/office/drawing/2014/main" id="{A7E55245-1EEA-45CF-9F0F-5869F81A60EC}"/>
            </a:ext>
          </a:extLst>
        </xdr:cNvPr>
        <xdr:cNvCxnSpPr>
          <a:stCxn id="2" idx="0"/>
          <a:endCxn id="8" idx="3"/>
        </xdr:cNvCxnSpPr>
      </xdr:nvCxnSpPr>
      <xdr:spPr>
        <a:xfrm rot="16200000" flipV="1">
          <a:off x="14226269" y="-156482"/>
          <a:ext cx="421821" cy="1714501"/>
        </a:xfrm>
        <a:prstGeom prst="bentConnector2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AXLS\H4A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&#48148;&#53461;%20&#54868;&#47732;\&#50504;&#51204;&#44396;&#52629;\&#50577;&#49885;\&#50504;&#51204;&#44288;&#47532;%20(&#51109;&#51456;&#50676;)\7.&#52636;&#50669;&#51068;&#48372;%20&#48143;%20&#51312;&#54924;&#52280;&#49437;\WINDOWS\TEMP\&#44208;&#49328;9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6332007228\c\K.&#48512;&#46020;&#48512;&#49892;(&#48513;&#48512;&#45824;&#54805;)~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년종합"/>
      <sheetName val="10월 현황"/>
      <sheetName val="11월현황"/>
      <sheetName val="종합현황"/>
      <sheetName val="종합"/>
      <sheetName val="수리결과"/>
      <sheetName val="1안계수값"/>
      <sheetName val="승용인상율"/>
      <sheetName val="승용"/>
      <sheetName val="CNV"/>
      <sheetName val="RV"/>
      <sheetName val="소상"/>
      <sheetName val="상용"/>
      <sheetName val="Sheet1"/>
      <sheetName val="Sheet6"/>
      <sheetName val="????"/>
      <sheetName val="____"/>
      <sheetName val="03추정680"/>
      <sheetName val="03년"/>
      <sheetName val="04년상"/>
      <sheetName val="04년하"/>
      <sheetName val="04년"/>
      <sheetName val="04년 bep"/>
      <sheetName val="05년 추정 (인건비95%)"/>
      <sheetName val="05년"/>
      <sheetName val="05(2)년"/>
      <sheetName val="06년"/>
      <sheetName val="07년"/>
      <sheetName val="08년"/>
      <sheetName val="09년"/>
      <sheetName val="10년"/>
      <sheetName val="11년"/>
      <sheetName val="12년"/>
      <sheetName val="13년"/>
      <sheetName val="Sheet2"/>
      <sheetName val="투자비"/>
      <sheetName val="주식"/>
      <sheetName val="외주현황.wq1"/>
      <sheetName val="항목(1)"/>
      <sheetName val="TCA"/>
      <sheetName val="major"/>
      <sheetName val="10월_현황"/>
      <sheetName val="04년_bep"/>
      <sheetName val="05년_추정_(인건비95%)"/>
      <sheetName val="외주현황_wq1"/>
      <sheetName val="10월_현황1"/>
      <sheetName val="04년_bep1"/>
      <sheetName val="05년_추정_(인건비95%)1"/>
      <sheetName val="외주현황_wq11"/>
      <sheetName val="2.대외공문"/>
      <sheetName val="96수출"/>
      <sheetName val="계정"/>
      <sheetName val="울산시산표"/>
      <sheetName val="MIJIBI"/>
      <sheetName val="1월"/>
      <sheetName val="#REF"/>
      <sheetName val="공식방문지"/>
      <sheetName val="H4A11"/>
      <sheetName val="p2-1"/>
      <sheetName val="TABLE DB"/>
      <sheetName val="쌍용 data base"/>
      <sheetName val="3"/>
      <sheetName val="수입"/>
      <sheetName val="소상 &quot;1&quot;"/>
      <sheetName val="HISYEARSALE"/>
      <sheetName val="JUM"/>
      <sheetName val="전부인쇄"/>
      <sheetName val="업무계획1"/>
      <sheetName val="¼ö¸®°á°ú"/>
      <sheetName val="Data"/>
      <sheetName val="단가"/>
      <sheetName val="총괄표"/>
      <sheetName val="신규DEP"/>
      <sheetName val="인원01"/>
      <sheetName val="노무비"/>
      <sheetName val="내역서(총)"/>
      <sheetName val="5사남"/>
      <sheetName val="0000"/>
      <sheetName val="인사자료총집계"/>
      <sheetName val="남양시작동010313100%"/>
      <sheetName val="N賃率-職"/>
      <sheetName val="차액보증"/>
      <sheetName val="6호기"/>
      <sheetName val="소개"/>
      <sheetName val="간이연락"/>
      <sheetName val="차량별점검"/>
      <sheetName val="해외"/>
      <sheetName val="95하U$가격"/>
      <sheetName val="요율"/>
      <sheetName val="자재대"/>
      <sheetName val="TIE-IN"/>
      <sheetName val="PI"/>
      <sheetName val="Baby일위대가"/>
      <sheetName val="대비"/>
      <sheetName val="제안서"/>
      <sheetName val="행정표준(1)"/>
      <sheetName val="행정표준(2)"/>
      <sheetName val="집계표"/>
      <sheetName val="기안지"/>
      <sheetName val="자체실적1Q"/>
      <sheetName val="지점장"/>
      <sheetName val="영업소실적"/>
      <sheetName val="15"/>
      <sheetName val="자판실행"/>
      <sheetName val="금액내역서"/>
      <sheetName val="2-본사입찰"/>
      <sheetName val="정산시행내역서"/>
      <sheetName val="TEST1"/>
      <sheetName val="현장관리비데이타"/>
      <sheetName val="업무분장"/>
      <sheetName val="wall"/>
      <sheetName val="Front"/>
      <sheetName val="관람석제출"/>
      <sheetName val="FUSE_MCB"/>
      <sheetName val="프랜트면허"/>
      <sheetName val="토목주소"/>
      <sheetName val="45,46"/>
      <sheetName val="단가표"/>
      <sheetName val="총괄갑 "/>
      <sheetName val="토공사(흙막이)"/>
      <sheetName val="관리,공감"/>
      <sheetName val="내역서"/>
      <sheetName val="토공(우물통,기타) "/>
      <sheetName val="을-ATYPE"/>
      <sheetName val="Macro1"/>
      <sheetName val="Sheet1 (2)"/>
      <sheetName val="CAL"/>
      <sheetName val="간접경상비"/>
      <sheetName val="노무비단가"/>
      <sheetName val="은행"/>
      <sheetName val="직노"/>
      <sheetName val="설계내역서"/>
      <sheetName val="일위대가표"/>
      <sheetName val="대공종"/>
      <sheetName val="인원자료"/>
      <sheetName val="산5-7"/>
      <sheetName val="플랜트 설치"/>
      <sheetName val="실행내역"/>
      <sheetName val="제출계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울산시산표"/>
      <sheetName val="2.대외공문"/>
      <sheetName val="인원01"/>
    </sheetNames>
    <sheetDataSet>
      <sheetData sheetId="0" refreshError="1">
        <row r="2">
          <cell r="G2" t="str">
            <v>차변</v>
          </cell>
        </row>
        <row r="3">
          <cell r="G3">
            <v>1167206542453</v>
          </cell>
        </row>
        <row r="4">
          <cell r="G4">
            <v>50201791770</v>
          </cell>
        </row>
        <row r="5">
          <cell r="G5">
            <v>0</v>
          </cell>
        </row>
        <row r="6">
          <cell r="G6">
            <v>1117004750683</v>
          </cell>
        </row>
        <row r="7">
          <cell r="G7">
            <v>295870000</v>
          </cell>
        </row>
        <row r="8">
          <cell r="G8">
            <v>44550000</v>
          </cell>
        </row>
        <row r="9">
          <cell r="G9">
            <v>251320000</v>
          </cell>
        </row>
        <row r="10">
          <cell r="G10">
            <v>609214246092</v>
          </cell>
        </row>
        <row r="11">
          <cell r="G11">
            <v>604355864047</v>
          </cell>
        </row>
        <row r="12">
          <cell r="G12">
            <v>0</v>
          </cell>
        </row>
        <row r="13">
          <cell r="G13">
            <v>4385724556</v>
          </cell>
        </row>
        <row r="14">
          <cell r="G14">
            <v>0</v>
          </cell>
        </row>
        <row r="15">
          <cell r="G15">
            <v>472657489</v>
          </cell>
        </row>
        <row r="16">
          <cell r="G16">
            <v>1079786923111</v>
          </cell>
        </row>
        <row r="17">
          <cell r="G17">
            <v>101291596245</v>
          </cell>
        </row>
        <row r="18">
          <cell r="G18">
            <v>978495326866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78834318067</v>
          </cell>
        </row>
        <row r="23">
          <cell r="G23">
            <v>688071706</v>
          </cell>
        </row>
        <row r="24">
          <cell r="G24">
            <v>11023016583</v>
          </cell>
        </row>
        <row r="25">
          <cell r="G25">
            <v>10318261235</v>
          </cell>
        </row>
        <row r="26">
          <cell r="G26">
            <v>202092329</v>
          </cell>
        </row>
        <row r="27">
          <cell r="G27">
            <v>0</v>
          </cell>
        </row>
        <row r="28">
          <cell r="G28">
            <v>23344241468</v>
          </cell>
        </row>
        <row r="29">
          <cell r="G29">
            <v>7553093425</v>
          </cell>
        </row>
        <row r="30">
          <cell r="G30">
            <v>1405967849</v>
          </cell>
        </row>
        <row r="31">
          <cell r="G31">
            <v>317581793</v>
          </cell>
        </row>
        <row r="32">
          <cell r="G32">
            <v>49855255</v>
          </cell>
        </row>
        <row r="33">
          <cell r="G33">
            <v>54486157</v>
          </cell>
        </row>
        <row r="34">
          <cell r="G34">
            <v>222242812</v>
          </cell>
        </row>
        <row r="35">
          <cell r="G35">
            <v>0</v>
          </cell>
        </row>
        <row r="36">
          <cell r="G36">
            <v>23655407455</v>
          </cell>
        </row>
        <row r="37">
          <cell r="G37">
            <v>31469071</v>
          </cell>
        </row>
        <row r="38">
          <cell r="G38">
            <v>31469071</v>
          </cell>
        </row>
        <row r="39">
          <cell r="G39">
            <v>0</v>
          </cell>
        </row>
        <row r="40">
          <cell r="G40">
            <v>141340642200</v>
          </cell>
        </row>
        <row r="41">
          <cell r="G41">
            <v>91945427801</v>
          </cell>
        </row>
        <row r="42">
          <cell r="G42">
            <v>49395214399</v>
          </cell>
        </row>
        <row r="43">
          <cell r="G43">
            <v>246020777627</v>
          </cell>
        </row>
        <row r="44">
          <cell r="G44">
            <v>55944764189</v>
          </cell>
        </row>
        <row r="45">
          <cell r="G45">
            <v>10421482</v>
          </cell>
        </row>
        <row r="46">
          <cell r="G46">
            <v>111484479335</v>
          </cell>
        </row>
        <row r="47">
          <cell r="G47">
            <v>112817800</v>
          </cell>
        </row>
        <row r="48">
          <cell r="G48">
            <v>42086953857</v>
          </cell>
        </row>
        <row r="49">
          <cell r="G49">
            <v>271424191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18108081390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164055095</v>
          </cell>
        </row>
        <row r="57">
          <cell r="G57">
            <v>9231684263</v>
          </cell>
        </row>
        <row r="58">
          <cell r="G58">
            <v>2222499211</v>
          </cell>
        </row>
        <row r="59">
          <cell r="G59">
            <v>4247006675</v>
          </cell>
        </row>
        <row r="60">
          <cell r="G60">
            <v>4516237</v>
          </cell>
        </row>
        <row r="61">
          <cell r="G61">
            <v>0</v>
          </cell>
        </row>
        <row r="62">
          <cell r="G62">
            <v>35868392</v>
          </cell>
        </row>
        <row r="63">
          <cell r="G63">
            <v>2096205510</v>
          </cell>
        </row>
        <row r="64">
          <cell r="G64">
            <v>11331757520</v>
          </cell>
        </row>
        <row r="65">
          <cell r="G65">
            <v>65603256390</v>
          </cell>
        </row>
        <row r="66">
          <cell r="G66">
            <v>44476160132</v>
          </cell>
        </row>
        <row r="67">
          <cell r="G67">
            <v>566112878</v>
          </cell>
        </row>
        <row r="68">
          <cell r="G68">
            <v>6958943273</v>
          </cell>
        </row>
        <row r="69">
          <cell r="G69">
            <v>1341406991</v>
          </cell>
        </row>
        <row r="70">
          <cell r="G70">
            <v>251062447</v>
          </cell>
        </row>
        <row r="71">
          <cell r="G71">
            <v>7403586</v>
          </cell>
        </row>
        <row r="72">
          <cell r="G72">
            <v>5273737714</v>
          </cell>
        </row>
        <row r="73">
          <cell r="G73">
            <v>6446028289</v>
          </cell>
        </row>
        <row r="74">
          <cell r="G74">
            <v>43657219</v>
          </cell>
        </row>
        <row r="75">
          <cell r="G75">
            <v>238743861</v>
          </cell>
        </row>
        <row r="76">
          <cell r="G76">
            <v>7318159581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58295359852</v>
          </cell>
        </row>
        <row r="81">
          <cell r="G81">
            <v>14254170802</v>
          </cell>
        </row>
        <row r="82">
          <cell r="G82">
            <v>34094718587</v>
          </cell>
        </row>
        <row r="83">
          <cell r="G83">
            <v>8071712770</v>
          </cell>
        </row>
        <row r="84">
          <cell r="G84">
            <v>1874757693</v>
          </cell>
        </row>
        <row r="85">
          <cell r="G85">
            <v>2123148732127</v>
          </cell>
        </row>
        <row r="86">
          <cell r="G86">
            <v>4766559024</v>
          </cell>
        </row>
        <row r="87">
          <cell r="G87">
            <v>30273509632</v>
          </cell>
        </row>
        <row r="88">
          <cell r="G88">
            <v>20522236602</v>
          </cell>
        </row>
        <row r="89">
          <cell r="G89">
            <v>16470096873</v>
          </cell>
        </row>
        <row r="90">
          <cell r="G90">
            <v>7612101063</v>
          </cell>
        </row>
        <row r="91">
          <cell r="G91">
            <v>15143100879</v>
          </cell>
        </row>
        <row r="92">
          <cell r="G92">
            <v>24893246179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5892179461</v>
          </cell>
        </row>
        <row r="96">
          <cell r="G96">
            <v>1016933982</v>
          </cell>
        </row>
        <row r="97">
          <cell r="G97">
            <v>7460071051</v>
          </cell>
        </row>
        <row r="98">
          <cell r="G98">
            <v>259513048678</v>
          </cell>
        </row>
        <row r="99">
          <cell r="G99">
            <v>194471528028</v>
          </cell>
        </row>
        <row r="100">
          <cell r="G100">
            <v>379382620523</v>
          </cell>
        </row>
        <row r="101">
          <cell r="G101">
            <v>197929044425</v>
          </cell>
        </row>
        <row r="102">
          <cell r="G102">
            <v>121943328417</v>
          </cell>
        </row>
        <row r="103">
          <cell r="G103">
            <v>128609930983</v>
          </cell>
        </row>
        <row r="104">
          <cell r="G104">
            <v>391889485544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46653007023</v>
          </cell>
        </row>
        <row r="108">
          <cell r="G108">
            <v>229159569938</v>
          </cell>
        </row>
        <row r="109">
          <cell r="G109">
            <v>39547133822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89113738657</v>
          </cell>
        </row>
        <row r="113">
          <cell r="G113">
            <v>30434276566</v>
          </cell>
        </row>
        <row r="114">
          <cell r="G114">
            <v>13669804929</v>
          </cell>
        </row>
        <row r="115">
          <cell r="G115">
            <v>1437092281</v>
          </cell>
        </row>
        <row r="116">
          <cell r="G116">
            <v>24165711613</v>
          </cell>
        </row>
        <row r="117">
          <cell r="G117">
            <v>4361283741</v>
          </cell>
        </row>
        <row r="118">
          <cell r="G118">
            <v>59664915</v>
          </cell>
        </row>
        <row r="119">
          <cell r="G119">
            <v>1384048726</v>
          </cell>
        </row>
        <row r="120">
          <cell r="G120">
            <v>459293960</v>
          </cell>
        </row>
        <row r="121">
          <cell r="G121">
            <v>162288969</v>
          </cell>
        </row>
        <row r="122">
          <cell r="G122">
            <v>3305439319</v>
          </cell>
        </row>
        <row r="123">
          <cell r="G123">
            <v>9549116403</v>
          </cell>
        </row>
        <row r="124">
          <cell r="G124">
            <v>36317235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89400000</v>
          </cell>
        </row>
        <row r="128">
          <cell r="G128">
            <v>248348415442</v>
          </cell>
        </row>
        <row r="129">
          <cell r="G129">
            <v>168473632963</v>
          </cell>
        </row>
        <row r="130">
          <cell r="G130">
            <v>149972780</v>
          </cell>
        </row>
        <row r="131">
          <cell r="G131">
            <v>-14783183583</v>
          </cell>
        </row>
        <row r="132">
          <cell r="G132">
            <v>0</v>
          </cell>
        </row>
        <row r="133">
          <cell r="G133">
            <v>94507993282</v>
          </cell>
        </row>
        <row r="134">
          <cell r="G134">
            <v>6911546219</v>
          </cell>
        </row>
        <row r="135">
          <cell r="G135">
            <v>6908527598</v>
          </cell>
        </row>
        <row r="136">
          <cell r="G136">
            <v>0</v>
          </cell>
        </row>
        <row r="137">
          <cell r="G137">
            <v>3018621</v>
          </cell>
        </row>
        <row r="138">
          <cell r="G138">
            <v>295953446436</v>
          </cell>
        </row>
        <row r="139">
          <cell r="G139">
            <v>158954016859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13177051988</v>
          </cell>
        </row>
        <row r="144">
          <cell r="G144">
            <v>77167098491</v>
          </cell>
        </row>
        <row r="145">
          <cell r="G145">
            <v>4404166666</v>
          </cell>
        </row>
        <row r="146">
          <cell r="G146">
            <v>1465006</v>
          </cell>
        </row>
        <row r="147">
          <cell r="G147">
            <v>0</v>
          </cell>
        </row>
        <row r="148">
          <cell r="G148">
            <v>42249647426</v>
          </cell>
        </row>
        <row r="149">
          <cell r="G149">
            <v>20004890618</v>
          </cell>
        </row>
        <row r="150">
          <cell r="G150">
            <v>0</v>
          </cell>
        </row>
        <row r="151">
          <cell r="G151">
            <v>1605533367</v>
          </cell>
        </row>
        <row r="152">
          <cell r="G152">
            <v>25146381</v>
          </cell>
        </row>
        <row r="153">
          <cell r="G153">
            <v>0</v>
          </cell>
        </row>
        <row r="154">
          <cell r="G154">
            <v>9711716620</v>
          </cell>
        </row>
        <row r="155">
          <cell r="G155">
            <v>8662494250</v>
          </cell>
        </row>
        <row r="156">
          <cell r="G156">
            <v>0</v>
          </cell>
        </row>
        <row r="157">
          <cell r="G157">
            <v>88622744740</v>
          </cell>
        </row>
        <row r="158">
          <cell r="G158">
            <v>88600917648</v>
          </cell>
        </row>
        <row r="159">
          <cell r="G159">
            <v>9654981</v>
          </cell>
        </row>
        <row r="160">
          <cell r="G160">
            <v>12172111</v>
          </cell>
        </row>
        <row r="161">
          <cell r="G161">
            <v>0</v>
          </cell>
        </row>
        <row r="162">
          <cell r="G162">
            <v>1239028663</v>
          </cell>
        </row>
        <row r="163">
          <cell r="G163">
            <v>0</v>
          </cell>
        </row>
        <row r="164">
          <cell r="G164">
            <v>1239028663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54093753349</v>
          </cell>
        </row>
        <row r="169">
          <cell r="G169">
            <v>14443595604</v>
          </cell>
        </row>
        <row r="170">
          <cell r="G170">
            <v>14443595604</v>
          </cell>
        </row>
        <row r="171">
          <cell r="G171">
            <v>577176070</v>
          </cell>
        </row>
        <row r="172">
          <cell r="G172">
            <v>577176070</v>
          </cell>
        </row>
        <row r="173">
          <cell r="G173">
            <v>0</v>
          </cell>
        </row>
        <row r="174">
          <cell r="G174">
            <v>202568924809</v>
          </cell>
        </row>
        <row r="175">
          <cell r="G175">
            <v>202568924809</v>
          </cell>
        </row>
        <row r="176">
          <cell r="G176">
            <v>0</v>
          </cell>
        </row>
        <row r="177">
          <cell r="G177">
            <v>198105438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825106240</v>
          </cell>
        </row>
        <row r="181">
          <cell r="G181">
            <v>825106240</v>
          </cell>
        </row>
        <row r="182">
          <cell r="G182">
            <v>69267720987</v>
          </cell>
        </row>
        <row r="183">
          <cell r="G183">
            <v>726151309166</v>
          </cell>
        </row>
        <row r="184">
          <cell r="G184">
            <v>754372973894</v>
          </cell>
        </row>
        <row r="185">
          <cell r="G185">
            <v>58268145104</v>
          </cell>
        </row>
        <row r="186">
          <cell r="G186">
            <v>1963028606388</v>
          </cell>
        </row>
        <row r="187">
          <cell r="G187">
            <v>13094633976</v>
          </cell>
        </row>
        <row r="188">
          <cell r="G188">
            <v>185403475725</v>
          </cell>
        </row>
        <row r="189">
          <cell r="G189">
            <v>159020409424</v>
          </cell>
        </row>
        <row r="190">
          <cell r="G190">
            <v>421338313251</v>
          </cell>
        </row>
        <row r="191">
          <cell r="G191">
            <v>421338313251</v>
          </cell>
        </row>
        <row r="192">
          <cell r="G192">
            <v>0</v>
          </cell>
        </row>
        <row r="193">
          <cell r="G193">
            <v>698279438357</v>
          </cell>
        </row>
        <row r="194">
          <cell r="G194">
            <v>698159534857</v>
          </cell>
        </row>
        <row r="195">
          <cell r="G195">
            <v>119903500</v>
          </cell>
        </row>
        <row r="196">
          <cell r="G196">
            <v>432522228</v>
          </cell>
        </row>
        <row r="197">
          <cell r="G197">
            <v>432522228</v>
          </cell>
        </row>
        <row r="198">
          <cell r="G198">
            <v>22741171352</v>
          </cell>
        </row>
        <row r="199">
          <cell r="G199">
            <v>0</v>
          </cell>
        </row>
        <row r="200">
          <cell r="G200">
            <v>10488940778</v>
          </cell>
        </row>
        <row r="201">
          <cell r="G201">
            <v>5381495633</v>
          </cell>
        </row>
        <row r="202">
          <cell r="G202">
            <v>6097358261</v>
          </cell>
        </row>
        <row r="203">
          <cell r="G203">
            <v>771594600</v>
          </cell>
        </row>
        <row r="204">
          <cell r="G204">
            <v>1782080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0</v>
          </cell>
        </row>
        <row r="220">
          <cell r="G220">
            <v>0</v>
          </cell>
        </row>
        <row r="221">
          <cell r="G221">
            <v>0</v>
          </cell>
        </row>
        <row r="222">
          <cell r="G222">
            <v>0</v>
          </cell>
        </row>
        <row r="223">
          <cell r="G223">
            <v>0</v>
          </cell>
        </row>
        <row r="224">
          <cell r="G224">
            <v>0</v>
          </cell>
        </row>
        <row r="225">
          <cell r="G225">
            <v>1389347900547</v>
          </cell>
        </row>
        <row r="226">
          <cell r="G226">
            <v>812146717319</v>
          </cell>
        </row>
        <row r="227">
          <cell r="G227">
            <v>566266447893</v>
          </cell>
        </row>
        <row r="228">
          <cell r="G228">
            <v>10934735335</v>
          </cell>
        </row>
        <row r="229">
          <cell r="G229">
            <v>534525766235</v>
          </cell>
        </row>
        <row r="230">
          <cell r="G230">
            <v>293282521872</v>
          </cell>
        </row>
        <row r="231">
          <cell r="G231">
            <v>105209220623</v>
          </cell>
        </row>
        <row r="232">
          <cell r="G232">
            <v>8843100</v>
          </cell>
        </row>
        <row r="233">
          <cell r="G233">
            <v>0</v>
          </cell>
        </row>
        <row r="234">
          <cell r="G234">
            <v>0</v>
          </cell>
        </row>
        <row r="235">
          <cell r="G235">
            <v>13616626990</v>
          </cell>
        </row>
        <row r="236">
          <cell r="G236">
            <v>0</v>
          </cell>
        </row>
        <row r="237">
          <cell r="G237">
            <v>0</v>
          </cell>
        </row>
        <row r="238">
          <cell r="G238">
            <v>2908487027</v>
          </cell>
        </row>
        <row r="239">
          <cell r="G239">
            <v>1307351672</v>
          </cell>
        </row>
        <row r="240">
          <cell r="G240">
            <v>53836900</v>
          </cell>
        </row>
        <row r="241">
          <cell r="G241">
            <v>99861267489</v>
          </cell>
        </row>
        <row r="242">
          <cell r="G242">
            <v>18277610562</v>
          </cell>
        </row>
        <row r="243">
          <cell r="G243">
            <v>2693371904</v>
          </cell>
        </row>
        <row r="244">
          <cell r="G244">
            <v>1218623041</v>
          </cell>
        </row>
        <row r="245">
          <cell r="G245">
            <v>1120000000</v>
          </cell>
        </row>
        <row r="246">
          <cell r="G246">
            <v>0</v>
          </cell>
        </row>
        <row r="247">
          <cell r="G247">
            <v>0</v>
          </cell>
        </row>
        <row r="248">
          <cell r="G248">
            <v>163395000</v>
          </cell>
        </row>
        <row r="249">
          <cell r="G249">
            <v>191329352</v>
          </cell>
        </row>
        <row r="250">
          <cell r="G250">
            <v>24511</v>
          </cell>
        </row>
        <row r="251">
          <cell r="G251">
            <v>47849664284</v>
          </cell>
        </row>
        <row r="252">
          <cell r="G252">
            <v>24071116639</v>
          </cell>
        </row>
        <row r="253">
          <cell r="G253">
            <v>8437827690</v>
          </cell>
        </row>
        <row r="254">
          <cell r="G254">
            <v>998449569</v>
          </cell>
        </row>
        <row r="255">
          <cell r="G255">
            <v>1596930</v>
          </cell>
        </row>
        <row r="256">
          <cell r="G256">
            <v>10770000</v>
          </cell>
        </row>
        <row r="257">
          <cell r="G257">
            <v>3186920</v>
          </cell>
        </row>
        <row r="258">
          <cell r="G258">
            <v>0</v>
          </cell>
        </row>
        <row r="259">
          <cell r="G259">
            <v>1868661952</v>
          </cell>
        </row>
        <row r="260">
          <cell r="G260">
            <v>0</v>
          </cell>
        </row>
        <row r="261">
          <cell r="G261">
            <v>0</v>
          </cell>
        </row>
        <row r="262">
          <cell r="G262">
            <v>0</v>
          </cell>
        </row>
        <row r="263">
          <cell r="G263">
            <v>3750825</v>
          </cell>
        </row>
        <row r="264">
          <cell r="G264">
            <v>4074818990</v>
          </cell>
        </row>
        <row r="265">
          <cell r="G265">
            <v>431585088</v>
          </cell>
        </row>
        <row r="266">
          <cell r="G266">
            <v>2505837423</v>
          </cell>
        </row>
        <row r="267">
          <cell r="G267">
            <v>0</v>
          </cell>
        </row>
        <row r="268">
          <cell r="G268">
            <v>0</v>
          </cell>
        </row>
        <row r="269">
          <cell r="G269">
            <v>11100000</v>
          </cell>
        </row>
        <row r="270">
          <cell r="G270">
            <v>48750000</v>
          </cell>
        </row>
        <row r="271">
          <cell r="G271">
            <v>14438880</v>
          </cell>
        </row>
        <row r="272">
          <cell r="G272">
            <v>0</v>
          </cell>
        </row>
        <row r="273">
          <cell r="G273">
            <v>0</v>
          </cell>
        </row>
        <row r="274">
          <cell r="G274">
            <v>496800</v>
          </cell>
        </row>
        <row r="275">
          <cell r="G275">
            <v>44201790</v>
          </cell>
        </row>
        <row r="276">
          <cell r="G276">
            <v>1901069530</v>
          </cell>
        </row>
        <row r="277">
          <cell r="G277">
            <v>0</v>
          </cell>
        </row>
        <row r="278">
          <cell r="G278">
            <v>229380000</v>
          </cell>
        </row>
        <row r="279">
          <cell r="G279">
            <v>300000</v>
          </cell>
        </row>
        <row r="280">
          <cell r="G280">
            <v>429745000</v>
          </cell>
        </row>
        <row r="281">
          <cell r="G281">
            <v>2762580258</v>
          </cell>
        </row>
        <row r="282">
          <cell r="G282">
            <v>27792977231</v>
          </cell>
        </row>
        <row r="283">
          <cell r="G283">
            <v>15166730444</v>
          </cell>
        </row>
        <row r="284">
          <cell r="G284">
            <v>0</v>
          </cell>
        </row>
        <row r="285">
          <cell r="G285">
            <v>0</v>
          </cell>
        </row>
        <row r="286">
          <cell r="G286">
            <v>0</v>
          </cell>
        </row>
        <row r="287">
          <cell r="G287">
            <v>257330817</v>
          </cell>
        </row>
        <row r="288">
          <cell r="G288">
            <v>279554240</v>
          </cell>
        </row>
        <row r="289">
          <cell r="G289">
            <v>10991097260</v>
          </cell>
        </row>
        <row r="290">
          <cell r="G290">
            <v>0</v>
          </cell>
        </row>
        <row r="291">
          <cell r="G291">
            <v>1098264470</v>
          </cell>
        </row>
        <row r="292">
          <cell r="G292">
            <v>226876308</v>
          </cell>
        </row>
        <row r="293">
          <cell r="G293">
            <v>183045200</v>
          </cell>
        </row>
        <row r="294">
          <cell r="G294">
            <v>43831108</v>
          </cell>
        </row>
        <row r="295">
          <cell r="G295">
            <v>0</v>
          </cell>
        </row>
        <row r="296">
          <cell r="G296">
            <v>18600373576</v>
          </cell>
        </row>
        <row r="297">
          <cell r="G297">
            <v>0</v>
          </cell>
        </row>
        <row r="298">
          <cell r="G298">
            <v>18600373576</v>
          </cell>
        </row>
        <row r="299">
          <cell r="G299">
            <v>256068481</v>
          </cell>
        </row>
        <row r="300">
          <cell r="G300">
            <v>256068481</v>
          </cell>
        </row>
        <row r="301">
          <cell r="G301">
            <v>11616341977</v>
          </cell>
        </row>
        <row r="302">
          <cell r="G302">
            <v>0</v>
          </cell>
        </row>
        <row r="303">
          <cell r="G303">
            <v>0</v>
          </cell>
        </row>
        <row r="304">
          <cell r="G304">
            <v>1000416922</v>
          </cell>
        </row>
        <row r="305">
          <cell r="G305">
            <v>76444801</v>
          </cell>
        </row>
        <row r="306">
          <cell r="G306">
            <v>621386163</v>
          </cell>
        </row>
        <row r="307">
          <cell r="G307">
            <v>7517364893</v>
          </cell>
        </row>
        <row r="308">
          <cell r="G308">
            <v>2400729198</v>
          </cell>
        </row>
        <row r="309">
          <cell r="G309">
            <v>25867683</v>
          </cell>
        </row>
        <row r="310">
          <cell r="G310">
            <v>0</v>
          </cell>
        </row>
        <row r="311">
          <cell r="G311">
            <v>25867683</v>
          </cell>
        </row>
        <row r="312">
          <cell r="G312">
            <v>3338313711</v>
          </cell>
        </row>
        <row r="313">
          <cell r="G313">
            <v>3338313711</v>
          </cell>
        </row>
        <row r="314">
          <cell r="G314">
            <v>0</v>
          </cell>
        </row>
        <row r="315">
          <cell r="G315">
            <v>0</v>
          </cell>
        </row>
        <row r="316">
          <cell r="G316">
            <v>0</v>
          </cell>
        </row>
        <row r="317">
          <cell r="G317">
            <v>0</v>
          </cell>
        </row>
        <row r="318">
          <cell r="G318">
            <v>0</v>
          </cell>
        </row>
        <row r="319">
          <cell r="G319">
            <v>17154</v>
          </cell>
        </row>
        <row r="320">
          <cell r="G320">
            <v>0</v>
          </cell>
        </row>
        <row r="321">
          <cell r="G321">
            <v>0</v>
          </cell>
        </row>
        <row r="322">
          <cell r="G322">
            <v>0</v>
          </cell>
        </row>
        <row r="323">
          <cell r="G323">
            <v>17154</v>
          </cell>
        </row>
        <row r="324">
          <cell r="G324">
            <v>0</v>
          </cell>
        </row>
        <row r="325">
          <cell r="G325">
            <v>0</v>
          </cell>
        </row>
        <row r="326">
          <cell r="G326">
            <v>0</v>
          </cell>
        </row>
        <row r="327">
          <cell r="G327">
            <v>0</v>
          </cell>
        </row>
        <row r="328">
          <cell r="G328">
            <v>0</v>
          </cell>
        </row>
        <row r="329">
          <cell r="G329">
            <v>0</v>
          </cell>
        </row>
        <row r="330">
          <cell r="G330">
            <v>0</v>
          </cell>
        </row>
        <row r="331">
          <cell r="G331">
            <v>0</v>
          </cell>
        </row>
        <row r="332">
          <cell r="G332">
            <v>0</v>
          </cell>
        </row>
        <row r="333">
          <cell r="G333">
            <v>0</v>
          </cell>
        </row>
        <row r="334">
          <cell r="G334">
            <v>24589426894</v>
          </cell>
        </row>
        <row r="335">
          <cell r="G335">
            <v>0</v>
          </cell>
        </row>
        <row r="336">
          <cell r="G336">
            <v>2872688020</v>
          </cell>
        </row>
        <row r="337">
          <cell r="G337">
            <v>0</v>
          </cell>
        </row>
        <row r="338">
          <cell r="G338">
            <v>0</v>
          </cell>
        </row>
        <row r="339">
          <cell r="G339">
            <v>104869350</v>
          </cell>
        </row>
        <row r="340">
          <cell r="G340">
            <v>16568356495</v>
          </cell>
        </row>
        <row r="341">
          <cell r="G341">
            <v>394278915</v>
          </cell>
        </row>
        <row r="342">
          <cell r="G342">
            <v>0</v>
          </cell>
        </row>
        <row r="343">
          <cell r="G343">
            <v>667309194</v>
          </cell>
        </row>
        <row r="344">
          <cell r="G344">
            <v>3981924920</v>
          </cell>
        </row>
        <row r="345">
          <cell r="G345">
            <v>0</v>
          </cell>
        </row>
        <row r="346">
          <cell r="G346">
            <v>0</v>
          </cell>
        </row>
        <row r="347">
          <cell r="G347">
            <v>0</v>
          </cell>
        </row>
        <row r="348">
          <cell r="G348">
            <v>0</v>
          </cell>
        </row>
        <row r="349">
          <cell r="G349">
            <v>0</v>
          </cell>
        </row>
        <row r="350">
          <cell r="G350">
            <v>1548483394453</v>
          </cell>
        </row>
        <row r="351">
          <cell r="G351">
            <v>78214075271</v>
          </cell>
        </row>
        <row r="352">
          <cell r="G352">
            <v>1399166642080</v>
          </cell>
        </row>
        <row r="353">
          <cell r="G353">
            <v>8522601072</v>
          </cell>
        </row>
        <row r="354">
          <cell r="G354">
            <v>-6793463760</v>
          </cell>
        </row>
        <row r="355">
          <cell r="G355">
            <v>336932041</v>
          </cell>
        </row>
        <row r="356">
          <cell r="G356">
            <v>3515444989</v>
          </cell>
        </row>
        <row r="357">
          <cell r="G357">
            <v>38669265490</v>
          </cell>
        </row>
        <row r="358">
          <cell r="G358">
            <v>9630220857</v>
          </cell>
        </row>
        <row r="359">
          <cell r="G359">
            <v>10099328700</v>
          </cell>
        </row>
        <row r="360">
          <cell r="G360">
            <v>7122347713</v>
          </cell>
        </row>
        <row r="361">
          <cell r="G361">
            <v>207804657602</v>
          </cell>
        </row>
        <row r="362">
          <cell r="G362">
            <v>115953719787</v>
          </cell>
        </row>
        <row r="363">
          <cell r="G363">
            <v>33553175953</v>
          </cell>
        </row>
        <row r="364">
          <cell r="G364">
            <v>88800153</v>
          </cell>
        </row>
        <row r="365">
          <cell r="G365">
            <v>-62517021</v>
          </cell>
        </row>
        <row r="366">
          <cell r="G366">
            <v>58235387746</v>
          </cell>
        </row>
        <row r="367">
          <cell r="G367">
            <v>36090984</v>
          </cell>
        </row>
        <row r="368">
          <cell r="G368">
            <v>256048998894</v>
          </cell>
        </row>
        <row r="369">
          <cell r="G369">
            <v>26521850873</v>
          </cell>
        </row>
        <row r="370">
          <cell r="G370">
            <v>29023090637</v>
          </cell>
        </row>
        <row r="371">
          <cell r="G371">
            <v>1585385279</v>
          </cell>
        </row>
        <row r="372">
          <cell r="G372">
            <v>672744158</v>
          </cell>
        </row>
        <row r="373">
          <cell r="G373">
            <v>293321788</v>
          </cell>
        </row>
        <row r="374">
          <cell r="G374">
            <v>1022661989</v>
          </cell>
        </row>
        <row r="375">
          <cell r="G375">
            <v>1088005545</v>
          </cell>
        </row>
        <row r="376">
          <cell r="G376">
            <v>9411039312</v>
          </cell>
        </row>
        <row r="377">
          <cell r="G377">
            <v>5743831829</v>
          </cell>
        </row>
        <row r="378">
          <cell r="G378">
            <v>74675419</v>
          </cell>
        </row>
        <row r="379">
          <cell r="G379">
            <v>586750684</v>
          </cell>
        </row>
        <row r="380">
          <cell r="G380">
            <v>519433343</v>
          </cell>
        </row>
        <row r="381">
          <cell r="G381">
            <v>203122886</v>
          </cell>
        </row>
        <row r="382">
          <cell r="G382">
            <v>4688866108</v>
          </cell>
        </row>
        <row r="383">
          <cell r="G383">
            <v>19919411956</v>
          </cell>
        </row>
        <row r="384">
          <cell r="G384">
            <v>535055573</v>
          </cell>
        </row>
        <row r="385">
          <cell r="G385">
            <v>720582059</v>
          </cell>
        </row>
        <row r="386">
          <cell r="G386">
            <v>0</v>
          </cell>
        </row>
        <row r="387">
          <cell r="G387">
            <v>77153693</v>
          </cell>
        </row>
        <row r="388">
          <cell r="G388">
            <v>0</v>
          </cell>
        </row>
        <row r="389">
          <cell r="G389">
            <v>153362015763</v>
          </cell>
        </row>
        <row r="390">
          <cell r="G390">
            <v>0</v>
          </cell>
        </row>
        <row r="391">
          <cell r="G391">
            <v>316328768376</v>
          </cell>
        </row>
        <row r="392">
          <cell r="G392">
            <v>316328768376</v>
          </cell>
        </row>
        <row r="393">
          <cell r="G393">
            <v>0</v>
          </cell>
        </row>
        <row r="394">
          <cell r="G394">
            <v>0</v>
          </cell>
        </row>
        <row r="395">
          <cell r="G395">
            <v>0</v>
          </cell>
        </row>
        <row r="396">
          <cell r="G396">
            <v>0</v>
          </cell>
        </row>
        <row r="397">
          <cell r="G397">
            <v>88585291386</v>
          </cell>
        </row>
        <row r="398">
          <cell r="G398">
            <v>88585291386</v>
          </cell>
        </row>
        <row r="399">
          <cell r="G399">
            <v>427890219737</v>
          </cell>
        </row>
        <row r="400">
          <cell r="G400">
            <v>427890219737</v>
          </cell>
        </row>
        <row r="401">
          <cell r="G401">
            <v>1880650784</v>
          </cell>
        </row>
        <row r="402">
          <cell r="G402">
            <v>1880650784</v>
          </cell>
        </row>
        <row r="403">
          <cell r="G403">
            <v>0</v>
          </cell>
        </row>
        <row r="404">
          <cell r="G404">
            <v>0</v>
          </cell>
        </row>
        <row r="405">
          <cell r="G405">
            <v>0</v>
          </cell>
        </row>
        <row r="406">
          <cell r="G406">
            <v>0</v>
          </cell>
        </row>
        <row r="407">
          <cell r="G407">
            <v>0</v>
          </cell>
        </row>
        <row r="408">
          <cell r="G408">
            <v>0</v>
          </cell>
        </row>
        <row r="409">
          <cell r="G409">
            <v>0</v>
          </cell>
        </row>
        <row r="410">
          <cell r="G410">
            <v>0</v>
          </cell>
        </row>
        <row r="411">
          <cell r="G411">
            <v>0</v>
          </cell>
        </row>
        <row r="1016">
          <cell r="G1016">
            <v>29179675336338</v>
          </cell>
        </row>
        <row r="1017">
          <cell r="G1017">
            <v>0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수리결과"/>
      <sheetName val="차수"/>
      <sheetName val="소개"/>
      <sheetName val="1차 내역서"/>
      <sheetName val="95하U$가격"/>
      <sheetName val="DATA테이블1 (2)"/>
      <sheetName val="수입"/>
      <sheetName val="수량산출"/>
      <sheetName val="Key Data"/>
      <sheetName val="개산공사비"/>
      <sheetName val="N賃率-職"/>
      <sheetName val="단위단가"/>
      <sheetName val="도급실행(본관-주차장)"/>
      <sheetName val="Key Data_Y13"/>
      <sheetName val="도근좌표"/>
      <sheetName val="참고사항"/>
      <sheetName val="산출내역서집계표"/>
      <sheetName val="직노"/>
      <sheetName val="1차_내역서"/>
      <sheetName val="DATA테이블1_(2)"/>
      <sheetName val="Key_Data"/>
      <sheetName val="Key_Data_Y13"/>
      <sheetName val="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5AD14-263F-4DAB-A8A5-0A150DD52F6A}">
  <sheetPr>
    <tabColor rgb="FF0000FF"/>
    <pageSetUpPr fitToPage="1"/>
  </sheetPr>
  <dimension ref="A2:L26"/>
  <sheetViews>
    <sheetView showGridLines="0" tabSelected="1" zoomScale="70" zoomScaleNormal="70" zoomScaleSheetLayoutView="70" workbookViewId="0">
      <selection activeCell="E8" sqref="E8"/>
    </sheetView>
  </sheetViews>
  <sheetFormatPr defaultRowHeight="16.5" x14ac:dyDescent="0.3"/>
  <cols>
    <col min="1" max="1" width="2.625" customWidth="1"/>
    <col min="2" max="4" width="14.625" customWidth="1"/>
    <col min="5" max="5" width="57.75" style="2" customWidth="1"/>
    <col min="6" max="7" width="4.75" style="1" customWidth="1"/>
    <col min="8" max="8" width="10.25" bestFit="1" customWidth="1"/>
    <col min="9" max="9" width="65.625" style="2" customWidth="1"/>
    <col min="10" max="11" width="5.625" style="1" customWidth="1"/>
    <col min="12" max="12" width="10.25" bestFit="1" customWidth="1"/>
  </cols>
  <sheetData>
    <row r="2" spans="2:12" ht="31.5" x14ac:dyDescent="0.3">
      <c r="B2" s="13" t="s">
        <v>312</v>
      </c>
    </row>
    <row r="4" spans="2:12" ht="17.25" x14ac:dyDescent="0.3">
      <c r="B4" s="12" t="s">
        <v>106</v>
      </c>
    </row>
    <row r="5" spans="2:12" ht="29.25" customHeight="1" x14ac:dyDescent="0.3">
      <c r="B5" s="54" t="s">
        <v>0</v>
      </c>
      <c r="C5" s="54" t="s">
        <v>36</v>
      </c>
      <c r="D5" s="54" t="s">
        <v>113</v>
      </c>
      <c r="E5" s="54"/>
      <c r="F5" s="55" t="s">
        <v>116</v>
      </c>
      <c r="G5" s="55"/>
      <c r="H5" s="55"/>
      <c r="I5" s="54" t="s">
        <v>35</v>
      </c>
      <c r="J5" s="55" t="s">
        <v>118</v>
      </c>
      <c r="K5" s="55"/>
      <c r="L5" s="55"/>
    </row>
    <row r="6" spans="2:12" x14ac:dyDescent="0.3">
      <c r="B6" s="54"/>
      <c r="C6" s="54"/>
      <c r="D6" s="17" t="s">
        <v>114</v>
      </c>
      <c r="E6" s="17" t="s">
        <v>115</v>
      </c>
      <c r="F6" s="18" t="s">
        <v>34</v>
      </c>
      <c r="G6" s="18" t="s">
        <v>33</v>
      </c>
      <c r="H6" s="17" t="s">
        <v>117</v>
      </c>
      <c r="I6" s="54"/>
      <c r="J6" s="18" t="s">
        <v>34</v>
      </c>
      <c r="K6" s="18" t="s">
        <v>33</v>
      </c>
      <c r="L6" s="17" t="s">
        <v>117</v>
      </c>
    </row>
    <row r="7" spans="2:12" ht="40.5" x14ac:dyDescent="0.3">
      <c r="B7" s="56" t="s">
        <v>106</v>
      </c>
      <c r="C7" s="53" t="s">
        <v>105</v>
      </c>
      <c r="D7" s="15" t="s">
        <v>129</v>
      </c>
      <c r="E7" s="11" t="s">
        <v>104</v>
      </c>
      <c r="F7" s="15">
        <v>3</v>
      </c>
      <c r="G7" s="15">
        <v>3</v>
      </c>
      <c r="H7" s="19">
        <f>F7*G7</f>
        <v>9</v>
      </c>
      <c r="I7" s="20" t="s">
        <v>119</v>
      </c>
      <c r="J7" s="19">
        <v>1</v>
      </c>
      <c r="K7" s="19">
        <v>3</v>
      </c>
      <c r="L7" s="19">
        <f>J7*K7</f>
        <v>3</v>
      </c>
    </row>
    <row r="8" spans="2:12" ht="40.5" x14ac:dyDescent="0.3">
      <c r="B8" s="56"/>
      <c r="C8" s="53"/>
      <c r="D8" s="15" t="s">
        <v>129</v>
      </c>
      <c r="E8" s="11" t="s">
        <v>103</v>
      </c>
      <c r="F8" s="15">
        <v>2</v>
      </c>
      <c r="G8" s="15">
        <v>3</v>
      </c>
      <c r="H8" s="19">
        <f>F8*G8</f>
        <v>6</v>
      </c>
      <c r="I8" s="20" t="s">
        <v>120</v>
      </c>
      <c r="J8" s="19">
        <v>1</v>
      </c>
      <c r="K8" s="19">
        <v>3</v>
      </c>
      <c r="L8" s="19">
        <f>J8*K8</f>
        <v>3</v>
      </c>
    </row>
    <row r="9" spans="2:12" ht="27" x14ac:dyDescent="0.3">
      <c r="B9" s="56"/>
      <c r="C9" s="53"/>
      <c r="D9" s="15" t="s">
        <v>129</v>
      </c>
      <c r="E9" s="11" t="s">
        <v>102</v>
      </c>
      <c r="F9" s="15">
        <v>2</v>
      </c>
      <c r="G9" s="15">
        <v>3</v>
      </c>
      <c r="H9" s="19">
        <f t="shared" ref="H9:H19" si="0">F9*G9</f>
        <v>6</v>
      </c>
      <c r="I9" s="20" t="s">
        <v>121</v>
      </c>
      <c r="J9" s="19">
        <v>1</v>
      </c>
      <c r="K9" s="19">
        <v>3</v>
      </c>
      <c r="L9" s="19">
        <f t="shared" ref="L9:L19" si="1">J9*K9</f>
        <v>3</v>
      </c>
    </row>
    <row r="10" spans="2:12" ht="27" x14ac:dyDescent="0.3">
      <c r="B10" s="56"/>
      <c r="C10" s="53"/>
      <c r="D10" s="15" t="s">
        <v>129</v>
      </c>
      <c r="E10" s="11" t="s">
        <v>101</v>
      </c>
      <c r="F10" s="15">
        <v>2</v>
      </c>
      <c r="G10" s="15">
        <v>3</v>
      </c>
      <c r="H10" s="19">
        <f t="shared" si="0"/>
        <v>6</v>
      </c>
      <c r="I10" s="20" t="s">
        <v>98</v>
      </c>
      <c r="J10" s="19">
        <v>1</v>
      </c>
      <c r="K10" s="19">
        <v>3</v>
      </c>
      <c r="L10" s="19">
        <f t="shared" si="1"/>
        <v>3</v>
      </c>
    </row>
    <row r="11" spans="2:12" ht="40.5" x14ac:dyDescent="0.3">
      <c r="B11" s="56"/>
      <c r="C11" s="53"/>
      <c r="D11" s="15" t="s">
        <v>129</v>
      </c>
      <c r="E11" s="11" t="s">
        <v>100</v>
      </c>
      <c r="F11" s="15">
        <v>2</v>
      </c>
      <c r="G11" s="15">
        <v>3</v>
      </c>
      <c r="H11" s="19">
        <f t="shared" si="0"/>
        <v>6</v>
      </c>
      <c r="I11" s="20" t="s">
        <v>122</v>
      </c>
      <c r="J11" s="19">
        <v>1</v>
      </c>
      <c r="K11" s="19">
        <v>3</v>
      </c>
      <c r="L11" s="19">
        <f t="shared" si="1"/>
        <v>3</v>
      </c>
    </row>
    <row r="12" spans="2:12" ht="27" x14ac:dyDescent="0.3">
      <c r="B12" s="56"/>
      <c r="C12" s="53"/>
      <c r="D12" s="15" t="s">
        <v>129</v>
      </c>
      <c r="E12" s="11" t="s">
        <v>99</v>
      </c>
      <c r="F12" s="15">
        <v>2</v>
      </c>
      <c r="G12" s="15">
        <v>3</v>
      </c>
      <c r="H12" s="19">
        <f t="shared" si="0"/>
        <v>6</v>
      </c>
      <c r="I12" s="20" t="s">
        <v>98</v>
      </c>
      <c r="J12" s="19">
        <v>1</v>
      </c>
      <c r="K12" s="19">
        <v>3</v>
      </c>
      <c r="L12" s="19">
        <f t="shared" si="1"/>
        <v>3</v>
      </c>
    </row>
    <row r="13" spans="2:12" ht="27" x14ac:dyDescent="0.3">
      <c r="B13" s="56"/>
      <c r="C13" s="53"/>
      <c r="D13" s="15" t="s">
        <v>130</v>
      </c>
      <c r="E13" s="11" t="s">
        <v>97</v>
      </c>
      <c r="F13" s="15">
        <v>2</v>
      </c>
      <c r="G13" s="15">
        <v>3</v>
      </c>
      <c r="H13" s="19">
        <f t="shared" si="0"/>
        <v>6</v>
      </c>
      <c r="I13" s="20" t="s">
        <v>123</v>
      </c>
      <c r="J13" s="19">
        <v>1</v>
      </c>
      <c r="K13" s="19">
        <v>3</v>
      </c>
      <c r="L13" s="19">
        <f t="shared" si="1"/>
        <v>3</v>
      </c>
    </row>
    <row r="14" spans="2:12" ht="27" x14ac:dyDescent="0.3">
      <c r="B14" s="56"/>
      <c r="C14" s="53"/>
      <c r="D14" s="15" t="s">
        <v>131</v>
      </c>
      <c r="E14" s="11" t="s">
        <v>96</v>
      </c>
      <c r="F14" s="15">
        <v>2</v>
      </c>
      <c r="G14" s="15">
        <v>2</v>
      </c>
      <c r="H14" s="19">
        <f t="shared" si="0"/>
        <v>4</v>
      </c>
      <c r="I14" s="20" t="s">
        <v>124</v>
      </c>
      <c r="J14" s="19">
        <v>1</v>
      </c>
      <c r="K14" s="19">
        <v>2</v>
      </c>
      <c r="L14" s="19">
        <f t="shared" si="1"/>
        <v>2</v>
      </c>
    </row>
    <row r="15" spans="2:12" ht="40.5" x14ac:dyDescent="0.3">
      <c r="B15" s="56"/>
      <c r="C15" s="53"/>
      <c r="D15" s="15" t="s">
        <v>132</v>
      </c>
      <c r="E15" s="11" t="s">
        <v>95</v>
      </c>
      <c r="F15" s="15">
        <v>2</v>
      </c>
      <c r="G15" s="15">
        <v>3</v>
      </c>
      <c r="H15" s="19">
        <f t="shared" si="0"/>
        <v>6</v>
      </c>
      <c r="I15" s="20" t="s">
        <v>125</v>
      </c>
      <c r="J15" s="19">
        <v>1</v>
      </c>
      <c r="K15" s="19">
        <v>3</v>
      </c>
      <c r="L15" s="19">
        <f t="shared" si="1"/>
        <v>3</v>
      </c>
    </row>
    <row r="16" spans="2:12" ht="40.5" x14ac:dyDescent="0.3">
      <c r="B16" s="56"/>
      <c r="C16" s="53"/>
      <c r="D16" s="15" t="s">
        <v>132</v>
      </c>
      <c r="E16" s="11" t="s">
        <v>94</v>
      </c>
      <c r="F16" s="15">
        <v>2</v>
      </c>
      <c r="G16" s="15">
        <v>3</v>
      </c>
      <c r="H16" s="19">
        <f t="shared" si="0"/>
        <v>6</v>
      </c>
      <c r="I16" s="20" t="s">
        <v>126</v>
      </c>
      <c r="J16" s="19">
        <v>1</v>
      </c>
      <c r="K16" s="19">
        <v>3</v>
      </c>
      <c r="L16" s="19">
        <f t="shared" si="1"/>
        <v>3</v>
      </c>
    </row>
    <row r="17" spans="1:12" ht="40.5" x14ac:dyDescent="0.3">
      <c r="B17" s="56"/>
      <c r="C17" s="53"/>
      <c r="D17" s="15" t="s">
        <v>132</v>
      </c>
      <c r="E17" s="11" t="s">
        <v>93</v>
      </c>
      <c r="F17" s="15">
        <v>2</v>
      </c>
      <c r="G17" s="15">
        <v>2</v>
      </c>
      <c r="H17" s="19">
        <f t="shared" si="0"/>
        <v>4</v>
      </c>
      <c r="I17" s="16" t="s">
        <v>128</v>
      </c>
      <c r="J17" s="19">
        <v>1</v>
      </c>
      <c r="K17" s="19">
        <v>2</v>
      </c>
      <c r="L17" s="19">
        <f t="shared" si="1"/>
        <v>2</v>
      </c>
    </row>
    <row r="18" spans="1:12" ht="27" x14ac:dyDescent="0.3">
      <c r="B18" s="56"/>
      <c r="C18" s="53"/>
      <c r="D18" s="15" t="s">
        <v>132</v>
      </c>
      <c r="E18" s="11" t="s">
        <v>92</v>
      </c>
      <c r="F18" s="15">
        <v>2</v>
      </c>
      <c r="G18" s="15">
        <v>2</v>
      </c>
      <c r="H18" s="19">
        <f t="shared" si="0"/>
        <v>4</v>
      </c>
      <c r="I18" s="20" t="s">
        <v>91</v>
      </c>
      <c r="J18" s="19">
        <v>1</v>
      </c>
      <c r="K18" s="19">
        <v>2</v>
      </c>
      <c r="L18" s="19">
        <f t="shared" si="1"/>
        <v>2</v>
      </c>
    </row>
    <row r="19" spans="1:12" x14ac:dyDescent="0.3">
      <c r="B19" s="56"/>
      <c r="C19" s="53"/>
      <c r="D19" s="15" t="s">
        <v>132</v>
      </c>
      <c r="E19" s="11" t="s">
        <v>90</v>
      </c>
      <c r="F19" s="15">
        <v>2</v>
      </c>
      <c r="G19" s="15">
        <v>3</v>
      </c>
      <c r="H19" s="19">
        <f t="shared" si="0"/>
        <v>6</v>
      </c>
      <c r="I19" s="20" t="s">
        <v>127</v>
      </c>
      <c r="J19" s="19">
        <v>1</v>
      </c>
      <c r="K19" s="19">
        <v>3</v>
      </c>
      <c r="L19" s="19">
        <f t="shared" si="1"/>
        <v>3</v>
      </c>
    </row>
    <row r="20" spans="1:12" x14ac:dyDescent="0.3">
      <c r="B20" s="53" t="s">
        <v>2</v>
      </c>
      <c r="C20" s="5"/>
      <c r="D20" s="5"/>
      <c r="E20" s="10"/>
      <c r="F20" s="6"/>
      <c r="G20" s="6"/>
      <c r="H20" s="5"/>
      <c r="I20" s="7"/>
      <c r="J20" s="6"/>
      <c r="K20" s="6"/>
      <c r="L20" s="5"/>
    </row>
    <row r="21" spans="1:12" x14ac:dyDescent="0.3">
      <c r="B21" s="53"/>
      <c r="C21" s="5"/>
      <c r="D21" s="5"/>
      <c r="E21" s="10"/>
      <c r="F21" s="6"/>
      <c r="G21" s="6"/>
      <c r="H21" s="5"/>
      <c r="I21" s="7"/>
      <c r="J21" s="6"/>
      <c r="K21" s="6"/>
      <c r="L21" s="5"/>
    </row>
    <row r="22" spans="1:12" x14ac:dyDescent="0.3">
      <c r="B22" s="53"/>
      <c r="C22" s="5"/>
      <c r="D22" s="5"/>
      <c r="E22" s="10"/>
      <c r="F22" s="6"/>
      <c r="G22" s="6"/>
      <c r="H22" s="5"/>
      <c r="I22" s="7"/>
      <c r="J22" s="6"/>
      <c r="K22" s="6"/>
      <c r="L22" s="5"/>
    </row>
    <row r="23" spans="1:12" x14ac:dyDescent="0.3">
      <c r="B23" s="53"/>
      <c r="C23" s="5"/>
      <c r="D23" s="5"/>
      <c r="E23" s="10"/>
      <c r="F23" s="6"/>
      <c r="G23" s="6"/>
      <c r="H23" s="5"/>
      <c r="I23" s="7"/>
      <c r="J23" s="6"/>
      <c r="K23" s="6"/>
      <c r="L23" s="5"/>
    </row>
    <row r="24" spans="1:12" x14ac:dyDescent="0.3">
      <c r="I24" s="4"/>
    </row>
    <row r="25" spans="1:12" x14ac:dyDescent="0.3">
      <c r="A25" s="3"/>
      <c r="B25" s="3"/>
      <c r="C25" s="3"/>
      <c r="D25" s="3"/>
      <c r="E25" s="4"/>
    </row>
    <row r="26" spans="1:12" s="1" customFormat="1" x14ac:dyDescent="0.3">
      <c r="A26" s="3"/>
      <c r="B26" s="3"/>
      <c r="C26" s="3"/>
      <c r="D26" s="3"/>
      <c r="E26" s="4"/>
      <c r="H26"/>
      <c r="I26" s="2"/>
    </row>
  </sheetData>
  <mergeCells count="9">
    <mergeCell ref="B20:B23"/>
    <mergeCell ref="D5:E5"/>
    <mergeCell ref="F5:H5"/>
    <mergeCell ref="J5:L5"/>
    <mergeCell ref="B5:B6"/>
    <mergeCell ref="C5:C6"/>
    <mergeCell ref="I5:I6"/>
    <mergeCell ref="B7:B19"/>
    <mergeCell ref="C7:C19"/>
  </mergeCells>
  <phoneticPr fontId="1" type="noConversion"/>
  <conditionalFormatting sqref="H7:H19">
    <cfRule type="cellIs" dxfId="128" priority="4" operator="between">
      <formula>1</formula>
      <formula>3</formula>
    </cfRule>
    <cfRule type="cellIs" dxfId="127" priority="5" operator="equal">
      <formula>4</formula>
    </cfRule>
    <cfRule type="cellIs" dxfId="126" priority="6" operator="between">
      <formula>6</formula>
      <formula>9</formula>
    </cfRule>
  </conditionalFormatting>
  <conditionalFormatting sqref="L7:L19">
    <cfRule type="cellIs" dxfId="125" priority="1" operator="between">
      <formula>1</formula>
      <formula>3</formula>
    </cfRule>
    <cfRule type="cellIs" dxfId="124" priority="2" operator="equal">
      <formula>4</formula>
    </cfRule>
    <cfRule type="cellIs" dxfId="123" priority="3" operator="between">
      <formula>6</formula>
      <formula>9</formula>
    </cfRule>
  </conditionalFormatting>
  <pageMargins left="0" right="0" top="0.59055118110236227" bottom="0" header="0.31496062992125984" footer="0"/>
  <pageSetup paperSize="9" scale="4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4F1F-CFE3-42C8-A1AC-25703AFBCF7B}">
  <sheetPr>
    <tabColor rgb="FF0000FF"/>
    <pageSetUpPr fitToPage="1"/>
  </sheetPr>
  <dimension ref="A2:L23"/>
  <sheetViews>
    <sheetView showGridLines="0" zoomScale="70" zoomScaleNormal="70" zoomScaleSheetLayoutView="70" workbookViewId="0">
      <selection activeCell="E20" sqref="E20"/>
    </sheetView>
  </sheetViews>
  <sheetFormatPr defaultRowHeight="16.5" x14ac:dyDescent="0.3"/>
  <cols>
    <col min="1" max="1" width="2.625" customWidth="1"/>
    <col min="2" max="4" width="14.625" customWidth="1"/>
    <col min="5" max="5" width="57.625" style="2" customWidth="1"/>
    <col min="6" max="7" width="4.75" style="1" customWidth="1"/>
    <col min="8" max="8" width="10.25" bestFit="1" customWidth="1"/>
    <col min="9" max="9" width="65.625" style="2" customWidth="1"/>
    <col min="10" max="11" width="5.625" style="1" customWidth="1"/>
    <col min="12" max="12" width="10.25" bestFit="1" customWidth="1"/>
  </cols>
  <sheetData>
    <row r="2" spans="2:12" ht="31.5" x14ac:dyDescent="0.3">
      <c r="B2" s="13" t="s">
        <v>112</v>
      </c>
    </row>
    <row r="4" spans="2:12" ht="17.25" x14ac:dyDescent="0.3">
      <c r="B4" s="12" t="s">
        <v>163</v>
      </c>
    </row>
    <row r="5" spans="2:12" ht="29.25" customHeight="1" x14ac:dyDescent="0.3">
      <c r="B5" s="54" t="s">
        <v>0</v>
      </c>
      <c r="C5" s="54" t="s">
        <v>36</v>
      </c>
      <c r="D5" s="54" t="s">
        <v>113</v>
      </c>
      <c r="E5" s="54"/>
      <c r="F5" s="55" t="s">
        <v>116</v>
      </c>
      <c r="G5" s="55"/>
      <c r="H5" s="55"/>
      <c r="I5" s="54" t="s">
        <v>35</v>
      </c>
      <c r="J5" s="55" t="s">
        <v>118</v>
      </c>
      <c r="K5" s="55"/>
      <c r="L5" s="55"/>
    </row>
    <row r="6" spans="2:12" x14ac:dyDescent="0.3">
      <c r="B6" s="54"/>
      <c r="C6" s="54"/>
      <c r="D6" s="17" t="s">
        <v>114</v>
      </c>
      <c r="E6" s="17" t="s">
        <v>115</v>
      </c>
      <c r="F6" s="18" t="s">
        <v>34</v>
      </c>
      <c r="G6" s="18" t="s">
        <v>33</v>
      </c>
      <c r="H6" s="17" t="s">
        <v>117</v>
      </c>
      <c r="I6" s="54"/>
      <c r="J6" s="18" t="s">
        <v>34</v>
      </c>
      <c r="K6" s="18" t="s">
        <v>33</v>
      </c>
      <c r="L6" s="17" t="s">
        <v>117</v>
      </c>
    </row>
    <row r="7" spans="2:12" ht="27" x14ac:dyDescent="0.3">
      <c r="B7" s="57" t="s">
        <v>164</v>
      </c>
      <c r="C7" s="57" t="s">
        <v>133</v>
      </c>
      <c r="D7" s="15" t="s">
        <v>130</v>
      </c>
      <c r="E7" s="16" t="s">
        <v>151</v>
      </c>
      <c r="F7" s="15">
        <v>3</v>
      </c>
      <c r="G7" s="15">
        <v>3</v>
      </c>
      <c r="H7" s="15">
        <f>F7*G7</f>
        <v>9</v>
      </c>
      <c r="I7" s="16" t="s">
        <v>157</v>
      </c>
      <c r="J7" s="15">
        <v>1</v>
      </c>
      <c r="K7" s="15">
        <v>3</v>
      </c>
      <c r="L7" s="15">
        <f>J7*K7</f>
        <v>3</v>
      </c>
    </row>
    <row r="8" spans="2:12" ht="27" x14ac:dyDescent="0.3">
      <c r="B8" s="57"/>
      <c r="C8" s="58"/>
      <c r="D8" s="15" t="s">
        <v>130</v>
      </c>
      <c r="E8" s="16" t="s">
        <v>152</v>
      </c>
      <c r="F8" s="15">
        <v>2</v>
      </c>
      <c r="G8" s="15">
        <v>3</v>
      </c>
      <c r="H8" s="15">
        <f>F8*G8</f>
        <v>6</v>
      </c>
      <c r="I8" s="16" t="s">
        <v>158</v>
      </c>
      <c r="J8" s="15">
        <v>1</v>
      </c>
      <c r="K8" s="15">
        <v>3</v>
      </c>
      <c r="L8" s="15">
        <f>J8*K8</f>
        <v>3</v>
      </c>
    </row>
    <row r="9" spans="2:12" ht="40.5" x14ac:dyDescent="0.3">
      <c r="B9" s="57"/>
      <c r="C9" s="58"/>
      <c r="D9" s="15" t="s">
        <v>130</v>
      </c>
      <c r="E9" s="16" t="s">
        <v>137</v>
      </c>
      <c r="F9" s="15">
        <v>3</v>
      </c>
      <c r="G9" s="15">
        <v>3</v>
      </c>
      <c r="H9" s="15">
        <f t="shared" ref="H9:H16" si="0">F9*G9</f>
        <v>9</v>
      </c>
      <c r="I9" s="16" t="s">
        <v>159</v>
      </c>
      <c r="J9" s="15">
        <v>1</v>
      </c>
      <c r="K9" s="15">
        <v>3</v>
      </c>
      <c r="L9" s="15">
        <f t="shared" ref="L9:L16" si="1">J9*K9</f>
        <v>3</v>
      </c>
    </row>
    <row r="10" spans="2:12" ht="27" x14ac:dyDescent="0.3">
      <c r="B10" s="57"/>
      <c r="C10" s="58"/>
      <c r="D10" s="15" t="s">
        <v>130</v>
      </c>
      <c r="E10" s="16" t="s">
        <v>138</v>
      </c>
      <c r="F10" s="15">
        <v>2</v>
      </c>
      <c r="G10" s="15">
        <v>3</v>
      </c>
      <c r="H10" s="15">
        <f t="shared" si="0"/>
        <v>6</v>
      </c>
      <c r="I10" s="16" t="s">
        <v>108</v>
      </c>
      <c r="J10" s="15">
        <v>1</v>
      </c>
      <c r="K10" s="15">
        <v>3</v>
      </c>
      <c r="L10" s="15">
        <f t="shared" si="1"/>
        <v>3</v>
      </c>
    </row>
    <row r="11" spans="2:12" ht="27" x14ac:dyDescent="0.3">
      <c r="B11" s="57"/>
      <c r="C11" s="58"/>
      <c r="D11" s="15" t="s">
        <v>130</v>
      </c>
      <c r="E11" s="16" t="s">
        <v>153</v>
      </c>
      <c r="F11" s="15">
        <v>2</v>
      </c>
      <c r="G11" s="15">
        <v>3</v>
      </c>
      <c r="H11" s="15">
        <f t="shared" si="0"/>
        <v>6</v>
      </c>
      <c r="I11" s="16" t="s">
        <v>160</v>
      </c>
      <c r="J11" s="15">
        <v>1</v>
      </c>
      <c r="K11" s="15">
        <v>3</v>
      </c>
      <c r="L11" s="15">
        <f t="shared" si="1"/>
        <v>3</v>
      </c>
    </row>
    <row r="12" spans="2:12" ht="27" x14ac:dyDescent="0.3">
      <c r="B12" s="57"/>
      <c r="C12" s="58"/>
      <c r="D12" s="15" t="s">
        <v>130</v>
      </c>
      <c r="E12" s="16" t="s">
        <v>154</v>
      </c>
      <c r="F12" s="15">
        <v>2</v>
      </c>
      <c r="G12" s="15">
        <v>3</v>
      </c>
      <c r="H12" s="15">
        <f t="shared" si="0"/>
        <v>6</v>
      </c>
      <c r="I12" s="16" t="s">
        <v>161</v>
      </c>
      <c r="J12" s="15">
        <v>1</v>
      </c>
      <c r="K12" s="15">
        <v>3</v>
      </c>
      <c r="L12" s="15">
        <f t="shared" si="1"/>
        <v>3</v>
      </c>
    </row>
    <row r="13" spans="2:12" ht="27" x14ac:dyDescent="0.3">
      <c r="B13" s="57"/>
      <c r="C13" s="58"/>
      <c r="D13" s="15" t="s">
        <v>130</v>
      </c>
      <c r="E13" s="16" t="s">
        <v>155</v>
      </c>
      <c r="F13" s="15">
        <v>2</v>
      </c>
      <c r="G13" s="15">
        <v>3</v>
      </c>
      <c r="H13" s="15">
        <f t="shared" si="0"/>
        <v>6</v>
      </c>
      <c r="I13" s="16" t="s">
        <v>162</v>
      </c>
      <c r="J13" s="15">
        <v>1</v>
      </c>
      <c r="K13" s="15">
        <v>3</v>
      </c>
      <c r="L13" s="15">
        <f t="shared" si="1"/>
        <v>3</v>
      </c>
    </row>
    <row r="14" spans="2:12" x14ac:dyDescent="0.3">
      <c r="B14" s="57"/>
      <c r="C14" s="58"/>
      <c r="D14" s="15" t="s">
        <v>130</v>
      </c>
      <c r="E14" s="16" t="s">
        <v>142</v>
      </c>
      <c r="F14" s="15">
        <v>2</v>
      </c>
      <c r="G14" s="15">
        <v>3</v>
      </c>
      <c r="H14" s="15">
        <f t="shared" si="0"/>
        <v>6</v>
      </c>
      <c r="I14" s="16" t="s">
        <v>148</v>
      </c>
      <c r="J14" s="15">
        <v>1</v>
      </c>
      <c r="K14" s="15">
        <v>3</v>
      </c>
      <c r="L14" s="15">
        <f t="shared" si="1"/>
        <v>3</v>
      </c>
    </row>
    <row r="15" spans="2:12" ht="27" x14ac:dyDescent="0.3">
      <c r="B15" s="57"/>
      <c r="C15" s="58"/>
      <c r="D15" s="15" t="s">
        <v>130</v>
      </c>
      <c r="E15" s="16" t="s">
        <v>143</v>
      </c>
      <c r="F15" s="15">
        <v>2</v>
      </c>
      <c r="G15" s="15">
        <v>3</v>
      </c>
      <c r="H15" s="15">
        <f t="shared" si="0"/>
        <v>6</v>
      </c>
      <c r="I15" s="16" t="s">
        <v>149</v>
      </c>
      <c r="J15" s="15">
        <v>1</v>
      </c>
      <c r="K15" s="15">
        <v>3</v>
      </c>
      <c r="L15" s="15">
        <f t="shared" si="1"/>
        <v>3</v>
      </c>
    </row>
    <row r="16" spans="2:12" ht="27" x14ac:dyDescent="0.3">
      <c r="B16" s="57"/>
      <c r="C16" s="58"/>
      <c r="D16" s="15" t="s">
        <v>61</v>
      </c>
      <c r="E16" s="16" t="s">
        <v>156</v>
      </c>
      <c r="F16" s="15">
        <v>2</v>
      </c>
      <c r="G16" s="15">
        <v>2</v>
      </c>
      <c r="H16" s="15">
        <f t="shared" si="0"/>
        <v>4</v>
      </c>
      <c r="I16" s="16" t="s">
        <v>150</v>
      </c>
      <c r="J16" s="15">
        <v>1</v>
      </c>
      <c r="K16" s="15">
        <v>2</v>
      </c>
      <c r="L16" s="15">
        <f t="shared" si="1"/>
        <v>2</v>
      </c>
    </row>
    <row r="17" spans="1:12" x14ac:dyDescent="0.3">
      <c r="B17" s="53" t="s">
        <v>2</v>
      </c>
      <c r="C17" s="5"/>
      <c r="D17" s="5"/>
      <c r="E17" s="10"/>
      <c r="F17" s="6"/>
      <c r="G17" s="6"/>
      <c r="H17" s="5"/>
      <c r="I17" s="7"/>
      <c r="J17" s="6"/>
      <c r="K17" s="6"/>
      <c r="L17" s="5"/>
    </row>
    <row r="18" spans="1:12" x14ac:dyDescent="0.3">
      <c r="B18" s="53"/>
      <c r="C18" s="5"/>
      <c r="D18" s="5"/>
      <c r="E18" s="10"/>
      <c r="F18" s="6"/>
      <c r="G18" s="6"/>
      <c r="H18" s="5"/>
      <c r="I18" s="7"/>
      <c r="J18" s="6"/>
      <c r="K18" s="6"/>
      <c r="L18" s="5"/>
    </row>
    <row r="19" spans="1:12" x14ac:dyDescent="0.3">
      <c r="B19" s="53"/>
      <c r="C19" s="5"/>
      <c r="D19" s="5"/>
      <c r="E19" s="10"/>
      <c r="F19" s="6"/>
      <c r="G19" s="6"/>
      <c r="H19" s="5"/>
      <c r="I19" s="7"/>
      <c r="J19" s="6"/>
      <c r="K19" s="6"/>
      <c r="L19" s="5"/>
    </row>
    <row r="20" spans="1:12" x14ac:dyDescent="0.3">
      <c r="B20" s="53"/>
      <c r="C20" s="5"/>
      <c r="D20" s="5"/>
      <c r="E20" s="10"/>
      <c r="F20" s="6"/>
      <c r="G20" s="6"/>
      <c r="H20" s="5"/>
      <c r="I20" s="7"/>
      <c r="J20" s="6"/>
      <c r="K20" s="6"/>
      <c r="L20" s="5"/>
    </row>
    <row r="21" spans="1:12" x14ac:dyDescent="0.3">
      <c r="I21" s="4"/>
    </row>
    <row r="22" spans="1:12" x14ac:dyDescent="0.3">
      <c r="A22" s="3"/>
      <c r="B22" s="3"/>
      <c r="C22" s="3"/>
      <c r="D22" s="3"/>
      <c r="E22" s="4"/>
    </row>
    <row r="23" spans="1:12" s="1" customFormat="1" x14ac:dyDescent="0.3">
      <c r="A23" s="3"/>
      <c r="B23" s="3"/>
      <c r="C23" s="3"/>
      <c r="D23" s="3"/>
      <c r="E23" s="4"/>
      <c r="H23"/>
      <c r="I23" s="2"/>
    </row>
  </sheetData>
  <mergeCells count="9">
    <mergeCell ref="J5:L5"/>
    <mergeCell ref="B7:B16"/>
    <mergeCell ref="C7:C16"/>
    <mergeCell ref="B17:B20"/>
    <mergeCell ref="B5:B6"/>
    <mergeCell ref="C5:C6"/>
    <mergeCell ref="D5:E5"/>
    <mergeCell ref="F5:H5"/>
    <mergeCell ref="I5:I6"/>
  </mergeCells>
  <phoneticPr fontId="1" type="noConversion"/>
  <conditionalFormatting sqref="H7:H16">
    <cfRule type="cellIs" dxfId="122" priority="4" operator="between">
      <formula>1</formula>
      <formula>3</formula>
    </cfRule>
    <cfRule type="cellIs" dxfId="121" priority="5" operator="equal">
      <formula>4</formula>
    </cfRule>
    <cfRule type="cellIs" dxfId="120" priority="6" operator="between">
      <formula>6</formula>
      <formula>9</formula>
    </cfRule>
  </conditionalFormatting>
  <conditionalFormatting sqref="L7:L16">
    <cfRule type="cellIs" dxfId="119" priority="1" operator="between">
      <formula>1</formula>
      <formula>3</formula>
    </cfRule>
    <cfRule type="cellIs" dxfId="118" priority="2" operator="equal">
      <formula>4</formula>
    </cfRule>
    <cfRule type="cellIs" dxfId="117" priority="3" operator="between">
      <formula>6</formula>
      <formula>9</formula>
    </cfRule>
  </conditionalFormatting>
  <pageMargins left="0" right="0" top="0.59055118110236227" bottom="0" header="0.31496062992125984" footer="0"/>
  <pageSetup paperSize="9" scale="6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71F30-C7D8-43EC-80EE-1EF744CF1007}">
  <sheetPr>
    <tabColor rgb="FF0000FF"/>
    <pageSetUpPr fitToPage="1"/>
  </sheetPr>
  <dimension ref="A2:L26"/>
  <sheetViews>
    <sheetView showGridLines="0" topLeftCell="B1" zoomScale="70" zoomScaleNormal="70" zoomScaleSheetLayoutView="70" workbookViewId="0">
      <selection activeCell="O13" sqref="O13"/>
    </sheetView>
  </sheetViews>
  <sheetFormatPr defaultRowHeight="16.5" x14ac:dyDescent="0.3"/>
  <cols>
    <col min="1" max="1" width="2.625" customWidth="1"/>
    <col min="2" max="4" width="14.625" customWidth="1"/>
    <col min="5" max="5" width="57.625" style="2" customWidth="1"/>
    <col min="6" max="7" width="4.75" style="1" customWidth="1"/>
    <col min="8" max="8" width="10.25" bestFit="1" customWidth="1"/>
    <col min="9" max="9" width="65.625" style="2" customWidth="1"/>
    <col min="10" max="11" width="5.625" style="1" customWidth="1"/>
    <col min="12" max="12" width="10.25" bestFit="1" customWidth="1"/>
  </cols>
  <sheetData>
    <row r="2" spans="2:12" ht="31.5" x14ac:dyDescent="0.3">
      <c r="B2" s="13" t="s">
        <v>112</v>
      </c>
    </row>
    <row r="4" spans="2:12" ht="17.25" x14ac:dyDescent="0.3">
      <c r="B4" s="12" t="s">
        <v>110</v>
      </c>
    </row>
    <row r="5" spans="2:12" ht="29.25" customHeight="1" x14ac:dyDescent="0.3">
      <c r="B5" s="54" t="s">
        <v>0</v>
      </c>
      <c r="C5" s="54" t="s">
        <v>36</v>
      </c>
      <c r="D5" s="54" t="s">
        <v>113</v>
      </c>
      <c r="E5" s="54"/>
      <c r="F5" s="55" t="s">
        <v>116</v>
      </c>
      <c r="G5" s="55"/>
      <c r="H5" s="55"/>
      <c r="I5" s="54" t="s">
        <v>35</v>
      </c>
      <c r="J5" s="55" t="s">
        <v>118</v>
      </c>
      <c r="K5" s="55"/>
      <c r="L5" s="55"/>
    </row>
    <row r="6" spans="2:12" x14ac:dyDescent="0.3">
      <c r="B6" s="54"/>
      <c r="C6" s="54"/>
      <c r="D6" s="17" t="s">
        <v>114</v>
      </c>
      <c r="E6" s="17" t="s">
        <v>115</v>
      </c>
      <c r="F6" s="18" t="s">
        <v>34</v>
      </c>
      <c r="G6" s="18" t="s">
        <v>33</v>
      </c>
      <c r="H6" s="17" t="s">
        <v>117</v>
      </c>
      <c r="I6" s="54"/>
      <c r="J6" s="18" t="s">
        <v>34</v>
      </c>
      <c r="K6" s="18" t="s">
        <v>33</v>
      </c>
      <c r="L6" s="17" t="s">
        <v>117</v>
      </c>
    </row>
    <row r="7" spans="2:12" ht="27" x14ac:dyDescent="0.3">
      <c r="B7" s="56" t="s">
        <v>134</v>
      </c>
      <c r="C7" s="56" t="s">
        <v>133</v>
      </c>
      <c r="D7" s="15" t="s">
        <v>130</v>
      </c>
      <c r="E7" s="16" t="s">
        <v>135</v>
      </c>
      <c r="F7" s="15">
        <v>3</v>
      </c>
      <c r="G7" s="15">
        <v>3</v>
      </c>
      <c r="H7" s="15">
        <f>F7*G7</f>
        <v>9</v>
      </c>
      <c r="I7" s="16" t="s">
        <v>396</v>
      </c>
      <c r="J7" s="15">
        <v>1</v>
      </c>
      <c r="K7" s="15">
        <v>3</v>
      </c>
      <c r="L7" s="15">
        <f>J7*K7</f>
        <v>3</v>
      </c>
    </row>
    <row r="8" spans="2:12" x14ac:dyDescent="0.3">
      <c r="B8" s="56"/>
      <c r="C8" s="53"/>
      <c r="D8" s="15" t="s">
        <v>130</v>
      </c>
      <c r="E8" s="16" t="s">
        <v>136</v>
      </c>
      <c r="F8" s="15">
        <v>2</v>
      </c>
      <c r="G8" s="15">
        <v>3</v>
      </c>
      <c r="H8" s="15">
        <f>F8*G8</f>
        <v>6</v>
      </c>
      <c r="I8" s="16" t="s">
        <v>109</v>
      </c>
      <c r="J8" s="15">
        <v>1</v>
      </c>
      <c r="K8" s="15">
        <v>3</v>
      </c>
      <c r="L8" s="15">
        <f>J8*K8</f>
        <v>3</v>
      </c>
    </row>
    <row r="9" spans="2:12" ht="27" x14ac:dyDescent="0.3">
      <c r="B9" s="56"/>
      <c r="C9" s="53"/>
      <c r="D9" s="15" t="s">
        <v>130</v>
      </c>
      <c r="E9" s="16" t="s">
        <v>137</v>
      </c>
      <c r="F9" s="15">
        <v>3</v>
      </c>
      <c r="G9" s="15">
        <v>3</v>
      </c>
      <c r="H9" s="15">
        <f t="shared" ref="H9:H15" si="0">F9*G9</f>
        <v>9</v>
      </c>
      <c r="I9" s="16" t="s">
        <v>145</v>
      </c>
      <c r="J9" s="15">
        <v>1</v>
      </c>
      <c r="K9" s="15">
        <v>3</v>
      </c>
      <c r="L9" s="15">
        <f t="shared" ref="L9:L15" si="1">J9*K9</f>
        <v>3</v>
      </c>
    </row>
    <row r="10" spans="2:12" ht="27" x14ac:dyDescent="0.3">
      <c r="B10" s="56"/>
      <c r="C10" s="53"/>
      <c r="D10" s="15" t="s">
        <v>130</v>
      </c>
      <c r="E10" s="16" t="s">
        <v>138</v>
      </c>
      <c r="F10" s="15">
        <v>2</v>
      </c>
      <c r="G10" s="15">
        <v>3</v>
      </c>
      <c r="H10" s="15">
        <f t="shared" si="0"/>
        <v>6</v>
      </c>
      <c r="I10" s="16" t="s">
        <v>108</v>
      </c>
      <c r="J10" s="15">
        <v>1</v>
      </c>
      <c r="K10" s="15">
        <v>3</v>
      </c>
      <c r="L10" s="15">
        <f t="shared" si="1"/>
        <v>3</v>
      </c>
    </row>
    <row r="11" spans="2:12" ht="27" x14ac:dyDescent="0.3">
      <c r="B11" s="56"/>
      <c r="C11" s="53"/>
      <c r="D11" s="15" t="s">
        <v>130</v>
      </c>
      <c r="E11" s="16" t="s">
        <v>139</v>
      </c>
      <c r="F11" s="15">
        <v>2</v>
      </c>
      <c r="G11" s="15">
        <v>3</v>
      </c>
      <c r="H11" s="15">
        <f t="shared" si="0"/>
        <v>6</v>
      </c>
      <c r="I11" s="16" t="s">
        <v>107</v>
      </c>
      <c r="J11" s="15">
        <v>1</v>
      </c>
      <c r="K11" s="15">
        <v>3</v>
      </c>
      <c r="L11" s="15">
        <f t="shared" si="1"/>
        <v>3</v>
      </c>
    </row>
    <row r="12" spans="2:12" ht="27" x14ac:dyDescent="0.3">
      <c r="B12" s="56"/>
      <c r="C12" s="53"/>
      <c r="D12" s="15" t="s">
        <v>130</v>
      </c>
      <c r="E12" s="16" t="s">
        <v>140</v>
      </c>
      <c r="F12" s="15">
        <v>2</v>
      </c>
      <c r="G12" s="15">
        <v>3</v>
      </c>
      <c r="H12" s="15">
        <f t="shared" si="0"/>
        <v>6</v>
      </c>
      <c r="I12" s="16" t="s">
        <v>146</v>
      </c>
      <c r="J12" s="15">
        <v>1</v>
      </c>
      <c r="K12" s="15">
        <v>3</v>
      </c>
      <c r="L12" s="15">
        <f t="shared" si="1"/>
        <v>3</v>
      </c>
    </row>
    <row r="13" spans="2:12" ht="27" x14ac:dyDescent="0.3">
      <c r="B13" s="56"/>
      <c r="C13" s="53"/>
      <c r="D13" s="15" t="s">
        <v>130</v>
      </c>
      <c r="E13" s="16" t="s">
        <v>141</v>
      </c>
      <c r="F13" s="15">
        <v>2</v>
      </c>
      <c r="G13" s="15">
        <v>3</v>
      </c>
      <c r="H13" s="15">
        <f t="shared" si="0"/>
        <v>6</v>
      </c>
      <c r="I13" s="16" t="s">
        <v>147</v>
      </c>
      <c r="J13" s="15">
        <v>1</v>
      </c>
      <c r="K13" s="15">
        <v>3</v>
      </c>
      <c r="L13" s="15">
        <f t="shared" si="1"/>
        <v>3</v>
      </c>
    </row>
    <row r="14" spans="2:12" x14ac:dyDescent="0.3">
      <c r="B14" s="56"/>
      <c r="C14" s="53"/>
      <c r="D14" s="15" t="s">
        <v>130</v>
      </c>
      <c r="E14" s="16" t="s">
        <v>142</v>
      </c>
      <c r="F14" s="15">
        <v>2</v>
      </c>
      <c r="G14" s="15">
        <v>3</v>
      </c>
      <c r="H14" s="15">
        <f t="shared" si="0"/>
        <v>6</v>
      </c>
      <c r="I14" s="16" t="s">
        <v>148</v>
      </c>
      <c r="J14" s="15">
        <v>1</v>
      </c>
      <c r="K14" s="15">
        <v>3</v>
      </c>
      <c r="L14" s="15">
        <f t="shared" si="1"/>
        <v>3</v>
      </c>
    </row>
    <row r="15" spans="2:12" ht="27" x14ac:dyDescent="0.3">
      <c r="B15" s="56"/>
      <c r="C15" s="53"/>
      <c r="D15" s="15" t="s">
        <v>130</v>
      </c>
      <c r="E15" s="16" t="s">
        <v>143</v>
      </c>
      <c r="F15" s="15">
        <v>2</v>
      </c>
      <c r="G15" s="15">
        <v>3</v>
      </c>
      <c r="H15" s="15">
        <f t="shared" si="0"/>
        <v>6</v>
      </c>
      <c r="I15" s="16" t="s">
        <v>149</v>
      </c>
      <c r="J15" s="15">
        <v>1</v>
      </c>
      <c r="K15" s="15">
        <v>3</v>
      </c>
      <c r="L15" s="15">
        <f t="shared" si="1"/>
        <v>3</v>
      </c>
    </row>
    <row r="16" spans="2:12" ht="27" x14ac:dyDescent="0.3">
      <c r="B16" s="56"/>
      <c r="C16" s="53"/>
      <c r="D16" s="15" t="s">
        <v>61</v>
      </c>
      <c r="E16" s="16" t="s">
        <v>144</v>
      </c>
      <c r="F16" s="15">
        <v>2</v>
      </c>
      <c r="G16" s="15">
        <v>2</v>
      </c>
      <c r="H16" s="15">
        <f>F16*G16</f>
        <v>4</v>
      </c>
      <c r="I16" s="16" t="s">
        <v>150</v>
      </c>
      <c r="J16" s="15">
        <v>1</v>
      </c>
      <c r="K16" s="15">
        <v>2</v>
      </c>
      <c r="L16" s="15">
        <f>J16*K16</f>
        <v>2</v>
      </c>
    </row>
    <row r="17" spans="1:12" ht="27" x14ac:dyDescent="0.3">
      <c r="B17" s="56"/>
      <c r="C17" s="53"/>
      <c r="D17" s="15" t="s">
        <v>439</v>
      </c>
      <c r="E17" s="16" t="s">
        <v>440</v>
      </c>
      <c r="F17" s="15">
        <v>3</v>
      </c>
      <c r="G17" s="15">
        <v>3</v>
      </c>
      <c r="H17" s="15">
        <f>F17*G17</f>
        <v>9</v>
      </c>
      <c r="I17" s="16" t="s">
        <v>441</v>
      </c>
      <c r="J17" s="15">
        <v>1</v>
      </c>
      <c r="K17" s="15">
        <v>3</v>
      </c>
      <c r="L17" s="15">
        <f>J17*K17</f>
        <v>3</v>
      </c>
    </row>
    <row r="18" spans="1:12" ht="27" x14ac:dyDescent="0.3">
      <c r="B18" s="56"/>
      <c r="C18" s="53"/>
      <c r="D18" s="15" t="s">
        <v>442</v>
      </c>
      <c r="E18" s="16" t="s">
        <v>443</v>
      </c>
      <c r="F18" s="15">
        <v>2</v>
      </c>
      <c r="G18" s="15">
        <v>3</v>
      </c>
      <c r="H18" s="15">
        <f>F18*G18</f>
        <v>6</v>
      </c>
      <c r="I18" s="16" t="s">
        <v>444</v>
      </c>
      <c r="J18" s="15">
        <v>1</v>
      </c>
      <c r="K18" s="15">
        <v>3</v>
      </c>
      <c r="L18" s="15">
        <f>J18*K18</f>
        <v>3</v>
      </c>
    </row>
    <row r="19" spans="1:12" ht="27" x14ac:dyDescent="0.3">
      <c r="B19" s="56"/>
      <c r="C19" s="53"/>
      <c r="D19" s="15" t="s">
        <v>130</v>
      </c>
      <c r="E19" s="16" t="s">
        <v>446</v>
      </c>
      <c r="F19" s="15">
        <v>3</v>
      </c>
      <c r="G19" s="15">
        <v>3</v>
      </c>
      <c r="H19" s="15">
        <f>F19*G19</f>
        <v>9</v>
      </c>
      <c r="I19" s="16" t="s">
        <v>445</v>
      </c>
      <c r="J19" s="15">
        <v>1</v>
      </c>
      <c r="K19" s="15">
        <v>3</v>
      </c>
      <c r="L19" s="15">
        <f>J19*K19</f>
        <v>3</v>
      </c>
    </row>
    <row r="20" spans="1:12" x14ac:dyDescent="0.3">
      <c r="B20" s="53" t="s">
        <v>2</v>
      </c>
      <c r="C20" s="5"/>
      <c r="D20" s="5"/>
      <c r="E20" s="10"/>
      <c r="F20" s="6"/>
      <c r="G20" s="6"/>
      <c r="H20" s="5"/>
      <c r="I20" s="7"/>
      <c r="J20" s="6"/>
      <c r="K20" s="6"/>
      <c r="L20" s="5"/>
    </row>
    <row r="21" spans="1:12" x14ac:dyDescent="0.3">
      <c r="B21" s="53"/>
      <c r="C21" s="5"/>
      <c r="D21" s="5"/>
      <c r="E21" s="10"/>
      <c r="F21" s="6"/>
      <c r="G21" s="6"/>
      <c r="H21" s="5"/>
      <c r="I21" s="7"/>
      <c r="J21" s="6"/>
      <c r="K21" s="6"/>
      <c r="L21" s="5"/>
    </row>
    <row r="22" spans="1:12" x14ac:dyDescent="0.3">
      <c r="B22" s="53"/>
      <c r="C22" s="5"/>
      <c r="D22" s="5"/>
      <c r="E22" s="10"/>
      <c r="F22" s="6"/>
      <c r="G22" s="6"/>
      <c r="H22" s="5"/>
      <c r="I22" s="7"/>
      <c r="J22" s="6"/>
      <c r="K22" s="6"/>
      <c r="L22" s="5"/>
    </row>
    <row r="23" spans="1:12" x14ac:dyDescent="0.3">
      <c r="B23" s="53"/>
      <c r="C23" s="5"/>
      <c r="D23" s="5"/>
      <c r="E23" s="10"/>
      <c r="F23" s="6"/>
      <c r="G23" s="6"/>
      <c r="H23" s="5"/>
      <c r="I23" s="7"/>
      <c r="J23" s="6"/>
      <c r="K23" s="6"/>
      <c r="L23" s="5"/>
    </row>
    <row r="24" spans="1:12" x14ac:dyDescent="0.3">
      <c r="I24" s="4"/>
    </row>
    <row r="25" spans="1:12" x14ac:dyDescent="0.3">
      <c r="A25" s="3"/>
      <c r="B25" s="3"/>
      <c r="C25" s="3"/>
      <c r="D25" s="3"/>
      <c r="E25" s="4"/>
    </row>
    <row r="26" spans="1:12" s="1" customFormat="1" x14ac:dyDescent="0.3">
      <c r="A26" s="3"/>
      <c r="B26" s="3"/>
      <c r="C26" s="3"/>
      <c r="D26" s="3"/>
      <c r="E26" s="4"/>
      <c r="H26"/>
      <c r="I26" s="2"/>
    </row>
  </sheetData>
  <mergeCells count="9">
    <mergeCell ref="J5:L5"/>
    <mergeCell ref="B7:B19"/>
    <mergeCell ref="C7:C19"/>
    <mergeCell ref="B20:B23"/>
    <mergeCell ref="B5:B6"/>
    <mergeCell ref="C5:C6"/>
    <mergeCell ref="D5:E5"/>
    <mergeCell ref="F5:H5"/>
    <mergeCell ref="I5:I6"/>
  </mergeCells>
  <phoneticPr fontId="1" type="noConversion"/>
  <conditionalFormatting sqref="H7:H15 H17:H19">
    <cfRule type="cellIs" dxfId="116" priority="10" operator="between">
      <formula>1</formula>
      <formula>3</formula>
    </cfRule>
    <cfRule type="cellIs" dxfId="115" priority="11" operator="equal">
      <formula>4</formula>
    </cfRule>
    <cfRule type="cellIs" dxfId="114" priority="12" operator="between">
      <formula>6</formula>
      <formula>9</formula>
    </cfRule>
  </conditionalFormatting>
  <conditionalFormatting sqref="L7:L15 L17:L19">
    <cfRule type="cellIs" dxfId="113" priority="7" operator="between">
      <formula>1</formula>
      <formula>3</formula>
    </cfRule>
    <cfRule type="cellIs" dxfId="112" priority="8" operator="equal">
      <formula>4</formula>
    </cfRule>
    <cfRule type="cellIs" dxfId="111" priority="9" operator="between">
      <formula>6</formula>
      <formula>9</formula>
    </cfRule>
  </conditionalFormatting>
  <conditionalFormatting sqref="H16">
    <cfRule type="cellIs" dxfId="110" priority="4" operator="between">
      <formula>1</formula>
      <formula>3</formula>
    </cfRule>
    <cfRule type="cellIs" dxfId="109" priority="5" operator="equal">
      <formula>4</formula>
    </cfRule>
    <cfRule type="cellIs" dxfId="108" priority="6" operator="between">
      <formula>6</formula>
      <formula>9</formula>
    </cfRule>
  </conditionalFormatting>
  <conditionalFormatting sqref="L16">
    <cfRule type="cellIs" dxfId="107" priority="1" operator="between">
      <formula>1</formula>
      <formula>3</formula>
    </cfRule>
    <cfRule type="cellIs" dxfId="106" priority="2" operator="equal">
      <formula>4</formula>
    </cfRule>
    <cfRule type="cellIs" dxfId="105" priority="3" operator="between">
      <formula>6</formula>
      <formula>9</formula>
    </cfRule>
  </conditionalFormatting>
  <pageMargins left="0" right="0" top="0.59055118110236227" bottom="0" header="0.31496062992125984" footer="0"/>
  <pageSetup paperSize="9" scale="6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6769F-46A7-468F-B327-24B6FE6B10C1}">
  <sheetPr>
    <tabColor rgb="FF0000FF"/>
    <pageSetUpPr fitToPage="1"/>
  </sheetPr>
  <dimension ref="A2:L24"/>
  <sheetViews>
    <sheetView showGridLines="0" zoomScale="70" zoomScaleNormal="70" zoomScaleSheetLayoutView="70" workbookViewId="0">
      <selection activeCell="H2" sqref="H2"/>
    </sheetView>
  </sheetViews>
  <sheetFormatPr defaultRowHeight="16.5" x14ac:dyDescent="0.3"/>
  <cols>
    <col min="1" max="1" width="2.625" customWidth="1"/>
    <col min="2" max="4" width="14.625" customWidth="1"/>
    <col min="5" max="5" width="57.625" style="2" customWidth="1"/>
    <col min="6" max="7" width="4.75" style="1" customWidth="1"/>
    <col min="8" max="8" width="10.25" bestFit="1" customWidth="1"/>
    <col min="9" max="9" width="65.625" style="2" customWidth="1"/>
    <col min="10" max="11" width="5.625" style="1" customWidth="1"/>
    <col min="12" max="12" width="10.25" bestFit="1" customWidth="1"/>
  </cols>
  <sheetData>
    <row r="2" spans="2:12" ht="31.5" x14ac:dyDescent="0.3">
      <c r="B2" s="13" t="s">
        <v>112</v>
      </c>
    </row>
    <row r="4" spans="2:12" ht="17.25" x14ac:dyDescent="0.3">
      <c r="B4" s="12" t="s">
        <v>40</v>
      </c>
    </row>
    <row r="5" spans="2:12" ht="29.25" customHeight="1" x14ac:dyDescent="0.3">
      <c r="B5" s="54" t="s">
        <v>0</v>
      </c>
      <c r="C5" s="54" t="s">
        <v>36</v>
      </c>
      <c r="D5" s="54" t="s">
        <v>113</v>
      </c>
      <c r="E5" s="54"/>
      <c r="F5" s="55" t="s">
        <v>116</v>
      </c>
      <c r="G5" s="55"/>
      <c r="H5" s="55"/>
      <c r="I5" s="54" t="s">
        <v>35</v>
      </c>
      <c r="J5" s="55" t="s">
        <v>118</v>
      </c>
      <c r="K5" s="55"/>
      <c r="L5" s="55"/>
    </row>
    <row r="6" spans="2:12" x14ac:dyDescent="0.3">
      <c r="B6" s="54"/>
      <c r="C6" s="54"/>
      <c r="D6" s="17" t="s">
        <v>114</v>
      </c>
      <c r="E6" s="17" t="s">
        <v>115</v>
      </c>
      <c r="F6" s="18" t="s">
        <v>34</v>
      </c>
      <c r="G6" s="18" t="s">
        <v>33</v>
      </c>
      <c r="H6" s="17" t="s">
        <v>117</v>
      </c>
      <c r="I6" s="54"/>
      <c r="J6" s="18" t="s">
        <v>34</v>
      </c>
      <c r="K6" s="18" t="s">
        <v>33</v>
      </c>
      <c r="L6" s="17" t="s">
        <v>117</v>
      </c>
    </row>
    <row r="7" spans="2:12" ht="27" x14ac:dyDescent="0.3">
      <c r="B7" s="59" t="s">
        <v>165</v>
      </c>
      <c r="C7" s="57" t="s">
        <v>166</v>
      </c>
      <c r="D7" s="15" t="s">
        <v>130</v>
      </c>
      <c r="E7" s="16" t="s">
        <v>167</v>
      </c>
      <c r="F7" s="15">
        <v>2</v>
      </c>
      <c r="G7" s="15">
        <v>3</v>
      </c>
      <c r="H7" s="15">
        <f>F7*G7</f>
        <v>6</v>
      </c>
      <c r="I7" s="16" t="s">
        <v>178</v>
      </c>
      <c r="J7" s="15">
        <v>1</v>
      </c>
      <c r="K7" s="15">
        <v>3</v>
      </c>
      <c r="L7" s="15">
        <f>J7*K7</f>
        <v>3</v>
      </c>
    </row>
    <row r="8" spans="2:12" ht="40.5" x14ac:dyDescent="0.3">
      <c r="B8" s="60"/>
      <c r="C8" s="57"/>
      <c r="D8" s="9" t="s">
        <v>4</v>
      </c>
      <c r="E8" s="8" t="s">
        <v>168</v>
      </c>
      <c r="F8" s="27">
        <v>2</v>
      </c>
      <c r="G8" s="27">
        <v>3</v>
      </c>
      <c r="H8" s="15">
        <f>F8*G8</f>
        <v>6</v>
      </c>
      <c r="I8" s="28" t="s">
        <v>179</v>
      </c>
      <c r="J8" s="29">
        <v>1</v>
      </c>
      <c r="K8" s="29">
        <v>3</v>
      </c>
      <c r="L8" s="15">
        <f>J8*K8</f>
        <v>3</v>
      </c>
    </row>
    <row r="9" spans="2:12" ht="27" x14ac:dyDescent="0.3">
      <c r="B9" s="60"/>
      <c r="C9" s="57"/>
      <c r="D9" s="9" t="s">
        <v>4</v>
      </c>
      <c r="E9" s="8" t="s">
        <v>169</v>
      </c>
      <c r="F9" s="27">
        <v>2</v>
      </c>
      <c r="G9" s="27">
        <v>3</v>
      </c>
      <c r="H9" s="15">
        <f t="shared" ref="H9:H17" si="0">F9*G9</f>
        <v>6</v>
      </c>
      <c r="I9" s="28" t="s">
        <v>180</v>
      </c>
      <c r="J9" s="29">
        <v>1</v>
      </c>
      <c r="K9" s="29">
        <v>3</v>
      </c>
      <c r="L9" s="15">
        <f t="shared" ref="L9:L17" si="1">J9*K9</f>
        <v>3</v>
      </c>
    </row>
    <row r="10" spans="2:12" ht="27" x14ac:dyDescent="0.3">
      <c r="B10" s="60"/>
      <c r="C10" s="57"/>
      <c r="D10" s="9" t="s">
        <v>4</v>
      </c>
      <c r="E10" s="8" t="s">
        <v>170</v>
      </c>
      <c r="F10" s="27">
        <v>2</v>
      </c>
      <c r="G10" s="27">
        <v>3</v>
      </c>
      <c r="H10" s="15">
        <f t="shared" si="0"/>
        <v>6</v>
      </c>
      <c r="I10" s="28" t="s">
        <v>181</v>
      </c>
      <c r="J10" s="29">
        <v>1</v>
      </c>
      <c r="K10" s="29">
        <v>3</v>
      </c>
      <c r="L10" s="15">
        <f t="shared" si="1"/>
        <v>3</v>
      </c>
    </row>
    <row r="11" spans="2:12" ht="27" x14ac:dyDescent="0.3">
      <c r="B11" s="60"/>
      <c r="C11" s="57"/>
      <c r="D11" s="9" t="s">
        <v>4</v>
      </c>
      <c r="E11" s="8" t="s">
        <v>171</v>
      </c>
      <c r="F11" s="27">
        <v>2</v>
      </c>
      <c r="G11" s="27">
        <v>3</v>
      </c>
      <c r="H11" s="15">
        <f t="shared" si="0"/>
        <v>6</v>
      </c>
      <c r="I11" s="28" t="s">
        <v>182</v>
      </c>
      <c r="J11" s="29">
        <v>1</v>
      </c>
      <c r="K11" s="29">
        <v>3</v>
      </c>
      <c r="L11" s="15">
        <f t="shared" si="1"/>
        <v>3</v>
      </c>
    </row>
    <row r="12" spans="2:12" ht="27" x14ac:dyDescent="0.3">
      <c r="B12" s="60"/>
      <c r="C12" s="57"/>
      <c r="D12" s="9" t="s">
        <v>4</v>
      </c>
      <c r="E12" s="8" t="s">
        <v>172</v>
      </c>
      <c r="F12" s="27">
        <v>3</v>
      </c>
      <c r="G12" s="27">
        <v>3</v>
      </c>
      <c r="H12" s="15">
        <f t="shared" si="0"/>
        <v>9</v>
      </c>
      <c r="I12" s="28" t="s">
        <v>183</v>
      </c>
      <c r="J12" s="29">
        <v>1</v>
      </c>
      <c r="K12" s="29">
        <v>3</v>
      </c>
      <c r="L12" s="15">
        <f t="shared" si="1"/>
        <v>3</v>
      </c>
    </row>
    <row r="13" spans="2:12" x14ac:dyDescent="0.3">
      <c r="B13" s="60"/>
      <c r="C13" s="57"/>
      <c r="D13" s="9" t="s">
        <v>4</v>
      </c>
      <c r="E13" s="8" t="s">
        <v>173</v>
      </c>
      <c r="F13" s="27">
        <v>2</v>
      </c>
      <c r="G13" s="27">
        <v>3</v>
      </c>
      <c r="H13" s="15">
        <f t="shared" si="0"/>
        <v>6</v>
      </c>
      <c r="I13" s="28" t="s">
        <v>184</v>
      </c>
      <c r="J13" s="29">
        <v>1</v>
      </c>
      <c r="K13" s="29">
        <v>3</v>
      </c>
      <c r="L13" s="15">
        <f t="shared" si="1"/>
        <v>3</v>
      </c>
    </row>
    <row r="14" spans="2:12" ht="27" x14ac:dyDescent="0.3">
      <c r="B14" s="60"/>
      <c r="C14" s="57"/>
      <c r="D14" s="9" t="s">
        <v>26</v>
      </c>
      <c r="E14" s="8" t="s">
        <v>174</v>
      </c>
      <c r="F14" s="27">
        <v>2</v>
      </c>
      <c r="G14" s="27">
        <v>2</v>
      </c>
      <c r="H14" s="15">
        <f t="shared" si="0"/>
        <v>4</v>
      </c>
      <c r="I14" s="28" t="s">
        <v>185</v>
      </c>
      <c r="J14" s="29">
        <v>1</v>
      </c>
      <c r="K14" s="29">
        <v>2</v>
      </c>
      <c r="L14" s="15">
        <f t="shared" si="1"/>
        <v>2</v>
      </c>
    </row>
    <row r="15" spans="2:12" ht="27" x14ac:dyDescent="0.3">
      <c r="B15" s="60"/>
      <c r="C15" s="57"/>
      <c r="D15" s="9" t="s">
        <v>26</v>
      </c>
      <c r="E15" s="8" t="s">
        <v>175</v>
      </c>
      <c r="F15" s="27">
        <v>2</v>
      </c>
      <c r="G15" s="27">
        <v>2</v>
      </c>
      <c r="H15" s="15">
        <f t="shared" si="0"/>
        <v>4</v>
      </c>
      <c r="I15" s="28" t="s">
        <v>186</v>
      </c>
      <c r="J15" s="29">
        <v>1</v>
      </c>
      <c r="K15" s="29">
        <v>3</v>
      </c>
      <c r="L15" s="15">
        <f t="shared" si="1"/>
        <v>3</v>
      </c>
    </row>
    <row r="16" spans="2:12" ht="27" x14ac:dyDescent="0.3">
      <c r="B16" s="60"/>
      <c r="C16" s="57"/>
      <c r="D16" s="9" t="s">
        <v>39</v>
      </c>
      <c r="E16" s="8" t="s">
        <v>176</v>
      </c>
      <c r="F16" s="27">
        <v>3</v>
      </c>
      <c r="G16" s="27">
        <v>3</v>
      </c>
      <c r="H16" s="15">
        <f t="shared" si="0"/>
        <v>9</v>
      </c>
      <c r="I16" s="28" t="s">
        <v>187</v>
      </c>
      <c r="J16" s="29">
        <v>1</v>
      </c>
      <c r="K16" s="29">
        <v>3</v>
      </c>
      <c r="L16" s="15">
        <f t="shared" si="1"/>
        <v>3</v>
      </c>
    </row>
    <row r="17" spans="1:12" ht="27" x14ac:dyDescent="0.3">
      <c r="B17" s="61"/>
      <c r="C17" s="57"/>
      <c r="D17" s="9" t="s">
        <v>38</v>
      </c>
      <c r="E17" s="8" t="s">
        <v>177</v>
      </c>
      <c r="F17" s="27">
        <v>2</v>
      </c>
      <c r="G17" s="27">
        <v>3</v>
      </c>
      <c r="H17" s="15">
        <f t="shared" si="0"/>
        <v>6</v>
      </c>
      <c r="I17" s="28" t="s">
        <v>37</v>
      </c>
      <c r="J17" s="29">
        <v>1</v>
      </c>
      <c r="K17" s="29">
        <v>3</v>
      </c>
      <c r="L17" s="15">
        <f t="shared" si="1"/>
        <v>3</v>
      </c>
    </row>
    <row r="18" spans="1:12" ht="20.25" x14ac:dyDescent="0.3">
      <c r="B18" s="53" t="s">
        <v>2</v>
      </c>
      <c r="C18" s="14"/>
      <c r="D18" s="23"/>
      <c r="E18" s="24"/>
      <c r="F18" s="25"/>
      <c r="G18" s="25"/>
      <c r="H18" s="14"/>
      <c r="I18" s="26"/>
      <c r="J18" s="25"/>
      <c r="K18" s="25"/>
      <c r="L18" s="14"/>
    </row>
    <row r="19" spans="1:12" x14ac:dyDescent="0.3">
      <c r="B19" s="53"/>
      <c r="C19" s="5"/>
      <c r="D19" s="5"/>
      <c r="E19" s="10"/>
      <c r="F19" s="6"/>
      <c r="G19" s="6"/>
      <c r="H19" s="5"/>
      <c r="I19" s="7"/>
      <c r="J19" s="6"/>
      <c r="K19" s="6"/>
      <c r="L19" s="5"/>
    </row>
    <row r="20" spans="1:12" x14ac:dyDescent="0.3">
      <c r="B20" s="53"/>
      <c r="C20" s="5"/>
      <c r="D20" s="5"/>
      <c r="E20" s="10"/>
      <c r="F20" s="6"/>
      <c r="G20" s="6"/>
      <c r="H20" s="5"/>
      <c r="I20" s="7"/>
      <c r="J20" s="6"/>
      <c r="K20" s="6"/>
      <c r="L20" s="5"/>
    </row>
    <row r="21" spans="1:12" x14ac:dyDescent="0.3">
      <c r="B21" s="53"/>
      <c r="C21" s="5"/>
      <c r="D21" s="5"/>
      <c r="E21" s="10"/>
      <c r="F21" s="6"/>
      <c r="G21" s="6"/>
      <c r="H21" s="5"/>
      <c r="I21" s="7"/>
      <c r="J21" s="6"/>
      <c r="K21" s="6"/>
      <c r="L21" s="5"/>
    </row>
    <row r="22" spans="1:12" x14ac:dyDescent="0.3">
      <c r="I22" s="4"/>
    </row>
    <row r="23" spans="1:12" x14ac:dyDescent="0.3">
      <c r="A23" s="3"/>
      <c r="B23" s="3"/>
      <c r="C23" s="3"/>
      <c r="D23" s="3"/>
      <c r="E23" s="4"/>
    </row>
    <row r="24" spans="1:12" s="1" customFormat="1" x14ac:dyDescent="0.3">
      <c r="A24" s="3"/>
      <c r="B24" s="3"/>
      <c r="C24" s="3"/>
      <c r="D24" s="3"/>
      <c r="E24" s="4"/>
      <c r="H24"/>
      <c r="I24" s="2"/>
    </row>
  </sheetData>
  <mergeCells count="9">
    <mergeCell ref="J5:L5"/>
    <mergeCell ref="B18:B21"/>
    <mergeCell ref="B7:B17"/>
    <mergeCell ref="C7:C17"/>
    <mergeCell ref="B5:B6"/>
    <mergeCell ref="C5:C6"/>
    <mergeCell ref="D5:E5"/>
    <mergeCell ref="F5:H5"/>
    <mergeCell ref="I5:I6"/>
  </mergeCells>
  <phoneticPr fontId="1" type="noConversion"/>
  <conditionalFormatting sqref="H7:H17">
    <cfRule type="cellIs" dxfId="104" priority="4" operator="between">
      <formula>1</formula>
      <formula>3</formula>
    </cfRule>
    <cfRule type="cellIs" dxfId="103" priority="5" operator="equal">
      <formula>4</formula>
    </cfRule>
    <cfRule type="cellIs" dxfId="102" priority="6" operator="between">
      <formula>6</formula>
      <formula>9</formula>
    </cfRule>
  </conditionalFormatting>
  <conditionalFormatting sqref="L7:L17">
    <cfRule type="cellIs" dxfId="101" priority="1" operator="between">
      <formula>1</formula>
      <formula>3</formula>
    </cfRule>
    <cfRule type="cellIs" dxfId="100" priority="2" operator="equal">
      <formula>4</formula>
    </cfRule>
    <cfRule type="cellIs" dxfId="99" priority="3" operator="between">
      <formula>6</formula>
      <formula>9</formula>
    </cfRule>
  </conditionalFormatting>
  <pageMargins left="0" right="0" top="0.59055118110236227" bottom="0" header="0.31496062992125984" footer="0"/>
  <pageSetup paperSize="9" scale="6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EEEBA-9542-479C-8F25-0D7A0F53989B}">
  <sheetPr>
    <tabColor rgb="FF0000FF"/>
    <pageSetUpPr fitToPage="1"/>
  </sheetPr>
  <dimension ref="A2:L25"/>
  <sheetViews>
    <sheetView showGridLines="0" zoomScale="70" zoomScaleNormal="70" zoomScaleSheetLayoutView="70" workbookViewId="0">
      <selection activeCell="C19" sqref="C19"/>
    </sheetView>
  </sheetViews>
  <sheetFormatPr defaultRowHeight="16.5" x14ac:dyDescent="0.3"/>
  <cols>
    <col min="1" max="1" width="2.625" customWidth="1"/>
    <col min="2" max="4" width="14.625" customWidth="1"/>
    <col min="5" max="5" width="57.625" style="2" customWidth="1"/>
    <col min="6" max="7" width="4.75" style="1" customWidth="1"/>
    <col min="8" max="8" width="10.25" bestFit="1" customWidth="1"/>
    <col min="9" max="9" width="65.625" style="2" customWidth="1"/>
    <col min="10" max="11" width="5.625" style="1" customWidth="1"/>
    <col min="12" max="12" width="10.25" bestFit="1" customWidth="1"/>
  </cols>
  <sheetData>
    <row r="2" spans="2:12" ht="31.5" x14ac:dyDescent="0.3">
      <c r="B2" s="13" t="s">
        <v>112</v>
      </c>
    </row>
    <row r="4" spans="2:12" ht="17.25" x14ac:dyDescent="0.3">
      <c r="B4" s="12" t="s">
        <v>339</v>
      </c>
    </row>
    <row r="5" spans="2:12" ht="29.25" customHeight="1" x14ac:dyDescent="0.3">
      <c r="B5" s="54" t="s">
        <v>0</v>
      </c>
      <c r="C5" s="54" t="s">
        <v>36</v>
      </c>
      <c r="D5" s="54" t="s">
        <v>113</v>
      </c>
      <c r="E5" s="54"/>
      <c r="F5" s="55" t="s">
        <v>116</v>
      </c>
      <c r="G5" s="55"/>
      <c r="H5" s="55"/>
      <c r="I5" s="54" t="s">
        <v>35</v>
      </c>
      <c r="J5" s="55" t="s">
        <v>118</v>
      </c>
      <c r="K5" s="55"/>
      <c r="L5" s="55"/>
    </row>
    <row r="6" spans="2:12" x14ac:dyDescent="0.3">
      <c r="B6" s="54"/>
      <c r="C6" s="54"/>
      <c r="D6" s="36" t="s">
        <v>114</v>
      </c>
      <c r="E6" s="36" t="s">
        <v>115</v>
      </c>
      <c r="F6" s="37" t="s">
        <v>34</v>
      </c>
      <c r="G6" s="37" t="s">
        <v>33</v>
      </c>
      <c r="H6" s="36" t="s">
        <v>117</v>
      </c>
      <c r="I6" s="54"/>
      <c r="J6" s="37" t="s">
        <v>34</v>
      </c>
      <c r="K6" s="37" t="s">
        <v>33</v>
      </c>
      <c r="L6" s="36" t="s">
        <v>117</v>
      </c>
    </row>
    <row r="7" spans="2:12" x14ac:dyDescent="0.3">
      <c r="B7" s="59" t="s">
        <v>339</v>
      </c>
      <c r="C7" s="57" t="s">
        <v>340</v>
      </c>
      <c r="D7" s="15" t="s">
        <v>61</v>
      </c>
      <c r="E7" s="16" t="s">
        <v>314</v>
      </c>
      <c r="F7" s="15">
        <v>2</v>
      </c>
      <c r="G7" s="15">
        <v>3</v>
      </c>
      <c r="H7" s="15">
        <f>F7*G7</f>
        <v>6</v>
      </c>
      <c r="I7" s="16" t="s">
        <v>327</v>
      </c>
      <c r="J7" s="15">
        <v>2</v>
      </c>
      <c r="K7" s="15">
        <v>2</v>
      </c>
      <c r="L7" s="15">
        <f>J7*K7</f>
        <v>4</v>
      </c>
    </row>
    <row r="8" spans="2:12" x14ac:dyDescent="0.3">
      <c r="B8" s="60"/>
      <c r="C8" s="57"/>
      <c r="D8" s="9" t="s">
        <v>61</v>
      </c>
      <c r="E8" s="8" t="s">
        <v>317</v>
      </c>
      <c r="F8" s="27">
        <v>2</v>
      </c>
      <c r="G8" s="27">
        <v>3</v>
      </c>
      <c r="H8" s="15">
        <f>F8*G8</f>
        <v>6</v>
      </c>
      <c r="I8" s="28" t="s">
        <v>328</v>
      </c>
      <c r="J8" s="29">
        <v>1</v>
      </c>
      <c r="K8" s="29">
        <v>2</v>
      </c>
      <c r="L8" s="15">
        <f>J8*K8</f>
        <v>2</v>
      </c>
    </row>
    <row r="9" spans="2:12" ht="27" x14ac:dyDescent="0.3">
      <c r="B9" s="60"/>
      <c r="C9" s="57"/>
      <c r="D9" s="9" t="s">
        <v>38</v>
      </c>
      <c r="E9" s="8" t="s">
        <v>316</v>
      </c>
      <c r="F9" s="27">
        <v>2</v>
      </c>
      <c r="G9" s="27">
        <v>3</v>
      </c>
      <c r="H9" s="15">
        <f t="shared" ref="H9:H18" si="0">F9*G9</f>
        <v>6</v>
      </c>
      <c r="I9" s="28" t="s">
        <v>329</v>
      </c>
      <c r="J9" s="29">
        <v>2</v>
      </c>
      <c r="K9" s="29">
        <v>2</v>
      </c>
      <c r="L9" s="15">
        <f t="shared" ref="L9:L18" si="1">J9*K9</f>
        <v>4</v>
      </c>
    </row>
    <row r="10" spans="2:12" ht="27" x14ac:dyDescent="0.3">
      <c r="B10" s="60"/>
      <c r="C10" s="57"/>
      <c r="D10" s="9" t="s">
        <v>239</v>
      </c>
      <c r="E10" s="8" t="s">
        <v>315</v>
      </c>
      <c r="F10" s="27">
        <v>2</v>
      </c>
      <c r="G10" s="27">
        <v>3</v>
      </c>
      <c r="H10" s="15">
        <f t="shared" si="0"/>
        <v>6</v>
      </c>
      <c r="I10" s="28" t="s">
        <v>330</v>
      </c>
      <c r="J10" s="29">
        <v>2</v>
      </c>
      <c r="K10" s="29">
        <v>2</v>
      </c>
      <c r="L10" s="15">
        <f t="shared" si="1"/>
        <v>4</v>
      </c>
    </row>
    <row r="11" spans="2:12" x14ac:dyDescent="0.3">
      <c r="B11" s="60"/>
      <c r="C11" s="57"/>
      <c r="D11" s="9" t="s">
        <v>61</v>
      </c>
      <c r="E11" s="8" t="s">
        <v>318</v>
      </c>
      <c r="F11" s="27">
        <v>2</v>
      </c>
      <c r="G11" s="27">
        <v>3</v>
      </c>
      <c r="H11" s="15">
        <f t="shared" si="0"/>
        <v>6</v>
      </c>
      <c r="I11" s="28" t="s">
        <v>331</v>
      </c>
      <c r="J11" s="29">
        <v>2</v>
      </c>
      <c r="K11" s="29">
        <v>2</v>
      </c>
      <c r="L11" s="15">
        <f t="shared" si="1"/>
        <v>4</v>
      </c>
    </row>
    <row r="12" spans="2:12" x14ac:dyDescent="0.3">
      <c r="B12" s="60"/>
      <c r="C12" s="57"/>
      <c r="D12" s="9" t="s">
        <v>61</v>
      </c>
      <c r="E12" s="8" t="s">
        <v>326</v>
      </c>
      <c r="F12" s="27">
        <v>2</v>
      </c>
      <c r="G12" s="27">
        <v>3</v>
      </c>
      <c r="H12" s="15">
        <f t="shared" si="0"/>
        <v>6</v>
      </c>
      <c r="I12" s="28" t="s">
        <v>334</v>
      </c>
      <c r="J12" s="29">
        <v>2</v>
      </c>
      <c r="K12" s="29">
        <v>2</v>
      </c>
      <c r="L12" s="15">
        <f t="shared" si="1"/>
        <v>4</v>
      </c>
    </row>
    <row r="13" spans="2:12" x14ac:dyDescent="0.3">
      <c r="B13" s="60"/>
      <c r="C13" s="57"/>
      <c r="D13" s="9" t="s">
        <v>61</v>
      </c>
      <c r="E13" s="8" t="s">
        <v>319</v>
      </c>
      <c r="F13" s="27">
        <v>1</v>
      </c>
      <c r="G13" s="27">
        <v>2</v>
      </c>
      <c r="H13" s="15">
        <f t="shared" si="0"/>
        <v>2</v>
      </c>
      <c r="I13" s="28" t="s">
        <v>332</v>
      </c>
      <c r="J13" s="29">
        <v>1</v>
      </c>
      <c r="K13" s="29">
        <v>2</v>
      </c>
      <c r="L13" s="15">
        <f t="shared" si="1"/>
        <v>2</v>
      </c>
    </row>
    <row r="14" spans="2:12" x14ac:dyDescent="0.3">
      <c r="B14" s="60"/>
      <c r="C14" s="57"/>
      <c r="D14" s="9" t="s">
        <v>239</v>
      </c>
      <c r="E14" s="8" t="s">
        <v>320</v>
      </c>
      <c r="F14" s="27">
        <v>2</v>
      </c>
      <c r="G14" s="27">
        <v>2</v>
      </c>
      <c r="H14" s="15">
        <f t="shared" si="0"/>
        <v>4</v>
      </c>
      <c r="I14" s="28" t="s">
        <v>333</v>
      </c>
      <c r="J14" s="29">
        <v>2</v>
      </c>
      <c r="K14" s="29">
        <v>2</v>
      </c>
      <c r="L14" s="15">
        <f t="shared" si="1"/>
        <v>4</v>
      </c>
    </row>
    <row r="15" spans="2:12" x14ac:dyDescent="0.3">
      <c r="B15" s="60"/>
      <c r="C15" s="57"/>
      <c r="D15" s="9" t="s">
        <v>38</v>
      </c>
      <c r="E15" s="8" t="s">
        <v>321</v>
      </c>
      <c r="F15" s="27">
        <v>2</v>
      </c>
      <c r="G15" s="27">
        <v>2</v>
      </c>
      <c r="H15" s="15">
        <f t="shared" si="0"/>
        <v>4</v>
      </c>
      <c r="I15" s="28" t="s">
        <v>335</v>
      </c>
      <c r="J15" s="29">
        <v>1</v>
      </c>
      <c r="K15" s="29">
        <v>2</v>
      </c>
      <c r="L15" s="15">
        <f t="shared" si="1"/>
        <v>2</v>
      </c>
    </row>
    <row r="16" spans="2:12" x14ac:dyDescent="0.3">
      <c r="B16" s="60"/>
      <c r="C16" s="57"/>
      <c r="D16" s="9" t="s">
        <v>61</v>
      </c>
      <c r="E16" s="8" t="s">
        <v>322</v>
      </c>
      <c r="F16" s="27">
        <v>2</v>
      </c>
      <c r="G16" s="27">
        <v>3</v>
      </c>
      <c r="H16" s="15">
        <f t="shared" si="0"/>
        <v>6</v>
      </c>
      <c r="I16" s="28" t="s">
        <v>336</v>
      </c>
      <c r="J16" s="29">
        <v>2</v>
      </c>
      <c r="K16" s="29">
        <v>2</v>
      </c>
      <c r="L16" s="15">
        <f t="shared" si="1"/>
        <v>4</v>
      </c>
    </row>
    <row r="17" spans="1:12" ht="27" x14ac:dyDescent="0.3">
      <c r="B17" s="60"/>
      <c r="C17" s="57"/>
      <c r="D17" s="9" t="s">
        <v>38</v>
      </c>
      <c r="E17" s="8" t="s">
        <v>323</v>
      </c>
      <c r="F17" s="27">
        <v>2</v>
      </c>
      <c r="G17" s="27">
        <v>3</v>
      </c>
      <c r="H17" s="15">
        <f t="shared" si="0"/>
        <v>6</v>
      </c>
      <c r="I17" s="28" t="s">
        <v>337</v>
      </c>
      <c r="J17" s="29">
        <v>2</v>
      </c>
      <c r="K17" s="29">
        <v>2</v>
      </c>
      <c r="L17" s="15">
        <f t="shared" si="1"/>
        <v>4</v>
      </c>
    </row>
    <row r="18" spans="1:12" x14ac:dyDescent="0.3">
      <c r="B18" s="61"/>
      <c r="C18" s="57"/>
      <c r="D18" s="9" t="s">
        <v>325</v>
      </c>
      <c r="E18" s="8" t="s">
        <v>324</v>
      </c>
      <c r="F18" s="27">
        <v>2</v>
      </c>
      <c r="G18" s="27">
        <v>3</v>
      </c>
      <c r="H18" s="15">
        <f t="shared" si="0"/>
        <v>6</v>
      </c>
      <c r="I18" s="28" t="s">
        <v>338</v>
      </c>
      <c r="J18" s="29">
        <v>2</v>
      </c>
      <c r="K18" s="29">
        <v>2</v>
      </c>
      <c r="L18" s="15">
        <f t="shared" si="1"/>
        <v>4</v>
      </c>
    </row>
    <row r="19" spans="1:12" ht="20.25" x14ac:dyDescent="0.3">
      <c r="B19" s="53" t="s">
        <v>2</v>
      </c>
      <c r="C19" s="14"/>
      <c r="D19" s="23"/>
      <c r="E19" s="24"/>
      <c r="F19" s="25"/>
      <c r="G19" s="25"/>
      <c r="H19" s="14"/>
      <c r="I19" s="26"/>
      <c r="J19" s="25"/>
      <c r="K19" s="25"/>
      <c r="L19" s="14"/>
    </row>
    <row r="20" spans="1:12" x14ac:dyDescent="0.3">
      <c r="B20" s="53"/>
      <c r="C20" s="35"/>
      <c r="D20" s="35"/>
      <c r="E20" s="10"/>
      <c r="F20" s="6"/>
      <c r="G20" s="6"/>
      <c r="H20" s="35"/>
      <c r="I20" s="7"/>
      <c r="J20" s="6"/>
      <c r="K20" s="6"/>
      <c r="L20" s="35"/>
    </row>
    <row r="21" spans="1:12" x14ac:dyDescent="0.3">
      <c r="B21" s="53"/>
      <c r="C21" s="35"/>
      <c r="D21" s="35"/>
      <c r="E21" s="10"/>
      <c r="F21" s="6"/>
      <c r="G21" s="6"/>
      <c r="H21" s="35"/>
      <c r="I21" s="7"/>
      <c r="J21" s="6"/>
      <c r="K21" s="6"/>
      <c r="L21" s="35"/>
    </row>
    <row r="22" spans="1:12" x14ac:dyDescent="0.3">
      <c r="B22" s="53"/>
      <c r="C22" s="35"/>
      <c r="D22" s="35"/>
      <c r="E22" s="10"/>
      <c r="F22" s="6"/>
      <c r="G22" s="6"/>
      <c r="H22" s="35"/>
      <c r="I22" s="7"/>
      <c r="J22" s="6"/>
      <c r="K22" s="6"/>
      <c r="L22" s="35"/>
    </row>
    <row r="23" spans="1:12" x14ac:dyDescent="0.3">
      <c r="I23" s="4"/>
    </row>
    <row r="24" spans="1:12" x14ac:dyDescent="0.3">
      <c r="A24" s="3"/>
      <c r="B24" s="3"/>
      <c r="C24" s="3"/>
      <c r="D24" s="3"/>
      <c r="E24" s="4"/>
    </row>
    <row r="25" spans="1:12" s="1" customFormat="1" x14ac:dyDescent="0.3">
      <c r="A25" s="3"/>
      <c r="B25" s="3"/>
      <c r="C25" s="3"/>
      <c r="D25" s="3"/>
      <c r="E25" s="4"/>
      <c r="H25"/>
      <c r="I25" s="2"/>
    </row>
  </sheetData>
  <mergeCells count="9">
    <mergeCell ref="I5:I6"/>
    <mergeCell ref="J5:L5"/>
    <mergeCell ref="B7:B18"/>
    <mergeCell ref="C7:C18"/>
    <mergeCell ref="B19:B22"/>
    <mergeCell ref="B5:B6"/>
    <mergeCell ref="C5:C6"/>
    <mergeCell ref="D5:E5"/>
    <mergeCell ref="F5:H5"/>
  </mergeCells>
  <phoneticPr fontId="1" type="noConversion"/>
  <conditionalFormatting sqref="H7:H18">
    <cfRule type="cellIs" dxfId="98" priority="4" operator="between">
      <formula>1</formula>
      <formula>3</formula>
    </cfRule>
    <cfRule type="cellIs" dxfId="97" priority="5" operator="equal">
      <formula>4</formula>
    </cfRule>
    <cfRule type="cellIs" dxfId="96" priority="6" operator="between">
      <formula>6</formula>
      <formula>9</formula>
    </cfRule>
  </conditionalFormatting>
  <conditionalFormatting sqref="L7:L18">
    <cfRule type="cellIs" dxfId="95" priority="1" operator="between">
      <formula>1</formula>
      <formula>3</formula>
    </cfRule>
    <cfRule type="cellIs" dxfId="94" priority="2" operator="equal">
      <formula>4</formula>
    </cfRule>
    <cfRule type="cellIs" dxfId="93" priority="3" operator="between">
      <formula>6</formula>
      <formula>9</formula>
    </cfRule>
  </conditionalFormatting>
  <pageMargins left="0" right="0" top="0.59055118110236227" bottom="0" header="0.31496062992125984" footer="0"/>
  <pageSetup paperSize="9" scale="6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4481F-519E-4633-9E1D-F5EB53BBD649}">
  <sheetPr>
    <tabColor rgb="FF0000FF"/>
    <pageSetUpPr fitToPage="1"/>
  </sheetPr>
  <dimension ref="A2:L22"/>
  <sheetViews>
    <sheetView showGridLines="0" topLeftCell="A3" zoomScale="85" zoomScaleNormal="85" zoomScaleSheetLayoutView="70" workbookViewId="0">
      <selection activeCell="J14" sqref="J14"/>
    </sheetView>
  </sheetViews>
  <sheetFormatPr defaultRowHeight="16.5" x14ac:dyDescent="0.3"/>
  <cols>
    <col min="1" max="1" width="2.625" customWidth="1"/>
    <col min="2" max="4" width="14.625" customWidth="1"/>
    <col min="5" max="5" width="57.625" style="2" customWidth="1"/>
    <col min="6" max="7" width="4.75" style="1" customWidth="1"/>
    <col min="8" max="8" width="10.25" bestFit="1" customWidth="1"/>
    <col min="9" max="9" width="65.625" style="2" customWidth="1"/>
    <col min="10" max="11" width="5.625" style="1" customWidth="1"/>
    <col min="12" max="12" width="10.25" bestFit="1" customWidth="1"/>
  </cols>
  <sheetData>
    <row r="2" spans="2:12" ht="31.5" x14ac:dyDescent="0.3">
      <c r="B2" s="13" t="s">
        <v>112</v>
      </c>
    </row>
    <row r="4" spans="2:12" ht="17.25" x14ac:dyDescent="0.3">
      <c r="B4" s="12" t="s">
        <v>339</v>
      </c>
    </row>
    <row r="5" spans="2:12" ht="29.25" customHeight="1" x14ac:dyDescent="0.3">
      <c r="B5" s="54" t="s">
        <v>0</v>
      </c>
      <c r="C5" s="54" t="s">
        <v>36</v>
      </c>
      <c r="D5" s="54" t="s">
        <v>113</v>
      </c>
      <c r="E5" s="54"/>
      <c r="F5" s="55" t="s">
        <v>116</v>
      </c>
      <c r="G5" s="55"/>
      <c r="H5" s="55"/>
      <c r="I5" s="54" t="s">
        <v>35</v>
      </c>
      <c r="J5" s="55" t="s">
        <v>118</v>
      </c>
      <c r="K5" s="55"/>
      <c r="L5" s="55"/>
    </row>
    <row r="6" spans="2:12" x14ac:dyDescent="0.3">
      <c r="B6" s="54"/>
      <c r="C6" s="54"/>
      <c r="D6" s="42" t="s">
        <v>114</v>
      </c>
      <c r="E6" s="42" t="s">
        <v>115</v>
      </c>
      <c r="F6" s="43" t="s">
        <v>34</v>
      </c>
      <c r="G6" s="43" t="s">
        <v>33</v>
      </c>
      <c r="H6" s="42" t="s">
        <v>117</v>
      </c>
      <c r="I6" s="54"/>
      <c r="J6" s="43" t="s">
        <v>34</v>
      </c>
      <c r="K6" s="43" t="s">
        <v>33</v>
      </c>
      <c r="L6" s="42" t="s">
        <v>117</v>
      </c>
    </row>
    <row r="7" spans="2:12" ht="27" x14ac:dyDescent="0.3">
      <c r="B7" s="59" t="s">
        <v>397</v>
      </c>
      <c r="C7" s="57" t="s">
        <v>397</v>
      </c>
      <c r="D7" s="15" t="s">
        <v>399</v>
      </c>
      <c r="E7" s="16" t="s">
        <v>404</v>
      </c>
      <c r="F7" s="15">
        <v>2</v>
      </c>
      <c r="G7" s="15">
        <v>3</v>
      </c>
      <c r="H7" s="15">
        <f>F7*G7</f>
        <v>6</v>
      </c>
      <c r="I7" s="16" t="s">
        <v>400</v>
      </c>
      <c r="J7" s="15">
        <v>2</v>
      </c>
      <c r="K7" s="15">
        <v>2</v>
      </c>
      <c r="L7" s="15">
        <f>J7*K7</f>
        <v>4</v>
      </c>
    </row>
    <row r="8" spans="2:12" ht="27" x14ac:dyDescent="0.3">
      <c r="B8" s="60"/>
      <c r="C8" s="57"/>
      <c r="D8" s="15" t="s">
        <v>399</v>
      </c>
      <c r="E8" s="8" t="s">
        <v>405</v>
      </c>
      <c r="F8" s="27">
        <v>2</v>
      </c>
      <c r="G8" s="27">
        <v>3</v>
      </c>
      <c r="H8" s="15">
        <f>F8*G8</f>
        <v>6</v>
      </c>
      <c r="I8" s="28" t="s">
        <v>401</v>
      </c>
      <c r="J8" s="29">
        <v>2</v>
      </c>
      <c r="K8" s="29">
        <v>2</v>
      </c>
      <c r="L8" s="15">
        <f>J8*K8</f>
        <v>4</v>
      </c>
    </row>
    <row r="9" spans="2:12" x14ac:dyDescent="0.3">
      <c r="B9" s="60"/>
      <c r="C9" s="57"/>
      <c r="D9" s="15" t="s">
        <v>399</v>
      </c>
      <c r="E9" s="8" t="s">
        <v>398</v>
      </c>
      <c r="F9" s="27">
        <v>2</v>
      </c>
      <c r="G9" s="27">
        <v>3</v>
      </c>
      <c r="H9" s="15">
        <f t="shared" ref="H9:H15" si="0">F9*G9</f>
        <v>6</v>
      </c>
      <c r="I9" s="28" t="s">
        <v>402</v>
      </c>
      <c r="J9" s="29">
        <v>2</v>
      </c>
      <c r="K9" s="29">
        <v>2</v>
      </c>
      <c r="L9" s="15">
        <f t="shared" ref="L9:L15" si="1">J9*K9</f>
        <v>4</v>
      </c>
    </row>
    <row r="10" spans="2:12" x14ac:dyDescent="0.3">
      <c r="B10" s="60"/>
      <c r="C10" s="57"/>
      <c r="D10" s="15" t="s">
        <v>399</v>
      </c>
      <c r="E10" s="8" t="s">
        <v>406</v>
      </c>
      <c r="F10" s="27">
        <v>2</v>
      </c>
      <c r="G10" s="27">
        <v>2</v>
      </c>
      <c r="H10" s="15">
        <f t="shared" si="0"/>
        <v>4</v>
      </c>
      <c r="I10" s="28" t="s">
        <v>403</v>
      </c>
      <c r="J10" s="29">
        <v>2</v>
      </c>
      <c r="K10" s="29">
        <v>1</v>
      </c>
      <c r="L10" s="15">
        <f t="shared" si="1"/>
        <v>2</v>
      </c>
    </row>
    <row r="11" spans="2:12" ht="27" x14ac:dyDescent="0.3">
      <c r="B11" s="60"/>
      <c r="C11" s="57"/>
      <c r="D11" s="9" t="s">
        <v>131</v>
      </c>
      <c r="E11" s="8" t="s">
        <v>407</v>
      </c>
      <c r="F11" s="27">
        <v>2</v>
      </c>
      <c r="G11" s="27">
        <v>3</v>
      </c>
      <c r="H11" s="15">
        <f t="shared" si="0"/>
        <v>6</v>
      </c>
      <c r="I11" s="28" t="s">
        <v>412</v>
      </c>
      <c r="J11" s="29">
        <v>2</v>
      </c>
      <c r="K11" s="29">
        <v>2</v>
      </c>
      <c r="L11" s="15">
        <f t="shared" si="1"/>
        <v>4</v>
      </c>
    </row>
    <row r="12" spans="2:12" x14ac:dyDescent="0.3">
      <c r="B12" s="60"/>
      <c r="C12" s="57"/>
      <c r="D12" s="9" t="s">
        <v>131</v>
      </c>
      <c r="E12" s="8" t="s">
        <v>408</v>
      </c>
      <c r="F12" s="27">
        <v>2</v>
      </c>
      <c r="G12" s="27">
        <v>2</v>
      </c>
      <c r="H12" s="15">
        <f t="shared" si="0"/>
        <v>4</v>
      </c>
      <c r="I12" s="28" t="s">
        <v>413</v>
      </c>
      <c r="J12" s="29">
        <v>1</v>
      </c>
      <c r="K12" s="29">
        <v>2</v>
      </c>
      <c r="L12" s="15">
        <f t="shared" si="1"/>
        <v>2</v>
      </c>
    </row>
    <row r="13" spans="2:12" ht="27" x14ac:dyDescent="0.3">
      <c r="B13" s="60"/>
      <c r="C13" s="57"/>
      <c r="D13" s="9" t="s">
        <v>131</v>
      </c>
      <c r="E13" s="8" t="s">
        <v>409</v>
      </c>
      <c r="F13" s="27">
        <v>2</v>
      </c>
      <c r="G13" s="27">
        <v>2</v>
      </c>
      <c r="H13" s="15">
        <f t="shared" si="0"/>
        <v>4</v>
      </c>
      <c r="I13" s="28" t="s">
        <v>414</v>
      </c>
      <c r="J13" s="29">
        <v>1</v>
      </c>
      <c r="K13" s="29">
        <v>2</v>
      </c>
      <c r="L13" s="15">
        <f t="shared" si="1"/>
        <v>2</v>
      </c>
    </row>
    <row r="14" spans="2:12" ht="27" x14ac:dyDescent="0.3">
      <c r="B14" s="60"/>
      <c r="C14" s="57"/>
      <c r="D14" s="9" t="s">
        <v>239</v>
      </c>
      <c r="E14" s="8" t="s">
        <v>410</v>
      </c>
      <c r="F14" s="27">
        <v>3</v>
      </c>
      <c r="G14" s="27">
        <v>2</v>
      </c>
      <c r="H14" s="15">
        <f t="shared" si="0"/>
        <v>6</v>
      </c>
      <c r="I14" s="28" t="s">
        <v>415</v>
      </c>
      <c r="J14" s="29">
        <v>2</v>
      </c>
      <c r="K14" s="29">
        <v>2</v>
      </c>
      <c r="L14" s="15">
        <f t="shared" si="1"/>
        <v>4</v>
      </c>
    </row>
    <row r="15" spans="2:12" x14ac:dyDescent="0.3">
      <c r="B15" s="60"/>
      <c r="C15" s="57"/>
      <c r="D15" s="9" t="s">
        <v>221</v>
      </c>
      <c r="E15" s="8" t="s">
        <v>411</v>
      </c>
      <c r="F15" s="27">
        <v>2</v>
      </c>
      <c r="G15" s="27">
        <v>2</v>
      </c>
      <c r="H15" s="15">
        <f t="shared" si="0"/>
        <v>4</v>
      </c>
      <c r="I15" s="28" t="s">
        <v>416</v>
      </c>
      <c r="J15" s="29">
        <v>1</v>
      </c>
      <c r="K15" s="29">
        <v>2</v>
      </c>
      <c r="L15" s="15">
        <f t="shared" si="1"/>
        <v>2</v>
      </c>
    </row>
    <row r="16" spans="2:12" ht="20.25" x14ac:dyDescent="0.3">
      <c r="B16" s="53" t="s">
        <v>2</v>
      </c>
      <c r="C16" s="14"/>
      <c r="D16" s="23"/>
      <c r="E16" s="24"/>
      <c r="F16" s="25"/>
      <c r="G16" s="25"/>
      <c r="H16" s="14"/>
      <c r="I16" s="26"/>
      <c r="J16" s="25"/>
      <c r="K16" s="25"/>
      <c r="L16" s="14"/>
    </row>
    <row r="17" spans="1:12" x14ac:dyDescent="0.3">
      <c r="B17" s="53"/>
      <c r="C17" s="41"/>
      <c r="D17" s="41"/>
      <c r="E17" s="10"/>
      <c r="F17" s="6"/>
      <c r="G17" s="6"/>
      <c r="H17" s="41"/>
      <c r="I17" s="7"/>
      <c r="J17" s="6"/>
      <c r="K17" s="6"/>
      <c r="L17" s="41"/>
    </row>
    <row r="18" spans="1:12" x14ac:dyDescent="0.3">
      <c r="B18" s="53"/>
      <c r="C18" s="41"/>
      <c r="D18" s="41"/>
      <c r="E18" s="10"/>
      <c r="F18" s="6"/>
      <c r="G18" s="6"/>
      <c r="H18" s="41"/>
      <c r="I18" s="7"/>
      <c r="J18" s="6"/>
      <c r="K18" s="6"/>
      <c r="L18" s="41"/>
    </row>
    <row r="19" spans="1:12" x14ac:dyDescent="0.3">
      <c r="B19" s="53"/>
      <c r="C19" s="41"/>
      <c r="D19" s="41"/>
      <c r="E19" s="10"/>
      <c r="F19" s="6"/>
      <c r="G19" s="6"/>
      <c r="H19" s="41"/>
      <c r="I19" s="7"/>
      <c r="J19" s="6"/>
      <c r="K19" s="6"/>
      <c r="L19" s="41"/>
    </row>
    <row r="20" spans="1:12" x14ac:dyDescent="0.3">
      <c r="I20" s="4"/>
    </row>
    <row r="21" spans="1:12" x14ac:dyDescent="0.3">
      <c r="A21" s="3"/>
      <c r="B21" s="3"/>
      <c r="C21" s="3"/>
      <c r="D21" s="3"/>
      <c r="E21" s="4"/>
    </row>
    <row r="22" spans="1:12" s="1" customFormat="1" x14ac:dyDescent="0.3">
      <c r="A22" s="3"/>
      <c r="B22" s="3"/>
      <c r="C22" s="3"/>
      <c r="D22" s="3"/>
      <c r="E22" s="4"/>
      <c r="H22"/>
      <c r="I22" s="2"/>
    </row>
  </sheetData>
  <mergeCells count="9">
    <mergeCell ref="B16:B19"/>
    <mergeCell ref="B5:B6"/>
    <mergeCell ref="C5:C6"/>
    <mergeCell ref="D5:E5"/>
    <mergeCell ref="F5:H5"/>
    <mergeCell ref="I5:I6"/>
    <mergeCell ref="J5:L5"/>
    <mergeCell ref="B7:B15"/>
    <mergeCell ref="C7:C15"/>
  </mergeCells>
  <phoneticPr fontId="1" type="noConversion"/>
  <conditionalFormatting sqref="H7:H15">
    <cfRule type="cellIs" dxfId="92" priority="4" operator="between">
      <formula>1</formula>
      <formula>3</formula>
    </cfRule>
    <cfRule type="cellIs" dxfId="91" priority="5" operator="equal">
      <formula>4</formula>
    </cfRule>
    <cfRule type="cellIs" dxfId="90" priority="6" operator="between">
      <formula>6</formula>
      <formula>9</formula>
    </cfRule>
  </conditionalFormatting>
  <conditionalFormatting sqref="L7:L15">
    <cfRule type="cellIs" dxfId="89" priority="1" operator="between">
      <formula>1</formula>
      <formula>3</formula>
    </cfRule>
    <cfRule type="cellIs" dxfId="88" priority="2" operator="equal">
      <formula>4</formula>
    </cfRule>
    <cfRule type="cellIs" dxfId="87" priority="3" operator="between">
      <formula>6</formula>
      <formula>9</formula>
    </cfRule>
  </conditionalFormatting>
  <pageMargins left="0" right="0" top="0.59055118110236227" bottom="0" header="0.31496062992125984" footer="0"/>
  <pageSetup paperSize="9" scale="6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2B8C5-5478-4D1B-9F02-E043B5C5DA5B}">
  <sheetPr>
    <tabColor rgb="FF0000FF"/>
  </sheetPr>
  <dimension ref="A1:R43"/>
  <sheetViews>
    <sheetView zoomScale="70" zoomScaleNormal="70" workbookViewId="0">
      <selection activeCell="O16" sqref="O16"/>
    </sheetView>
  </sheetViews>
  <sheetFormatPr defaultRowHeight="16.5" x14ac:dyDescent="0.3"/>
  <cols>
    <col min="1" max="1" width="2.625" customWidth="1"/>
    <col min="2" max="4" width="14.625" customWidth="1"/>
    <col min="5" max="5" width="57.625" customWidth="1"/>
    <col min="6" max="7" width="4.75" customWidth="1"/>
    <col min="8" max="8" width="10.25" bestFit="1" customWidth="1"/>
    <col min="9" max="9" width="65.625" customWidth="1"/>
    <col min="10" max="11" width="5.625" customWidth="1"/>
    <col min="12" max="12" width="10.25" bestFit="1" customWidth="1"/>
  </cols>
  <sheetData>
    <row r="1" spans="2:12" x14ac:dyDescent="0.3">
      <c r="E1" s="2"/>
      <c r="F1" s="1"/>
      <c r="G1" s="1"/>
      <c r="I1" s="2"/>
      <c r="J1" s="1"/>
      <c r="K1" s="1"/>
    </row>
    <row r="2" spans="2:12" ht="31.5" x14ac:dyDescent="0.3">
      <c r="B2" s="13" t="s">
        <v>112</v>
      </c>
      <c r="E2" s="2"/>
      <c r="F2" s="1"/>
      <c r="G2" s="1"/>
      <c r="I2" s="2"/>
      <c r="J2" s="1"/>
      <c r="K2" s="1"/>
    </row>
    <row r="3" spans="2:12" x14ac:dyDescent="0.3">
      <c r="E3" s="2"/>
      <c r="F3" s="1"/>
      <c r="G3" s="1"/>
      <c r="I3" s="2"/>
      <c r="J3" s="1"/>
      <c r="K3" s="1"/>
    </row>
    <row r="4" spans="2:12" ht="17.25" x14ac:dyDescent="0.3">
      <c r="B4" s="12" t="s">
        <v>339</v>
      </c>
      <c r="E4" s="2"/>
      <c r="F4" s="1"/>
      <c r="G4" s="1"/>
      <c r="I4" s="2"/>
      <c r="J4" s="1"/>
      <c r="K4" s="1"/>
    </row>
    <row r="5" spans="2:12" x14ac:dyDescent="0.3">
      <c r="B5" s="54" t="s">
        <v>0</v>
      </c>
      <c r="C5" s="54" t="s">
        <v>36</v>
      </c>
      <c r="D5" s="54" t="s">
        <v>113</v>
      </c>
      <c r="E5" s="54"/>
      <c r="F5" s="55" t="s">
        <v>116</v>
      </c>
      <c r="G5" s="55"/>
      <c r="H5" s="55"/>
      <c r="I5" s="54" t="s">
        <v>35</v>
      </c>
      <c r="J5" s="55" t="s">
        <v>118</v>
      </c>
      <c r="K5" s="55"/>
      <c r="L5" s="55"/>
    </row>
    <row r="6" spans="2:12" x14ac:dyDescent="0.3">
      <c r="B6" s="54"/>
      <c r="C6" s="54"/>
      <c r="D6" s="42" t="s">
        <v>114</v>
      </c>
      <c r="E6" s="48" t="s">
        <v>115</v>
      </c>
      <c r="F6" s="43" t="s">
        <v>34</v>
      </c>
      <c r="G6" s="43" t="s">
        <v>33</v>
      </c>
      <c r="H6" s="42" t="s">
        <v>117</v>
      </c>
      <c r="I6" s="62"/>
      <c r="J6" s="43" t="s">
        <v>34</v>
      </c>
      <c r="K6" s="43" t="s">
        <v>33</v>
      </c>
      <c r="L6" s="42" t="s">
        <v>117</v>
      </c>
    </row>
    <row r="7" spans="2:12" ht="40.5" x14ac:dyDescent="0.3">
      <c r="B7" s="59" t="s">
        <v>339</v>
      </c>
      <c r="C7" s="57" t="s">
        <v>340</v>
      </c>
      <c r="D7" s="44" t="s">
        <v>131</v>
      </c>
      <c r="E7" s="8" t="s">
        <v>428</v>
      </c>
      <c r="F7" s="27">
        <v>2</v>
      </c>
      <c r="G7" s="27">
        <v>2</v>
      </c>
      <c r="H7" s="15">
        <f t="shared" ref="H7" si="0">F7*G7</f>
        <v>4</v>
      </c>
      <c r="I7" s="28" t="s">
        <v>429</v>
      </c>
      <c r="J7" s="46">
        <v>1</v>
      </c>
      <c r="K7" s="15">
        <v>2</v>
      </c>
      <c r="L7" s="15">
        <f>J7*K7</f>
        <v>2</v>
      </c>
    </row>
    <row r="8" spans="2:12" x14ac:dyDescent="0.3">
      <c r="B8" s="60"/>
      <c r="C8" s="57"/>
      <c r="D8" s="45" t="s">
        <v>131</v>
      </c>
      <c r="E8" s="50" t="s">
        <v>417</v>
      </c>
      <c r="F8" s="47">
        <v>2</v>
      </c>
      <c r="G8" s="27">
        <v>2</v>
      </c>
      <c r="H8" s="44">
        <f>F8*G8</f>
        <v>4</v>
      </c>
      <c r="I8" s="50" t="s">
        <v>431</v>
      </c>
      <c r="J8" s="51">
        <v>1</v>
      </c>
      <c r="K8" s="29">
        <v>2</v>
      </c>
      <c r="L8" s="15">
        <f>J8*K8</f>
        <v>2</v>
      </c>
    </row>
    <row r="9" spans="2:12" x14ac:dyDescent="0.3">
      <c r="B9" s="60"/>
      <c r="C9" s="57"/>
      <c r="D9" s="45" t="s">
        <v>61</v>
      </c>
      <c r="E9" s="50" t="s">
        <v>418</v>
      </c>
      <c r="F9" s="47">
        <v>2</v>
      </c>
      <c r="G9" s="27">
        <v>3</v>
      </c>
      <c r="H9" s="44">
        <f t="shared" ref="H9:H16" si="1">F9*G9</f>
        <v>6</v>
      </c>
      <c r="I9" s="50" t="s">
        <v>432</v>
      </c>
      <c r="J9" s="51">
        <v>2</v>
      </c>
      <c r="K9" s="29">
        <v>2</v>
      </c>
      <c r="L9" s="15">
        <f t="shared" ref="L9:L16" si="2">J9*K9</f>
        <v>4</v>
      </c>
    </row>
    <row r="10" spans="2:12" ht="27" x14ac:dyDescent="0.3">
      <c r="B10" s="60"/>
      <c r="C10" s="57"/>
      <c r="D10" s="45" t="s">
        <v>438</v>
      </c>
      <c r="E10" s="50" t="s">
        <v>419</v>
      </c>
      <c r="F10" s="47">
        <v>2</v>
      </c>
      <c r="G10" s="27">
        <v>3</v>
      </c>
      <c r="H10" s="44">
        <f t="shared" si="1"/>
        <v>6</v>
      </c>
      <c r="I10" s="50" t="s">
        <v>433</v>
      </c>
      <c r="J10" s="51">
        <v>2</v>
      </c>
      <c r="K10" s="29">
        <v>2</v>
      </c>
      <c r="L10" s="15">
        <f t="shared" si="2"/>
        <v>4</v>
      </c>
    </row>
    <row r="11" spans="2:12" x14ac:dyDescent="0.3">
      <c r="B11" s="60"/>
      <c r="C11" s="57"/>
      <c r="D11" s="45" t="s">
        <v>438</v>
      </c>
      <c r="E11" s="50" t="s">
        <v>420</v>
      </c>
      <c r="F11" s="47">
        <v>2</v>
      </c>
      <c r="G11" s="27">
        <v>3</v>
      </c>
      <c r="H11" s="44">
        <f t="shared" si="1"/>
        <v>6</v>
      </c>
      <c r="I11" s="50" t="s">
        <v>434</v>
      </c>
      <c r="J11" s="51">
        <v>2</v>
      </c>
      <c r="K11" s="29">
        <v>2</v>
      </c>
      <c r="L11" s="15">
        <f t="shared" si="2"/>
        <v>4</v>
      </c>
    </row>
    <row r="12" spans="2:12" x14ac:dyDescent="0.3">
      <c r="B12" s="60"/>
      <c r="C12" s="57"/>
      <c r="D12" s="45" t="s">
        <v>438</v>
      </c>
      <c r="E12" s="50" t="s">
        <v>421</v>
      </c>
      <c r="F12" s="47">
        <v>2</v>
      </c>
      <c r="G12" s="27">
        <v>3</v>
      </c>
      <c r="H12" s="44">
        <f t="shared" si="1"/>
        <v>6</v>
      </c>
      <c r="I12" s="50" t="s">
        <v>420</v>
      </c>
      <c r="J12" s="51">
        <v>2</v>
      </c>
      <c r="K12" s="29">
        <v>2</v>
      </c>
      <c r="L12" s="15">
        <f t="shared" si="2"/>
        <v>4</v>
      </c>
    </row>
    <row r="13" spans="2:12" x14ac:dyDescent="0.3">
      <c r="B13" s="60"/>
      <c r="C13" s="57"/>
      <c r="D13" s="45" t="s">
        <v>239</v>
      </c>
      <c r="E13" s="50" t="s">
        <v>422</v>
      </c>
      <c r="F13" s="47">
        <v>2</v>
      </c>
      <c r="G13" s="27">
        <v>2</v>
      </c>
      <c r="H13" s="44">
        <f t="shared" si="1"/>
        <v>4</v>
      </c>
      <c r="I13" s="50" t="s">
        <v>435</v>
      </c>
      <c r="J13" s="51">
        <v>1</v>
      </c>
      <c r="K13" s="29">
        <v>2</v>
      </c>
      <c r="L13" s="15">
        <f t="shared" si="2"/>
        <v>2</v>
      </c>
    </row>
    <row r="14" spans="2:12" x14ac:dyDescent="0.3">
      <c r="B14" s="60"/>
      <c r="C14" s="57"/>
      <c r="D14" s="45" t="s">
        <v>61</v>
      </c>
      <c r="E14" s="50" t="s">
        <v>423</v>
      </c>
      <c r="F14" s="47">
        <v>2</v>
      </c>
      <c r="G14" s="27">
        <v>2</v>
      </c>
      <c r="H14" s="44">
        <f t="shared" si="1"/>
        <v>4</v>
      </c>
      <c r="I14" s="50" t="s">
        <v>436</v>
      </c>
      <c r="J14" s="51">
        <v>1</v>
      </c>
      <c r="K14" s="29">
        <v>2</v>
      </c>
      <c r="L14" s="15">
        <f t="shared" si="2"/>
        <v>2</v>
      </c>
    </row>
    <row r="15" spans="2:12" x14ac:dyDescent="0.3">
      <c r="B15" s="60"/>
      <c r="C15" s="57"/>
      <c r="D15" s="45" t="s">
        <v>61</v>
      </c>
      <c r="E15" s="50" t="s">
        <v>424</v>
      </c>
      <c r="F15" s="47">
        <v>2</v>
      </c>
      <c r="G15" s="27">
        <v>2</v>
      </c>
      <c r="H15" s="44">
        <f t="shared" si="1"/>
        <v>4</v>
      </c>
      <c r="I15" s="50" t="s">
        <v>437</v>
      </c>
      <c r="J15" s="51">
        <v>1</v>
      </c>
      <c r="K15" s="29">
        <v>2</v>
      </c>
      <c r="L15" s="15">
        <f t="shared" si="2"/>
        <v>2</v>
      </c>
    </row>
    <row r="16" spans="2:12" ht="94.5" x14ac:dyDescent="0.3">
      <c r="B16" s="60"/>
      <c r="C16" s="57"/>
      <c r="D16" s="9" t="s">
        <v>438</v>
      </c>
      <c r="E16" s="49" t="s">
        <v>425</v>
      </c>
      <c r="F16" s="27">
        <v>2</v>
      </c>
      <c r="G16" s="27">
        <v>3</v>
      </c>
      <c r="H16" s="15">
        <f t="shared" si="1"/>
        <v>6</v>
      </c>
      <c r="I16" s="52" t="s">
        <v>426</v>
      </c>
      <c r="J16" s="29">
        <v>2</v>
      </c>
      <c r="K16" s="29">
        <v>2</v>
      </c>
      <c r="L16" s="15">
        <f t="shared" si="2"/>
        <v>4</v>
      </c>
    </row>
    <row r="17" spans="1:18" ht="27" x14ac:dyDescent="0.3">
      <c r="B17" s="60"/>
      <c r="C17" s="57"/>
      <c r="D17" s="9" t="s">
        <v>130</v>
      </c>
      <c r="E17" s="50" t="s">
        <v>427</v>
      </c>
      <c r="F17" s="46">
        <v>2</v>
      </c>
      <c r="G17" s="15">
        <v>3</v>
      </c>
      <c r="H17" s="44">
        <f>F17*G17</f>
        <v>6</v>
      </c>
      <c r="I17" s="50" t="s">
        <v>430</v>
      </c>
      <c r="J17" s="29">
        <v>2</v>
      </c>
      <c r="K17" s="29">
        <v>2</v>
      </c>
      <c r="L17" s="15">
        <f t="shared" ref="L17" si="3">J17*K17</f>
        <v>4</v>
      </c>
    </row>
    <row r="18" spans="1:18" ht="20.25" x14ac:dyDescent="0.3">
      <c r="B18" s="53" t="s">
        <v>2</v>
      </c>
      <c r="C18" s="14"/>
      <c r="D18" s="23"/>
      <c r="E18" s="24"/>
      <c r="F18" s="25"/>
      <c r="G18" s="25"/>
      <c r="H18" s="14"/>
      <c r="I18" s="26"/>
      <c r="J18" s="25"/>
      <c r="K18" s="25"/>
      <c r="L18" s="14"/>
    </row>
    <row r="19" spans="1:18" x14ac:dyDescent="0.3">
      <c r="B19" s="53"/>
      <c r="C19" s="41"/>
      <c r="D19" s="41"/>
      <c r="E19" s="10"/>
      <c r="F19" s="6"/>
      <c r="G19" s="6"/>
      <c r="H19" s="41"/>
      <c r="I19" s="7"/>
      <c r="J19" s="6"/>
      <c r="K19" s="6"/>
      <c r="L19" s="41"/>
    </row>
    <row r="20" spans="1:18" x14ac:dyDescent="0.3">
      <c r="B20" s="53"/>
      <c r="C20" s="41"/>
      <c r="D20" s="41"/>
      <c r="E20" s="10"/>
      <c r="F20" s="6"/>
      <c r="G20" s="6"/>
      <c r="H20" s="41"/>
      <c r="I20" s="7"/>
      <c r="J20" s="6"/>
      <c r="K20" s="6"/>
      <c r="L20" s="41"/>
    </row>
    <row r="21" spans="1:18" x14ac:dyDescent="0.3">
      <c r="B21" s="53"/>
      <c r="C21" s="41"/>
      <c r="D21" s="41"/>
      <c r="E21" s="10"/>
      <c r="F21" s="6"/>
      <c r="G21" s="6"/>
      <c r="H21" s="41"/>
      <c r="I21" s="7"/>
      <c r="J21" s="6"/>
      <c r="K21" s="6"/>
      <c r="L21" s="41"/>
    </row>
    <row r="22" spans="1:18" x14ac:dyDescent="0.3">
      <c r="E22" s="2"/>
      <c r="F22" s="1"/>
      <c r="G22" s="1"/>
      <c r="I22" s="4"/>
      <c r="J22" s="1"/>
      <c r="K22" s="1"/>
    </row>
    <row r="23" spans="1:18" x14ac:dyDescent="0.3">
      <c r="A23" s="3"/>
      <c r="B23" s="3"/>
      <c r="C23" s="3"/>
      <c r="D23" s="3"/>
      <c r="E23" s="4"/>
      <c r="F23" s="1"/>
      <c r="G23" s="1"/>
      <c r="I23" s="2"/>
      <c r="J23" s="1"/>
      <c r="K23" s="1"/>
    </row>
    <row r="24" spans="1:18" x14ac:dyDescent="0.3">
      <c r="A24" s="3"/>
      <c r="B24" s="3"/>
      <c r="C24" s="3"/>
      <c r="D24" s="3"/>
      <c r="E24" s="4"/>
      <c r="F24" s="1"/>
      <c r="G24" s="1"/>
      <c r="I24" s="2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3">
      <c r="E25" s="2"/>
      <c r="F25" s="1"/>
      <c r="G25" s="1"/>
      <c r="I25" s="2"/>
      <c r="J25" s="1"/>
      <c r="K25" s="1"/>
    </row>
    <row r="26" spans="1:18" x14ac:dyDescent="0.3">
      <c r="E26" s="2"/>
      <c r="F26" s="1"/>
      <c r="G26" s="1"/>
      <c r="I26" s="2"/>
      <c r="J26" s="1"/>
      <c r="K26" s="1"/>
    </row>
    <row r="27" spans="1:18" x14ac:dyDescent="0.3">
      <c r="E27" s="2"/>
      <c r="F27" s="1"/>
      <c r="G27" s="1"/>
      <c r="I27" s="2"/>
      <c r="J27" s="1"/>
      <c r="K27" s="1"/>
    </row>
    <row r="28" spans="1:18" x14ac:dyDescent="0.3">
      <c r="E28" s="2"/>
      <c r="F28" s="1"/>
      <c r="G28" s="1"/>
      <c r="I28" s="2"/>
      <c r="J28" s="1"/>
      <c r="K28" s="1"/>
    </row>
    <row r="29" spans="1:18" x14ac:dyDescent="0.3">
      <c r="E29" s="2"/>
      <c r="F29" s="1"/>
      <c r="G29" s="1"/>
      <c r="I29" s="2"/>
      <c r="J29" s="1"/>
      <c r="K29" s="1"/>
    </row>
    <row r="30" spans="1:18" x14ac:dyDescent="0.3">
      <c r="E30" s="2"/>
      <c r="F30" s="1"/>
      <c r="G30" s="1"/>
      <c r="I30" s="2"/>
      <c r="J30" s="1"/>
      <c r="K30" s="1"/>
    </row>
    <row r="31" spans="1:18" x14ac:dyDescent="0.3">
      <c r="E31" s="2"/>
      <c r="F31" s="1"/>
      <c r="G31" s="1"/>
      <c r="I31" s="2"/>
      <c r="J31" s="1"/>
      <c r="K31" s="1"/>
    </row>
    <row r="32" spans="1:18" x14ac:dyDescent="0.3">
      <c r="E32" s="2"/>
      <c r="F32" s="1"/>
      <c r="G32" s="1"/>
      <c r="I32" s="2"/>
      <c r="J32" s="1"/>
      <c r="K32" s="1"/>
    </row>
    <row r="33" spans="5:11" x14ac:dyDescent="0.3">
      <c r="E33" s="2"/>
      <c r="F33" s="1"/>
      <c r="G33" s="1"/>
      <c r="I33" s="2"/>
      <c r="J33" s="1"/>
      <c r="K33" s="1"/>
    </row>
    <row r="34" spans="5:11" x14ac:dyDescent="0.3">
      <c r="E34" s="2"/>
      <c r="F34" s="1"/>
      <c r="G34" s="1"/>
      <c r="I34" s="2"/>
      <c r="J34" s="1"/>
      <c r="K34" s="1"/>
    </row>
    <row r="35" spans="5:11" x14ac:dyDescent="0.3">
      <c r="E35" s="2"/>
      <c r="F35" s="1"/>
      <c r="G35" s="1"/>
      <c r="I35" s="2"/>
      <c r="J35" s="1"/>
      <c r="K35" s="1"/>
    </row>
    <row r="36" spans="5:11" x14ac:dyDescent="0.3">
      <c r="E36" s="2"/>
      <c r="F36" s="1"/>
      <c r="G36" s="1"/>
      <c r="I36" s="2"/>
      <c r="J36" s="1"/>
      <c r="K36" s="1"/>
    </row>
    <row r="37" spans="5:11" x14ac:dyDescent="0.3">
      <c r="E37" s="2"/>
      <c r="F37" s="1"/>
      <c r="G37" s="1"/>
      <c r="I37" s="2"/>
      <c r="J37" s="1"/>
      <c r="K37" s="1"/>
    </row>
    <row r="38" spans="5:11" x14ac:dyDescent="0.3">
      <c r="E38" s="2"/>
      <c r="F38" s="1"/>
      <c r="G38" s="1"/>
      <c r="I38" s="2"/>
      <c r="J38" s="1"/>
      <c r="K38" s="1"/>
    </row>
    <row r="39" spans="5:11" x14ac:dyDescent="0.3">
      <c r="E39" s="2"/>
      <c r="F39" s="1"/>
      <c r="G39" s="1"/>
      <c r="I39" s="2"/>
      <c r="J39" s="1"/>
      <c r="K39" s="1"/>
    </row>
    <row r="40" spans="5:11" x14ac:dyDescent="0.3">
      <c r="E40" s="2"/>
      <c r="F40" s="1"/>
      <c r="G40" s="1"/>
      <c r="I40" s="2"/>
      <c r="J40" s="1"/>
      <c r="K40" s="1"/>
    </row>
    <row r="41" spans="5:11" x14ac:dyDescent="0.3">
      <c r="E41" s="2"/>
      <c r="F41" s="1"/>
      <c r="G41" s="1"/>
      <c r="I41" s="2"/>
      <c r="J41" s="1"/>
      <c r="K41" s="1"/>
    </row>
    <row r="42" spans="5:11" x14ac:dyDescent="0.3">
      <c r="E42" s="2"/>
      <c r="F42" s="1"/>
      <c r="G42" s="1"/>
      <c r="I42" s="2"/>
      <c r="J42" s="1"/>
      <c r="K42" s="1"/>
    </row>
    <row r="43" spans="5:11" x14ac:dyDescent="0.3">
      <c r="E43" s="2"/>
      <c r="F43" s="1"/>
      <c r="G43" s="1"/>
      <c r="I43" s="2"/>
      <c r="J43" s="1"/>
      <c r="K43" s="1"/>
    </row>
  </sheetData>
  <mergeCells count="9">
    <mergeCell ref="B18:B21"/>
    <mergeCell ref="B5:B6"/>
    <mergeCell ref="C5:C6"/>
    <mergeCell ref="D5:E5"/>
    <mergeCell ref="F5:H5"/>
    <mergeCell ref="I5:I6"/>
    <mergeCell ref="J5:L5"/>
    <mergeCell ref="B7:B17"/>
    <mergeCell ref="C7:C17"/>
  </mergeCells>
  <phoneticPr fontId="1" type="noConversion"/>
  <conditionalFormatting sqref="H8:H16">
    <cfRule type="cellIs" dxfId="86" priority="16" operator="between">
      <formula>1</formula>
      <formula>3</formula>
    </cfRule>
    <cfRule type="cellIs" dxfId="85" priority="17" operator="equal">
      <formula>4</formula>
    </cfRule>
    <cfRule type="cellIs" dxfId="84" priority="18" operator="between">
      <formula>6</formula>
      <formula>9</formula>
    </cfRule>
  </conditionalFormatting>
  <conditionalFormatting sqref="L7:L16">
    <cfRule type="cellIs" dxfId="83" priority="13" operator="between">
      <formula>1</formula>
      <formula>3</formula>
    </cfRule>
    <cfRule type="cellIs" dxfId="82" priority="14" operator="equal">
      <formula>4</formula>
    </cfRule>
    <cfRule type="cellIs" dxfId="81" priority="15" operator="between">
      <formula>6</formula>
      <formula>9</formula>
    </cfRule>
  </conditionalFormatting>
  <conditionalFormatting sqref="H7">
    <cfRule type="cellIs" dxfId="80" priority="7" operator="between">
      <formula>1</formula>
      <formula>3</formula>
    </cfRule>
    <cfRule type="cellIs" dxfId="79" priority="8" operator="equal">
      <formula>4</formula>
    </cfRule>
    <cfRule type="cellIs" dxfId="78" priority="9" operator="between">
      <formula>6</formula>
      <formula>9</formula>
    </cfRule>
  </conditionalFormatting>
  <conditionalFormatting sqref="L17">
    <cfRule type="cellIs" dxfId="77" priority="4" operator="between">
      <formula>1</formula>
      <formula>3</formula>
    </cfRule>
    <cfRule type="cellIs" dxfId="76" priority="5" operator="equal">
      <formula>4</formula>
    </cfRule>
    <cfRule type="cellIs" dxfId="75" priority="6" operator="between">
      <formula>6</formula>
      <formula>9</formula>
    </cfRule>
  </conditionalFormatting>
  <conditionalFormatting sqref="H17">
    <cfRule type="cellIs" dxfId="74" priority="1" operator="between">
      <formula>1</formula>
      <formula>3</formula>
    </cfRule>
    <cfRule type="cellIs" dxfId="73" priority="2" operator="equal">
      <formula>4</formula>
    </cfRule>
    <cfRule type="cellIs" dxfId="72" priority="3" operator="between">
      <formula>6</formula>
      <formula>9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984D8-F10A-4C87-B246-38C153472170}">
  <sheetPr>
    <tabColor rgb="FF0000FF"/>
    <pageSetUpPr fitToPage="1"/>
  </sheetPr>
  <dimension ref="A2:L29"/>
  <sheetViews>
    <sheetView showGridLines="0" zoomScale="70" zoomScaleNormal="70" zoomScaleSheetLayoutView="70" workbookViewId="0">
      <selection activeCell="I16" sqref="I16"/>
    </sheetView>
  </sheetViews>
  <sheetFormatPr defaultRowHeight="16.5" x14ac:dyDescent="0.3"/>
  <cols>
    <col min="1" max="1" width="2.625" customWidth="1"/>
    <col min="2" max="4" width="14.625" customWidth="1"/>
    <col min="5" max="5" width="57.625" style="2" customWidth="1"/>
    <col min="6" max="7" width="4.75" style="1" customWidth="1"/>
    <col min="8" max="8" width="10.25" bestFit="1" customWidth="1"/>
    <col min="9" max="9" width="65.625" style="2" customWidth="1"/>
    <col min="10" max="11" width="5.625" style="1" customWidth="1"/>
    <col min="12" max="12" width="10.25" bestFit="1" customWidth="1"/>
  </cols>
  <sheetData>
    <row r="2" spans="2:12" ht="31.5" x14ac:dyDescent="0.3">
      <c r="B2" s="13" t="s">
        <v>112</v>
      </c>
    </row>
    <row r="4" spans="2:12" ht="17.25" x14ac:dyDescent="0.3">
      <c r="B4" s="12" t="s">
        <v>111</v>
      </c>
    </row>
    <row r="5" spans="2:12" ht="29.25" customHeight="1" x14ac:dyDescent="0.3">
      <c r="B5" s="54" t="s">
        <v>0</v>
      </c>
      <c r="C5" s="54" t="s">
        <v>36</v>
      </c>
      <c r="D5" s="54" t="s">
        <v>113</v>
      </c>
      <c r="E5" s="54"/>
      <c r="F5" s="55" t="s">
        <v>116</v>
      </c>
      <c r="G5" s="55"/>
      <c r="H5" s="55"/>
      <c r="I5" s="54" t="s">
        <v>35</v>
      </c>
      <c r="J5" s="55" t="s">
        <v>118</v>
      </c>
      <c r="K5" s="55"/>
      <c r="L5" s="55"/>
    </row>
    <row r="6" spans="2:12" x14ac:dyDescent="0.3">
      <c r="B6" s="54"/>
      <c r="C6" s="54"/>
      <c r="D6" s="17" t="s">
        <v>114</v>
      </c>
      <c r="E6" s="17" t="s">
        <v>115</v>
      </c>
      <c r="F6" s="18" t="s">
        <v>34</v>
      </c>
      <c r="G6" s="18" t="s">
        <v>33</v>
      </c>
      <c r="H6" s="17" t="s">
        <v>117</v>
      </c>
      <c r="I6" s="54"/>
      <c r="J6" s="18" t="s">
        <v>34</v>
      </c>
      <c r="K6" s="18" t="s">
        <v>33</v>
      </c>
      <c r="L6" s="17" t="s">
        <v>117</v>
      </c>
    </row>
    <row r="7" spans="2:12" x14ac:dyDescent="0.3">
      <c r="B7" s="57" t="s">
        <v>111</v>
      </c>
      <c r="C7" s="57" t="s">
        <v>188</v>
      </c>
      <c r="D7" s="15" t="s">
        <v>130</v>
      </c>
      <c r="E7" s="16" t="s">
        <v>190</v>
      </c>
      <c r="F7" s="15">
        <v>2</v>
      </c>
      <c r="G7" s="15">
        <v>3</v>
      </c>
      <c r="H7" s="15">
        <f>F7*G7</f>
        <v>6</v>
      </c>
      <c r="I7" s="16" t="s">
        <v>72</v>
      </c>
      <c r="J7" s="15">
        <v>1</v>
      </c>
      <c r="K7" s="15">
        <v>3</v>
      </c>
      <c r="L7" s="15">
        <f>J7*K7</f>
        <v>3</v>
      </c>
    </row>
    <row r="8" spans="2:12" x14ac:dyDescent="0.3">
      <c r="B8" s="57"/>
      <c r="C8" s="57"/>
      <c r="D8" s="15" t="s">
        <v>130</v>
      </c>
      <c r="E8" s="8" t="s">
        <v>191</v>
      </c>
      <c r="F8" s="27">
        <v>2</v>
      </c>
      <c r="G8" s="27">
        <v>3</v>
      </c>
      <c r="H8" s="15">
        <f>F8*G8</f>
        <v>6</v>
      </c>
      <c r="I8" s="28" t="s">
        <v>71</v>
      </c>
      <c r="J8" s="29">
        <v>1</v>
      </c>
      <c r="K8" s="29">
        <v>3</v>
      </c>
      <c r="L8" s="15">
        <f>J8*K8</f>
        <v>3</v>
      </c>
    </row>
    <row r="9" spans="2:12" ht="40.5" x14ac:dyDescent="0.3">
      <c r="B9" s="57"/>
      <c r="C9" s="57"/>
      <c r="D9" s="15" t="s">
        <v>130</v>
      </c>
      <c r="E9" s="8" t="s">
        <v>192</v>
      </c>
      <c r="F9" s="27">
        <v>2</v>
      </c>
      <c r="G9" s="27">
        <v>3</v>
      </c>
      <c r="H9" s="15">
        <f t="shared" ref="H9:H22" si="0">F9*G9</f>
        <v>6</v>
      </c>
      <c r="I9" s="28" t="s">
        <v>206</v>
      </c>
      <c r="J9" s="29">
        <v>1</v>
      </c>
      <c r="K9" s="29">
        <v>3</v>
      </c>
      <c r="L9" s="15">
        <f t="shared" ref="L9:L22" si="1">J9*K9</f>
        <v>3</v>
      </c>
    </row>
    <row r="10" spans="2:12" ht="27" x14ac:dyDescent="0.3">
      <c r="B10" s="57"/>
      <c r="C10" s="57"/>
      <c r="D10" s="15" t="s">
        <v>130</v>
      </c>
      <c r="E10" s="8" t="s">
        <v>193</v>
      </c>
      <c r="F10" s="27">
        <v>2</v>
      </c>
      <c r="G10" s="27">
        <v>3</v>
      </c>
      <c r="H10" s="15">
        <f t="shared" si="0"/>
        <v>6</v>
      </c>
      <c r="I10" s="28" t="s">
        <v>207</v>
      </c>
      <c r="J10" s="29">
        <v>1</v>
      </c>
      <c r="K10" s="29">
        <v>3</v>
      </c>
      <c r="L10" s="15">
        <f t="shared" si="1"/>
        <v>3</v>
      </c>
    </row>
    <row r="11" spans="2:12" x14ac:dyDescent="0.3">
      <c r="B11" s="57"/>
      <c r="C11" s="57"/>
      <c r="D11" s="15" t="s">
        <v>130</v>
      </c>
      <c r="E11" s="8" t="s">
        <v>194</v>
      </c>
      <c r="F11" s="27">
        <v>2</v>
      </c>
      <c r="G11" s="27">
        <v>3</v>
      </c>
      <c r="H11" s="15">
        <f t="shared" si="0"/>
        <v>6</v>
      </c>
      <c r="I11" s="28" t="s">
        <v>70</v>
      </c>
      <c r="J11" s="29">
        <v>1</v>
      </c>
      <c r="K11" s="29">
        <v>3</v>
      </c>
      <c r="L11" s="15">
        <f t="shared" si="1"/>
        <v>3</v>
      </c>
    </row>
    <row r="12" spans="2:12" x14ac:dyDescent="0.3">
      <c r="B12" s="57"/>
      <c r="C12" s="57"/>
      <c r="D12" s="15" t="s">
        <v>130</v>
      </c>
      <c r="E12" s="8" t="s">
        <v>195</v>
      </c>
      <c r="F12" s="27">
        <v>3</v>
      </c>
      <c r="G12" s="27">
        <v>3</v>
      </c>
      <c r="H12" s="15">
        <f t="shared" si="0"/>
        <v>9</v>
      </c>
      <c r="I12" s="28" t="s">
        <v>69</v>
      </c>
      <c r="J12" s="29">
        <v>1</v>
      </c>
      <c r="K12" s="29">
        <v>3</v>
      </c>
      <c r="L12" s="15">
        <f t="shared" si="1"/>
        <v>3</v>
      </c>
    </row>
    <row r="13" spans="2:12" x14ac:dyDescent="0.3">
      <c r="B13" s="57"/>
      <c r="C13" s="57"/>
      <c r="D13" s="15" t="s">
        <v>130</v>
      </c>
      <c r="E13" s="8" t="s">
        <v>196</v>
      </c>
      <c r="F13" s="27">
        <v>2</v>
      </c>
      <c r="G13" s="27">
        <v>3</v>
      </c>
      <c r="H13" s="15">
        <f t="shared" si="0"/>
        <v>6</v>
      </c>
      <c r="I13" s="28" t="s">
        <v>68</v>
      </c>
      <c r="J13" s="29">
        <v>1</v>
      </c>
      <c r="K13" s="29">
        <v>3</v>
      </c>
      <c r="L13" s="15">
        <f t="shared" si="1"/>
        <v>3</v>
      </c>
    </row>
    <row r="14" spans="2:12" x14ac:dyDescent="0.3">
      <c r="B14" s="57"/>
      <c r="C14" s="57"/>
      <c r="D14" s="15" t="s">
        <v>130</v>
      </c>
      <c r="E14" s="8" t="s">
        <v>197</v>
      </c>
      <c r="F14" s="27">
        <v>2</v>
      </c>
      <c r="G14" s="27">
        <v>3</v>
      </c>
      <c r="H14" s="15">
        <f t="shared" si="0"/>
        <v>6</v>
      </c>
      <c r="I14" s="8" t="s">
        <v>67</v>
      </c>
      <c r="J14" s="29">
        <v>1</v>
      </c>
      <c r="K14" s="29">
        <v>3</v>
      </c>
      <c r="L14" s="15">
        <f t="shared" si="1"/>
        <v>3</v>
      </c>
    </row>
    <row r="15" spans="2:12" ht="27" x14ac:dyDescent="0.3">
      <c r="B15" s="57"/>
      <c r="C15" s="57"/>
      <c r="D15" s="15" t="s">
        <v>61</v>
      </c>
      <c r="E15" s="8" t="s">
        <v>198</v>
      </c>
      <c r="F15" s="27">
        <v>2</v>
      </c>
      <c r="G15" s="27">
        <v>2</v>
      </c>
      <c r="H15" s="15">
        <f t="shared" si="0"/>
        <v>4</v>
      </c>
      <c r="I15" s="28" t="s">
        <v>208</v>
      </c>
      <c r="J15" s="29">
        <v>1</v>
      </c>
      <c r="K15" s="29">
        <v>2</v>
      </c>
      <c r="L15" s="15">
        <f t="shared" si="1"/>
        <v>2</v>
      </c>
    </row>
    <row r="16" spans="2:12" ht="27" x14ac:dyDescent="0.3">
      <c r="B16" s="57"/>
      <c r="C16" s="57"/>
      <c r="D16" s="15" t="s">
        <v>61</v>
      </c>
      <c r="E16" s="8" t="s">
        <v>199</v>
      </c>
      <c r="F16" s="27">
        <v>2</v>
      </c>
      <c r="G16" s="27">
        <v>3</v>
      </c>
      <c r="H16" s="15">
        <f t="shared" si="0"/>
        <v>6</v>
      </c>
      <c r="I16" s="8" t="s">
        <v>205</v>
      </c>
      <c r="J16" s="29">
        <v>1</v>
      </c>
      <c r="K16" s="29">
        <v>3</v>
      </c>
      <c r="L16" s="15">
        <f t="shared" si="1"/>
        <v>3</v>
      </c>
    </row>
    <row r="17" spans="1:12" x14ac:dyDescent="0.3">
      <c r="B17" s="57"/>
      <c r="C17" s="57"/>
      <c r="D17" s="15" t="s">
        <v>189</v>
      </c>
      <c r="E17" s="8" t="s">
        <v>200</v>
      </c>
      <c r="F17" s="27">
        <v>2</v>
      </c>
      <c r="G17" s="27">
        <v>2</v>
      </c>
      <c r="H17" s="15">
        <f t="shared" si="0"/>
        <v>4</v>
      </c>
      <c r="I17" s="28" t="s">
        <v>66</v>
      </c>
      <c r="J17" s="29">
        <v>1</v>
      </c>
      <c r="K17" s="29">
        <v>2</v>
      </c>
      <c r="L17" s="15">
        <f t="shared" si="1"/>
        <v>2</v>
      </c>
    </row>
    <row r="18" spans="1:12" x14ac:dyDescent="0.3">
      <c r="B18" s="57"/>
      <c r="C18" s="57"/>
      <c r="D18" s="15" t="s">
        <v>189</v>
      </c>
      <c r="E18" s="8" t="s">
        <v>201</v>
      </c>
      <c r="F18" s="27">
        <v>2</v>
      </c>
      <c r="G18" s="27">
        <v>2</v>
      </c>
      <c r="H18" s="15">
        <f t="shared" si="0"/>
        <v>4</v>
      </c>
      <c r="I18" s="28" t="s">
        <v>65</v>
      </c>
      <c r="J18" s="29">
        <v>1</v>
      </c>
      <c r="K18" s="29">
        <v>2</v>
      </c>
      <c r="L18" s="15">
        <f t="shared" si="1"/>
        <v>2</v>
      </c>
    </row>
    <row r="19" spans="1:12" ht="27" x14ac:dyDescent="0.3">
      <c r="B19" s="57"/>
      <c r="C19" s="57"/>
      <c r="D19" s="15" t="s">
        <v>132</v>
      </c>
      <c r="E19" s="8" t="s">
        <v>202</v>
      </c>
      <c r="F19" s="27">
        <v>2</v>
      </c>
      <c r="G19" s="27">
        <v>2</v>
      </c>
      <c r="H19" s="15">
        <f t="shared" si="0"/>
        <v>4</v>
      </c>
      <c r="I19" s="28" t="s">
        <v>209</v>
      </c>
      <c r="J19" s="29">
        <v>1</v>
      </c>
      <c r="K19" s="29">
        <v>2</v>
      </c>
      <c r="L19" s="15">
        <f t="shared" si="1"/>
        <v>2</v>
      </c>
    </row>
    <row r="20" spans="1:12" x14ac:dyDescent="0.3">
      <c r="B20" s="57"/>
      <c r="C20" s="57"/>
      <c r="D20" s="15" t="s">
        <v>132</v>
      </c>
      <c r="E20" s="8" t="s">
        <v>64</v>
      </c>
      <c r="F20" s="27">
        <v>2</v>
      </c>
      <c r="G20" s="27">
        <v>2</v>
      </c>
      <c r="H20" s="15">
        <f t="shared" si="0"/>
        <v>4</v>
      </c>
      <c r="I20" s="28" t="s">
        <v>63</v>
      </c>
      <c r="J20" s="29">
        <v>1</v>
      </c>
      <c r="K20" s="29">
        <v>2</v>
      </c>
      <c r="L20" s="15">
        <f t="shared" si="1"/>
        <v>2</v>
      </c>
    </row>
    <row r="21" spans="1:12" ht="27" x14ac:dyDescent="0.3">
      <c r="B21" s="57"/>
      <c r="C21" s="57"/>
      <c r="D21" s="15" t="s">
        <v>130</v>
      </c>
      <c r="E21" s="8" t="s">
        <v>203</v>
      </c>
      <c r="F21" s="27">
        <v>3</v>
      </c>
      <c r="G21" s="27">
        <v>3</v>
      </c>
      <c r="H21" s="15">
        <f t="shared" si="0"/>
        <v>9</v>
      </c>
      <c r="I21" s="28" t="s">
        <v>62</v>
      </c>
      <c r="J21" s="29">
        <v>1</v>
      </c>
      <c r="K21" s="29">
        <v>2</v>
      </c>
      <c r="L21" s="15">
        <f t="shared" si="1"/>
        <v>2</v>
      </c>
    </row>
    <row r="22" spans="1:12" ht="27" x14ac:dyDescent="0.3">
      <c r="B22" s="57"/>
      <c r="C22" s="57"/>
      <c r="D22" s="15" t="s">
        <v>61</v>
      </c>
      <c r="E22" s="8" t="s">
        <v>204</v>
      </c>
      <c r="F22" s="27">
        <v>2</v>
      </c>
      <c r="G22" s="27">
        <v>3</v>
      </c>
      <c r="H22" s="15">
        <f t="shared" si="0"/>
        <v>6</v>
      </c>
      <c r="I22" s="8" t="s">
        <v>60</v>
      </c>
      <c r="J22" s="29">
        <v>1</v>
      </c>
      <c r="K22" s="29">
        <v>3</v>
      </c>
      <c r="L22" s="15">
        <f t="shared" si="1"/>
        <v>3</v>
      </c>
    </row>
    <row r="23" spans="1:12" ht="20.25" x14ac:dyDescent="0.3">
      <c r="B23" s="53" t="s">
        <v>2</v>
      </c>
      <c r="C23" s="5"/>
      <c r="D23" s="22"/>
      <c r="E23" s="10"/>
      <c r="F23" s="6"/>
      <c r="G23" s="6"/>
      <c r="H23" s="5"/>
      <c r="I23" s="7"/>
      <c r="J23" s="6"/>
      <c r="K23" s="6"/>
      <c r="L23" s="5"/>
    </row>
    <row r="24" spans="1:12" ht="20.25" x14ac:dyDescent="0.3">
      <c r="B24" s="53"/>
      <c r="C24" s="5"/>
      <c r="D24" s="22"/>
      <c r="E24" s="10"/>
      <c r="F24" s="6"/>
      <c r="G24" s="6"/>
      <c r="H24" s="5"/>
      <c r="I24" s="7"/>
      <c r="J24" s="6"/>
      <c r="K24" s="6"/>
      <c r="L24" s="5"/>
    </row>
    <row r="25" spans="1:12" ht="20.25" x14ac:dyDescent="0.3">
      <c r="B25" s="53"/>
      <c r="C25" s="5"/>
      <c r="D25" s="22"/>
      <c r="E25" s="10"/>
      <c r="F25" s="6"/>
      <c r="G25" s="6"/>
      <c r="H25" s="5"/>
      <c r="I25" s="7"/>
      <c r="J25" s="6"/>
      <c r="K25" s="6"/>
      <c r="L25" s="5"/>
    </row>
    <row r="26" spans="1:12" ht="20.25" x14ac:dyDescent="0.3">
      <c r="B26" s="53"/>
      <c r="C26" s="5"/>
      <c r="D26" s="22"/>
      <c r="E26" s="10"/>
      <c r="F26" s="6"/>
      <c r="G26" s="6"/>
      <c r="H26" s="5"/>
      <c r="I26" s="7"/>
      <c r="J26" s="6"/>
      <c r="K26" s="6"/>
      <c r="L26" s="5"/>
    </row>
    <row r="27" spans="1:12" ht="20.25" x14ac:dyDescent="0.3">
      <c r="D27" s="30"/>
      <c r="I27" s="4"/>
    </row>
    <row r="28" spans="1:12" x14ac:dyDescent="0.3">
      <c r="A28" s="3"/>
      <c r="B28" s="3"/>
      <c r="C28" s="3"/>
      <c r="D28" s="3"/>
      <c r="E28" s="4"/>
    </row>
    <row r="29" spans="1:12" s="1" customFormat="1" x14ac:dyDescent="0.3">
      <c r="A29" s="3"/>
      <c r="B29" s="3"/>
      <c r="C29" s="3"/>
      <c r="D29" s="3"/>
      <c r="E29" s="4"/>
      <c r="H29"/>
      <c r="I29" s="2"/>
    </row>
  </sheetData>
  <mergeCells count="9">
    <mergeCell ref="J5:L5"/>
    <mergeCell ref="B23:B26"/>
    <mergeCell ref="B7:B22"/>
    <mergeCell ref="C7:C22"/>
    <mergeCell ref="B5:B6"/>
    <mergeCell ref="C5:C6"/>
    <mergeCell ref="D5:E5"/>
    <mergeCell ref="F5:H5"/>
    <mergeCell ref="I5:I6"/>
  </mergeCells>
  <phoneticPr fontId="1" type="noConversion"/>
  <conditionalFormatting sqref="H7:H22">
    <cfRule type="cellIs" dxfId="71" priority="4" operator="between">
      <formula>1</formula>
      <formula>3</formula>
    </cfRule>
    <cfRule type="cellIs" dxfId="70" priority="5" operator="equal">
      <formula>4</formula>
    </cfRule>
    <cfRule type="cellIs" dxfId="69" priority="6" operator="between">
      <formula>6</formula>
      <formula>9</formula>
    </cfRule>
  </conditionalFormatting>
  <conditionalFormatting sqref="L7:L22">
    <cfRule type="cellIs" dxfId="68" priority="1" operator="between">
      <formula>1</formula>
      <formula>3</formula>
    </cfRule>
    <cfRule type="cellIs" dxfId="67" priority="2" operator="equal">
      <formula>4</formula>
    </cfRule>
    <cfRule type="cellIs" dxfId="66" priority="3" operator="between">
      <formula>6</formula>
      <formula>9</formula>
    </cfRule>
  </conditionalFormatting>
  <pageMargins left="0" right="0" top="0.59055118110236227" bottom="0" header="0.31496062992125984" footer="0"/>
  <pageSetup paperSize="9" scale="65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28846-0688-47F2-9987-6DEF8F099952}">
  <sheetPr>
    <tabColor rgb="FF0000FF"/>
    <pageSetUpPr fitToPage="1"/>
  </sheetPr>
  <dimension ref="A2:L20"/>
  <sheetViews>
    <sheetView showGridLines="0" zoomScale="70" zoomScaleNormal="70" zoomScaleSheetLayoutView="70" workbookViewId="0">
      <selection activeCell="I22" sqref="I22"/>
    </sheetView>
  </sheetViews>
  <sheetFormatPr defaultRowHeight="16.5" x14ac:dyDescent="0.3"/>
  <cols>
    <col min="1" max="1" width="2.625" customWidth="1"/>
    <col min="2" max="4" width="14.625" customWidth="1"/>
    <col min="5" max="5" width="57.625" style="2" customWidth="1"/>
    <col min="6" max="7" width="4.75" style="1" customWidth="1"/>
    <col min="8" max="8" width="10.25" bestFit="1" customWidth="1"/>
    <col min="9" max="9" width="65.625" style="2" customWidth="1"/>
    <col min="10" max="11" width="5.625" style="1" customWidth="1"/>
    <col min="12" max="12" width="10.25" bestFit="1" customWidth="1"/>
  </cols>
  <sheetData>
    <row r="2" spans="2:12" ht="31.5" x14ac:dyDescent="0.3">
      <c r="B2" s="13" t="s">
        <v>112</v>
      </c>
    </row>
    <row r="4" spans="2:12" ht="17.25" x14ac:dyDescent="0.3">
      <c r="B4" s="12" t="s">
        <v>79</v>
      </c>
    </row>
    <row r="5" spans="2:12" ht="29.25" customHeight="1" x14ac:dyDescent="0.3">
      <c r="B5" s="54" t="s">
        <v>0</v>
      </c>
      <c r="C5" s="54" t="s">
        <v>36</v>
      </c>
      <c r="D5" s="54" t="s">
        <v>113</v>
      </c>
      <c r="E5" s="54"/>
      <c r="F5" s="55" t="s">
        <v>116</v>
      </c>
      <c r="G5" s="55"/>
      <c r="H5" s="55"/>
      <c r="I5" s="54" t="s">
        <v>35</v>
      </c>
      <c r="J5" s="55" t="s">
        <v>118</v>
      </c>
      <c r="K5" s="55"/>
      <c r="L5" s="55"/>
    </row>
    <row r="6" spans="2:12" x14ac:dyDescent="0.3">
      <c r="B6" s="54"/>
      <c r="C6" s="54"/>
      <c r="D6" s="17" t="s">
        <v>114</v>
      </c>
      <c r="E6" s="17" t="s">
        <v>115</v>
      </c>
      <c r="F6" s="18" t="s">
        <v>34</v>
      </c>
      <c r="G6" s="18" t="s">
        <v>33</v>
      </c>
      <c r="H6" s="17" t="s">
        <v>117</v>
      </c>
      <c r="I6" s="54"/>
      <c r="J6" s="18" t="s">
        <v>34</v>
      </c>
      <c r="K6" s="18" t="s">
        <v>33</v>
      </c>
      <c r="L6" s="17" t="s">
        <v>117</v>
      </c>
    </row>
    <row r="7" spans="2:12" ht="27" x14ac:dyDescent="0.3">
      <c r="B7" s="57" t="s">
        <v>79</v>
      </c>
      <c r="C7" s="57" t="s">
        <v>210</v>
      </c>
      <c r="D7" s="15" t="s">
        <v>130</v>
      </c>
      <c r="E7" s="16" t="s">
        <v>211</v>
      </c>
      <c r="F7" s="15">
        <v>3</v>
      </c>
      <c r="G7" s="15">
        <v>3</v>
      </c>
      <c r="H7" s="15">
        <f>F7*G7</f>
        <v>9</v>
      </c>
      <c r="I7" s="16" t="s">
        <v>218</v>
      </c>
      <c r="J7" s="15">
        <v>1</v>
      </c>
      <c r="K7" s="15">
        <v>2</v>
      </c>
      <c r="L7" s="15">
        <f>J7*K7</f>
        <v>2</v>
      </c>
    </row>
    <row r="8" spans="2:12" x14ac:dyDescent="0.3">
      <c r="B8" s="57"/>
      <c r="C8" s="57"/>
      <c r="D8" s="15" t="s">
        <v>130</v>
      </c>
      <c r="E8" s="21" t="s">
        <v>212</v>
      </c>
      <c r="F8" s="15">
        <v>3</v>
      </c>
      <c r="G8" s="15">
        <v>3</v>
      </c>
      <c r="H8" s="15">
        <f>F8*G8</f>
        <v>9</v>
      </c>
      <c r="I8" s="28" t="s">
        <v>13</v>
      </c>
      <c r="J8" s="15">
        <v>1</v>
      </c>
      <c r="K8" s="15">
        <v>2</v>
      </c>
      <c r="L8" s="15">
        <f>J8*K8</f>
        <v>2</v>
      </c>
    </row>
    <row r="9" spans="2:12" ht="27" x14ac:dyDescent="0.3">
      <c r="B9" s="57"/>
      <c r="C9" s="57"/>
      <c r="D9" s="15" t="s">
        <v>130</v>
      </c>
      <c r="E9" s="21" t="s">
        <v>213</v>
      </c>
      <c r="F9" s="15">
        <v>3</v>
      </c>
      <c r="G9" s="15">
        <v>2</v>
      </c>
      <c r="H9" s="15">
        <f t="shared" ref="H9:H13" si="0">F9*G9</f>
        <v>6</v>
      </c>
      <c r="I9" s="28" t="s">
        <v>77</v>
      </c>
      <c r="J9" s="15">
        <v>1</v>
      </c>
      <c r="K9" s="15">
        <v>2</v>
      </c>
      <c r="L9" s="15">
        <f t="shared" ref="L9:L13" si="1">J9*K9</f>
        <v>2</v>
      </c>
    </row>
    <row r="10" spans="2:12" ht="27" x14ac:dyDescent="0.3">
      <c r="B10" s="57"/>
      <c r="C10" s="57"/>
      <c r="D10" s="15" t="s">
        <v>130</v>
      </c>
      <c r="E10" s="21" t="s">
        <v>214</v>
      </c>
      <c r="F10" s="15">
        <v>2</v>
      </c>
      <c r="G10" s="15">
        <v>2</v>
      </c>
      <c r="H10" s="15">
        <f t="shared" si="0"/>
        <v>4</v>
      </c>
      <c r="I10" s="28" t="s">
        <v>76</v>
      </c>
      <c r="J10" s="15">
        <v>1</v>
      </c>
      <c r="K10" s="15">
        <v>2</v>
      </c>
      <c r="L10" s="15">
        <f t="shared" si="1"/>
        <v>2</v>
      </c>
    </row>
    <row r="11" spans="2:12" x14ac:dyDescent="0.3">
      <c r="B11" s="57"/>
      <c r="C11" s="57"/>
      <c r="D11" s="15" t="s">
        <v>130</v>
      </c>
      <c r="E11" s="21" t="s">
        <v>215</v>
      </c>
      <c r="F11" s="15">
        <v>2</v>
      </c>
      <c r="G11" s="15">
        <v>2</v>
      </c>
      <c r="H11" s="15">
        <f t="shared" si="0"/>
        <v>4</v>
      </c>
      <c r="I11" s="28" t="s">
        <v>75</v>
      </c>
      <c r="J11" s="15">
        <v>1</v>
      </c>
      <c r="K11" s="15">
        <v>2</v>
      </c>
      <c r="L11" s="15">
        <f t="shared" si="1"/>
        <v>2</v>
      </c>
    </row>
    <row r="12" spans="2:12" x14ac:dyDescent="0.3">
      <c r="B12" s="57"/>
      <c r="C12" s="57"/>
      <c r="D12" s="15" t="s">
        <v>130</v>
      </c>
      <c r="E12" s="21" t="s">
        <v>216</v>
      </c>
      <c r="F12" s="15">
        <v>2</v>
      </c>
      <c r="G12" s="15">
        <v>2</v>
      </c>
      <c r="H12" s="15">
        <f t="shared" si="0"/>
        <v>4</v>
      </c>
      <c r="I12" s="28" t="s">
        <v>74</v>
      </c>
      <c r="J12" s="15">
        <v>1</v>
      </c>
      <c r="K12" s="15">
        <v>2</v>
      </c>
      <c r="L12" s="15">
        <f t="shared" si="1"/>
        <v>2</v>
      </c>
    </row>
    <row r="13" spans="2:12" ht="27" x14ac:dyDescent="0.3">
      <c r="B13" s="57"/>
      <c r="C13" s="57"/>
      <c r="D13" s="15" t="s">
        <v>130</v>
      </c>
      <c r="E13" s="21" t="s">
        <v>217</v>
      </c>
      <c r="F13" s="15">
        <v>2</v>
      </c>
      <c r="G13" s="15">
        <v>3</v>
      </c>
      <c r="H13" s="15">
        <f t="shared" si="0"/>
        <v>6</v>
      </c>
      <c r="I13" s="28" t="s">
        <v>73</v>
      </c>
      <c r="J13" s="15">
        <v>1</v>
      </c>
      <c r="K13" s="15">
        <v>3</v>
      </c>
      <c r="L13" s="15">
        <f t="shared" si="1"/>
        <v>3</v>
      </c>
    </row>
    <row r="14" spans="2:12" ht="20.25" x14ac:dyDescent="0.3">
      <c r="B14" s="53" t="s">
        <v>2</v>
      </c>
      <c r="C14" s="5"/>
      <c r="D14" s="22"/>
      <c r="E14" s="10"/>
      <c r="F14" s="6"/>
      <c r="G14" s="6"/>
      <c r="H14" s="5"/>
      <c r="I14" s="7"/>
      <c r="J14" s="6"/>
      <c r="K14" s="6"/>
      <c r="L14" s="5"/>
    </row>
    <row r="15" spans="2:12" ht="20.25" x14ac:dyDescent="0.3">
      <c r="B15" s="53"/>
      <c r="C15" s="5"/>
      <c r="D15" s="22"/>
      <c r="E15" s="10"/>
      <c r="F15" s="6"/>
      <c r="G15" s="6"/>
      <c r="H15" s="5"/>
      <c r="I15" s="7"/>
      <c r="J15" s="6"/>
      <c r="K15" s="6"/>
      <c r="L15" s="5"/>
    </row>
    <row r="16" spans="2:12" ht="20.25" x14ac:dyDescent="0.3">
      <c r="B16" s="53"/>
      <c r="C16" s="5"/>
      <c r="D16" s="22"/>
      <c r="E16" s="10"/>
      <c r="F16" s="6"/>
      <c r="G16" s="6"/>
      <c r="H16" s="5"/>
      <c r="I16" s="7"/>
      <c r="J16" s="6"/>
      <c r="K16" s="6"/>
      <c r="L16" s="5"/>
    </row>
    <row r="17" spans="1:12" ht="20.25" x14ac:dyDescent="0.3">
      <c r="B17" s="53"/>
      <c r="C17" s="5"/>
      <c r="D17" s="22"/>
      <c r="E17" s="10"/>
      <c r="F17" s="6"/>
      <c r="G17" s="6"/>
      <c r="H17" s="5"/>
      <c r="I17" s="7"/>
      <c r="J17" s="6"/>
      <c r="K17" s="6"/>
      <c r="L17" s="5"/>
    </row>
    <row r="18" spans="1:12" ht="20.25" x14ac:dyDescent="0.3">
      <c r="D18" s="30"/>
      <c r="I18" s="4"/>
    </row>
    <row r="19" spans="1:12" x14ac:dyDescent="0.3">
      <c r="A19" s="3"/>
      <c r="B19" s="3"/>
      <c r="C19" s="3"/>
      <c r="D19" s="3"/>
      <c r="E19" s="4"/>
    </row>
    <row r="20" spans="1:12" s="1" customFormat="1" x14ac:dyDescent="0.3">
      <c r="A20" s="3"/>
      <c r="B20" s="3"/>
      <c r="C20" s="3"/>
      <c r="D20" s="3"/>
      <c r="E20" s="4"/>
      <c r="H20"/>
      <c r="I20" s="2"/>
    </row>
  </sheetData>
  <mergeCells count="9">
    <mergeCell ref="J5:L5"/>
    <mergeCell ref="B7:B13"/>
    <mergeCell ref="C7:C13"/>
    <mergeCell ref="B14:B17"/>
    <mergeCell ref="B5:B6"/>
    <mergeCell ref="C5:C6"/>
    <mergeCell ref="D5:E5"/>
    <mergeCell ref="F5:H5"/>
    <mergeCell ref="I5:I6"/>
  </mergeCells>
  <phoneticPr fontId="1" type="noConversion"/>
  <conditionalFormatting sqref="H7:H13">
    <cfRule type="cellIs" dxfId="65" priority="4" operator="between">
      <formula>1</formula>
      <formula>3</formula>
    </cfRule>
    <cfRule type="cellIs" dxfId="64" priority="5" operator="equal">
      <formula>4</formula>
    </cfRule>
    <cfRule type="cellIs" dxfId="63" priority="6" operator="between">
      <formula>6</formula>
      <formula>9</formula>
    </cfRule>
  </conditionalFormatting>
  <conditionalFormatting sqref="L7:L13">
    <cfRule type="cellIs" dxfId="62" priority="1" operator="between">
      <formula>1</formula>
      <formula>3</formula>
    </cfRule>
    <cfRule type="cellIs" dxfId="61" priority="2" operator="equal">
      <formula>4</formula>
    </cfRule>
    <cfRule type="cellIs" dxfId="60" priority="3" operator="between">
      <formula>6</formula>
      <formula>9</formula>
    </cfRule>
  </conditionalFormatting>
  <pageMargins left="0" right="0" top="0.59055118110236227" bottom="0" header="0.31496062992125984" footer="0"/>
  <pageSetup paperSize="9" scale="65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2B8E9-8026-4DAC-A69D-BC148E13A8A2}">
  <sheetPr>
    <tabColor rgb="FF0000FF"/>
    <pageSetUpPr fitToPage="1"/>
  </sheetPr>
  <dimension ref="A2:L27"/>
  <sheetViews>
    <sheetView showGridLines="0" zoomScale="70" zoomScaleNormal="70" zoomScaleSheetLayoutView="70" workbookViewId="0">
      <selection activeCell="E8" sqref="E8"/>
    </sheetView>
  </sheetViews>
  <sheetFormatPr defaultRowHeight="16.5" x14ac:dyDescent="0.3"/>
  <cols>
    <col min="1" max="1" width="2.625" customWidth="1"/>
    <col min="2" max="4" width="14.625" customWidth="1"/>
    <col min="5" max="5" width="57.625" style="2" customWidth="1"/>
    <col min="6" max="7" width="4.75" style="1" customWidth="1"/>
    <col min="8" max="8" width="10.25" bestFit="1" customWidth="1"/>
    <col min="9" max="9" width="65.625" style="2" customWidth="1"/>
    <col min="10" max="11" width="5.625" style="1" customWidth="1"/>
    <col min="12" max="12" width="10.25" bestFit="1" customWidth="1"/>
  </cols>
  <sheetData>
    <row r="2" spans="2:12" ht="31.5" x14ac:dyDescent="0.3">
      <c r="B2" s="13" t="s">
        <v>112</v>
      </c>
    </row>
    <row r="4" spans="2:12" ht="17.25" x14ac:dyDescent="0.3">
      <c r="B4" s="12" t="s">
        <v>380</v>
      </c>
    </row>
    <row r="5" spans="2:12" ht="29.25" customHeight="1" x14ac:dyDescent="0.3">
      <c r="B5" s="54" t="s">
        <v>0</v>
      </c>
      <c r="C5" s="54" t="s">
        <v>36</v>
      </c>
      <c r="D5" s="54" t="s">
        <v>113</v>
      </c>
      <c r="E5" s="54"/>
      <c r="F5" s="55" t="s">
        <v>116</v>
      </c>
      <c r="G5" s="55"/>
      <c r="H5" s="55"/>
      <c r="I5" s="54" t="s">
        <v>35</v>
      </c>
      <c r="J5" s="55" t="s">
        <v>118</v>
      </c>
      <c r="K5" s="55"/>
      <c r="L5" s="55"/>
    </row>
    <row r="6" spans="2:12" x14ac:dyDescent="0.3">
      <c r="B6" s="54"/>
      <c r="C6" s="54"/>
      <c r="D6" s="17" t="s">
        <v>114</v>
      </c>
      <c r="E6" s="17" t="s">
        <v>115</v>
      </c>
      <c r="F6" s="18" t="s">
        <v>34</v>
      </c>
      <c r="G6" s="18" t="s">
        <v>33</v>
      </c>
      <c r="H6" s="17" t="s">
        <v>117</v>
      </c>
      <c r="I6" s="54"/>
      <c r="J6" s="18" t="s">
        <v>34</v>
      </c>
      <c r="K6" s="18" t="s">
        <v>33</v>
      </c>
      <c r="L6" s="17" t="s">
        <v>117</v>
      </c>
    </row>
    <row r="7" spans="2:12" ht="27" x14ac:dyDescent="0.3">
      <c r="B7" s="57" t="s">
        <v>380</v>
      </c>
      <c r="C7" s="57" t="s">
        <v>383</v>
      </c>
      <c r="D7" s="9" t="s">
        <v>42</v>
      </c>
      <c r="E7" s="8" t="s">
        <v>347</v>
      </c>
      <c r="F7" s="32">
        <v>3</v>
      </c>
      <c r="G7" s="32">
        <v>3</v>
      </c>
      <c r="H7" s="15">
        <f>F7*G7</f>
        <v>9</v>
      </c>
      <c r="I7" s="28" t="s">
        <v>348</v>
      </c>
      <c r="J7" s="32">
        <v>1</v>
      </c>
      <c r="K7" s="32">
        <v>3</v>
      </c>
      <c r="L7" s="15">
        <f>J7*K7</f>
        <v>3</v>
      </c>
    </row>
    <row r="8" spans="2:12" ht="27" x14ac:dyDescent="0.3">
      <c r="B8" s="57"/>
      <c r="C8" s="57"/>
      <c r="D8" s="9" t="s">
        <v>42</v>
      </c>
      <c r="E8" s="8" t="s">
        <v>384</v>
      </c>
      <c r="F8" s="32">
        <v>3</v>
      </c>
      <c r="G8" s="32">
        <v>3</v>
      </c>
      <c r="H8" s="15">
        <f>F8*G8</f>
        <v>9</v>
      </c>
      <c r="I8" s="28" t="s">
        <v>349</v>
      </c>
      <c r="J8" s="32">
        <v>1</v>
      </c>
      <c r="K8" s="32">
        <v>3</v>
      </c>
      <c r="L8" s="15">
        <f>J8*K8</f>
        <v>3</v>
      </c>
    </row>
    <row r="9" spans="2:12" ht="27" x14ac:dyDescent="0.3">
      <c r="B9" s="57"/>
      <c r="C9" s="57"/>
      <c r="D9" s="9" t="s">
        <v>42</v>
      </c>
      <c r="E9" s="8" t="s">
        <v>350</v>
      </c>
      <c r="F9" s="32">
        <v>3</v>
      </c>
      <c r="G9" s="32">
        <v>3</v>
      </c>
      <c r="H9" s="15">
        <f t="shared" ref="H9:H19" si="0">F9*G9</f>
        <v>9</v>
      </c>
      <c r="I9" s="28" t="s">
        <v>366</v>
      </c>
      <c r="J9" s="32">
        <v>1</v>
      </c>
      <c r="K9" s="32">
        <v>3</v>
      </c>
      <c r="L9" s="15">
        <f t="shared" ref="L9:L19" si="1">J9*K9</f>
        <v>3</v>
      </c>
    </row>
    <row r="10" spans="2:12" ht="27" x14ac:dyDescent="0.3">
      <c r="B10" s="57"/>
      <c r="C10" s="57"/>
      <c r="D10" s="9" t="s">
        <v>42</v>
      </c>
      <c r="E10" s="8" t="s">
        <v>365</v>
      </c>
      <c r="F10" s="32">
        <v>3</v>
      </c>
      <c r="G10" s="32">
        <v>3</v>
      </c>
      <c r="H10" s="15">
        <f t="shared" si="0"/>
        <v>9</v>
      </c>
      <c r="I10" s="28" t="s">
        <v>59</v>
      </c>
      <c r="J10" s="32">
        <v>1</v>
      </c>
      <c r="K10" s="32">
        <v>3</v>
      </c>
      <c r="L10" s="15">
        <f t="shared" si="1"/>
        <v>3</v>
      </c>
    </row>
    <row r="11" spans="2:12" ht="40.5" x14ac:dyDescent="0.3">
      <c r="B11" s="57"/>
      <c r="C11" s="57"/>
      <c r="D11" s="9" t="s">
        <v>42</v>
      </c>
      <c r="E11" s="8" t="s">
        <v>58</v>
      </c>
      <c r="F11" s="32">
        <v>2</v>
      </c>
      <c r="G11" s="32">
        <v>3</v>
      </c>
      <c r="H11" s="15">
        <f t="shared" si="0"/>
        <v>6</v>
      </c>
      <c r="I11" s="28" t="s">
        <v>371</v>
      </c>
      <c r="J11" s="32">
        <v>1</v>
      </c>
      <c r="K11" s="32">
        <v>3</v>
      </c>
      <c r="L11" s="15">
        <f t="shared" si="1"/>
        <v>3</v>
      </c>
    </row>
    <row r="12" spans="2:12" ht="27" x14ac:dyDescent="0.3">
      <c r="B12" s="57"/>
      <c r="C12" s="57"/>
      <c r="D12" s="9" t="s">
        <v>42</v>
      </c>
      <c r="E12" s="8" t="s">
        <v>364</v>
      </c>
      <c r="F12" s="32">
        <v>2</v>
      </c>
      <c r="G12" s="32">
        <v>3</v>
      </c>
      <c r="H12" s="15">
        <f t="shared" si="0"/>
        <v>6</v>
      </c>
      <c r="I12" s="28" t="s">
        <v>370</v>
      </c>
      <c r="J12" s="32">
        <v>1</v>
      </c>
      <c r="K12" s="32">
        <v>3</v>
      </c>
      <c r="L12" s="15">
        <f t="shared" si="1"/>
        <v>3</v>
      </c>
    </row>
    <row r="13" spans="2:12" x14ac:dyDescent="0.3">
      <c r="B13" s="57"/>
      <c r="C13" s="57"/>
      <c r="D13" s="9" t="s">
        <v>42</v>
      </c>
      <c r="E13" s="8" t="s">
        <v>360</v>
      </c>
      <c r="F13" s="32">
        <v>3</v>
      </c>
      <c r="G13" s="32">
        <v>3</v>
      </c>
      <c r="H13" s="15">
        <f t="shared" si="0"/>
        <v>9</v>
      </c>
      <c r="I13" s="28" t="s">
        <v>352</v>
      </c>
      <c r="J13" s="32">
        <v>1</v>
      </c>
      <c r="K13" s="32">
        <v>3</v>
      </c>
      <c r="L13" s="15">
        <f t="shared" si="1"/>
        <v>3</v>
      </c>
    </row>
    <row r="14" spans="2:12" x14ac:dyDescent="0.3">
      <c r="B14" s="57"/>
      <c r="C14" s="57"/>
      <c r="D14" s="9" t="s">
        <v>42</v>
      </c>
      <c r="E14" s="8" t="s">
        <v>57</v>
      </c>
      <c r="F14" s="32">
        <v>2</v>
      </c>
      <c r="G14" s="32">
        <v>3</v>
      </c>
      <c r="H14" s="15">
        <f t="shared" si="0"/>
        <v>6</v>
      </c>
      <c r="I14" s="28" t="s">
        <v>56</v>
      </c>
      <c r="J14" s="32">
        <v>1</v>
      </c>
      <c r="K14" s="32">
        <v>3</v>
      </c>
      <c r="L14" s="15">
        <f t="shared" si="1"/>
        <v>3</v>
      </c>
    </row>
    <row r="15" spans="2:12" x14ac:dyDescent="0.3">
      <c r="B15" s="57"/>
      <c r="C15" s="57"/>
      <c r="D15" s="9" t="s">
        <v>55</v>
      </c>
      <c r="E15" s="8" t="s">
        <v>361</v>
      </c>
      <c r="F15" s="32">
        <v>2</v>
      </c>
      <c r="G15" s="32">
        <v>2</v>
      </c>
      <c r="H15" s="15">
        <f t="shared" si="0"/>
        <v>4</v>
      </c>
      <c r="I15" s="28" t="s">
        <v>369</v>
      </c>
      <c r="J15" s="32">
        <v>1</v>
      </c>
      <c r="K15" s="32">
        <v>2</v>
      </c>
      <c r="L15" s="15">
        <f t="shared" si="1"/>
        <v>2</v>
      </c>
    </row>
    <row r="16" spans="2:12" ht="27" x14ac:dyDescent="0.3">
      <c r="B16" s="57"/>
      <c r="C16" s="57"/>
      <c r="D16" s="9" t="s">
        <v>55</v>
      </c>
      <c r="E16" s="8" t="s">
        <v>362</v>
      </c>
      <c r="F16" s="32">
        <v>2</v>
      </c>
      <c r="G16" s="32">
        <v>2</v>
      </c>
      <c r="H16" s="15">
        <f t="shared" si="0"/>
        <v>4</v>
      </c>
      <c r="I16" s="28" t="s">
        <v>363</v>
      </c>
      <c r="J16" s="32">
        <v>1</v>
      </c>
      <c r="K16" s="32">
        <v>2</v>
      </c>
      <c r="L16" s="15">
        <f t="shared" si="1"/>
        <v>2</v>
      </c>
    </row>
    <row r="17" spans="1:12" ht="27" x14ac:dyDescent="0.3">
      <c r="B17" s="57"/>
      <c r="C17" s="57"/>
      <c r="D17" s="9" t="s">
        <v>44</v>
      </c>
      <c r="E17" s="8" t="s">
        <v>355</v>
      </c>
      <c r="F17" s="32">
        <v>2</v>
      </c>
      <c r="G17" s="32">
        <v>2</v>
      </c>
      <c r="H17" s="15">
        <f t="shared" si="0"/>
        <v>4</v>
      </c>
      <c r="I17" s="28" t="s">
        <v>356</v>
      </c>
      <c r="J17" s="32">
        <v>1</v>
      </c>
      <c r="K17" s="32">
        <v>2</v>
      </c>
      <c r="L17" s="15">
        <f t="shared" si="1"/>
        <v>2</v>
      </c>
    </row>
    <row r="18" spans="1:12" ht="27" x14ac:dyDescent="0.3">
      <c r="B18" s="57"/>
      <c r="C18" s="57"/>
      <c r="D18" s="9" t="s">
        <v>44</v>
      </c>
      <c r="E18" s="8" t="s">
        <v>357</v>
      </c>
      <c r="F18" s="32">
        <v>2</v>
      </c>
      <c r="G18" s="32">
        <v>2</v>
      </c>
      <c r="H18" s="15">
        <f t="shared" si="0"/>
        <v>4</v>
      </c>
      <c r="I18" s="28" t="s">
        <v>358</v>
      </c>
      <c r="J18" s="32">
        <v>1</v>
      </c>
      <c r="K18" s="32">
        <v>2</v>
      </c>
      <c r="L18" s="15">
        <f t="shared" si="1"/>
        <v>2</v>
      </c>
    </row>
    <row r="19" spans="1:12" ht="27" x14ac:dyDescent="0.3">
      <c r="B19" s="57"/>
      <c r="C19" s="57"/>
      <c r="D19" s="9" t="s">
        <v>52</v>
      </c>
      <c r="E19" s="8" t="s">
        <v>367</v>
      </c>
      <c r="F19" s="32">
        <v>2</v>
      </c>
      <c r="G19" s="32">
        <v>2</v>
      </c>
      <c r="H19" s="15">
        <f t="shared" si="0"/>
        <v>4</v>
      </c>
      <c r="I19" s="28" t="s">
        <v>368</v>
      </c>
      <c r="J19" s="32">
        <v>1</v>
      </c>
      <c r="K19" s="32">
        <v>2</v>
      </c>
      <c r="L19" s="15">
        <f t="shared" si="1"/>
        <v>2</v>
      </c>
    </row>
    <row r="20" spans="1:12" x14ac:dyDescent="0.3">
      <c r="B20" s="57"/>
      <c r="C20" s="57"/>
      <c r="D20" s="9" t="s">
        <v>52</v>
      </c>
      <c r="E20" s="8" t="s">
        <v>53</v>
      </c>
      <c r="F20" s="32">
        <v>2</v>
      </c>
      <c r="G20" s="32">
        <v>2</v>
      </c>
      <c r="H20" s="15">
        <f t="shared" ref="H20" si="2">F20*G20</f>
        <v>4</v>
      </c>
      <c r="I20" s="28" t="s">
        <v>51</v>
      </c>
      <c r="J20" s="32">
        <v>1</v>
      </c>
      <c r="K20" s="32">
        <v>2</v>
      </c>
      <c r="L20" s="15">
        <f t="shared" ref="L20" si="3">J20*K20</f>
        <v>2</v>
      </c>
    </row>
    <row r="21" spans="1:12" ht="20.25" x14ac:dyDescent="0.3">
      <c r="B21" s="53" t="s">
        <v>2</v>
      </c>
      <c r="C21" s="5"/>
      <c r="D21" s="31"/>
      <c r="E21" s="10"/>
      <c r="F21" s="6"/>
      <c r="G21" s="6"/>
      <c r="H21" s="5"/>
      <c r="I21" s="7"/>
      <c r="J21" s="6"/>
      <c r="K21" s="6"/>
      <c r="L21" s="5"/>
    </row>
    <row r="22" spans="1:12" ht="20.25" x14ac:dyDescent="0.3">
      <c r="B22" s="53"/>
      <c r="C22" s="5"/>
      <c r="D22" s="31"/>
      <c r="E22" s="10"/>
      <c r="F22" s="6"/>
      <c r="G22" s="6"/>
      <c r="H22" s="5"/>
      <c r="I22" s="7"/>
      <c r="J22" s="6"/>
      <c r="K22" s="6"/>
      <c r="L22" s="5"/>
    </row>
    <row r="23" spans="1:12" ht="20.25" x14ac:dyDescent="0.3">
      <c r="B23" s="53"/>
      <c r="C23" s="5"/>
      <c r="D23" s="31"/>
      <c r="E23" s="10"/>
      <c r="F23" s="6"/>
      <c r="G23" s="6"/>
      <c r="H23" s="5"/>
      <c r="I23" s="7"/>
      <c r="J23" s="6"/>
      <c r="K23" s="6"/>
      <c r="L23" s="5"/>
    </row>
    <row r="24" spans="1:12" x14ac:dyDescent="0.3">
      <c r="B24" s="53"/>
      <c r="C24" s="5"/>
      <c r="D24" s="5"/>
      <c r="E24" s="10"/>
      <c r="F24" s="6"/>
      <c r="G24" s="6"/>
      <c r="H24" s="5"/>
      <c r="I24" s="7"/>
      <c r="J24" s="6"/>
      <c r="K24" s="6"/>
      <c r="L24" s="5"/>
    </row>
    <row r="25" spans="1:12" x14ac:dyDescent="0.3">
      <c r="I25" s="4"/>
    </row>
    <row r="26" spans="1:12" x14ac:dyDescent="0.3">
      <c r="A26" s="3"/>
      <c r="B26" s="3"/>
      <c r="C26" s="3"/>
      <c r="D26" s="3"/>
      <c r="E26" s="4"/>
    </row>
    <row r="27" spans="1:12" s="1" customFormat="1" x14ac:dyDescent="0.3">
      <c r="A27" s="3"/>
      <c r="B27" s="3"/>
      <c r="C27" s="3"/>
      <c r="D27" s="3"/>
      <c r="E27" s="4"/>
      <c r="H27"/>
      <c r="I27" s="2"/>
    </row>
  </sheetData>
  <mergeCells count="9">
    <mergeCell ref="J5:L5"/>
    <mergeCell ref="B21:B24"/>
    <mergeCell ref="B7:B20"/>
    <mergeCell ref="C7:C20"/>
    <mergeCell ref="B5:B6"/>
    <mergeCell ref="C5:C6"/>
    <mergeCell ref="D5:E5"/>
    <mergeCell ref="F5:H5"/>
    <mergeCell ref="I5:I6"/>
  </mergeCells>
  <phoneticPr fontId="1" type="noConversion"/>
  <conditionalFormatting sqref="H7:H19">
    <cfRule type="cellIs" dxfId="59" priority="10" operator="between">
      <formula>1</formula>
      <formula>3</formula>
    </cfRule>
    <cfRule type="cellIs" dxfId="58" priority="11" operator="equal">
      <formula>4</formula>
    </cfRule>
    <cfRule type="cellIs" dxfId="57" priority="12" operator="between">
      <formula>6</formula>
      <formula>9</formula>
    </cfRule>
  </conditionalFormatting>
  <conditionalFormatting sqref="L7:L19">
    <cfRule type="cellIs" dxfId="56" priority="7" operator="between">
      <formula>1</formula>
      <formula>3</formula>
    </cfRule>
    <cfRule type="cellIs" dxfId="55" priority="8" operator="equal">
      <formula>4</formula>
    </cfRule>
    <cfRule type="cellIs" dxfId="54" priority="9" operator="between">
      <formula>6</formula>
      <formula>9</formula>
    </cfRule>
  </conditionalFormatting>
  <conditionalFormatting sqref="H20">
    <cfRule type="cellIs" dxfId="53" priority="4" operator="between">
      <formula>1</formula>
      <formula>3</formula>
    </cfRule>
    <cfRule type="cellIs" dxfId="52" priority="5" operator="equal">
      <formula>4</formula>
    </cfRule>
    <cfRule type="cellIs" dxfId="51" priority="6" operator="between">
      <formula>6</formula>
      <formula>9</formula>
    </cfRule>
  </conditionalFormatting>
  <conditionalFormatting sqref="L20">
    <cfRule type="cellIs" dxfId="50" priority="1" operator="between">
      <formula>1</formula>
      <formula>3</formula>
    </cfRule>
    <cfRule type="cellIs" dxfId="49" priority="2" operator="equal">
      <formula>4</formula>
    </cfRule>
    <cfRule type="cellIs" dxfId="48" priority="3" operator="between">
      <formula>6</formula>
      <formula>9</formula>
    </cfRule>
  </conditionalFormatting>
  <pageMargins left="0" right="0" top="0.59055118110236227" bottom="0" header="0.31496062992125984" footer="0"/>
  <pageSetup paperSize="9" scale="6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A7C0-6CE1-4CAD-9D3D-3EE80B71E0C7}">
  <sheetPr>
    <tabColor rgb="FF0000FF"/>
    <pageSetUpPr fitToPage="1"/>
  </sheetPr>
  <dimension ref="A2:L28"/>
  <sheetViews>
    <sheetView showGridLines="0" zoomScale="70" zoomScaleNormal="70" zoomScaleSheetLayoutView="70" workbookViewId="0">
      <selection activeCell="E21" sqref="E21"/>
    </sheetView>
  </sheetViews>
  <sheetFormatPr defaultRowHeight="16.5" x14ac:dyDescent="0.3"/>
  <cols>
    <col min="1" max="1" width="2.625" customWidth="1"/>
    <col min="2" max="4" width="14.625" customWidth="1"/>
    <col min="5" max="5" width="57.625" style="2" customWidth="1"/>
    <col min="6" max="7" width="4.75" style="1" customWidth="1"/>
    <col min="8" max="8" width="10.25" bestFit="1" customWidth="1"/>
    <col min="9" max="9" width="65.625" style="2" customWidth="1"/>
    <col min="10" max="11" width="5.625" style="1" customWidth="1"/>
    <col min="12" max="12" width="10.25" bestFit="1" customWidth="1"/>
  </cols>
  <sheetData>
    <row r="2" spans="2:12" ht="31.5" x14ac:dyDescent="0.3">
      <c r="B2" s="13" t="s">
        <v>112</v>
      </c>
    </row>
    <row r="4" spans="2:12" ht="17.25" x14ac:dyDescent="0.3">
      <c r="B4" s="12" t="s">
        <v>341</v>
      </c>
    </row>
    <row r="5" spans="2:12" ht="29.25" customHeight="1" x14ac:dyDescent="0.3">
      <c r="B5" s="54" t="s">
        <v>0</v>
      </c>
      <c r="C5" s="54" t="s">
        <v>36</v>
      </c>
      <c r="D5" s="54" t="s">
        <v>113</v>
      </c>
      <c r="E5" s="54"/>
      <c r="F5" s="55" t="s">
        <v>116</v>
      </c>
      <c r="G5" s="55"/>
      <c r="H5" s="55"/>
      <c r="I5" s="54" t="s">
        <v>35</v>
      </c>
      <c r="J5" s="55" t="s">
        <v>118</v>
      </c>
      <c r="K5" s="55"/>
      <c r="L5" s="55"/>
    </row>
    <row r="6" spans="2:12" x14ac:dyDescent="0.3">
      <c r="B6" s="54"/>
      <c r="C6" s="54"/>
      <c r="D6" s="39" t="s">
        <v>114</v>
      </c>
      <c r="E6" s="39" t="s">
        <v>115</v>
      </c>
      <c r="F6" s="40" t="s">
        <v>34</v>
      </c>
      <c r="G6" s="40" t="s">
        <v>33</v>
      </c>
      <c r="H6" s="39" t="s">
        <v>117</v>
      </c>
      <c r="I6" s="54"/>
      <c r="J6" s="40" t="s">
        <v>34</v>
      </c>
      <c r="K6" s="40" t="s">
        <v>33</v>
      </c>
      <c r="L6" s="39" t="s">
        <v>117</v>
      </c>
    </row>
    <row r="7" spans="2:12" ht="27" x14ac:dyDescent="0.3">
      <c r="B7" s="57" t="s">
        <v>341</v>
      </c>
      <c r="C7" s="57" t="s">
        <v>382</v>
      </c>
      <c r="D7" s="9" t="s">
        <v>42</v>
      </c>
      <c r="E7" s="8" t="s">
        <v>347</v>
      </c>
      <c r="F7" s="32">
        <v>3</v>
      </c>
      <c r="G7" s="32">
        <v>3</v>
      </c>
      <c r="H7" s="15">
        <f>F7*G7</f>
        <v>9</v>
      </c>
      <c r="I7" s="28" t="s">
        <v>348</v>
      </c>
      <c r="J7" s="32">
        <v>1</v>
      </c>
      <c r="K7" s="32">
        <v>3</v>
      </c>
      <c r="L7" s="15">
        <f>J7*K7</f>
        <v>3</v>
      </c>
    </row>
    <row r="8" spans="2:12" ht="27" x14ac:dyDescent="0.3">
      <c r="B8" s="57"/>
      <c r="C8" s="57"/>
      <c r="D8" s="9" t="s">
        <v>42</v>
      </c>
      <c r="E8" s="8" t="s">
        <v>385</v>
      </c>
      <c r="F8" s="32">
        <v>3</v>
      </c>
      <c r="G8" s="32">
        <v>3</v>
      </c>
      <c r="H8" s="15">
        <f>F8*G8</f>
        <v>9</v>
      </c>
      <c r="I8" s="28" t="s">
        <v>349</v>
      </c>
      <c r="J8" s="32">
        <v>1</v>
      </c>
      <c r="K8" s="32">
        <v>3</v>
      </c>
      <c r="L8" s="15">
        <f>J8*K8</f>
        <v>3</v>
      </c>
    </row>
    <row r="9" spans="2:12" ht="27" x14ac:dyDescent="0.3">
      <c r="B9" s="57"/>
      <c r="C9" s="57"/>
      <c r="D9" s="9" t="s">
        <v>42</v>
      </c>
      <c r="E9" s="8" t="s">
        <v>372</v>
      </c>
      <c r="F9" s="32">
        <v>3</v>
      </c>
      <c r="G9" s="32">
        <v>3</v>
      </c>
      <c r="H9" s="15">
        <f t="shared" ref="H9:H21" si="0">F9*G9</f>
        <v>9</v>
      </c>
      <c r="I9" s="28" t="s">
        <v>370</v>
      </c>
      <c r="J9" s="32">
        <v>1</v>
      </c>
      <c r="K9" s="32">
        <v>3</v>
      </c>
      <c r="L9" s="15">
        <f t="shared" ref="L9:L21" si="1">J9*K9</f>
        <v>3</v>
      </c>
    </row>
    <row r="10" spans="2:12" x14ac:dyDescent="0.3">
      <c r="B10" s="57"/>
      <c r="C10" s="57"/>
      <c r="D10" s="9" t="s">
        <v>221</v>
      </c>
      <c r="E10" s="8" t="s">
        <v>351</v>
      </c>
      <c r="F10" s="32">
        <v>3</v>
      </c>
      <c r="G10" s="32">
        <v>3</v>
      </c>
      <c r="H10" s="15">
        <f t="shared" si="0"/>
        <v>9</v>
      </c>
      <c r="I10" s="28" t="s">
        <v>343</v>
      </c>
      <c r="J10" s="32">
        <v>1</v>
      </c>
      <c r="K10" s="32">
        <v>3</v>
      </c>
      <c r="L10" s="15">
        <f t="shared" si="1"/>
        <v>3</v>
      </c>
    </row>
    <row r="11" spans="2:12" ht="27" x14ac:dyDescent="0.3">
      <c r="B11" s="57"/>
      <c r="C11" s="57"/>
      <c r="D11" s="9" t="s">
        <v>132</v>
      </c>
      <c r="E11" s="8" t="s">
        <v>344</v>
      </c>
      <c r="F11" s="32">
        <v>2</v>
      </c>
      <c r="G11" s="32">
        <v>3</v>
      </c>
      <c r="H11" s="15">
        <f t="shared" si="0"/>
        <v>6</v>
      </c>
      <c r="I11" s="28" t="s">
        <v>345</v>
      </c>
      <c r="J11" s="32">
        <v>1</v>
      </c>
      <c r="K11" s="32">
        <v>3</v>
      </c>
      <c r="L11" s="15">
        <f t="shared" si="1"/>
        <v>3</v>
      </c>
    </row>
    <row r="12" spans="2:12" ht="27" x14ac:dyDescent="0.3">
      <c r="B12" s="57"/>
      <c r="C12" s="57"/>
      <c r="D12" s="9" t="s">
        <v>42</v>
      </c>
      <c r="E12" s="8" t="s">
        <v>346</v>
      </c>
      <c r="F12" s="32">
        <v>2</v>
      </c>
      <c r="G12" s="32">
        <v>3</v>
      </c>
      <c r="H12" s="15">
        <f t="shared" si="0"/>
        <v>6</v>
      </c>
      <c r="I12" s="28" t="s">
        <v>379</v>
      </c>
      <c r="J12" s="32">
        <v>1</v>
      </c>
      <c r="K12" s="32">
        <v>3</v>
      </c>
      <c r="L12" s="15">
        <f t="shared" si="1"/>
        <v>3</v>
      </c>
    </row>
    <row r="13" spans="2:12" x14ac:dyDescent="0.3">
      <c r="B13" s="57"/>
      <c r="C13" s="57"/>
      <c r="D13" s="9" t="s">
        <v>132</v>
      </c>
      <c r="E13" s="8" t="s">
        <v>373</v>
      </c>
      <c r="F13" s="32">
        <v>3</v>
      </c>
      <c r="G13" s="32">
        <v>3</v>
      </c>
      <c r="H13" s="15">
        <f t="shared" si="0"/>
        <v>9</v>
      </c>
      <c r="I13" s="28" t="s">
        <v>352</v>
      </c>
      <c r="J13" s="32">
        <v>1</v>
      </c>
      <c r="K13" s="32">
        <v>3</v>
      </c>
      <c r="L13" s="15">
        <f t="shared" si="1"/>
        <v>3</v>
      </c>
    </row>
    <row r="14" spans="2:12" x14ac:dyDescent="0.3">
      <c r="B14" s="57"/>
      <c r="C14" s="57"/>
      <c r="D14" s="9" t="s">
        <v>42</v>
      </c>
      <c r="E14" s="8" t="s">
        <v>57</v>
      </c>
      <c r="F14" s="32">
        <v>2</v>
      </c>
      <c r="G14" s="32">
        <v>3</v>
      </c>
      <c r="H14" s="15">
        <f t="shared" si="0"/>
        <v>6</v>
      </c>
      <c r="I14" s="28" t="s">
        <v>56</v>
      </c>
      <c r="J14" s="32">
        <v>1</v>
      </c>
      <c r="K14" s="32">
        <v>3</v>
      </c>
      <c r="L14" s="15">
        <f t="shared" si="1"/>
        <v>3</v>
      </c>
    </row>
    <row r="15" spans="2:12" x14ac:dyDescent="0.3">
      <c r="B15" s="57"/>
      <c r="C15" s="57"/>
      <c r="D15" s="9" t="s">
        <v>55</v>
      </c>
      <c r="E15" s="8" t="s">
        <v>374</v>
      </c>
      <c r="F15" s="32">
        <v>2</v>
      </c>
      <c r="G15" s="32">
        <v>2</v>
      </c>
      <c r="H15" s="15">
        <f t="shared" si="0"/>
        <v>4</v>
      </c>
      <c r="I15" s="28" t="s">
        <v>353</v>
      </c>
      <c r="J15" s="32">
        <v>1</v>
      </c>
      <c r="K15" s="32">
        <v>2</v>
      </c>
      <c r="L15" s="15">
        <f t="shared" si="1"/>
        <v>2</v>
      </c>
    </row>
    <row r="16" spans="2:12" x14ac:dyDescent="0.3">
      <c r="B16" s="57"/>
      <c r="C16" s="57"/>
      <c r="D16" s="9" t="s">
        <v>55</v>
      </c>
      <c r="E16" s="8" t="s">
        <v>375</v>
      </c>
      <c r="F16" s="32">
        <v>2</v>
      </c>
      <c r="G16" s="32">
        <v>2</v>
      </c>
      <c r="H16" s="15">
        <f t="shared" si="0"/>
        <v>4</v>
      </c>
      <c r="I16" s="28" t="s">
        <v>354</v>
      </c>
      <c r="J16" s="32">
        <v>1</v>
      </c>
      <c r="K16" s="32">
        <v>2</v>
      </c>
      <c r="L16" s="15">
        <f t="shared" si="1"/>
        <v>2</v>
      </c>
    </row>
    <row r="17" spans="1:12" ht="27" x14ac:dyDescent="0.3">
      <c r="B17" s="57"/>
      <c r="C17" s="57"/>
      <c r="D17" s="9" t="s">
        <v>44</v>
      </c>
      <c r="E17" s="8" t="s">
        <v>355</v>
      </c>
      <c r="F17" s="32">
        <v>2</v>
      </c>
      <c r="G17" s="32">
        <v>2</v>
      </c>
      <c r="H17" s="15">
        <f t="shared" si="0"/>
        <v>4</v>
      </c>
      <c r="I17" s="28" t="s">
        <v>378</v>
      </c>
      <c r="J17" s="32">
        <v>1</v>
      </c>
      <c r="K17" s="32">
        <v>2</v>
      </c>
      <c r="L17" s="15">
        <f t="shared" si="1"/>
        <v>2</v>
      </c>
    </row>
    <row r="18" spans="1:12" ht="27" x14ac:dyDescent="0.3">
      <c r="B18" s="57"/>
      <c r="C18" s="57"/>
      <c r="D18" s="9" t="s">
        <v>44</v>
      </c>
      <c r="E18" s="8" t="s">
        <v>357</v>
      </c>
      <c r="F18" s="32">
        <v>2</v>
      </c>
      <c r="G18" s="32">
        <v>2</v>
      </c>
      <c r="H18" s="15">
        <f t="shared" si="0"/>
        <v>4</v>
      </c>
      <c r="I18" s="28" t="s">
        <v>358</v>
      </c>
      <c r="J18" s="32">
        <v>1</v>
      </c>
      <c r="K18" s="32">
        <v>2</v>
      </c>
      <c r="L18" s="15">
        <f t="shared" si="1"/>
        <v>2</v>
      </c>
    </row>
    <row r="19" spans="1:12" ht="27" x14ac:dyDescent="0.3">
      <c r="B19" s="57"/>
      <c r="C19" s="57"/>
      <c r="D19" s="9" t="s">
        <v>52</v>
      </c>
      <c r="E19" s="8" t="s">
        <v>376</v>
      </c>
      <c r="F19" s="32">
        <v>2</v>
      </c>
      <c r="G19" s="32">
        <v>2</v>
      </c>
      <c r="H19" s="15">
        <f t="shared" si="0"/>
        <v>4</v>
      </c>
      <c r="I19" s="28" t="s">
        <v>377</v>
      </c>
      <c r="J19" s="32">
        <v>1</v>
      </c>
      <c r="K19" s="32">
        <v>2</v>
      </c>
      <c r="L19" s="15">
        <f t="shared" si="1"/>
        <v>2</v>
      </c>
    </row>
    <row r="20" spans="1:12" x14ac:dyDescent="0.3">
      <c r="B20" s="57"/>
      <c r="C20" s="57"/>
      <c r="D20" s="9" t="s">
        <v>52</v>
      </c>
      <c r="E20" s="8" t="s">
        <v>53</v>
      </c>
      <c r="F20" s="32">
        <v>2</v>
      </c>
      <c r="G20" s="32">
        <v>2</v>
      </c>
      <c r="H20" s="15">
        <f t="shared" si="0"/>
        <v>4</v>
      </c>
      <c r="I20" s="28" t="s">
        <v>51</v>
      </c>
      <c r="J20" s="32">
        <v>1</v>
      </c>
      <c r="K20" s="32">
        <v>2</v>
      </c>
      <c r="L20" s="15">
        <f t="shared" si="1"/>
        <v>2</v>
      </c>
    </row>
    <row r="21" spans="1:12" x14ac:dyDescent="0.3">
      <c r="B21" s="57"/>
      <c r="C21" s="57"/>
      <c r="D21" s="9" t="s">
        <v>132</v>
      </c>
      <c r="E21" s="8" t="s">
        <v>359</v>
      </c>
      <c r="F21" s="32">
        <v>2</v>
      </c>
      <c r="G21" s="32">
        <v>3</v>
      </c>
      <c r="H21" s="15">
        <f t="shared" si="0"/>
        <v>6</v>
      </c>
      <c r="I21" s="28" t="s">
        <v>313</v>
      </c>
      <c r="J21" s="32">
        <v>1</v>
      </c>
      <c r="K21" s="32">
        <v>3</v>
      </c>
      <c r="L21" s="15">
        <f t="shared" si="1"/>
        <v>3</v>
      </c>
    </row>
    <row r="22" spans="1:12" ht="20.25" x14ac:dyDescent="0.3">
      <c r="B22" s="53" t="s">
        <v>2</v>
      </c>
      <c r="C22" s="38"/>
      <c r="D22" s="31"/>
      <c r="E22" s="10"/>
      <c r="F22" s="6"/>
      <c r="G22" s="6"/>
      <c r="H22" s="38"/>
      <c r="I22" s="7"/>
      <c r="J22" s="6"/>
      <c r="K22" s="6"/>
      <c r="L22" s="38"/>
    </row>
    <row r="23" spans="1:12" ht="20.25" x14ac:dyDescent="0.3">
      <c r="B23" s="53"/>
      <c r="C23" s="38"/>
      <c r="D23" s="31"/>
      <c r="E23" s="10"/>
      <c r="F23" s="6"/>
      <c r="G23" s="6"/>
      <c r="H23" s="38"/>
      <c r="I23" s="7"/>
      <c r="J23" s="6"/>
      <c r="K23" s="6"/>
      <c r="L23" s="38"/>
    </row>
    <row r="24" spans="1:12" ht="20.25" x14ac:dyDescent="0.3">
      <c r="B24" s="53"/>
      <c r="C24" s="38"/>
      <c r="D24" s="31"/>
      <c r="E24" s="10"/>
      <c r="F24" s="6"/>
      <c r="G24" s="6"/>
      <c r="H24" s="38"/>
      <c r="I24" s="7"/>
      <c r="J24" s="6"/>
      <c r="K24" s="6"/>
      <c r="L24" s="38"/>
    </row>
    <row r="25" spans="1:12" x14ac:dyDescent="0.3">
      <c r="B25" s="53"/>
      <c r="C25" s="38"/>
      <c r="D25" s="38"/>
      <c r="E25" s="10"/>
      <c r="F25" s="6"/>
      <c r="G25" s="6"/>
      <c r="H25" s="38"/>
      <c r="I25" s="7"/>
      <c r="J25" s="6"/>
      <c r="K25" s="6"/>
      <c r="L25" s="38"/>
    </row>
    <row r="26" spans="1:12" x14ac:dyDescent="0.3">
      <c r="I26" s="4"/>
    </row>
    <row r="27" spans="1:12" x14ac:dyDescent="0.3">
      <c r="A27" s="3"/>
      <c r="B27" s="3"/>
      <c r="C27" s="3"/>
      <c r="D27" s="3"/>
      <c r="E27" s="4"/>
    </row>
    <row r="28" spans="1:12" s="1" customFormat="1" x14ac:dyDescent="0.3">
      <c r="A28" s="3"/>
      <c r="B28" s="3"/>
      <c r="C28" s="3"/>
      <c r="D28" s="3"/>
      <c r="E28" s="4"/>
      <c r="H28"/>
      <c r="I28" s="2"/>
    </row>
  </sheetData>
  <mergeCells count="9">
    <mergeCell ref="I5:I6"/>
    <mergeCell ref="J5:L5"/>
    <mergeCell ref="B7:B21"/>
    <mergeCell ref="C7:C21"/>
    <mergeCell ref="B22:B25"/>
    <mergeCell ref="B5:B6"/>
    <mergeCell ref="C5:C6"/>
    <mergeCell ref="D5:E5"/>
    <mergeCell ref="F5:H5"/>
  </mergeCells>
  <phoneticPr fontId="1" type="noConversion"/>
  <conditionalFormatting sqref="H7:H19 H21">
    <cfRule type="cellIs" dxfId="47" priority="10" operator="between">
      <formula>1</formula>
      <formula>3</formula>
    </cfRule>
    <cfRule type="cellIs" dxfId="46" priority="11" operator="equal">
      <formula>4</formula>
    </cfRule>
    <cfRule type="cellIs" dxfId="45" priority="12" operator="between">
      <formula>6</formula>
      <formula>9</formula>
    </cfRule>
  </conditionalFormatting>
  <conditionalFormatting sqref="L7:L19 L21">
    <cfRule type="cellIs" dxfId="44" priority="7" operator="between">
      <formula>1</formula>
      <formula>3</formula>
    </cfRule>
    <cfRule type="cellIs" dxfId="43" priority="8" operator="equal">
      <formula>4</formula>
    </cfRule>
    <cfRule type="cellIs" dxfId="42" priority="9" operator="between">
      <formula>6</formula>
      <formula>9</formula>
    </cfRule>
  </conditionalFormatting>
  <conditionalFormatting sqref="H20">
    <cfRule type="cellIs" dxfId="41" priority="4" operator="between">
      <formula>1</formula>
      <formula>3</formula>
    </cfRule>
    <cfRule type="cellIs" dxfId="40" priority="5" operator="equal">
      <formula>4</formula>
    </cfRule>
    <cfRule type="cellIs" dxfId="39" priority="6" operator="between">
      <formula>6</formula>
      <formula>9</formula>
    </cfRule>
  </conditionalFormatting>
  <conditionalFormatting sqref="L20">
    <cfRule type="cellIs" dxfId="38" priority="1" operator="between">
      <formula>1</formula>
      <formula>3</formula>
    </cfRule>
    <cfRule type="cellIs" dxfId="37" priority="2" operator="equal">
      <formula>4</formula>
    </cfRule>
    <cfRule type="cellIs" dxfId="36" priority="3" operator="between">
      <formula>6</formula>
      <formula>9</formula>
    </cfRule>
  </conditionalFormatting>
  <pageMargins left="0" right="0" top="0.59055118110236227" bottom="0" header="0.31496062992125984" footer="0"/>
  <pageSetup paperSize="9" scale="65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1E8EE-0BCC-4F54-9455-30053F092DDA}">
  <sheetPr>
    <tabColor rgb="FF0000FF"/>
    <pageSetUpPr fitToPage="1"/>
  </sheetPr>
  <dimension ref="A2:L26"/>
  <sheetViews>
    <sheetView showGridLines="0" zoomScale="70" zoomScaleNormal="70" zoomScaleSheetLayoutView="70" workbookViewId="0">
      <selection activeCell="E15" sqref="E15"/>
    </sheetView>
  </sheetViews>
  <sheetFormatPr defaultRowHeight="16.5" x14ac:dyDescent="0.3"/>
  <cols>
    <col min="1" max="1" width="2.625" customWidth="1"/>
    <col min="2" max="4" width="14.625" customWidth="1"/>
    <col min="5" max="5" width="57.625" style="2" customWidth="1"/>
    <col min="6" max="7" width="4.75" style="1" customWidth="1"/>
    <col min="8" max="8" width="10.25" bestFit="1" customWidth="1"/>
    <col min="9" max="9" width="65.625" style="2" customWidth="1"/>
    <col min="10" max="11" width="5.625" style="1" customWidth="1"/>
    <col min="12" max="12" width="10.25" bestFit="1" customWidth="1"/>
  </cols>
  <sheetData>
    <row r="2" spans="2:12" ht="31.5" x14ac:dyDescent="0.3">
      <c r="B2" s="13" t="s">
        <v>112</v>
      </c>
    </row>
    <row r="4" spans="2:12" ht="17.25" x14ac:dyDescent="0.3">
      <c r="B4" s="12" t="s">
        <v>342</v>
      </c>
    </row>
    <row r="5" spans="2:12" ht="29.25" customHeight="1" x14ac:dyDescent="0.3">
      <c r="B5" s="54" t="s">
        <v>0</v>
      </c>
      <c r="C5" s="54" t="s">
        <v>36</v>
      </c>
      <c r="D5" s="54" t="s">
        <v>113</v>
      </c>
      <c r="E5" s="54"/>
      <c r="F5" s="55" t="s">
        <v>116</v>
      </c>
      <c r="G5" s="55"/>
      <c r="H5" s="55"/>
      <c r="I5" s="54" t="s">
        <v>35</v>
      </c>
      <c r="J5" s="55" t="s">
        <v>118</v>
      </c>
      <c r="K5" s="55"/>
      <c r="L5" s="55"/>
    </row>
    <row r="6" spans="2:12" x14ac:dyDescent="0.3">
      <c r="B6" s="54"/>
      <c r="C6" s="54"/>
      <c r="D6" s="39" t="s">
        <v>114</v>
      </c>
      <c r="E6" s="39" t="s">
        <v>115</v>
      </c>
      <c r="F6" s="40" t="s">
        <v>34</v>
      </c>
      <c r="G6" s="40" t="s">
        <v>33</v>
      </c>
      <c r="H6" s="39" t="s">
        <v>117</v>
      </c>
      <c r="I6" s="54"/>
      <c r="J6" s="40" t="s">
        <v>34</v>
      </c>
      <c r="K6" s="40" t="s">
        <v>33</v>
      </c>
      <c r="L6" s="39" t="s">
        <v>117</v>
      </c>
    </row>
    <row r="7" spans="2:12" ht="27" x14ac:dyDescent="0.3">
      <c r="B7" s="57" t="s">
        <v>342</v>
      </c>
      <c r="C7" s="57" t="s">
        <v>382</v>
      </c>
      <c r="D7" s="9" t="s">
        <v>42</v>
      </c>
      <c r="E7" s="8" t="s">
        <v>381</v>
      </c>
      <c r="F7" s="32">
        <v>3</v>
      </c>
      <c r="G7" s="32">
        <v>3</v>
      </c>
      <c r="H7" s="15">
        <f>F7*G7</f>
        <v>9</v>
      </c>
      <c r="I7" s="28" t="s">
        <v>394</v>
      </c>
      <c r="J7" s="32">
        <v>1</v>
      </c>
      <c r="K7" s="32">
        <v>3</v>
      </c>
      <c r="L7" s="15">
        <f>J7*K7</f>
        <v>3</v>
      </c>
    </row>
    <row r="8" spans="2:12" ht="27" x14ac:dyDescent="0.3">
      <c r="B8" s="57"/>
      <c r="C8" s="57"/>
      <c r="D8" s="9" t="s">
        <v>42</v>
      </c>
      <c r="E8" s="8" t="s">
        <v>395</v>
      </c>
      <c r="F8" s="32">
        <v>3</v>
      </c>
      <c r="G8" s="32">
        <v>3</v>
      </c>
      <c r="H8" s="15">
        <f>F8*G8</f>
        <v>9</v>
      </c>
      <c r="I8" s="28" t="s">
        <v>379</v>
      </c>
      <c r="J8" s="32">
        <v>1</v>
      </c>
      <c r="K8" s="32">
        <v>3</v>
      </c>
      <c r="L8" s="15">
        <f>J8*K8</f>
        <v>3</v>
      </c>
    </row>
    <row r="9" spans="2:12" ht="27" x14ac:dyDescent="0.3">
      <c r="B9" s="57"/>
      <c r="C9" s="57"/>
      <c r="D9" s="9" t="s">
        <v>42</v>
      </c>
      <c r="E9" s="8" t="s">
        <v>372</v>
      </c>
      <c r="F9" s="32">
        <v>3</v>
      </c>
      <c r="G9" s="32">
        <v>3</v>
      </c>
      <c r="H9" s="15">
        <f t="shared" ref="H9:H19" si="0">F9*G9</f>
        <v>9</v>
      </c>
      <c r="I9" s="28" t="s">
        <v>379</v>
      </c>
      <c r="J9" s="32">
        <v>1</v>
      </c>
      <c r="K9" s="32">
        <v>3</v>
      </c>
      <c r="L9" s="15">
        <f t="shared" ref="L9:L19" si="1">J9*K9</f>
        <v>3</v>
      </c>
    </row>
    <row r="10" spans="2:12" x14ac:dyDescent="0.3">
      <c r="B10" s="57"/>
      <c r="C10" s="57"/>
      <c r="D10" s="9" t="s">
        <v>221</v>
      </c>
      <c r="E10" s="8" t="s">
        <v>351</v>
      </c>
      <c r="F10" s="32">
        <v>3</v>
      </c>
      <c r="G10" s="32">
        <v>3</v>
      </c>
      <c r="H10" s="15">
        <f t="shared" si="0"/>
        <v>9</v>
      </c>
      <c r="I10" s="28" t="s">
        <v>343</v>
      </c>
      <c r="J10" s="32">
        <v>1</v>
      </c>
      <c r="K10" s="32">
        <v>3</v>
      </c>
      <c r="L10" s="15">
        <f t="shared" si="1"/>
        <v>3</v>
      </c>
    </row>
    <row r="11" spans="2:12" ht="27" x14ac:dyDescent="0.3">
      <c r="B11" s="57"/>
      <c r="C11" s="57"/>
      <c r="D11" s="9" t="s">
        <v>42</v>
      </c>
      <c r="E11" s="8" t="s">
        <v>346</v>
      </c>
      <c r="F11" s="32">
        <v>2</v>
      </c>
      <c r="G11" s="32">
        <v>3</v>
      </c>
      <c r="H11" s="15">
        <f t="shared" si="0"/>
        <v>6</v>
      </c>
      <c r="I11" s="28" t="s">
        <v>379</v>
      </c>
      <c r="J11" s="32">
        <v>1</v>
      </c>
      <c r="K11" s="32">
        <v>3</v>
      </c>
      <c r="L11" s="15">
        <f t="shared" si="1"/>
        <v>3</v>
      </c>
    </row>
    <row r="12" spans="2:12" x14ac:dyDescent="0.3">
      <c r="B12" s="57"/>
      <c r="C12" s="57"/>
      <c r="D12" s="9" t="s">
        <v>42</v>
      </c>
      <c r="E12" s="8" t="s">
        <v>360</v>
      </c>
      <c r="F12" s="32">
        <v>3</v>
      </c>
      <c r="G12" s="32">
        <v>3</v>
      </c>
      <c r="H12" s="15">
        <f t="shared" si="0"/>
        <v>9</v>
      </c>
      <c r="I12" s="28" t="s">
        <v>352</v>
      </c>
      <c r="J12" s="32">
        <v>1</v>
      </c>
      <c r="K12" s="32">
        <v>3</v>
      </c>
      <c r="L12" s="15">
        <f t="shared" si="1"/>
        <v>3</v>
      </c>
    </row>
    <row r="13" spans="2:12" x14ac:dyDescent="0.3">
      <c r="B13" s="57"/>
      <c r="C13" s="57"/>
      <c r="D13" s="9" t="s">
        <v>42</v>
      </c>
      <c r="E13" s="8" t="s">
        <v>389</v>
      </c>
      <c r="F13" s="32">
        <v>2</v>
      </c>
      <c r="G13" s="32">
        <v>3</v>
      </c>
      <c r="H13" s="15">
        <f t="shared" si="0"/>
        <v>6</v>
      </c>
      <c r="I13" s="28" t="s">
        <v>56</v>
      </c>
      <c r="J13" s="32">
        <v>1</v>
      </c>
      <c r="K13" s="32">
        <v>3</v>
      </c>
      <c r="L13" s="15">
        <f t="shared" si="1"/>
        <v>3</v>
      </c>
    </row>
    <row r="14" spans="2:12" x14ac:dyDescent="0.3">
      <c r="B14" s="57"/>
      <c r="C14" s="57"/>
      <c r="D14" s="9" t="s">
        <v>55</v>
      </c>
      <c r="E14" s="8" t="s">
        <v>390</v>
      </c>
      <c r="F14" s="32">
        <v>2</v>
      </c>
      <c r="G14" s="32">
        <v>2</v>
      </c>
      <c r="H14" s="15">
        <f t="shared" si="0"/>
        <v>4</v>
      </c>
      <c r="I14" s="28" t="s">
        <v>388</v>
      </c>
      <c r="J14" s="32">
        <v>1</v>
      </c>
      <c r="K14" s="32">
        <v>2</v>
      </c>
      <c r="L14" s="15">
        <f t="shared" si="1"/>
        <v>2</v>
      </c>
    </row>
    <row r="15" spans="2:12" ht="27" x14ac:dyDescent="0.3">
      <c r="B15" s="57"/>
      <c r="C15" s="57"/>
      <c r="D15" s="9" t="s">
        <v>55</v>
      </c>
      <c r="E15" s="8" t="s">
        <v>362</v>
      </c>
      <c r="F15" s="32">
        <v>2</v>
      </c>
      <c r="G15" s="32">
        <v>2</v>
      </c>
      <c r="H15" s="15">
        <f t="shared" si="0"/>
        <v>4</v>
      </c>
      <c r="I15" s="28" t="s">
        <v>363</v>
      </c>
      <c r="J15" s="32">
        <v>1</v>
      </c>
      <c r="K15" s="32">
        <v>2</v>
      </c>
      <c r="L15" s="15">
        <f t="shared" si="1"/>
        <v>2</v>
      </c>
    </row>
    <row r="16" spans="2:12" ht="27" x14ac:dyDescent="0.3">
      <c r="B16" s="57"/>
      <c r="C16" s="57"/>
      <c r="D16" s="9" t="s">
        <v>44</v>
      </c>
      <c r="E16" s="8" t="s">
        <v>391</v>
      </c>
      <c r="F16" s="32">
        <v>2</v>
      </c>
      <c r="G16" s="32">
        <v>2</v>
      </c>
      <c r="H16" s="15">
        <f t="shared" si="0"/>
        <v>4</v>
      </c>
      <c r="I16" s="28" t="s">
        <v>54</v>
      </c>
      <c r="J16" s="32">
        <v>1</v>
      </c>
      <c r="K16" s="32">
        <v>2</v>
      </c>
      <c r="L16" s="15">
        <f t="shared" si="1"/>
        <v>2</v>
      </c>
    </row>
    <row r="17" spans="1:12" ht="27" x14ac:dyDescent="0.3">
      <c r="B17" s="57"/>
      <c r="C17" s="57"/>
      <c r="D17" s="9" t="s">
        <v>44</v>
      </c>
      <c r="E17" s="8" t="s">
        <v>392</v>
      </c>
      <c r="F17" s="32">
        <v>2</v>
      </c>
      <c r="G17" s="32">
        <v>2</v>
      </c>
      <c r="H17" s="15">
        <f t="shared" si="0"/>
        <v>4</v>
      </c>
      <c r="I17" s="28" t="s">
        <v>358</v>
      </c>
      <c r="J17" s="32">
        <v>1</v>
      </c>
      <c r="K17" s="32">
        <v>2</v>
      </c>
      <c r="L17" s="15">
        <f t="shared" si="1"/>
        <v>2</v>
      </c>
    </row>
    <row r="18" spans="1:12" ht="27" x14ac:dyDescent="0.3">
      <c r="B18" s="57"/>
      <c r="C18" s="57"/>
      <c r="D18" s="9" t="s">
        <v>52</v>
      </c>
      <c r="E18" s="8" t="s">
        <v>393</v>
      </c>
      <c r="F18" s="32">
        <v>2</v>
      </c>
      <c r="G18" s="32">
        <v>2</v>
      </c>
      <c r="H18" s="15">
        <f t="shared" si="0"/>
        <v>4</v>
      </c>
      <c r="I18" s="28" t="s">
        <v>377</v>
      </c>
      <c r="J18" s="32">
        <v>1</v>
      </c>
      <c r="K18" s="32">
        <v>2</v>
      </c>
      <c r="L18" s="15">
        <f t="shared" si="1"/>
        <v>2</v>
      </c>
    </row>
    <row r="19" spans="1:12" x14ac:dyDescent="0.3">
      <c r="B19" s="57"/>
      <c r="C19" s="57"/>
      <c r="D19" s="9" t="s">
        <v>52</v>
      </c>
      <c r="E19" s="8" t="s">
        <v>386</v>
      </c>
      <c r="F19" s="32">
        <v>2</v>
      </c>
      <c r="G19" s="32">
        <v>2</v>
      </c>
      <c r="H19" s="15">
        <f t="shared" si="0"/>
        <v>4</v>
      </c>
      <c r="I19" s="28" t="s">
        <v>387</v>
      </c>
      <c r="J19" s="32">
        <v>1</v>
      </c>
      <c r="K19" s="32">
        <v>2</v>
      </c>
      <c r="L19" s="15">
        <f t="shared" si="1"/>
        <v>2</v>
      </c>
    </row>
    <row r="20" spans="1:12" ht="20.25" x14ac:dyDescent="0.3">
      <c r="B20" s="53" t="s">
        <v>2</v>
      </c>
      <c r="C20" s="38"/>
      <c r="D20" s="31"/>
      <c r="E20" s="10"/>
      <c r="F20" s="6"/>
      <c r="G20" s="6"/>
      <c r="H20" s="38"/>
      <c r="I20" s="7"/>
      <c r="J20" s="6"/>
      <c r="K20" s="6"/>
      <c r="L20" s="38"/>
    </row>
    <row r="21" spans="1:12" ht="20.25" x14ac:dyDescent="0.3">
      <c r="B21" s="53"/>
      <c r="C21" s="38"/>
      <c r="D21" s="31"/>
      <c r="E21" s="10"/>
      <c r="F21" s="6"/>
      <c r="G21" s="6"/>
      <c r="H21" s="38"/>
      <c r="I21" s="7"/>
      <c r="J21" s="6"/>
      <c r="K21" s="6"/>
      <c r="L21" s="38"/>
    </row>
    <row r="22" spans="1:12" ht="20.25" x14ac:dyDescent="0.3">
      <c r="B22" s="53"/>
      <c r="C22" s="38"/>
      <c r="D22" s="31"/>
      <c r="E22" s="10"/>
      <c r="F22" s="6"/>
      <c r="G22" s="6"/>
      <c r="H22" s="38"/>
      <c r="I22" s="7"/>
      <c r="J22" s="6"/>
      <c r="K22" s="6"/>
      <c r="L22" s="38"/>
    </row>
    <row r="23" spans="1:12" x14ac:dyDescent="0.3">
      <c r="B23" s="53"/>
      <c r="C23" s="38"/>
      <c r="D23" s="38"/>
      <c r="E23" s="10"/>
      <c r="F23" s="6"/>
      <c r="G23" s="6"/>
      <c r="H23" s="38"/>
      <c r="I23" s="7"/>
      <c r="J23" s="6"/>
      <c r="K23" s="6"/>
      <c r="L23" s="38"/>
    </row>
    <row r="24" spans="1:12" x14ac:dyDescent="0.3">
      <c r="I24" s="4"/>
    </row>
    <row r="25" spans="1:12" x14ac:dyDescent="0.3">
      <c r="A25" s="3"/>
      <c r="B25" s="3"/>
      <c r="C25" s="3"/>
      <c r="D25" s="3"/>
      <c r="E25" s="4"/>
    </row>
    <row r="26" spans="1:12" s="1" customFormat="1" x14ac:dyDescent="0.3">
      <c r="A26" s="3"/>
      <c r="B26" s="3"/>
      <c r="C26" s="3"/>
      <c r="D26" s="3"/>
      <c r="E26" s="4"/>
      <c r="H26"/>
      <c r="I26" s="2"/>
    </row>
  </sheetData>
  <mergeCells count="9">
    <mergeCell ref="I5:I6"/>
    <mergeCell ref="J5:L5"/>
    <mergeCell ref="B7:B19"/>
    <mergeCell ref="C7:C19"/>
    <mergeCell ref="B20:B23"/>
    <mergeCell ref="B5:B6"/>
    <mergeCell ref="C5:C6"/>
    <mergeCell ref="D5:E5"/>
    <mergeCell ref="F5:H5"/>
  </mergeCells>
  <phoneticPr fontId="1" type="noConversion"/>
  <conditionalFormatting sqref="H7:H9 H11:H18 L7:L18">
    <cfRule type="cellIs" dxfId="35" priority="13" operator="between">
      <formula>1</formula>
      <formula>3</formula>
    </cfRule>
    <cfRule type="cellIs" dxfId="34" priority="14" operator="equal">
      <formula>4</formula>
    </cfRule>
    <cfRule type="cellIs" dxfId="33" priority="15" operator="between">
      <formula>6</formula>
      <formula>9</formula>
    </cfRule>
  </conditionalFormatting>
  <conditionalFormatting sqref="H19">
    <cfRule type="cellIs" dxfId="32" priority="7" operator="between">
      <formula>1</formula>
      <formula>3</formula>
    </cfRule>
    <cfRule type="cellIs" dxfId="31" priority="8" operator="equal">
      <formula>4</formula>
    </cfRule>
    <cfRule type="cellIs" dxfId="30" priority="9" operator="between">
      <formula>6</formula>
      <formula>9</formula>
    </cfRule>
  </conditionalFormatting>
  <conditionalFormatting sqref="L19">
    <cfRule type="cellIs" dxfId="29" priority="4" operator="between">
      <formula>1</formula>
      <formula>3</formula>
    </cfRule>
    <cfRule type="cellIs" dxfId="28" priority="5" operator="equal">
      <formula>4</formula>
    </cfRule>
    <cfRule type="cellIs" dxfId="27" priority="6" operator="between">
      <formula>6</formula>
      <formula>9</formula>
    </cfRule>
  </conditionalFormatting>
  <conditionalFormatting sqref="H10">
    <cfRule type="cellIs" dxfId="26" priority="1" operator="between">
      <formula>1</formula>
      <formula>3</formula>
    </cfRule>
    <cfRule type="cellIs" dxfId="25" priority="2" operator="equal">
      <formula>4</formula>
    </cfRule>
    <cfRule type="cellIs" dxfId="24" priority="3" operator="between">
      <formula>6</formula>
      <formula>9</formula>
    </cfRule>
  </conditionalFormatting>
  <pageMargins left="0" right="0" top="0.59055118110236227" bottom="0" header="0.31496062992125984" footer="0"/>
  <pageSetup paperSize="9" scale="65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D0C48-6927-461E-A2C1-E99CE4BDB384}">
  <sheetPr>
    <tabColor rgb="FF0000FF"/>
    <pageSetUpPr fitToPage="1"/>
  </sheetPr>
  <dimension ref="A2:L26"/>
  <sheetViews>
    <sheetView showGridLines="0" zoomScale="70" zoomScaleNormal="70" zoomScaleSheetLayoutView="70" workbookViewId="0">
      <selection activeCell="E26" sqref="E26"/>
    </sheetView>
  </sheetViews>
  <sheetFormatPr defaultRowHeight="16.5" x14ac:dyDescent="0.3"/>
  <cols>
    <col min="1" max="1" width="2.625" customWidth="1"/>
    <col min="2" max="4" width="14.625" customWidth="1"/>
    <col min="5" max="5" width="57.625" style="2" customWidth="1"/>
    <col min="6" max="7" width="4.75" style="1" customWidth="1"/>
    <col min="8" max="8" width="10.25" bestFit="1" customWidth="1"/>
    <col min="9" max="9" width="65.625" style="2" customWidth="1"/>
    <col min="10" max="11" width="5.625" style="1" customWidth="1"/>
    <col min="12" max="12" width="10.25" bestFit="1" customWidth="1"/>
  </cols>
  <sheetData>
    <row r="2" spans="2:12" ht="31.5" x14ac:dyDescent="0.3">
      <c r="B2" s="13" t="s">
        <v>112</v>
      </c>
    </row>
    <row r="4" spans="2:12" ht="17.25" x14ac:dyDescent="0.3">
      <c r="B4" s="12" t="s">
        <v>106</v>
      </c>
    </row>
    <row r="5" spans="2:12" ht="29.25" customHeight="1" x14ac:dyDescent="0.3">
      <c r="B5" s="54" t="s">
        <v>0</v>
      </c>
      <c r="C5" s="54" t="s">
        <v>36</v>
      </c>
      <c r="D5" s="54" t="s">
        <v>113</v>
      </c>
      <c r="E5" s="54"/>
      <c r="F5" s="55" t="s">
        <v>116</v>
      </c>
      <c r="G5" s="55"/>
      <c r="H5" s="55"/>
      <c r="I5" s="54" t="s">
        <v>35</v>
      </c>
      <c r="J5" s="55" t="s">
        <v>118</v>
      </c>
      <c r="K5" s="55"/>
      <c r="L5" s="55"/>
    </row>
    <row r="6" spans="2:12" x14ac:dyDescent="0.3">
      <c r="B6" s="54"/>
      <c r="C6" s="54"/>
      <c r="D6" s="17" t="s">
        <v>114</v>
      </c>
      <c r="E6" s="17" t="s">
        <v>115</v>
      </c>
      <c r="F6" s="18" t="s">
        <v>34</v>
      </c>
      <c r="G6" s="18" t="s">
        <v>33</v>
      </c>
      <c r="H6" s="17" t="s">
        <v>117</v>
      </c>
      <c r="I6" s="54"/>
      <c r="J6" s="18" t="s">
        <v>34</v>
      </c>
      <c r="K6" s="18" t="s">
        <v>33</v>
      </c>
      <c r="L6" s="17" t="s">
        <v>117</v>
      </c>
    </row>
    <row r="7" spans="2:12" ht="40.5" x14ac:dyDescent="0.3">
      <c r="B7" s="56" t="s">
        <v>106</v>
      </c>
      <c r="C7" s="53" t="s">
        <v>105</v>
      </c>
      <c r="D7" s="15" t="s">
        <v>129</v>
      </c>
      <c r="E7" s="11" t="s">
        <v>104</v>
      </c>
      <c r="F7" s="15">
        <v>3</v>
      </c>
      <c r="G7" s="15">
        <v>3</v>
      </c>
      <c r="H7" s="19">
        <f>F7*G7</f>
        <v>9</v>
      </c>
      <c r="I7" s="20" t="s">
        <v>119</v>
      </c>
      <c r="J7" s="19">
        <v>1</v>
      </c>
      <c r="K7" s="19">
        <v>3</v>
      </c>
      <c r="L7" s="19">
        <f>J7*K7</f>
        <v>3</v>
      </c>
    </row>
    <row r="8" spans="2:12" ht="40.5" x14ac:dyDescent="0.3">
      <c r="B8" s="56"/>
      <c r="C8" s="53"/>
      <c r="D8" s="15" t="s">
        <v>129</v>
      </c>
      <c r="E8" s="11" t="s">
        <v>103</v>
      </c>
      <c r="F8" s="15">
        <v>2</v>
      </c>
      <c r="G8" s="15">
        <v>3</v>
      </c>
      <c r="H8" s="19">
        <f>F8*G8</f>
        <v>6</v>
      </c>
      <c r="I8" s="20" t="s">
        <v>120</v>
      </c>
      <c r="J8" s="19">
        <v>1</v>
      </c>
      <c r="K8" s="19">
        <v>3</v>
      </c>
      <c r="L8" s="19">
        <f>J8*K8</f>
        <v>3</v>
      </c>
    </row>
    <row r="9" spans="2:12" ht="27" x14ac:dyDescent="0.3">
      <c r="B9" s="56"/>
      <c r="C9" s="53"/>
      <c r="D9" s="15" t="s">
        <v>129</v>
      </c>
      <c r="E9" s="11" t="s">
        <v>102</v>
      </c>
      <c r="F9" s="15">
        <v>2</v>
      </c>
      <c r="G9" s="15">
        <v>3</v>
      </c>
      <c r="H9" s="19">
        <f t="shared" ref="H9:H19" si="0">F9*G9</f>
        <v>6</v>
      </c>
      <c r="I9" s="20" t="s">
        <v>121</v>
      </c>
      <c r="J9" s="19">
        <v>1</v>
      </c>
      <c r="K9" s="19">
        <v>3</v>
      </c>
      <c r="L9" s="19">
        <f t="shared" ref="L9:L19" si="1">J9*K9</f>
        <v>3</v>
      </c>
    </row>
    <row r="10" spans="2:12" ht="27" x14ac:dyDescent="0.3">
      <c r="B10" s="56"/>
      <c r="C10" s="53"/>
      <c r="D10" s="15" t="s">
        <v>129</v>
      </c>
      <c r="E10" s="11" t="s">
        <v>101</v>
      </c>
      <c r="F10" s="15">
        <v>2</v>
      </c>
      <c r="G10" s="15">
        <v>3</v>
      </c>
      <c r="H10" s="19">
        <f t="shared" si="0"/>
        <v>6</v>
      </c>
      <c r="I10" s="20" t="s">
        <v>98</v>
      </c>
      <c r="J10" s="19">
        <v>1</v>
      </c>
      <c r="K10" s="19">
        <v>3</v>
      </c>
      <c r="L10" s="19">
        <f t="shared" si="1"/>
        <v>3</v>
      </c>
    </row>
    <row r="11" spans="2:12" ht="40.5" x14ac:dyDescent="0.3">
      <c r="B11" s="56"/>
      <c r="C11" s="53"/>
      <c r="D11" s="15" t="s">
        <v>129</v>
      </c>
      <c r="E11" s="11" t="s">
        <v>100</v>
      </c>
      <c r="F11" s="15">
        <v>2</v>
      </c>
      <c r="G11" s="15">
        <v>3</v>
      </c>
      <c r="H11" s="19">
        <f t="shared" si="0"/>
        <v>6</v>
      </c>
      <c r="I11" s="20" t="s">
        <v>122</v>
      </c>
      <c r="J11" s="19">
        <v>1</v>
      </c>
      <c r="K11" s="19">
        <v>3</v>
      </c>
      <c r="L11" s="19">
        <f t="shared" si="1"/>
        <v>3</v>
      </c>
    </row>
    <row r="12" spans="2:12" ht="27" x14ac:dyDescent="0.3">
      <c r="B12" s="56"/>
      <c r="C12" s="53"/>
      <c r="D12" s="15" t="s">
        <v>129</v>
      </c>
      <c r="E12" s="11" t="s">
        <v>99</v>
      </c>
      <c r="F12" s="15">
        <v>2</v>
      </c>
      <c r="G12" s="15">
        <v>3</v>
      </c>
      <c r="H12" s="19">
        <f t="shared" si="0"/>
        <v>6</v>
      </c>
      <c r="I12" s="20" t="s">
        <v>98</v>
      </c>
      <c r="J12" s="19">
        <v>1</v>
      </c>
      <c r="K12" s="19">
        <v>3</v>
      </c>
      <c r="L12" s="19">
        <f t="shared" si="1"/>
        <v>3</v>
      </c>
    </row>
    <row r="13" spans="2:12" ht="27" x14ac:dyDescent="0.3">
      <c r="B13" s="56"/>
      <c r="C13" s="53"/>
      <c r="D13" s="15" t="s">
        <v>130</v>
      </c>
      <c r="E13" s="11" t="s">
        <v>97</v>
      </c>
      <c r="F13" s="15">
        <v>2</v>
      </c>
      <c r="G13" s="15">
        <v>3</v>
      </c>
      <c r="H13" s="19">
        <f t="shared" si="0"/>
        <v>6</v>
      </c>
      <c r="I13" s="20" t="s">
        <v>123</v>
      </c>
      <c r="J13" s="19">
        <v>1</v>
      </c>
      <c r="K13" s="19">
        <v>3</v>
      </c>
      <c r="L13" s="19">
        <f t="shared" si="1"/>
        <v>3</v>
      </c>
    </row>
    <row r="14" spans="2:12" ht="27" x14ac:dyDescent="0.3">
      <c r="B14" s="56"/>
      <c r="C14" s="53"/>
      <c r="D14" s="15" t="s">
        <v>131</v>
      </c>
      <c r="E14" s="11" t="s">
        <v>96</v>
      </c>
      <c r="F14" s="15">
        <v>2</v>
      </c>
      <c r="G14" s="15">
        <v>2</v>
      </c>
      <c r="H14" s="19">
        <f t="shared" si="0"/>
        <v>4</v>
      </c>
      <c r="I14" s="20" t="s">
        <v>124</v>
      </c>
      <c r="J14" s="19">
        <v>1</v>
      </c>
      <c r="K14" s="19">
        <v>2</v>
      </c>
      <c r="L14" s="19">
        <f t="shared" si="1"/>
        <v>2</v>
      </c>
    </row>
    <row r="15" spans="2:12" ht="40.5" x14ac:dyDescent="0.3">
      <c r="B15" s="56"/>
      <c r="C15" s="53"/>
      <c r="D15" s="15" t="s">
        <v>132</v>
      </c>
      <c r="E15" s="11" t="s">
        <v>95</v>
      </c>
      <c r="F15" s="15">
        <v>2</v>
      </c>
      <c r="G15" s="15">
        <v>3</v>
      </c>
      <c r="H15" s="19">
        <f t="shared" si="0"/>
        <v>6</v>
      </c>
      <c r="I15" s="20" t="s">
        <v>125</v>
      </c>
      <c r="J15" s="19">
        <v>1</v>
      </c>
      <c r="K15" s="19">
        <v>3</v>
      </c>
      <c r="L15" s="19">
        <f t="shared" si="1"/>
        <v>3</v>
      </c>
    </row>
    <row r="16" spans="2:12" ht="40.5" x14ac:dyDescent="0.3">
      <c r="B16" s="56"/>
      <c r="C16" s="53"/>
      <c r="D16" s="15" t="s">
        <v>132</v>
      </c>
      <c r="E16" s="11" t="s">
        <v>94</v>
      </c>
      <c r="F16" s="15">
        <v>2</v>
      </c>
      <c r="G16" s="15">
        <v>3</v>
      </c>
      <c r="H16" s="19">
        <f t="shared" si="0"/>
        <v>6</v>
      </c>
      <c r="I16" s="20" t="s">
        <v>126</v>
      </c>
      <c r="J16" s="19">
        <v>1</v>
      </c>
      <c r="K16" s="19">
        <v>3</v>
      </c>
      <c r="L16" s="19">
        <f t="shared" si="1"/>
        <v>3</v>
      </c>
    </row>
    <row r="17" spans="1:12" ht="40.5" x14ac:dyDescent="0.3">
      <c r="B17" s="56"/>
      <c r="C17" s="53"/>
      <c r="D17" s="15" t="s">
        <v>132</v>
      </c>
      <c r="E17" s="11" t="s">
        <v>93</v>
      </c>
      <c r="F17" s="15">
        <v>2</v>
      </c>
      <c r="G17" s="15">
        <v>2</v>
      </c>
      <c r="H17" s="19">
        <f t="shared" si="0"/>
        <v>4</v>
      </c>
      <c r="I17" s="16" t="s">
        <v>128</v>
      </c>
      <c r="J17" s="19">
        <v>1</v>
      </c>
      <c r="K17" s="19">
        <v>2</v>
      </c>
      <c r="L17" s="19">
        <f t="shared" si="1"/>
        <v>2</v>
      </c>
    </row>
    <row r="18" spans="1:12" ht="27" x14ac:dyDescent="0.3">
      <c r="B18" s="56"/>
      <c r="C18" s="53"/>
      <c r="D18" s="15" t="s">
        <v>132</v>
      </c>
      <c r="E18" s="11" t="s">
        <v>92</v>
      </c>
      <c r="F18" s="15">
        <v>2</v>
      </c>
      <c r="G18" s="15">
        <v>2</v>
      </c>
      <c r="H18" s="19">
        <f t="shared" si="0"/>
        <v>4</v>
      </c>
      <c r="I18" s="20" t="s">
        <v>91</v>
      </c>
      <c r="J18" s="19">
        <v>1</v>
      </c>
      <c r="K18" s="19">
        <v>2</v>
      </c>
      <c r="L18" s="19">
        <f t="shared" si="1"/>
        <v>2</v>
      </c>
    </row>
    <row r="19" spans="1:12" x14ac:dyDescent="0.3">
      <c r="B19" s="56"/>
      <c r="C19" s="53"/>
      <c r="D19" s="15" t="s">
        <v>132</v>
      </c>
      <c r="E19" s="11" t="s">
        <v>90</v>
      </c>
      <c r="F19" s="15">
        <v>2</v>
      </c>
      <c r="G19" s="15">
        <v>3</v>
      </c>
      <c r="H19" s="19">
        <f t="shared" si="0"/>
        <v>6</v>
      </c>
      <c r="I19" s="20" t="s">
        <v>127</v>
      </c>
      <c r="J19" s="19">
        <v>1</v>
      </c>
      <c r="K19" s="19">
        <v>3</v>
      </c>
      <c r="L19" s="19">
        <f t="shared" si="1"/>
        <v>3</v>
      </c>
    </row>
    <row r="20" spans="1:12" x14ac:dyDescent="0.3">
      <c r="B20" s="53" t="s">
        <v>2</v>
      </c>
      <c r="C20" s="5"/>
      <c r="D20" s="5"/>
      <c r="E20" s="10"/>
      <c r="F20" s="6"/>
      <c r="G20" s="6"/>
      <c r="H20" s="5"/>
      <c r="I20" s="7"/>
      <c r="J20" s="6"/>
      <c r="K20" s="6"/>
      <c r="L20" s="5"/>
    </row>
    <row r="21" spans="1:12" x14ac:dyDescent="0.3">
      <c r="B21" s="53"/>
      <c r="C21" s="5"/>
      <c r="D21" s="5"/>
      <c r="E21" s="10"/>
      <c r="F21" s="6"/>
      <c r="G21" s="6"/>
      <c r="H21" s="5"/>
      <c r="I21" s="7"/>
      <c r="J21" s="6"/>
      <c r="K21" s="6"/>
      <c r="L21" s="5"/>
    </row>
    <row r="22" spans="1:12" x14ac:dyDescent="0.3">
      <c r="B22" s="53"/>
      <c r="C22" s="5"/>
      <c r="D22" s="5"/>
      <c r="E22" s="10"/>
      <c r="F22" s="6"/>
      <c r="G22" s="6"/>
      <c r="H22" s="5"/>
      <c r="I22" s="7"/>
      <c r="J22" s="6"/>
      <c r="K22" s="6"/>
      <c r="L22" s="5"/>
    </row>
    <row r="23" spans="1:12" x14ac:dyDescent="0.3">
      <c r="B23" s="53"/>
      <c r="C23" s="5"/>
      <c r="D23" s="5"/>
      <c r="E23" s="10"/>
      <c r="F23" s="6"/>
      <c r="G23" s="6"/>
      <c r="H23" s="5"/>
      <c r="I23" s="7"/>
      <c r="J23" s="6"/>
      <c r="K23" s="6"/>
      <c r="L23" s="5"/>
    </row>
    <row r="24" spans="1:12" x14ac:dyDescent="0.3">
      <c r="I24" s="4"/>
    </row>
    <row r="25" spans="1:12" x14ac:dyDescent="0.3">
      <c r="A25" s="3"/>
      <c r="B25" s="3"/>
      <c r="C25" s="3"/>
      <c r="D25" s="3"/>
      <c r="E25" s="4"/>
    </row>
    <row r="26" spans="1:12" s="1" customFormat="1" x14ac:dyDescent="0.3">
      <c r="A26" s="3"/>
      <c r="B26" s="3"/>
      <c r="C26" s="3"/>
      <c r="D26" s="3"/>
      <c r="E26" s="4"/>
      <c r="H26"/>
      <c r="I26" s="2"/>
    </row>
  </sheetData>
  <mergeCells count="9">
    <mergeCell ref="J5:L5"/>
    <mergeCell ref="B7:B19"/>
    <mergeCell ref="C7:C19"/>
    <mergeCell ref="B20:B23"/>
    <mergeCell ref="B5:B6"/>
    <mergeCell ref="C5:C6"/>
    <mergeCell ref="D5:E5"/>
    <mergeCell ref="F5:H5"/>
    <mergeCell ref="I5:I6"/>
  </mergeCells>
  <phoneticPr fontId="1" type="noConversion"/>
  <conditionalFormatting sqref="H7:H19">
    <cfRule type="cellIs" dxfId="23" priority="4" operator="between">
      <formula>1</formula>
      <formula>3</formula>
    </cfRule>
    <cfRule type="cellIs" dxfId="22" priority="5" operator="equal">
      <formula>4</formula>
    </cfRule>
    <cfRule type="cellIs" dxfId="21" priority="6" operator="between">
      <formula>6</formula>
      <formula>9</formula>
    </cfRule>
  </conditionalFormatting>
  <conditionalFormatting sqref="L7:L19">
    <cfRule type="cellIs" dxfId="20" priority="1" operator="between">
      <formula>1</formula>
      <formula>3</formula>
    </cfRule>
    <cfRule type="cellIs" dxfId="19" priority="2" operator="equal">
      <formula>4</formula>
    </cfRule>
    <cfRule type="cellIs" dxfId="18" priority="3" operator="between">
      <formula>6</formula>
      <formula>9</formula>
    </cfRule>
  </conditionalFormatting>
  <pageMargins left="0" right="0" top="0.59055118110236227" bottom="0" header="0.31496062992125984" footer="0"/>
  <pageSetup paperSize="9" scale="65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DD37F-6134-43A4-BFBB-5E495D405D2D}">
  <sheetPr>
    <tabColor rgb="FF0000FF"/>
    <pageSetUpPr fitToPage="1"/>
  </sheetPr>
  <dimension ref="A2:L25"/>
  <sheetViews>
    <sheetView showGridLines="0" zoomScale="70" zoomScaleNormal="70" zoomScaleSheetLayoutView="70" workbookViewId="0">
      <selection activeCell="I2" sqref="I2"/>
    </sheetView>
  </sheetViews>
  <sheetFormatPr defaultRowHeight="16.5" x14ac:dyDescent="0.3"/>
  <cols>
    <col min="1" max="1" width="2.625" customWidth="1"/>
    <col min="2" max="4" width="14.625" customWidth="1"/>
    <col min="5" max="5" width="57.625" style="2" customWidth="1"/>
    <col min="6" max="7" width="4.75" style="1" customWidth="1"/>
    <col min="8" max="8" width="10.25" bestFit="1" customWidth="1"/>
    <col min="9" max="9" width="65.625" style="2" customWidth="1"/>
    <col min="10" max="11" width="5.625" style="1" customWidth="1"/>
    <col min="12" max="12" width="10.25" bestFit="1" customWidth="1"/>
  </cols>
  <sheetData>
    <row r="2" spans="2:12" ht="31.5" x14ac:dyDescent="0.3">
      <c r="B2" s="13" t="s">
        <v>112</v>
      </c>
    </row>
    <row r="4" spans="2:12" ht="17.25" x14ac:dyDescent="0.3">
      <c r="B4" s="12" t="s">
        <v>219</v>
      </c>
    </row>
    <row r="5" spans="2:12" ht="29.25" customHeight="1" x14ac:dyDescent="0.3">
      <c r="B5" s="54" t="s">
        <v>0</v>
      </c>
      <c r="C5" s="54" t="s">
        <v>36</v>
      </c>
      <c r="D5" s="54" t="s">
        <v>113</v>
      </c>
      <c r="E5" s="54"/>
      <c r="F5" s="55" t="s">
        <v>116</v>
      </c>
      <c r="G5" s="55"/>
      <c r="H5" s="55"/>
      <c r="I5" s="54" t="s">
        <v>35</v>
      </c>
      <c r="J5" s="55" t="s">
        <v>118</v>
      </c>
      <c r="K5" s="55"/>
      <c r="L5" s="55"/>
    </row>
    <row r="6" spans="2:12" x14ac:dyDescent="0.3">
      <c r="B6" s="54"/>
      <c r="C6" s="54"/>
      <c r="D6" s="17" t="s">
        <v>114</v>
      </c>
      <c r="E6" s="17" t="s">
        <v>115</v>
      </c>
      <c r="F6" s="18" t="s">
        <v>34</v>
      </c>
      <c r="G6" s="18" t="s">
        <v>33</v>
      </c>
      <c r="H6" s="17" t="s">
        <v>117</v>
      </c>
      <c r="I6" s="54"/>
      <c r="J6" s="18" t="s">
        <v>34</v>
      </c>
      <c r="K6" s="18" t="s">
        <v>33</v>
      </c>
      <c r="L6" s="17" t="s">
        <v>117</v>
      </c>
    </row>
    <row r="7" spans="2:12" ht="27" x14ac:dyDescent="0.3">
      <c r="B7" s="56" t="s">
        <v>219</v>
      </c>
      <c r="C7" s="56" t="s">
        <v>220</v>
      </c>
      <c r="D7" s="15" t="s">
        <v>221</v>
      </c>
      <c r="E7" s="16" t="s">
        <v>223</v>
      </c>
      <c r="F7" s="15">
        <v>2</v>
      </c>
      <c r="G7" s="15">
        <v>3</v>
      </c>
      <c r="H7" s="15">
        <f>F7*G7</f>
        <v>6</v>
      </c>
      <c r="I7" s="16" t="s">
        <v>233</v>
      </c>
      <c r="J7" s="15">
        <v>1</v>
      </c>
      <c r="K7" s="15">
        <v>3</v>
      </c>
      <c r="L7" s="15">
        <f>J7*K7</f>
        <v>3</v>
      </c>
    </row>
    <row r="8" spans="2:12" ht="27" x14ac:dyDescent="0.3">
      <c r="B8" s="56"/>
      <c r="C8" s="53"/>
      <c r="D8" s="9" t="s">
        <v>44</v>
      </c>
      <c r="E8" s="8" t="s">
        <v>224</v>
      </c>
      <c r="F8" s="27">
        <v>2</v>
      </c>
      <c r="G8" s="27">
        <v>3</v>
      </c>
      <c r="H8" s="15">
        <f>F8*G8</f>
        <v>6</v>
      </c>
      <c r="I8" s="28" t="s">
        <v>234</v>
      </c>
      <c r="J8" s="29">
        <v>1</v>
      </c>
      <c r="K8" s="29">
        <v>3</v>
      </c>
      <c r="L8" s="15">
        <f>J8*K8</f>
        <v>3</v>
      </c>
    </row>
    <row r="9" spans="2:12" ht="27" x14ac:dyDescent="0.3">
      <c r="B9" s="56"/>
      <c r="C9" s="53"/>
      <c r="D9" s="9" t="s">
        <v>44</v>
      </c>
      <c r="E9" s="8" t="s">
        <v>225</v>
      </c>
      <c r="F9" s="27">
        <v>3</v>
      </c>
      <c r="G9" s="27">
        <v>3</v>
      </c>
      <c r="H9" s="15">
        <f t="shared" ref="H9:H18" si="0">F9*G9</f>
        <v>9</v>
      </c>
      <c r="I9" s="28" t="s">
        <v>50</v>
      </c>
      <c r="J9" s="29">
        <v>1</v>
      </c>
      <c r="K9" s="29">
        <v>3</v>
      </c>
      <c r="L9" s="15">
        <f t="shared" ref="L9:L18" si="1">J9*K9</f>
        <v>3</v>
      </c>
    </row>
    <row r="10" spans="2:12" ht="27" x14ac:dyDescent="0.3">
      <c r="B10" s="56"/>
      <c r="C10" s="53"/>
      <c r="D10" s="9" t="s">
        <v>44</v>
      </c>
      <c r="E10" s="8" t="s">
        <v>49</v>
      </c>
      <c r="F10" s="27">
        <v>3</v>
      </c>
      <c r="G10" s="27">
        <v>3</v>
      </c>
      <c r="H10" s="15">
        <f t="shared" si="0"/>
        <v>9</v>
      </c>
      <c r="I10" s="28" t="s">
        <v>235</v>
      </c>
      <c r="J10" s="29">
        <v>1</v>
      </c>
      <c r="K10" s="29">
        <v>3</v>
      </c>
      <c r="L10" s="15">
        <f t="shared" si="1"/>
        <v>3</v>
      </c>
    </row>
    <row r="11" spans="2:12" ht="27" x14ac:dyDescent="0.3">
      <c r="B11" s="56"/>
      <c r="C11" s="53"/>
      <c r="D11" s="9" t="s">
        <v>44</v>
      </c>
      <c r="E11" s="8" t="s">
        <v>226</v>
      </c>
      <c r="F11" s="27">
        <v>2</v>
      </c>
      <c r="G11" s="27">
        <v>3</v>
      </c>
      <c r="H11" s="15">
        <f t="shared" si="0"/>
        <v>6</v>
      </c>
      <c r="I11" s="28" t="s">
        <v>236</v>
      </c>
      <c r="J11" s="29">
        <v>1</v>
      </c>
      <c r="K11" s="29">
        <v>3</v>
      </c>
      <c r="L11" s="15">
        <f t="shared" si="1"/>
        <v>3</v>
      </c>
    </row>
    <row r="12" spans="2:12" x14ac:dyDescent="0.3">
      <c r="B12" s="56"/>
      <c r="C12" s="53"/>
      <c r="D12" s="9" t="s">
        <v>44</v>
      </c>
      <c r="E12" s="8" t="s">
        <v>227</v>
      </c>
      <c r="F12" s="27">
        <v>2</v>
      </c>
      <c r="G12" s="27">
        <v>2</v>
      </c>
      <c r="H12" s="15">
        <f t="shared" si="0"/>
        <v>4</v>
      </c>
      <c r="I12" s="28" t="s">
        <v>48</v>
      </c>
      <c r="J12" s="29">
        <v>1</v>
      </c>
      <c r="K12" s="29">
        <v>2</v>
      </c>
      <c r="L12" s="15">
        <f t="shared" si="1"/>
        <v>2</v>
      </c>
    </row>
    <row r="13" spans="2:12" ht="27" x14ac:dyDescent="0.3">
      <c r="B13" s="56"/>
      <c r="C13" s="53"/>
      <c r="D13" s="9" t="s">
        <v>44</v>
      </c>
      <c r="E13" s="8" t="s">
        <v>228</v>
      </c>
      <c r="F13" s="27">
        <v>3</v>
      </c>
      <c r="G13" s="27">
        <v>3</v>
      </c>
      <c r="H13" s="15">
        <f t="shared" si="0"/>
        <v>9</v>
      </c>
      <c r="I13" s="28" t="s">
        <v>237</v>
      </c>
      <c r="J13" s="29">
        <v>1</v>
      </c>
      <c r="K13" s="29">
        <v>3</v>
      </c>
      <c r="L13" s="15">
        <f t="shared" si="1"/>
        <v>3</v>
      </c>
    </row>
    <row r="14" spans="2:12" ht="27" x14ac:dyDescent="0.3">
      <c r="B14" s="56"/>
      <c r="C14" s="53"/>
      <c r="D14" s="9" t="s">
        <v>44</v>
      </c>
      <c r="E14" s="8" t="s">
        <v>229</v>
      </c>
      <c r="F14" s="27">
        <v>2</v>
      </c>
      <c r="G14" s="27">
        <v>2</v>
      </c>
      <c r="H14" s="15">
        <f t="shared" si="0"/>
        <v>4</v>
      </c>
      <c r="I14" s="28" t="s">
        <v>47</v>
      </c>
      <c r="J14" s="29">
        <v>1</v>
      </c>
      <c r="K14" s="29">
        <v>2</v>
      </c>
      <c r="L14" s="15">
        <f t="shared" si="1"/>
        <v>2</v>
      </c>
    </row>
    <row r="15" spans="2:12" ht="27" x14ac:dyDescent="0.3">
      <c r="B15" s="56"/>
      <c r="C15" s="53"/>
      <c r="D15" s="9" t="s">
        <v>44</v>
      </c>
      <c r="E15" s="8" t="s">
        <v>230</v>
      </c>
      <c r="F15" s="27">
        <v>3</v>
      </c>
      <c r="G15" s="27">
        <v>3</v>
      </c>
      <c r="H15" s="15">
        <f t="shared" si="0"/>
        <v>9</v>
      </c>
      <c r="I15" s="28" t="s">
        <v>46</v>
      </c>
      <c r="J15" s="29">
        <v>1</v>
      </c>
      <c r="K15" s="29">
        <v>3</v>
      </c>
      <c r="L15" s="15">
        <f t="shared" si="1"/>
        <v>3</v>
      </c>
    </row>
    <row r="16" spans="2:12" x14ac:dyDescent="0.3">
      <c r="B16" s="56"/>
      <c r="C16" s="53"/>
      <c r="D16" s="9" t="s">
        <v>44</v>
      </c>
      <c r="E16" s="8" t="s">
        <v>45</v>
      </c>
      <c r="F16" s="27">
        <v>2</v>
      </c>
      <c r="G16" s="27">
        <v>3</v>
      </c>
      <c r="H16" s="15">
        <f t="shared" si="0"/>
        <v>6</v>
      </c>
      <c r="I16" s="28" t="s">
        <v>43</v>
      </c>
      <c r="J16" s="29">
        <v>1</v>
      </c>
      <c r="K16" s="29">
        <v>3</v>
      </c>
      <c r="L16" s="15">
        <f t="shared" si="1"/>
        <v>3</v>
      </c>
    </row>
    <row r="17" spans="1:12" ht="27" x14ac:dyDescent="0.3">
      <c r="B17" s="56"/>
      <c r="C17" s="53"/>
      <c r="D17" s="9" t="s">
        <v>42</v>
      </c>
      <c r="E17" s="8" t="s">
        <v>231</v>
      </c>
      <c r="F17" s="27">
        <v>2</v>
      </c>
      <c r="G17" s="27">
        <v>3</v>
      </c>
      <c r="H17" s="15">
        <f t="shared" si="0"/>
        <v>6</v>
      </c>
      <c r="I17" s="28" t="s">
        <v>41</v>
      </c>
      <c r="J17" s="29">
        <v>1</v>
      </c>
      <c r="K17" s="29">
        <v>3</v>
      </c>
      <c r="L17" s="15">
        <f t="shared" si="1"/>
        <v>3</v>
      </c>
    </row>
    <row r="18" spans="1:12" ht="27" x14ac:dyDescent="0.3">
      <c r="B18" s="56"/>
      <c r="C18" s="53"/>
      <c r="D18" s="15" t="s">
        <v>221</v>
      </c>
      <c r="E18" s="8" t="s">
        <v>232</v>
      </c>
      <c r="F18" s="27">
        <v>2</v>
      </c>
      <c r="G18" s="27">
        <v>2</v>
      </c>
      <c r="H18" s="15">
        <f t="shared" si="0"/>
        <v>4</v>
      </c>
      <c r="I18" s="16" t="s">
        <v>222</v>
      </c>
      <c r="J18" s="29">
        <v>1</v>
      </c>
      <c r="K18" s="29">
        <v>2</v>
      </c>
      <c r="L18" s="15">
        <f t="shared" si="1"/>
        <v>2</v>
      </c>
    </row>
    <row r="19" spans="1:12" x14ac:dyDescent="0.3">
      <c r="B19" s="53" t="s">
        <v>2</v>
      </c>
      <c r="C19" s="5"/>
      <c r="D19" s="5"/>
      <c r="E19" s="10"/>
      <c r="F19" s="6"/>
      <c r="G19" s="6"/>
      <c r="H19" s="5"/>
      <c r="I19" s="7"/>
      <c r="J19" s="6"/>
      <c r="K19" s="6"/>
      <c r="L19" s="5"/>
    </row>
    <row r="20" spans="1:12" x14ac:dyDescent="0.3">
      <c r="B20" s="53"/>
      <c r="C20" s="5"/>
      <c r="D20" s="5"/>
      <c r="E20" s="10"/>
      <c r="F20" s="6"/>
      <c r="G20" s="6"/>
      <c r="H20" s="5"/>
      <c r="I20" s="7"/>
      <c r="J20" s="6"/>
      <c r="K20" s="6"/>
      <c r="L20" s="5"/>
    </row>
    <row r="21" spans="1:12" x14ac:dyDescent="0.3">
      <c r="B21" s="53"/>
      <c r="C21" s="5"/>
      <c r="D21" s="5"/>
      <c r="E21" s="10"/>
      <c r="F21" s="6"/>
      <c r="G21" s="6"/>
      <c r="H21" s="5"/>
      <c r="I21" s="7"/>
      <c r="J21" s="6"/>
      <c r="K21" s="6"/>
      <c r="L21" s="5"/>
    </row>
    <row r="22" spans="1:12" x14ac:dyDescent="0.3">
      <c r="B22" s="53"/>
      <c r="C22" s="5"/>
      <c r="D22" s="5"/>
      <c r="E22" s="10"/>
      <c r="F22" s="6"/>
      <c r="G22" s="6"/>
      <c r="H22" s="5"/>
      <c r="I22" s="7"/>
      <c r="J22" s="6"/>
      <c r="K22" s="6"/>
      <c r="L22" s="5"/>
    </row>
    <row r="23" spans="1:12" x14ac:dyDescent="0.3">
      <c r="I23" s="4"/>
    </row>
    <row r="24" spans="1:12" x14ac:dyDescent="0.3">
      <c r="A24" s="3"/>
      <c r="B24" s="3"/>
      <c r="C24" s="3"/>
      <c r="D24" s="3"/>
      <c r="E24" s="4"/>
    </row>
    <row r="25" spans="1:12" s="1" customFormat="1" x14ac:dyDescent="0.3">
      <c r="A25" s="3"/>
      <c r="B25" s="3"/>
      <c r="C25" s="3"/>
      <c r="D25" s="3"/>
      <c r="E25" s="4"/>
      <c r="H25"/>
      <c r="I25" s="2"/>
    </row>
  </sheetData>
  <mergeCells count="9">
    <mergeCell ref="J5:L5"/>
    <mergeCell ref="B7:B18"/>
    <mergeCell ref="C7:C18"/>
    <mergeCell ref="B19:B22"/>
    <mergeCell ref="B5:B6"/>
    <mergeCell ref="C5:C6"/>
    <mergeCell ref="D5:E5"/>
    <mergeCell ref="F5:H5"/>
    <mergeCell ref="I5:I6"/>
  </mergeCells>
  <phoneticPr fontId="1" type="noConversion"/>
  <conditionalFormatting sqref="H7:H18">
    <cfRule type="cellIs" dxfId="17" priority="4" operator="between">
      <formula>1</formula>
      <formula>3</formula>
    </cfRule>
    <cfRule type="cellIs" dxfId="16" priority="5" operator="equal">
      <formula>4</formula>
    </cfRule>
    <cfRule type="cellIs" dxfId="15" priority="6" operator="between">
      <formula>6</formula>
      <formula>9</formula>
    </cfRule>
  </conditionalFormatting>
  <conditionalFormatting sqref="L7:L18">
    <cfRule type="cellIs" dxfId="14" priority="1" operator="between">
      <formula>1</formula>
      <formula>3</formula>
    </cfRule>
    <cfRule type="cellIs" dxfId="13" priority="2" operator="equal">
      <formula>4</formula>
    </cfRule>
    <cfRule type="cellIs" dxfId="12" priority="3" operator="between">
      <formula>6</formula>
      <formula>9</formula>
    </cfRule>
  </conditionalFormatting>
  <pageMargins left="0" right="0" top="0.59055118110236227" bottom="0" header="0.31496062992125984" footer="0"/>
  <pageSetup paperSize="9" scale="65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889B9-BE64-4769-9347-2240C4FBF80C}">
  <sheetPr>
    <tabColor rgb="FF0000FF"/>
    <pageSetUpPr fitToPage="1"/>
  </sheetPr>
  <dimension ref="A2:L27"/>
  <sheetViews>
    <sheetView showGridLines="0" zoomScale="70" zoomScaleNormal="70" zoomScaleSheetLayoutView="70" workbookViewId="0">
      <selection activeCell="N7" sqref="N7"/>
    </sheetView>
  </sheetViews>
  <sheetFormatPr defaultRowHeight="16.5" x14ac:dyDescent="0.3"/>
  <cols>
    <col min="1" max="1" width="2.625" customWidth="1"/>
    <col min="2" max="4" width="14.625" customWidth="1"/>
    <col min="5" max="5" width="57.625" style="2" customWidth="1"/>
    <col min="6" max="7" width="4.75" style="1" customWidth="1"/>
    <col min="8" max="8" width="10.25" bestFit="1" customWidth="1"/>
    <col min="9" max="9" width="65.625" style="2" customWidth="1"/>
    <col min="10" max="11" width="5.625" style="1" customWidth="1"/>
    <col min="12" max="12" width="10.25" bestFit="1" customWidth="1"/>
  </cols>
  <sheetData>
    <row r="2" spans="2:12" ht="31.5" x14ac:dyDescent="0.3">
      <c r="B2" s="13" t="s">
        <v>112</v>
      </c>
    </row>
    <row r="4" spans="2:12" ht="17.25" x14ac:dyDescent="0.3">
      <c r="B4" s="12" t="s">
        <v>1</v>
      </c>
    </row>
    <row r="5" spans="2:12" ht="29.25" customHeight="1" x14ac:dyDescent="0.3">
      <c r="B5" s="54" t="s">
        <v>0</v>
      </c>
      <c r="C5" s="54" t="s">
        <v>36</v>
      </c>
      <c r="D5" s="54" t="s">
        <v>113</v>
      </c>
      <c r="E5" s="54"/>
      <c r="F5" s="55" t="s">
        <v>116</v>
      </c>
      <c r="G5" s="55"/>
      <c r="H5" s="55"/>
      <c r="I5" s="54" t="s">
        <v>35</v>
      </c>
      <c r="J5" s="55" t="s">
        <v>118</v>
      </c>
      <c r="K5" s="55"/>
      <c r="L5" s="55"/>
    </row>
    <row r="6" spans="2:12" x14ac:dyDescent="0.3">
      <c r="B6" s="54"/>
      <c r="C6" s="54"/>
      <c r="D6" s="17" t="s">
        <v>114</v>
      </c>
      <c r="E6" s="17" t="s">
        <v>115</v>
      </c>
      <c r="F6" s="18" t="s">
        <v>34</v>
      </c>
      <c r="G6" s="18" t="s">
        <v>33</v>
      </c>
      <c r="H6" s="17" t="s">
        <v>117</v>
      </c>
      <c r="I6" s="54"/>
      <c r="J6" s="18" t="s">
        <v>34</v>
      </c>
      <c r="K6" s="18" t="s">
        <v>33</v>
      </c>
      <c r="L6" s="17" t="s">
        <v>117</v>
      </c>
    </row>
    <row r="7" spans="2:12" ht="27" x14ac:dyDescent="0.3">
      <c r="B7" s="63" t="s">
        <v>1</v>
      </c>
      <c r="C7" s="63" t="s">
        <v>238</v>
      </c>
      <c r="D7" s="15" t="s">
        <v>61</v>
      </c>
      <c r="E7" s="16" t="s">
        <v>211</v>
      </c>
      <c r="F7" s="15">
        <v>2</v>
      </c>
      <c r="G7" s="15">
        <v>2</v>
      </c>
      <c r="H7" s="15">
        <f>F7*G7</f>
        <v>4</v>
      </c>
      <c r="I7" s="16" t="s">
        <v>251</v>
      </c>
      <c r="J7" s="15">
        <v>1</v>
      </c>
      <c r="K7" s="15">
        <v>2</v>
      </c>
      <c r="L7" s="15">
        <f>J7*K7</f>
        <v>2</v>
      </c>
    </row>
    <row r="8" spans="2:12" ht="27" x14ac:dyDescent="0.3">
      <c r="B8" s="64"/>
      <c r="C8" s="64"/>
      <c r="D8" s="15" t="s">
        <v>61</v>
      </c>
      <c r="E8" s="21" t="s">
        <v>240</v>
      </c>
      <c r="F8" s="15">
        <v>2</v>
      </c>
      <c r="G8" s="15">
        <v>2</v>
      </c>
      <c r="H8" s="15">
        <f>F8*G8</f>
        <v>4</v>
      </c>
      <c r="I8" s="28" t="s">
        <v>89</v>
      </c>
      <c r="J8" s="15">
        <v>1</v>
      </c>
      <c r="K8" s="15">
        <v>2</v>
      </c>
      <c r="L8" s="15">
        <f>J8*K8</f>
        <v>2</v>
      </c>
    </row>
    <row r="9" spans="2:12" ht="27" x14ac:dyDescent="0.3">
      <c r="B9" s="64"/>
      <c r="C9" s="64"/>
      <c r="D9" s="15" t="s">
        <v>61</v>
      </c>
      <c r="E9" s="33" t="s">
        <v>241</v>
      </c>
      <c r="F9" s="15">
        <v>2</v>
      </c>
      <c r="G9" s="15">
        <v>2</v>
      </c>
      <c r="H9" s="15">
        <f t="shared" ref="H9:H20" si="0">F9*G9</f>
        <v>4</v>
      </c>
      <c r="I9" s="34" t="s">
        <v>88</v>
      </c>
      <c r="J9" s="15">
        <v>1</v>
      </c>
      <c r="K9" s="15">
        <v>2</v>
      </c>
      <c r="L9" s="15">
        <f t="shared" ref="L9:L20" si="1">J9*K9</f>
        <v>2</v>
      </c>
    </row>
    <row r="10" spans="2:12" ht="27" x14ac:dyDescent="0.3">
      <c r="B10" s="64"/>
      <c r="C10" s="64"/>
      <c r="D10" s="15" t="s">
        <v>61</v>
      </c>
      <c r="E10" s="33" t="s">
        <v>242</v>
      </c>
      <c r="F10" s="15">
        <v>2</v>
      </c>
      <c r="G10" s="15">
        <v>3</v>
      </c>
      <c r="H10" s="15">
        <f t="shared" si="0"/>
        <v>6</v>
      </c>
      <c r="I10" s="34" t="s">
        <v>87</v>
      </c>
      <c r="J10" s="15">
        <v>1</v>
      </c>
      <c r="K10" s="15">
        <v>3</v>
      </c>
      <c r="L10" s="15">
        <f t="shared" si="1"/>
        <v>3</v>
      </c>
    </row>
    <row r="11" spans="2:12" x14ac:dyDescent="0.3">
      <c r="B11" s="64"/>
      <c r="C11" s="64"/>
      <c r="D11" s="15" t="s">
        <v>130</v>
      </c>
      <c r="E11" s="21" t="s">
        <v>243</v>
      </c>
      <c r="F11" s="15">
        <v>3</v>
      </c>
      <c r="G11" s="15">
        <v>3</v>
      </c>
      <c r="H11" s="15">
        <f t="shared" si="0"/>
        <v>9</v>
      </c>
      <c r="I11" s="28" t="s">
        <v>85</v>
      </c>
      <c r="J11" s="15">
        <v>1</v>
      </c>
      <c r="K11" s="15">
        <v>3</v>
      </c>
      <c r="L11" s="15">
        <f t="shared" si="1"/>
        <v>3</v>
      </c>
    </row>
    <row r="12" spans="2:12" x14ac:dyDescent="0.3">
      <c r="B12" s="64"/>
      <c r="C12" s="64"/>
      <c r="D12" s="15" t="s">
        <v>130</v>
      </c>
      <c r="E12" s="21" t="s">
        <v>244</v>
      </c>
      <c r="F12" s="15">
        <v>3</v>
      </c>
      <c r="G12" s="15">
        <v>3</v>
      </c>
      <c r="H12" s="15">
        <f t="shared" si="0"/>
        <v>9</v>
      </c>
      <c r="I12" s="28" t="s">
        <v>86</v>
      </c>
      <c r="J12" s="15">
        <v>1</v>
      </c>
      <c r="K12" s="15">
        <v>3</v>
      </c>
      <c r="L12" s="15">
        <f t="shared" si="1"/>
        <v>3</v>
      </c>
    </row>
    <row r="13" spans="2:12" x14ac:dyDescent="0.3">
      <c r="B13" s="64"/>
      <c r="C13" s="64"/>
      <c r="D13" s="15" t="s">
        <v>130</v>
      </c>
      <c r="E13" s="21" t="s">
        <v>245</v>
      </c>
      <c r="F13" s="15">
        <v>2</v>
      </c>
      <c r="G13" s="15">
        <v>3</v>
      </c>
      <c r="H13" s="15">
        <f t="shared" si="0"/>
        <v>6</v>
      </c>
      <c r="I13" s="28" t="s">
        <v>83</v>
      </c>
      <c r="J13" s="15">
        <v>1</v>
      </c>
      <c r="K13" s="15">
        <v>3</v>
      </c>
      <c r="L13" s="15">
        <f t="shared" si="1"/>
        <v>3</v>
      </c>
    </row>
    <row r="14" spans="2:12" x14ac:dyDescent="0.3">
      <c r="B14" s="64"/>
      <c r="C14" s="64"/>
      <c r="D14" s="15" t="s">
        <v>130</v>
      </c>
      <c r="E14" s="21" t="s">
        <v>243</v>
      </c>
      <c r="F14" s="15">
        <v>3</v>
      </c>
      <c r="G14" s="15">
        <v>3</v>
      </c>
      <c r="H14" s="15">
        <f t="shared" si="0"/>
        <v>9</v>
      </c>
      <c r="I14" s="28" t="s">
        <v>85</v>
      </c>
      <c r="J14" s="15">
        <v>1</v>
      </c>
      <c r="K14" s="15">
        <v>3</v>
      </c>
      <c r="L14" s="15">
        <f t="shared" si="1"/>
        <v>3</v>
      </c>
    </row>
    <row r="15" spans="2:12" ht="27" x14ac:dyDescent="0.3">
      <c r="B15" s="64"/>
      <c r="C15" s="64"/>
      <c r="D15" s="15" t="s">
        <v>130</v>
      </c>
      <c r="E15" s="21" t="s">
        <v>246</v>
      </c>
      <c r="F15" s="15">
        <v>2</v>
      </c>
      <c r="G15" s="15">
        <v>2</v>
      </c>
      <c r="H15" s="15">
        <f t="shared" si="0"/>
        <v>4</v>
      </c>
      <c r="I15" s="28" t="s">
        <v>84</v>
      </c>
      <c r="J15" s="15">
        <v>1</v>
      </c>
      <c r="K15" s="15">
        <v>2</v>
      </c>
      <c r="L15" s="15">
        <f t="shared" si="1"/>
        <v>2</v>
      </c>
    </row>
    <row r="16" spans="2:12" x14ac:dyDescent="0.3">
      <c r="B16" s="64"/>
      <c r="C16" s="64"/>
      <c r="D16" s="15" t="s">
        <v>130</v>
      </c>
      <c r="E16" s="21" t="s">
        <v>245</v>
      </c>
      <c r="F16" s="15">
        <v>2</v>
      </c>
      <c r="G16" s="15">
        <v>3</v>
      </c>
      <c r="H16" s="15">
        <f t="shared" si="0"/>
        <v>6</v>
      </c>
      <c r="I16" s="28" t="s">
        <v>83</v>
      </c>
      <c r="J16" s="15">
        <v>1</v>
      </c>
      <c r="K16" s="15">
        <v>3</v>
      </c>
      <c r="L16" s="15">
        <f t="shared" si="1"/>
        <v>3</v>
      </c>
    </row>
    <row r="17" spans="1:12" ht="27" x14ac:dyDescent="0.3">
      <c r="B17" s="64"/>
      <c r="C17" s="64"/>
      <c r="D17" s="15" t="s">
        <v>130</v>
      </c>
      <c r="E17" s="33" t="s">
        <v>247</v>
      </c>
      <c r="F17" s="15">
        <v>3</v>
      </c>
      <c r="G17" s="15">
        <v>3</v>
      </c>
      <c r="H17" s="15">
        <f t="shared" si="0"/>
        <v>9</v>
      </c>
      <c r="I17" s="34" t="s">
        <v>78</v>
      </c>
      <c r="J17" s="15">
        <v>1</v>
      </c>
      <c r="K17" s="15">
        <v>3</v>
      </c>
      <c r="L17" s="15">
        <f t="shared" si="1"/>
        <v>3</v>
      </c>
    </row>
    <row r="18" spans="1:12" x14ac:dyDescent="0.3">
      <c r="B18" s="64"/>
      <c r="C18" s="64"/>
      <c r="D18" s="15" t="s">
        <v>130</v>
      </c>
      <c r="E18" s="33" t="s">
        <v>248</v>
      </c>
      <c r="F18" s="15">
        <v>3</v>
      </c>
      <c r="G18" s="15">
        <v>3</v>
      </c>
      <c r="H18" s="15">
        <f t="shared" si="0"/>
        <v>9</v>
      </c>
      <c r="I18" s="34" t="s">
        <v>82</v>
      </c>
      <c r="J18" s="15">
        <v>1</v>
      </c>
      <c r="K18" s="15">
        <v>3</v>
      </c>
      <c r="L18" s="15">
        <f t="shared" si="1"/>
        <v>3</v>
      </c>
    </row>
    <row r="19" spans="1:12" x14ac:dyDescent="0.3">
      <c r="B19" s="64"/>
      <c r="C19" s="64"/>
      <c r="D19" s="15" t="s">
        <v>239</v>
      </c>
      <c r="E19" s="33" t="s">
        <v>249</v>
      </c>
      <c r="F19" s="15">
        <v>2</v>
      </c>
      <c r="G19" s="15">
        <v>2</v>
      </c>
      <c r="H19" s="15">
        <f t="shared" si="0"/>
        <v>4</v>
      </c>
      <c r="I19" s="34" t="s">
        <v>81</v>
      </c>
      <c r="J19" s="15">
        <v>1</v>
      </c>
      <c r="K19" s="15">
        <v>2</v>
      </c>
      <c r="L19" s="15">
        <f t="shared" si="1"/>
        <v>2</v>
      </c>
    </row>
    <row r="20" spans="1:12" ht="27" x14ac:dyDescent="0.3">
      <c r="B20" s="65"/>
      <c r="C20" s="65"/>
      <c r="D20" s="15" t="s">
        <v>239</v>
      </c>
      <c r="E20" s="21" t="s">
        <v>250</v>
      </c>
      <c r="F20" s="15">
        <v>2</v>
      </c>
      <c r="G20" s="15">
        <v>2</v>
      </c>
      <c r="H20" s="15">
        <f t="shared" si="0"/>
        <v>4</v>
      </c>
      <c r="I20" s="28" t="s">
        <v>80</v>
      </c>
      <c r="J20" s="15">
        <v>1</v>
      </c>
      <c r="K20" s="15">
        <v>2</v>
      </c>
      <c r="L20" s="15">
        <f t="shared" si="1"/>
        <v>2</v>
      </c>
    </row>
    <row r="21" spans="1:12" ht="20.25" x14ac:dyDescent="0.3">
      <c r="B21" s="53" t="s">
        <v>2</v>
      </c>
      <c r="C21" s="5"/>
      <c r="D21" s="22"/>
      <c r="E21" s="10"/>
      <c r="F21" s="6"/>
      <c r="G21" s="6"/>
      <c r="H21" s="5"/>
      <c r="I21" s="7"/>
      <c r="J21" s="6"/>
      <c r="K21" s="6"/>
      <c r="L21" s="5"/>
    </row>
    <row r="22" spans="1:12" ht="20.25" x14ac:dyDescent="0.3">
      <c r="B22" s="53"/>
      <c r="C22" s="5"/>
      <c r="D22" s="22"/>
      <c r="E22" s="10"/>
      <c r="F22" s="6"/>
      <c r="G22" s="6"/>
      <c r="H22" s="5"/>
      <c r="I22" s="7"/>
      <c r="J22" s="6"/>
      <c r="K22" s="6"/>
      <c r="L22" s="5"/>
    </row>
    <row r="23" spans="1:12" x14ac:dyDescent="0.3">
      <c r="B23" s="53"/>
      <c r="C23" s="5"/>
      <c r="D23" s="5"/>
      <c r="E23" s="10"/>
      <c r="F23" s="6"/>
      <c r="G23" s="6"/>
      <c r="H23" s="5"/>
      <c r="I23" s="7"/>
      <c r="J23" s="6"/>
      <c r="K23" s="6"/>
      <c r="L23" s="5"/>
    </row>
    <row r="24" spans="1:12" x14ac:dyDescent="0.3">
      <c r="B24" s="53"/>
      <c r="C24" s="5"/>
      <c r="D24" s="5"/>
      <c r="E24" s="10"/>
      <c r="F24" s="6"/>
      <c r="G24" s="6"/>
      <c r="H24" s="5"/>
      <c r="I24" s="7"/>
      <c r="J24" s="6"/>
      <c r="K24" s="6"/>
      <c r="L24" s="5"/>
    </row>
    <row r="25" spans="1:12" x14ac:dyDescent="0.3">
      <c r="I25" s="4"/>
    </row>
    <row r="26" spans="1:12" x14ac:dyDescent="0.3">
      <c r="A26" s="3"/>
      <c r="B26" s="3"/>
      <c r="C26" s="3"/>
      <c r="D26" s="3"/>
      <c r="E26" s="4"/>
    </row>
    <row r="27" spans="1:12" s="1" customFormat="1" x14ac:dyDescent="0.3">
      <c r="A27" s="3"/>
      <c r="B27" s="3"/>
      <c r="C27" s="3"/>
      <c r="D27" s="3"/>
      <c r="E27" s="4"/>
      <c r="H27"/>
      <c r="I27" s="2"/>
    </row>
  </sheetData>
  <mergeCells count="9">
    <mergeCell ref="B7:B20"/>
    <mergeCell ref="C7:C20"/>
    <mergeCell ref="J5:L5"/>
    <mergeCell ref="B21:B24"/>
    <mergeCell ref="B5:B6"/>
    <mergeCell ref="C5:C6"/>
    <mergeCell ref="D5:E5"/>
    <mergeCell ref="F5:H5"/>
    <mergeCell ref="I5:I6"/>
  </mergeCells>
  <phoneticPr fontId="1" type="noConversion"/>
  <conditionalFormatting sqref="H7:H20">
    <cfRule type="cellIs" dxfId="11" priority="4" operator="between">
      <formula>1</formula>
      <formula>3</formula>
    </cfRule>
    <cfRule type="cellIs" dxfId="10" priority="5" operator="equal">
      <formula>4</formula>
    </cfRule>
    <cfRule type="cellIs" dxfId="9" priority="6" operator="between">
      <formula>6</formula>
      <formula>9</formula>
    </cfRule>
  </conditionalFormatting>
  <conditionalFormatting sqref="L7:L20">
    <cfRule type="cellIs" dxfId="8" priority="1" operator="between">
      <formula>1</formula>
      <formula>3</formula>
    </cfRule>
    <cfRule type="cellIs" dxfId="7" priority="2" operator="equal">
      <formula>4</formula>
    </cfRule>
    <cfRule type="cellIs" dxfId="6" priority="3" operator="between">
      <formula>6</formula>
      <formula>9</formula>
    </cfRule>
  </conditionalFormatting>
  <pageMargins left="0" right="0" top="0.59055118110236227" bottom="0" header="0.31496062992125984" footer="0"/>
  <pageSetup paperSize="9" scale="65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151-79B5-4FD3-A130-BD63414F7D18}">
  <sheetPr>
    <tabColor rgb="FF0000FF"/>
    <pageSetUpPr fitToPage="1"/>
  </sheetPr>
  <dimension ref="B2:L55"/>
  <sheetViews>
    <sheetView showGridLines="0" zoomScale="70" zoomScaleNormal="70" zoomScaleSheetLayoutView="70" workbookViewId="0">
      <selection activeCell="I3" sqref="I3"/>
    </sheetView>
  </sheetViews>
  <sheetFormatPr defaultRowHeight="16.5" x14ac:dyDescent="0.3"/>
  <cols>
    <col min="1" max="1" width="2.625" customWidth="1"/>
    <col min="2" max="4" width="14.625" customWidth="1"/>
    <col min="5" max="5" width="57.625" style="2" customWidth="1"/>
    <col min="6" max="7" width="4.75" style="1" customWidth="1"/>
    <col min="8" max="8" width="10.25" bestFit="1" customWidth="1"/>
    <col min="9" max="9" width="65.625" style="2" customWidth="1"/>
    <col min="10" max="11" width="5.625" style="1" customWidth="1"/>
    <col min="12" max="12" width="10.25" bestFit="1" customWidth="1"/>
  </cols>
  <sheetData>
    <row r="2" spans="2:12" ht="31.5" x14ac:dyDescent="0.3">
      <c r="B2" s="13" t="s">
        <v>112</v>
      </c>
    </row>
    <row r="4" spans="2:12" ht="17.25" x14ac:dyDescent="0.3">
      <c r="B4" s="12" t="s">
        <v>252</v>
      </c>
    </row>
    <row r="5" spans="2:12" ht="29.25" customHeight="1" x14ac:dyDescent="0.3">
      <c r="B5" s="54" t="s">
        <v>0</v>
      </c>
      <c r="C5" s="54" t="s">
        <v>36</v>
      </c>
      <c r="D5" s="54" t="s">
        <v>113</v>
      </c>
      <c r="E5" s="54"/>
      <c r="F5" s="55" t="s">
        <v>116</v>
      </c>
      <c r="G5" s="55"/>
      <c r="H5" s="55"/>
      <c r="I5" s="54" t="s">
        <v>35</v>
      </c>
      <c r="J5" s="55" t="s">
        <v>118</v>
      </c>
      <c r="K5" s="55"/>
      <c r="L5" s="55"/>
    </row>
    <row r="6" spans="2:12" x14ac:dyDescent="0.3">
      <c r="B6" s="54"/>
      <c r="C6" s="54"/>
      <c r="D6" s="17" t="s">
        <v>114</v>
      </c>
      <c r="E6" s="17" t="s">
        <v>115</v>
      </c>
      <c r="F6" s="18" t="s">
        <v>34</v>
      </c>
      <c r="G6" s="18" t="s">
        <v>33</v>
      </c>
      <c r="H6" s="17" t="s">
        <v>117</v>
      </c>
      <c r="I6" s="54"/>
      <c r="J6" s="18" t="s">
        <v>34</v>
      </c>
      <c r="K6" s="18" t="s">
        <v>33</v>
      </c>
      <c r="L6" s="17" t="s">
        <v>117</v>
      </c>
    </row>
    <row r="7" spans="2:12" ht="27" x14ac:dyDescent="0.3">
      <c r="B7" s="63" t="s">
        <v>252</v>
      </c>
      <c r="C7" s="63" t="s">
        <v>252</v>
      </c>
      <c r="D7" s="15" t="s">
        <v>130</v>
      </c>
      <c r="E7" s="16" t="s">
        <v>253</v>
      </c>
      <c r="F7" s="15">
        <v>2</v>
      </c>
      <c r="G7" s="15">
        <v>3</v>
      </c>
      <c r="H7" s="15">
        <f>F7*G7</f>
        <v>6</v>
      </c>
      <c r="I7" s="16" t="s">
        <v>254</v>
      </c>
      <c r="J7" s="15">
        <v>1</v>
      </c>
      <c r="K7" s="15">
        <v>3</v>
      </c>
      <c r="L7" s="15">
        <f>J7*K7</f>
        <v>3</v>
      </c>
    </row>
    <row r="8" spans="2:12" x14ac:dyDescent="0.3">
      <c r="B8" s="64"/>
      <c r="C8" s="64"/>
      <c r="D8" s="9" t="s">
        <v>4</v>
      </c>
      <c r="E8" s="8" t="s">
        <v>255</v>
      </c>
      <c r="F8" s="27">
        <v>3</v>
      </c>
      <c r="G8" s="27">
        <v>3</v>
      </c>
      <c r="H8" s="15">
        <f>F8*G8</f>
        <v>9</v>
      </c>
      <c r="I8" s="28" t="s">
        <v>32</v>
      </c>
      <c r="J8" s="29">
        <v>1</v>
      </c>
      <c r="K8" s="29">
        <v>3</v>
      </c>
      <c r="L8" s="15">
        <f>J8*K8</f>
        <v>3</v>
      </c>
    </row>
    <row r="9" spans="2:12" ht="27" x14ac:dyDescent="0.3">
      <c r="B9" s="64"/>
      <c r="C9" s="64"/>
      <c r="D9" s="9" t="s">
        <v>4</v>
      </c>
      <c r="E9" s="8" t="s">
        <v>256</v>
      </c>
      <c r="F9" s="27">
        <v>2</v>
      </c>
      <c r="G9" s="27">
        <v>3</v>
      </c>
      <c r="H9" s="15">
        <f t="shared" ref="H9:H50" si="0">F9*G9</f>
        <v>6</v>
      </c>
      <c r="I9" s="28" t="s">
        <v>31</v>
      </c>
      <c r="J9" s="29">
        <v>1</v>
      </c>
      <c r="K9" s="29">
        <v>3</v>
      </c>
      <c r="L9" s="15">
        <f t="shared" ref="L9:L50" si="1">J9*K9</f>
        <v>3</v>
      </c>
    </row>
    <row r="10" spans="2:12" ht="27" x14ac:dyDescent="0.3">
      <c r="B10" s="64"/>
      <c r="C10" s="64"/>
      <c r="D10" s="9" t="s">
        <v>4</v>
      </c>
      <c r="E10" s="8" t="s">
        <v>257</v>
      </c>
      <c r="F10" s="27">
        <v>2</v>
      </c>
      <c r="G10" s="27">
        <v>3</v>
      </c>
      <c r="H10" s="15">
        <f t="shared" si="0"/>
        <v>6</v>
      </c>
      <c r="I10" s="8" t="s">
        <v>30</v>
      </c>
      <c r="J10" s="29">
        <v>1</v>
      </c>
      <c r="K10" s="29">
        <v>3</v>
      </c>
      <c r="L10" s="15">
        <f t="shared" si="1"/>
        <v>3</v>
      </c>
    </row>
    <row r="11" spans="2:12" ht="27" x14ac:dyDescent="0.3">
      <c r="B11" s="64"/>
      <c r="C11" s="64"/>
      <c r="D11" s="9" t="s">
        <v>4</v>
      </c>
      <c r="E11" s="8" t="s">
        <v>258</v>
      </c>
      <c r="F11" s="27">
        <v>2</v>
      </c>
      <c r="G11" s="27">
        <v>3</v>
      </c>
      <c r="H11" s="15">
        <f t="shared" si="0"/>
        <v>6</v>
      </c>
      <c r="I11" s="28" t="s">
        <v>296</v>
      </c>
      <c r="J11" s="29">
        <v>1</v>
      </c>
      <c r="K11" s="29">
        <v>3</v>
      </c>
      <c r="L11" s="15">
        <f t="shared" si="1"/>
        <v>3</v>
      </c>
    </row>
    <row r="12" spans="2:12" x14ac:dyDescent="0.3">
      <c r="B12" s="64"/>
      <c r="C12" s="64"/>
      <c r="D12" s="9" t="s">
        <v>28</v>
      </c>
      <c r="E12" s="8" t="s">
        <v>259</v>
      </c>
      <c r="F12" s="27">
        <v>2</v>
      </c>
      <c r="G12" s="27">
        <v>2</v>
      </c>
      <c r="H12" s="15">
        <f t="shared" si="0"/>
        <v>4</v>
      </c>
      <c r="I12" s="8" t="s">
        <v>29</v>
      </c>
      <c r="J12" s="29">
        <v>1</v>
      </c>
      <c r="K12" s="29">
        <v>2</v>
      </c>
      <c r="L12" s="15">
        <f t="shared" si="1"/>
        <v>2</v>
      </c>
    </row>
    <row r="13" spans="2:12" ht="27" x14ac:dyDescent="0.3">
      <c r="B13" s="64"/>
      <c r="C13" s="64"/>
      <c r="D13" s="9" t="s">
        <v>28</v>
      </c>
      <c r="E13" s="8" t="s">
        <v>260</v>
      </c>
      <c r="F13" s="27">
        <v>2</v>
      </c>
      <c r="G13" s="27">
        <v>2</v>
      </c>
      <c r="H13" s="15">
        <f t="shared" si="0"/>
        <v>4</v>
      </c>
      <c r="I13" s="28" t="s">
        <v>297</v>
      </c>
      <c r="J13" s="29">
        <v>1</v>
      </c>
      <c r="K13" s="29">
        <v>2</v>
      </c>
      <c r="L13" s="15">
        <f t="shared" si="1"/>
        <v>2</v>
      </c>
    </row>
    <row r="14" spans="2:12" ht="27" x14ac:dyDescent="0.3">
      <c r="B14" s="64"/>
      <c r="C14" s="64"/>
      <c r="D14" s="9" t="s">
        <v>26</v>
      </c>
      <c r="E14" s="8" t="s">
        <v>261</v>
      </c>
      <c r="F14" s="27">
        <v>2</v>
      </c>
      <c r="G14" s="27">
        <v>2</v>
      </c>
      <c r="H14" s="15">
        <f t="shared" si="0"/>
        <v>4</v>
      </c>
      <c r="I14" s="8" t="s">
        <v>27</v>
      </c>
      <c r="J14" s="29">
        <v>1</v>
      </c>
      <c r="K14" s="29">
        <v>2</v>
      </c>
      <c r="L14" s="15">
        <f t="shared" si="1"/>
        <v>2</v>
      </c>
    </row>
    <row r="15" spans="2:12" ht="27" x14ac:dyDescent="0.3">
      <c r="B15" s="64"/>
      <c r="C15" s="64"/>
      <c r="D15" s="9" t="s">
        <v>26</v>
      </c>
      <c r="E15" s="8" t="s">
        <v>262</v>
      </c>
      <c r="F15" s="27">
        <v>2</v>
      </c>
      <c r="G15" s="27">
        <v>3</v>
      </c>
      <c r="H15" s="15">
        <f t="shared" si="0"/>
        <v>6</v>
      </c>
      <c r="I15" s="8" t="s">
        <v>25</v>
      </c>
      <c r="J15" s="29">
        <v>1</v>
      </c>
      <c r="K15" s="29">
        <v>3</v>
      </c>
      <c r="L15" s="15">
        <f t="shared" si="1"/>
        <v>3</v>
      </c>
    </row>
    <row r="16" spans="2:12" ht="27" x14ac:dyDescent="0.3">
      <c r="B16" s="64"/>
      <c r="C16" s="64"/>
      <c r="D16" s="9" t="s">
        <v>4</v>
      </c>
      <c r="E16" s="8" t="s">
        <v>263</v>
      </c>
      <c r="F16" s="27">
        <v>2</v>
      </c>
      <c r="G16" s="27">
        <v>3</v>
      </c>
      <c r="H16" s="15">
        <f t="shared" si="0"/>
        <v>6</v>
      </c>
      <c r="I16" s="28" t="s">
        <v>24</v>
      </c>
      <c r="J16" s="29">
        <v>1</v>
      </c>
      <c r="K16" s="29">
        <v>3</v>
      </c>
      <c r="L16" s="15">
        <f t="shared" si="1"/>
        <v>3</v>
      </c>
    </row>
    <row r="17" spans="2:12" ht="27" x14ac:dyDescent="0.3">
      <c r="B17" s="64"/>
      <c r="C17" s="64"/>
      <c r="D17" s="9" t="s">
        <v>4</v>
      </c>
      <c r="E17" s="8" t="s">
        <v>264</v>
      </c>
      <c r="F17" s="27">
        <v>2</v>
      </c>
      <c r="G17" s="27">
        <v>3</v>
      </c>
      <c r="H17" s="15">
        <f t="shared" si="0"/>
        <v>6</v>
      </c>
      <c r="I17" s="28" t="s">
        <v>23</v>
      </c>
      <c r="J17" s="29">
        <v>1</v>
      </c>
      <c r="K17" s="29">
        <v>3</v>
      </c>
      <c r="L17" s="15">
        <f t="shared" si="1"/>
        <v>3</v>
      </c>
    </row>
    <row r="18" spans="2:12" x14ac:dyDescent="0.3">
      <c r="B18" s="64"/>
      <c r="C18" s="64"/>
      <c r="D18" s="9" t="s">
        <v>4</v>
      </c>
      <c r="E18" s="8" t="s">
        <v>265</v>
      </c>
      <c r="F18" s="27">
        <v>3</v>
      </c>
      <c r="G18" s="27">
        <v>3</v>
      </c>
      <c r="H18" s="15">
        <f t="shared" si="0"/>
        <v>9</v>
      </c>
      <c r="I18" s="28" t="s">
        <v>22</v>
      </c>
      <c r="J18" s="29">
        <v>1</v>
      </c>
      <c r="K18" s="29">
        <v>3</v>
      </c>
      <c r="L18" s="15">
        <f t="shared" si="1"/>
        <v>3</v>
      </c>
    </row>
    <row r="19" spans="2:12" ht="27" x14ac:dyDescent="0.3">
      <c r="B19" s="64"/>
      <c r="C19" s="64"/>
      <c r="D19" s="9" t="s">
        <v>4</v>
      </c>
      <c r="E19" s="8" t="s">
        <v>266</v>
      </c>
      <c r="F19" s="27">
        <v>2</v>
      </c>
      <c r="G19" s="27">
        <v>3</v>
      </c>
      <c r="H19" s="15">
        <f t="shared" si="0"/>
        <v>6</v>
      </c>
      <c r="I19" s="28" t="s">
        <v>298</v>
      </c>
      <c r="J19" s="29">
        <v>1</v>
      </c>
      <c r="K19" s="29">
        <v>3</v>
      </c>
      <c r="L19" s="15">
        <f t="shared" si="1"/>
        <v>3</v>
      </c>
    </row>
    <row r="20" spans="2:12" ht="27" x14ac:dyDescent="0.3">
      <c r="B20" s="64"/>
      <c r="C20" s="64"/>
      <c r="D20" s="9" t="s">
        <v>4</v>
      </c>
      <c r="E20" s="8" t="s">
        <v>267</v>
      </c>
      <c r="F20" s="27">
        <v>2</v>
      </c>
      <c r="G20" s="27">
        <v>3</v>
      </c>
      <c r="H20" s="15">
        <f t="shared" si="0"/>
        <v>6</v>
      </c>
      <c r="I20" s="28" t="s">
        <v>299</v>
      </c>
      <c r="J20" s="29">
        <v>1</v>
      </c>
      <c r="K20" s="29">
        <v>3</v>
      </c>
      <c r="L20" s="15">
        <f t="shared" si="1"/>
        <v>3</v>
      </c>
    </row>
    <row r="21" spans="2:12" ht="27" x14ac:dyDescent="0.3">
      <c r="B21" s="64"/>
      <c r="C21" s="64"/>
      <c r="D21" s="9" t="s">
        <v>4</v>
      </c>
      <c r="E21" s="8" t="s">
        <v>268</v>
      </c>
      <c r="F21" s="27">
        <v>2</v>
      </c>
      <c r="G21" s="27">
        <v>3</v>
      </c>
      <c r="H21" s="15">
        <f t="shared" si="0"/>
        <v>6</v>
      </c>
      <c r="I21" s="8" t="s">
        <v>269</v>
      </c>
      <c r="J21" s="29">
        <v>1</v>
      </c>
      <c r="K21" s="29">
        <v>3</v>
      </c>
      <c r="L21" s="15">
        <f t="shared" si="1"/>
        <v>3</v>
      </c>
    </row>
    <row r="22" spans="2:12" ht="27" x14ac:dyDescent="0.3">
      <c r="B22" s="64"/>
      <c r="C22" s="64"/>
      <c r="D22" s="9" t="s">
        <v>4</v>
      </c>
      <c r="E22" s="8" t="s">
        <v>270</v>
      </c>
      <c r="F22" s="27">
        <v>2</v>
      </c>
      <c r="G22" s="27">
        <v>2</v>
      </c>
      <c r="H22" s="15">
        <f t="shared" si="0"/>
        <v>4</v>
      </c>
      <c r="I22" s="28" t="s">
        <v>300</v>
      </c>
      <c r="J22" s="29">
        <v>1</v>
      </c>
      <c r="K22" s="29">
        <v>2</v>
      </c>
      <c r="L22" s="15">
        <f t="shared" si="1"/>
        <v>2</v>
      </c>
    </row>
    <row r="23" spans="2:12" ht="27" x14ac:dyDescent="0.3">
      <c r="B23" s="64"/>
      <c r="C23" s="64"/>
      <c r="D23" s="9" t="s">
        <v>4</v>
      </c>
      <c r="E23" s="8" t="s">
        <v>271</v>
      </c>
      <c r="F23" s="27">
        <v>2</v>
      </c>
      <c r="G23" s="27">
        <v>2</v>
      </c>
      <c r="H23" s="15">
        <f t="shared" si="0"/>
        <v>4</v>
      </c>
      <c r="I23" s="28" t="s">
        <v>21</v>
      </c>
      <c r="J23" s="29">
        <v>1</v>
      </c>
      <c r="K23" s="29">
        <v>2</v>
      </c>
      <c r="L23" s="15">
        <f t="shared" si="1"/>
        <v>2</v>
      </c>
    </row>
    <row r="24" spans="2:12" ht="27" x14ac:dyDescent="0.3">
      <c r="B24" s="64"/>
      <c r="C24" s="64"/>
      <c r="D24" s="9" t="s">
        <v>4</v>
      </c>
      <c r="E24" s="8" t="s">
        <v>272</v>
      </c>
      <c r="F24" s="27">
        <v>3</v>
      </c>
      <c r="G24" s="27">
        <v>3</v>
      </c>
      <c r="H24" s="15">
        <f t="shared" si="0"/>
        <v>9</v>
      </c>
      <c r="I24" s="28" t="s">
        <v>301</v>
      </c>
      <c r="J24" s="29">
        <v>1</v>
      </c>
      <c r="K24" s="29">
        <v>3</v>
      </c>
      <c r="L24" s="15">
        <f t="shared" si="1"/>
        <v>3</v>
      </c>
    </row>
    <row r="25" spans="2:12" ht="27" x14ac:dyDescent="0.3">
      <c r="B25" s="64"/>
      <c r="C25" s="64"/>
      <c r="D25" s="9" t="s">
        <v>4</v>
      </c>
      <c r="E25" s="8" t="s">
        <v>273</v>
      </c>
      <c r="F25" s="27">
        <v>2</v>
      </c>
      <c r="G25" s="27">
        <v>3</v>
      </c>
      <c r="H25" s="15">
        <f t="shared" si="0"/>
        <v>6</v>
      </c>
      <c r="I25" s="28" t="s">
        <v>302</v>
      </c>
      <c r="J25" s="29">
        <v>1</v>
      </c>
      <c r="K25" s="29">
        <v>3</v>
      </c>
      <c r="L25" s="15">
        <f t="shared" si="1"/>
        <v>3</v>
      </c>
    </row>
    <row r="26" spans="2:12" x14ac:dyDescent="0.3">
      <c r="B26" s="64"/>
      <c r="C26" s="64"/>
      <c r="D26" s="9" t="s">
        <v>4</v>
      </c>
      <c r="E26" s="8" t="s">
        <v>274</v>
      </c>
      <c r="F26" s="27">
        <v>2</v>
      </c>
      <c r="G26" s="27">
        <v>3</v>
      </c>
      <c r="H26" s="15">
        <f t="shared" si="0"/>
        <v>6</v>
      </c>
      <c r="I26" s="28" t="s">
        <v>20</v>
      </c>
      <c r="J26" s="29">
        <v>1</v>
      </c>
      <c r="K26" s="29">
        <v>3</v>
      </c>
      <c r="L26" s="15">
        <f t="shared" si="1"/>
        <v>3</v>
      </c>
    </row>
    <row r="27" spans="2:12" ht="27" x14ac:dyDescent="0.3">
      <c r="B27" s="64"/>
      <c r="C27" s="64"/>
      <c r="D27" s="9" t="s">
        <v>4</v>
      </c>
      <c r="E27" s="8" t="s">
        <v>275</v>
      </c>
      <c r="F27" s="27">
        <v>2</v>
      </c>
      <c r="G27" s="27">
        <v>3</v>
      </c>
      <c r="H27" s="15">
        <f t="shared" si="0"/>
        <v>6</v>
      </c>
      <c r="I27" s="28" t="s">
        <v>19</v>
      </c>
      <c r="J27" s="29">
        <v>1</v>
      </c>
      <c r="K27" s="29">
        <v>3</v>
      </c>
      <c r="L27" s="15">
        <f t="shared" si="1"/>
        <v>3</v>
      </c>
    </row>
    <row r="28" spans="2:12" ht="27" x14ac:dyDescent="0.3">
      <c r="B28" s="64"/>
      <c r="C28" s="64"/>
      <c r="D28" s="9" t="s">
        <v>4</v>
      </c>
      <c r="E28" s="8" t="s">
        <v>276</v>
      </c>
      <c r="F28" s="27">
        <v>3</v>
      </c>
      <c r="G28" s="27">
        <v>3</v>
      </c>
      <c r="H28" s="15">
        <f t="shared" si="0"/>
        <v>9</v>
      </c>
      <c r="I28" s="28" t="s">
        <v>303</v>
      </c>
      <c r="J28" s="29">
        <v>1</v>
      </c>
      <c r="K28" s="29">
        <v>3</v>
      </c>
      <c r="L28" s="15">
        <f t="shared" si="1"/>
        <v>3</v>
      </c>
    </row>
    <row r="29" spans="2:12" ht="27" x14ac:dyDescent="0.3">
      <c r="B29" s="64"/>
      <c r="C29" s="64"/>
      <c r="D29" s="9" t="s">
        <v>4</v>
      </c>
      <c r="E29" s="8" t="s">
        <v>277</v>
      </c>
      <c r="F29" s="27">
        <v>3</v>
      </c>
      <c r="G29" s="27">
        <v>3</v>
      </c>
      <c r="H29" s="15">
        <f t="shared" si="0"/>
        <v>9</v>
      </c>
      <c r="I29" s="28" t="s">
        <v>18</v>
      </c>
      <c r="J29" s="29">
        <v>1</v>
      </c>
      <c r="K29" s="29">
        <v>3</v>
      </c>
      <c r="L29" s="15">
        <f t="shared" si="1"/>
        <v>3</v>
      </c>
    </row>
    <row r="30" spans="2:12" ht="27" x14ac:dyDescent="0.3">
      <c r="B30" s="64"/>
      <c r="C30" s="64"/>
      <c r="D30" s="9" t="s">
        <v>4</v>
      </c>
      <c r="E30" s="8" t="s">
        <v>278</v>
      </c>
      <c r="F30" s="27">
        <v>3</v>
      </c>
      <c r="G30" s="27">
        <v>3</v>
      </c>
      <c r="H30" s="15">
        <f t="shared" si="0"/>
        <v>9</v>
      </c>
      <c r="I30" s="28" t="s">
        <v>304</v>
      </c>
      <c r="J30" s="29">
        <v>1</v>
      </c>
      <c r="K30" s="29">
        <v>3</v>
      </c>
      <c r="L30" s="15">
        <f t="shared" si="1"/>
        <v>3</v>
      </c>
    </row>
    <row r="31" spans="2:12" x14ac:dyDescent="0.3">
      <c r="B31" s="64"/>
      <c r="C31" s="64"/>
      <c r="D31" s="9" t="s">
        <v>4</v>
      </c>
      <c r="E31" s="8" t="s">
        <v>279</v>
      </c>
      <c r="F31" s="27">
        <v>2</v>
      </c>
      <c r="G31" s="27">
        <v>3</v>
      </c>
      <c r="H31" s="15">
        <f t="shared" si="0"/>
        <v>6</v>
      </c>
      <c r="I31" s="28" t="s">
        <v>17</v>
      </c>
      <c r="J31" s="29">
        <v>1</v>
      </c>
      <c r="K31" s="29">
        <v>3</v>
      </c>
      <c r="L31" s="15">
        <f t="shared" si="1"/>
        <v>3</v>
      </c>
    </row>
    <row r="32" spans="2:12" x14ac:dyDescent="0.3">
      <c r="B32" s="64"/>
      <c r="C32" s="64"/>
      <c r="D32" s="9" t="s">
        <v>4</v>
      </c>
      <c r="E32" s="8" t="s">
        <v>280</v>
      </c>
      <c r="F32" s="27">
        <v>2</v>
      </c>
      <c r="G32" s="27">
        <v>3</v>
      </c>
      <c r="H32" s="15">
        <f t="shared" si="0"/>
        <v>6</v>
      </c>
      <c r="I32" s="28" t="s">
        <v>16</v>
      </c>
      <c r="J32" s="29">
        <v>1</v>
      </c>
      <c r="K32" s="29">
        <v>3</v>
      </c>
      <c r="L32" s="15">
        <f t="shared" si="1"/>
        <v>3</v>
      </c>
    </row>
    <row r="33" spans="2:12" ht="27" x14ac:dyDescent="0.3">
      <c r="B33" s="64"/>
      <c r="C33" s="64"/>
      <c r="D33" s="9" t="s">
        <v>4</v>
      </c>
      <c r="E33" s="8" t="s">
        <v>281</v>
      </c>
      <c r="F33" s="27">
        <v>2</v>
      </c>
      <c r="G33" s="27">
        <v>3</v>
      </c>
      <c r="H33" s="15">
        <f t="shared" si="0"/>
        <v>6</v>
      </c>
      <c r="I33" s="28" t="s">
        <v>15</v>
      </c>
      <c r="J33" s="29">
        <v>1</v>
      </c>
      <c r="K33" s="29">
        <v>3</v>
      </c>
      <c r="L33" s="15">
        <f t="shared" si="1"/>
        <v>3</v>
      </c>
    </row>
    <row r="34" spans="2:12" ht="27" x14ac:dyDescent="0.3">
      <c r="B34" s="64"/>
      <c r="C34" s="64"/>
      <c r="D34" s="9" t="s">
        <v>4</v>
      </c>
      <c r="E34" s="8" t="s">
        <v>282</v>
      </c>
      <c r="F34" s="27">
        <v>3</v>
      </c>
      <c r="G34" s="27">
        <v>3</v>
      </c>
      <c r="H34" s="15">
        <f t="shared" si="0"/>
        <v>9</v>
      </c>
      <c r="I34" s="28" t="s">
        <v>305</v>
      </c>
      <c r="J34" s="29">
        <v>1</v>
      </c>
      <c r="K34" s="29">
        <v>3</v>
      </c>
      <c r="L34" s="15">
        <f t="shared" si="1"/>
        <v>3</v>
      </c>
    </row>
    <row r="35" spans="2:12" ht="27" x14ac:dyDescent="0.3">
      <c r="B35" s="64"/>
      <c r="C35" s="64"/>
      <c r="D35" s="9" t="s">
        <v>4</v>
      </c>
      <c r="E35" s="8" t="s">
        <v>283</v>
      </c>
      <c r="F35" s="27">
        <v>2</v>
      </c>
      <c r="G35" s="27">
        <v>3</v>
      </c>
      <c r="H35" s="15">
        <f t="shared" si="0"/>
        <v>6</v>
      </c>
      <c r="I35" s="28" t="s">
        <v>14</v>
      </c>
      <c r="J35" s="29">
        <v>1</v>
      </c>
      <c r="K35" s="29">
        <v>3</v>
      </c>
      <c r="L35" s="15">
        <f t="shared" si="1"/>
        <v>3</v>
      </c>
    </row>
    <row r="36" spans="2:12" x14ac:dyDescent="0.3">
      <c r="B36" s="64"/>
      <c r="C36" s="64"/>
      <c r="D36" s="9" t="s">
        <v>4</v>
      </c>
      <c r="E36" s="8" t="s">
        <v>212</v>
      </c>
      <c r="F36" s="27">
        <v>3</v>
      </c>
      <c r="G36" s="27">
        <v>3</v>
      </c>
      <c r="H36" s="15">
        <f t="shared" si="0"/>
        <v>9</v>
      </c>
      <c r="I36" s="28" t="s">
        <v>13</v>
      </c>
      <c r="J36" s="29">
        <v>1</v>
      </c>
      <c r="K36" s="29">
        <v>3</v>
      </c>
      <c r="L36" s="15">
        <f t="shared" si="1"/>
        <v>3</v>
      </c>
    </row>
    <row r="37" spans="2:12" x14ac:dyDescent="0.3">
      <c r="B37" s="64"/>
      <c r="C37" s="64"/>
      <c r="D37" s="9" t="s">
        <v>4</v>
      </c>
      <c r="E37" s="8" t="s">
        <v>284</v>
      </c>
      <c r="F37" s="27">
        <v>3</v>
      </c>
      <c r="G37" s="27">
        <v>3</v>
      </c>
      <c r="H37" s="15">
        <f t="shared" si="0"/>
        <v>9</v>
      </c>
      <c r="I37" s="28" t="s">
        <v>12</v>
      </c>
      <c r="J37" s="29">
        <v>1</v>
      </c>
      <c r="K37" s="29">
        <v>3</v>
      </c>
      <c r="L37" s="15">
        <f t="shared" si="1"/>
        <v>3</v>
      </c>
    </row>
    <row r="38" spans="2:12" ht="40.5" customHeight="1" x14ac:dyDescent="0.3">
      <c r="B38" s="64"/>
      <c r="C38" s="64"/>
      <c r="D38" s="9" t="s">
        <v>4</v>
      </c>
      <c r="E38" s="8" t="s">
        <v>285</v>
      </c>
      <c r="F38" s="27">
        <v>2</v>
      </c>
      <c r="G38" s="27">
        <v>3</v>
      </c>
      <c r="H38" s="15">
        <f t="shared" si="0"/>
        <v>6</v>
      </c>
      <c r="I38" s="28" t="s">
        <v>306</v>
      </c>
      <c r="J38" s="29">
        <v>1</v>
      </c>
      <c r="K38" s="29">
        <v>3</v>
      </c>
      <c r="L38" s="15">
        <f t="shared" si="1"/>
        <v>3</v>
      </c>
    </row>
    <row r="39" spans="2:12" ht="27" x14ac:dyDescent="0.3">
      <c r="B39" s="64"/>
      <c r="C39" s="64"/>
      <c r="D39" s="9" t="s">
        <v>4</v>
      </c>
      <c r="E39" s="8" t="s">
        <v>286</v>
      </c>
      <c r="F39" s="27">
        <v>2</v>
      </c>
      <c r="G39" s="27">
        <v>3</v>
      </c>
      <c r="H39" s="15">
        <f t="shared" si="0"/>
        <v>6</v>
      </c>
      <c r="I39" s="28" t="s">
        <v>307</v>
      </c>
      <c r="J39" s="29">
        <v>1</v>
      </c>
      <c r="K39" s="29">
        <v>3</v>
      </c>
      <c r="L39" s="15">
        <f t="shared" si="1"/>
        <v>3</v>
      </c>
    </row>
    <row r="40" spans="2:12" x14ac:dyDescent="0.3">
      <c r="B40" s="64"/>
      <c r="C40" s="64"/>
      <c r="D40" s="9" t="s">
        <v>4</v>
      </c>
      <c r="E40" s="8" t="s">
        <v>11</v>
      </c>
      <c r="F40" s="27">
        <v>3</v>
      </c>
      <c r="G40" s="27">
        <v>3</v>
      </c>
      <c r="H40" s="15">
        <f t="shared" si="0"/>
        <v>9</v>
      </c>
      <c r="I40" s="28" t="s">
        <v>10</v>
      </c>
      <c r="J40" s="29">
        <v>1</v>
      </c>
      <c r="K40" s="29">
        <v>3</v>
      </c>
      <c r="L40" s="15">
        <f t="shared" si="1"/>
        <v>3</v>
      </c>
    </row>
    <row r="41" spans="2:12" ht="27" x14ac:dyDescent="0.3">
      <c r="B41" s="64"/>
      <c r="C41" s="64"/>
      <c r="D41" s="9" t="s">
        <v>4</v>
      </c>
      <c r="E41" s="8" t="s">
        <v>287</v>
      </c>
      <c r="F41" s="27">
        <v>2</v>
      </c>
      <c r="G41" s="27">
        <v>3</v>
      </c>
      <c r="H41" s="15">
        <f t="shared" si="0"/>
        <v>6</v>
      </c>
      <c r="I41" s="28" t="s">
        <v>308</v>
      </c>
      <c r="J41" s="29">
        <v>1</v>
      </c>
      <c r="K41" s="29">
        <v>3</v>
      </c>
      <c r="L41" s="15">
        <f t="shared" si="1"/>
        <v>3</v>
      </c>
    </row>
    <row r="42" spans="2:12" x14ac:dyDescent="0.3">
      <c r="B42" s="64"/>
      <c r="C42" s="64"/>
      <c r="D42" s="9" t="s">
        <v>4</v>
      </c>
      <c r="E42" s="8" t="s">
        <v>288</v>
      </c>
      <c r="F42" s="27">
        <v>3</v>
      </c>
      <c r="G42" s="27">
        <v>3</v>
      </c>
      <c r="H42" s="15">
        <f t="shared" si="0"/>
        <v>9</v>
      </c>
      <c r="I42" s="28" t="s">
        <v>9</v>
      </c>
      <c r="J42" s="29">
        <v>1</v>
      </c>
      <c r="K42" s="29">
        <v>3</v>
      </c>
      <c r="L42" s="15">
        <f t="shared" si="1"/>
        <v>3</v>
      </c>
    </row>
    <row r="43" spans="2:12" ht="27" x14ac:dyDescent="0.3">
      <c r="B43" s="64"/>
      <c r="C43" s="64"/>
      <c r="D43" s="9" t="s">
        <v>4</v>
      </c>
      <c r="E43" s="8" t="s">
        <v>289</v>
      </c>
      <c r="F43" s="27">
        <v>2</v>
      </c>
      <c r="G43" s="27">
        <v>3</v>
      </c>
      <c r="H43" s="15">
        <f t="shared" si="0"/>
        <v>6</v>
      </c>
      <c r="I43" s="28" t="s">
        <v>8</v>
      </c>
      <c r="J43" s="29">
        <v>1</v>
      </c>
      <c r="K43" s="29">
        <v>3</v>
      </c>
      <c r="L43" s="15">
        <f t="shared" si="1"/>
        <v>3</v>
      </c>
    </row>
    <row r="44" spans="2:12" ht="27" x14ac:dyDescent="0.3">
      <c r="B44" s="64"/>
      <c r="C44" s="64"/>
      <c r="D44" s="9" t="s">
        <v>4</v>
      </c>
      <c r="E44" s="8" t="s">
        <v>290</v>
      </c>
      <c r="F44" s="27">
        <v>3</v>
      </c>
      <c r="G44" s="27">
        <v>3</v>
      </c>
      <c r="H44" s="15">
        <f t="shared" si="0"/>
        <v>9</v>
      </c>
      <c r="I44" s="28" t="s">
        <v>7</v>
      </c>
      <c r="J44" s="29">
        <v>1</v>
      </c>
      <c r="K44" s="29">
        <v>3</v>
      </c>
      <c r="L44" s="15">
        <f t="shared" si="1"/>
        <v>3</v>
      </c>
    </row>
    <row r="45" spans="2:12" ht="27" x14ac:dyDescent="0.3">
      <c r="B45" s="64"/>
      <c r="C45" s="64"/>
      <c r="D45" s="9" t="s">
        <v>4</v>
      </c>
      <c r="E45" s="8" t="s">
        <v>247</v>
      </c>
      <c r="F45" s="27">
        <v>3</v>
      </c>
      <c r="G45" s="27">
        <v>3</v>
      </c>
      <c r="H45" s="15">
        <f t="shared" si="0"/>
        <v>9</v>
      </c>
      <c r="I45" s="28" t="s">
        <v>309</v>
      </c>
      <c r="J45" s="29">
        <v>1</v>
      </c>
      <c r="K45" s="29">
        <v>3</v>
      </c>
      <c r="L45" s="15">
        <f t="shared" si="1"/>
        <v>3</v>
      </c>
    </row>
    <row r="46" spans="2:12" ht="27" x14ac:dyDescent="0.3">
      <c r="B46" s="64"/>
      <c r="C46" s="64"/>
      <c r="D46" s="9" t="s">
        <v>4</v>
      </c>
      <c r="E46" s="8" t="s">
        <v>291</v>
      </c>
      <c r="F46" s="27">
        <v>2</v>
      </c>
      <c r="G46" s="27">
        <v>3</v>
      </c>
      <c r="H46" s="15">
        <f t="shared" si="0"/>
        <v>6</v>
      </c>
      <c r="I46" s="28" t="s">
        <v>6</v>
      </c>
      <c r="J46" s="29">
        <v>1</v>
      </c>
      <c r="K46" s="29">
        <v>3</v>
      </c>
      <c r="L46" s="15">
        <f t="shared" si="1"/>
        <v>3</v>
      </c>
    </row>
    <row r="47" spans="2:12" ht="27" x14ac:dyDescent="0.3">
      <c r="B47" s="64"/>
      <c r="C47" s="64"/>
      <c r="D47" s="9" t="s">
        <v>4</v>
      </c>
      <c r="E47" s="8" t="s">
        <v>292</v>
      </c>
      <c r="F47" s="27">
        <v>3</v>
      </c>
      <c r="G47" s="27">
        <v>3</v>
      </c>
      <c r="H47" s="15">
        <f t="shared" si="0"/>
        <v>9</v>
      </c>
      <c r="I47" s="28" t="s">
        <v>310</v>
      </c>
      <c r="J47" s="29">
        <v>1</v>
      </c>
      <c r="K47" s="29">
        <v>3</v>
      </c>
      <c r="L47" s="15">
        <f t="shared" si="1"/>
        <v>3</v>
      </c>
    </row>
    <row r="48" spans="2:12" ht="27" x14ac:dyDescent="0.3">
      <c r="B48" s="64"/>
      <c r="C48" s="64"/>
      <c r="D48" s="9" t="s">
        <v>4</v>
      </c>
      <c r="E48" s="8" t="s">
        <v>293</v>
      </c>
      <c r="F48" s="27">
        <v>3</v>
      </c>
      <c r="G48" s="27">
        <v>3</v>
      </c>
      <c r="H48" s="15">
        <f t="shared" si="0"/>
        <v>9</v>
      </c>
      <c r="I48" s="28" t="s">
        <v>311</v>
      </c>
      <c r="J48" s="29">
        <v>1</v>
      </c>
      <c r="K48" s="29">
        <v>3</v>
      </c>
      <c r="L48" s="15">
        <f t="shared" si="1"/>
        <v>3</v>
      </c>
    </row>
    <row r="49" spans="2:12" ht="27" x14ac:dyDescent="0.3">
      <c r="B49" s="64"/>
      <c r="C49" s="64"/>
      <c r="D49" s="9" t="s">
        <v>4</v>
      </c>
      <c r="E49" s="8" t="s">
        <v>294</v>
      </c>
      <c r="F49" s="27">
        <v>2</v>
      </c>
      <c r="G49" s="27">
        <v>3</v>
      </c>
      <c r="H49" s="15">
        <f t="shared" si="0"/>
        <v>6</v>
      </c>
      <c r="I49" s="28" t="s">
        <v>5</v>
      </c>
      <c r="J49" s="29">
        <v>1</v>
      </c>
      <c r="K49" s="29">
        <v>3</v>
      </c>
      <c r="L49" s="15">
        <f t="shared" si="1"/>
        <v>3</v>
      </c>
    </row>
    <row r="50" spans="2:12" ht="54" x14ac:dyDescent="0.3">
      <c r="B50" s="65"/>
      <c r="C50" s="65"/>
      <c r="D50" s="9" t="s">
        <v>4</v>
      </c>
      <c r="E50" s="8" t="s">
        <v>295</v>
      </c>
      <c r="F50" s="27">
        <v>3</v>
      </c>
      <c r="G50" s="27">
        <v>3</v>
      </c>
      <c r="H50" s="15">
        <f t="shared" si="0"/>
        <v>9</v>
      </c>
      <c r="I50" s="28" t="s">
        <v>3</v>
      </c>
      <c r="J50" s="29">
        <v>1</v>
      </c>
      <c r="K50" s="29">
        <v>3</v>
      </c>
      <c r="L50" s="15">
        <f t="shared" si="1"/>
        <v>3</v>
      </c>
    </row>
    <row r="51" spans="2:12" ht="20.25" x14ac:dyDescent="0.3">
      <c r="B51" s="53" t="s">
        <v>2</v>
      </c>
      <c r="C51" s="5"/>
      <c r="D51" s="31"/>
      <c r="E51" s="10"/>
      <c r="F51" s="6"/>
      <c r="G51" s="6"/>
      <c r="H51" s="5"/>
      <c r="I51" s="7"/>
      <c r="J51" s="6"/>
      <c r="K51" s="6"/>
      <c r="L51" s="5"/>
    </row>
    <row r="52" spans="2:12" ht="20.25" x14ac:dyDescent="0.3">
      <c r="B52" s="53"/>
      <c r="C52" s="5"/>
      <c r="D52" s="31"/>
      <c r="E52" s="10"/>
      <c r="F52" s="6"/>
      <c r="G52" s="6"/>
      <c r="H52" s="5"/>
      <c r="I52" s="7"/>
      <c r="J52" s="6"/>
      <c r="K52" s="6"/>
      <c r="L52" s="5"/>
    </row>
    <row r="53" spans="2:12" ht="20.25" x14ac:dyDescent="0.3">
      <c r="B53" s="53"/>
      <c r="C53" s="5"/>
      <c r="D53" s="31"/>
      <c r="E53" s="10"/>
      <c r="F53" s="6"/>
      <c r="G53" s="6"/>
      <c r="H53" s="5"/>
      <c r="I53" s="7"/>
      <c r="J53" s="6"/>
      <c r="K53" s="6"/>
      <c r="L53" s="5"/>
    </row>
    <row r="54" spans="2:12" ht="20.25" x14ac:dyDescent="0.3">
      <c r="B54" s="53"/>
      <c r="C54" s="5"/>
      <c r="D54" s="31"/>
      <c r="E54" s="10"/>
      <c r="F54" s="6"/>
      <c r="G54" s="6"/>
      <c r="H54" s="5"/>
      <c r="I54" s="7"/>
      <c r="J54" s="6"/>
      <c r="K54" s="6"/>
      <c r="L54" s="5"/>
    </row>
    <row r="55" spans="2:12" x14ac:dyDescent="0.3">
      <c r="I55" s="4"/>
    </row>
  </sheetData>
  <mergeCells count="9">
    <mergeCell ref="B7:B50"/>
    <mergeCell ref="C7:C50"/>
    <mergeCell ref="J5:L5"/>
    <mergeCell ref="B51:B54"/>
    <mergeCell ref="B5:B6"/>
    <mergeCell ref="C5:C6"/>
    <mergeCell ref="D5:E5"/>
    <mergeCell ref="F5:H5"/>
    <mergeCell ref="I5:I6"/>
  </mergeCells>
  <phoneticPr fontId="1" type="noConversion"/>
  <conditionalFormatting sqref="H7:H50">
    <cfRule type="cellIs" dxfId="5" priority="4" operator="between">
      <formula>1</formula>
      <formula>3</formula>
    </cfRule>
    <cfRule type="cellIs" dxfId="4" priority="5" operator="equal">
      <formula>4</formula>
    </cfRule>
    <cfRule type="cellIs" dxfId="3" priority="6" operator="between">
      <formula>6</formula>
      <formula>9</formula>
    </cfRule>
  </conditionalFormatting>
  <conditionalFormatting sqref="L7:L50">
    <cfRule type="cellIs" dxfId="2" priority="1" operator="between">
      <formula>1</formula>
      <formula>3</formula>
    </cfRule>
    <cfRule type="cellIs" dxfId="1" priority="2" operator="equal">
      <formula>4</formula>
    </cfRule>
    <cfRule type="cellIs" dxfId="0" priority="3" operator="between">
      <formula>6</formula>
      <formula>9</formula>
    </cfRule>
  </conditionalFormatting>
  <pageMargins left="0" right="0" top="0.59055118110236227" bottom="0" header="0.31496062992125984" footer="0"/>
  <pageSetup paperSize="9"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위험성평가표(예시)</vt:lpstr>
      <vt:lpstr>1-1)외벽로프(자체제어하강기)</vt:lpstr>
      <vt:lpstr>1-2)외벽로프</vt:lpstr>
      <vt:lpstr>2-1)스카이(고소작업차)</vt:lpstr>
      <vt:lpstr>2-2)이동식 크레인</vt:lpstr>
      <vt:lpstr>2-3)굴착기</vt:lpstr>
      <vt:lpstr>2-4)지게차</vt:lpstr>
      <vt:lpstr>3)비계</vt:lpstr>
      <vt:lpstr>4)기계식 주차설비</vt:lpstr>
      <vt:lpstr>5)용접용단작업_산소</vt:lpstr>
      <vt:lpstr>5)용접용단작업_알곤</vt:lpstr>
      <vt:lpstr>5)용접용단작업_아크</vt:lpstr>
      <vt:lpstr>6)밀폐공간</vt:lpstr>
      <vt:lpstr>7)수변전설비</vt:lpstr>
      <vt:lpstr>8)승강기</vt:lpstr>
      <vt:lpstr>9)4m이상 고소작업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노시우</cp:lastModifiedBy>
  <cp:lastPrinted>2023-06-27T01:03:14Z</cp:lastPrinted>
  <dcterms:created xsi:type="dcterms:W3CDTF">2023-02-07T00:10:43Z</dcterms:created>
  <dcterms:modified xsi:type="dcterms:W3CDTF">2025-05-30T04:27:05Z</dcterms:modified>
</cp:coreProperties>
</file>
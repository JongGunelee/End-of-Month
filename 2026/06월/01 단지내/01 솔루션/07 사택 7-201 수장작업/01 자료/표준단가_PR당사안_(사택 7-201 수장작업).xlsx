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C211F8E4-46A2-465B-898F-46887DD40E1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5" i="9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6" i="11"/>
  <c r="J25" i="11"/>
  <c r="J27" i="11" s="1"/>
  <c r="Q6" i="9"/>
  <c r="D11" i="9"/>
  <c r="Q5" i="9"/>
  <c r="Q5" i="4"/>
  <c r="O5" i="4"/>
  <c r="M5" i="4"/>
  <c r="K5" i="4"/>
  <c r="A5" i="4"/>
  <c r="A2" i="1" s="1"/>
  <c r="J28" i="11" l="1"/>
  <c r="J20" i="11" s="1"/>
  <c r="R5" i="4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J30" i="11" l="1"/>
  <c r="R8" i="4"/>
  <c r="R10" i="4"/>
  <c r="R6" i="4"/>
  <c r="M32" i="11" l="1"/>
  <c r="B15" i="11" s="1"/>
  <c r="L29" i="9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R9" i="4"/>
  <c r="Q11" i="4" l="1"/>
  <c r="K11" i="4"/>
  <c r="O11" i="4"/>
  <c r="R11" i="4" l="1"/>
</calcChain>
</file>

<file path=xl/sharedStrings.xml><?xml version="1.0" encoding="utf-8"?>
<sst xmlns="http://schemas.openxmlformats.org/spreadsheetml/2006/main" count="225" uniqueCount="165">
  <si>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</si>
  <si>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</si>
  <si>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</si>
  <si>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</si>
  <si>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</si>
  <si>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</si>
  <si>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</si>
  <si>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</si>
  <si>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</si>
  <si>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</si>
  <si>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</si>
  <si>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</si>
  <si>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</si>
  <si>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</si>
  <si>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</si>
  <si>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</si>
  <si>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</si>
  <si>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</si>
  <si>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</si>
  <si>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</si>
  <si>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</si>
  <si>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</si>
  <si>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</si>
  <si>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</si>
  <si>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</si>
  <si>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</si>
  <si>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</si>
  <si>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</si>
  <si>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</si>
  <si>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</si>
  <si>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</si>
  <si>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</si>
  <si>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</si>
  <si>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</si>
  <si>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</si>
  <si>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</si>
  <si>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</si>
  <si>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</si>
  <si>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</si>
  <si>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</si>
  <si>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</si>
  <si>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</si>
  <si>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</si>
  <si>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</si>
  <si>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</si>
  <si>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</si>
  <si>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</si>
  <si>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</si>
  <si>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</si>
  <si>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</si>
  <si>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</si>
  <si>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</si>
  <si>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</si>
  <si>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</si>
  <si>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</si>
  <si>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</si>
  <si>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</si>
  <si>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</si>
  <si>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</si>
  <si>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</si>
  <si>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</si>
  <si>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</si>
  <si>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</si>
  <si>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</si>
  <si>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</si>
  <si>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</si>
  <si>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</si>
  <si>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</si>
  <si>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</si>
  <si>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</si>
  <si>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</si>
  <si>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</si>
  <si>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</si>
  <si>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</si>
  <si>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</si>
  <si>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</si>
  <si>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</si>
  <si>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</si>
  <si>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</si>
  <si>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</si>
  <si>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</si>
  <si>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</si>
  <si>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</si>
  <si>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</si>
  <si>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</si>
  <si>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</si>
  <si>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>E00000801011510701</t>
  </si>
  <si>
    <t>R/L</t>
  </si>
  <si>
    <t xml:space="preserve">일당 시공량-61㎡ 적산정보 500p 참조,시공총량39.6/일당61=0.887 </t>
    <phoneticPr fontId="6" type="noConversion"/>
  </si>
  <si>
    <t>사택 7동 수장공사</t>
    <phoneticPr fontId="6" type="noConversion"/>
  </si>
  <si>
    <t>벽</t>
    <phoneticPr fontId="6" type="noConversion"/>
  </si>
  <si>
    <t>천정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</si>
  <si>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6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</si>
  <si>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</si>
  <si>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6" type="noConversion"/>
  </si>
  <si>
    <t>입주청소</t>
  </si>
  <si>
    <t>(바닥면적 ㎡당)</t>
  </si>
  <si>
    <t>도장 대상 아님(탄성 코트)</t>
    <phoneticPr fontId="6" type="noConversion"/>
  </si>
  <si>
    <t>도장 대상 아님(철문 아님)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</si>
  <si>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</si>
  <si>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</si>
  <si>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</si>
  <si>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</si>
  <si>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</si>
  <si>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</si>
  <si>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</si>
  <si>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</si>
  <si>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</si>
  <si>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</si>
  <si>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</si>
  <si>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</si>
  <si>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</si>
  <si>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</si>
  <si>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</si>
  <si>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</si>
  <si>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</si>
  <si>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</si>
  <si>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</si>
  <si>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</si>
  <si>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</si>
  <si>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</si>
  <si>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</si>
  <si>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</si>
  <si>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</si>
  <si>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</si>
  <si>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</si>
  <si>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</si>
  <si>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</si>
  <si>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</si>
  <si>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</si>
  <si>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</si>
  <si>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</si>
  <si>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</si>
  <si>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</si>
  <si>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</si>
  <si>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</si>
  <si>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</si>
  <si>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</si>
  <si>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</si>
  <si>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</si>
  <si>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</si>
  <si>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</si>
  <si>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</si>
  <si>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</si>
  <si>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</si>
  <si>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</si>
  <si>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</si>
  <si>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</si>
  <si>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</si>
  <si>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</si>
  <si>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</si>
  <si>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</si>
  <si>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</si>
  <si>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</si>
  <si>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</si>
  <si>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</si>
  <si>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</si>
  <si>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</si>
  <si>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</si>
  <si>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</si>
  <si>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</si>
  <si>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</si>
  <si>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</si>
  <si>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7-201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</si>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</sst>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0.0_);[Red]\(0.0\)"/>
    <numFmt numFmtId="189" formatCode="#,##0;\-#,##0;"/>
    <numFmt numFmtId="190" formatCode="0.000"/>
    <numFmt numFmtId="191" formatCode="0.00_);[Red]\(0.00\)"/>
    <numFmt numFmtId="192" formatCode="&quot;공사명:&quot;\ @"/>
  </numFmts>
  <fonts count="4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5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0" fontId="20" fillId="0" borderId="11" xfId="13" quotePrefix="1" applyFont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89" fontId="14" fillId="5" borderId="2" xfId="0" applyNumberFormat="1" applyFont="1" applyFill="1" applyBorder="1" applyAlignment="1">
      <alignment horizontal="right" vertical="center" wrapText="1"/>
    </xf>
    <xf numFmtId="189" fontId="14" fillId="6" borderId="2" xfId="1" applyNumberFormat="1" applyFont="1" applyFill="1" applyBorder="1" applyAlignment="1">
      <alignment horizontal="right" vertical="center" wrapText="1"/>
    </xf>
    <xf numFmtId="189" fontId="14" fillId="0" borderId="2" xfId="1" applyNumberFormat="1" applyFont="1" applyFill="1" applyBorder="1" applyAlignment="1">
      <alignment horizontal="right" vertical="center" wrapText="1"/>
    </xf>
    <xf numFmtId="189" fontId="14" fillId="5" borderId="2" xfId="0" applyNumberFormat="1" applyFont="1" applyFill="1" applyBorder="1" applyAlignment="1">
      <alignment horizontal="right" vertical="center"/>
    </xf>
    <xf numFmtId="190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49" fontId="19" fillId="0" borderId="11" xfId="0" applyNumberFormat="1" applyFont="1" applyBorder="1" applyAlignment="1">
      <alignment horizontal="center" vertical="center"/>
    </xf>
    <xf numFmtId="188" fontId="19" fillId="10" borderId="11" xfId="11" applyNumberFormat="1" applyFont="1" applyFill="1" applyBorder="1" applyAlignment="1">
      <alignment horizontal="center" vertical="center"/>
    </xf>
    <xf numFmtId="188" fontId="19" fillId="0" borderId="11" xfId="11" applyNumberFormat="1" applyFont="1" applyBorder="1" applyAlignment="1">
      <alignment horizontal="center" vertical="center" wrapText="1"/>
    </xf>
    <xf numFmtId="191" fontId="15" fillId="0" borderId="0" xfId="0" applyNumberFormat="1" applyFont="1">
      <alignment vertical="center"/>
    </xf>
    <xf numFmtId="188" fontId="23" fillId="0" borderId="11" xfId="11" applyNumberFormat="1" applyFont="1" applyFill="1" applyBorder="1" applyAlignment="1">
      <alignment horizontal="right" vertical="center"/>
    </xf>
    <xf numFmtId="188" fontId="20" fillId="11" borderId="11" xfId="11" applyNumberFormat="1" applyFont="1" applyFill="1" applyBorder="1" applyAlignment="1">
      <alignment horizontal="center" vertical="center" wrapText="1"/>
    </xf>
    <xf numFmtId="188" fontId="19" fillId="5" borderId="11" xfId="11" applyNumberFormat="1" applyFont="1" applyFill="1" applyBorder="1" applyAlignment="1">
      <alignment horizontal="center" vertical="center" wrapText="1"/>
    </xf>
    <xf numFmtId="188" fontId="19" fillId="0" borderId="11" xfId="11" applyNumberFormat="1" applyFont="1" applyFill="1" applyBorder="1" applyAlignment="1">
      <alignment horizontal="center" vertical="center" wrapText="1"/>
    </xf>
    <xf numFmtId="188" fontId="20" fillId="11" borderId="11" xfId="11" applyNumberFormat="1" applyFont="1" applyFill="1" applyBorder="1" applyAlignment="1">
      <alignment horizontal="center" vertical="center"/>
    </xf>
    <xf numFmtId="188" fontId="20" fillId="5" borderId="11" xfId="11" applyNumberFormat="1" applyFont="1" applyFill="1" applyBorder="1" applyAlignment="1">
      <alignment horizontal="center" vertical="center"/>
    </xf>
    <xf numFmtId="188" fontId="19" fillId="11" borderId="11" xfId="11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89" fontId="25" fillId="5" borderId="2" xfId="1" applyNumberFormat="1" applyFont="1" applyFill="1" applyBorder="1" applyAlignment="1">
      <alignment horizontal="right" vertical="center" wrapText="1"/>
    </xf>
    <xf numFmtId="176" fontId="27" fillId="5" borderId="2" xfId="1" applyFont="1" applyFill="1" applyBorder="1" applyAlignment="1">
      <alignment horizontal="right" vertical="center"/>
    </xf>
    <xf numFmtId="182" fontId="28" fillId="5" borderId="11" xfId="11" applyNumberFormat="1" applyFont="1" applyFill="1" applyBorder="1" applyAlignment="1">
      <alignment horizontal="right" vertical="center" wrapText="1"/>
    </xf>
    <xf numFmtId="182" fontId="28" fillId="0" borderId="11" xfId="11" applyNumberFormat="1" applyFont="1" applyBorder="1" applyAlignment="1">
      <alignment horizontal="right" vertical="center" wrapText="1"/>
    </xf>
    <xf numFmtId="182" fontId="28" fillId="0" borderId="11" xfId="11" applyNumberFormat="1" applyFont="1" applyFill="1" applyBorder="1" applyAlignment="1">
      <alignment horizontal="right" vertical="center" wrapText="1"/>
    </xf>
    <xf numFmtId="0" fontId="29" fillId="5" borderId="2" xfId="0" applyFont="1" applyFill="1" applyBorder="1" applyAlignment="1">
      <alignment horizontal="center" vertical="center"/>
    </xf>
    <xf numFmtId="0" fontId="27" fillId="5" borderId="2" xfId="0" applyFont="1" applyFill="1" applyBorder="1">
      <alignment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0" fontId="31" fillId="0" borderId="0" xfId="18" applyFont="1">
      <alignment vertical="center"/>
    </xf>
    <xf numFmtId="0" fontId="30" fillId="0" borderId="21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22" xfId="17" applyFont="1" applyBorder="1" applyAlignment="1">
      <alignment horizontal="center" vertical="center"/>
    </xf>
    <xf numFmtId="0" fontId="33" fillId="0" borderId="21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2"/>
    </xf>
    <xf numFmtId="0" fontId="31" fillId="0" borderId="10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22" xfId="17" applyFont="1" applyBorder="1" applyAlignment="1">
      <alignment horizontal="right" vertical="center"/>
    </xf>
    <xf numFmtId="0" fontId="36" fillId="0" borderId="21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22" xfId="17" applyFont="1" applyBorder="1" applyAlignment="1">
      <alignment vertical="center"/>
    </xf>
    <xf numFmtId="0" fontId="31" fillId="0" borderId="24" xfId="17" applyFont="1" applyBorder="1" applyAlignment="1">
      <alignment horizontal="center" vertical="center"/>
    </xf>
    <xf numFmtId="0" fontId="31" fillId="0" borderId="25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17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/>
    </xf>
    <xf numFmtId="0" fontId="31" fillId="0" borderId="21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21" xfId="17" applyFont="1" applyBorder="1" applyAlignment="1">
      <alignment vertical="center"/>
    </xf>
    <xf numFmtId="0" fontId="31" fillId="0" borderId="22" xfId="17" applyFont="1" applyBorder="1" applyAlignment="1">
      <alignment vertical="center"/>
    </xf>
    <xf numFmtId="0" fontId="36" fillId="0" borderId="21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36" xfId="17" applyFont="1" applyFill="1" applyBorder="1" applyAlignment="1">
      <alignment horizontal="center" vertical="center"/>
    </xf>
    <xf numFmtId="0" fontId="41" fillId="14" borderId="37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13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16" xfId="20" applyFont="1" applyBorder="1" applyAlignment="1">
      <alignment horizontal="left" vertical="center" wrapText="1" indent="1"/>
    </xf>
    <xf numFmtId="0" fontId="35" fillId="0" borderId="56" xfId="20" applyFont="1" applyBorder="1" applyAlignment="1">
      <alignment horizontal="center" vertical="center"/>
    </xf>
    <xf numFmtId="190" fontId="35" fillId="0" borderId="5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58" xfId="20" applyNumberFormat="1" applyFont="1" applyBorder="1" applyAlignment="1">
      <alignment horizontal="center" vertical="center"/>
    </xf>
    <xf numFmtId="0" fontId="35" fillId="0" borderId="61" xfId="20" applyFont="1" applyBorder="1" applyAlignment="1">
      <alignment horizontal="center" vertical="center"/>
    </xf>
    <xf numFmtId="0" fontId="31" fillId="0" borderId="63" xfId="17" applyFont="1" applyBorder="1" applyAlignment="1">
      <alignment horizontal="center" vertical="center"/>
    </xf>
    <xf numFmtId="0" fontId="31" fillId="0" borderId="15" xfId="20" applyFont="1" applyBorder="1" applyAlignment="1">
      <alignment horizontal="left" vertical="center" wrapText="1" indent="1"/>
    </xf>
    <xf numFmtId="1" fontId="35" fillId="0" borderId="64" xfId="20" applyNumberFormat="1" applyFont="1" applyBorder="1" applyAlignment="1">
      <alignment horizontal="center" vertical="center"/>
    </xf>
    <xf numFmtId="0" fontId="35" fillId="0" borderId="64" xfId="20" applyFont="1" applyBorder="1" applyAlignment="1">
      <alignment horizontal="center" vertical="center"/>
    </xf>
    <xf numFmtId="0" fontId="35" fillId="0" borderId="6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38" xfId="17" applyNumberFormat="1" applyFont="1" applyFill="1" applyBorder="1" applyAlignment="1">
      <alignment horizontal="right" vertical="center"/>
    </xf>
    <xf numFmtId="0" fontId="45" fillId="15" borderId="38" xfId="17" applyFont="1" applyFill="1" applyBorder="1" applyAlignment="1">
      <alignment horizontal="right" vertical="center"/>
    </xf>
    <xf numFmtId="176" fontId="45" fillId="15" borderId="7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21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22" xfId="17" applyNumberFormat="1" applyFont="1" applyBorder="1" applyAlignment="1">
      <alignment vertical="center"/>
    </xf>
    <xf numFmtId="49" fontId="31" fillId="0" borderId="21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22" xfId="20" applyFont="1" applyBorder="1" applyAlignment="1">
      <alignment horizontal="left" vertical="center"/>
    </xf>
    <xf numFmtId="49" fontId="31" fillId="0" borderId="72" xfId="17" applyNumberFormat="1" applyFont="1" applyBorder="1" applyAlignment="1">
      <alignment vertical="center"/>
    </xf>
    <xf numFmtId="49" fontId="31" fillId="0" borderId="73" xfId="17" applyNumberFormat="1" applyFont="1" applyBorder="1" applyAlignment="1">
      <alignment vertical="center"/>
    </xf>
    <xf numFmtId="49" fontId="31" fillId="0" borderId="74" xfId="17" applyNumberFormat="1" applyFont="1" applyBorder="1" applyAlignment="1">
      <alignment vertical="center"/>
    </xf>
    <xf numFmtId="0" fontId="36" fillId="0" borderId="10" xfId="17" applyFont="1" applyFill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31" fillId="0" borderId="23" xfId="17" applyFont="1" applyFill="1" applyBorder="1" applyAlignment="1">
      <alignment horizontal="right" vertical="center"/>
    </xf>
    <xf numFmtId="0" fontId="31" fillId="0" borderId="24" xfId="17" applyFont="1" applyFill="1" applyBorder="1" applyAlignment="1">
      <alignment horizontal="center" vertical="center"/>
    </xf>
    <xf numFmtId="0" fontId="31" fillId="0" borderId="42" xfId="20" applyFont="1" applyFill="1" applyBorder="1" applyAlignment="1">
      <alignment horizontal="center" vertical="center"/>
    </xf>
    <xf numFmtId="0" fontId="31" fillId="0" borderId="44" xfId="20" applyFont="1" applyFill="1" applyBorder="1" applyAlignment="1">
      <alignment horizontal="center" vertical="center"/>
    </xf>
    <xf numFmtId="0" fontId="31" fillId="0" borderId="12" xfId="20" applyFont="1" applyFill="1" applyBorder="1" applyAlignment="1">
      <alignment horizontal="center" vertical="center"/>
    </xf>
    <xf numFmtId="0" fontId="35" fillId="0" borderId="52" xfId="20" applyFont="1" applyFill="1" applyBorder="1" applyAlignment="1">
      <alignment horizontal="center" vertical="center"/>
    </xf>
    <xf numFmtId="0" fontId="35" fillId="0" borderId="64" xfId="20" applyFont="1" applyBorder="1" applyAlignment="1">
      <alignment horizontal="left" vertical="center" wrapText="1" indent="1"/>
    </xf>
    <xf numFmtId="0" fontId="35" fillId="0" borderId="65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left" vertical="center" wrapText="1" indent="1"/>
    </xf>
    <xf numFmtId="176" fontId="31" fillId="0" borderId="64" xfId="21" applyFont="1" applyFill="1" applyBorder="1" applyAlignment="1">
      <alignment horizontal="right" vertical="center"/>
    </xf>
    <xf numFmtId="176" fontId="31" fillId="0" borderId="65" xfId="21" applyFont="1" applyFill="1" applyBorder="1" applyAlignment="1">
      <alignment horizontal="right" vertical="center"/>
    </xf>
    <xf numFmtId="176" fontId="31" fillId="0" borderId="66" xfId="21" applyFont="1" applyFill="1" applyBorder="1" applyAlignment="1">
      <alignment horizontal="right" vertical="center"/>
    </xf>
    <xf numFmtId="176" fontId="31" fillId="0" borderId="64" xfId="22" applyFont="1" applyFill="1" applyBorder="1" applyAlignment="1">
      <alignment horizontal="left" vertical="center"/>
    </xf>
    <xf numFmtId="176" fontId="31" fillId="0" borderId="67" xfId="22" applyFont="1" applyFill="1" applyBorder="1" applyAlignment="1">
      <alignment horizontal="left" vertical="center"/>
    </xf>
    <xf numFmtId="0" fontId="45" fillId="15" borderId="69" xfId="17" applyFont="1" applyFill="1" applyBorder="1" applyAlignment="1">
      <alignment horizontal="center" vertical="center"/>
    </xf>
    <xf numFmtId="0" fontId="45" fillId="15" borderId="38" xfId="17" applyFont="1" applyFill="1" applyBorder="1" applyAlignment="1">
      <alignment horizontal="center" vertical="center"/>
    </xf>
    <xf numFmtId="0" fontId="45" fillId="15" borderId="70" xfId="17" applyFont="1" applyFill="1" applyBorder="1" applyAlignment="1">
      <alignment horizontal="center" vertical="center"/>
    </xf>
    <xf numFmtId="9" fontId="45" fillId="15" borderId="71" xfId="2" applyFont="1" applyFill="1" applyBorder="1" applyAlignment="1">
      <alignment horizontal="center" vertical="center"/>
    </xf>
    <xf numFmtId="9" fontId="45" fillId="15" borderId="40" xfId="2" applyFont="1" applyFill="1" applyBorder="1" applyAlignment="1">
      <alignment horizontal="center" vertical="center"/>
    </xf>
    <xf numFmtId="176" fontId="31" fillId="0" borderId="13" xfId="21" applyFont="1" applyFill="1" applyBorder="1" applyAlignment="1">
      <alignment horizontal="right" vertical="center"/>
    </xf>
    <xf numFmtId="176" fontId="31" fillId="0" borderId="50" xfId="21" applyFont="1" applyFill="1" applyBorder="1" applyAlignment="1">
      <alignment horizontal="right" vertical="center"/>
    </xf>
    <xf numFmtId="176" fontId="31" fillId="0" borderId="14" xfId="21" applyFont="1" applyFill="1" applyBorder="1" applyAlignment="1">
      <alignment horizontal="right" vertical="center"/>
    </xf>
    <xf numFmtId="176" fontId="31" fillId="0" borderId="13" xfId="22" applyFont="1" applyFill="1" applyBorder="1" applyAlignment="1">
      <alignment horizontal="left" vertical="center"/>
    </xf>
    <xf numFmtId="176" fontId="31" fillId="0" borderId="51" xfId="22" applyFont="1" applyFill="1" applyBorder="1" applyAlignment="1">
      <alignment horizontal="left" vertical="center"/>
    </xf>
    <xf numFmtId="176" fontId="44" fillId="0" borderId="64" xfId="22" applyFont="1" applyBorder="1" applyAlignment="1">
      <alignment horizontal="left" vertical="center"/>
    </xf>
    <xf numFmtId="176" fontId="44" fillId="0" borderId="67" xfId="22" applyFont="1" applyBorder="1" applyAlignment="1">
      <alignment horizontal="left" vertical="center"/>
    </xf>
    <xf numFmtId="0" fontId="35" fillId="0" borderId="58" xfId="20" applyFont="1" applyBorder="1" applyAlignment="1">
      <alignment horizontal="left" vertical="center" wrapText="1" indent="1"/>
    </xf>
    <xf numFmtId="0" fontId="35" fillId="0" borderId="59" xfId="20" applyFont="1" applyBorder="1" applyAlignment="1">
      <alignment horizontal="left" vertical="center" wrapText="1" indent="1"/>
    </xf>
    <xf numFmtId="0" fontId="35" fillId="0" borderId="60" xfId="20" applyFont="1" applyBorder="1" applyAlignment="1">
      <alignment horizontal="left" vertical="center" wrapText="1" indent="1"/>
    </xf>
    <xf numFmtId="176" fontId="31" fillId="0" borderId="58" xfId="21" applyFont="1" applyFill="1" applyBorder="1" applyAlignment="1">
      <alignment horizontal="right" vertical="center"/>
    </xf>
    <xf numFmtId="176" fontId="31" fillId="0" borderId="59" xfId="21" applyFont="1" applyFill="1" applyBorder="1" applyAlignment="1">
      <alignment horizontal="right" vertical="center"/>
    </xf>
    <xf numFmtId="176" fontId="31" fillId="0" borderId="60" xfId="21" applyFont="1" applyFill="1" applyBorder="1" applyAlignment="1">
      <alignment horizontal="right" vertical="center"/>
    </xf>
    <xf numFmtId="176" fontId="31" fillId="0" borderId="56" xfId="22" applyFont="1" applyFill="1" applyBorder="1" applyAlignment="1">
      <alignment horizontal="left" vertical="center"/>
    </xf>
    <xf numFmtId="176" fontId="31" fillId="0" borderId="28" xfId="22" applyFont="1" applyFill="1" applyBorder="1" applyAlignment="1">
      <alignment horizontal="left" vertical="center"/>
    </xf>
    <xf numFmtId="176" fontId="31" fillId="0" borderId="58" xfId="22" applyFont="1" applyFill="1" applyBorder="1" applyAlignment="1">
      <alignment horizontal="left" vertical="center"/>
    </xf>
    <xf numFmtId="176" fontId="31" fillId="0" borderId="62" xfId="22" applyFont="1" applyFill="1" applyBorder="1" applyAlignment="1">
      <alignment horizontal="left" vertical="center"/>
    </xf>
    <xf numFmtId="0" fontId="35" fillId="0" borderId="5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57" xfId="20" applyFont="1" applyBorder="1" applyAlignment="1">
      <alignment horizontal="left" vertical="center" wrapText="1" indent="1"/>
    </xf>
    <xf numFmtId="176" fontId="31" fillId="0" borderId="56" xfId="21" applyFont="1" applyFill="1" applyBorder="1" applyAlignment="1">
      <alignment horizontal="right" vertical="center"/>
    </xf>
    <xf numFmtId="176" fontId="31" fillId="0" borderId="4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0" fontId="35" fillId="0" borderId="52" xfId="20" applyFont="1" applyFill="1" applyBorder="1" applyAlignment="1">
      <alignment horizontal="left" vertical="center" wrapText="1" indent="1"/>
    </xf>
    <xf numFmtId="0" fontId="35" fillId="0" borderId="53" xfId="20" applyFont="1" applyFill="1" applyBorder="1" applyAlignment="1">
      <alignment horizontal="left" vertical="center" wrapText="1" indent="1"/>
    </xf>
    <xf numFmtId="0" fontId="35" fillId="0" borderId="54" xfId="20" applyFont="1" applyFill="1" applyBorder="1" applyAlignment="1">
      <alignment horizontal="left" vertical="center" wrapText="1" indent="1"/>
    </xf>
    <xf numFmtId="176" fontId="31" fillId="0" borderId="52" xfId="21" applyFont="1" applyFill="1" applyBorder="1" applyAlignment="1">
      <alignment horizontal="right" vertical="center"/>
    </xf>
    <xf numFmtId="176" fontId="31" fillId="0" borderId="53" xfId="21" applyFont="1" applyFill="1" applyBorder="1" applyAlignment="1">
      <alignment horizontal="right" vertical="center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2" applyFont="1" applyBorder="1" applyAlignment="1">
      <alignment horizontal="left" vertical="center"/>
    </xf>
    <xf numFmtId="176" fontId="31" fillId="0" borderId="55" xfId="22" applyFont="1" applyBorder="1" applyAlignment="1">
      <alignment horizontal="left" vertical="center"/>
    </xf>
    <xf numFmtId="0" fontId="31" fillId="0" borderId="46" xfId="20" applyFont="1" applyFill="1" applyBorder="1" applyAlignment="1">
      <alignment horizontal="center" vertical="center" wrapText="1"/>
    </xf>
    <xf numFmtId="0" fontId="31" fillId="0" borderId="47" xfId="20" applyFont="1" applyFill="1" applyBorder="1" applyAlignment="1">
      <alignment horizontal="center" vertical="center" wrapText="1"/>
    </xf>
    <xf numFmtId="0" fontId="31" fillId="0" borderId="48" xfId="20" applyFont="1" applyFill="1" applyBorder="1" applyAlignment="1">
      <alignment horizontal="center" vertical="center" wrapText="1"/>
    </xf>
    <xf numFmtId="176" fontId="31" fillId="0" borderId="46" xfId="21" applyFont="1" applyFill="1" applyBorder="1" applyAlignment="1">
      <alignment horizontal="right" vertical="center"/>
    </xf>
    <xf numFmtId="176" fontId="31" fillId="0" borderId="47" xfId="21" applyFont="1" applyFill="1" applyBorder="1" applyAlignment="1">
      <alignment horizontal="right" vertical="center"/>
    </xf>
    <xf numFmtId="176" fontId="31" fillId="0" borderId="48" xfId="21" applyFont="1" applyFill="1" applyBorder="1" applyAlignment="1">
      <alignment horizontal="right" vertical="center"/>
    </xf>
    <xf numFmtId="176" fontId="31" fillId="0" borderId="46" xfId="22" applyFont="1" applyBorder="1" applyAlignment="1">
      <alignment horizontal="left" vertical="center"/>
    </xf>
    <xf numFmtId="176" fontId="31" fillId="0" borderId="49" xfId="22" applyFont="1" applyBorder="1" applyAlignment="1">
      <alignment horizontal="left" vertical="center"/>
    </xf>
    <xf numFmtId="0" fontId="31" fillId="0" borderId="46" xfId="20" applyFont="1" applyBorder="1" applyAlignment="1">
      <alignment horizontal="center" vertical="center" wrapText="1"/>
    </xf>
    <xf numFmtId="0" fontId="31" fillId="0" borderId="47" xfId="20" applyFont="1" applyBorder="1" applyAlignment="1">
      <alignment horizontal="center" vertical="center" wrapText="1"/>
    </xf>
    <xf numFmtId="0" fontId="31" fillId="0" borderId="48" xfId="20" applyFont="1" applyBorder="1" applyAlignment="1">
      <alignment horizontal="center" vertical="center" wrapText="1"/>
    </xf>
    <xf numFmtId="176" fontId="31" fillId="0" borderId="13" xfId="21" applyFont="1" applyBorder="1" applyAlignment="1">
      <alignment horizontal="center" vertical="center"/>
    </xf>
    <xf numFmtId="176" fontId="31" fillId="0" borderId="50" xfId="21" applyFont="1" applyBorder="1" applyAlignment="1">
      <alignment horizontal="center" vertical="center"/>
    </xf>
    <xf numFmtId="176" fontId="31" fillId="0" borderId="14" xfId="21" applyFont="1" applyBorder="1" applyAlignment="1">
      <alignment horizontal="center" vertical="center"/>
    </xf>
    <xf numFmtId="176" fontId="31" fillId="0" borderId="13" xfId="22" applyFont="1" applyBorder="1" applyAlignment="1">
      <alignment horizontal="left" vertical="center"/>
    </xf>
    <xf numFmtId="176" fontId="31" fillId="0" borderId="51" xfId="22" applyFont="1" applyBorder="1" applyAlignment="1">
      <alignment horizontal="left" vertical="center"/>
    </xf>
    <xf numFmtId="0" fontId="42" fillId="13" borderId="0" xfId="19" applyFont="1" applyFill="1" applyAlignment="1">
      <alignment horizontal="left" vertical="center"/>
    </xf>
    <xf numFmtId="0" fontId="42" fillId="13" borderId="22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22" xfId="17" applyFont="1" applyBorder="1" applyAlignment="1">
      <alignment horizontal="right" vertical="center"/>
    </xf>
    <xf numFmtId="0" fontId="31" fillId="0" borderId="42" xfId="20" applyFont="1" applyFill="1" applyBorder="1" applyAlignment="1">
      <alignment horizontal="center" vertical="center" wrapText="1"/>
    </xf>
    <xf numFmtId="0" fontId="31" fillId="0" borderId="24" xfId="20" applyFont="1" applyFill="1" applyBorder="1" applyAlignment="1">
      <alignment horizontal="center" vertical="center" wrapText="1"/>
    </xf>
    <xf numFmtId="0" fontId="31" fillId="0" borderId="43" xfId="20" applyFont="1" applyFill="1" applyBorder="1" applyAlignment="1">
      <alignment horizontal="center" vertical="center" wrapText="1"/>
    </xf>
    <xf numFmtId="176" fontId="31" fillId="0" borderId="44" xfId="21" applyFont="1" applyFill="1" applyBorder="1" applyAlignment="1">
      <alignment horizontal="right" vertical="center"/>
    </xf>
    <xf numFmtId="176" fontId="31" fillId="0" borderId="42" xfId="20" applyNumberFormat="1" applyFont="1" applyBorder="1" applyAlignment="1">
      <alignment horizontal="left" vertical="center"/>
    </xf>
    <xf numFmtId="176" fontId="31" fillId="0" borderId="25" xfId="20" applyNumberFormat="1" applyFont="1" applyBorder="1" applyAlignment="1">
      <alignment horizontal="left" vertical="center"/>
    </xf>
    <xf numFmtId="0" fontId="41" fillId="14" borderId="37" xfId="17" applyFont="1" applyFill="1" applyBorder="1" applyAlignment="1">
      <alignment horizontal="center" vertical="center"/>
    </xf>
    <xf numFmtId="0" fontId="41" fillId="14" borderId="38" xfId="17" applyFont="1" applyFill="1" applyBorder="1" applyAlignment="1">
      <alignment horizontal="center" vertical="center"/>
    </xf>
    <xf numFmtId="0" fontId="41" fillId="14" borderId="39" xfId="17" applyFont="1" applyFill="1" applyBorder="1" applyAlignment="1">
      <alignment horizontal="center" vertical="center"/>
    </xf>
    <xf numFmtId="3" fontId="41" fillId="14" borderId="37" xfId="17" applyNumberFormat="1" applyFont="1" applyFill="1" applyBorder="1" applyAlignment="1">
      <alignment horizontal="center" vertical="center"/>
    </xf>
    <xf numFmtId="3" fontId="41" fillId="14" borderId="38" xfId="17" applyNumberFormat="1" applyFont="1" applyFill="1" applyBorder="1" applyAlignment="1">
      <alignment horizontal="center" vertical="center"/>
    </xf>
    <xf numFmtId="3" fontId="41" fillId="14" borderId="39" xfId="17" applyNumberFormat="1" applyFont="1" applyFill="1" applyBorder="1" applyAlignment="1">
      <alignment horizontal="center" vertical="center"/>
    </xf>
    <xf numFmtId="0" fontId="41" fillId="14" borderId="40" xfId="17" applyFont="1" applyFill="1" applyBorder="1" applyAlignment="1">
      <alignment horizontal="center" vertical="center"/>
    </xf>
    <xf numFmtId="192" fontId="40" fillId="13" borderId="0" xfId="17" applyNumberFormat="1" applyFont="1" applyFill="1" applyAlignment="1">
      <alignment horizontal="left" vertical="center"/>
    </xf>
    <xf numFmtId="0" fontId="30" fillId="0" borderId="18" xfId="17" applyFont="1" applyBorder="1" applyAlignment="1">
      <alignment horizontal="center" vertical="center"/>
    </xf>
    <xf numFmtId="0" fontId="30" fillId="0" borderId="19" xfId="17" applyFont="1" applyBorder="1" applyAlignment="1">
      <alignment horizontal="center" vertical="center"/>
    </xf>
    <xf numFmtId="0" fontId="30" fillId="0" borderId="20" xfId="17" applyFont="1" applyBorder="1" applyAlignment="1">
      <alignment horizontal="center" vertical="center"/>
    </xf>
    <xf numFmtId="0" fontId="32" fillId="0" borderId="21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22" xfId="17" applyFont="1" applyBorder="1" applyAlignment="1" applyProtection="1">
      <alignment horizontal="center" vertical="center"/>
      <protection locked="0"/>
    </xf>
    <xf numFmtId="0" fontId="31" fillId="10" borderId="23" xfId="17" applyFont="1" applyFill="1" applyBorder="1" applyAlignment="1">
      <alignment horizontal="center" vertical="center"/>
    </xf>
    <xf numFmtId="0" fontId="31" fillId="10" borderId="24" xfId="17" applyFont="1" applyFill="1" applyBorder="1" applyAlignment="1">
      <alignment horizontal="center" vertical="center"/>
    </xf>
    <xf numFmtId="0" fontId="31" fillId="10" borderId="25" xfId="17" applyFont="1" applyFill="1" applyBorder="1" applyAlignment="1">
      <alignment horizontal="center" vertical="center"/>
    </xf>
    <xf numFmtId="0" fontId="31" fillId="0" borderId="26" xfId="17" applyFont="1" applyBorder="1" applyAlignment="1">
      <alignment horizontal="center" vertical="center" wrapText="1"/>
    </xf>
    <xf numFmtId="0" fontId="31" fillId="0" borderId="29" xfId="17" applyFont="1" applyBorder="1" applyAlignment="1">
      <alignment horizontal="center" vertical="center"/>
    </xf>
    <xf numFmtId="0" fontId="31" fillId="0" borderId="33" xfId="17" applyFont="1" applyBorder="1" applyAlignment="1">
      <alignment horizontal="center" vertical="center"/>
    </xf>
    <xf numFmtId="0" fontId="31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8" fillId="0" borderId="2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28" xfId="17" applyFont="1" applyBorder="1" applyAlignment="1">
      <alignment horizontal="center" vertical="center"/>
    </xf>
    <xf numFmtId="0" fontId="31" fillId="0" borderId="2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2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1" fillId="0" borderId="32" xfId="17" applyFont="1" applyBorder="1" applyAlignment="1">
      <alignment horizontal="center" vertical="center"/>
    </xf>
    <xf numFmtId="0" fontId="31" fillId="0" borderId="30" xfId="17" applyFont="1" applyBorder="1" applyAlignment="1">
      <alignment horizontal="left" vertical="center" indent="1"/>
    </xf>
    <xf numFmtId="0" fontId="31" fillId="0" borderId="31" xfId="17" applyFont="1" applyBorder="1" applyAlignment="1">
      <alignment horizontal="left" vertical="center" indent="1"/>
    </xf>
    <xf numFmtId="0" fontId="31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26A6853-2C92-43E0-A789-7C3F7C5FDE47}"/>
    <cellStyle name="쉼표 [0] 2 84" xfId="24" xr:uid="{3D93AC37-CA15-4DAB-816D-A6511C479319}"/>
    <cellStyle name="쉼표 [0] 3" xfId="14" xr:uid="{8F7BE219-40E1-4BBB-A9BD-02188B74B2A3}"/>
    <cellStyle name="쉼표 [0] 4" xfId="21" xr:uid="{1358CB34-4ABC-41F2-8C48-889736649C1B}"/>
    <cellStyle name="쉼표 [0] 5" xfId="23" xr:uid="{8866AD43-E672-4E1E-85D7-258A6B83995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BB8D78F0-C0AE-46D7-909A-4E18B9B1D4D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7DD729A9-665C-4F09-AE04-605F903B7583}"/>
    <cellStyle name="표준_P456 공장 및 복지동 전면 유리창 청소건 라상혁님_1129(최종)" xfId="20" xr:uid="{7EE48AB8-578C-4D91-B96F-D6768971CACE}"/>
    <cellStyle name="표준_S&amp;D_MAIN VALVE_최빈_2" xfId="17" xr:uid="{862E74D2-6EFF-4BB0-8F75-11CA5515B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10B885B-E7CF-4833-B01D-4830A74F3A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53EE-D011-4A96-BFCE-7BF734ECEA94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>
      <c r="A3" s="257" t="s">
        <v>99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>
      <c r="A4" s="107" t="s">
        <v>100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>
      <c r="A5" s="112"/>
      <c r="B5" s="168" t="s">
        <v>164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>
      <c r="A7" s="260" t="s">
        <v>101</v>
      </c>
      <c r="B7" s="261"/>
      <c r="C7" s="262"/>
      <c r="D7" s="170">
        <v>2026</v>
      </c>
      <c r="E7" s="120" t="s">
        <v>102</v>
      </c>
      <c r="F7" s="171">
        <v>4</v>
      </c>
      <c r="G7" s="120" t="s">
        <v>103</v>
      </c>
      <c r="H7" s="171">
        <v>6</v>
      </c>
      <c r="I7" s="120" t="s">
        <v>104</v>
      </c>
      <c r="J7" s="121"/>
      <c r="K7" s="263" t="s">
        <v>105</v>
      </c>
      <c r="L7" s="122" t="s">
        <v>106</v>
      </c>
      <c r="M7" s="122" t="s">
        <v>107</v>
      </c>
      <c r="N7" s="122" t="s">
        <v>108</v>
      </c>
      <c r="O7" s="123" t="s">
        <v>109</v>
      </c>
    </row>
    <row r="8" spans="1:15" ht="23.25" customHeight="1">
      <c r="A8" s="266" t="s">
        <v>110</v>
      </c>
      <c r="B8" s="267"/>
      <c r="C8" s="268"/>
      <c r="D8" s="269" t="s">
        <v>111</v>
      </c>
      <c r="E8" s="270"/>
      <c r="F8" s="270"/>
      <c r="G8" s="271"/>
      <c r="H8" s="272" t="s">
        <v>112</v>
      </c>
      <c r="I8" s="270"/>
      <c r="J8" s="273"/>
      <c r="K8" s="264"/>
      <c r="L8" s="124" t="s">
        <v>113</v>
      </c>
      <c r="M8" s="124" t="s">
        <v>114</v>
      </c>
      <c r="N8" s="124" t="s">
        <v>115</v>
      </c>
      <c r="O8" s="125" t="s">
        <v>116</v>
      </c>
    </row>
    <row r="9" spans="1:15" ht="23.25" customHeight="1">
      <c r="A9" s="266" t="s">
        <v>117</v>
      </c>
      <c r="B9" s="267"/>
      <c r="C9" s="268"/>
      <c r="D9" s="274" t="s">
        <v>118</v>
      </c>
      <c r="E9" s="275"/>
      <c r="F9" s="275"/>
      <c r="G9" s="275"/>
      <c r="H9" s="275"/>
      <c r="I9" s="275"/>
      <c r="J9" s="276"/>
      <c r="K9" s="264"/>
      <c r="L9" s="124" t="s">
        <v>119</v>
      </c>
      <c r="M9" s="277" t="s">
        <v>120</v>
      </c>
      <c r="N9" s="267"/>
      <c r="O9" s="268"/>
    </row>
    <row r="10" spans="1:15" ht="23.25" customHeight="1" thickBot="1">
      <c r="A10" s="278" t="s">
        <v>121</v>
      </c>
      <c r="B10" s="279"/>
      <c r="C10" s="280"/>
      <c r="D10" s="281" t="s">
        <v>122</v>
      </c>
      <c r="E10" s="282"/>
      <c r="F10" s="282"/>
      <c r="G10" s="282"/>
      <c r="H10" s="282"/>
      <c r="I10" s="282"/>
      <c r="J10" s="283"/>
      <c r="K10" s="265"/>
      <c r="L10" s="126" t="s">
        <v>123</v>
      </c>
      <c r="M10" s="126" t="s">
        <v>124</v>
      </c>
      <c r="N10" s="126" t="s">
        <v>125</v>
      </c>
      <c r="O10" s="127" t="s">
        <v>126</v>
      </c>
    </row>
    <row r="11" spans="1:15" ht="21.75" customHeight="1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>
      <c r="A13" s="134"/>
      <c r="B13" s="253" t="s">
        <v>163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127</v>
      </c>
      <c r="O13" s="133"/>
    </row>
    <row r="14" spans="1:15" ht="9" customHeight="1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>
      <c r="A15" s="134"/>
      <c r="B15" s="236" t="str">
        <f>"견 적 금 액 : 一金"&amp;NUMBERSTRING(M32,1) &amp; "원정""(\"&amp; TEXT(M32,"#,###")&amp;"원) [VAT 별도]"</f>
        <v>견 적 금 액 : 一金삼백삼십사만삼천이백오십원정"(\3,343,250원)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>
      <c r="A17" s="136" t="s">
        <v>128</v>
      </c>
      <c r="B17" s="246" t="s">
        <v>129</v>
      </c>
      <c r="C17" s="247"/>
      <c r="D17" s="247"/>
      <c r="E17" s="247"/>
      <c r="F17" s="247"/>
      <c r="G17" s="248"/>
      <c r="H17" s="137" t="s">
        <v>130</v>
      </c>
      <c r="I17" s="138" t="s">
        <v>131</v>
      </c>
      <c r="J17" s="249" t="s">
        <v>132</v>
      </c>
      <c r="K17" s="250"/>
      <c r="L17" s="250"/>
      <c r="M17" s="251"/>
      <c r="N17" s="246" t="s">
        <v>133</v>
      </c>
      <c r="O17" s="252"/>
    </row>
    <row r="18" spans="1:17" ht="28.5" customHeight="1">
      <c r="A18" s="139">
        <v>1</v>
      </c>
      <c r="B18" s="240" t="s">
        <v>49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1/(TRIM('내역서(표준단가)'!K4:K100)&lt;&gt;""), '내역서(표준단가)'!K4:K100), "-")</f>
        <v>577829.26850000001</v>
      </c>
      <c r="K18" s="243"/>
      <c r="L18" s="243"/>
      <c r="M18" s="243"/>
      <c r="N18" s="244"/>
      <c r="O18" s="245"/>
    </row>
    <row r="19" spans="1:17" ht="28.5" customHeight="1">
      <c r="A19" s="140">
        <v>2</v>
      </c>
      <c r="B19" s="220" t="s">
        <v>50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1/(TRIM('내역서(표준단가)'!M4:M100)&lt;&gt;""), '내역서(표준단가)'!M4:M100), "-")</f>
        <v>2054917.8607899998</v>
      </c>
      <c r="K19" s="224"/>
      <c r="L19" s="224"/>
      <c r="M19" s="225"/>
      <c r="N19" s="226"/>
      <c r="O19" s="227"/>
    </row>
    <row r="20" spans="1:17" ht="28.5" customHeight="1">
      <c r="A20" s="140">
        <v>3</v>
      </c>
      <c r="B20" s="228" t="s">
        <v>134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356978.16008028312</v>
      </c>
      <c r="K20" s="232"/>
      <c r="L20" s="232"/>
      <c r="M20" s="233"/>
      <c r="N20" s="234"/>
      <c r="O20" s="235"/>
      <c r="P20" s="142"/>
    </row>
    <row r="21" spans="1:17" ht="28.5" customHeight="1">
      <c r="A21" s="139"/>
      <c r="B21" s="143"/>
      <c r="C21" s="212" t="s">
        <v>135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6"/>
      <c r="L21" s="216"/>
      <c r="M21" s="217"/>
      <c r="N21" s="218" t="s">
        <v>136</v>
      </c>
      <c r="O21" s="219"/>
    </row>
    <row r="22" spans="1:17" ht="28.5" customHeight="1">
      <c r="A22" s="139"/>
      <c r="B22" s="143"/>
      <c r="C22" s="206" t="s">
        <v>137</v>
      </c>
      <c r="D22" s="207"/>
      <c r="E22" s="207"/>
      <c r="F22" s="207"/>
      <c r="G22" s="208"/>
      <c r="H22" s="144">
        <v>3.11</v>
      </c>
      <c r="I22" s="144" t="s">
        <v>138</v>
      </c>
      <c r="J22" s="209">
        <f>IFERROR((J18+J19)*H22%,"-")</f>
        <v>81878.435720918991</v>
      </c>
      <c r="K22" s="210"/>
      <c r="L22" s="210"/>
      <c r="M22" s="211"/>
      <c r="N22" s="202" t="s">
        <v>139</v>
      </c>
      <c r="O22" s="203"/>
    </row>
    <row r="23" spans="1:17" ht="28.5" customHeight="1">
      <c r="A23" s="139"/>
      <c r="B23" s="143"/>
      <c r="C23" s="206" t="s">
        <v>140</v>
      </c>
      <c r="D23" s="207"/>
      <c r="E23" s="207"/>
      <c r="F23" s="207"/>
      <c r="G23" s="208"/>
      <c r="H23" s="144">
        <v>3.56</v>
      </c>
      <c r="I23" s="144" t="s">
        <v>141</v>
      </c>
      <c r="J23" s="209">
        <f>IFERROR(J19*H23%,"-")</f>
        <v>73155.075844123989</v>
      </c>
      <c r="K23" s="210"/>
      <c r="L23" s="210"/>
      <c r="M23" s="211"/>
      <c r="N23" s="202" t="s">
        <v>142</v>
      </c>
      <c r="O23" s="203"/>
    </row>
    <row r="24" spans="1:17" ht="28.5" customHeight="1">
      <c r="A24" s="139"/>
      <c r="B24" s="143"/>
      <c r="C24" s="206" t="s">
        <v>143</v>
      </c>
      <c r="D24" s="207"/>
      <c r="E24" s="207"/>
      <c r="F24" s="207"/>
      <c r="G24" s="208"/>
      <c r="H24" s="144">
        <v>1.01</v>
      </c>
      <c r="I24" s="144" t="s">
        <v>141</v>
      </c>
      <c r="J24" s="209">
        <f>IFERROR(J19*H24%,"-")</f>
        <v>20754.670393978999</v>
      </c>
      <c r="K24" s="210"/>
      <c r="L24" s="210"/>
      <c r="M24" s="211"/>
      <c r="N24" s="202" t="s">
        <v>144</v>
      </c>
      <c r="O24" s="203"/>
    </row>
    <row r="25" spans="1:17" ht="28.5" customHeight="1">
      <c r="A25" s="139"/>
      <c r="B25" s="143"/>
      <c r="C25" s="206" t="s">
        <v>145</v>
      </c>
      <c r="D25" s="207"/>
      <c r="E25" s="207"/>
      <c r="F25" s="207"/>
      <c r="G25" s="208"/>
      <c r="H25" s="145">
        <v>3.5950000000000002</v>
      </c>
      <c r="I25" s="144" t="s">
        <v>141</v>
      </c>
      <c r="J25" s="209">
        <f>IFERROR(J19*H25%,"-")</f>
        <v>73874.2970954005</v>
      </c>
      <c r="K25" s="210"/>
      <c r="L25" s="210"/>
      <c r="M25" s="211"/>
      <c r="N25" s="202" t="s">
        <v>146</v>
      </c>
      <c r="O25" s="203"/>
      <c r="Q25" s="142"/>
    </row>
    <row r="26" spans="1:17" ht="28.5" customHeight="1">
      <c r="A26" s="139"/>
      <c r="B26" s="143"/>
      <c r="C26" s="206" t="s">
        <v>147</v>
      </c>
      <c r="D26" s="207"/>
      <c r="E26" s="207"/>
      <c r="F26" s="207"/>
      <c r="G26" s="208"/>
      <c r="H26" s="144">
        <v>4.75</v>
      </c>
      <c r="I26" s="144" t="s">
        <v>141</v>
      </c>
      <c r="J26" s="209">
        <f>IFERROR(J19*H26%,"-")</f>
        <v>97608.598387524995</v>
      </c>
      <c r="K26" s="210"/>
      <c r="L26" s="210"/>
      <c r="M26" s="211"/>
      <c r="N26" s="202" t="s">
        <v>148</v>
      </c>
      <c r="O26" s="203"/>
      <c r="Q26" s="146"/>
    </row>
    <row r="27" spans="1:17" ht="28.5" customHeight="1">
      <c r="A27" s="139"/>
      <c r="B27" s="143"/>
      <c r="C27" s="196" t="s">
        <v>149</v>
      </c>
      <c r="D27" s="197"/>
      <c r="E27" s="197"/>
      <c r="F27" s="197"/>
      <c r="G27" s="198"/>
      <c r="H27" s="147">
        <v>13.14</v>
      </c>
      <c r="I27" s="148" t="s">
        <v>141</v>
      </c>
      <c r="J27" s="199">
        <f>IFERROR($H$27*J25%,"-")</f>
        <v>9707.0826383356271</v>
      </c>
      <c r="K27" s="200"/>
      <c r="L27" s="200"/>
      <c r="M27" s="201"/>
      <c r="N27" s="202" t="s">
        <v>150</v>
      </c>
      <c r="O27" s="203"/>
    </row>
    <row r="28" spans="1:17" ht="28.5" customHeight="1">
      <c r="A28" s="139"/>
      <c r="B28" s="143"/>
      <c r="C28" s="196" t="s">
        <v>151</v>
      </c>
      <c r="D28" s="197"/>
      <c r="E28" s="197"/>
      <c r="F28" s="197"/>
      <c r="G28" s="198"/>
      <c r="H28" s="147">
        <v>8.1000000000000003E-2</v>
      </c>
      <c r="I28" s="148" t="s">
        <v>141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152</v>
      </c>
      <c r="O28" s="205"/>
    </row>
    <row r="29" spans="1:17" ht="28.5" customHeight="1">
      <c r="A29" s="149"/>
      <c r="B29" s="150"/>
      <c r="C29" s="176" t="s">
        <v>153</v>
      </c>
      <c r="D29" s="177"/>
      <c r="E29" s="177"/>
      <c r="F29" s="177"/>
      <c r="G29" s="178"/>
      <c r="H29" s="151">
        <v>1</v>
      </c>
      <c r="I29" s="152" t="s">
        <v>154</v>
      </c>
      <c r="J29" s="179">
        <f>34*0</f>
        <v>0</v>
      </c>
      <c r="K29" s="180"/>
      <c r="L29" s="180"/>
      <c r="M29" s="181"/>
      <c r="N29" s="182" t="s">
        <v>155</v>
      </c>
      <c r="O29" s="183"/>
    </row>
    <row r="30" spans="1:17" ht="28.5" customHeight="1">
      <c r="A30" s="149">
        <v>4</v>
      </c>
      <c r="B30" s="150"/>
      <c r="C30" s="176" t="s">
        <v>156</v>
      </c>
      <c r="D30" s="177"/>
      <c r="E30" s="177"/>
      <c r="F30" s="177"/>
      <c r="G30" s="178"/>
      <c r="H30" s="152">
        <v>5</v>
      </c>
      <c r="I30" s="153" t="s">
        <v>157</v>
      </c>
      <c r="J30" s="189">
        <f>IFERROR(IF(ISNUMBER(H30), SUM(J18:M20) * (H30 / 100), "-"), "-")</f>
        <v>149486.26446851413</v>
      </c>
      <c r="K30" s="190"/>
      <c r="L30" s="190"/>
      <c r="M30" s="191"/>
      <c r="N30" s="192" t="s">
        <v>158</v>
      </c>
      <c r="O30" s="193"/>
    </row>
    <row r="31" spans="1:17" ht="28.5" customHeight="1" thickBot="1">
      <c r="A31" s="149">
        <v>5</v>
      </c>
      <c r="B31" s="150"/>
      <c r="C31" s="176" t="s">
        <v>159</v>
      </c>
      <c r="D31" s="177"/>
      <c r="E31" s="177"/>
      <c r="F31" s="177"/>
      <c r="G31" s="178"/>
      <c r="H31" s="152">
        <v>7.5</v>
      </c>
      <c r="I31" s="153" t="s">
        <v>141</v>
      </c>
      <c r="J31" s="179">
        <f>IFERROR(SUM(J18:M20, J30) * (H31 / 100), "-")+-31402</f>
        <v>204038.86653790975</v>
      </c>
      <c r="K31" s="180"/>
      <c r="L31" s="180"/>
      <c r="M31" s="181"/>
      <c r="N31" s="194" t="s">
        <v>160</v>
      </c>
      <c r="O31" s="195"/>
      <c r="Q31" s="154"/>
    </row>
    <row r="32" spans="1:17" ht="28.5" customHeight="1" thickBot="1">
      <c r="A32" s="184" t="s">
        <v>161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3343250</v>
      </c>
      <c r="N32" s="187"/>
      <c r="O32" s="188"/>
      <c r="P32" s="158"/>
    </row>
    <row r="33" spans="1:15">
      <c r="A33" s="159" t="s">
        <v>162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>
      <c r="M42" s="154"/>
    </row>
    <row r="43" spans="1:15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B18" sqref="B18"/>
    </sheetView>
  </sheetViews>
  <sheetFormatPr defaultColWidth="9" defaultRowHeight="38.1" customHeight="1"/>
  <cols>
    <col min="1" max="1" width="22.625" style="77" bestFit="1" customWidth="1"/>
    <col min="2" max="2" width="9" style="66" customWidth="1"/>
    <col min="3" max="5" width="12.625" style="66" customWidth="1"/>
    <col min="6" max="7" width="30.625" style="62" customWidth="1"/>
    <col min="8" max="8" width="12.375" style="66" bestFit="1" customWidth="1"/>
    <col min="9" max="9" width="8.25" style="66" customWidth="1"/>
    <col min="10" max="10" width="10.625" style="66" bestFit="1" customWidth="1"/>
    <col min="11" max="11" width="13.25" style="66" bestFit="1" customWidth="1"/>
    <col min="12" max="12" width="12" style="66" bestFit="1" customWidth="1"/>
    <col min="13" max="13" width="15.625" style="66" bestFit="1" customWidth="1"/>
    <col min="14" max="14" width="9" style="66" customWidth="1"/>
    <col min="15" max="15" width="8.75" style="66" bestFit="1" customWidth="1"/>
    <col min="16" max="16" width="10.5" style="66" customWidth="1"/>
    <col min="17" max="17" width="8.75" style="66" bestFit="1" customWidth="1"/>
    <col min="18" max="18" width="15.625" style="66" bestFit="1" customWidth="1"/>
    <col min="19" max="19" width="10.625" style="2" bestFit="1" customWidth="1"/>
    <col min="20" max="20" width="8.5" style="66" bestFit="1" customWidth="1"/>
    <col min="21" max="16384" width="9" style="66"/>
  </cols>
  <sheetData>
    <row r="1" spans="1:20" ht="19.899999999999999" customHeight="1">
      <c r="A1" s="284"/>
      <c r="B1" s="284"/>
      <c r="C1" s="284"/>
      <c r="D1" s="284"/>
      <c r="E1" s="284"/>
      <c r="J1" s="2"/>
      <c r="K1" s="65" t="s">
        <v>46</v>
      </c>
      <c r="M1" s="65" t="s">
        <v>46</v>
      </c>
      <c r="O1" s="65" t="s">
        <v>46</v>
      </c>
      <c r="Q1" s="65" t="s">
        <v>46</v>
      </c>
    </row>
    <row r="2" spans="1:20" ht="19.899999999999999" customHeight="1" thickBot="1">
      <c r="A2" s="284"/>
      <c r="B2" s="284"/>
      <c r="C2" s="284"/>
      <c r="D2" s="284"/>
      <c r="E2" s="284"/>
      <c r="J2" s="3"/>
      <c r="K2" s="4">
        <v>0.83499999999999996</v>
      </c>
      <c r="M2" s="4">
        <v>0.83499999999999996</v>
      </c>
      <c r="O2" s="4">
        <v>0.83499999999999996</v>
      </c>
      <c r="Q2" s="4">
        <v>0.83499999999999996</v>
      </c>
    </row>
    <row r="3" spans="1:20" ht="19.899999999999999" customHeight="1">
      <c r="A3" s="67"/>
      <c r="B3" s="68" t="s">
        <v>47</v>
      </c>
      <c r="C3" s="68"/>
      <c r="D3" s="68"/>
      <c r="E3" s="68"/>
      <c r="F3" s="295" t="s">
        <v>48</v>
      </c>
      <c r="G3" s="295"/>
      <c r="H3" s="293" t="s">
        <v>8</v>
      </c>
      <c r="I3" s="293" t="s">
        <v>5</v>
      </c>
      <c r="J3" s="289" t="s">
        <v>49</v>
      </c>
      <c r="K3" s="289"/>
      <c r="L3" s="289" t="s">
        <v>50</v>
      </c>
      <c r="M3" s="289"/>
      <c r="N3" s="290" t="s">
        <v>51</v>
      </c>
      <c r="O3" s="290"/>
      <c r="P3" s="290" t="s">
        <v>52</v>
      </c>
      <c r="Q3" s="290"/>
      <c r="R3" s="291" t="s">
        <v>53</v>
      </c>
      <c r="S3" s="287" t="s">
        <v>54</v>
      </c>
      <c r="T3" s="285" t="s">
        <v>7</v>
      </c>
    </row>
    <row r="4" spans="1:20" ht="19.899999999999999" customHeight="1">
      <c r="A4" s="5" t="s">
        <v>55</v>
      </c>
      <c r="B4" s="6" t="s">
        <v>56</v>
      </c>
      <c r="C4" s="6" t="s">
        <v>57</v>
      </c>
      <c r="D4" s="6" t="s">
        <v>58</v>
      </c>
      <c r="E4" s="6" t="s">
        <v>59</v>
      </c>
      <c r="F4" s="63" t="s">
        <v>60</v>
      </c>
      <c r="G4" s="63" t="s">
        <v>61</v>
      </c>
      <c r="H4" s="294"/>
      <c r="I4" s="294"/>
      <c r="J4" s="7" t="s">
        <v>62</v>
      </c>
      <c r="K4" s="8" t="s">
        <v>63</v>
      </c>
      <c r="L4" s="7" t="s">
        <v>64</v>
      </c>
      <c r="M4" s="8" t="s">
        <v>63</v>
      </c>
      <c r="N4" s="8" t="s">
        <v>65</v>
      </c>
      <c r="O4" s="8" t="s">
        <v>63</v>
      </c>
      <c r="P4" s="8" t="s">
        <v>65</v>
      </c>
      <c r="Q4" s="8" t="s">
        <v>63</v>
      </c>
      <c r="R4" s="292"/>
      <c r="S4" s="288"/>
      <c r="T4" s="286"/>
    </row>
    <row r="5" spans="1:20" s="69" customFormat="1" ht="38.1" customHeight="1">
      <c r="A5" s="9" t="str">
        <f t="shared" ref="A5" si="0">B5&amp;C5&amp;D5&amp;E5</f>
        <v>M020853710050101</v>
      </c>
      <c r="B5" s="35"/>
      <c r="C5" s="10"/>
      <c r="D5" s="10" t="s">
        <v>79</v>
      </c>
      <c r="E5" s="35"/>
      <c r="F5" s="61" t="s">
        <v>80</v>
      </c>
      <c r="G5" s="79" t="s">
        <v>92</v>
      </c>
      <c r="H5" s="50" t="s">
        <v>87</v>
      </c>
      <c r="I5" s="78">
        <v>8.4789999999999992</v>
      </c>
      <c r="J5" s="94">
        <v>20900</v>
      </c>
      <c r="K5" s="57">
        <f t="shared" ref="K5" si="1">SUM(J5:J5)*I5*$K$2</f>
        <v>147971.26849999998</v>
      </c>
      <c r="L5" s="56"/>
      <c r="M5" s="57">
        <f t="shared" ref="M5" si="2">(L5*I5)*$M$2</f>
        <v>0</v>
      </c>
      <c r="N5" s="58"/>
      <c r="O5" s="57">
        <f t="shared" ref="O5" si="3">N5*I5*$O$2</f>
        <v>0</v>
      </c>
      <c r="P5" s="58"/>
      <c r="Q5" s="57">
        <f t="shared" ref="Q5" si="4">P5*I5*$Q$2</f>
        <v>0</v>
      </c>
      <c r="R5" s="13">
        <f t="shared" ref="R5" si="5">SUM(K5+M5)+O5+Q5</f>
        <v>147971.26849999998</v>
      </c>
      <c r="S5" s="49"/>
      <c r="T5" s="14"/>
    </row>
    <row r="6" spans="1:20" s="69" customFormat="1" ht="38.1" customHeight="1">
      <c r="A6" s="9" t="str">
        <f t="shared" ref="A6" si="6">B6&amp;C6&amp;D6&amp;E6</f>
        <v>E00000803071260301</v>
      </c>
      <c r="B6" s="35"/>
      <c r="C6" s="10" t="s">
        <v>66</v>
      </c>
      <c r="D6" s="10"/>
      <c r="E6" s="35"/>
      <c r="F6" s="61" t="s">
        <v>68</v>
      </c>
      <c r="G6" s="79" t="s">
        <v>93</v>
      </c>
      <c r="H6" s="11" t="s">
        <v>67</v>
      </c>
      <c r="I6" s="78">
        <v>1.978</v>
      </c>
      <c r="J6" s="59"/>
      <c r="K6" s="57">
        <f t="shared" ref="K6" si="7">SUM(J6:J6)*I6*$K$2</f>
        <v>0</v>
      </c>
      <c r="L6" s="96">
        <v>510462</v>
      </c>
      <c r="M6" s="57">
        <f t="shared" ref="M6" si="8">(L6*I6)*$M$2</f>
        <v>843094.35305999999</v>
      </c>
      <c r="N6" s="58"/>
      <c r="O6" s="57">
        <f t="shared" ref="O6" si="9">N6*I6*$O$2</f>
        <v>0</v>
      </c>
      <c r="P6" s="58"/>
      <c r="Q6" s="57">
        <f t="shared" ref="Q6" si="10">P6*I6*$Q$2</f>
        <v>0</v>
      </c>
      <c r="R6" s="13">
        <f t="shared" ref="R6" si="11">SUM(K6+M6)+O6+Q6</f>
        <v>843094.35305999999</v>
      </c>
      <c r="S6" s="49"/>
      <c r="T6" s="14"/>
    </row>
    <row r="7" spans="1:20" s="69" customFormat="1" ht="38.1" customHeight="1">
      <c r="A7" s="9" t="str">
        <f t="shared" ref="A7:A8" si="12">B7&amp;C7&amp;D7&amp;E7</f>
        <v>E00000803071260301</v>
      </c>
      <c r="B7" s="35"/>
      <c r="C7" s="10" t="s">
        <v>66</v>
      </c>
      <c r="D7" s="10"/>
      <c r="E7" s="35"/>
      <c r="F7" s="61" t="s">
        <v>69</v>
      </c>
      <c r="G7" s="79" t="s">
        <v>94</v>
      </c>
      <c r="H7" s="11" t="s">
        <v>67</v>
      </c>
      <c r="I7" s="78">
        <v>1.4</v>
      </c>
      <c r="J7" s="59"/>
      <c r="K7" s="57">
        <f t="shared" ref="K7:K9" si="13">SUM(J7:J7)*I7*$K$2</f>
        <v>0</v>
      </c>
      <c r="L7" s="96">
        <v>510462</v>
      </c>
      <c r="M7" s="57">
        <f t="shared" ref="M7:M10" si="14">(L7*I7)*$M$2</f>
        <v>596730.07799999986</v>
      </c>
      <c r="N7" s="58"/>
      <c r="O7" s="57">
        <f t="shared" ref="O7:O10" si="15">N7*I7*$O$2</f>
        <v>0</v>
      </c>
      <c r="P7" s="58"/>
      <c r="Q7" s="57">
        <f t="shared" ref="Q7:Q10" si="16">P7*I7*$Q$2</f>
        <v>0</v>
      </c>
      <c r="R7" s="13">
        <f t="shared" ref="R7:R10" si="17">SUM(K7+M7)+O7+Q7</f>
        <v>596730.07799999986</v>
      </c>
      <c r="S7" s="49"/>
      <c r="T7" s="14"/>
    </row>
    <row r="8" spans="1:20" s="69" customFormat="1" ht="38.1" customHeight="1">
      <c r="A8" s="9" t="str">
        <f t="shared" si="12"/>
        <v>M020809012520101</v>
      </c>
      <c r="B8" s="35"/>
      <c r="C8" s="10"/>
      <c r="D8" s="10" t="s">
        <v>82</v>
      </c>
      <c r="E8" s="35"/>
      <c r="F8" s="61" t="s">
        <v>83</v>
      </c>
      <c r="G8" s="61" t="s">
        <v>84</v>
      </c>
      <c r="H8" s="50" t="s">
        <v>81</v>
      </c>
      <c r="I8" s="60">
        <v>39.6</v>
      </c>
      <c r="J8" s="95">
        <v>13000</v>
      </c>
      <c r="K8" s="57">
        <f t="shared" si="13"/>
        <v>429858</v>
      </c>
      <c r="L8" s="56"/>
      <c r="M8" s="57">
        <f t="shared" si="14"/>
        <v>0</v>
      </c>
      <c r="N8" s="58"/>
      <c r="O8" s="57">
        <f t="shared" si="15"/>
        <v>0</v>
      </c>
      <c r="P8" s="58"/>
      <c r="Q8" s="57">
        <f t="shared" si="16"/>
        <v>0</v>
      </c>
      <c r="R8" s="13">
        <f t="shared" si="17"/>
        <v>429858</v>
      </c>
      <c r="S8" s="49"/>
      <c r="T8" s="14"/>
    </row>
    <row r="9" spans="1:20" s="69" customFormat="1" ht="38.1" customHeight="1">
      <c r="A9" s="9" t="str">
        <f t="shared" ref="A9:A10" si="18">B9&amp;C9&amp;D9&amp;E9</f>
        <v>E00000803071260401</v>
      </c>
      <c r="B9" s="35"/>
      <c r="C9" s="10" t="s">
        <v>70</v>
      </c>
      <c r="D9" s="10"/>
      <c r="E9" s="35"/>
      <c r="F9" s="61" t="s">
        <v>71</v>
      </c>
      <c r="G9" s="61" t="s">
        <v>88</v>
      </c>
      <c r="H9" s="11" t="s">
        <v>67</v>
      </c>
      <c r="I9" s="60">
        <v>0.64900000000000002</v>
      </c>
      <c r="J9" s="59"/>
      <c r="K9" s="57">
        <f t="shared" si="13"/>
        <v>0</v>
      </c>
      <c r="L9" s="96">
        <v>510462</v>
      </c>
      <c r="M9" s="57">
        <f t="shared" si="14"/>
        <v>276627.01473</v>
      </c>
      <c r="N9" s="58"/>
      <c r="O9" s="57">
        <f t="shared" si="15"/>
        <v>0</v>
      </c>
      <c r="P9" s="58"/>
      <c r="Q9" s="57">
        <f t="shared" si="16"/>
        <v>0</v>
      </c>
      <c r="R9" s="13">
        <f t="shared" si="17"/>
        <v>276627.01473</v>
      </c>
      <c r="S9" s="49"/>
      <c r="T9" s="14"/>
    </row>
    <row r="10" spans="1:20" s="69" customFormat="1" ht="38.1" customHeight="1">
      <c r="A10" s="9" t="str">
        <f t="shared" si="18"/>
        <v>E00000801011510701</v>
      </c>
      <c r="B10" s="35"/>
      <c r="C10" s="10" t="s">
        <v>86</v>
      </c>
      <c r="D10" s="10"/>
      <c r="E10" s="35"/>
      <c r="F10" s="100" t="s">
        <v>95</v>
      </c>
      <c r="G10" s="11" t="s">
        <v>85</v>
      </c>
      <c r="H10" s="101" t="s">
        <v>96</v>
      </c>
      <c r="I10" s="60">
        <v>79</v>
      </c>
      <c r="J10" s="70"/>
      <c r="K10" s="12">
        <f t="shared" ref="K10" si="19">SUM(J10:J10)*I10*$K$2</f>
        <v>0</v>
      </c>
      <c r="L10" s="96">
        <v>5131</v>
      </c>
      <c r="M10" s="12">
        <f t="shared" si="14"/>
        <v>338466.41499999998</v>
      </c>
      <c r="N10" s="13"/>
      <c r="O10" s="12">
        <f t="shared" si="15"/>
        <v>0</v>
      </c>
      <c r="P10" s="13"/>
      <c r="Q10" s="12">
        <f t="shared" si="16"/>
        <v>0</v>
      </c>
      <c r="R10" s="13">
        <f t="shared" si="17"/>
        <v>338466.41499999998</v>
      </c>
      <c r="S10" s="49"/>
      <c r="T10" s="14"/>
    </row>
    <row r="11" spans="1:20" s="76" customFormat="1" ht="38.1" customHeight="1">
      <c r="A11" s="71"/>
      <c r="B11" s="72"/>
      <c r="C11" s="72"/>
      <c r="D11" s="72"/>
      <c r="E11" s="72"/>
      <c r="F11" s="64"/>
      <c r="G11" s="64"/>
      <c r="H11" s="72"/>
      <c r="I11" s="72"/>
      <c r="J11" s="72"/>
      <c r="K11" s="73">
        <f>SUM(K5:K10)</f>
        <v>577829.26850000001</v>
      </c>
      <c r="L11" s="74"/>
      <c r="M11" s="73">
        <f>SUM(M5:M10)</f>
        <v>2054917.8607899998</v>
      </c>
      <c r="N11" s="74"/>
      <c r="O11" s="73">
        <f>SUM(O5:O10)</f>
        <v>0</v>
      </c>
      <c r="P11" s="74"/>
      <c r="Q11" s="73">
        <f>SUM(Q5:Q10)</f>
        <v>0</v>
      </c>
      <c r="R11" s="75">
        <f>SUM(R5:R10)</f>
        <v>2632747.1292900001</v>
      </c>
      <c r="S11" s="43"/>
      <c r="T11" s="7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30"/>
  <sheetViews>
    <sheetView zoomScaleNormal="100" workbookViewId="0">
      <selection activeCell="O25" sqref="O25"/>
    </sheetView>
  </sheetViews>
  <sheetFormatPr defaultColWidth="9" defaultRowHeight="14.25"/>
  <cols>
    <col min="1" max="1" width="22.625" style="34" customWidth="1"/>
    <col min="2" max="2" width="27.625" style="34" customWidth="1"/>
    <col min="3" max="3" width="5.75" style="34" customWidth="1"/>
    <col min="4" max="4" width="6.75" style="34" bestFit="1" customWidth="1"/>
    <col min="5" max="8" width="20.625" style="34" customWidth="1"/>
    <col min="9" max="12" width="20.625" style="34" hidden="1" customWidth="1"/>
    <col min="13" max="14" width="20.625" style="34" customWidth="1"/>
    <col min="15" max="15" width="32.75" style="34" customWidth="1"/>
    <col min="16" max="16" width="5.5" style="15" customWidth="1"/>
    <col min="17" max="16384" width="9" style="15"/>
  </cols>
  <sheetData>
    <row r="1" spans="1:17" ht="27" customHeight="1">
      <c r="A1" s="298" t="s">
        <v>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7" ht="15" customHeight="1">
      <c r="A2" s="299" t="s">
        <v>10</v>
      </c>
      <c r="B2" s="300" t="s">
        <v>11</v>
      </c>
      <c r="C2" s="301" t="s">
        <v>8</v>
      </c>
      <c r="D2" s="301" t="s">
        <v>12</v>
      </c>
      <c r="E2" s="303" t="s">
        <v>13</v>
      </c>
      <c r="F2" s="300"/>
      <c r="G2" s="300" t="s">
        <v>14</v>
      </c>
      <c r="H2" s="300"/>
      <c r="I2" s="304" t="s">
        <v>15</v>
      </c>
      <c r="J2" s="305"/>
      <c r="K2" s="304" t="s">
        <v>16</v>
      </c>
      <c r="L2" s="305"/>
      <c r="M2" s="303" t="s">
        <v>17</v>
      </c>
      <c r="N2" s="300"/>
      <c r="O2" s="306" t="s">
        <v>18</v>
      </c>
    </row>
    <row r="3" spans="1:17" ht="15" customHeight="1">
      <c r="A3" s="299"/>
      <c r="B3" s="300"/>
      <c r="C3" s="302"/>
      <c r="D3" s="302"/>
      <c r="E3" s="53" t="s">
        <v>19</v>
      </c>
      <c r="F3" s="53" t="s">
        <v>20</v>
      </c>
      <c r="G3" s="16" t="s">
        <v>19</v>
      </c>
      <c r="H3" s="53" t="s">
        <v>21</v>
      </c>
      <c r="I3" s="53"/>
      <c r="J3" s="53"/>
      <c r="K3" s="16" t="s">
        <v>19</v>
      </c>
      <c r="L3" s="53" t="s">
        <v>21</v>
      </c>
      <c r="M3" s="16" t="s">
        <v>19</v>
      </c>
      <c r="N3" s="53" t="s">
        <v>21</v>
      </c>
      <c r="O3" s="307"/>
    </row>
    <row r="4" spans="1:17" ht="15" customHeight="1">
      <c r="A4" s="296" t="s">
        <v>89</v>
      </c>
      <c r="B4" s="29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7" ht="15" customHeight="1">
      <c r="A5" s="309" t="s">
        <v>22</v>
      </c>
      <c r="B5" s="80" t="s">
        <v>23</v>
      </c>
      <c r="C5" s="81" t="s">
        <v>24</v>
      </c>
      <c r="D5" s="87">
        <f>55-7.7</f>
        <v>47.3</v>
      </c>
      <c r="E5" s="97">
        <v>1057</v>
      </c>
      <c r="F5" s="20">
        <f t="shared" ref="F5:F10" si="0">D5*E5</f>
        <v>49996.1</v>
      </c>
      <c r="G5" s="97">
        <v>9266</v>
      </c>
      <c r="H5" s="20">
        <f t="shared" ref="H5:H10" si="1">D5*G5</f>
        <v>438281.8</v>
      </c>
      <c r="I5" s="20"/>
      <c r="J5" s="20"/>
      <c r="K5" s="20"/>
      <c r="L5" s="20"/>
      <c r="M5" s="20"/>
      <c r="N5" s="20">
        <f>F5+H5+J5+L5</f>
        <v>488277.89999999997</v>
      </c>
      <c r="O5" s="311"/>
      <c r="P5" s="15" t="s">
        <v>90</v>
      </c>
      <c r="Q5" s="86">
        <f>D5+D7+D9</f>
        <v>91</v>
      </c>
    </row>
    <row r="6" spans="1:17" ht="15" customHeight="1">
      <c r="A6" s="310"/>
      <c r="B6" s="80" t="s">
        <v>25</v>
      </c>
      <c r="C6" s="81" t="s">
        <v>24</v>
      </c>
      <c r="D6" s="87">
        <f>37-8.3</f>
        <v>28.7</v>
      </c>
      <c r="E6" s="97">
        <v>1057</v>
      </c>
      <c r="F6" s="20">
        <f t="shared" si="0"/>
        <v>30335.899999999998</v>
      </c>
      <c r="G6" s="97">
        <v>12178</v>
      </c>
      <c r="H6" s="20">
        <f t="shared" si="1"/>
        <v>349508.6</v>
      </c>
      <c r="I6" s="20"/>
      <c r="J6" s="20"/>
      <c r="K6" s="20"/>
      <c r="L6" s="20"/>
      <c r="M6" s="20"/>
      <c r="N6" s="20">
        <f t="shared" ref="N6:N10" si="2">F6+H6+J6+L6</f>
        <v>379844.5</v>
      </c>
      <c r="O6" s="312"/>
      <c r="P6" s="15" t="s">
        <v>91</v>
      </c>
      <c r="Q6" s="86">
        <f>D6+D8+D10</f>
        <v>48.6</v>
      </c>
    </row>
    <row r="7" spans="1:17" ht="15" customHeight="1">
      <c r="A7" s="310"/>
      <c r="B7" s="80" t="s">
        <v>26</v>
      </c>
      <c r="C7" s="81" t="s">
        <v>24</v>
      </c>
      <c r="D7" s="87">
        <f>30-5.9</f>
        <v>24.1</v>
      </c>
      <c r="E7" s="97">
        <v>1057</v>
      </c>
      <c r="F7" s="20">
        <f t="shared" si="0"/>
        <v>25473.7</v>
      </c>
      <c r="G7" s="97">
        <v>9266</v>
      </c>
      <c r="H7" s="20">
        <f t="shared" si="1"/>
        <v>223310.6</v>
      </c>
      <c r="I7" s="20"/>
      <c r="J7" s="20"/>
      <c r="K7" s="20"/>
      <c r="L7" s="20"/>
      <c r="M7" s="20"/>
      <c r="N7" s="20">
        <f t="shared" si="2"/>
        <v>248784.30000000002</v>
      </c>
      <c r="O7" s="312"/>
    </row>
    <row r="8" spans="1:17" ht="15" customHeight="1">
      <c r="A8" s="310"/>
      <c r="B8" s="80" t="s">
        <v>27</v>
      </c>
      <c r="C8" s="81" t="s">
        <v>24</v>
      </c>
      <c r="D8" s="87">
        <f>12-0.2</f>
        <v>11.8</v>
      </c>
      <c r="E8" s="97">
        <v>1057</v>
      </c>
      <c r="F8" s="20">
        <f t="shared" si="0"/>
        <v>12472.6</v>
      </c>
      <c r="G8" s="97">
        <v>12178</v>
      </c>
      <c r="H8" s="20">
        <f t="shared" si="1"/>
        <v>143700.4</v>
      </c>
      <c r="I8" s="20"/>
      <c r="J8" s="20"/>
      <c r="K8" s="20"/>
      <c r="L8" s="20"/>
      <c r="M8" s="20"/>
      <c r="N8" s="20">
        <f t="shared" si="2"/>
        <v>156173</v>
      </c>
      <c r="O8" s="312"/>
    </row>
    <row r="9" spans="1:17" ht="15" customHeight="1">
      <c r="A9" s="310"/>
      <c r="B9" s="80" t="s">
        <v>28</v>
      </c>
      <c r="C9" s="81" t="s">
        <v>24</v>
      </c>
      <c r="D9" s="87">
        <f>20-0.4</f>
        <v>19.600000000000001</v>
      </c>
      <c r="E9" s="97">
        <v>1057</v>
      </c>
      <c r="F9" s="20">
        <f t="shared" si="0"/>
        <v>20717.2</v>
      </c>
      <c r="G9" s="97">
        <v>9266</v>
      </c>
      <c r="H9" s="20">
        <f t="shared" si="1"/>
        <v>181613.6</v>
      </c>
      <c r="I9" s="20"/>
      <c r="J9" s="20"/>
      <c r="K9" s="20"/>
      <c r="L9" s="20"/>
      <c r="M9" s="20"/>
      <c r="N9" s="20">
        <f t="shared" si="2"/>
        <v>202330.80000000002</v>
      </c>
      <c r="O9" s="312"/>
    </row>
    <row r="10" spans="1:17" ht="15" customHeight="1">
      <c r="A10" s="310"/>
      <c r="B10" s="80" t="s">
        <v>29</v>
      </c>
      <c r="C10" s="81" t="s">
        <v>24</v>
      </c>
      <c r="D10" s="87">
        <f>12-3.9</f>
        <v>8.1</v>
      </c>
      <c r="E10" s="97">
        <v>1057</v>
      </c>
      <c r="F10" s="20">
        <f t="shared" si="0"/>
        <v>8561.6999999999989</v>
      </c>
      <c r="G10" s="97">
        <v>12178</v>
      </c>
      <c r="H10" s="20">
        <f t="shared" si="1"/>
        <v>98641.8</v>
      </c>
      <c r="I10" s="20"/>
      <c r="J10" s="20"/>
      <c r="K10" s="20"/>
      <c r="L10" s="20"/>
      <c r="M10" s="20"/>
      <c r="N10" s="20">
        <f t="shared" si="2"/>
        <v>107203.5</v>
      </c>
      <c r="O10" s="312"/>
    </row>
    <row r="11" spans="1:17" ht="15" customHeight="1">
      <c r="A11" s="44" t="s">
        <v>30</v>
      </c>
      <c r="B11" s="45"/>
      <c r="C11" s="46"/>
      <c r="D11" s="88">
        <f>SUM(D5:D10)</f>
        <v>139.6</v>
      </c>
      <c r="E11" s="47"/>
      <c r="F11" s="47">
        <f>SUM(F5:F10)</f>
        <v>147557.20000000001</v>
      </c>
      <c r="G11" s="47"/>
      <c r="H11" s="47">
        <f>SUM(H5:H10)</f>
        <v>1435056.8</v>
      </c>
      <c r="I11" s="47"/>
      <c r="J11" s="47">
        <f>SUM(J5:J10)</f>
        <v>0</v>
      </c>
      <c r="K11" s="47"/>
      <c r="L11" s="47">
        <f>SUM(L5:L10)</f>
        <v>0</v>
      </c>
      <c r="M11" s="47"/>
      <c r="N11" s="47">
        <f>SUM(N5:N10)</f>
        <v>1582614</v>
      </c>
      <c r="O11" s="47"/>
    </row>
    <row r="12" spans="1:17" ht="15" customHeight="1">
      <c r="A12" s="313" t="s">
        <v>78</v>
      </c>
      <c r="B12" s="18" t="s">
        <v>31</v>
      </c>
      <c r="C12" s="19" t="s">
        <v>24</v>
      </c>
      <c r="D12" s="84">
        <v>20.7</v>
      </c>
      <c r="E12" s="98">
        <v>10855</v>
      </c>
      <c r="F12" s="51">
        <f>D12*E12</f>
        <v>224698.5</v>
      </c>
      <c r="G12" s="97">
        <v>6987</v>
      </c>
      <c r="H12" s="51">
        <f>D12*G12</f>
        <v>144630.9</v>
      </c>
      <c r="I12" s="51"/>
      <c r="J12" s="51"/>
      <c r="K12" s="20"/>
      <c r="L12" s="51"/>
      <c r="M12" s="20"/>
      <c r="N12" s="51">
        <f t="shared" ref="N12:N14" si="3">F12+H12+J12+L12</f>
        <v>369329.4</v>
      </c>
      <c r="O12" s="312"/>
    </row>
    <row r="13" spans="1:17" ht="15" customHeight="1">
      <c r="A13" s="313"/>
      <c r="B13" s="18" t="s">
        <v>32</v>
      </c>
      <c r="C13" s="19" t="s">
        <v>24</v>
      </c>
      <c r="D13" s="85">
        <v>11.2</v>
      </c>
      <c r="E13" s="98">
        <v>10855</v>
      </c>
      <c r="F13" s="51">
        <f>D13*E13</f>
        <v>121575.99999999999</v>
      </c>
      <c r="G13" s="97">
        <v>6987</v>
      </c>
      <c r="H13" s="51">
        <f>D13*G13</f>
        <v>78254.399999999994</v>
      </c>
      <c r="I13" s="51"/>
      <c r="J13" s="51"/>
      <c r="K13" s="20"/>
      <c r="L13" s="51"/>
      <c r="M13" s="20"/>
      <c r="N13" s="51">
        <f t="shared" si="3"/>
        <v>199830.39999999997</v>
      </c>
      <c r="O13" s="312"/>
    </row>
    <row r="14" spans="1:17" ht="15" customHeight="1">
      <c r="A14" s="313"/>
      <c r="B14" s="18" t="s">
        <v>33</v>
      </c>
      <c r="C14" s="19" t="s">
        <v>24</v>
      </c>
      <c r="D14" s="85">
        <v>7.8</v>
      </c>
      <c r="E14" s="98">
        <v>10855</v>
      </c>
      <c r="F14" s="51">
        <f>D14*E14</f>
        <v>84669</v>
      </c>
      <c r="G14" s="97">
        <v>6987</v>
      </c>
      <c r="H14" s="51">
        <f>D14*G14</f>
        <v>54498.6</v>
      </c>
      <c r="I14" s="51"/>
      <c r="J14" s="51"/>
      <c r="K14" s="20"/>
      <c r="L14" s="51"/>
      <c r="M14" s="20"/>
      <c r="N14" s="51">
        <f t="shared" si="3"/>
        <v>139167.6</v>
      </c>
      <c r="O14" s="312"/>
    </row>
    <row r="15" spans="1:17" ht="15" customHeight="1">
      <c r="A15" s="36" t="s">
        <v>30</v>
      </c>
      <c r="B15" s="21"/>
      <c r="C15" s="24"/>
      <c r="D15" s="88">
        <f>SUM(D12:D14)</f>
        <v>39.699999999999996</v>
      </c>
      <c r="E15" s="23"/>
      <c r="F15" s="23">
        <f>SUM(F12:F14)</f>
        <v>430943.5</v>
      </c>
      <c r="G15" s="23"/>
      <c r="H15" s="23">
        <f>SUM(H12:H14)</f>
        <v>277383.89999999997</v>
      </c>
      <c r="I15" s="23"/>
      <c r="J15" s="23">
        <f>SUM(J12:J14)</f>
        <v>0</v>
      </c>
      <c r="K15" s="23"/>
      <c r="L15" s="23">
        <f>SUM(L12:L14)</f>
        <v>0</v>
      </c>
      <c r="M15" s="23"/>
      <c r="N15" s="23">
        <f>SUM(N12:N14)</f>
        <v>708327.4</v>
      </c>
      <c r="O15" s="23"/>
    </row>
    <row r="16" spans="1:17" ht="15" customHeight="1">
      <c r="A16" s="41" t="s">
        <v>34</v>
      </c>
      <c r="B16" s="25"/>
      <c r="C16" s="26"/>
      <c r="D16" s="8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>
      <c r="A17" s="82" t="s">
        <v>77</v>
      </c>
      <c r="B17" s="83" t="s">
        <v>74</v>
      </c>
      <c r="C17" s="83" t="s">
        <v>73</v>
      </c>
      <c r="D17" s="90">
        <v>0.4</v>
      </c>
      <c r="E17" s="97"/>
      <c r="F17" s="51"/>
      <c r="G17" s="20"/>
      <c r="H17" s="20"/>
      <c r="I17" s="20"/>
      <c r="J17" s="20"/>
      <c r="K17" s="20"/>
      <c r="L17" s="20"/>
      <c r="M17" s="20"/>
      <c r="N17" s="52"/>
      <c r="O17" s="102" t="s">
        <v>97</v>
      </c>
    </row>
    <row r="18" spans="1:15" ht="15" customHeight="1">
      <c r="A18" s="314" t="s">
        <v>35</v>
      </c>
      <c r="B18" s="80" t="s">
        <v>36</v>
      </c>
      <c r="C18" s="81" t="s">
        <v>24</v>
      </c>
      <c r="D18" s="90">
        <f>20</f>
        <v>20</v>
      </c>
      <c r="E18" s="52"/>
      <c r="F18" s="52"/>
      <c r="G18" s="99"/>
      <c r="H18" s="52"/>
      <c r="I18" s="52"/>
      <c r="J18" s="52"/>
      <c r="K18" s="52"/>
      <c r="L18" s="52"/>
      <c r="M18" s="52"/>
      <c r="N18" s="52"/>
      <c r="O18" s="102" t="s">
        <v>97</v>
      </c>
    </row>
    <row r="19" spans="1:15" ht="15" customHeight="1">
      <c r="A19" s="314"/>
      <c r="B19" s="80" t="s">
        <v>37</v>
      </c>
      <c r="C19" s="81" t="s">
        <v>24</v>
      </c>
      <c r="D19" s="90">
        <f>20</f>
        <v>20</v>
      </c>
      <c r="E19" s="52"/>
      <c r="F19" s="52"/>
      <c r="G19" s="99"/>
      <c r="H19" s="52"/>
      <c r="I19" s="52"/>
      <c r="J19" s="52"/>
      <c r="K19" s="52"/>
      <c r="L19" s="52"/>
      <c r="M19" s="52"/>
      <c r="N19" s="52"/>
      <c r="O19" s="102" t="s">
        <v>97</v>
      </c>
    </row>
    <row r="20" spans="1:15" ht="15" customHeight="1">
      <c r="A20" s="308" t="s">
        <v>38</v>
      </c>
      <c r="B20" s="25" t="s">
        <v>36</v>
      </c>
      <c r="C20" s="26" t="s">
        <v>24</v>
      </c>
      <c r="D20" s="89">
        <v>20</v>
      </c>
      <c r="E20" s="52"/>
      <c r="F20" s="52"/>
      <c r="G20" s="99"/>
      <c r="H20" s="52"/>
      <c r="I20" s="52"/>
      <c r="J20" s="52"/>
      <c r="K20" s="52"/>
      <c r="L20" s="52"/>
      <c r="M20" s="52"/>
      <c r="N20" s="52"/>
      <c r="O20" s="102" t="s">
        <v>97</v>
      </c>
    </row>
    <row r="21" spans="1:15" ht="15" customHeight="1">
      <c r="A21" s="308"/>
      <c r="B21" s="25" t="s">
        <v>37</v>
      </c>
      <c r="C21" s="26" t="s">
        <v>24</v>
      </c>
      <c r="D21" s="89">
        <v>20</v>
      </c>
      <c r="E21" s="52"/>
      <c r="F21" s="52"/>
      <c r="G21" s="99"/>
      <c r="H21" s="52"/>
      <c r="I21" s="52"/>
      <c r="J21" s="52"/>
      <c r="K21" s="52"/>
      <c r="L21" s="52"/>
      <c r="M21" s="52"/>
      <c r="N21" s="52"/>
      <c r="O21" s="102" t="s">
        <v>97</v>
      </c>
    </row>
    <row r="22" spans="1:15" ht="15" customHeight="1">
      <c r="A22" s="55" t="s">
        <v>75</v>
      </c>
      <c r="B22" s="54" t="s">
        <v>76</v>
      </c>
      <c r="C22" s="54" t="s">
        <v>73</v>
      </c>
      <c r="D22" s="89">
        <v>0.13</v>
      </c>
      <c r="E22" s="97"/>
      <c r="F22" s="52"/>
      <c r="G22" s="20"/>
      <c r="H22" s="20"/>
      <c r="I22" s="20"/>
      <c r="J22" s="20"/>
      <c r="K22" s="20"/>
      <c r="L22" s="20"/>
      <c r="M22" s="20"/>
      <c r="N22" s="52"/>
      <c r="O22" s="102" t="s">
        <v>97</v>
      </c>
    </row>
    <row r="23" spans="1:15" ht="15" customHeight="1">
      <c r="A23" s="308" t="s">
        <v>39</v>
      </c>
      <c r="B23" s="25" t="s">
        <v>40</v>
      </c>
      <c r="C23" s="26" t="s">
        <v>24</v>
      </c>
      <c r="D23" s="89">
        <v>10</v>
      </c>
      <c r="E23" s="20"/>
      <c r="F23" s="20"/>
      <c r="G23" s="97"/>
      <c r="H23" s="20"/>
      <c r="I23" s="20"/>
      <c r="J23" s="20"/>
      <c r="K23" s="20"/>
      <c r="L23" s="51"/>
      <c r="M23" s="20"/>
      <c r="N23" s="51"/>
      <c r="O23" s="102" t="s">
        <v>97</v>
      </c>
    </row>
    <row r="24" spans="1:15" ht="15" customHeight="1">
      <c r="A24" s="308"/>
      <c r="B24" s="25" t="s">
        <v>41</v>
      </c>
      <c r="C24" s="26" t="s">
        <v>24</v>
      </c>
      <c r="D24" s="89">
        <v>10</v>
      </c>
      <c r="E24" s="20"/>
      <c r="F24" s="20"/>
      <c r="G24" s="97"/>
      <c r="H24" s="20"/>
      <c r="I24" s="20"/>
      <c r="J24" s="20"/>
      <c r="K24" s="20"/>
      <c r="L24" s="51"/>
      <c r="M24" s="20"/>
      <c r="N24" s="51"/>
      <c r="O24" s="102" t="s">
        <v>97</v>
      </c>
    </row>
    <row r="25" spans="1:15" ht="15" customHeight="1">
      <c r="A25" s="308" t="s">
        <v>42</v>
      </c>
      <c r="B25" s="25" t="s">
        <v>40</v>
      </c>
      <c r="C25" s="26" t="s">
        <v>24</v>
      </c>
      <c r="D25" s="89">
        <v>2</v>
      </c>
      <c r="E25" s="20"/>
      <c r="F25" s="20"/>
      <c r="G25" s="97"/>
      <c r="H25" s="20"/>
      <c r="I25" s="20"/>
      <c r="J25" s="20"/>
      <c r="K25" s="20"/>
      <c r="L25" s="51"/>
      <c r="M25" s="20"/>
      <c r="N25" s="51"/>
      <c r="O25" s="102" t="s">
        <v>98</v>
      </c>
    </row>
    <row r="26" spans="1:15" ht="15" customHeight="1">
      <c r="A26" s="308"/>
      <c r="B26" s="25" t="s">
        <v>43</v>
      </c>
      <c r="C26" s="26" t="s">
        <v>24</v>
      </c>
      <c r="D26" s="89">
        <v>2</v>
      </c>
      <c r="E26" s="20"/>
      <c r="F26" s="20"/>
      <c r="G26" s="97"/>
      <c r="H26" s="20"/>
      <c r="I26" s="20"/>
      <c r="J26" s="20"/>
      <c r="K26" s="20"/>
      <c r="L26" s="51"/>
      <c r="M26" s="20"/>
      <c r="N26" s="51"/>
      <c r="O26" s="102" t="s">
        <v>98</v>
      </c>
    </row>
    <row r="27" spans="1:15" ht="15" customHeight="1">
      <c r="A27" s="36" t="s">
        <v>30</v>
      </c>
      <c r="B27" s="27"/>
      <c r="C27" s="28"/>
      <c r="D27" s="91"/>
      <c r="E27" s="23"/>
      <c r="F27" s="23">
        <f>SUM(F16:F26)</f>
        <v>0</v>
      </c>
      <c r="G27" s="23"/>
      <c r="H27" s="23">
        <f>SUM(H16:H26)</f>
        <v>0</v>
      </c>
      <c r="I27" s="23"/>
      <c r="J27" s="23">
        <f>SUM(J16:J26)</f>
        <v>0</v>
      </c>
      <c r="K27" s="23"/>
      <c r="L27" s="23">
        <f>SUM(L16:L26)</f>
        <v>0</v>
      </c>
      <c r="M27" s="23"/>
      <c r="N27" s="23">
        <f>SUM(N16:N26)</f>
        <v>0</v>
      </c>
      <c r="O27" s="23"/>
    </row>
    <row r="28" spans="1:15" ht="15" customHeight="1">
      <c r="A28" s="42" t="s">
        <v>44</v>
      </c>
      <c r="B28" s="18" t="s">
        <v>45</v>
      </c>
      <c r="C28" s="19" t="s">
        <v>24</v>
      </c>
      <c r="D28" s="92">
        <v>79</v>
      </c>
      <c r="E28" s="51"/>
      <c r="F28" s="51"/>
      <c r="G28" s="97">
        <v>4284</v>
      </c>
      <c r="H28" s="51">
        <f>D28*G28</f>
        <v>338436</v>
      </c>
      <c r="I28" s="51"/>
      <c r="J28" s="51"/>
      <c r="K28" s="51"/>
      <c r="L28" s="51"/>
      <c r="M28" s="51"/>
      <c r="N28" s="51">
        <f>F28+H28+J28+L28</f>
        <v>338436</v>
      </c>
      <c r="O28" s="29"/>
    </row>
    <row r="29" spans="1:15" ht="15" customHeight="1">
      <c r="A29" s="37" t="s">
        <v>30</v>
      </c>
      <c r="B29" s="21"/>
      <c r="C29" s="22"/>
      <c r="D29" s="93"/>
      <c r="E29" s="31"/>
      <c r="F29" s="31"/>
      <c r="G29" s="31"/>
      <c r="H29" s="23">
        <f>SUM(H28:H28)</f>
        <v>338436</v>
      </c>
      <c r="I29" s="31"/>
      <c r="J29" s="23">
        <f t="shared" ref="J29:N29" si="4">SUM(J28:J28)</f>
        <v>0</v>
      </c>
      <c r="K29" s="23"/>
      <c r="L29" s="23">
        <f t="shared" si="4"/>
        <v>0</v>
      </c>
      <c r="M29" s="23"/>
      <c r="N29" s="23">
        <f t="shared" si="4"/>
        <v>338436</v>
      </c>
      <c r="O29" s="31"/>
    </row>
    <row r="30" spans="1:15" ht="15" customHeight="1">
      <c r="A30" s="36" t="s">
        <v>72</v>
      </c>
      <c r="B30" s="21"/>
      <c r="C30" s="22"/>
      <c r="D30" s="30"/>
      <c r="E30" s="32"/>
      <c r="F30" s="33">
        <f>F11+F15+F27+F29</f>
        <v>578500.69999999995</v>
      </c>
      <c r="G30" s="33"/>
      <c r="H30" s="33">
        <f>H11+H15+H27+H29</f>
        <v>2050876.7</v>
      </c>
      <c r="I30" s="32"/>
      <c r="J30" s="33">
        <f>J11+J15+J27+J29</f>
        <v>0</v>
      </c>
      <c r="K30" s="32"/>
      <c r="L30" s="33">
        <f>L11+L15+L27+L29</f>
        <v>0</v>
      </c>
      <c r="M30" s="32"/>
      <c r="N30" s="33">
        <f>N11+N15+N27+N29</f>
        <v>2629377.4</v>
      </c>
      <c r="O30" s="32"/>
    </row>
  </sheetData>
  <mergeCells count="20">
    <mergeCell ref="A23:A24"/>
    <mergeCell ref="A25:A26"/>
    <mergeCell ref="A5:A10"/>
    <mergeCell ref="O5:O10"/>
    <mergeCell ref="A12:A14"/>
    <mergeCell ref="O12:O14"/>
    <mergeCell ref="A18:A19"/>
    <mergeCell ref="A20:A21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>
      <c r="A2" s="39" t="str">
        <f>'내역서(표준단가)'!A5</f>
        <v>M020853710050101</v>
      </c>
      <c r="B2" s="40">
        <f>'내역서(표준단가)'!B5</f>
        <v>0</v>
      </c>
      <c r="C2" s="40">
        <f>'내역서(표준단가)'!C5</f>
        <v>0</v>
      </c>
      <c r="D2" s="40" t="str">
        <f>'내역서(표준단가)'!D5</f>
        <v>M020853710050101</v>
      </c>
      <c r="E2" s="40">
        <f>'내역서(표준단가)'!E5</f>
        <v>0</v>
      </c>
      <c r="F2" s="48">
        <f>'내역서(표준단가)'!I5</f>
        <v>8.4789999999999992</v>
      </c>
    </row>
    <row r="3" spans="1:6">
      <c r="A3" s="39" t="str">
        <f>'내역서(표준단가)'!A6</f>
        <v>E00000803071260301</v>
      </c>
      <c r="B3" s="40">
        <f>'내역서(표준단가)'!B6</f>
        <v>0</v>
      </c>
      <c r="C3" s="40" t="str">
        <f>'내역서(표준단가)'!C6</f>
        <v>E00000803071260301</v>
      </c>
      <c r="D3" s="40">
        <f>'내역서(표준단가)'!D6</f>
        <v>0</v>
      </c>
      <c r="E3" s="40">
        <f>'내역서(표준단가)'!E6</f>
        <v>0</v>
      </c>
      <c r="F3" s="48">
        <f>'내역서(표준단가)'!I6</f>
        <v>1.978</v>
      </c>
    </row>
    <row r="4" spans="1:6">
      <c r="A4" s="39" t="str">
        <f>'내역서(표준단가)'!A7</f>
        <v>E00000803071260301</v>
      </c>
      <c r="B4" s="40">
        <f>'내역서(표준단가)'!B7</f>
        <v>0</v>
      </c>
      <c r="C4" s="40" t="str">
        <f>'내역서(표준단가)'!C7</f>
        <v>E00000803071260301</v>
      </c>
      <c r="D4" s="40">
        <f>'내역서(표준단가)'!D7</f>
        <v>0</v>
      </c>
      <c r="E4" s="40">
        <f>'내역서(표준단가)'!E7</f>
        <v>0</v>
      </c>
      <c r="F4" s="48">
        <f>'내역서(표준단가)'!I7</f>
        <v>1.4</v>
      </c>
    </row>
    <row r="5" spans="1:6">
      <c r="A5" s="39" t="str">
        <f>'내역서(표준단가)'!A8</f>
        <v>M020809012520101</v>
      </c>
      <c r="B5" s="40">
        <f>'내역서(표준단가)'!B8</f>
        <v>0</v>
      </c>
      <c r="C5" s="40">
        <f>'내역서(표준단가)'!C8</f>
        <v>0</v>
      </c>
      <c r="D5" s="40" t="str">
        <f>'내역서(표준단가)'!D8</f>
        <v>M020809012520101</v>
      </c>
      <c r="E5" s="40">
        <f>'내역서(표준단가)'!E8</f>
        <v>0</v>
      </c>
      <c r="F5" s="48">
        <f>'내역서(표준단가)'!I8</f>
        <v>39.6</v>
      </c>
    </row>
    <row r="6" spans="1:6">
      <c r="A6" s="39" t="str">
        <f>'내역서(표준단가)'!A9</f>
        <v>E00000803071260401</v>
      </c>
      <c r="B6" s="40">
        <f>'내역서(표준단가)'!B9</f>
        <v>0</v>
      </c>
      <c r="C6" s="40" t="str">
        <f>'내역서(표준단가)'!C9</f>
        <v>E00000803071260401</v>
      </c>
      <c r="D6" s="40">
        <f>'내역서(표준단가)'!D9</f>
        <v>0</v>
      </c>
      <c r="E6" s="40">
        <f>'내역서(표준단가)'!E9</f>
        <v>0</v>
      </c>
      <c r="F6" s="48">
        <f>'내역서(표준단가)'!I9</f>
        <v>0.64900000000000002</v>
      </c>
    </row>
    <row r="7" spans="1:6">
      <c r="A7" s="39" t="str">
        <f>'내역서(표준단가)'!A10</f>
        <v>E00000801011510701</v>
      </c>
      <c r="B7" s="40">
        <f>'내역서(표준단가)'!B10</f>
        <v>0</v>
      </c>
      <c r="C7" s="40" t="str">
        <f>'내역서(표준단가)'!C10</f>
        <v>E00000801011510701</v>
      </c>
      <c r="D7" s="40">
        <f>'내역서(표준단가)'!D10</f>
        <v>0</v>
      </c>
      <c r="E7" s="40">
        <f>'내역서(표준단가)'!E10</f>
        <v>0</v>
      </c>
      <c r="F7" s="48">
        <f>'내역서(표준단가)'!I10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2026-04-06T01:34:55Z</dcterms:modified>
</cp:coreProperties>
</file>
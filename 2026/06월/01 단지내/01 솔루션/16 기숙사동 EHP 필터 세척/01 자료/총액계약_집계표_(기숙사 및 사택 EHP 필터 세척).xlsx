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19\03 당사안\"/>
    </mc:Choice>
  </mc:AlternateContent>
  <xr:revisionPtr revIDLastSave="0" documentId="13_ncr:1_{0A52A042-8ED9-420A-9750-E5188D2EA93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LGES AB_3동 기숙사" sheetId="4" r:id="rId1"/>
    <sheet name="LGES_ 공용부 기숙 및 사택" sheetId="5" r:id="rId2"/>
    <sheet name="LG 사택 어린이집(오버홀)" sheetId="2" r:id="rId3"/>
    <sheet name="화학_AB_3동 기숙사" sheetId="3" r:id="rId4"/>
  </sheets>
  <externalReferences>
    <externalReference r:id="rId5"/>
  </externalReferences>
  <definedNames>
    <definedName name="_xlnm.Print_Area" localSheetId="2">'LG 사택 어린이집(오버홀)'!$A$1:$O$46</definedName>
    <definedName name="_xlnm.Print_Area" localSheetId="0">'LGES AB_3동 기숙사'!$A$1:$O$46</definedName>
    <definedName name="_xlnm.Print_Area" localSheetId="1">'LGES_ 공용부 기숙 및 사택'!$A$1:$O$46</definedName>
    <definedName name="_xlnm.Print_Area" localSheetId="3">'화학_AB_3동 기숙사'!$A$1:$O$46</definedName>
    <definedName name="가입기간" localSheetId="2">#REF!</definedName>
    <definedName name="가입기간" localSheetId="0">#REF!</definedName>
    <definedName name="가입기간" localSheetId="1">#REF!</definedName>
    <definedName name="가입기간" localSheetId="3">#REF!</definedName>
    <definedName name="가입기간">#REF!</definedName>
    <definedName name="가입기간1" localSheetId="2">#REF!</definedName>
    <definedName name="가입기간1" localSheetId="0">#REF!</definedName>
    <definedName name="가입기간1" localSheetId="1">#REF!</definedName>
    <definedName name="가입기간1" localSheetId="3">#REF!</definedName>
    <definedName name="가입기간1">#REF!</definedName>
    <definedName name="계좌" localSheetId="2">#REF!</definedName>
    <definedName name="계좌" localSheetId="0">#REF!</definedName>
    <definedName name="계좌" localSheetId="1">#REF!</definedName>
    <definedName name="계좌" localSheetId="3">#REF!</definedName>
    <definedName name="계좌">#REF!</definedName>
    <definedName name="계좌1" localSheetId="2">#REF!</definedName>
    <definedName name="계좌1" localSheetId="0">#REF!</definedName>
    <definedName name="계좌1" localSheetId="1">#REF!</definedName>
    <definedName name="계좌1" localSheetId="3">#REF!</definedName>
    <definedName name="계좌1">#REF!</definedName>
    <definedName name="고객담당자" localSheetId="2">#REF!</definedName>
    <definedName name="고객담당자" localSheetId="0">#REF!</definedName>
    <definedName name="고객담당자" localSheetId="1">#REF!</definedName>
    <definedName name="고객담당자" localSheetId="3">#REF!</definedName>
    <definedName name="고객담당자">#REF!</definedName>
    <definedName name="고객담당자1" localSheetId="2">#REF!</definedName>
    <definedName name="고객담당자1" localSheetId="0">#REF!</definedName>
    <definedName name="고객담당자1" localSheetId="1">#REF!</definedName>
    <definedName name="고객담당자1" localSheetId="3">#REF!</definedName>
    <definedName name="고객담당자1">#REF!</definedName>
    <definedName name="기간기준" localSheetId="2">#REF!</definedName>
    <definedName name="기간기준" localSheetId="0">#REF!</definedName>
    <definedName name="기간기준" localSheetId="1">#REF!</definedName>
    <definedName name="기간기준" localSheetId="3">#REF!</definedName>
    <definedName name="기간기준">#REF!</definedName>
    <definedName name="납부방법">[1]상품계산기!$J$46:$K$47</definedName>
    <definedName name="멤버쉽대분류" localSheetId="2">#REF!</definedName>
    <definedName name="멤버쉽대분류" localSheetId="0">#REF!</definedName>
    <definedName name="멤버쉽대분류" localSheetId="1">#REF!</definedName>
    <definedName name="멤버쉽대분류" localSheetId="3">#REF!</definedName>
    <definedName name="멤버쉽대분류">#REF!</definedName>
    <definedName name="멤버쉽상품" localSheetId="2">#REF!</definedName>
    <definedName name="멤버쉽상품" localSheetId="0">#REF!</definedName>
    <definedName name="멤버쉽상품" localSheetId="1">#REF!</definedName>
    <definedName name="멤버쉽상품" localSheetId="3">#REF!</definedName>
    <definedName name="멤버쉽상품">#REF!</definedName>
    <definedName name="멤버쉽상품1" localSheetId="2">#REF!</definedName>
    <definedName name="멤버쉽상품1" localSheetId="0">#REF!</definedName>
    <definedName name="멤버쉽상품1" localSheetId="1">#REF!</definedName>
    <definedName name="멤버쉽상품1" localSheetId="3">#REF!</definedName>
    <definedName name="멤버쉽상품1">#REF!</definedName>
    <definedName name="멤버쉽상품3" localSheetId="2">#REF!</definedName>
    <definedName name="멤버쉽상품3" localSheetId="0">#REF!</definedName>
    <definedName name="멤버쉽상품3" localSheetId="1">#REF!</definedName>
    <definedName name="멤버쉽상품3" localSheetId="3">#REF!</definedName>
    <definedName name="멤버쉽상품3">#REF!</definedName>
    <definedName name="멤버쉽상품4" localSheetId="2">#REF!</definedName>
    <definedName name="멤버쉽상품4" localSheetId="0">#REF!</definedName>
    <definedName name="멤버쉽상품4" localSheetId="1">#REF!</definedName>
    <definedName name="멤버쉽상품4" localSheetId="3">#REF!</definedName>
    <definedName name="멤버쉽상품4">#REF!</definedName>
    <definedName name="설치기간" localSheetId="2">#REF!</definedName>
    <definedName name="설치기간" localSheetId="0">#REF!</definedName>
    <definedName name="설치기간" localSheetId="1">#REF!</definedName>
    <definedName name="설치기간" localSheetId="3">#REF!</definedName>
    <definedName name="설치기간">#REF!</definedName>
    <definedName name="설치기간1" localSheetId="2">#REF!</definedName>
    <definedName name="설치기간1" localSheetId="0">#REF!</definedName>
    <definedName name="설치기간1" localSheetId="1">#REF!</definedName>
    <definedName name="설치기간1" localSheetId="3">#REF!</definedName>
    <definedName name="설치기간1">#REF!</definedName>
    <definedName name="세척1" localSheetId="2">#REF!</definedName>
    <definedName name="세척1" localSheetId="0">#REF!</definedName>
    <definedName name="세척1" localSheetId="1">#REF!</definedName>
    <definedName name="세척1" localSheetId="3">#REF!</definedName>
    <definedName name="세척1">#REF!</definedName>
    <definedName name="세척2" localSheetId="2">#REF!</definedName>
    <definedName name="세척2" localSheetId="0">#REF!</definedName>
    <definedName name="세척2" localSheetId="1">#REF!</definedName>
    <definedName name="세척2" localSheetId="3">#REF!</definedName>
    <definedName name="세척2">#REF!</definedName>
    <definedName name="세척3" localSheetId="2">#REF!</definedName>
    <definedName name="세척3" localSheetId="0">#REF!</definedName>
    <definedName name="세척3" localSheetId="1">#REF!</definedName>
    <definedName name="세척3" localSheetId="3">#REF!</definedName>
    <definedName name="세척3">#REF!</definedName>
    <definedName name="연락처5">[1]상품계산기!$F$96:$T$107</definedName>
    <definedName name="월간할인율" localSheetId="2">#REF!</definedName>
    <definedName name="월간할인율" localSheetId="0">#REF!</definedName>
    <definedName name="월간할인율" localSheetId="1">#REF!</definedName>
    <definedName name="월간할인율" localSheetId="3">#REF!</definedName>
    <definedName name="월간할인율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5" l="1"/>
  <c r="K28" i="5"/>
  <c r="K27" i="5"/>
  <c r="K26" i="5"/>
  <c r="K25" i="5"/>
  <c r="K20" i="5"/>
  <c r="E13" i="5"/>
  <c r="K13" i="5" s="1"/>
  <c r="C7" i="5" s="1"/>
  <c r="B13" i="5"/>
  <c r="K31" i="4" l="1"/>
  <c r="E13" i="4" s="1"/>
  <c r="K13" i="4" s="1"/>
  <c r="C7" i="4" s="1"/>
  <c r="K27" i="4"/>
  <c r="K26" i="4"/>
  <c r="K25" i="4"/>
  <c r="K20" i="4"/>
  <c r="B13" i="4"/>
  <c r="K31" i="3"/>
  <c r="E13" i="3" s="1"/>
  <c r="K13" i="3" s="1"/>
  <c r="C7" i="3" s="1"/>
  <c r="K26" i="3"/>
  <c r="K25" i="3"/>
  <c r="K20" i="3"/>
  <c r="B13" i="3"/>
  <c r="K26" i="2" l="1"/>
  <c r="K25" i="2"/>
  <c r="K31" i="2" s="1"/>
  <c r="E13" i="2" s="1"/>
  <c r="K20" i="2"/>
  <c r="B13" i="2"/>
  <c r="K13" i="2" l="1"/>
  <c r="C7" i="2" s="1"/>
</calcChain>
</file>

<file path=xl/sharedStrings.xml><?xml version="1.0" encoding="utf-8"?>
<sst xmlns="http://schemas.openxmlformats.org/spreadsheetml/2006/main" count="346" uniqueCount="82">
  <si>
    <t>LG 시스템 냉난방기 세척 견적서</t>
    <phoneticPr fontId="4" type="noConversion"/>
  </si>
  <si>
    <t xml:space="preserve">LG 사택 어린이집 貴中 </t>
    <phoneticPr fontId="8" type="noConversion"/>
  </si>
  <si>
    <t>등록번호</t>
    <phoneticPr fontId="4" type="noConversion"/>
  </si>
  <si>
    <t>106-86-40809</t>
    <phoneticPr fontId="4" type="noConversion"/>
  </si>
  <si>
    <t>견적일자</t>
    <phoneticPr fontId="8" type="noConversion"/>
  </si>
  <si>
    <t>상호</t>
    <phoneticPr fontId="4" type="noConversion"/>
  </si>
  <si>
    <t>하이엠솔루텍㈜</t>
    <phoneticPr fontId="4" type="noConversion"/>
  </si>
  <si>
    <t>대표자</t>
    <phoneticPr fontId="4" type="noConversion"/>
  </si>
  <si>
    <t xml:space="preserve">    유  광  열</t>
    <phoneticPr fontId="4" type="noConversion"/>
  </si>
  <si>
    <t>계약조건</t>
    <phoneticPr fontId="8" type="noConversion"/>
  </si>
  <si>
    <t>실내기 필터 세척</t>
    <phoneticPr fontId="8" type="noConversion"/>
  </si>
  <si>
    <t>사업장
주소</t>
    <phoneticPr fontId="4" type="noConversion"/>
  </si>
  <si>
    <t>서울특별시 강서구 마곡중앙5로 18, 10, 11층(메이플레이스빌딩)</t>
    <phoneticPr fontId="4" type="noConversion"/>
  </si>
  <si>
    <t>견적유효일</t>
    <phoneticPr fontId="8" type="noConversion"/>
  </si>
  <si>
    <t>작성일로 부터 30일</t>
    <phoneticPr fontId="8" type="noConversion"/>
  </si>
  <si>
    <t xml:space="preserve">견적금액 </t>
    <phoneticPr fontId="8" type="noConversion"/>
  </si>
  <si>
    <t xml:space="preserve"> </t>
  </si>
  <si>
    <t>업태</t>
    <phoneticPr fontId="4" type="noConversion"/>
  </si>
  <si>
    <t>서비스 외</t>
    <phoneticPr fontId="4" type="noConversion"/>
  </si>
  <si>
    <t>종목</t>
    <phoneticPr fontId="4" type="noConversion"/>
  </si>
  <si>
    <t>전기,전자기기수리, 에어컨세척</t>
    <phoneticPr fontId="4" type="noConversion"/>
  </si>
  <si>
    <t>(VAT별도)</t>
    <phoneticPr fontId="8" type="noConversion"/>
  </si>
  <si>
    <t>전화</t>
    <phoneticPr fontId="4" type="noConversion"/>
  </si>
  <si>
    <t>010-7936-0968</t>
    <phoneticPr fontId="4" type="noConversion"/>
  </si>
  <si>
    <t>팩스</t>
    <phoneticPr fontId="4" type="noConversion"/>
  </si>
  <si>
    <t>042-486-4116</t>
    <phoneticPr fontId="4" type="noConversion"/>
  </si>
  <si>
    <t xml:space="preserve">  아래와 같이 시스템에어컨 유지보수에 대한 상세내역을 제출합니다.</t>
    <phoneticPr fontId="4" type="noConversion"/>
  </si>
  <si>
    <t>VAT별도</t>
    <phoneticPr fontId="8" type="noConversion"/>
  </si>
  <si>
    <t>구분</t>
    <phoneticPr fontId="8" type="noConversion"/>
  </si>
  <si>
    <t>부품 견적액</t>
    <phoneticPr fontId="8" type="noConversion"/>
  </si>
  <si>
    <t>세척견적액</t>
    <phoneticPr fontId="8" type="noConversion"/>
  </si>
  <si>
    <t>절사금액</t>
    <phoneticPr fontId="8" type="noConversion"/>
  </si>
  <si>
    <t>총 견적금액</t>
    <phoneticPr fontId="8" type="noConversion"/>
  </si>
  <si>
    <t>금액</t>
    <phoneticPr fontId="8" type="noConversion"/>
  </si>
  <si>
    <t>Ⅰ. 부품 견적내역</t>
    <phoneticPr fontId="8" type="noConversion"/>
  </si>
  <si>
    <t>NO</t>
    <phoneticPr fontId="8" type="noConversion"/>
  </si>
  <si>
    <t>상세 내역</t>
    <phoneticPr fontId="4" type="noConversion"/>
  </si>
  <si>
    <t>수  량</t>
    <phoneticPr fontId="8" type="noConversion"/>
  </si>
  <si>
    <t>기  준</t>
    <phoneticPr fontId="8" type="noConversion"/>
  </si>
  <si>
    <t>단가</t>
    <phoneticPr fontId="8" type="noConversion"/>
  </si>
  <si>
    <t>총금액</t>
    <phoneticPr fontId="8" type="noConversion"/>
  </si>
  <si>
    <t>비   고</t>
    <phoneticPr fontId="8" type="noConversion"/>
  </si>
  <si>
    <t>합  계</t>
    <phoneticPr fontId="19" type="noConversion"/>
  </si>
  <si>
    <t>Ⅱ. 세척 견적내역</t>
    <phoneticPr fontId="8" type="noConversion"/>
  </si>
  <si>
    <t>NO</t>
    <phoneticPr fontId="8" type="noConversion"/>
  </si>
  <si>
    <t>세척 내역</t>
    <phoneticPr fontId="4" type="noConversion"/>
  </si>
  <si>
    <t>수  량</t>
    <phoneticPr fontId="8" type="noConversion"/>
  </si>
  <si>
    <t>횟 수</t>
    <phoneticPr fontId="8" type="noConversion"/>
  </si>
  <si>
    <t>단가</t>
    <phoneticPr fontId="8" type="noConversion"/>
  </si>
  <si>
    <t>HIM-C4_1/2WAY</t>
    <phoneticPr fontId="19" type="noConversion"/>
  </si>
  <si>
    <t>1회</t>
    <phoneticPr fontId="19" type="noConversion"/>
  </si>
  <si>
    <t>HIM-C4_4WAY</t>
    <phoneticPr fontId="19" type="noConversion"/>
  </si>
  <si>
    <t>합  계</t>
    <phoneticPr fontId="8" type="noConversion"/>
  </si>
  <si>
    <t>특이사항</t>
    <phoneticPr fontId="8" type="noConversion"/>
  </si>
  <si>
    <t xml:space="preserve">
- 시스템에어컨 전용 세척제 및 전용 세척장비 사용
- 작업전 사용 약품의 MSDS 제출</t>
    <phoneticPr fontId="19" type="noConversion"/>
  </si>
  <si>
    <t>보험조건 :</t>
    <phoneticPr fontId="8" type="noConversion"/>
  </si>
  <si>
    <t>해당없음</t>
  </si>
  <si>
    <t>•가입기간 :</t>
  </si>
  <si>
    <t>신규</t>
  </si>
  <si>
    <t>•사용기간 :</t>
  </si>
  <si>
    <t>년차</t>
    <phoneticPr fontId="8" type="noConversion"/>
  </si>
  <si>
    <t>우리은행 :</t>
  </si>
  <si>
    <t xml:space="preserve"> 1005-501-085730</t>
    <phoneticPr fontId="8" type="noConversion"/>
  </si>
  <si>
    <t>하이엠솔루텍㈜</t>
  </si>
  <si>
    <t>•SE :</t>
    <phoneticPr fontId="8" type="noConversion"/>
  </si>
  <si>
    <t>•계산기 :</t>
  </si>
  <si>
    <t>• 분할기간:</t>
  </si>
  <si>
    <t>일시불</t>
    <phoneticPr fontId="8" type="noConversion"/>
  </si>
  <si>
    <t>고객담당자  :</t>
    <phoneticPr fontId="8" type="noConversion"/>
  </si>
  <si>
    <t>김인호</t>
    <phoneticPr fontId="8" type="noConversion"/>
  </si>
  <si>
    <t>연락처 :</t>
    <phoneticPr fontId="8" type="noConversion"/>
  </si>
  <si>
    <t>S.P :</t>
    <phoneticPr fontId="8" type="noConversion"/>
  </si>
  <si>
    <t>010-7936-0968</t>
    <phoneticPr fontId="8" type="noConversion"/>
  </si>
  <si>
    <t>Fax :</t>
    <phoneticPr fontId="8" type="noConversion"/>
  </si>
  <si>
    <t>042-486-4116</t>
    <phoneticPr fontId="8" type="noConversion"/>
  </si>
  <si>
    <t xml:space="preserve">LGC A,B,3동 기숙사 貴中 </t>
    <phoneticPr fontId="8" type="noConversion"/>
  </si>
  <si>
    <t>HIM-C1_1/2WAY</t>
    <phoneticPr fontId="19" type="noConversion"/>
  </si>
  <si>
    <t>HIM-C1_4WAY</t>
    <phoneticPr fontId="19" type="noConversion"/>
  </si>
  <si>
    <t xml:space="preserve">LGES A,B,3동 기숙사 貴中 </t>
    <phoneticPr fontId="8" type="noConversion"/>
  </si>
  <si>
    <t>HIM-C1_스텐드</t>
    <phoneticPr fontId="19" type="noConversion"/>
  </si>
  <si>
    <t xml:space="preserve">LG 사택 공용부 貴中 </t>
    <phoneticPr fontId="8" type="noConversion"/>
  </si>
  <si>
    <t>HIM-C1_벽걸이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</si>
</sst>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0.0%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41" fontId="5" fillId="0" borderId="0" xfId="2" applyFont="1">
      <alignment vertical="center"/>
    </xf>
    <xf numFmtId="0" fontId="6" fillId="2" borderId="4" xfId="1" applyFont="1" applyFill="1" applyBorder="1">
      <alignment vertical="center"/>
    </xf>
    <xf numFmtId="0" fontId="6" fillId="2" borderId="0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9" fillId="2" borderId="0" xfId="1" applyFont="1" applyFill="1" applyBorder="1">
      <alignment vertical="center"/>
    </xf>
    <xf numFmtId="0" fontId="9" fillId="2" borderId="9" xfId="1" applyFont="1" applyFill="1" applyBorder="1" applyAlignment="1">
      <alignment horizontal="center" vertical="center"/>
    </xf>
    <xf numFmtId="0" fontId="11" fillId="2" borderId="0" xfId="1" applyFont="1" applyFill="1" applyBorder="1">
      <alignment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31" fontId="11" fillId="2" borderId="4" xfId="1" applyNumberFormat="1" applyFont="1" applyFill="1" applyBorder="1" applyAlignment="1">
      <alignment vertical="center"/>
    </xf>
    <xf numFmtId="31" fontId="11" fillId="2" borderId="0" xfId="1" applyNumberFormat="1" applyFont="1" applyFill="1" applyBorder="1" applyAlignment="1">
      <alignment vertical="center"/>
    </xf>
    <xf numFmtId="42" fontId="11" fillId="2" borderId="0" xfId="1" applyNumberFormat="1" applyFont="1" applyFill="1" applyBorder="1" applyAlignment="1">
      <alignment vertical="center"/>
    </xf>
    <xf numFmtId="41" fontId="11" fillId="2" borderId="0" xfId="1" applyNumberFormat="1" applyFont="1" applyFill="1" applyBorder="1" applyAlignment="1">
      <alignment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31" fontId="9" fillId="2" borderId="4" xfId="1" applyNumberFormat="1" applyFont="1" applyFill="1" applyBorder="1" applyAlignment="1">
      <alignment horizontal="left" vertical="center"/>
    </xf>
    <xf numFmtId="31" fontId="11" fillId="2" borderId="0" xfId="1" applyNumberFormat="1" applyFont="1" applyFill="1" applyBorder="1" applyAlignment="1">
      <alignment horizontal="left" vertical="center"/>
    </xf>
    <xf numFmtId="31" fontId="10" fillId="3" borderId="26" xfId="1" applyNumberFormat="1" applyFont="1" applyFill="1" applyBorder="1" applyAlignment="1">
      <alignment horizontal="center" vertical="center"/>
    </xf>
    <xf numFmtId="31" fontId="9" fillId="2" borderId="31" xfId="1" applyNumberFormat="1" applyFont="1" applyFill="1" applyBorder="1" applyAlignment="1">
      <alignment horizontal="center" vertical="center"/>
    </xf>
    <xf numFmtId="31" fontId="10" fillId="2" borderId="4" xfId="1" applyNumberFormat="1" applyFont="1" applyFill="1" applyBorder="1" applyAlignment="1">
      <alignment horizontal="left" vertical="center"/>
    </xf>
    <xf numFmtId="0" fontId="9" fillId="3" borderId="37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center" vertical="center"/>
    </xf>
    <xf numFmtId="41" fontId="6" fillId="2" borderId="47" xfId="2" applyFont="1" applyFill="1" applyBorder="1" applyAlignment="1">
      <alignment horizontal="center" vertical="center"/>
    </xf>
    <xf numFmtId="41" fontId="6" fillId="2" borderId="47" xfId="2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18" fillId="2" borderId="43" xfId="1" applyFont="1" applyFill="1" applyBorder="1" applyAlignment="1">
      <alignment horizontal="center" vertical="center"/>
    </xf>
    <xf numFmtId="0" fontId="18" fillId="2" borderId="47" xfId="2" applyNumberFormat="1" applyFont="1" applyFill="1" applyBorder="1" applyAlignment="1">
      <alignment horizontal="center" vertical="center"/>
    </xf>
    <xf numFmtId="41" fontId="18" fillId="2" borderId="47" xfId="2" applyFont="1" applyFill="1" applyBorder="1" applyAlignment="1">
      <alignment horizontal="center" vertical="center"/>
    </xf>
    <xf numFmtId="41" fontId="6" fillId="2" borderId="49" xfId="2" applyFont="1" applyFill="1" applyBorder="1" applyAlignment="1">
      <alignment horizontal="center" vertical="center"/>
    </xf>
    <xf numFmtId="41" fontId="6" fillId="2" borderId="54" xfId="2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vertical="center"/>
    </xf>
    <xf numFmtId="0" fontId="11" fillId="2" borderId="0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6" fillId="2" borderId="56" xfId="1" applyFont="1" applyFill="1" applyBorder="1" applyAlignment="1">
      <alignment horizontal="center" vertical="center"/>
    </xf>
    <xf numFmtId="0" fontId="6" fillId="2" borderId="49" xfId="2" applyNumberFormat="1" applyFont="1" applyFill="1" applyBorder="1" applyAlignment="1">
      <alignment horizontal="center" vertical="center"/>
    </xf>
    <xf numFmtId="0" fontId="6" fillId="2" borderId="57" xfId="2" applyNumberFormat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15" xfId="2" applyNumberFormat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1" fillId="2" borderId="4" xfId="1" applyFont="1" applyFill="1" applyBorder="1">
      <alignment vertical="center"/>
    </xf>
    <xf numFmtId="0" fontId="11" fillId="2" borderId="6" xfId="1" applyFont="1" applyFill="1" applyBorder="1">
      <alignment vertical="center"/>
    </xf>
    <xf numFmtId="41" fontId="0" fillId="0" borderId="0" xfId="2" applyFont="1">
      <alignment vertical="center"/>
    </xf>
    <xf numFmtId="0" fontId="6" fillId="2" borderId="4" xfId="1" applyFont="1" applyFill="1" applyBorder="1" applyAlignment="1">
      <alignment horizontal="left" vertical="center" wrapText="1"/>
    </xf>
    <xf numFmtId="9" fontId="11" fillId="2" borderId="0" xfId="5" applyFont="1" applyFill="1" applyBorder="1" applyAlignment="1">
      <alignment horizontal="right" vertical="center" wrapText="1"/>
    </xf>
    <xf numFmtId="9" fontId="11" fillId="2" borderId="0" xfId="5" applyFont="1" applyFill="1" applyBorder="1" applyAlignment="1">
      <alignment horizontal="center" vertical="center" wrapText="1"/>
    </xf>
    <xf numFmtId="177" fontId="11" fillId="2" borderId="0" xfId="5" applyNumberFormat="1" applyFont="1" applyFill="1" applyBorder="1" applyAlignment="1">
      <alignment horizontal="center" vertical="center" wrapText="1"/>
    </xf>
    <xf numFmtId="9" fontId="11" fillId="2" borderId="6" xfId="5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24" fillId="2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1" fillId="2" borderId="60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25" xfId="1" applyFont="1" applyFill="1" applyBorder="1">
      <alignment vertical="center"/>
    </xf>
    <xf numFmtId="0" fontId="6" fillId="2" borderId="0" xfId="1" applyFont="1" applyFill="1">
      <alignment vertical="center"/>
    </xf>
    <xf numFmtId="0" fontId="9" fillId="2" borderId="0" xfId="1" applyFont="1" applyFill="1">
      <alignment vertical="center"/>
    </xf>
    <xf numFmtId="0" fontId="11" fillId="2" borderId="0" xfId="1" applyFont="1" applyFill="1">
      <alignment vertical="center"/>
    </xf>
    <xf numFmtId="31" fontId="11" fillId="2" borderId="4" xfId="1" applyNumberFormat="1" applyFont="1" applyFill="1" applyBorder="1">
      <alignment vertical="center"/>
    </xf>
    <xf numFmtId="31" fontId="11" fillId="2" borderId="0" xfId="1" applyNumberFormat="1" applyFont="1" applyFill="1">
      <alignment vertical="center"/>
    </xf>
    <xf numFmtId="42" fontId="11" fillId="2" borderId="0" xfId="1" applyNumberFormat="1" applyFont="1" applyFill="1">
      <alignment vertical="center"/>
    </xf>
    <xf numFmtId="41" fontId="11" fillId="2" borderId="0" xfId="1" applyNumberFormat="1" applyFont="1" applyFill="1">
      <alignment vertical="center"/>
    </xf>
    <xf numFmtId="0" fontId="11" fillId="2" borderId="0" xfId="1" applyFont="1" applyFill="1" applyAlignment="1">
      <alignment horizontal="center" vertical="center"/>
    </xf>
    <xf numFmtId="31" fontId="11" fillId="2" borderId="0" xfId="1" applyNumberFormat="1" applyFont="1" applyFill="1" applyAlignment="1">
      <alignment horizontal="left" vertical="center"/>
    </xf>
    <xf numFmtId="0" fontId="10" fillId="2" borderId="4" xfId="1" applyFont="1" applyFill="1" applyBorder="1">
      <alignment vertical="center"/>
    </xf>
    <xf numFmtId="0" fontId="6" fillId="2" borderId="0" xfId="1" applyFont="1" applyFill="1" applyAlignment="1">
      <alignment vertical="center" wrapText="1"/>
    </xf>
    <xf numFmtId="0" fontId="6" fillId="2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24" fillId="2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3" borderId="61" xfId="1" applyFont="1" applyFill="1" applyBorder="1" applyAlignment="1">
      <alignment horizontal="center" vertical="center" wrapText="1"/>
    </xf>
    <xf numFmtId="0" fontId="6" fillId="3" borderId="62" xfId="1" applyFont="1" applyFill="1" applyBorder="1" applyAlignment="1">
      <alignment horizontal="center" vertical="center" wrapText="1"/>
    </xf>
    <xf numFmtId="0" fontId="5" fillId="4" borderId="63" xfId="1" applyFont="1" applyFill="1" applyBorder="1" applyAlignment="1">
      <alignment horizontal="center" vertical="center"/>
    </xf>
    <xf numFmtId="0" fontId="5" fillId="4" borderId="64" xfId="1" applyFont="1" applyFill="1" applyBorder="1" applyAlignment="1">
      <alignment horizontal="center" vertical="center"/>
    </xf>
    <xf numFmtId="0" fontId="5" fillId="4" borderId="65" xfId="1" applyFont="1" applyFill="1" applyBorder="1" applyAlignment="1">
      <alignment horizontal="center" vertical="center"/>
    </xf>
    <xf numFmtId="0" fontId="5" fillId="4" borderId="6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 shrinkToFit="1"/>
    </xf>
    <xf numFmtId="0" fontId="6" fillId="2" borderId="13" xfId="1" applyFont="1" applyFill="1" applyBorder="1" applyAlignment="1">
      <alignment horizontal="center" vertical="center" shrinkToFit="1"/>
    </xf>
    <xf numFmtId="0" fontId="6" fillId="2" borderId="52" xfId="1" applyFont="1" applyFill="1" applyBorder="1" applyAlignment="1">
      <alignment horizontal="center" vertical="center" shrinkToFit="1"/>
    </xf>
    <xf numFmtId="41" fontId="6" fillId="2" borderId="47" xfId="2" applyFont="1" applyFill="1" applyBorder="1" applyAlignment="1">
      <alignment horizontal="center" vertical="center"/>
    </xf>
    <xf numFmtId="41" fontId="6" fillId="2" borderId="8" xfId="2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10" fillId="3" borderId="52" xfId="1" applyFont="1" applyFill="1" applyBorder="1" applyAlignment="1">
      <alignment horizontal="center" vertical="center"/>
    </xf>
    <xf numFmtId="0" fontId="16" fillId="0" borderId="14" xfId="1" applyFont="1" applyBorder="1" applyAlignment="1">
      <alignment horizontal="left" vertical="top" wrapText="1"/>
    </xf>
    <xf numFmtId="0" fontId="16" fillId="0" borderId="15" xfId="1" applyFont="1" applyBorder="1" applyAlignment="1">
      <alignment horizontal="left" vertical="top" wrapText="1"/>
    </xf>
    <xf numFmtId="0" fontId="16" fillId="0" borderId="16" xfId="1" applyFont="1" applyBorder="1" applyAlignment="1">
      <alignment horizontal="left" vertical="top" wrapText="1"/>
    </xf>
    <xf numFmtId="0" fontId="16" fillId="0" borderId="17" xfId="1" applyFont="1" applyBorder="1" applyAlignment="1">
      <alignment horizontal="left" vertical="top" wrapText="1"/>
    </xf>
    <xf numFmtId="0" fontId="23" fillId="0" borderId="18" xfId="4" applyFont="1" applyFill="1" applyBorder="1" applyAlignment="1" applyProtection="1">
      <alignment horizontal="left" vertical="center" wrapText="1"/>
    </xf>
    <xf numFmtId="0" fontId="18" fillId="0" borderId="13" xfId="1" applyFont="1" applyBorder="1" applyAlignment="1">
      <alignment horizontal="left" vertical="center" wrapText="1"/>
    </xf>
    <xf numFmtId="0" fontId="18" fillId="0" borderId="55" xfId="1" applyFont="1" applyBorder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11" fillId="2" borderId="0" xfId="1" applyFont="1" applyFill="1" applyAlignment="1">
      <alignment horizontal="right" vertical="center" wrapText="1"/>
    </xf>
    <xf numFmtId="0" fontId="6" fillId="2" borderId="57" xfId="1" applyFont="1" applyFill="1" applyBorder="1" applyAlignment="1">
      <alignment horizontal="center" vertical="center" shrinkToFit="1"/>
    </xf>
    <xf numFmtId="41" fontId="18" fillId="0" borderId="16" xfId="2" applyFont="1" applyBorder="1" applyAlignment="1">
      <alignment horizontal="right" vertical="center"/>
    </xf>
    <xf numFmtId="41" fontId="18" fillId="0" borderId="52" xfId="2" applyFont="1" applyBorder="1" applyAlignment="1">
      <alignment horizontal="right" vertical="center"/>
    </xf>
    <xf numFmtId="41" fontId="18" fillId="2" borderId="49" xfId="2" applyFont="1" applyFill="1" applyBorder="1" applyAlignment="1">
      <alignment horizontal="center" vertical="center"/>
    </xf>
    <xf numFmtId="41" fontId="6" fillId="2" borderId="16" xfId="2" applyFont="1" applyFill="1" applyBorder="1" applyAlignment="1">
      <alignment horizontal="center" vertical="center"/>
    </xf>
    <xf numFmtId="41" fontId="6" fillId="2" borderId="13" xfId="2" applyFont="1" applyFill="1" applyBorder="1" applyAlignment="1">
      <alignment horizontal="center" vertical="center"/>
    </xf>
    <xf numFmtId="41" fontId="6" fillId="2" borderId="52" xfId="2" applyFont="1" applyFill="1" applyBorder="1" applyAlignment="1">
      <alignment horizontal="center" vertical="center"/>
    </xf>
    <xf numFmtId="0" fontId="6" fillId="0" borderId="16" xfId="1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center" vertical="center" shrinkToFit="1"/>
    </xf>
    <xf numFmtId="0" fontId="6" fillId="0" borderId="52" xfId="1" applyFont="1" applyBorder="1" applyAlignment="1">
      <alignment horizontal="center" vertical="center" shrinkToFit="1"/>
    </xf>
    <xf numFmtId="41" fontId="18" fillId="0" borderId="44" xfId="2" applyFont="1" applyBorder="1" applyAlignment="1">
      <alignment horizontal="right" vertical="center"/>
    </xf>
    <xf numFmtId="41" fontId="18" fillId="0" borderId="46" xfId="2" applyFont="1" applyBorder="1" applyAlignment="1">
      <alignment horizontal="right" vertical="center"/>
    </xf>
    <xf numFmtId="41" fontId="18" fillId="2" borderId="44" xfId="2" applyFont="1" applyFill="1" applyBorder="1" applyAlignment="1">
      <alignment horizontal="center" vertical="center"/>
    </xf>
    <xf numFmtId="41" fontId="18" fillId="2" borderId="46" xfId="2" applyFont="1" applyFill="1" applyBorder="1" applyAlignment="1">
      <alignment horizontal="center" vertical="center"/>
    </xf>
    <xf numFmtId="41" fontId="6" fillId="2" borderId="44" xfId="2" applyFont="1" applyFill="1" applyBorder="1" applyAlignment="1">
      <alignment horizontal="center" vertical="center"/>
    </xf>
    <xf numFmtId="41" fontId="6" fillId="2" borderId="45" xfId="2" applyFont="1" applyFill="1" applyBorder="1" applyAlignment="1">
      <alignment horizontal="center" vertical="center"/>
    </xf>
    <xf numFmtId="41" fontId="6" fillId="2" borderId="46" xfId="2" applyFont="1" applyFill="1" applyBorder="1" applyAlignment="1">
      <alignment horizontal="center" vertical="center"/>
    </xf>
    <xf numFmtId="41" fontId="21" fillId="2" borderId="50" xfId="2" applyFont="1" applyFill="1" applyBorder="1" applyAlignment="1">
      <alignment horizontal="center" vertical="center" wrapText="1"/>
    </xf>
    <xf numFmtId="41" fontId="21" fillId="2" borderId="51" xfId="2" applyFont="1" applyFill="1" applyBorder="1" applyAlignment="1">
      <alignment horizontal="center" vertical="center" wrapText="1"/>
    </xf>
    <xf numFmtId="41" fontId="21" fillId="2" borderId="53" xfId="2" applyFont="1" applyFill="1" applyBorder="1" applyAlignment="1">
      <alignment horizontal="center" vertical="center" wrapText="1"/>
    </xf>
    <xf numFmtId="41" fontId="21" fillId="2" borderId="6" xfId="2" applyFont="1" applyFill="1" applyBorder="1" applyAlignment="1">
      <alignment horizontal="center" vertical="center" wrapText="1"/>
    </xf>
    <xf numFmtId="41" fontId="21" fillId="2" borderId="47" xfId="2" applyFont="1" applyFill="1" applyBorder="1" applyAlignment="1">
      <alignment horizontal="center" vertical="center" wrapText="1"/>
    </xf>
    <xf numFmtId="41" fontId="21" fillId="2" borderId="54" xfId="2" applyFont="1" applyFill="1" applyBorder="1" applyAlignment="1">
      <alignment horizontal="center" vertical="center" wrapText="1"/>
    </xf>
    <xf numFmtId="41" fontId="6" fillId="0" borderId="53" xfId="2" applyFont="1" applyBorder="1" applyAlignment="1">
      <alignment horizontal="center" vertical="center"/>
    </xf>
    <xf numFmtId="41" fontId="6" fillId="0" borderId="58" xfId="2" applyFont="1" applyBorder="1" applyAlignment="1">
      <alignment horizontal="center" vertical="center"/>
    </xf>
    <xf numFmtId="41" fontId="6" fillId="2" borderId="15" xfId="2" applyFont="1" applyFill="1" applyBorder="1" applyAlignment="1">
      <alignment horizontal="center" vertical="center"/>
    </xf>
    <xf numFmtId="0" fontId="6" fillId="2" borderId="57" xfId="1" applyFont="1" applyFill="1" applyBorder="1" applyAlignment="1">
      <alignment horizontal="center" vertical="center" wrapText="1" shrinkToFit="1"/>
    </xf>
    <xf numFmtId="41" fontId="20" fillId="2" borderId="16" xfId="2" applyFont="1" applyFill="1" applyBorder="1" applyAlignment="1">
      <alignment horizontal="center" vertical="center" wrapText="1"/>
    </xf>
    <xf numFmtId="41" fontId="20" fillId="2" borderId="55" xfId="2" applyFont="1" applyFill="1" applyBorder="1" applyAlignment="1">
      <alignment horizontal="center" vertical="center" wrapText="1"/>
    </xf>
    <xf numFmtId="0" fontId="6" fillId="2" borderId="47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6" fillId="2" borderId="48" xfId="1" applyFont="1" applyFill="1" applyBorder="1" applyAlignment="1">
      <alignment horizontal="center" vertical="center" shrinkToFit="1"/>
    </xf>
    <xf numFmtId="41" fontId="6" fillId="0" borderId="47" xfId="2" applyFont="1" applyBorder="1" applyAlignment="1">
      <alignment horizontal="center" vertical="center"/>
    </xf>
    <xf numFmtId="41" fontId="6" fillId="0" borderId="48" xfId="2" applyFont="1" applyBorder="1" applyAlignment="1">
      <alignment horizontal="center" vertical="center"/>
    </xf>
    <xf numFmtId="41" fontId="6" fillId="2" borderId="49" xfId="2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41" fontId="6" fillId="0" borderId="16" xfId="2" applyFont="1" applyBorder="1" applyAlignment="1">
      <alignment horizontal="center" vertical="center"/>
    </xf>
    <xf numFmtId="41" fontId="6" fillId="0" borderId="52" xfId="2" applyFont="1" applyBorder="1" applyAlignment="1">
      <alignment horizontal="center" vertical="center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48" xfId="1" applyFont="1" applyFill="1" applyBorder="1" applyAlignment="1">
      <alignment horizontal="center" vertical="center" shrinkToFit="1"/>
    </xf>
    <xf numFmtId="41" fontId="18" fillId="0" borderId="47" xfId="2" applyFont="1" applyBorder="1" applyAlignment="1">
      <alignment horizontal="center" vertical="center"/>
    </xf>
    <xf numFmtId="41" fontId="18" fillId="0" borderId="48" xfId="2" applyFont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 shrinkToFit="1"/>
    </xf>
    <xf numFmtId="0" fontId="6" fillId="2" borderId="45" xfId="1" applyFont="1" applyFill="1" applyBorder="1" applyAlignment="1">
      <alignment horizontal="center" vertical="center" shrinkToFit="1"/>
    </xf>
    <xf numFmtId="0" fontId="6" fillId="2" borderId="46" xfId="1" applyFont="1" applyFill="1" applyBorder="1" applyAlignment="1">
      <alignment horizontal="center" vertical="center" shrinkToFit="1"/>
    </xf>
    <xf numFmtId="41" fontId="17" fillId="2" borderId="50" xfId="2" applyFont="1" applyFill="1" applyBorder="1" applyAlignment="1">
      <alignment horizontal="center" vertical="center" wrapText="1"/>
    </xf>
    <xf numFmtId="41" fontId="17" fillId="2" borderId="51" xfId="2" applyFont="1" applyFill="1" applyBorder="1" applyAlignment="1">
      <alignment horizontal="center" vertical="center" wrapText="1"/>
    </xf>
    <xf numFmtId="41" fontId="17" fillId="2" borderId="53" xfId="2" applyFont="1" applyFill="1" applyBorder="1" applyAlignment="1">
      <alignment horizontal="center" vertical="center" wrapText="1"/>
    </xf>
    <xf numFmtId="41" fontId="17" fillId="2" borderId="6" xfId="2" applyFont="1" applyFill="1" applyBorder="1" applyAlignment="1">
      <alignment horizontal="center" vertical="center" wrapText="1"/>
    </xf>
    <xf numFmtId="41" fontId="17" fillId="2" borderId="47" xfId="2" applyFont="1" applyFill="1" applyBorder="1" applyAlignment="1">
      <alignment horizontal="center" vertical="center" wrapText="1"/>
    </xf>
    <xf numFmtId="41" fontId="17" fillId="2" borderId="54" xfId="2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 shrinkToFit="1"/>
    </xf>
    <xf numFmtId="0" fontId="6" fillId="2" borderId="16" xfId="1" applyFont="1" applyFill="1" applyBorder="1" applyAlignment="1">
      <alignment horizontal="center" vertical="center" shrinkToFit="1"/>
    </xf>
    <xf numFmtId="41" fontId="14" fillId="2" borderId="32" xfId="1" applyNumberFormat="1" applyFont="1" applyFill="1" applyBorder="1" applyAlignment="1">
      <alignment horizontal="center" vertical="center"/>
    </xf>
    <xf numFmtId="31" fontId="14" fillId="2" borderId="32" xfId="1" applyNumberFormat="1" applyFont="1" applyFill="1" applyBorder="1" applyAlignment="1">
      <alignment horizontal="center" vertical="center"/>
    </xf>
    <xf numFmtId="41" fontId="15" fillId="2" borderId="33" xfId="1" applyNumberFormat="1" applyFont="1" applyFill="1" applyBorder="1" applyAlignment="1">
      <alignment horizontal="center" vertical="center" wrapText="1"/>
    </xf>
    <xf numFmtId="41" fontId="15" fillId="2" borderId="34" xfId="1" applyNumberFormat="1" applyFont="1" applyFill="1" applyBorder="1" applyAlignment="1">
      <alignment horizontal="center" vertical="center"/>
    </xf>
    <xf numFmtId="41" fontId="15" fillId="2" borderId="35" xfId="1" applyNumberFormat="1" applyFont="1" applyFill="1" applyBorder="1" applyAlignment="1">
      <alignment horizontal="center" vertical="center"/>
    </xf>
    <xf numFmtId="41" fontId="14" fillId="2" borderId="33" xfId="1" applyNumberFormat="1" applyFont="1" applyFill="1" applyBorder="1" applyAlignment="1">
      <alignment horizontal="center" vertical="center"/>
    </xf>
    <xf numFmtId="41" fontId="14" fillId="2" borderId="34" xfId="1" applyNumberFormat="1" applyFont="1" applyFill="1" applyBorder="1" applyAlignment="1">
      <alignment horizontal="center" vertical="center"/>
    </xf>
    <xf numFmtId="41" fontId="14" fillId="2" borderId="36" xfId="1" applyNumberFormat="1" applyFont="1" applyFill="1" applyBorder="1" applyAlignment="1">
      <alignment horizontal="center" vertical="center"/>
    </xf>
    <xf numFmtId="42" fontId="12" fillId="2" borderId="20" xfId="1" applyNumberFormat="1" applyFont="1" applyFill="1" applyBorder="1" applyAlignment="1">
      <alignment horizontal="center" vertical="center"/>
    </xf>
    <xf numFmtId="0" fontId="9" fillId="2" borderId="0" xfId="1" applyFont="1" applyFill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5" xfId="1" applyFont="1" applyFill="1" applyBorder="1" applyAlignment="1">
      <alignment horizontal="right"/>
    </xf>
    <xf numFmtId="0" fontId="9" fillId="2" borderId="25" xfId="1" applyFont="1" applyFill="1" applyBorder="1" applyAlignment="1">
      <alignment horizontal="right"/>
    </xf>
    <xf numFmtId="31" fontId="10" fillId="3" borderId="27" xfId="1" applyNumberFormat="1" applyFont="1" applyFill="1" applyBorder="1" applyAlignment="1">
      <alignment horizontal="center" vertical="center"/>
    </xf>
    <xf numFmtId="31" fontId="13" fillId="3" borderId="27" xfId="1" applyNumberFormat="1" applyFont="1" applyFill="1" applyBorder="1" applyAlignment="1">
      <alignment horizontal="center" vertical="center"/>
    </xf>
    <xf numFmtId="31" fontId="10" fillId="3" borderId="28" xfId="1" applyNumberFormat="1" applyFont="1" applyFill="1" applyBorder="1" applyAlignment="1">
      <alignment horizontal="center" vertical="center"/>
    </xf>
    <xf numFmtId="31" fontId="10" fillId="3" borderId="29" xfId="1" applyNumberFormat="1" applyFont="1" applyFill="1" applyBorder="1" applyAlignment="1">
      <alignment horizontal="center" vertical="center"/>
    </xf>
    <xf numFmtId="31" fontId="10" fillId="3" borderId="30" xfId="1" applyNumberFormat="1" applyFont="1" applyFill="1" applyBorder="1" applyAlignment="1">
      <alignment horizontal="center" vertical="center"/>
    </xf>
    <xf numFmtId="31" fontId="10" fillId="2" borderId="19" xfId="1" applyNumberFormat="1" applyFont="1" applyFill="1" applyBorder="1" applyAlignment="1">
      <alignment horizontal="left" vertical="center" wrapText="1"/>
    </xf>
    <xf numFmtId="31" fontId="10" fillId="2" borderId="20" xfId="1" applyNumberFormat="1" applyFont="1" applyFill="1" applyBorder="1" applyAlignment="1">
      <alignment horizontal="left" vertical="center" wrapText="1"/>
    </xf>
    <xf numFmtId="41" fontId="7" fillId="2" borderId="20" xfId="3" applyNumberFormat="1" applyFont="1" applyFill="1" applyBorder="1" applyAlignment="1">
      <alignment horizontal="center" vertical="center"/>
    </xf>
    <xf numFmtId="41" fontId="7" fillId="2" borderId="8" xfId="3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left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31" fontId="10" fillId="2" borderId="7" xfId="1" applyNumberFormat="1" applyFont="1" applyFill="1" applyBorder="1" applyAlignment="1">
      <alignment horizontal="left" vertical="center"/>
    </xf>
    <xf numFmtId="31" fontId="10" fillId="2" borderId="8" xfId="1" applyNumberFormat="1" applyFont="1" applyFill="1" applyBorder="1" applyAlignment="1">
      <alignment horizontal="lef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right" vertical="center"/>
    </xf>
    <xf numFmtId="0" fontId="7" fillId="2" borderId="8" xfId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176" fontId="10" fillId="2" borderId="13" xfId="1" applyNumberFormat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  <xf numFmtId="0" fontId="7" fillId="2" borderId="7" xfId="1" applyNumberFormat="1" applyFont="1" applyFill="1" applyBorder="1" applyAlignment="1">
      <alignment horizontal="right" vertical="center"/>
    </xf>
    <xf numFmtId="0" fontId="7" fillId="2" borderId="8" xfId="1" applyNumberFormat="1" applyFont="1" applyFill="1" applyBorder="1" applyAlignment="1">
      <alignment horizontal="right" vertical="center"/>
    </xf>
    <xf numFmtId="0" fontId="9" fillId="2" borderId="0" xfId="1" applyFont="1" applyFill="1" applyBorder="1" applyAlignment="1">
      <alignment horizontal="right"/>
    </xf>
    <xf numFmtId="0" fontId="6" fillId="0" borderId="16" xfId="1" applyFont="1" applyFill="1" applyBorder="1" applyAlignment="1">
      <alignment horizontal="center" vertical="center" shrinkToFit="1"/>
    </xf>
    <xf numFmtId="0" fontId="6" fillId="0" borderId="13" xfId="1" applyFont="1" applyFill="1" applyBorder="1" applyAlignment="1">
      <alignment horizontal="center" vertical="center" shrinkToFit="1"/>
    </xf>
    <xf numFmtId="0" fontId="6" fillId="0" borderId="52" xfId="1" applyFont="1" applyFill="1" applyBorder="1" applyAlignment="1">
      <alignment horizontal="center" vertical="center" shrinkToFit="1"/>
    </xf>
    <xf numFmtId="0" fontId="16" fillId="0" borderId="14" xfId="1" applyNumberFormat="1" applyFont="1" applyFill="1" applyBorder="1" applyAlignment="1">
      <alignment horizontal="left" vertical="top" wrapText="1"/>
    </xf>
    <xf numFmtId="0" fontId="16" fillId="0" borderId="15" xfId="1" applyNumberFormat="1" applyFont="1" applyFill="1" applyBorder="1" applyAlignment="1">
      <alignment horizontal="left" vertical="top" wrapText="1"/>
    </xf>
    <xf numFmtId="0" fontId="16" fillId="0" borderId="16" xfId="1" applyNumberFormat="1" applyFont="1" applyFill="1" applyBorder="1" applyAlignment="1">
      <alignment horizontal="left" vertical="top" wrapText="1"/>
    </xf>
    <xf numFmtId="0" fontId="16" fillId="0" borderId="17" xfId="1" applyNumberFormat="1" applyFont="1" applyFill="1" applyBorder="1" applyAlignment="1">
      <alignment horizontal="left" vertical="top" wrapText="1"/>
    </xf>
    <xf numFmtId="0" fontId="18" fillId="0" borderId="13" xfId="1" applyFont="1" applyFill="1" applyBorder="1" applyAlignment="1">
      <alignment horizontal="left" vertical="center" wrapText="1"/>
    </xf>
    <xf numFmtId="0" fontId="18" fillId="0" borderId="55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horizontal="right" vertical="center" wrapText="1"/>
    </xf>
    <xf numFmtId="0" fontId="6" fillId="0" borderId="0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</cellXfs>
  <cellStyles count="6">
    <cellStyle name="백분율 2" xfId="5" xr:uid="{00000000-0005-0000-0000-000000000000}"/>
    <cellStyle name="쉼표 [0] 2" xfId="2" xr:uid="{00000000-0005-0000-0000-000001000000}"/>
    <cellStyle name="통화 [0] 2" xfId="3" xr:uid="{00000000-0005-0000-0000-000002000000}"/>
    <cellStyle name="표준" xfId="0" builtinId="0"/>
    <cellStyle name="표준 2" xfId="1" xr:uid="{00000000-0005-0000-0000-000004000000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EB620938-CAE6-4934-84FA-11B30779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B799874F-2098-4FCE-A1F5-BB591A25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8E740506-98D0-4512-B3BE-6339B08D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445FEFC3-C853-4B23-B2AC-698B3D4D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22785E71-22F4-4243-A98E-BF1F163F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A6915132-9561-4EE8-9A6B-1BCF10AFA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E\&#49436;&#48708;&#49828;&#49345;&#54408;\&#49345;&#54408;&#44228;&#49328;&#44592;\2009&#45380;&#44592;&#51456;\090409_2009&#45380;%20&#49345;&#54408;&#44228;&#49328;&#44592;%20V1.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계산기"/>
      <sheetName val="1차견적서"/>
      <sheetName val="2차견적서"/>
      <sheetName val="3차견적서"/>
      <sheetName val="맞춤견적서"/>
      <sheetName val="정리내역"/>
      <sheetName val="터파기및재료"/>
      <sheetName val="일위대가(당초)"/>
      <sheetName val="1"/>
    </sheetNames>
    <sheetDataSet>
      <sheetData sheetId="0">
        <row r="46">
          <cell r="J46" t="str">
            <v>일시불</v>
          </cell>
          <cell r="K46">
            <v>1</v>
          </cell>
        </row>
        <row r="47">
          <cell r="J47" t="str">
            <v>분할납부</v>
          </cell>
          <cell r="K47">
            <v>12</v>
          </cell>
        </row>
        <row r="96">
          <cell r="F96" t="str">
            <v>최상수 부장</v>
          </cell>
          <cell r="G96" t="str">
            <v>010-7661-6857</v>
          </cell>
        </row>
        <row r="97">
          <cell r="F97" t="str">
            <v>김성완 과장</v>
          </cell>
          <cell r="G97" t="str">
            <v>019-559-0500</v>
          </cell>
        </row>
        <row r="98">
          <cell r="F98" t="str">
            <v>정유신 대리</v>
          </cell>
          <cell r="G98" t="str">
            <v>019-511-5173</v>
          </cell>
        </row>
        <row r="99">
          <cell r="F99" t="str">
            <v>이상순 과장</v>
          </cell>
          <cell r="G99" t="str">
            <v>010-5760-8029</v>
          </cell>
        </row>
        <row r="100">
          <cell r="F100" t="str">
            <v>류제형 과장</v>
          </cell>
          <cell r="G100" t="str">
            <v>010-5761-2500</v>
          </cell>
        </row>
        <row r="101">
          <cell r="F101" t="str">
            <v>손현주 과장</v>
          </cell>
          <cell r="G101" t="str">
            <v>010-2585-0314</v>
          </cell>
        </row>
        <row r="102">
          <cell r="F102" t="str">
            <v>김수진 과장</v>
          </cell>
          <cell r="G102" t="str">
            <v>018-239-7752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6997-77DD-4901-922F-341C538B10E8}">
  <dimension ref="A1:Y50"/>
  <sheetViews>
    <sheetView tabSelected="1" view="pageBreakPreview" zoomScale="85" zoomScaleNormal="70" zoomScaleSheetLayoutView="85" workbookViewId="0">
      <selection activeCell="I16" sqref="I16:J16"/>
    </sheetView>
  </sheetViews>
  <sheetFormatPr defaultColWidth="9" defaultRowHeight="16.5" x14ac:dyDescent="0.3"/>
  <cols>
    <col min="1" max="1" width="9.625" style="30" customWidth="1"/>
    <col min="2" max="4" width="10.125" style="30" customWidth="1"/>
    <col min="5" max="8" width="9.625" style="30" customWidth="1"/>
    <col min="9" max="9" width="11.125" style="30" customWidth="1"/>
    <col min="10" max="11" width="9.625" style="30" customWidth="1"/>
    <col min="12" max="13" width="6.125" style="30" customWidth="1"/>
    <col min="14" max="15" width="9.875" style="30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30" customWidth="1"/>
    <col min="23" max="24" width="9" style="30"/>
    <col min="25" max="25" width="12.375" style="30" bestFit="1" customWidth="1"/>
    <col min="26" max="16384" width="9" style="30"/>
  </cols>
  <sheetData>
    <row r="1" spans="1:15" ht="39" x14ac:dyDescent="0.3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9"/>
    </row>
    <row r="2" spans="1:15" ht="16.5" customHeight="1" thickBot="1" x14ac:dyDescent="0.35">
      <c r="A2" s="2"/>
      <c r="B2" s="67"/>
      <c r="C2" s="67"/>
      <c r="D2" s="67"/>
      <c r="E2" s="67"/>
      <c r="F2" s="67"/>
      <c r="G2" s="67"/>
      <c r="H2" s="4"/>
      <c r="I2" s="4"/>
      <c r="J2" s="4"/>
      <c r="K2" s="4"/>
      <c r="L2" s="4"/>
      <c r="M2" s="4"/>
      <c r="N2" s="67"/>
      <c r="O2" s="5"/>
    </row>
    <row r="3" spans="1:15" ht="22.5" customHeight="1" x14ac:dyDescent="0.3">
      <c r="A3" s="210" t="s">
        <v>78</v>
      </c>
      <c r="B3" s="211"/>
      <c r="C3" s="211"/>
      <c r="D3" s="211"/>
      <c r="E3" s="211"/>
      <c r="F3" s="68"/>
      <c r="G3" s="7" t="s">
        <v>2</v>
      </c>
      <c r="H3" s="212" t="s">
        <v>3</v>
      </c>
      <c r="I3" s="212"/>
      <c r="J3" s="212"/>
      <c r="K3" s="212"/>
      <c r="L3" s="212"/>
      <c r="M3" s="212"/>
      <c r="N3" s="213"/>
      <c r="O3" s="214"/>
    </row>
    <row r="4" spans="1:15" ht="22.5" customHeight="1" x14ac:dyDescent="0.3">
      <c r="A4" s="215" t="s">
        <v>4</v>
      </c>
      <c r="B4" s="216"/>
      <c r="C4" s="217">
        <v>46125</v>
      </c>
      <c r="D4" s="217"/>
      <c r="E4" s="217"/>
      <c r="F4" s="69"/>
      <c r="G4" s="9" t="s">
        <v>5</v>
      </c>
      <c r="H4" s="194" t="s">
        <v>6</v>
      </c>
      <c r="I4" s="194"/>
      <c r="J4" s="194"/>
      <c r="K4" s="10" t="s">
        <v>7</v>
      </c>
      <c r="L4" s="218" t="s">
        <v>8</v>
      </c>
      <c r="M4" s="218"/>
      <c r="N4" s="219"/>
      <c r="O4" s="220"/>
    </row>
    <row r="5" spans="1:15" ht="22.5" customHeight="1" x14ac:dyDescent="0.3">
      <c r="A5" s="203" t="s">
        <v>9</v>
      </c>
      <c r="B5" s="204"/>
      <c r="C5" s="205" t="s">
        <v>10</v>
      </c>
      <c r="D5" s="205"/>
      <c r="E5" s="205"/>
      <c r="F5" s="69"/>
      <c r="G5" s="206" t="s">
        <v>11</v>
      </c>
      <c r="H5" s="195" t="s">
        <v>12</v>
      </c>
      <c r="I5" s="195"/>
      <c r="J5" s="195"/>
      <c r="K5" s="195"/>
      <c r="L5" s="195"/>
      <c r="M5" s="195"/>
      <c r="N5" s="196"/>
      <c r="O5" s="197"/>
    </row>
    <row r="6" spans="1:15" ht="22.5" customHeight="1" x14ac:dyDescent="0.3">
      <c r="A6" s="203" t="s">
        <v>13</v>
      </c>
      <c r="B6" s="204"/>
      <c r="C6" s="205" t="s">
        <v>14</v>
      </c>
      <c r="D6" s="205"/>
      <c r="E6" s="205"/>
      <c r="F6" s="69"/>
      <c r="G6" s="206"/>
      <c r="H6" s="195"/>
      <c r="I6" s="195"/>
      <c r="J6" s="195"/>
      <c r="K6" s="195"/>
      <c r="L6" s="195"/>
      <c r="M6" s="195"/>
      <c r="N6" s="196"/>
      <c r="O6" s="197"/>
    </row>
    <row r="7" spans="1:15" ht="22.5" customHeight="1" x14ac:dyDescent="0.3">
      <c r="A7" s="189" t="s">
        <v>15</v>
      </c>
      <c r="B7" s="190"/>
      <c r="C7" s="191">
        <f>K13</f>
        <v>4260000</v>
      </c>
      <c r="D7" s="191"/>
      <c r="E7" s="191"/>
      <c r="F7" s="193" t="s">
        <v>16</v>
      </c>
      <c r="G7" s="9" t="s">
        <v>17</v>
      </c>
      <c r="H7" s="194" t="s">
        <v>18</v>
      </c>
      <c r="I7" s="194"/>
      <c r="J7" s="194"/>
      <c r="K7" s="10" t="s">
        <v>19</v>
      </c>
      <c r="L7" s="195" t="s">
        <v>20</v>
      </c>
      <c r="M7" s="195"/>
      <c r="N7" s="196"/>
      <c r="O7" s="197"/>
    </row>
    <row r="8" spans="1:15" ht="22.5" customHeight="1" thickBot="1" x14ac:dyDescent="0.35">
      <c r="A8" s="198" t="s">
        <v>21</v>
      </c>
      <c r="B8" s="199"/>
      <c r="C8" s="192"/>
      <c r="D8" s="192"/>
      <c r="E8" s="192"/>
      <c r="F8" s="193"/>
      <c r="G8" s="11" t="s">
        <v>22</v>
      </c>
      <c r="H8" s="200" t="s">
        <v>23</v>
      </c>
      <c r="I8" s="200"/>
      <c r="J8" s="200"/>
      <c r="K8" s="12" t="s">
        <v>24</v>
      </c>
      <c r="L8" s="200" t="s">
        <v>25</v>
      </c>
      <c r="M8" s="200"/>
      <c r="N8" s="201"/>
      <c r="O8" s="202"/>
    </row>
    <row r="9" spans="1:15" ht="19.5" customHeight="1" x14ac:dyDescent="0.3">
      <c r="A9" s="70"/>
      <c r="B9" s="71"/>
      <c r="C9" s="72"/>
      <c r="D9" s="179"/>
      <c r="E9" s="179"/>
      <c r="F9" s="73"/>
      <c r="G9" s="74"/>
      <c r="H9" s="74"/>
      <c r="I9" s="74"/>
      <c r="J9" s="74"/>
      <c r="K9" s="74"/>
      <c r="L9" s="74"/>
      <c r="M9" s="74"/>
      <c r="N9" s="74"/>
      <c r="O9" s="18"/>
    </row>
    <row r="10" spans="1:15" ht="19.5" customHeight="1" x14ac:dyDescent="0.3">
      <c r="A10" s="19" t="s">
        <v>26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4"/>
      <c r="N10" s="180" t="s">
        <v>27</v>
      </c>
      <c r="O10" s="181"/>
    </row>
    <row r="11" spans="1:15" ht="9.75" customHeight="1" thickBot="1" x14ac:dyDescent="0.35">
      <c r="A11" s="19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4"/>
      <c r="N11" s="182"/>
      <c r="O11" s="183"/>
    </row>
    <row r="12" spans="1:15" ht="23.25" customHeight="1" thickBot="1" x14ac:dyDescent="0.35">
      <c r="A12" s="21" t="s">
        <v>28</v>
      </c>
      <c r="B12" s="184" t="s">
        <v>29</v>
      </c>
      <c r="C12" s="184"/>
      <c r="D12" s="184"/>
      <c r="E12" s="184" t="s">
        <v>30</v>
      </c>
      <c r="F12" s="184"/>
      <c r="G12" s="184"/>
      <c r="H12" s="185" t="s">
        <v>31</v>
      </c>
      <c r="I12" s="185"/>
      <c r="J12" s="185"/>
      <c r="K12" s="186" t="s">
        <v>32</v>
      </c>
      <c r="L12" s="187"/>
      <c r="M12" s="187"/>
      <c r="N12" s="187"/>
      <c r="O12" s="188"/>
    </row>
    <row r="13" spans="1:15" ht="38.25" customHeight="1" thickTop="1" thickBot="1" x14ac:dyDescent="0.35">
      <c r="A13" s="22" t="s">
        <v>33</v>
      </c>
      <c r="B13" s="171">
        <f>SUM(K16:M19)</f>
        <v>0</v>
      </c>
      <c r="C13" s="172"/>
      <c r="D13" s="172"/>
      <c r="E13" s="171">
        <f>K31</f>
        <v>4260000</v>
      </c>
      <c r="F13" s="172"/>
      <c r="G13" s="172"/>
      <c r="H13" s="173"/>
      <c r="I13" s="174"/>
      <c r="J13" s="175"/>
      <c r="K13" s="176">
        <f>B13+E13+H13</f>
        <v>4260000</v>
      </c>
      <c r="L13" s="177"/>
      <c r="M13" s="177"/>
      <c r="N13" s="177"/>
      <c r="O13" s="178"/>
    </row>
    <row r="14" spans="1:15" ht="22.5" customHeight="1" x14ac:dyDescent="0.3">
      <c r="A14" s="23" t="s">
        <v>34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4"/>
      <c r="N14" s="74"/>
      <c r="O14" s="18"/>
    </row>
    <row r="15" spans="1:15" ht="22.5" customHeight="1" thickBot="1" x14ac:dyDescent="0.35">
      <c r="A15" s="24" t="s">
        <v>35</v>
      </c>
      <c r="B15" s="144" t="s">
        <v>36</v>
      </c>
      <c r="C15" s="145"/>
      <c r="D15" s="146"/>
      <c r="E15" s="25" t="s">
        <v>37</v>
      </c>
      <c r="F15" s="25" t="s">
        <v>38</v>
      </c>
      <c r="G15" s="147" t="s">
        <v>39</v>
      </c>
      <c r="H15" s="147"/>
      <c r="I15" s="148"/>
      <c r="J15" s="148"/>
      <c r="K15" s="144" t="s">
        <v>40</v>
      </c>
      <c r="L15" s="145"/>
      <c r="M15" s="145"/>
      <c r="N15" s="144" t="s">
        <v>41</v>
      </c>
      <c r="O15" s="149"/>
    </row>
    <row r="16" spans="1:15" ht="22.5" customHeight="1" thickTop="1" x14ac:dyDescent="0.3">
      <c r="A16" s="26"/>
      <c r="B16" s="160"/>
      <c r="C16" s="161"/>
      <c r="D16" s="162"/>
      <c r="E16" s="27"/>
      <c r="F16" s="29"/>
      <c r="G16" s="141"/>
      <c r="H16" s="142"/>
      <c r="I16" s="143"/>
      <c r="J16" s="143"/>
      <c r="K16" s="96"/>
      <c r="L16" s="97"/>
      <c r="M16" s="97"/>
      <c r="N16" s="163"/>
      <c r="O16" s="164"/>
    </row>
    <row r="17" spans="1:25" ht="22.5" customHeight="1" x14ac:dyDescent="0.3">
      <c r="A17" s="26"/>
      <c r="B17" s="169"/>
      <c r="C17" s="94"/>
      <c r="D17" s="95"/>
      <c r="E17" s="27"/>
      <c r="F17" s="29"/>
      <c r="G17" s="153"/>
      <c r="H17" s="154"/>
      <c r="I17" s="113"/>
      <c r="J17" s="115"/>
      <c r="K17" s="96"/>
      <c r="L17" s="97"/>
      <c r="M17" s="97"/>
      <c r="N17" s="165"/>
      <c r="O17" s="166"/>
    </row>
    <row r="18" spans="1:25" ht="22.5" customHeight="1" x14ac:dyDescent="0.3">
      <c r="A18" s="26"/>
      <c r="B18" s="170"/>
      <c r="C18" s="94"/>
      <c r="D18" s="95"/>
      <c r="E18" s="27"/>
      <c r="F18" s="29"/>
      <c r="G18" s="153"/>
      <c r="H18" s="154"/>
      <c r="I18" s="113"/>
      <c r="J18" s="115"/>
      <c r="K18" s="96"/>
      <c r="L18" s="97"/>
      <c r="M18" s="97"/>
      <c r="N18" s="165"/>
      <c r="O18" s="166"/>
    </row>
    <row r="19" spans="1:25" ht="22.5" customHeight="1" x14ac:dyDescent="0.3">
      <c r="A19" s="31"/>
      <c r="B19" s="155"/>
      <c r="C19" s="156"/>
      <c r="D19" s="157"/>
      <c r="E19" s="32"/>
      <c r="F19" s="33"/>
      <c r="G19" s="158"/>
      <c r="H19" s="159"/>
      <c r="I19" s="112"/>
      <c r="J19" s="112"/>
      <c r="K19" s="96"/>
      <c r="L19" s="97"/>
      <c r="M19" s="97"/>
      <c r="N19" s="165"/>
      <c r="O19" s="166"/>
    </row>
    <row r="20" spans="1:25" ht="22.5" customHeight="1" x14ac:dyDescent="0.3">
      <c r="A20" s="150" t="s">
        <v>42</v>
      </c>
      <c r="B20" s="151"/>
      <c r="C20" s="151"/>
      <c r="D20" s="151"/>
      <c r="E20" s="151"/>
      <c r="F20" s="151"/>
      <c r="G20" s="151"/>
      <c r="H20" s="151"/>
      <c r="I20" s="151"/>
      <c r="J20" s="152"/>
      <c r="K20" s="96">
        <f>SUM(K16:M19)</f>
        <v>0</v>
      </c>
      <c r="L20" s="97"/>
      <c r="M20" s="97"/>
      <c r="N20" s="167"/>
      <c r="O20" s="168"/>
    </row>
    <row r="21" spans="1:25" ht="22.5" hidden="1" customHeight="1" x14ac:dyDescent="0.3">
      <c r="A21" s="26">
        <v>5</v>
      </c>
      <c r="B21" s="138" t="s">
        <v>16</v>
      </c>
      <c r="C21" s="139"/>
      <c r="D21" s="140"/>
      <c r="E21" s="29" t="s">
        <v>16</v>
      </c>
      <c r="F21" s="29" t="s">
        <v>16</v>
      </c>
      <c r="G21" s="141"/>
      <c r="H21" s="142"/>
      <c r="I21" s="143"/>
      <c r="J21" s="143"/>
      <c r="K21" s="96"/>
      <c r="L21" s="97"/>
      <c r="M21" s="97"/>
      <c r="N21" s="136"/>
      <c r="O21" s="137"/>
    </row>
    <row r="22" spans="1:25" ht="22.5" hidden="1" customHeight="1" x14ac:dyDescent="0.3">
      <c r="A22" s="26">
        <v>6</v>
      </c>
      <c r="B22" s="138" t="s">
        <v>16</v>
      </c>
      <c r="C22" s="139"/>
      <c r="D22" s="140"/>
      <c r="E22" s="29" t="s">
        <v>16</v>
      </c>
      <c r="F22" s="29" t="s">
        <v>16</v>
      </c>
      <c r="G22" s="141"/>
      <c r="H22" s="142"/>
      <c r="I22" s="143"/>
      <c r="J22" s="143"/>
      <c r="K22" s="96"/>
      <c r="L22" s="97"/>
      <c r="M22" s="97"/>
      <c r="N22" s="34" t="s">
        <v>16</v>
      </c>
      <c r="O22" s="35">
        <v>0</v>
      </c>
    </row>
    <row r="23" spans="1:25" ht="22.5" customHeight="1" x14ac:dyDescent="0.3">
      <c r="A23" s="76" t="s">
        <v>43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46"/>
    </row>
    <row r="24" spans="1:25" ht="22.5" customHeight="1" thickBot="1" x14ac:dyDescent="0.35">
      <c r="A24" s="24" t="s">
        <v>35</v>
      </c>
      <c r="B24" s="144" t="s">
        <v>45</v>
      </c>
      <c r="C24" s="145"/>
      <c r="D24" s="146"/>
      <c r="E24" s="25" t="s">
        <v>37</v>
      </c>
      <c r="F24" s="25" t="s">
        <v>47</v>
      </c>
      <c r="G24" s="147" t="s">
        <v>39</v>
      </c>
      <c r="H24" s="147"/>
      <c r="I24" s="148"/>
      <c r="J24" s="148"/>
      <c r="K24" s="144" t="s">
        <v>40</v>
      </c>
      <c r="L24" s="145"/>
      <c r="M24" s="145"/>
      <c r="N24" s="144" t="s">
        <v>41</v>
      </c>
      <c r="O24" s="149"/>
      <c r="Y24" s="1"/>
    </row>
    <row r="25" spans="1:25" ht="21.75" customHeight="1" thickTop="1" x14ac:dyDescent="0.3">
      <c r="A25" s="39">
        <v>1</v>
      </c>
      <c r="B25" s="116" t="s">
        <v>76</v>
      </c>
      <c r="C25" s="117"/>
      <c r="D25" s="118"/>
      <c r="E25" s="40">
        <v>422</v>
      </c>
      <c r="F25" s="34" t="s">
        <v>50</v>
      </c>
      <c r="G25" s="119">
        <v>10000</v>
      </c>
      <c r="H25" s="120"/>
      <c r="I25" s="121"/>
      <c r="J25" s="122"/>
      <c r="K25" s="123">
        <f>G25*E25</f>
        <v>4220000</v>
      </c>
      <c r="L25" s="124"/>
      <c r="M25" s="125"/>
      <c r="N25" s="126"/>
      <c r="O25" s="127"/>
    </row>
    <row r="26" spans="1:25" ht="21.75" customHeight="1" x14ac:dyDescent="0.3">
      <c r="A26" s="26">
        <v>2</v>
      </c>
      <c r="B26" s="109" t="s">
        <v>77</v>
      </c>
      <c r="C26" s="109"/>
      <c r="D26" s="109"/>
      <c r="E26" s="41">
        <v>1</v>
      </c>
      <c r="F26" s="34" t="s">
        <v>50</v>
      </c>
      <c r="G26" s="132">
        <v>10000</v>
      </c>
      <c r="H26" s="133"/>
      <c r="I26" s="134"/>
      <c r="J26" s="134"/>
      <c r="K26" s="113">
        <f>G26*E26</f>
        <v>10000</v>
      </c>
      <c r="L26" s="114"/>
      <c r="M26" s="115"/>
      <c r="N26" s="128"/>
      <c r="O26" s="129"/>
    </row>
    <row r="27" spans="1:25" ht="21.75" customHeight="1" x14ac:dyDescent="0.3">
      <c r="A27" s="42">
        <v>3</v>
      </c>
      <c r="B27" s="135" t="s">
        <v>79</v>
      </c>
      <c r="C27" s="109"/>
      <c r="D27" s="109"/>
      <c r="E27" s="43">
        <v>3</v>
      </c>
      <c r="F27" s="34" t="s">
        <v>50</v>
      </c>
      <c r="G27" s="110">
        <v>10000</v>
      </c>
      <c r="H27" s="111"/>
      <c r="I27" s="113"/>
      <c r="J27" s="115"/>
      <c r="K27" s="113">
        <f t="shared" ref="K27" si="0">G27*E27</f>
        <v>30000</v>
      </c>
      <c r="L27" s="114"/>
      <c r="M27" s="115"/>
      <c r="N27" s="128"/>
      <c r="O27" s="129"/>
    </row>
    <row r="28" spans="1:25" ht="21.75" customHeight="1" x14ac:dyDescent="0.3">
      <c r="A28" s="44"/>
      <c r="B28" s="109"/>
      <c r="C28" s="109"/>
      <c r="D28" s="109"/>
      <c r="E28" s="40"/>
      <c r="F28" s="34"/>
      <c r="G28" s="110"/>
      <c r="H28" s="111"/>
      <c r="I28" s="112"/>
      <c r="J28" s="112"/>
      <c r="K28" s="113"/>
      <c r="L28" s="114"/>
      <c r="M28" s="115"/>
      <c r="N28" s="128"/>
      <c r="O28" s="129"/>
    </row>
    <row r="29" spans="1:25" ht="21.75" customHeight="1" x14ac:dyDescent="0.3">
      <c r="A29" s="26"/>
      <c r="B29" s="109"/>
      <c r="C29" s="109"/>
      <c r="D29" s="109"/>
      <c r="E29" s="40"/>
      <c r="F29" s="34"/>
      <c r="G29" s="110"/>
      <c r="H29" s="111"/>
      <c r="I29" s="112"/>
      <c r="J29" s="112"/>
      <c r="K29" s="113"/>
      <c r="L29" s="114"/>
      <c r="M29" s="115"/>
      <c r="N29" s="128"/>
      <c r="O29" s="129"/>
    </row>
    <row r="30" spans="1:25" ht="21.75" customHeight="1" x14ac:dyDescent="0.3">
      <c r="A30" s="26"/>
      <c r="B30" s="109"/>
      <c r="C30" s="109"/>
      <c r="D30" s="109"/>
      <c r="E30" s="43"/>
      <c r="F30" s="34"/>
      <c r="G30" s="110"/>
      <c r="H30" s="111"/>
      <c r="I30" s="113"/>
      <c r="J30" s="115"/>
      <c r="K30" s="113"/>
      <c r="L30" s="114"/>
      <c r="M30" s="115"/>
      <c r="N30" s="128"/>
      <c r="O30" s="129"/>
    </row>
    <row r="31" spans="1:25" ht="21.75" customHeight="1" x14ac:dyDescent="0.3">
      <c r="A31" s="93" t="s">
        <v>52</v>
      </c>
      <c r="B31" s="94"/>
      <c r="C31" s="94"/>
      <c r="D31" s="94"/>
      <c r="E31" s="94"/>
      <c r="F31" s="94"/>
      <c r="G31" s="94"/>
      <c r="H31" s="94"/>
      <c r="I31" s="94"/>
      <c r="J31" s="95"/>
      <c r="K31" s="96">
        <f>SUM(K25:M30)</f>
        <v>4260000</v>
      </c>
      <c r="L31" s="97"/>
      <c r="M31" s="97"/>
      <c r="N31" s="130"/>
      <c r="O31" s="131"/>
    </row>
    <row r="32" spans="1:25" ht="11.25" customHeight="1" x14ac:dyDescent="0.3">
      <c r="A32" s="45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46"/>
    </row>
    <row r="33" spans="1:17" ht="23.25" customHeight="1" x14ac:dyDescent="0.3">
      <c r="A33" s="98" t="s">
        <v>53</v>
      </c>
      <c r="B33" s="9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46"/>
    </row>
    <row r="34" spans="1:17" ht="75.75" customHeight="1" x14ac:dyDescent="0.3">
      <c r="A34" s="100" t="s">
        <v>54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2"/>
      <c r="O34" s="103"/>
      <c r="Q34" s="47"/>
    </row>
    <row r="35" spans="1:17" ht="75.75" customHeight="1" x14ac:dyDescent="0.3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2"/>
      <c r="O35" s="103"/>
    </row>
    <row r="36" spans="1:17" ht="75.75" customHeight="1" x14ac:dyDescent="0.3">
      <c r="A36" s="100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2"/>
      <c r="O36" s="103"/>
    </row>
    <row r="37" spans="1:17" ht="75.75" customHeight="1" x14ac:dyDescent="0.3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2"/>
      <c r="O37" s="103"/>
    </row>
    <row r="38" spans="1:17" ht="75.75" customHeight="1" x14ac:dyDescent="0.3">
      <c r="A38" s="100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2"/>
      <c r="O38" s="103"/>
    </row>
    <row r="39" spans="1:17" ht="24" customHeight="1" x14ac:dyDescent="0.3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6"/>
    </row>
    <row r="40" spans="1:17" ht="22.5" customHeight="1" x14ac:dyDescent="0.3">
      <c r="A40" s="48" t="s">
        <v>55</v>
      </c>
      <c r="B40" s="107" t="s">
        <v>56</v>
      </c>
      <c r="C40" s="107"/>
      <c r="D40" s="107"/>
      <c r="E40" s="107"/>
      <c r="F40" s="49" t="s">
        <v>57</v>
      </c>
      <c r="G40" s="50" t="s">
        <v>58</v>
      </c>
      <c r="H40" s="49" t="s">
        <v>59</v>
      </c>
      <c r="I40" s="50" t="s">
        <v>60</v>
      </c>
      <c r="J40" s="49"/>
      <c r="K40" s="50"/>
      <c r="L40" s="108"/>
      <c r="M40" s="108"/>
      <c r="N40" s="51"/>
      <c r="O40" s="52"/>
    </row>
    <row r="41" spans="1:17" ht="22.5" customHeight="1" thickBot="1" x14ac:dyDescent="0.35">
      <c r="A41" s="53" t="s">
        <v>61</v>
      </c>
      <c r="B41" s="86" t="s">
        <v>62</v>
      </c>
      <c r="C41" s="86"/>
      <c r="D41" s="86" t="s">
        <v>63</v>
      </c>
      <c r="E41" s="86"/>
      <c r="F41" s="86"/>
      <c r="G41" s="77"/>
      <c r="H41" s="78" t="s">
        <v>64</v>
      </c>
      <c r="I41" s="86"/>
      <c r="J41" s="86"/>
      <c r="K41" s="56" t="s">
        <v>65</v>
      </c>
      <c r="L41" s="86"/>
      <c r="M41" s="86"/>
      <c r="N41" s="79" t="s">
        <v>66</v>
      </c>
      <c r="O41" s="58" t="s">
        <v>67</v>
      </c>
    </row>
    <row r="42" spans="1:17" ht="22.5" customHeight="1" thickBot="1" x14ac:dyDescent="0.35">
      <c r="A42" s="87" t="s">
        <v>68</v>
      </c>
      <c r="B42" s="88"/>
      <c r="C42" s="89" t="s">
        <v>69</v>
      </c>
      <c r="D42" s="90"/>
      <c r="E42" s="59" t="s">
        <v>70</v>
      </c>
      <c r="F42" s="89"/>
      <c r="G42" s="90"/>
      <c r="H42" s="59" t="s">
        <v>71</v>
      </c>
      <c r="I42" s="89" t="s">
        <v>72</v>
      </c>
      <c r="J42" s="90"/>
      <c r="K42" s="59" t="s">
        <v>73</v>
      </c>
      <c r="L42" s="91" t="s">
        <v>74</v>
      </c>
      <c r="M42" s="91"/>
      <c r="N42" s="91"/>
      <c r="O42" s="92"/>
    </row>
    <row r="43" spans="1:17" ht="19.5" customHeight="1" x14ac:dyDescent="0.3">
      <c r="A43" s="45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46"/>
    </row>
    <row r="44" spans="1:17" ht="19.5" customHeight="1" x14ac:dyDescent="0.3">
      <c r="A44" s="45"/>
      <c r="B44" s="69"/>
      <c r="C44" s="69"/>
      <c r="D44" s="69"/>
      <c r="E44" s="83"/>
      <c r="F44" s="83"/>
      <c r="G44" s="84"/>
      <c r="H44" s="84"/>
      <c r="I44" s="84"/>
      <c r="J44" s="84"/>
      <c r="K44" s="84"/>
      <c r="L44" s="84"/>
      <c r="M44" s="84"/>
      <c r="N44" s="84"/>
      <c r="O44" s="80"/>
    </row>
    <row r="45" spans="1:17" ht="19.5" customHeight="1" x14ac:dyDescent="0.3">
      <c r="A45" s="45"/>
      <c r="B45" s="69"/>
      <c r="C45" s="69"/>
      <c r="D45" s="69"/>
      <c r="E45" s="81"/>
      <c r="F45" s="81"/>
      <c r="G45" s="81"/>
      <c r="H45" s="82"/>
      <c r="I45" s="81"/>
      <c r="J45" s="82"/>
      <c r="K45" s="81"/>
      <c r="L45" s="82"/>
      <c r="M45" s="81"/>
      <c r="N45" s="81"/>
      <c r="O45" s="63"/>
    </row>
    <row r="46" spans="1:17" ht="31.5" customHeight="1" thickBot="1" x14ac:dyDescent="0.35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6"/>
    </row>
    <row r="50" spans="2:7" ht="19.5" customHeight="1" x14ac:dyDescent="0.3">
      <c r="B50" s="85"/>
      <c r="C50" s="85"/>
      <c r="D50" s="85"/>
      <c r="E50" s="85"/>
      <c r="F50" s="85"/>
      <c r="G50" s="85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B16:D16"/>
    <mergeCell ref="G16:H16"/>
    <mergeCell ref="I16:J16"/>
    <mergeCell ref="K16:M16"/>
    <mergeCell ref="N16:O20"/>
    <mergeCell ref="B17:D17"/>
    <mergeCell ref="G17:H17"/>
    <mergeCell ref="I17:J17"/>
    <mergeCell ref="K17:M17"/>
    <mergeCell ref="B18:D18"/>
    <mergeCell ref="A20:J20"/>
    <mergeCell ref="K20:M20"/>
    <mergeCell ref="B21:D21"/>
    <mergeCell ref="G21:H21"/>
    <mergeCell ref="I21:J21"/>
    <mergeCell ref="K21:M21"/>
    <mergeCell ref="G18:H18"/>
    <mergeCell ref="I18:J18"/>
    <mergeCell ref="K18:M18"/>
    <mergeCell ref="B19:D19"/>
    <mergeCell ref="G19:H19"/>
    <mergeCell ref="I19:J19"/>
    <mergeCell ref="K19:M19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G27:H27"/>
    <mergeCell ref="I27:J27"/>
    <mergeCell ref="K27:M27"/>
    <mergeCell ref="B28:D28"/>
    <mergeCell ref="G28:H28"/>
    <mergeCell ref="I28:J28"/>
    <mergeCell ref="K28:M28"/>
    <mergeCell ref="B25:D25"/>
    <mergeCell ref="G25:H25"/>
    <mergeCell ref="I25:J25"/>
    <mergeCell ref="K25:M25"/>
    <mergeCell ref="B26:D26"/>
    <mergeCell ref="G26:H26"/>
    <mergeCell ref="I26:J26"/>
    <mergeCell ref="K26:M26"/>
    <mergeCell ref="B27:D27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4B90-56F3-4510-B788-99698468BAFD}">
  <dimension ref="A1:Y50"/>
  <sheetViews>
    <sheetView view="pageBreakPreview" topLeftCell="A27" zoomScale="85" zoomScaleNormal="70" zoomScaleSheetLayoutView="85" workbookViewId="0">
      <selection activeCell="B30" sqref="B30:D30"/>
    </sheetView>
  </sheetViews>
  <sheetFormatPr defaultColWidth="9" defaultRowHeight="16.5" x14ac:dyDescent="0.3"/>
  <cols>
    <col min="1" max="1" width="9.625" style="30" customWidth="1"/>
    <col min="2" max="4" width="10.125" style="30" customWidth="1"/>
    <col min="5" max="8" width="9.625" style="30" customWidth="1"/>
    <col min="9" max="9" width="11.125" style="30" customWidth="1"/>
    <col min="10" max="11" width="9.625" style="30" customWidth="1"/>
    <col min="12" max="13" width="6.125" style="30" customWidth="1"/>
    <col min="14" max="15" width="9.875" style="30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30" customWidth="1"/>
    <col min="23" max="24" width="9" style="30"/>
    <col min="25" max="25" width="12.375" style="30" bestFit="1" customWidth="1"/>
    <col min="26" max="16384" width="9" style="30"/>
  </cols>
  <sheetData>
    <row r="1" spans="1:15" ht="39" x14ac:dyDescent="0.3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9"/>
    </row>
    <row r="2" spans="1:15" ht="16.5" customHeight="1" thickBot="1" x14ac:dyDescent="0.35">
      <c r="A2" s="2"/>
      <c r="B2" s="67"/>
      <c r="C2" s="67"/>
      <c r="D2" s="67"/>
      <c r="E2" s="67"/>
      <c r="F2" s="67"/>
      <c r="G2" s="67"/>
      <c r="H2" s="4"/>
      <c r="I2" s="4"/>
      <c r="J2" s="4"/>
      <c r="K2" s="4"/>
      <c r="L2" s="4"/>
      <c r="M2" s="4"/>
      <c r="N2" s="67"/>
      <c r="O2" s="5"/>
    </row>
    <row r="3" spans="1:15" ht="22.5" customHeight="1" x14ac:dyDescent="0.3">
      <c r="A3" s="210" t="s">
        <v>80</v>
      </c>
      <c r="B3" s="211"/>
      <c r="C3" s="211"/>
      <c r="D3" s="211"/>
      <c r="E3" s="211"/>
      <c r="F3" s="68"/>
      <c r="G3" s="7" t="s">
        <v>2</v>
      </c>
      <c r="H3" s="212" t="s">
        <v>3</v>
      </c>
      <c r="I3" s="212"/>
      <c r="J3" s="212"/>
      <c r="K3" s="212"/>
      <c r="L3" s="212"/>
      <c r="M3" s="212"/>
      <c r="N3" s="213"/>
      <c r="O3" s="214"/>
    </row>
    <row r="4" spans="1:15" ht="22.5" customHeight="1" x14ac:dyDescent="0.3">
      <c r="A4" s="215" t="s">
        <v>4</v>
      </c>
      <c r="B4" s="216"/>
      <c r="C4" s="217">
        <v>46125</v>
      </c>
      <c r="D4" s="217"/>
      <c r="E4" s="217"/>
      <c r="F4" s="69"/>
      <c r="G4" s="9" t="s">
        <v>5</v>
      </c>
      <c r="H4" s="194" t="s">
        <v>6</v>
      </c>
      <c r="I4" s="194"/>
      <c r="J4" s="194"/>
      <c r="K4" s="10" t="s">
        <v>7</v>
      </c>
      <c r="L4" s="218" t="s">
        <v>8</v>
      </c>
      <c r="M4" s="218"/>
      <c r="N4" s="219"/>
      <c r="O4" s="220"/>
    </row>
    <row r="5" spans="1:15" ht="22.5" customHeight="1" x14ac:dyDescent="0.3">
      <c r="A5" s="203" t="s">
        <v>9</v>
      </c>
      <c r="B5" s="204"/>
      <c r="C5" s="205" t="s">
        <v>10</v>
      </c>
      <c r="D5" s="205"/>
      <c r="E5" s="205"/>
      <c r="F5" s="69"/>
      <c r="G5" s="206" t="s">
        <v>11</v>
      </c>
      <c r="H5" s="195" t="s">
        <v>12</v>
      </c>
      <c r="I5" s="195"/>
      <c r="J5" s="195"/>
      <c r="K5" s="195"/>
      <c r="L5" s="195"/>
      <c r="M5" s="195"/>
      <c r="N5" s="196"/>
      <c r="O5" s="197"/>
    </row>
    <row r="6" spans="1:15" ht="22.5" customHeight="1" x14ac:dyDescent="0.3">
      <c r="A6" s="203" t="s">
        <v>13</v>
      </c>
      <c r="B6" s="204"/>
      <c r="C6" s="205" t="s">
        <v>14</v>
      </c>
      <c r="D6" s="205"/>
      <c r="E6" s="205"/>
      <c r="F6" s="69"/>
      <c r="G6" s="206"/>
      <c r="H6" s="195"/>
      <c r="I6" s="195"/>
      <c r="J6" s="195"/>
      <c r="K6" s="195"/>
      <c r="L6" s="195"/>
      <c r="M6" s="195"/>
      <c r="N6" s="196"/>
      <c r="O6" s="197"/>
    </row>
    <row r="7" spans="1:15" ht="22.5" customHeight="1" x14ac:dyDescent="0.3">
      <c r="A7" s="189" t="s">
        <v>15</v>
      </c>
      <c r="B7" s="190"/>
      <c r="C7" s="191">
        <f>K13</f>
        <v>380000</v>
      </c>
      <c r="D7" s="191"/>
      <c r="E7" s="191"/>
      <c r="F7" s="193" t="s">
        <v>16</v>
      </c>
      <c r="G7" s="9" t="s">
        <v>17</v>
      </c>
      <c r="H7" s="194" t="s">
        <v>18</v>
      </c>
      <c r="I7" s="194"/>
      <c r="J7" s="194"/>
      <c r="K7" s="10" t="s">
        <v>19</v>
      </c>
      <c r="L7" s="195" t="s">
        <v>20</v>
      </c>
      <c r="M7" s="195"/>
      <c r="N7" s="196"/>
      <c r="O7" s="197"/>
    </row>
    <row r="8" spans="1:15" ht="22.5" customHeight="1" thickBot="1" x14ac:dyDescent="0.35">
      <c r="A8" s="198" t="s">
        <v>21</v>
      </c>
      <c r="B8" s="199"/>
      <c r="C8" s="192"/>
      <c r="D8" s="192"/>
      <c r="E8" s="192"/>
      <c r="F8" s="193"/>
      <c r="G8" s="11" t="s">
        <v>22</v>
      </c>
      <c r="H8" s="200" t="s">
        <v>23</v>
      </c>
      <c r="I8" s="200"/>
      <c r="J8" s="200"/>
      <c r="K8" s="12" t="s">
        <v>24</v>
      </c>
      <c r="L8" s="200" t="s">
        <v>25</v>
      </c>
      <c r="M8" s="200"/>
      <c r="N8" s="201"/>
      <c r="O8" s="202"/>
    </row>
    <row r="9" spans="1:15" ht="19.5" customHeight="1" x14ac:dyDescent="0.3">
      <c r="A9" s="70"/>
      <c r="B9" s="71"/>
      <c r="C9" s="72"/>
      <c r="D9" s="179"/>
      <c r="E9" s="179"/>
      <c r="F9" s="73"/>
      <c r="G9" s="74"/>
      <c r="H9" s="74"/>
      <c r="I9" s="74"/>
      <c r="J9" s="74"/>
      <c r="K9" s="74"/>
      <c r="L9" s="74"/>
      <c r="M9" s="74"/>
      <c r="N9" s="74"/>
      <c r="O9" s="18"/>
    </row>
    <row r="10" spans="1:15" ht="19.5" customHeight="1" x14ac:dyDescent="0.3">
      <c r="A10" s="19" t="s">
        <v>26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4"/>
      <c r="N10" s="180" t="s">
        <v>27</v>
      </c>
      <c r="O10" s="181"/>
    </row>
    <row r="11" spans="1:15" ht="9.75" customHeight="1" thickBot="1" x14ac:dyDescent="0.35">
      <c r="A11" s="19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4"/>
      <c r="N11" s="182"/>
      <c r="O11" s="183"/>
    </row>
    <row r="12" spans="1:15" ht="23.25" customHeight="1" thickBot="1" x14ac:dyDescent="0.35">
      <c r="A12" s="21" t="s">
        <v>28</v>
      </c>
      <c r="B12" s="184" t="s">
        <v>29</v>
      </c>
      <c r="C12" s="184"/>
      <c r="D12" s="184"/>
      <c r="E12" s="184" t="s">
        <v>30</v>
      </c>
      <c r="F12" s="184"/>
      <c r="G12" s="184"/>
      <c r="H12" s="185" t="s">
        <v>31</v>
      </c>
      <c r="I12" s="185"/>
      <c r="J12" s="185"/>
      <c r="K12" s="186" t="s">
        <v>32</v>
      </c>
      <c r="L12" s="187"/>
      <c r="M12" s="187"/>
      <c r="N12" s="187"/>
      <c r="O12" s="188"/>
    </row>
    <row r="13" spans="1:15" ht="38.25" customHeight="1" thickTop="1" thickBot="1" x14ac:dyDescent="0.35">
      <c r="A13" s="22" t="s">
        <v>33</v>
      </c>
      <c r="B13" s="171">
        <f>SUM(K16:M19)</f>
        <v>0</v>
      </c>
      <c r="C13" s="172"/>
      <c r="D13" s="172"/>
      <c r="E13" s="171">
        <f>K31</f>
        <v>380000</v>
      </c>
      <c r="F13" s="172"/>
      <c r="G13" s="172"/>
      <c r="H13" s="173"/>
      <c r="I13" s="174"/>
      <c r="J13" s="175"/>
      <c r="K13" s="176">
        <f>B13+E13+H13</f>
        <v>380000</v>
      </c>
      <c r="L13" s="177"/>
      <c r="M13" s="177"/>
      <c r="N13" s="177"/>
      <c r="O13" s="178"/>
    </row>
    <row r="14" spans="1:15" ht="22.5" customHeight="1" x14ac:dyDescent="0.3">
      <c r="A14" s="23" t="s">
        <v>34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4"/>
      <c r="N14" s="74"/>
      <c r="O14" s="18"/>
    </row>
    <row r="15" spans="1:15" ht="22.5" customHeight="1" thickBot="1" x14ac:dyDescent="0.35">
      <c r="A15" s="24" t="s">
        <v>35</v>
      </c>
      <c r="B15" s="144" t="s">
        <v>36</v>
      </c>
      <c r="C15" s="145"/>
      <c r="D15" s="146"/>
      <c r="E15" s="25" t="s">
        <v>37</v>
      </c>
      <c r="F15" s="25" t="s">
        <v>38</v>
      </c>
      <c r="G15" s="147" t="s">
        <v>39</v>
      </c>
      <c r="H15" s="147"/>
      <c r="I15" s="148"/>
      <c r="J15" s="148"/>
      <c r="K15" s="144" t="s">
        <v>40</v>
      </c>
      <c r="L15" s="145"/>
      <c r="M15" s="145"/>
      <c r="N15" s="144" t="s">
        <v>41</v>
      </c>
      <c r="O15" s="149"/>
    </row>
    <row r="16" spans="1:15" ht="22.5" customHeight="1" thickTop="1" x14ac:dyDescent="0.3">
      <c r="A16" s="26"/>
      <c r="B16" s="160"/>
      <c r="C16" s="161"/>
      <c r="D16" s="162"/>
      <c r="E16" s="27"/>
      <c r="F16" s="29"/>
      <c r="G16" s="141"/>
      <c r="H16" s="142"/>
      <c r="I16" s="143"/>
      <c r="J16" s="143"/>
      <c r="K16" s="96"/>
      <c r="L16" s="97"/>
      <c r="M16" s="97"/>
      <c r="N16" s="163"/>
      <c r="O16" s="164"/>
    </row>
    <row r="17" spans="1:25" ht="22.5" customHeight="1" x14ac:dyDescent="0.3">
      <c r="A17" s="26"/>
      <c r="B17" s="169"/>
      <c r="C17" s="94"/>
      <c r="D17" s="95"/>
      <c r="E17" s="27"/>
      <c r="F17" s="29"/>
      <c r="G17" s="153"/>
      <c r="H17" s="154"/>
      <c r="I17" s="113"/>
      <c r="J17" s="115"/>
      <c r="K17" s="96"/>
      <c r="L17" s="97"/>
      <c r="M17" s="97"/>
      <c r="N17" s="165"/>
      <c r="O17" s="166"/>
    </row>
    <row r="18" spans="1:25" ht="22.5" customHeight="1" x14ac:dyDescent="0.3">
      <c r="A18" s="26"/>
      <c r="B18" s="170"/>
      <c r="C18" s="94"/>
      <c r="D18" s="95"/>
      <c r="E18" s="27"/>
      <c r="F18" s="29"/>
      <c r="G18" s="153"/>
      <c r="H18" s="154"/>
      <c r="I18" s="113"/>
      <c r="J18" s="115"/>
      <c r="K18" s="96"/>
      <c r="L18" s="97"/>
      <c r="M18" s="97"/>
      <c r="N18" s="165"/>
      <c r="O18" s="166"/>
    </row>
    <row r="19" spans="1:25" ht="22.5" customHeight="1" x14ac:dyDescent="0.3">
      <c r="A19" s="31"/>
      <c r="B19" s="155"/>
      <c r="C19" s="156"/>
      <c r="D19" s="157"/>
      <c r="E19" s="32"/>
      <c r="F19" s="33"/>
      <c r="G19" s="158"/>
      <c r="H19" s="159"/>
      <c r="I19" s="112"/>
      <c r="J19" s="112"/>
      <c r="K19" s="96"/>
      <c r="L19" s="97"/>
      <c r="M19" s="97"/>
      <c r="N19" s="165"/>
      <c r="O19" s="166"/>
    </row>
    <row r="20" spans="1:25" ht="22.5" customHeight="1" x14ac:dyDescent="0.3">
      <c r="A20" s="150" t="s">
        <v>42</v>
      </c>
      <c r="B20" s="151"/>
      <c r="C20" s="151"/>
      <c r="D20" s="151"/>
      <c r="E20" s="151"/>
      <c r="F20" s="151"/>
      <c r="G20" s="151"/>
      <c r="H20" s="151"/>
      <c r="I20" s="151"/>
      <c r="J20" s="152"/>
      <c r="K20" s="96">
        <f>SUM(K16:M19)</f>
        <v>0</v>
      </c>
      <c r="L20" s="97"/>
      <c r="M20" s="97"/>
      <c r="N20" s="167"/>
      <c r="O20" s="168"/>
    </row>
    <row r="21" spans="1:25" ht="22.5" hidden="1" customHeight="1" x14ac:dyDescent="0.3">
      <c r="A21" s="26">
        <v>5</v>
      </c>
      <c r="B21" s="138" t="s">
        <v>16</v>
      </c>
      <c r="C21" s="139"/>
      <c r="D21" s="140"/>
      <c r="E21" s="29" t="s">
        <v>16</v>
      </c>
      <c r="F21" s="29" t="s">
        <v>16</v>
      </c>
      <c r="G21" s="141"/>
      <c r="H21" s="142"/>
      <c r="I21" s="143"/>
      <c r="J21" s="143"/>
      <c r="K21" s="96"/>
      <c r="L21" s="97"/>
      <c r="M21" s="97"/>
      <c r="N21" s="136"/>
      <c r="O21" s="137"/>
    </row>
    <row r="22" spans="1:25" ht="22.5" hidden="1" customHeight="1" x14ac:dyDescent="0.3">
      <c r="A22" s="26">
        <v>6</v>
      </c>
      <c r="B22" s="138" t="s">
        <v>16</v>
      </c>
      <c r="C22" s="139"/>
      <c r="D22" s="140"/>
      <c r="E22" s="29" t="s">
        <v>16</v>
      </c>
      <c r="F22" s="29" t="s">
        <v>16</v>
      </c>
      <c r="G22" s="141"/>
      <c r="H22" s="142"/>
      <c r="I22" s="143"/>
      <c r="J22" s="143"/>
      <c r="K22" s="96"/>
      <c r="L22" s="97"/>
      <c r="M22" s="97"/>
      <c r="N22" s="34" t="s">
        <v>16</v>
      </c>
      <c r="O22" s="35">
        <v>0</v>
      </c>
    </row>
    <row r="23" spans="1:25" ht="22.5" customHeight="1" x14ac:dyDescent="0.3">
      <c r="A23" s="76" t="s">
        <v>43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46"/>
    </row>
    <row r="24" spans="1:25" ht="22.5" customHeight="1" thickBot="1" x14ac:dyDescent="0.35">
      <c r="A24" s="24" t="s">
        <v>35</v>
      </c>
      <c r="B24" s="144" t="s">
        <v>45</v>
      </c>
      <c r="C24" s="145"/>
      <c r="D24" s="146"/>
      <c r="E24" s="25" t="s">
        <v>37</v>
      </c>
      <c r="F24" s="25" t="s">
        <v>47</v>
      </c>
      <c r="G24" s="147" t="s">
        <v>39</v>
      </c>
      <c r="H24" s="147"/>
      <c r="I24" s="148"/>
      <c r="J24" s="148"/>
      <c r="K24" s="144" t="s">
        <v>40</v>
      </c>
      <c r="L24" s="145"/>
      <c r="M24" s="145"/>
      <c r="N24" s="144" t="s">
        <v>41</v>
      </c>
      <c r="O24" s="149"/>
      <c r="Y24" s="1"/>
    </row>
    <row r="25" spans="1:25" ht="21.75" customHeight="1" thickTop="1" x14ac:dyDescent="0.3">
      <c r="A25" s="39">
        <v>1</v>
      </c>
      <c r="B25" s="116" t="s">
        <v>76</v>
      </c>
      <c r="C25" s="117"/>
      <c r="D25" s="118"/>
      <c r="E25" s="40">
        <v>10</v>
      </c>
      <c r="F25" s="34" t="s">
        <v>50</v>
      </c>
      <c r="G25" s="119">
        <v>10000</v>
      </c>
      <c r="H25" s="120"/>
      <c r="I25" s="121"/>
      <c r="J25" s="122"/>
      <c r="K25" s="123">
        <f>G25*E25</f>
        <v>100000</v>
      </c>
      <c r="L25" s="124"/>
      <c r="M25" s="125"/>
      <c r="N25" s="126"/>
      <c r="O25" s="127"/>
    </row>
    <row r="26" spans="1:25" ht="21.75" customHeight="1" x14ac:dyDescent="0.3">
      <c r="A26" s="26">
        <v>2</v>
      </c>
      <c r="B26" s="109" t="s">
        <v>77</v>
      </c>
      <c r="C26" s="109"/>
      <c r="D26" s="109"/>
      <c r="E26" s="41">
        <v>18</v>
      </c>
      <c r="F26" s="34" t="s">
        <v>50</v>
      </c>
      <c r="G26" s="132">
        <v>10000</v>
      </c>
      <c r="H26" s="133"/>
      <c r="I26" s="134"/>
      <c r="J26" s="134"/>
      <c r="K26" s="113">
        <f>G26*E26</f>
        <v>180000</v>
      </c>
      <c r="L26" s="114"/>
      <c r="M26" s="115"/>
      <c r="N26" s="128"/>
      <c r="O26" s="129"/>
    </row>
    <row r="27" spans="1:25" ht="21.75" customHeight="1" x14ac:dyDescent="0.3">
      <c r="A27" s="42">
        <v>3</v>
      </c>
      <c r="B27" s="135" t="s">
        <v>79</v>
      </c>
      <c r="C27" s="109"/>
      <c r="D27" s="109"/>
      <c r="E27" s="43">
        <v>2</v>
      </c>
      <c r="F27" s="34" t="s">
        <v>50</v>
      </c>
      <c r="G27" s="110">
        <v>10000</v>
      </c>
      <c r="H27" s="111"/>
      <c r="I27" s="113"/>
      <c r="J27" s="115"/>
      <c r="K27" s="113">
        <f t="shared" ref="K27:K28" si="0">G27*E27</f>
        <v>20000</v>
      </c>
      <c r="L27" s="114"/>
      <c r="M27" s="115"/>
      <c r="N27" s="128"/>
      <c r="O27" s="129"/>
    </row>
    <row r="28" spans="1:25" ht="21.75" customHeight="1" x14ac:dyDescent="0.3">
      <c r="A28" s="44">
        <v>4</v>
      </c>
      <c r="B28" s="109" t="s">
        <v>81</v>
      </c>
      <c r="C28" s="109"/>
      <c r="D28" s="109"/>
      <c r="E28" s="40">
        <v>8</v>
      </c>
      <c r="F28" s="34" t="s">
        <v>50</v>
      </c>
      <c r="G28" s="110">
        <v>10000</v>
      </c>
      <c r="H28" s="111"/>
      <c r="I28" s="112"/>
      <c r="J28" s="112"/>
      <c r="K28" s="113">
        <f t="shared" si="0"/>
        <v>80000</v>
      </c>
      <c r="L28" s="114"/>
      <c r="M28" s="115"/>
      <c r="N28" s="128"/>
      <c r="O28" s="129"/>
    </row>
    <row r="29" spans="1:25" ht="21.75" customHeight="1" x14ac:dyDescent="0.3">
      <c r="A29" s="26"/>
      <c r="B29" s="109"/>
      <c r="C29" s="109"/>
      <c r="D29" s="109"/>
      <c r="E29" s="40"/>
      <c r="F29" s="34"/>
      <c r="G29" s="110"/>
      <c r="H29" s="111"/>
      <c r="I29" s="112"/>
      <c r="J29" s="112"/>
      <c r="K29" s="113"/>
      <c r="L29" s="114"/>
      <c r="M29" s="115"/>
      <c r="N29" s="128"/>
      <c r="O29" s="129"/>
    </row>
    <row r="30" spans="1:25" ht="21.75" customHeight="1" x14ac:dyDescent="0.3">
      <c r="A30" s="26"/>
      <c r="B30" s="109"/>
      <c r="C30" s="109"/>
      <c r="D30" s="109"/>
      <c r="E30" s="43"/>
      <c r="F30" s="34"/>
      <c r="G30" s="110"/>
      <c r="H30" s="111"/>
      <c r="I30" s="113"/>
      <c r="J30" s="115"/>
      <c r="K30" s="113"/>
      <c r="L30" s="114"/>
      <c r="M30" s="115"/>
      <c r="N30" s="128"/>
      <c r="O30" s="129"/>
    </row>
    <row r="31" spans="1:25" ht="21.75" customHeight="1" x14ac:dyDescent="0.3">
      <c r="A31" s="93" t="s">
        <v>52</v>
      </c>
      <c r="B31" s="94"/>
      <c r="C31" s="94"/>
      <c r="D31" s="94"/>
      <c r="E31" s="94"/>
      <c r="F31" s="94"/>
      <c r="G31" s="94"/>
      <c r="H31" s="94"/>
      <c r="I31" s="94"/>
      <c r="J31" s="95"/>
      <c r="K31" s="96">
        <f>SUM(K25:M30)</f>
        <v>380000</v>
      </c>
      <c r="L31" s="97"/>
      <c r="M31" s="97"/>
      <c r="N31" s="130"/>
      <c r="O31" s="131"/>
    </row>
    <row r="32" spans="1:25" ht="11.25" customHeight="1" x14ac:dyDescent="0.3">
      <c r="A32" s="45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46"/>
    </row>
    <row r="33" spans="1:17" ht="23.25" customHeight="1" x14ac:dyDescent="0.3">
      <c r="A33" s="98" t="s">
        <v>53</v>
      </c>
      <c r="B33" s="9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46"/>
    </row>
    <row r="34" spans="1:17" ht="75.75" customHeight="1" x14ac:dyDescent="0.3">
      <c r="A34" s="100" t="s">
        <v>54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2"/>
      <c r="O34" s="103"/>
      <c r="Q34" s="47"/>
    </row>
    <row r="35" spans="1:17" ht="75.75" customHeight="1" x14ac:dyDescent="0.3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2"/>
      <c r="O35" s="103"/>
    </row>
    <row r="36" spans="1:17" ht="75.75" customHeight="1" x14ac:dyDescent="0.3">
      <c r="A36" s="100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2"/>
      <c r="O36" s="103"/>
    </row>
    <row r="37" spans="1:17" ht="75.75" customHeight="1" x14ac:dyDescent="0.3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2"/>
      <c r="O37" s="103"/>
    </row>
    <row r="38" spans="1:17" ht="75.75" customHeight="1" x14ac:dyDescent="0.3">
      <c r="A38" s="100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2"/>
      <c r="O38" s="103"/>
    </row>
    <row r="39" spans="1:17" ht="24" customHeight="1" x14ac:dyDescent="0.3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6"/>
    </row>
    <row r="40" spans="1:17" ht="22.5" customHeight="1" x14ac:dyDescent="0.3">
      <c r="A40" s="48" t="s">
        <v>55</v>
      </c>
      <c r="B40" s="107" t="s">
        <v>56</v>
      </c>
      <c r="C40" s="107"/>
      <c r="D40" s="107"/>
      <c r="E40" s="107"/>
      <c r="F40" s="49" t="s">
        <v>57</v>
      </c>
      <c r="G40" s="50" t="s">
        <v>58</v>
      </c>
      <c r="H40" s="49" t="s">
        <v>59</v>
      </c>
      <c r="I40" s="50" t="s">
        <v>60</v>
      </c>
      <c r="J40" s="49"/>
      <c r="K40" s="50"/>
      <c r="L40" s="108"/>
      <c r="M40" s="108"/>
      <c r="N40" s="51"/>
      <c r="O40" s="52"/>
    </row>
    <row r="41" spans="1:17" ht="22.5" customHeight="1" thickBot="1" x14ac:dyDescent="0.35">
      <c r="A41" s="53" t="s">
        <v>61</v>
      </c>
      <c r="B41" s="86" t="s">
        <v>62</v>
      </c>
      <c r="C41" s="86"/>
      <c r="D41" s="86" t="s">
        <v>63</v>
      </c>
      <c r="E41" s="86"/>
      <c r="F41" s="86"/>
      <c r="G41" s="77"/>
      <c r="H41" s="78" t="s">
        <v>64</v>
      </c>
      <c r="I41" s="86"/>
      <c r="J41" s="86"/>
      <c r="K41" s="56" t="s">
        <v>65</v>
      </c>
      <c r="L41" s="86"/>
      <c r="M41" s="86"/>
      <c r="N41" s="79" t="s">
        <v>66</v>
      </c>
      <c r="O41" s="58" t="s">
        <v>67</v>
      </c>
    </row>
    <row r="42" spans="1:17" ht="22.5" customHeight="1" thickBot="1" x14ac:dyDescent="0.35">
      <c r="A42" s="87" t="s">
        <v>68</v>
      </c>
      <c r="B42" s="88"/>
      <c r="C42" s="89" t="s">
        <v>69</v>
      </c>
      <c r="D42" s="90"/>
      <c r="E42" s="59" t="s">
        <v>70</v>
      </c>
      <c r="F42" s="89"/>
      <c r="G42" s="90"/>
      <c r="H42" s="59" t="s">
        <v>71</v>
      </c>
      <c r="I42" s="89" t="s">
        <v>72</v>
      </c>
      <c r="J42" s="90"/>
      <c r="K42" s="59" t="s">
        <v>73</v>
      </c>
      <c r="L42" s="91" t="s">
        <v>74</v>
      </c>
      <c r="M42" s="91"/>
      <c r="N42" s="91"/>
      <c r="O42" s="92"/>
    </row>
    <row r="43" spans="1:17" ht="19.5" customHeight="1" x14ac:dyDescent="0.3">
      <c r="A43" s="45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46"/>
    </row>
    <row r="44" spans="1:17" ht="19.5" customHeight="1" x14ac:dyDescent="0.3">
      <c r="A44" s="45"/>
      <c r="B44" s="69"/>
      <c r="C44" s="69"/>
      <c r="D44" s="69"/>
      <c r="E44" s="83"/>
      <c r="F44" s="83"/>
      <c r="G44" s="84"/>
      <c r="H44" s="84"/>
      <c r="I44" s="84"/>
      <c r="J44" s="84"/>
      <c r="K44" s="84"/>
      <c r="L44" s="84"/>
      <c r="M44" s="84"/>
      <c r="N44" s="84"/>
      <c r="O44" s="80"/>
    </row>
    <row r="45" spans="1:17" ht="19.5" customHeight="1" x14ac:dyDescent="0.3">
      <c r="A45" s="45"/>
      <c r="B45" s="69"/>
      <c r="C45" s="69"/>
      <c r="D45" s="69"/>
      <c r="E45" s="81"/>
      <c r="F45" s="81"/>
      <c r="G45" s="81"/>
      <c r="H45" s="82"/>
      <c r="I45" s="81"/>
      <c r="J45" s="82"/>
      <c r="K45" s="81"/>
      <c r="L45" s="82"/>
      <c r="M45" s="81"/>
      <c r="N45" s="81"/>
      <c r="O45" s="63"/>
    </row>
    <row r="46" spans="1:17" ht="31.5" customHeight="1" thickBot="1" x14ac:dyDescent="0.35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6"/>
    </row>
    <row r="50" spans="2:7" ht="21" customHeight="1" x14ac:dyDescent="0.3">
      <c r="B50" s="85"/>
      <c r="C50" s="85"/>
      <c r="D50" s="85"/>
      <c r="E50" s="85"/>
      <c r="F50" s="85"/>
      <c r="G50" s="85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B16:D16"/>
    <mergeCell ref="G16:H16"/>
    <mergeCell ref="I16:J16"/>
    <mergeCell ref="K16:M16"/>
    <mergeCell ref="N16:O20"/>
    <mergeCell ref="B17:D17"/>
    <mergeCell ref="G17:H17"/>
    <mergeCell ref="I17:J17"/>
    <mergeCell ref="K17:M17"/>
    <mergeCell ref="B18:D18"/>
    <mergeCell ref="A20:J20"/>
    <mergeCell ref="K20:M20"/>
    <mergeCell ref="B21:D21"/>
    <mergeCell ref="G21:H21"/>
    <mergeCell ref="I21:J21"/>
    <mergeCell ref="K21:M21"/>
    <mergeCell ref="G18:H18"/>
    <mergeCell ref="I18:J18"/>
    <mergeCell ref="K18:M18"/>
    <mergeCell ref="B19:D19"/>
    <mergeCell ref="G19:H19"/>
    <mergeCell ref="I19:J19"/>
    <mergeCell ref="K19:M19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G27:H27"/>
    <mergeCell ref="I27:J27"/>
    <mergeCell ref="K27:M27"/>
    <mergeCell ref="B28:D28"/>
    <mergeCell ref="G28:H28"/>
    <mergeCell ref="I28:J28"/>
    <mergeCell ref="K28:M28"/>
    <mergeCell ref="B25:D25"/>
    <mergeCell ref="G25:H25"/>
    <mergeCell ref="I25:J25"/>
    <mergeCell ref="K25:M25"/>
    <mergeCell ref="B26:D26"/>
    <mergeCell ref="G26:H26"/>
    <mergeCell ref="I26:J26"/>
    <mergeCell ref="K26:M26"/>
    <mergeCell ref="B27:D27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view="pageBreakPreview" zoomScale="85" zoomScaleNormal="70" zoomScaleSheetLayoutView="85" workbookViewId="0">
      <selection activeCell="B15" sqref="B15:D15"/>
    </sheetView>
  </sheetViews>
  <sheetFormatPr defaultColWidth="9" defaultRowHeight="16.5" x14ac:dyDescent="0.3"/>
  <cols>
    <col min="1" max="1" width="9.625" style="30" customWidth="1"/>
    <col min="2" max="4" width="10.125" style="30" customWidth="1"/>
    <col min="5" max="8" width="9.625" style="30" customWidth="1"/>
    <col min="9" max="9" width="11.125" style="30" customWidth="1"/>
    <col min="10" max="11" width="9.625" style="30" customWidth="1"/>
    <col min="12" max="13" width="6.125" style="30" customWidth="1"/>
    <col min="14" max="15" width="9.875" style="30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30" customWidth="1"/>
    <col min="23" max="24" width="9" style="30"/>
    <col min="25" max="25" width="12.375" style="30" bestFit="1" customWidth="1"/>
    <col min="26" max="16384" width="9" style="30"/>
  </cols>
  <sheetData>
    <row r="1" spans="1:15" ht="39" x14ac:dyDescent="0.3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9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221" t="s">
        <v>1</v>
      </c>
      <c r="B3" s="222"/>
      <c r="C3" s="222"/>
      <c r="D3" s="222"/>
      <c r="E3" s="222"/>
      <c r="F3" s="6"/>
      <c r="G3" s="7" t="s">
        <v>2</v>
      </c>
      <c r="H3" s="212" t="s">
        <v>3</v>
      </c>
      <c r="I3" s="212"/>
      <c r="J3" s="212"/>
      <c r="K3" s="212"/>
      <c r="L3" s="212"/>
      <c r="M3" s="212"/>
      <c r="N3" s="213"/>
      <c r="O3" s="214"/>
    </row>
    <row r="4" spans="1:15" ht="22.5" customHeight="1" x14ac:dyDescent="0.3">
      <c r="A4" s="215" t="s">
        <v>4</v>
      </c>
      <c r="B4" s="216"/>
      <c r="C4" s="217">
        <v>46125</v>
      </c>
      <c r="D4" s="217"/>
      <c r="E4" s="217"/>
      <c r="F4" s="8"/>
      <c r="G4" s="9" t="s">
        <v>5</v>
      </c>
      <c r="H4" s="194" t="s">
        <v>6</v>
      </c>
      <c r="I4" s="194"/>
      <c r="J4" s="194"/>
      <c r="K4" s="10" t="s">
        <v>7</v>
      </c>
      <c r="L4" s="218" t="s">
        <v>8</v>
      </c>
      <c r="M4" s="218"/>
      <c r="N4" s="219"/>
      <c r="O4" s="220"/>
    </row>
    <row r="5" spans="1:15" ht="22.5" customHeight="1" x14ac:dyDescent="0.3">
      <c r="A5" s="203" t="s">
        <v>9</v>
      </c>
      <c r="B5" s="204"/>
      <c r="C5" s="205" t="s">
        <v>10</v>
      </c>
      <c r="D5" s="205"/>
      <c r="E5" s="205"/>
      <c r="F5" s="8"/>
      <c r="G5" s="206" t="s">
        <v>11</v>
      </c>
      <c r="H5" s="195" t="s">
        <v>12</v>
      </c>
      <c r="I5" s="195"/>
      <c r="J5" s="195"/>
      <c r="K5" s="195"/>
      <c r="L5" s="195"/>
      <c r="M5" s="195"/>
      <c r="N5" s="196"/>
      <c r="O5" s="197"/>
    </row>
    <row r="6" spans="1:15" ht="22.5" customHeight="1" x14ac:dyDescent="0.3">
      <c r="A6" s="203" t="s">
        <v>13</v>
      </c>
      <c r="B6" s="204"/>
      <c r="C6" s="205" t="s">
        <v>14</v>
      </c>
      <c r="D6" s="205"/>
      <c r="E6" s="205"/>
      <c r="F6" s="8"/>
      <c r="G6" s="206"/>
      <c r="H6" s="195"/>
      <c r="I6" s="195"/>
      <c r="J6" s="195"/>
      <c r="K6" s="195"/>
      <c r="L6" s="195"/>
      <c r="M6" s="195"/>
      <c r="N6" s="196"/>
      <c r="O6" s="197"/>
    </row>
    <row r="7" spans="1:15" ht="22.5" customHeight="1" x14ac:dyDescent="0.3">
      <c r="A7" s="189" t="s">
        <v>15</v>
      </c>
      <c r="B7" s="190"/>
      <c r="C7" s="191">
        <f>K13</f>
        <v>1990000</v>
      </c>
      <c r="D7" s="191"/>
      <c r="E7" s="191"/>
      <c r="F7" s="193" t="s">
        <v>16</v>
      </c>
      <c r="G7" s="9" t="s">
        <v>17</v>
      </c>
      <c r="H7" s="194" t="s">
        <v>18</v>
      </c>
      <c r="I7" s="194"/>
      <c r="J7" s="194"/>
      <c r="K7" s="10" t="s">
        <v>19</v>
      </c>
      <c r="L7" s="195" t="s">
        <v>20</v>
      </c>
      <c r="M7" s="195"/>
      <c r="N7" s="196"/>
      <c r="O7" s="197"/>
    </row>
    <row r="8" spans="1:15" ht="22.5" customHeight="1" thickBot="1" x14ac:dyDescent="0.35">
      <c r="A8" s="198" t="s">
        <v>21</v>
      </c>
      <c r="B8" s="199"/>
      <c r="C8" s="192"/>
      <c r="D8" s="192"/>
      <c r="E8" s="192"/>
      <c r="F8" s="193"/>
      <c r="G8" s="11" t="s">
        <v>22</v>
      </c>
      <c r="H8" s="200" t="s">
        <v>23</v>
      </c>
      <c r="I8" s="200"/>
      <c r="J8" s="200"/>
      <c r="K8" s="12" t="s">
        <v>24</v>
      </c>
      <c r="L8" s="200" t="s">
        <v>25</v>
      </c>
      <c r="M8" s="200"/>
      <c r="N8" s="201"/>
      <c r="O8" s="202"/>
    </row>
    <row r="9" spans="1:15" ht="19.5" customHeight="1" x14ac:dyDescent="0.3">
      <c r="A9" s="13"/>
      <c r="B9" s="14"/>
      <c r="C9" s="15"/>
      <c r="D9" s="179"/>
      <c r="E9" s="179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223" t="s">
        <v>27</v>
      </c>
      <c r="O10" s="181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182"/>
      <c r="O11" s="183"/>
    </row>
    <row r="12" spans="1:15" ht="23.25" customHeight="1" thickBot="1" x14ac:dyDescent="0.35">
      <c r="A12" s="21" t="s">
        <v>28</v>
      </c>
      <c r="B12" s="184" t="s">
        <v>29</v>
      </c>
      <c r="C12" s="184"/>
      <c r="D12" s="184"/>
      <c r="E12" s="184" t="s">
        <v>30</v>
      </c>
      <c r="F12" s="184"/>
      <c r="G12" s="184"/>
      <c r="H12" s="185" t="s">
        <v>31</v>
      </c>
      <c r="I12" s="185"/>
      <c r="J12" s="185"/>
      <c r="K12" s="186" t="s">
        <v>32</v>
      </c>
      <c r="L12" s="187"/>
      <c r="M12" s="187"/>
      <c r="N12" s="187"/>
      <c r="O12" s="188"/>
    </row>
    <row r="13" spans="1:15" ht="38.25" customHeight="1" thickTop="1" thickBot="1" x14ac:dyDescent="0.35">
      <c r="A13" s="22" t="s">
        <v>33</v>
      </c>
      <c r="B13" s="171">
        <f>SUM(K16:M19)</f>
        <v>0</v>
      </c>
      <c r="C13" s="172"/>
      <c r="D13" s="172"/>
      <c r="E13" s="171">
        <f>K31</f>
        <v>1990000</v>
      </c>
      <c r="F13" s="172"/>
      <c r="G13" s="172"/>
      <c r="H13" s="173"/>
      <c r="I13" s="174"/>
      <c r="J13" s="175"/>
      <c r="K13" s="176">
        <f>B13+E13+H13</f>
        <v>1990000</v>
      </c>
      <c r="L13" s="177"/>
      <c r="M13" s="177"/>
      <c r="N13" s="177"/>
      <c r="O13" s="178"/>
    </row>
    <row r="14" spans="1:15" ht="22.5" customHeight="1" x14ac:dyDescent="0.3">
      <c r="A14" s="23" t="s">
        <v>34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35</v>
      </c>
      <c r="B15" s="144" t="s">
        <v>36</v>
      </c>
      <c r="C15" s="145"/>
      <c r="D15" s="146"/>
      <c r="E15" s="25" t="s">
        <v>37</v>
      </c>
      <c r="F15" s="25" t="s">
        <v>38</v>
      </c>
      <c r="G15" s="147" t="s">
        <v>39</v>
      </c>
      <c r="H15" s="147"/>
      <c r="I15" s="148"/>
      <c r="J15" s="148"/>
      <c r="K15" s="144" t="s">
        <v>40</v>
      </c>
      <c r="L15" s="145"/>
      <c r="M15" s="145"/>
      <c r="N15" s="144" t="s">
        <v>41</v>
      </c>
      <c r="O15" s="149"/>
    </row>
    <row r="16" spans="1:15" ht="22.5" customHeight="1" thickTop="1" x14ac:dyDescent="0.3">
      <c r="A16" s="26"/>
      <c r="B16" s="160"/>
      <c r="C16" s="161"/>
      <c r="D16" s="162"/>
      <c r="E16" s="27"/>
      <c r="F16" s="28"/>
      <c r="G16" s="141"/>
      <c r="H16" s="142"/>
      <c r="I16" s="143"/>
      <c r="J16" s="143"/>
      <c r="K16" s="96"/>
      <c r="L16" s="97"/>
      <c r="M16" s="97"/>
      <c r="N16" s="163"/>
      <c r="O16" s="164"/>
    </row>
    <row r="17" spans="1:25" ht="22.5" customHeight="1" x14ac:dyDescent="0.3">
      <c r="A17" s="26"/>
      <c r="B17" s="169"/>
      <c r="C17" s="94"/>
      <c r="D17" s="95"/>
      <c r="E17" s="27"/>
      <c r="F17" s="28"/>
      <c r="G17" s="153"/>
      <c r="H17" s="154"/>
      <c r="I17" s="113"/>
      <c r="J17" s="115"/>
      <c r="K17" s="96"/>
      <c r="L17" s="97"/>
      <c r="M17" s="97"/>
      <c r="N17" s="165"/>
      <c r="O17" s="166"/>
    </row>
    <row r="18" spans="1:25" ht="22.5" customHeight="1" x14ac:dyDescent="0.3">
      <c r="A18" s="26"/>
      <c r="B18" s="170"/>
      <c r="C18" s="94"/>
      <c r="D18" s="95"/>
      <c r="E18" s="27"/>
      <c r="F18" s="28"/>
      <c r="G18" s="153"/>
      <c r="H18" s="154"/>
      <c r="I18" s="113"/>
      <c r="J18" s="115"/>
      <c r="K18" s="96"/>
      <c r="L18" s="97"/>
      <c r="M18" s="97"/>
      <c r="N18" s="165"/>
      <c r="O18" s="166"/>
    </row>
    <row r="19" spans="1:25" ht="22.5" customHeight="1" x14ac:dyDescent="0.3">
      <c r="A19" s="31"/>
      <c r="B19" s="155"/>
      <c r="C19" s="156"/>
      <c r="D19" s="157"/>
      <c r="E19" s="32"/>
      <c r="F19" s="33"/>
      <c r="G19" s="158"/>
      <c r="H19" s="159"/>
      <c r="I19" s="112"/>
      <c r="J19" s="112"/>
      <c r="K19" s="96"/>
      <c r="L19" s="97"/>
      <c r="M19" s="97"/>
      <c r="N19" s="165"/>
      <c r="O19" s="166"/>
    </row>
    <row r="20" spans="1:25" ht="22.5" customHeight="1" x14ac:dyDescent="0.3">
      <c r="A20" s="150" t="s">
        <v>42</v>
      </c>
      <c r="B20" s="151"/>
      <c r="C20" s="151"/>
      <c r="D20" s="151"/>
      <c r="E20" s="151"/>
      <c r="F20" s="151"/>
      <c r="G20" s="151"/>
      <c r="H20" s="151"/>
      <c r="I20" s="151"/>
      <c r="J20" s="152"/>
      <c r="K20" s="96">
        <f>SUM(K16:M19)</f>
        <v>0</v>
      </c>
      <c r="L20" s="97"/>
      <c r="M20" s="97"/>
      <c r="N20" s="167"/>
      <c r="O20" s="168"/>
    </row>
    <row r="21" spans="1:25" ht="22.5" hidden="1" customHeight="1" x14ac:dyDescent="0.3">
      <c r="A21" s="26">
        <v>5</v>
      </c>
      <c r="B21" s="138" t="s">
        <v>16</v>
      </c>
      <c r="C21" s="139"/>
      <c r="D21" s="140"/>
      <c r="E21" s="28" t="s">
        <v>16</v>
      </c>
      <c r="F21" s="28" t="s">
        <v>16</v>
      </c>
      <c r="G21" s="141"/>
      <c r="H21" s="142"/>
      <c r="I21" s="143"/>
      <c r="J21" s="143"/>
      <c r="K21" s="96"/>
      <c r="L21" s="97"/>
      <c r="M21" s="97"/>
      <c r="N21" s="136"/>
      <c r="O21" s="137"/>
    </row>
    <row r="22" spans="1:25" ht="22.5" hidden="1" customHeight="1" x14ac:dyDescent="0.3">
      <c r="A22" s="26">
        <v>6</v>
      </c>
      <c r="B22" s="138" t="s">
        <v>16</v>
      </c>
      <c r="C22" s="139"/>
      <c r="D22" s="140"/>
      <c r="E22" s="28" t="s">
        <v>16</v>
      </c>
      <c r="F22" s="28" t="s">
        <v>16</v>
      </c>
      <c r="G22" s="141"/>
      <c r="H22" s="142"/>
      <c r="I22" s="143"/>
      <c r="J22" s="143"/>
      <c r="K22" s="96"/>
      <c r="L22" s="97"/>
      <c r="M22" s="97"/>
      <c r="N22" s="34" t="s">
        <v>16</v>
      </c>
      <c r="O22" s="35">
        <v>0</v>
      </c>
    </row>
    <row r="23" spans="1:25" ht="22.5" customHeight="1" x14ac:dyDescent="0.3">
      <c r="A23" s="36" t="s">
        <v>43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8"/>
    </row>
    <row r="24" spans="1:25" ht="22.5" customHeight="1" thickBot="1" x14ac:dyDescent="0.35">
      <c r="A24" s="24" t="s">
        <v>44</v>
      </c>
      <c r="B24" s="144" t="s">
        <v>45</v>
      </c>
      <c r="C24" s="145"/>
      <c r="D24" s="146"/>
      <c r="E24" s="25" t="s">
        <v>46</v>
      </c>
      <c r="F24" s="25" t="s">
        <v>47</v>
      </c>
      <c r="G24" s="147" t="s">
        <v>48</v>
      </c>
      <c r="H24" s="147"/>
      <c r="I24" s="148"/>
      <c r="J24" s="148"/>
      <c r="K24" s="144" t="s">
        <v>40</v>
      </c>
      <c r="L24" s="145"/>
      <c r="M24" s="145"/>
      <c r="N24" s="144" t="s">
        <v>41</v>
      </c>
      <c r="O24" s="149"/>
      <c r="Y24" s="1"/>
    </row>
    <row r="25" spans="1:25" ht="21.75" customHeight="1" thickTop="1" x14ac:dyDescent="0.3">
      <c r="A25" s="39">
        <v>1</v>
      </c>
      <c r="B25" s="224" t="s">
        <v>49</v>
      </c>
      <c r="C25" s="225"/>
      <c r="D25" s="226"/>
      <c r="E25" s="40">
        <v>1</v>
      </c>
      <c r="F25" s="34" t="s">
        <v>50</v>
      </c>
      <c r="G25" s="119">
        <v>90000</v>
      </c>
      <c r="H25" s="120"/>
      <c r="I25" s="121"/>
      <c r="J25" s="122"/>
      <c r="K25" s="123">
        <f>G25*E25</f>
        <v>90000</v>
      </c>
      <c r="L25" s="124"/>
      <c r="M25" s="125"/>
      <c r="N25" s="126"/>
      <c r="O25" s="127"/>
    </row>
    <row r="26" spans="1:25" ht="21.75" customHeight="1" x14ac:dyDescent="0.3">
      <c r="A26" s="26">
        <v>2</v>
      </c>
      <c r="B26" s="109" t="s">
        <v>51</v>
      </c>
      <c r="C26" s="109"/>
      <c r="D26" s="109"/>
      <c r="E26" s="41">
        <v>19</v>
      </c>
      <c r="F26" s="34" t="s">
        <v>50</v>
      </c>
      <c r="G26" s="132">
        <v>100000</v>
      </c>
      <c r="H26" s="133"/>
      <c r="I26" s="134"/>
      <c r="J26" s="134"/>
      <c r="K26" s="113">
        <f>G26*E26</f>
        <v>1900000</v>
      </c>
      <c r="L26" s="114"/>
      <c r="M26" s="115"/>
      <c r="N26" s="128"/>
      <c r="O26" s="129"/>
    </row>
    <row r="27" spans="1:25" ht="21.75" customHeight="1" x14ac:dyDescent="0.3">
      <c r="A27" s="42"/>
      <c r="B27" s="135"/>
      <c r="C27" s="109"/>
      <c r="D27" s="109"/>
      <c r="E27" s="43"/>
      <c r="F27" s="34"/>
      <c r="G27" s="110"/>
      <c r="H27" s="111"/>
      <c r="I27" s="113"/>
      <c r="J27" s="115"/>
      <c r="K27" s="113"/>
      <c r="L27" s="114"/>
      <c r="M27" s="115"/>
      <c r="N27" s="128"/>
      <c r="O27" s="129"/>
    </row>
    <row r="28" spans="1:25" ht="21.75" customHeight="1" x14ac:dyDescent="0.3">
      <c r="A28" s="44"/>
      <c r="B28" s="109"/>
      <c r="C28" s="109"/>
      <c r="D28" s="109"/>
      <c r="E28" s="40"/>
      <c r="F28" s="34"/>
      <c r="G28" s="110"/>
      <c r="H28" s="111"/>
      <c r="I28" s="112"/>
      <c r="J28" s="112"/>
      <c r="K28" s="113"/>
      <c r="L28" s="114"/>
      <c r="M28" s="115"/>
      <c r="N28" s="128"/>
      <c r="O28" s="129"/>
    </row>
    <row r="29" spans="1:25" ht="21.75" customHeight="1" x14ac:dyDescent="0.3">
      <c r="A29" s="26"/>
      <c r="B29" s="109"/>
      <c r="C29" s="109"/>
      <c r="D29" s="109"/>
      <c r="E29" s="40"/>
      <c r="F29" s="34"/>
      <c r="G29" s="110"/>
      <c r="H29" s="111"/>
      <c r="I29" s="112"/>
      <c r="J29" s="112"/>
      <c r="K29" s="113"/>
      <c r="L29" s="114"/>
      <c r="M29" s="115"/>
      <c r="N29" s="128"/>
      <c r="O29" s="129"/>
    </row>
    <row r="30" spans="1:25" ht="21.75" customHeight="1" x14ac:dyDescent="0.3">
      <c r="A30" s="26"/>
      <c r="B30" s="109"/>
      <c r="C30" s="109"/>
      <c r="D30" s="109"/>
      <c r="E30" s="43"/>
      <c r="F30" s="34"/>
      <c r="G30" s="110"/>
      <c r="H30" s="111"/>
      <c r="I30" s="113"/>
      <c r="J30" s="115"/>
      <c r="K30" s="113"/>
      <c r="L30" s="114"/>
      <c r="M30" s="115"/>
      <c r="N30" s="128"/>
      <c r="O30" s="129"/>
    </row>
    <row r="31" spans="1:25" ht="21.75" customHeight="1" x14ac:dyDescent="0.3">
      <c r="A31" s="93" t="s">
        <v>52</v>
      </c>
      <c r="B31" s="94"/>
      <c r="C31" s="94"/>
      <c r="D31" s="94"/>
      <c r="E31" s="94"/>
      <c r="F31" s="94"/>
      <c r="G31" s="94"/>
      <c r="H31" s="94"/>
      <c r="I31" s="94"/>
      <c r="J31" s="95"/>
      <c r="K31" s="96">
        <f>SUM(K25:M30)</f>
        <v>1990000</v>
      </c>
      <c r="L31" s="97"/>
      <c r="M31" s="97"/>
      <c r="N31" s="130"/>
      <c r="O31" s="131"/>
    </row>
    <row r="32" spans="1:25" ht="11.25" customHeight="1" x14ac:dyDescent="0.3">
      <c r="A32" s="4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46"/>
    </row>
    <row r="33" spans="1:17" ht="23.25" customHeight="1" x14ac:dyDescent="0.3">
      <c r="A33" s="98" t="s">
        <v>53</v>
      </c>
      <c r="B33" s="99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8"/>
    </row>
    <row r="34" spans="1:17" ht="75.75" customHeight="1" x14ac:dyDescent="0.3">
      <c r="A34" s="227" t="s">
        <v>54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9"/>
      <c r="O34" s="230"/>
      <c r="Q34" s="47"/>
    </row>
    <row r="35" spans="1:17" ht="75.75" customHeight="1" x14ac:dyDescent="0.3">
      <c r="A35" s="227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9"/>
      <c r="O35" s="230"/>
    </row>
    <row r="36" spans="1:17" ht="75.75" customHeight="1" x14ac:dyDescent="0.3">
      <c r="A36" s="227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9"/>
      <c r="O36" s="230"/>
    </row>
    <row r="37" spans="1:17" ht="75.75" customHeight="1" x14ac:dyDescent="0.3">
      <c r="A37" s="227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9"/>
      <c r="O37" s="230"/>
    </row>
    <row r="38" spans="1:17" ht="75.75" customHeight="1" x14ac:dyDescent="0.3">
      <c r="A38" s="227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9"/>
      <c r="O38" s="230"/>
    </row>
    <row r="39" spans="1:17" ht="24" customHeight="1" x14ac:dyDescent="0.3">
      <c r="A39" s="104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  <c r="O39" s="232"/>
    </row>
    <row r="40" spans="1:17" ht="22.5" customHeight="1" x14ac:dyDescent="0.3">
      <c r="A40" s="48" t="s">
        <v>55</v>
      </c>
      <c r="B40" s="233" t="s">
        <v>56</v>
      </c>
      <c r="C40" s="233"/>
      <c r="D40" s="233"/>
      <c r="E40" s="233"/>
      <c r="F40" s="49" t="s">
        <v>57</v>
      </c>
      <c r="G40" s="50" t="s">
        <v>58</v>
      </c>
      <c r="H40" s="49" t="s">
        <v>59</v>
      </c>
      <c r="I40" s="50" t="s">
        <v>60</v>
      </c>
      <c r="J40" s="49"/>
      <c r="K40" s="50"/>
      <c r="L40" s="234"/>
      <c r="M40" s="234"/>
      <c r="N40" s="51"/>
      <c r="O40" s="52"/>
    </row>
    <row r="41" spans="1:17" ht="22.5" customHeight="1" thickBot="1" x14ac:dyDescent="0.35">
      <c r="A41" s="53" t="s">
        <v>61</v>
      </c>
      <c r="B41" s="86" t="s">
        <v>62</v>
      </c>
      <c r="C41" s="86"/>
      <c r="D41" s="86" t="s">
        <v>63</v>
      </c>
      <c r="E41" s="86"/>
      <c r="F41" s="86"/>
      <c r="G41" s="54"/>
      <c r="H41" s="55" t="s">
        <v>64</v>
      </c>
      <c r="I41" s="86"/>
      <c r="J41" s="86"/>
      <c r="K41" s="56" t="s">
        <v>65</v>
      </c>
      <c r="L41" s="86"/>
      <c r="M41" s="86"/>
      <c r="N41" s="57" t="s">
        <v>66</v>
      </c>
      <c r="O41" s="58" t="s">
        <v>67</v>
      </c>
    </row>
    <row r="42" spans="1:17" ht="22.5" customHeight="1" thickBot="1" x14ac:dyDescent="0.35">
      <c r="A42" s="87" t="s">
        <v>68</v>
      </c>
      <c r="B42" s="88"/>
      <c r="C42" s="89" t="s">
        <v>69</v>
      </c>
      <c r="D42" s="90"/>
      <c r="E42" s="59" t="s">
        <v>70</v>
      </c>
      <c r="F42" s="89"/>
      <c r="G42" s="90"/>
      <c r="H42" s="59" t="s">
        <v>71</v>
      </c>
      <c r="I42" s="89" t="s">
        <v>72</v>
      </c>
      <c r="J42" s="90"/>
      <c r="K42" s="59" t="s">
        <v>73</v>
      </c>
      <c r="L42" s="91" t="s">
        <v>74</v>
      </c>
      <c r="M42" s="91"/>
      <c r="N42" s="91"/>
      <c r="O42" s="92"/>
    </row>
    <row r="43" spans="1:17" ht="19.5" customHeight="1" x14ac:dyDescent="0.3">
      <c r="A43" s="4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46"/>
    </row>
    <row r="44" spans="1:17" ht="19.5" customHeight="1" x14ac:dyDescent="0.3">
      <c r="A44" s="45"/>
      <c r="B44" s="8"/>
      <c r="C44" s="8"/>
      <c r="D44" s="8"/>
      <c r="E44" s="235"/>
      <c r="F44" s="235"/>
      <c r="G44" s="236"/>
      <c r="H44" s="236"/>
      <c r="I44" s="236"/>
      <c r="J44" s="236"/>
      <c r="K44" s="236"/>
      <c r="L44" s="236"/>
      <c r="M44" s="236"/>
      <c r="N44" s="236"/>
      <c r="O44" s="60"/>
    </row>
    <row r="45" spans="1:17" ht="19.5" customHeight="1" x14ac:dyDescent="0.3">
      <c r="A45" s="45"/>
      <c r="B45" s="8"/>
      <c r="C45" s="8"/>
      <c r="D45" s="8"/>
      <c r="E45" s="61"/>
      <c r="F45" s="61"/>
      <c r="G45" s="61"/>
      <c r="H45" s="62"/>
      <c r="I45" s="61"/>
      <c r="J45" s="62"/>
      <c r="K45" s="61"/>
      <c r="L45" s="62"/>
      <c r="M45" s="61"/>
      <c r="N45" s="61"/>
      <c r="O45" s="63"/>
    </row>
    <row r="46" spans="1:17" ht="31.5" customHeight="1" thickBot="1" x14ac:dyDescent="0.35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6"/>
    </row>
    <row r="50" spans="2:7" ht="16.5" customHeight="1" x14ac:dyDescent="0.3">
      <c r="B50" s="85"/>
      <c r="C50" s="85"/>
      <c r="D50" s="85"/>
      <c r="E50" s="85"/>
      <c r="F50" s="85"/>
      <c r="G50" s="85"/>
    </row>
  </sheetData>
  <mergeCells count="116"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G27:H27"/>
    <mergeCell ref="I27:J27"/>
    <mergeCell ref="K27:M27"/>
    <mergeCell ref="B28:D28"/>
    <mergeCell ref="G28:H28"/>
    <mergeCell ref="I28:J28"/>
    <mergeCell ref="K28:M28"/>
    <mergeCell ref="B25:D25"/>
    <mergeCell ref="G25:H25"/>
    <mergeCell ref="I25:J25"/>
    <mergeCell ref="K25:M25"/>
    <mergeCell ref="B26:D26"/>
    <mergeCell ref="G26:H26"/>
    <mergeCell ref="I26:J26"/>
    <mergeCell ref="K26:M26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BCD4-408F-4E5D-8854-A88C003A88CC}">
  <dimension ref="A1:Y50"/>
  <sheetViews>
    <sheetView view="pageBreakPreview" topLeftCell="A2" zoomScale="85" zoomScaleNormal="70" zoomScaleSheetLayoutView="85" workbookViewId="0">
      <selection activeCell="C56" sqref="C56"/>
    </sheetView>
  </sheetViews>
  <sheetFormatPr defaultColWidth="9" defaultRowHeight="16.5" x14ac:dyDescent="0.3"/>
  <cols>
    <col min="1" max="1" width="9.625" style="30" customWidth="1"/>
    <col min="2" max="4" width="10.125" style="30" customWidth="1"/>
    <col min="5" max="8" width="9.625" style="30" customWidth="1"/>
    <col min="9" max="9" width="11.125" style="30" customWidth="1"/>
    <col min="10" max="11" width="9.625" style="30" customWidth="1"/>
    <col min="12" max="13" width="6.125" style="30" customWidth="1"/>
    <col min="14" max="15" width="9.875" style="30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30" customWidth="1"/>
    <col min="23" max="24" width="9" style="30"/>
    <col min="25" max="25" width="12.375" style="30" bestFit="1" customWidth="1"/>
    <col min="26" max="16384" width="9" style="30"/>
  </cols>
  <sheetData>
    <row r="1" spans="1:15" ht="39" x14ac:dyDescent="0.3">
      <c r="A1" s="207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9"/>
    </row>
    <row r="2" spans="1:15" ht="16.5" customHeight="1" thickBot="1" x14ac:dyDescent="0.35">
      <c r="A2" s="2"/>
      <c r="B2" s="67"/>
      <c r="C2" s="67"/>
      <c r="D2" s="67"/>
      <c r="E2" s="67"/>
      <c r="F2" s="67"/>
      <c r="G2" s="67"/>
      <c r="H2" s="4"/>
      <c r="I2" s="4"/>
      <c r="J2" s="4"/>
      <c r="K2" s="4"/>
      <c r="L2" s="4"/>
      <c r="M2" s="4"/>
      <c r="N2" s="67"/>
      <c r="O2" s="5"/>
    </row>
    <row r="3" spans="1:15" ht="22.5" customHeight="1" x14ac:dyDescent="0.3">
      <c r="A3" s="210" t="s">
        <v>75</v>
      </c>
      <c r="B3" s="211"/>
      <c r="C3" s="211"/>
      <c r="D3" s="211"/>
      <c r="E3" s="211"/>
      <c r="F3" s="68"/>
      <c r="G3" s="7" t="s">
        <v>2</v>
      </c>
      <c r="H3" s="212" t="s">
        <v>3</v>
      </c>
      <c r="I3" s="212"/>
      <c r="J3" s="212"/>
      <c r="K3" s="212"/>
      <c r="L3" s="212"/>
      <c r="M3" s="212"/>
      <c r="N3" s="213"/>
      <c r="O3" s="214"/>
    </row>
    <row r="4" spans="1:15" ht="22.5" customHeight="1" x14ac:dyDescent="0.3">
      <c r="A4" s="215" t="s">
        <v>4</v>
      </c>
      <c r="B4" s="216"/>
      <c r="C4" s="217">
        <v>46125</v>
      </c>
      <c r="D4" s="217"/>
      <c r="E4" s="217"/>
      <c r="F4" s="69"/>
      <c r="G4" s="9" t="s">
        <v>5</v>
      </c>
      <c r="H4" s="194" t="s">
        <v>6</v>
      </c>
      <c r="I4" s="194"/>
      <c r="J4" s="194"/>
      <c r="K4" s="10" t="s">
        <v>7</v>
      </c>
      <c r="L4" s="218" t="s">
        <v>8</v>
      </c>
      <c r="M4" s="218"/>
      <c r="N4" s="219"/>
      <c r="O4" s="220"/>
    </row>
    <row r="5" spans="1:15" ht="22.5" customHeight="1" x14ac:dyDescent="0.3">
      <c r="A5" s="203" t="s">
        <v>9</v>
      </c>
      <c r="B5" s="204"/>
      <c r="C5" s="205" t="s">
        <v>10</v>
      </c>
      <c r="D5" s="205"/>
      <c r="E5" s="205"/>
      <c r="F5" s="69"/>
      <c r="G5" s="206" t="s">
        <v>11</v>
      </c>
      <c r="H5" s="195" t="s">
        <v>12</v>
      </c>
      <c r="I5" s="195"/>
      <c r="J5" s="195"/>
      <c r="K5" s="195"/>
      <c r="L5" s="195"/>
      <c r="M5" s="195"/>
      <c r="N5" s="196"/>
      <c r="O5" s="197"/>
    </row>
    <row r="6" spans="1:15" ht="22.5" customHeight="1" x14ac:dyDescent="0.3">
      <c r="A6" s="203" t="s">
        <v>13</v>
      </c>
      <c r="B6" s="204"/>
      <c r="C6" s="205" t="s">
        <v>14</v>
      </c>
      <c r="D6" s="205"/>
      <c r="E6" s="205"/>
      <c r="F6" s="69"/>
      <c r="G6" s="206"/>
      <c r="H6" s="195"/>
      <c r="I6" s="195"/>
      <c r="J6" s="195"/>
      <c r="K6" s="195"/>
      <c r="L6" s="195"/>
      <c r="M6" s="195"/>
      <c r="N6" s="196"/>
      <c r="O6" s="197"/>
    </row>
    <row r="7" spans="1:15" ht="22.5" customHeight="1" x14ac:dyDescent="0.3">
      <c r="A7" s="189" t="s">
        <v>15</v>
      </c>
      <c r="B7" s="190"/>
      <c r="C7" s="191">
        <f>K13</f>
        <v>1200000</v>
      </c>
      <c r="D7" s="191"/>
      <c r="E7" s="191"/>
      <c r="F7" s="193" t="s">
        <v>16</v>
      </c>
      <c r="G7" s="9" t="s">
        <v>17</v>
      </c>
      <c r="H7" s="194" t="s">
        <v>18</v>
      </c>
      <c r="I7" s="194"/>
      <c r="J7" s="194"/>
      <c r="K7" s="10" t="s">
        <v>19</v>
      </c>
      <c r="L7" s="195" t="s">
        <v>20</v>
      </c>
      <c r="M7" s="195"/>
      <c r="N7" s="196"/>
      <c r="O7" s="197"/>
    </row>
    <row r="8" spans="1:15" ht="22.5" customHeight="1" thickBot="1" x14ac:dyDescent="0.35">
      <c r="A8" s="198" t="s">
        <v>21</v>
      </c>
      <c r="B8" s="199"/>
      <c r="C8" s="192"/>
      <c r="D8" s="192"/>
      <c r="E8" s="192"/>
      <c r="F8" s="193"/>
      <c r="G8" s="11" t="s">
        <v>22</v>
      </c>
      <c r="H8" s="200" t="s">
        <v>23</v>
      </c>
      <c r="I8" s="200"/>
      <c r="J8" s="200"/>
      <c r="K8" s="12" t="s">
        <v>24</v>
      </c>
      <c r="L8" s="200" t="s">
        <v>25</v>
      </c>
      <c r="M8" s="200"/>
      <c r="N8" s="201"/>
      <c r="O8" s="202"/>
    </row>
    <row r="9" spans="1:15" ht="19.5" customHeight="1" x14ac:dyDescent="0.3">
      <c r="A9" s="70"/>
      <c r="B9" s="71"/>
      <c r="C9" s="72"/>
      <c r="D9" s="179"/>
      <c r="E9" s="179"/>
      <c r="F9" s="73"/>
      <c r="G9" s="74"/>
      <c r="H9" s="74"/>
      <c r="I9" s="74"/>
      <c r="J9" s="74"/>
      <c r="K9" s="74"/>
      <c r="L9" s="74"/>
      <c r="M9" s="74"/>
      <c r="N9" s="74"/>
      <c r="O9" s="18"/>
    </row>
    <row r="10" spans="1:15" ht="19.5" customHeight="1" x14ac:dyDescent="0.3">
      <c r="A10" s="19" t="s">
        <v>26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4"/>
      <c r="N10" s="180" t="s">
        <v>27</v>
      </c>
      <c r="O10" s="181"/>
    </row>
    <row r="11" spans="1:15" ht="9.75" customHeight="1" thickBot="1" x14ac:dyDescent="0.35">
      <c r="A11" s="19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4"/>
      <c r="N11" s="182"/>
      <c r="O11" s="183"/>
    </row>
    <row r="12" spans="1:15" ht="23.25" customHeight="1" thickBot="1" x14ac:dyDescent="0.35">
      <c r="A12" s="21" t="s">
        <v>28</v>
      </c>
      <c r="B12" s="184" t="s">
        <v>29</v>
      </c>
      <c r="C12" s="184"/>
      <c r="D12" s="184"/>
      <c r="E12" s="184" t="s">
        <v>30</v>
      </c>
      <c r="F12" s="184"/>
      <c r="G12" s="184"/>
      <c r="H12" s="185" t="s">
        <v>31</v>
      </c>
      <c r="I12" s="185"/>
      <c r="J12" s="185"/>
      <c r="K12" s="186" t="s">
        <v>32</v>
      </c>
      <c r="L12" s="187"/>
      <c r="M12" s="187"/>
      <c r="N12" s="187"/>
      <c r="O12" s="188"/>
    </row>
    <row r="13" spans="1:15" ht="38.25" customHeight="1" thickTop="1" thickBot="1" x14ac:dyDescent="0.35">
      <c r="A13" s="22" t="s">
        <v>33</v>
      </c>
      <c r="B13" s="171">
        <f>SUM(K16:M19)</f>
        <v>0</v>
      </c>
      <c r="C13" s="172"/>
      <c r="D13" s="172"/>
      <c r="E13" s="171">
        <f>K31</f>
        <v>1200000</v>
      </c>
      <c r="F13" s="172"/>
      <c r="G13" s="172"/>
      <c r="H13" s="173"/>
      <c r="I13" s="174"/>
      <c r="J13" s="175"/>
      <c r="K13" s="176">
        <f>B13+E13+H13</f>
        <v>1200000</v>
      </c>
      <c r="L13" s="177"/>
      <c r="M13" s="177"/>
      <c r="N13" s="177"/>
      <c r="O13" s="178"/>
    </row>
    <row r="14" spans="1:15" ht="22.5" customHeight="1" x14ac:dyDescent="0.3">
      <c r="A14" s="23" t="s">
        <v>34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4"/>
      <c r="N14" s="74"/>
      <c r="O14" s="18"/>
    </row>
    <row r="15" spans="1:15" ht="22.5" customHeight="1" thickBot="1" x14ac:dyDescent="0.35">
      <c r="A15" s="24" t="s">
        <v>35</v>
      </c>
      <c r="B15" s="144" t="s">
        <v>36</v>
      </c>
      <c r="C15" s="145"/>
      <c r="D15" s="146"/>
      <c r="E15" s="25" t="s">
        <v>37</v>
      </c>
      <c r="F15" s="25" t="s">
        <v>38</v>
      </c>
      <c r="G15" s="147" t="s">
        <v>39</v>
      </c>
      <c r="H15" s="147"/>
      <c r="I15" s="148"/>
      <c r="J15" s="148"/>
      <c r="K15" s="144" t="s">
        <v>40</v>
      </c>
      <c r="L15" s="145"/>
      <c r="M15" s="145"/>
      <c r="N15" s="144" t="s">
        <v>41</v>
      </c>
      <c r="O15" s="149"/>
    </row>
    <row r="16" spans="1:15" ht="22.5" customHeight="1" thickTop="1" x14ac:dyDescent="0.3">
      <c r="A16" s="26"/>
      <c r="B16" s="160"/>
      <c r="C16" s="161"/>
      <c r="D16" s="162"/>
      <c r="E16" s="27"/>
      <c r="F16" s="29"/>
      <c r="G16" s="141"/>
      <c r="H16" s="142"/>
      <c r="I16" s="143"/>
      <c r="J16" s="143"/>
      <c r="K16" s="96"/>
      <c r="L16" s="97"/>
      <c r="M16" s="97"/>
      <c r="N16" s="163"/>
      <c r="O16" s="164"/>
    </row>
    <row r="17" spans="1:25" ht="22.5" customHeight="1" x14ac:dyDescent="0.3">
      <c r="A17" s="26"/>
      <c r="B17" s="169"/>
      <c r="C17" s="94"/>
      <c r="D17" s="95"/>
      <c r="E17" s="27"/>
      <c r="F17" s="29"/>
      <c r="G17" s="153"/>
      <c r="H17" s="154"/>
      <c r="I17" s="113"/>
      <c r="J17" s="115"/>
      <c r="K17" s="96"/>
      <c r="L17" s="97"/>
      <c r="M17" s="97"/>
      <c r="N17" s="165"/>
      <c r="O17" s="166"/>
    </row>
    <row r="18" spans="1:25" ht="22.5" customHeight="1" x14ac:dyDescent="0.3">
      <c r="A18" s="26"/>
      <c r="B18" s="170"/>
      <c r="C18" s="94"/>
      <c r="D18" s="95"/>
      <c r="E18" s="27"/>
      <c r="F18" s="29"/>
      <c r="G18" s="153"/>
      <c r="H18" s="154"/>
      <c r="I18" s="113"/>
      <c r="J18" s="115"/>
      <c r="K18" s="96"/>
      <c r="L18" s="97"/>
      <c r="M18" s="97"/>
      <c r="N18" s="165"/>
      <c r="O18" s="166"/>
    </row>
    <row r="19" spans="1:25" ht="22.5" customHeight="1" x14ac:dyDescent="0.3">
      <c r="A19" s="31"/>
      <c r="B19" s="155"/>
      <c r="C19" s="156"/>
      <c r="D19" s="157"/>
      <c r="E19" s="32"/>
      <c r="F19" s="33"/>
      <c r="G19" s="158"/>
      <c r="H19" s="159"/>
      <c r="I19" s="112"/>
      <c r="J19" s="112"/>
      <c r="K19" s="96"/>
      <c r="L19" s="97"/>
      <c r="M19" s="97"/>
      <c r="N19" s="165"/>
      <c r="O19" s="166"/>
    </row>
    <row r="20" spans="1:25" ht="22.5" customHeight="1" x14ac:dyDescent="0.3">
      <c r="A20" s="150" t="s">
        <v>42</v>
      </c>
      <c r="B20" s="151"/>
      <c r="C20" s="151"/>
      <c r="D20" s="151"/>
      <c r="E20" s="151"/>
      <c r="F20" s="151"/>
      <c r="G20" s="151"/>
      <c r="H20" s="151"/>
      <c r="I20" s="151"/>
      <c r="J20" s="152"/>
      <c r="K20" s="96">
        <f>SUM(K16:M19)</f>
        <v>0</v>
      </c>
      <c r="L20" s="97"/>
      <c r="M20" s="97"/>
      <c r="N20" s="167"/>
      <c r="O20" s="168"/>
    </row>
    <row r="21" spans="1:25" ht="22.5" hidden="1" customHeight="1" x14ac:dyDescent="0.3">
      <c r="A21" s="26">
        <v>5</v>
      </c>
      <c r="B21" s="138" t="s">
        <v>16</v>
      </c>
      <c r="C21" s="139"/>
      <c r="D21" s="140"/>
      <c r="E21" s="29" t="s">
        <v>16</v>
      </c>
      <c r="F21" s="29" t="s">
        <v>16</v>
      </c>
      <c r="G21" s="141"/>
      <c r="H21" s="142"/>
      <c r="I21" s="143"/>
      <c r="J21" s="143"/>
      <c r="K21" s="96"/>
      <c r="L21" s="97"/>
      <c r="M21" s="97"/>
      <c r="N21" s="136"/>
      <c r="O21" s="137"/>
    </row>
    <row r="22" spans="1:25" ht="22.5" hidden="1" customHeight="1" x14ac:dyDescent="0.3">
      <c r="A22" s="26">
        <v>6</v>
      </c>
      <c r="B22" s="138" t="s">
        <v>16</v>
      </c>
      <c r="C22" s="139"/>
      <c r="D22" s="140"/>
      <c r="E22" s="29" t="s">
        <v>16</v>
      </c>
      <c r="F22" s="29" t="s">
        <v>16</v>
      </c>
      <c r="G22" s="141"/>
      <c r="H22" s="142"/>
      <c r="I22" s="143"/>
      <c r="J22" s="143"/>
      <c r="K22" s="96"/>
      <c r="L22" s="97"/>
      <c r="M22" s="97"/>
      <c r="N22" s="34" t="s">
        <v>16</v>
      </c>
      <c r="O22" s="35">
        <v>0</v>
      </c>
    </row>
    <row r="23" spans="1:25" ht="22.5" customHeight="1" x14ac:dyDescent="0.3">
      <c r="A23" s="76" t="s">
        <v>43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46"/>
    </row>
    <row r="24" spans="1:25" ht="22.5" customHeight="1" thickBot="1" x14ac:dyDescent="0.35">
      <c r="A24" s="24" t="s">
        <v>35</v>
      </c>
      <c r="B24" s="144" t="s">
        <v>45</v>
      </c>
      <c r="C24" s="145"/>
      <c r="D24" s="146"/>
      <c r="E24" s="25" t="s">
        <v>37</v>
      </c>
      <c r="F24" s="25" t="s">
        <v>47</v>
      </c>
      <c r="G24" s="147" t="s">
        <v>39</v>
      </c>
      <c r="H24" s="147"/>
      <c r="I24" s="148"/>
      <c r="J24" s="148"/>
      <c r="K24" s="144" t="s">
        <v>40</v>
      </c>
      <c r="L24" s="145"/>
      <c r="M24" s="145"/>
      <c r="N24" s="144" t="s">
        <v>41</v>
      </c>
      <c r="O24" s="149"/>
      <c r="Y24" s="1"/>
    </row>
    <row r="25" spans="1:25" ht="21.75" customHeight="1" thickTop="1" x14ac:dyDescent="0.3">
      <c r="A25" s="39">
        <v>1</v>
      </c>
      <c r="B25" s="116" t="s">
        <v>76</v>
      </c>
      <c r="C25" s="117"/>
      <c r="D25" s="118"/>
      <c r="E25" s="40">
        <v>119</v>
      </c>
      <c r="F25" s="34" t="s">
        <v>50</v>
      </c>
      <c r="G25" s="119">
        <v>10000</v>
      </c>
      <c r="H25" s="120"/>
      <c r="I25" s="121"/>
      <c r="J25" s="122"/>
      <c r="K25" s="123">
        <f>G25*E25</f>
        <v>1190000</v>
      </c>
      <c r="L25" s="124"/>
      <c r="M25" s="125"/>
      <c r="N25" s="126"/>
      <c r="O25" s="127"/>
    </row>
    <row r="26" spans="1:25" ht="21.75" customHeight="1" x14ac:dyDescent="0.3">
      <c r="A26" s="26">
        <v>2</v>
      </c>
      <c r="B26" s="109" t="s">
        <v>77</v>
      </c>
      <c r="C26" s="109"/>
      <c r="D26" s="109"/>
      <c r="E26" s="41">
        <v>1</v>
      </c>
      <c r="F26" s="34" t="s">
        <v>50</v>
      </c>
      <c r="G26" s="132">
        <v>10000</v>
      </c>
      <c r="H26" s="133"/>
      <c r="I26" s="134"/>
      <c r="J26" s="134"/>
      <c r="K26" s="113">
        <f>G26*E26</f>
        <v>10000</v>
      </c>
      <c r="L26" s="114"/>
      <c r="M26" s="115"/>
      <c r="N26" s="128"/>
      <c r="O26" s="129"/>
    </row>
    <row r="27" spans="1:25" ht="21.75" customHeight="1" x14ac:dyDescent="0.3">
      <c r="A27" s="42"/>
      <c r="B27" s="135"/>
      <c r="C27" s="109"/>
      <c r="D27" s="109"/>
      <c r="E27" s="43"/>
      <c r="F27" s="34"/>
      <c r="G27" s="110"/>
      <c r="H27" s="111"/>
      <c r="I27" s="113"/>
      <c r="J27" s="115"/>
      <c r="K27" s="113"/>
      <c r="L27" s="114"/>
      <c r="M27" s="115"/>
      <c r="N27" s="128"/>
      <c r="O27" s="129"/>
    </row>
    <row r="28" spans="1:25" ht="21.75" customHeight="1" x14ac:dyDescent="0.3">
      <c r="A28" s="44"/>
      <c r="B28" s="109"/>
      <c r="C28" s="109"/>
      <c r="D28" s="109"/>
      <c r="E28" s="40"/>
      <c r="F28" s="34"/>
      <c r="G28" s="110"/>
      <c r="H28" s="111"/>
      <c r="I28" s="112"/>
      <c r="J28" s="112"/>
      <c r="K28" s="113"/>
      <c r="L28" s="114"/>
      <c r="M28" s="115"/>
      <c r="N28" s="128"/>
      <c r="O28" s="129"/>
    </row>
    <row r="29" spans="1:25" ht="21.75" customHeight="1" x14ac:dyDescent="0.3">
      <c r="A29" s="26"/>
      <c r="B29" s="109"/>
      <c r="C29" s="109"/>
      <c r="D29" s="109"/>
      <c r="E29" s="40"/>
      <c r="F29" s="34"/>
      <c r="G29" s="110"/>
      <c r="H29" s="111"/>
      <c r="I29" s="112"/>
      <c r="J29" s="112"/>
      <c r="K29" s="113"/>
      <c r="L29" s="114"/>
      <c r="M29" s="115"/>
      <c r="N29" s="128"/>
      <c r="O29" s="129"/>
    </row>
    <row r="30" spans="1:25" ht="21.75" customHeight="1" x14ac:dyDescent="0.3">
      <c r="A30" s="26"/>
      <c r="B30" s="109"/>
      <c r="C30" s="109"/>
      <c r="D30" s="109"/>
      <c r="E30" s="43"/>
      <c r="F30" s="34"/>
      <c r="G30" s="110"/>
      <c r="H30" s="111"/>
      <c r="I30" s="113"/>
      <c r="J30" s="115"/>
      <c r="K30" s="113"/>
      <c r="L30" s="114"/>
      <c r="M30" s="115"/>
      <c r="N30" s="128"/>
      <c r="O30" s="129"/>
    </row>
    <row r="31" spans="1:25" ht="21.75" customHeight="1" x14ac:dyDescent="0.3">
      <c r="A31" s="93" t="s">
        <v>52</v>
      </c>
      <c r="B31" s="94"/>
      <c r="C31" s="94"/>
      <c r="D31" s="94"/>
      <c r="E31" s="94"/>
      <c r="F31" s="94"/>
      <c r="G31" s="94"/>
      <c r="H31" s="94"/>
      <c r="I31" s="94"/>
      <c r="J31" s="95"/>
      <c r="K31" s="96">
        <f>SUM(K25:M30)</f>
        <v>1200000</v>
      </c>
      <c r="L31" s="97"/>
      <c r="M31" s="97"/>
      <c r="N31" s="130"/>
      <c r="O31" s="131"/>
    </row>
    <row r="32" spans="1:25" ht="11.25" customHeight="1" x14ac:dyDescent="0.3">
      <c r="A32" s="45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46"/>
    </row>
    <row r="33" spans="1:17" ht="23.25" customHeight="1" x14ac:dyDescent="0.3">
      <c r="A33" s="98" t="s">
        <v>53</v>
      </c>
      <c r="B33" s="9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46"/>
    </row>
    <row r="34" spans="1:17" ht="75.75" customHeight="1" x14ac:dyDescent="0.3">
      <c r="A34" s="100" t="s">
        <v>54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2"/>
      <c r="O34" s="103"/>
      <c r="Q34" s="47"/>
    </row>
    <row r="35" spans="1:17" ht="75.75" customHeight="1" x14ac:dyDescent="0.3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2"/>
      <c r="O35" s="103"/>
    </row>
    <row r="36" spans="1:17" ht="75.75" customHeight="1" x14ac:dyDescent="0.3">
      <c r="A36" s="100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2"/>
      <c r="O36" s="103"/>
    </row>
    <row r="37" spans="1:17" ht="75.75" customHeight="1" x14ac:dyDescent="0.3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2"/>
      <c r="O37" s="103"/>
    </row>
    <row r="38" spans="1:17" ht="75.75" customHeight="1" x14ac:dyDescent="0.3">
      <c r="A38" s="100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2"/>
      <c r="O38" s="103"/>
    </row>
    <row r="39" spans="1:17" ht="24" customHeight="1" x14ac:dyDescent="0.3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6"/>
    </row>
    <row r="40" spans="1:17" ht="22.5" customHeight="1" x14ac:dyDescent="0.3">
      <c r="A40" s="48" t="s">
        <v>55</v>
      </c>
      <c r="B40" s="107" t="s">
        <v>56</v>
      </c>
      <c r="C40" s="107"/>
      <c r="D40" s="107"/>
      <c r="E40" s="107"/>
      <c r="F40" s="49" t="s">
        <v>57</v>
      </c>
      <c r="G40" s="50" t="s">
        <v>58</v>
      </c>
      <c r="H40" s="49" t="s">
        <v>59</v>
      </c>
      <c r="I40" s="50" t="s">
        <v>60</v>
      </c>
      <c r="J40" s="49"/>
      <c r="K40" s="50"/>
      <c r="L40" s="108"/>
      <c r="M40" s="108"/>
      <c r="N40" s="51"/>
      <c r="O40" s="52"/>
    </row>
    <row r="41" spans="1:17" ht="22.5" customHeight="1" thickBot="1" x14ac:dyDescent="0.35">
      <c r="A41" s="53" t="s">
        <v>61</v>
      </c>
      <c r="B41" s="86" t="s">
        <v>62</v>
      </c>
      <c r="C41" s="86"/>
      <c r="D41" s="86" t="s">
        <v>63</v>
      </c>
      <c r="E41" s="86"/>
      <c r="F41" s="86"/>
      <c r="G41" s="77"/>
      <c r="H41" s="78" t="s">
        <v>64</v>
      </c>
      <c r="I41" s="86"/>
      <c r="J41" s="86"/>
      <c r="K41" s="56" t="s">
        <v>65</v>
      </c>
      <c r="L41" s="86"/>
      <c r="M41" s="86"/>
      <c r="N41" s="79" t="s">
        <v>66</v>
      </c>
      <c r="O41" s="58" t="s">
        <v>67</v>
      </c>
    </row>
    <row r="42" spans="1:17" ht="22.5" customHeight="1" thickBot="1" x14ac:dyDescent="0.35">
      <c r="A42" s="87" t="s">
        <v>68</v>
      </c>
      <c r="B42" s="88"/>
      <c r="C42" s="89" t="s">
        <v>69</v>
      </c>
      <c r="D42" s="90"/>
      <c r="E42" s="59" t="s">
        <v>70</v>
      </c>
      <c r="F42" s="89"/>
      <c r="G42" s="90"/>
      <c r="H42" s="59" t="s">
        <v>71</v>
      </c>
      <c r="I42" s="89" t="s">
        <v>72</v>
      </c>
      <c r="J42" s="90"/>
      <c r="K42" s="59" t="s">
        <v>73</v>
      </c>
      <c r="L42" s="91" t="s">
        <v>74</v>
      </c>
      <c r="M42" s="91"/>
      <c r="N42" s="91"/>
      <c r="O42" s="92"/>
    </row>
    <row r="43" spans="1:17" ht="19.5" customHeight="1" x14ac:dyDescent="0.3">
      <c r="A43" s="45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46"/>
    </row>
    <row r="44" spans="1:17" ht="19.5" customHeight="1" x14ac:dyDescent="0.3">
      <c r="A44" s="45"/>
      <c r="B44" s="69"/>
      <c r="C44" s="69"/>
      <c r="D44" s="69"/>
      <c r="E44" s="83"/>
      <c r="F44" s="83"/>
      <c r="G44" s="84"/>
      <c r="H44" s="84"/>
      <c r="I44" s="84"/>
      <c r="J44" s="84"/>
      <c r="K44" s="84"/>
      <c r="L44" s="84"/>
      <c r="M44" s="84"/>
      <c r="N44" s="84"/>
      <c r="O44" s="80"/>
    </row>
    <row r="45" spans="1:17" ht="19.5" customHeight="1" x14ac:dyDescent="0.3">
      <c r="A45" s="45"/>
      <c r="B45" s="69"/>
      <c r="C45" s="69"/>
      <c r="D45" s="69"/>
      <c r="E45" s="81"/>
      <c r="F45" s="81"/>
      <c r="G45" s="81"/>
      <c r="H45" s="82"/>
      <c r="I45" s="81"/>
      <c r="J45" s="82"/>
      <c r="K45" s="81"/>
      <c r="L45" s="82"/>
      <c r="M45" s="81"/>
      <c r="N45" s="81"/>
      <c r="O45" s="63"/>
    </row>
    <row r="46" spans="1:17" ht="31.5" customHeight="1" thickBot="1" x14ac:dyDescent="0.35">
      <c r="A46" s="64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6"/>
    </row>
    <row r="50" spans="2:7" ht="21.75" customHeight="1" x14ac:dyDescent="0.3">
      <c r="B50" s="85"/>
      <c r="C50" s="85"/>
      <c r="D50" s="85"/>
      <c r="E50" s="85"/>
      <c r="F50" s="85"/>
      <c r="G50" s="85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B16:D16"/>
    <mergeCell ref="G16:H16"/>
    <mergeCell ref="I16:J16"/>
    <mergeCell ref="K16:M16"/>
    <mergeCell ref="N16:O20"/>
    <mergeCell ref="B17:D17"/>
    <mergeCell ref="G17:H17"/>
    <mergeCell ref="I17:J17"/>
    <mergeCell ref="K17:M17"/>
    <mergeCell ref="B18:D18"/>
    <mergeCell ref="A20:J20"/>
    <mergeCell ref="K20:M20"/>
    <mergeCell ref="B21:D21"/>
    <mergeCell ref="G21:H21"/>
    <mergeCell ref="I21:J21"/>
    <mergeCell ref="K21:M21"/>
    <mergeCell ref="G18:H18"/>
    <mergeCell ref="I18:J18"/>
    <mergeCell ref="K18:M18"/>
    <mergeCell ref="B19:D19"/>
    <mergeCell ref="G19:H19"/>
    <mergeCell ref="I19:J19"/>
    <mergeCell ref="K19:M19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G27:H27"/>
    <mergeCell ref="I27:J27"/>
    <mergeCell ref="K27:M27"/>
    <mergeCell ref="B28:D28"/>
    <mergeCell ref="G28:H28"/>
    <mergeCell ref="I28:J28"/>
    <mergeCell ref="K28:M28"/>
    <mergeCell ref="B25:D25"/>
    <mergeCell ref="G25:H25"/>
    <mergeCell ref="I25:J25"/>
    <mergeCell ref="K25:M25"/>
    <mergeCell ref="B26:D26"/>
    <mergeCell ref="G26:H26"/>
    <mergeCell ref="I26:J26"/>
    <mergeCell ref="K26:M26"/>
    <mergeCell ref="B27:D27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LGES AB_3동 기숙사</vt:lpstr>
      <vt:lpstr>LGES_ 공용부 기숙 및 사택</vt:lpstr>
      <vt:lpstr>LG 사택 어린이집(오버홀)</vt:lpstr>
      <vt:lpstr>화학_AB_3동 기숙사</vt:lpstr>
      <vt:lpstr>'LG 사택 어린이집(오버홀)'!Print_Area</vt:lpstr>
      <vt:lpstr>'LGES AB_3동 기숙사'!Print_Area</vt:lpstr>
      <vt:lpstr>'LGES_ 공용부 기숙 및 사택'!Print_Area</vt:lpstr>
      <vt:lpstr>'화학_AB_3동 기숙사'!Print_Area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김인호</dc:creator>
  <cp:lastModifiedBy>종근 이</cp:lastModifiedBy>
  <dcterms:created xsi:type="dcterms:W3CDTF">2026-04-14T00:36:24Z</dcterms:created>
  <dcterms:modified xsi:type="dcterms:W3CDTF">2026-04-20T01:24:43Z</dcterms:modified>
</cp:coreProperties>
</file>
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3\06 작업폴더\03 사택 2동 지붕 전면부 배수로 기와 교체\01 자료\"/>
    </mc:Choice>
  </mc:AlternateContent>
  <xr:revisionPtr revIDLastSave="0" documentId="13_ncr:1_{FB72C2C0-4223-4683-84D5-0CDF90C5F04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A15" i="4"/>
  <c r="A14" i="4"/>
  <c r="A11" i="1" s="1"/>
  <c r="A13" i="4"/>
  <c r="A12" i="4"/>
  <c r="A9" i="1" s="1"/>
  <c r="A11" i="4"/>
  <c r="A10" i="4"/>
  <c r="A9" i="4"/>
  <c r="A6" i="1" s="1"/>
  <c r="A8" i="4"/>
  <c r="A5" i="1" s="1"/>
  <c r="A7" i="4"/>
  <c r="A6" i="4"/>
  <c r="F12" i="1"/>
  <c r="E12" i="1"/>
  <c r="D12" i="1"/>
  <c r="C12" i="1"/>
  <c r="B12" i="1"/>
  <c r="A12" i="1"/>
  <c r="F11" i="1"/>
  <c r="E11" i="1"/>
  <c r="D11" i="1"/>
  <c r="C11" i="1"/>
  <c r="B11" i="1"/>
  <c r="F10" i="1"/>
  <c r="E10" i="1"/>
  <c r="D10" i="1"/>
  <c r="C10" i="1"/>
  <c r="B10" i="1"/>
  <c r="A10" i="1"/>
  <c r="F9" i="1"/>
  <c r="E9" i="1"/>
  <c r="D9" i="1"/>
  <c r="C9" i="1"/>
  <c r="B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A4" i="1"/>
  <c r="F3" i="1"/>
  <c r="E3" i="1"/>
  <c r="D3" i="1"/>
  <c r="C3" i="1"/>
  <c r="B3" i="1"/>
  <c r="A3" i="1"/>
  <c r="S16" i="4"/>
  <c r="V16" i="4" s="1"/>
  <c r="U15" i="4"/>
  <c r="S15" i="4"/>
  <c r="Q15" i="4"/>
  <c r="O15" i="4"/>
  <c r="J22" i="12" l="1"/>
  <c r="J24" i="12"/>
  <c r="J23" i="12"/>
  <c r="J26" i="12"/>
  <c r="J25" i="12"/>
  <c r="J27" i="12" s="1"/>
  <c r="V15" i="4"/>
  <c r="J28" i="12" l="1"/>
  <c r="J20" i="12" s="1"/>
  <c r="O12" i="4"/>
  <c r="V12" i="4" s="1"/>
  <c r="O7" i="4"/>
  <c r="V7" i="4" s="1"/>
  <c r="Q13" i="4"/>
  <c r="Q14" i="4"/>
  <c r="J30" i="12" l="1"/>
  <c r="O17" i="4"/>
  <c r="V17" i="4" s="1"/>
  <c r="A17" i="4"/>
  <c r="O14" i="4"/>
  <c r="V14" i="4" s="1"/>
  <c r="O13" i="4"/>
  <c r="V13" i="4" s="1"/>
  <c r="O11" i="4"/>
  <c r="V11" i="4" s="1"/>
  <c r="O10" i="4"/>
  <c r="V10" i="4" s="1"/>
  <c r="O9" i="4"/>
  <c r="V9" i="4" s="1"/>
  <c r="O8" i="4"/>
  <c r="V8" i="4" s="1"/>
  <c r="O6" i="4"/>
  <c r="V6" i="4" s="1"/>
  <c r="U5" i="4"/>
  <c r="S5" i="4"/>
  <c r="Q5" i="4"/>
  <c r="O5" i="4"/>
  <c r="A5" i="4"/>
  <c r="M32" i="12" l="1"/>
  <c r="B15" i="12" s="1"/>
  <c r="V5" i="4"/>
  <c r="F2" i="1" l="1"/>
  <c r="E2" i="1"/>
  <c r="D2" i="1"/>
  <c r="C2" i="1"/>
  <c r="B2" i="1"/>
  <c r="A2" i="1"/>
  <c r="U18" i="4" l="1"/>
  <c r="Q18" i="4"/>
  <c r="S18" i="4" l="1"/>
  <c r="V18" i="4" l="1"/>
  <c r="O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<sst xmlns="http://schemas.openxmlformats.org/spreadsheetml/2006/main" count="193" uniqueCount="166">
  <si>
    <t>구분</t>
  </si>
  <si>
    <t>표준단가</t>
  </si>
  <si>
    <t>표준품셈</t>
  </si>
  <si>
    <t>물가정보</t>
  </si>
  <si>
    <t>노임단가</t>
  </si>
  <si>
    <t>수량</t>
  </si>
  <si>
    <t>식</t>
    <phoneticPr fontId="14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</si>
  <si>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</si>
  <si>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</si>
  <si>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</si>
  <si>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</si>
  <si>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</si>
  <si>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</si>
  <si>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</si>
  <si>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</si>
  <si>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</si>
  <si>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</si>
  <si>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</si>
  <si>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</si>
  <si>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</si>
  <si>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</si>
  <si>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</si>
  <si>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</si>
  <si>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</si>
  <si>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</si>
  <si>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</si>
  <si>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</si>
  <si>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</si>
  <si>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</si>
  <si>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</si>
  <si>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</si>
  <si>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</si>
  <si>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</si>
  <si>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</si>
  <si>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</si>
  <si>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</si>
  <si>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</si>
  <si>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</si>
  <si>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</si>
  <si>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</si>
  <si>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</si>
  <si>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</si>
  <si>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</si>
  <si>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</si>
  <si>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</si>
  <si>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</si>
  <si>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L003</t>
  </si>
  <si>
    <t>5㎏</t>
  </si>
  <si>
    <t>KSM6010-1종-2급, 백색, 콘크리트 시멘트몰탈내 외부 18ℓ</t>
  </si>
  <si>
    <t>통</t>
  </si>
  <si>
    <t>일</t>
    <phoneticPr fontId="8" type="noConversion"/>
  </si>
  <si>
    <t>TON</t>
  </si>
  <si>
    <t>■ 사다리차 전문업체 견적서(999999)</t>
    <phoneticPr fontId="10" type="noConversion"/>
  </si>
  <si>
    <t>코드</t>
    <phoneticPr fontId="10" type="noConversion"/>
  </si>
  <si>
    <t>품목</t>
    <phoneticPr fontId="10" type="noConversion"/>
  </si>
  <si>
    <t>규격</t>
    <phoneticPr fontId="10" type="noConversion"/>
  </si>
  <si>
    <t>적용기준</t>
    <phoneticPr fontId="10" type="noConversion"/>
  </si>
  <si>
    <t>스카이 임대</t>
    <phoneticPr fontId="10" type="noConversion"/>
  </si>
  <si>
    <t>시중가</t>
    <phoneticPr fontId="10" type="noConversion"/>
  </si>
  <si>
    <t xml:space="preserve">5ton </t>
    <phoneticPr fontId="10" type="noConversion"/>
  </si>
  <si>
    <t>5톤  2023년 전문업체 견적서 첨부</t>
    <phoneticPr fontId="8" type="noConversion"/>
  </si>
  <si>
    <t>고소 30% 할증</t>
    <phoneticPr fontId="8" type="noConversion"/>
  </si>
  <si>
    <t>E00000801011510201</t>
  </si>
  <si>
    <t>건출물 현장정리</t>
  </si>
  <si>
    <t>철근콘크리트조·철골·철근콘크리트조</t>
  </si>
  <si>
    <t>(연면적 ㎡ 당)</t>
  </si>
  <si>
    <t>M010551316300101</t>
  </si>
  <si>
    <t>석재용에폭시본드</t>
  </si>
  <si>
    <t>석재용, 앙카용 타일 접착제(주제 10㎏+ 경화제 10㎏)</t>
  </si>
  <si>
    <t>Set</t>
  </si>
  <si>
    <t>M010550114050101</t>
  </si>
  <si>
    <t>REMIFLOW</t>
  </si>
  <si>
    <t>REMIFLOW FS100, 일반 바닥미장용</t>
  </si>
  <si>
    <t>40㎏/포</t>
  </si>
  <si>
    <t>M020251411630101</t>
  </si>
  <si>
    <t>다우실 988</t>
  </si>
  <si>
    <t>1액형 실리콘, 비오염성 실리콘, 석재 조인트용</t>
  </si>
  <si>
    <t>270㎖</t>
  </si>
  <si>
    <t>M020412114290101</t>
  </si>
  <si>
    <t>숲으로에이스 외부용</t>
  </si>
  <si>
    <t>M020412613720101</t>
  </si>
  <si>
    <t>슬레이트기와용 페인트</t>
  </si>
  <si>
    <t>KSM-6020, (4종), 주홍색</t>
  </si>
  <si>
    <t>18ℓ</t>
  </si>
  <si>
    <t>M020413111390101</t>
  </si>
  <si>
    <t>발수재</t>
  </si>
  <si>
    <t>믹싱리퀴드100, 수성도료용 하도</t>
  </si>
  <si>
    <t>L002</t>
  </si>
  <si>
    <t>시중노임단가</t>
    <phoneticPr fontId="8" type="noConversion"/>
  </si>
  <si>
    <t>보통인부, 1인*5일=5인</t>
    <phoneticPr fontId="8" type="noConversion"/>
  </si>
  <si>
    <t>특별인부, 3인*5일 작업=15인, 고소할증 적용</t>
    <phoneticPr fontId="8" type="noConversion"/>
  </si>
  <si>
    <t>M020412311620102</t>
  </si>
  <si>
    <t>숲으로 퍼티</t>
  </si>
  <si>
    <t>외부용</t>
  </si>
  <si>
    <t>M020806810430101</t>
  </si>
  <si>
    <t>STEEL CONCORE PANEL 기준, (소운반비별도), 적용</t>
    <phoneticPr fontId="8" type="noConversion"/>
  </si>
  <si>
    <t>산업폐기물처리비=기와 폐기물 적용</t>
    <phoneticPr fontId="8" type="noConversion"/>
  </si>
  <si>
    <t xml:space="preserve">스카이, 5일 작업 </t>
    <phoneticPr fontId="8" type="noConversion"/>
  </si>
  <si>
    <t>인</t>
    <phoneticPr fontId="8" type="noConversion"/>
  </si>
  <si>
    <t>대</t>
    <phoneticPr fontId="8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</si>
  <si>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</si>
  <si>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</si>
  <si>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</si>
  <si>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</si>
  <si>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</si>
  <si>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</si>
  <si>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</si>
  <si>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</si>
  <si>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</si>
  <si>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</si>
  <si>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</si>
  <si>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</si>
  <si>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</si>
  <si>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8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</si>
  <si>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</si>
  <si>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</si>
  <si>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</si>
  <si>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</si>
  <si>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</si>
  <si>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0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</si>
  <si>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</si>
  <si>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</si>
  <si>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</si>
  <si>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</si>
  <si>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</si>
  <si>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</si>
  <si>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</si>
  <si>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</si>
  <si>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</si>
  <si>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61" type="noConversion"/>
  </si>
  <si>
    <t>구          분</t>
    <phoneticPr fontId="61" type="noConversion"/>
  </si>
  <si>
    <t>수량</t>
    <phoneticPr fontId="61" type="noConversion"/>
  </si>
  <si>
    <t>단위</t>
    <phoneticPr fontId="61" type="noConversion"/>
  </si>
  <si>
    <t>금    액</t>
    <phoneticPr fontId="61" type="noConversion"/>
  </si>
  <si>
    <t>비    고</t>
    <phoneticPr fontId="61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</si>
  <si>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</si>
  <si>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</si>
  <si>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0" type="noConversion"/>
  </si>
  <si>
    <t>안전관리비</t>
    <phoneticPr fontId="14" type="noConversion"/>
  </si>
  <si>
    <t>%</t>
    <phoneticPr fontId="14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</si>
  <si>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</si>
  <si>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</si>
  <si>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</si>
  <si>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</si>
  <si>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</si>
  <si>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</si>
  <si>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</si>
  <si>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</si>
  <si>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</si>
  <si>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</si>
  <si>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4" type="noConversion"/>
  </si>
  <si>
    <t>건강보험료*12.95%</t>
    <phoneticPr fontId="10" type="noConversion"/>
  </si>
  <si>
    <t>하도급대금지급보증증권</t>
    <phoneticPr fontId="14" type="noConversion"/>
  </si>
  <si>
    <t>1천만원 이상 공사시 적용</t>
    <phoneticPr fontId="10" type="noConversion"/>
  </si>
  <si>
    <t>폐기물처리 부담금</t>
    <phoneticPr fontId="14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</si>
  <si>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</si>
  <si>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</si>
  <si>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</si>
  <si>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</si>
  <si>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</si>
  <si>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4" type="noConversion"/>
  </si>
  <si>
    <t>(재료비+노무비+경비+일반관리비)*7.5%</t>
    <phoneticPr fontId="10" type="noConversion"/>
  </si>
  <si>
    <t>공사금액</t>
    <phoneticPr fontId="14" type="noConversion"/>
  </si>
  <si>
    <t>*유첨 : 견적서 내역서 1부      ─ 끝 ─</t>
    <phoneticPr fontId="14" type="noConversion"/>
  </si>
  <si>
    <t>사택 2동 지붕 전면부 배수로 기와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</si>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</sst>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###,###,###,##0"/>
    <numFmt numFmtId="187" formatCode="0.0_);[Red]\(0.0\)"/>
    <numFmt numFmtId="188" formatCode="&quot;공사명:&quot;\ @"/>
    <numFmt numFmtId="189" formatCode="0.000"/>
  </numFmts>
  <fonts count="6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indexed="8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8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7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49" fontId="19" fillId="7" borderId="2" xfId="0" applyNumberFormat="1" applyFont="1" applyFill="1" applyBorder="1" applyAlignment="1">
      <alignment horizontal="center" vertical="center" wrapText="1"/>
    </xf>
    <xf numFmtId="49" fontId="19" fillId="5" borderId="2" xfId="0" applyNumberFormat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182" fontId="19" fillId="5" borderId="2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17" xfId="0" applyNumberFormat="1" applyFont="1" applyFill="1" applyBorder="1" applyAlignment="1">
      <alignment horizontal="center" vertical="center" wrapText="1"/>
    </xf>
    <xf numFmtId="49" fontId="19" fillId="2" borderId="18" xfId="0" applyNumberFormat="1" applyFont="1" applyFill="1" applyBorder="1" applyAlignment="1">
      <alignment horizontal="center" vertical="center" wrapText="1"/>
    </xf>
    <xf numFmtId="183" fontId="19" fillId="0" borderId="0" xfId="0" applyNumberFormat="1" applyFont="1">
      <alignment vertical="center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84" fontId="19" fillId="0" borderId="0" xfId="0" applyNumberFormat="1" applyFont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0" fillId="0" borderId="0" xfId="17" applyFont="1">
      <alignment vertical="center"/>
    </xf>
    <xf numFmtId="0" fontId="24" fillId="0" borderId="0" xfId="17" applyFont="1">
      <alignment vertical="center"/>
    </xf>
    <xf numFmtId="0" fontId="20" fillId="0" borderId="0" xfId="17" applyFont="1" applyAlignment="1">
      <alignment horizontal="center" vertical="center"/>
    </xf>
    <xf numFmtId="0" fontId="20" fillId="0" borderId="0" xfId="0" applyFont="1">
      <alignment vertical="center"/>
    </xf>
    <xf numFmtId="185" fontId="19" fillId="5" borderId="2" xfId="0" applyNumberFormat="1" applyFont="1" applyFill="1" applyBorder="1" applyAlignment="1">
      <alignment horizontal="right" vertical="center" wrapText="1"/>
    </xf>
    <xf numFmtId="185" fontId="19" fillId="6" borderId="2" xfId="1" applyNumberFormat="1" applyFont="1" applyFill="1" applyBorder="1" applyAlignment="1">
      <alignment horizontal="right" vertical="center" wrapText="1"/>
    </xf>
    <xf numFmtId="185" fontId="19" fillId="0" borderId="2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76" fontId="13" fillId="9" borderId="0" xfId="0" applyNumberFormat="1" applyFont="1" applyFill="1">
      <alignment vertical="center"/>
    </xf>
    <xf numFmtId="176" fontId="13" fillId="0" borderId="0" xfId="0" applyNumberFormat="1" applyFont="1">
      <alignment vertical="center"/>
    </xf>
    <xf numFmtId="176" fontId="26" fillId="5" borderId="2" xfId="1" applyFont="1" applyFill="1" applyBorder="1" applyAlignment="1">
      <alignment horizontal="center" vertical="center"/>
    </xf>
    <xf numFmtId="49" fontId="27" fillId="5" borderId="2" xfId="0" applyNumberFormat="1" applyFont="1" applyFill="1" applyBorder="1" applyAlignment="1">
      <alignment horizontal="center" vertical="center"/>
    </xf>
    <xf numFmtId="49" fontId="28" fillId="5" borderId="2" xfId="0" applyNumberFormat="1" applyFont="1" applyFill="1" applyBorder="1" applyAlignment="1">
      <alignment horizontal="center" vertical="center"/>
    </xf>
    <xf numFmtId="49" fontId="29" fillId="5" borderId="2" xfId="0" applyNumberFormat="1" applyFont="1" applyFill="1" applyBorder="1" applyAlignment="1">
      <alignment horizontal="center" vertical="center" wrapText="1"/>
    </xf>
    <xf numFmtId="49" fontId="30" fillId="5" borderId="2" xfId="0" applyNumberFormat="1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/>
    </xf>
    <xf numFmtId="0" fontId="32" fillId="0" borderId="19" xfId="19" applyFont="1" applyBorder="1">
      <alignment vertical="center"/>
    </xf>
    <xf numFmtId="0" fontId="33" fillId="0" borderId="0" xfId="19" applyFont="1">
      <alignment vertical="center"/>
    </xf>
    <xf numFmtId="0" fontId="32" fillId="0" borderId="0" xfId="19" applyFont="1">
      <alignment vertical="center"/>
    </xf>
    <xf numFmtId="0" fontId="33" fillId="0" borderId="0" xfId="19" applyFont="1" applyAlignment="1">
      <alignment horizontal="center" vertical="center"/>
    </xf>
    <xf numFmtId="176" fontId="34" fillId="6" borderId="10" xfId="20" applyFont="1" applyFill="1" applyBorder="1" applyAlignment="1">
      <alignment horizontal="center" vertical="center"/>
    </xf>
    <xf numFmtId="176" fontId="34" fillId="6" borderId="20" xfId="20" applyFont="1" applyFill="1" applyBorder="1" applyAlignment="1">
      <alignment horizontal="center" vertical="center"/>
    </xf>
    <xf numFmtId="176" fontId="34" fillId="6" borderId="11" xfId="20" applyFont="1" applyFill="1" applyBorder="1" applyAlignment="1">
      <alignment horizontal="center" vertical="center"/>
    </xf>
    <xf numFmtId="0" fontId="35" fillId="5" borderId="12" xfId="20" applyNumberFormat="1" applyFont="1" applyFill="1" applyBorder="1" applyAlignment="1">
      <alignment horizontal="center" vertical="center"/>
    </xf>
    <xf numFmtId="176" fontId="35" fillId="0" borderId="21" xfId="20" applyFont="1" applyFill="1" applyBorder="1" applyAlignment="1">
      <alignment horizontal="center" vertical="center" shrinkToFit="1"/>
    </xf>
    <xf numFmtId="176" fontId="36" fillId="9" borderId="21" xfId="20" applyFont="1" applyFill="1" applyBorder="1" applyAlignment="1">
      <alignment horizontal="center" vertical="center"/>
    </xf>
    <xf numFmtId="0" fontId="36" fillId="5" borderId="13" xfId="19" applyFont="1" applyFill="1" applyBorder="1" applyAlignment="1">
      <alignment horizontal="center" vertical="center"/>
    </xf>
    <xf numFmtId="9" fontId="37" fillId="0" borderId="2" xfId="0" applyNumberFormat="1" applyFont="1" applyBorder="1" applyAlignment="1">
      <alignment horizontal="center" vertical="center"/>
    </xf>
    <xf numFmtId="0" fontId="38" fillId="6" borderId="7" xfId="0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49" fontId="39" fillId="7" borderId="2" xfId="0" applyNumberFormat="1" applyFont="1" applyFill="1" applyBorder="1" applyAlignment="1">
      <alignment horizontal="center" vertical="center" wrapText="1"/>
    </xf>
    <xf numFmtId="0" fontId="40" fillId="7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horizontal="center" vertical="center"/>
    </xf>
    <xf numFmtId="0" fontId="31" fillId="5" borderId="2" xfId="0" applyFont="1" applyFill="1" applyBorder="1">
      <alignment vertical="center"/>
    </xf>
    <xf numFmtId="176" fontId="25" fillId="6" borderId="2" xfId="1" applyFont="1" applyFill="1" applyBorder="1" applyAlignment="1">
      <alignment horizontal="center" vertical="center" wrapText="1"/>
    </xf>
    <xf numFmtId="186" fontId="25" fillId="5" borderId="2" xfId="0" applyNumberFormat="1" applyFont="1" applyFill="1" applyBorder="1" applyAlignment="1">
      <alignment horizontal="right" vertical="center" wrapText="1"/>
    </xf>
    <xf numFmtId="176" fontId="31" fillId="0" borderId="2" xfId="1" applyFont="1" applyFill="1" applyBorder="1" applyAlignment="1">
      <alignment horizontal="center" vertical="center" wrapText="1"/>
    </xf>
    <xf numFmtId="176" fontId="25" fillId="5" borderId="2" xfId="1" applyFont="1" applyFill="1" applyBorder="1" applyAlignment="1">
      <alignment horizontal="center" vertical="center" wrapText="1"/>
    </xf>
    <xf numFmtId="9" fontId="25" fillId="0" borderId="2" xfId="0" applyNumberFormat="1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49" fontId="42" fillId="7" borderId="2" xfId="0" applyNumberFormat="1" applyFont="1" applyFill="1" applyBorder="1" applyAlignment="1">
      <alignment horizontal="center" vertical="center"/>
    </xf>
    <xf numFmtId="49" fontId="38" fillId="7" borderId="2" xfId="0" applyNumberFormat="1" applyFont="1" applyFill="1" applyBorder="1" applyAlignment="1">
      <alignment horizontal="center" vertical="center" wrapText="1"/>
    </xf>
    <xf numFmtId="176" fontId="25" fillId="5" borderId="2" xfId="18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 wrapText="1"/>
    </xf>
    <xf numFmtId="0" fontId="19" fillId="6" borderId="2" xfId="0" applyFont="1" applyFill="1" applyBorder="1">
      <alignment vertical="center"/>
    </xf>
    <xf numFmtId="49" fontId="22" fillId="7" borderId="2" xfId="0" applyNumberFormat="1" applyFont="1" applyFill="1" applyBorder="1" applyAlignment="1">
      <alignment vertical="center" wrapText="1"/>
    </xf>
    <xf numFmtId="0" fontId="19" fillId="7" borderId="2" xfId="0" applyFont="1" applyFill="1" applyBorder="1">
      <alignment vertical="center"/>
    </xf>
    <xf numFmtId="49" fontId="19" fillId="7" borderId="2" xfId="0" applyNumberFormat="1" applyFont="1" applyFill="1" applyBorder="1" applyAlignment="1">
      <alignment vertical="center" wrapText="1"/>
    </xf>
    <xf numFmtId="49" fontId="19" fillId="5" borderId="2" xfId="1" applyNumberFormat="1" applyFont="1" applyFill="1" applyBorder="1" applyAlignment="1">
      <alignment horizontal="center" vertical="center"/>
    </xf>
    <xf numFmtId="185" fontId="19" fillId="5" borderId="2" xfId="1" applyNumberFormat="1" applyFont="1" applyFill="1" applyBorder="1" applyAlignment="1">
      <alignment horizontal="right" vertical="center" wrapText="1"/>
    </xf>
    <xf numFmtId="176" fontId="19" fillId="0" borderId="2" xfId="1" applyFont="1" applyFill="1" applyBorder="1" applyAlignment="1">
      <alignment vertical="center" wrapText="1"/>
    </xf>
    <xf numFmtId="9" fontId="19" fillId="0" borderId="2" xfId="0" applyNumberFormat="1" applyFont="1" applyBorder="1">
      <alignment vertical="center"/>
    </xf>
    <xf numFmtId="0" fontId="19" fillId="0" borderId="8" xfId="0" applyFont="1" applyBorder="1">
      <alignment vertical="center"/>
    </xf>
    <xf numFmtId="184" fontId="45" fillId="5" borderId="2" xfId="0" applyNumberFormat="1" applyFont="1" applyFill="1" applyBorder="1" applyAlignment="1">
      <alignment vertical="center" wrapText="1"/>
    </xf>
    <xf numFmtId="0" fontId="19" fillId="6" borderId="2" xfId="0" applyFont="1" applyFill="1" applyBorder="1" applyAlignment="1">
      <alignment horizontal="center" vertical="center"/>
    </xf>
    <xf numFmtId="0" fontId="44" fillId="7" borderId="2" xfId="0" applyFont="1" applyFill="1" applyBorder="1" applyAlignment="1">
      <alignment horizontal="center" vertical="center"/>
    </xf>
    <xf numFmtId="0" fontId="42" fillId="7" borderId="2" xfId="0" applyFont="1" applyFill="1" applyBorder="1" applyAlignment="1">
      <alignment horizontal="center" vertical="center"/>
    </xf>
    <xf numFmtId="49" fontId="45" fillId="7" borderId="2" xfId="0" applyNumberFormat="1" applyFont="1" applyFill="1" applyBorder="1" applyAlignment="1">
      <alignment horizontal="center" vertical="center" wrapText="1"/>
    </xf>
    <xf numFmtId="0" fontId="47" fillId="5" borderId="2" xfId="0" applyFont="1" applyFill="1" applyBorder="1" applyAlignment="1">
      <alignment horizontal="center" vertical="center"/>
    </xf>
    <xf numFmtId="0" fontId="46" fillId="5" borderId="2" xfId="0" applyFont="1" applyFill="1" applyBorder="1">
      <alignment vertical="center"/>
    </xf>
    <xf numFmtId="49" fontId="42" fillId="5" borderId="2" xfId="0" applyNumberFormat="1" applyFont="1" applyFill="1" applyBorder="1" applyAlignment="1">
      <alignment horizontal="center" vertical="center"/>
    </xf>
    <xf numFmtId="176" fontId="43" fillId="5" borderId="2" xfId="18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/>
    </xf>
    <xf numFmtId="176" fontId="42" fillId="5" borderId="2" xfId="18" applyFont="1" applyFill="1" applyBorder="1" applyAlignment="1">
      <alignment horizontal="center" vertical="center"/>
    </xf>
    <xf numFmtId="185" fontId="19" fillId="5" borderId="2" xfId="0" applyNumberFormat="1" applyFont="1" applyFill="1" applyBorder="1" applyAlignment="1">
      <alignment horizontal="right" vertical="center"/>
    </xf>
    <xf numFmtId="0" fontId="47" fillId="5" borderId="2" xfId="0" applyFont="1" applyFill="1" applyBorder="1" applyAlignment="1">
      <alignment vertical="center" wrapText="1"/>
    </xf>
    <xf numFmtId="49" fontId="42" fillId="5" borderId="2" xfId="0" applyNumberFormat="1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187" fontId="26" fillId="5" borderId="2" xfId="1" applyNumberFormat="1" applyFont="1" applyFill="1" applyBorder="1" applyAlignment="1">
      <alignment horizontal="center" vertical="center"/>
    </xf>
    <xf numFmtId="187" fontId="19" fillId="5" borderId="2" xfId="1" applyNumberFormat="1" applyFont="1" applyFill="1" applyBorder="1" applyAlignment="1">
      <alignment horizontal="center" vertical="center"/>
    </xf>
    <xf numFmtId="187" fontId="31" fillId="5" borderId="2" xfId="18" applyNumberFormat="1" applyFont="1" applyFill="1" applyBorder="1" applyAlignment="1">
      <alignment horizontal="center" vertical="center"/>
    </xf>
    <xf numFmtId="183" fontId="19" fillId="0" borderId="1" xfId="1" applyNumberFormat="1" applyFont="1" applyBorder="1" applyAlignment="1">
      <alignment horizontal="center" vertical="center"/>
    </xf>
    <xf numFmtId="0" fontId="49" fillId="0" borderId="0" xfId="22" applyFont="1">
      <alignment vertical="center"/>
    </xf>
    <xf numFmtId="0" fontId="48" fillId="0" borderId="25" xfId="21" applyFont="1" applyBorder="1" applyAlignment="1">
      <alignment horizontal="center" vertical="center"/>
    </xf>
    <xf numFmtId="0" fontId="48" fillId="0" borderId="0" xfId="21" applyFont="1" applyAlignment="1">
      <alignment horizontal="center" vertical="center"/>
    </xf>
    <xf numFmtId="0" fontId="48" fillId="0" borderId="26" xfId="21" applyFont="1" applyBorder="1" applyAlignment="1">
      <alignment horizontal="center" vertical="center"/>
    </xf>
    <xf numFmtId="0" fontId="51" fillId="0" borderId="25" xfId="21" applyFont="1" applyBorder="1" applyAlignment="1">
      <alignment horizontal="left" vertical="center"/>
    </xf>
    <xf numFmtId="0" fontId="52" fillId="0" borderId="0" xfId="21" applyFont="1" applyAlignment="1">
      <alignment vertical="center"/>
    </xf>
    <xf numFmtId="0" fontId="52" fillId="0" borderId="0" xfId="21" applyFont="1" applyAlignment="1">
      <alignment horizontal="left" vertical="center" textRotation="1"/>
    </xf>
    <xf numFmtId="0" fontId="53" fillId="0" borderId="0" xfId="21" applyFont="1" applyAlignment="1">
      <alignment horizontal="centerContinuous" vertical="center"/>
    </xf>
    <xf numFmtId="0" fontId="53" fillId="0" borderId="26" xfId="21" applyFont="1" applyBorder="1" applyAlignment="1">
      <alignment vertical="center"/>
    </xf>
    <xf numFmtId="0" fontId="54" fillId="0" borderId="25" xfId="21" applyFont="1" applyBorder="1" applyAlignment="1">
      <alignment horizontal="left" vertical="center" indent="2"/>
    </xf>
    <xf numFmtId="0" fontId="49" fillId="0" borderId="19" xfId="21" applyFont="1" applyBorder="1" applyAlignment="1">
      <alignment vertical="center"/>
    </xf>
    <xf numFmtId="0" fontId="49" fillId="0" borderId="0" xfId="21" applyFont="1" applyAlignment="1">
      <alignment vertical="center"/>
    </xf>
    <xf numFmtId="0" fontId="53" fillId="0" borderId="26" xfId="21" applyFont="1" applyBorder="1" applyAlignment="1">
      <alignment horizontal="right" vertical="center"/>
    </xf>
    <xf numFmtId="0" fontId="54" fillId="0" borderId="25" xfId="21" applyFont="1" applyBorder="1" applyAlignment="1">
      <alignment vertical="center"/>
    </xf>
    <xf numFmtId="0" fontId="54" fillId="0" borderId="0" xfId="21" applyFont="1" applyAlignment="1">
      <alignment vertical="center"/>
    </xf>
    <xf numFmtId="0" fontId="53" fillId="0" borderId="0" xfId="21" applyFont="1" applyAlignment="1">
      <alignment horizontal="right" vertical="center"/>
    </xf>
    <xf numFmtId="0" fontId="54" fillId="0" borderId="26" xfId="21" applyFont="1" applyBorder="1" applyAlignment="1">
      <alignment vertical="center"/>
    </xf>
    <xf numFmtId="0" fontId="49" fillId="0" borderId="28" xfId="21" applyFont="1" applyBorder="1" applyAlignment="1">
      <alignment horizontal="center" vertical="center"/>
    </xf>
    <xf numFmtId="0" fontId="49" fillId="0" borderId="29" xfId="21" applyFont="1" applyBorder="1" applyAlignment="1">
      <alignment horizontal="center" vertical="center"/>
    </xf>
    <xf numFmtId="0" fontId="49" fillId="0" borderId="6" xfId="21" applyFont="1" applyBorder="1" applyAlignment="1">
      <alignment horizontal="center" vertical="center"/>
    </xf>
    <xf numFmtId="0" fontId="49" fillId="0" borderId="31" xfId="21" applyFont="1" applyBorder="1" applyAlignment="1">
      <alignment horizontal="center" vertical="center"/>
    </xf>
    <xf numFmtId="0" fontId="49" fillId="0" borderId="2" xfId="21" applyFont="1" applyBorder="1" applyAlignment="1">
      <alignment horizontal="center" vertical="center"/>
    </xf>
    <xf numFmtId="0" fontId="57" fillId="0" borderId="8" xfId="21" applyFont="1" applyBorder="1" applyAlignment="1">
      <alignment horizontal="center" vertical="center"/>
    </xf>
    <xf numFmtId="0" fontId="49" fillId="0" borderId="39" xfId="21" applyFont="1" applyBorder="1" applyAlignment="1">
      <alignment horizontal="center" vertical="center"/>
    </xf>
    <xf numFmtId="0" fontId="49" fillId="0" borderId="40" xfId="21" applyFont="1" applyBorder="1" applyAlignment="1">
      <alignment horizontal="center" vertical="center"/>
    </xf>
    <xf numFmtId="0" fontId="49" fillId="0" borderId="25" xfId="21" applyFont="1" applyBorder="1" applyAlignment="1">
      <alignment horizontal="center" vertical="center"/>
    </xf>
    <xf numFmtId="0" fontId="49" fillId="0" borderId="0" xfId="21" applyFont="1" applyAlignment="1">
      <alignment horizontal="center" vertical="center"/>
    </xf>
    <xf numFmtId="0" fontId="49" fillId="0" borderId="0" xfId="21" applyFont="1" applyAlignment="1">
      <alignment horizontal="left" vertical="center" indent="1"/>
    </xf>
    <xf numFmtId="0" fontId="53" fillId="0" borderId="0" xfId="21" applyFont="1" applyAlignment="1">
      <alignment vertical="center"/>
    </xf>
    <xf numFmtId="0" fontId="49" fillId="0" borderId="25" xfId="21" applyFont="1" applyBorder="1" applyAlignment="1">
      <alignment vertical="center"/>
    </xf>
    <xf numFmtId="0" fontId="49" fillId="0" borderId="26" xfId="21" applyFont="1" applyBorder="1" applyAlignment="1">
      <alignment vertical="center"/>
    </xf>
    <xf numFmtId="0" fontId="54" fillId="0" borderId="25" xfId="21" applyFont="1" applyBorder="1" applyAlignment="1">
      <alignment horizontal="left" vertical="center" indent="1"/>
    </xf>
    <xf numFmtId="0" fontId="59" fillId="0" borderId="0" xfId="21" applyFont="1" applyAlignment="1">
      <alignment vertical="center"/>
    </xf>
    <xf numFmtId="0" fontId="59" fillId="12" borderId="41" xfId="21" applyFont="1" applyFill="1" applyBorder="1" applyAlignment="1">
      <alignment horizontal="center" vertical="center"/>
    </xf>
    <xf numFmtId="0" fontId="59" fillId="12" borderId="42" xfId="21" applyFont="1" applyFill="1" applyBorder="1" applyAlignment="1">
      <alignment horizontal="center" vertical="center"/>
    </xf>
    <xf numFmtId="3" fontId="59" fillId="12" borderId="42" xfId="21" applyNumberFormat="1" applyFont="1" applyFill="1" applyBorder="1" applyAlignment="1">
      <alignment horizontal="center" vertical="center"/>
    </xf>
    <xf numFmtId="0" fontId="49" fillId="0" borderId="46" xfId="21" applyFont="1" applyBorder="1" applyAlignment="1">
      <alignment horizontal="center" vertical="center"/>
    </xf>
    <xf numFmtId="0" fontId="49" fillId="0" borderId="50" xfId="21" applyFont="1" applyBorder="1" applyAlignment="1">
      <alignment horizontal="center" vertical="center"/>
    </xf>
    <xf numFmtId="0" fontId="49" fillId="0" borderId="56" xfId="24" applyFont="1" applyBorder="1" applyAlignment="1">
      <alignment horizontal="center" vertical="center"/>
    </xf>
    <xf numFmtId="176" fontId="49" fillId="0" borderId="0" xfId="22" applyNumberFormat="1" applyFont="1">
      <alignment vertical="center"/>
    </xf>
    <xf numFmtId="0" fontId="49" fillId="0" borderId="60" xfId="24" applyFont="1" applyBorder="1" applyAlignment="1">
      <alignment horizontal="left" vertical="center" wrapText="1" indent="1"/>
    </xf>
    <xf numFmtId="0" fontId="53" fillId="0" borderId="65" xfId="24" applyFont="1" applyBorder="1" applyAlignment="1">
      <alignment horizontal="center" vertical="center"/>
    </xf>
    <xf numFmtId="189" fontId="53" fillId="0" borderId="65" xfId="24" applyNumberFormat="1" applyFont="1" applyBorder="1" applyAlignment="1">
      <alignment horizontal="center" vertical="center"/>
    </xf>
    <xf numFmtId="177" fontId="49" fillId="0" borderId="0" xfId="22" applyNumberFormat="1" applyFont="1">
      <alignment vertical="center"/>
    </xf>
    <xf numFmtId="2" fontId="53" fillId="0" borderId="67" xfId="24" applyNumberFormat="1" applyFont="1" applyBorder="1" applyAlignment="1">
      <alignment horizontal="center" vertical="center"/>
    </xf>
    <xf numFmtId="0" fontId="53" fillId="0" borderId="70" xfId="24" applyFont="1" applyBorder="1" applyAlignment="1">
      <alignment horizontal="center" vertical="center"/>
    </xf>
    <xf numFmtId="0" fontId="49" fillId="0" borderId="72" xfId="21" applyFont="1" applyBorder="1" applyAlignment="1">
      <alignment horizontal="center" vertical="center"/>
    </xf>
    <xf numFmtId="0" fontId="49" fillId="0" borderId="73" xfId="24" applyFont="1" applyBorder="1" applyAlignment="1">
      <alignment horizontal="left" vertical="center" wrapText="1" indent="1"/>
    </xf>
    <xf numFmtId="1" fontId="53" fillId="0" borderId="74" xfId="24" applyNumberFormat="1" applyFont="1" applyBorder="1" applyAlignment="1">
      <alignment horizontal="center" vertical="center"/>
    </xf>
    <xf numFmtId="0" fontId="53" fillId="0" borderId="74" xfId="24" applyFont="1" applyBorder="1" applyAlignment="1">
      <alignment horizontal="center" vertical="center"/>
    </xf>
    <xf numFmtId="0" fontId="53" fillId="0" borderId="78" xfId="24" applyFont="1" applyBorder="1" applyAlignment="1">
      <alignment horizontal="center" vertical="center"/>
    </xf>
    <xf numFmtId="176" fontId="49" fillId="0" borderId="0" xfId="18" applyFont="1">
      <alignment vertical="center"/>
    </xf>
    <xf numFmtId="176" fontId="63" fillId="13" borderId="43" xfId="21" applyNumberFormat="1" applyFont="1" applyFill="1" applyBorder="1" applyAlignment="1">
      <alignment horizontal="right" vertical="center"/>
    </xf>
    <xf numFmtId="0" fontId="63" fillId="13" borderId="43" xfId="21" applyFont="1" applyFill="1" applyBorder="1" applyAlignment="1">
      <alignment horizontal="right" vertical="center"/>
    </xf>
    <xf numFmtId="176" fontId="63" fillId="13" borderId="80" xfId="18" applyFont="1" applyFill="1" applyBorder="1" applyAlignment="1">
      <alignment horizontal="right" vertical="center"/>
    </xf>
    <xf numFmtId="179" fontId="49" fillId="0" borderId="0" xfId="26" applyFont="1" applyAlignment="1">
      <alignment vertical="center"/>
    </xf>
    <xf numFmtId="49" fontId="53" fillId="0" borderId="25" xfId="21" applyNumberFormat="1" applyFont="1" applyBorder="1" applyAlignment="1">
      <alignment horizontal="left" vertical="center" indent="1"/>
    </xf>
    <xf numFmtId="49" fontId="49" fillId="0" borderId="0" xfId="21" applyNumberFormat="1" applyFont="1" applyAlignment="1">
      <alignment vertical="center"/>
    </xf>
    <xf numFmtId="49" fontId="49" fillId="0" borderId="26" xfId="21" applyNumberFormat="1" applyFont="1" applyBorder="1" applyAlignment="1">
      <alignment vertical="center"/>
    </xf>
    <xf numFmtId="49" fontId="49" fillId="0" borderId="25" xfId="21" applyNumberFormat="1" applyFont="1" applyBorder="1" applyAlignment="1">
      <alignment vertical="center"/>
    </xf>
    <xf numFmtId="0" fontId="54" fillId="0" borderId="0" xfId="24" applyFont="1" applyAlignment="1">
      <alignment horizontal="left" vertical="center"/>
    </xf>
    <xf numFmtId="0" fontId="54" fillId="0" borderId="26" xfId="24" applyFont="1" applyBorder="1" applyAlignment="1">
      <alignment horizontal="left" vertical="center"/>
    </xf>
    <xf numFmtId="49" fontId="49" fillId="0" borderId="82" xfId="21" applyNumberFormat="1" applyFont="1" applyBorder="1" applyAlignment="1">
      <alignment vertical="center"/>
    </xf>
    <xf numFmtId="49" fontId="49" fillId="0" borderId="83" xfId="21" applyNumberFormat="1" applyFont="1" applyBorder="1" applyAlignment="1">
      <alignment vertical="center"/>
    </xf>
    <xf numFmtId="49" fontId="49" fillId="0" borderId="84" xfId="21" applyNumberFormat="1" applyFont="1" applyBorder="1" applyAlignment="1">
      <alignment vertical="center"/>
    </xf>
    <xf numFmtId="0" fontId="54" fillId="0" borderId="19" xfId="21" applyFont="1" applyBorder="1" applyAlignment="1">
      <alignment vertical="center"/>
    </xf>
    <xf numFmtId="0" fontId="49" fillId="0" borderId="27" xfId="21" applyFont="1" applyBorder="1" applyAlignment="1">
      <alignment horizontal="right" vertical="center"/>
    </xf>
    <xf numFmtId="0" fontId="49" fillId="0" borderId="47" xfId="24" applyFont="1" applyBorder="1" applyAlignment="1">
      <alignment horizontal="center" vertical="center"/>
    </xf>
    <xf numFmtId="0" fontId="49" fillId="0" borderId="49" xfId="24" applyFont="1" applyBorder="1" applyAlignment="1">
      <alignment horizontal="center" vertical="center"/>
    </xf>
    <xf numFmtId="0" fontId="49" fillId="0" borderId="54" xfId="24" applyFont="1" applyBorder="1" applyAlignment="1">
      <alignment horizontal="center" vertical="center"/>
    </xf>
    <xf numFmtId="0" fontId="53" fillId="0" borderId="61" xfId="24" applyFont="1" applyBorder="1" applyAlignment="1">
      <alignment horizontal="center" vertical="center"/>
    </xf>
    <xf numFmtId="0" fontId="53" fillId="0" borderId="74" xfId="24" applyFont="1" applyBorder="1" applyAlignment="1">
      <alignment horizontal="left" vertical="center" wrapText="1" indent="1"/>
    </xf>
    <xf numFmtId="0" fontId="53" fillId="0" borderId="75" xfId="24" applyFont="1" applyBorder="1" applyAlignment="1">
      <alignment horizontal="left" vertical="center" wrapText="1" indent="1"/>
    </xf>
    <xf numFmtId="0" fontId="53" fillId="0" borderId="76" xfId="24" applyFont="1" applyBorder="1" applyAlignment="1">
      <alignment horizontal="left" vertical="center" wrapText="1" indent="1"/>
    </xf>
    <xf numFmtId="176" fontId="49" fillId="0" borderId="74" xfId="18" applyFont="1" applyFill="1" applyBorder="1" applyAlignment="1">
      <alignment horizontal="right" vertical="center"/>
    </xf>
    <xf numFmtId="176" fontId="49" fillId="0" borderId="75" xfId="18" applyFont="1" applyFill="1" applyBorder="1" applyAlignment="1">
      <alignment horizontal="right" vertical="center"/>
    </xf>
    <xf numFmtId="176" fontId="49" fillId="0" borderId="76" xfId="18" applyFont="1" applyFill="1" applyBorder="1" applyAlignment="1">
      <alignment horizontal="right" vertical="center"/>
    </xf>
    <xf numFmtId="176" fontId="49" fillId="0" borderId="74" xfId="25" applyFont="1" applyFill="1" applyBorder="1" applyAlignment="1">
      <alignment horizontal="left" vertical="center"/>
    </xf>
    <xf numFmtId="176" fontId="49" fillId="0" borderId="77" xfId="25" applyFont="1" applyFill="1" applyBorder="1" applyAlignment="1">
      <alignment horizontal="left" vertical="center"/>
    </xf>
    <xf numFmtId="0" fontId="63" fillId="13" borderId="79" xfId="21" applyFont="1" applyFill="1" applyBorder="1" applyAlignment="1">
      <alignment horizontal="center" vertical="center"/>
    </xf>
    <xf numFmtId="0" fontId="63" fillId="13" borderId="43" xfId="21" applyFont="1" applyFill="1" applyBorder="1" applyAlignment="1">
      <alignment horizontal="center" vertical="center"/>
    </xf>
    <xf numFmtId="0" fontId="63" fillId="13" borderId="80" xfId="21" applyFont="1" applyFill="1" applyBorder="1" applyAlignment="1">
      <alignment horizontal="center" vertical="center"/>
    </xf>
    <xf numFmtId="9" fontId="63" fillId="13" borderId="81" xfId="2" applyFont="1" applyFill="1" applyBorder="1" applyAlignment="1">
      <alignment horizontal="center" vertical="center"/>
    </xf>
    <xf numFmtId="9" fontId="63" fillId="13" borderId="45" xfId="2" applyFont="1" applyFill="1" applyBorder="1" applyAlignment="1">
      <alignment horizontal="center" vertical="center"/>
    </xf>
    <xf numFmtId="176" fontId="49" fillId="0" borderId="56" xfId="18" applyFont="1" applyFill="1" applyBorder="1" applyAlignment="1">
      <alignment horizontal="right" vertical="center"/>
    </xf>
    <xf numFmtId="176" fontId="49" fillId="0" borderId="57" xfId="18" applyFont="1" applyFill="1" applyBorder="1" applyAlignment="1">
      <alignment horizontal="right" vertical="center"/>
    </xf>
    <xf numFmtId="176" fontId="49" fillId="0" borderId="58" xfId="18" applyFont="1" applyFill="1" applyBorder="1" applyAlignment="1">
      <alignment horizontal="right" vertical="center"/>
    </xf>
    <xf numFmtId="176" fontId="49" fillId="0" borderId="56" xfId="25" applyFont="1" applyFill="1" applyBorder="1" applyAlignment="1">
      <alignment horizontal="left" vertical="center"/>
    </xf>
    <xf numFmtId="176" fontId="49" fillId="0" borderId="59" xfId="25" applyFont="1" applyFill="1" applyBorder="1" applyAlignment="1">
      <alignment horizontal="left" vertical="center"/>
    </xf>
    <xf numFmtId="176" fontId="62" fillId="0" borderId="74" xfId="25" applyFont="1" applyBorder="1" applyAlignment="1">
      <alignment horizontal="left" vertical="center"/>
    </xf>
    <xf numFmtId="176" fontId="62" fillId="0" borderId="77" xfId="25" applyFont="1" applyBorder="1" applyAlignment="1">
      <alignment horizontal="left" vertical="center"/>
    </xf>
    <xf numFmtId="0" fontId="53" fillId="0" borderId="67" xfId="24" applyFont="1" applyBorder="1" applyAlignment="1">
      <alignment horizontal="left" vertical="center" wrapText="1" indent="1"/>
    </xf>
    <xf numFmtId="0" fontId="53" fillId="0" borderId="68" xfId="24" applyFont="1" applyBorder="1" applyAlignment="1">
      <alignment horizontal="left" vertical="center" wrapText="1" indent="1"/>
    </xf>
    <xf numFmtId="0" fontId="53" fillId="0" borderId="69" xfId="24" applyFont="1" applyBorder="1" applyAlignment="1">
      <alignment horizontal="left" vertical="center" wrapText="1" indent="1"/>
    </xf>
    <xf numFmtId="176" fontId="49" fillId="0" borderId="67" xfId="18" applyFont="1" applyFill="1" applyBorder="1" applyAlignment="1">
      <alignment horizontal="right" vertical="center"/>
    </xf>
    <xf numFmtId="176" fontId="49" fillId="0" borderId="68" xfId="18" applyFont="1" applyFill="1" applyBorder="1" applyAlignment="1">
      <alignment horizontal="right" vertical="center"/>
    </xf>
    <xf numFmtId="176" fontId="49" fillId="0" borderId="69" xfId="18" applyFont="1" applyFill="1" applyBorder="1" applyAlignment="1">
      <alignment horizontal="right" vertical="center"/>
    </xf>
    <xf numFmtId="176" fontId="49" fillId="0" borderId="65" xfId="25" applyFont="1" applyFill="1" applyBorder="1" applyAlignment="1">
      <alignment horizontal="left" vertical="center"/>
    </xf>
    <xf numFmtId="176" fontId="49" fillId="0" borderId="33" xfId="25" applyFont="1" applyFill="1" applyBorder="1" applyAlignment="1">
      <alignment horizontal="left" vertical="center"/>
    </xf>
    <xf numFmtId="176" fontId="49" fillId="0" borderId="67" xfId="25" applyFont="1" applyFill="1" applyBorder="1" applyAlignment="1">
      <alignment horizontal="left" vertical="center"/>
    </xf>
    <xf numFmtId="176" fontId="49" fillId="0" borderId="71" xfId="25" applyFont="1" applyFill="1" applyBorder="1" applyAlignment="1">
      <alignment horizontal="left" vertical="center"/>
    </xf>
    <xf numFmtId="0" fontId="53" fillId="0" borderId="65" xfId="24" applyFont="1" applyBorder="1" applyAlignment="1">
      <alignment horizontal="left" vertical="center" wrapText="1" indent="1"/>
    </xf>
    <xf numFmtId="0" fontId="53" fillId="0" borderId="4" xfId="24" applyFont="1" applyBorder="1" applyAlignment="1">
      <alignment horizontal="left" vertical="center" wrapText="1" indent="1"/>
    </xf>
    <xf numFmtId="0" fontId="53" fillId="0" borderId="66" xfId="24" applyFont="1" applyBorder="1" applyAlignment="1">
      <alignment horizontal="left" vertical="center" wrapText="1" indent="1"/>
    </xf>
    <xf numFmtId="176" fontId="49" fillId="0" borderId="65" xfId="18" applyFont="1" applyFill="1" applyBorder="1" applyAlignment="1">
      <alignment horizontal="right" vertical="center"/>
    </xf>
    <xf numFmtId="176" fontId="49" fillId="0" borderId="4" xfId="18" applyFont="1" applyFill="1" applyBorder="1" applyAlignment="1">
      <alignment horizontal="right" vertical="center"/>
    </xf>
    <xf numFmtId="176" fontId="49" fillId="0" borderId="66" xfId="18" applyFont="1" applyFill="1" applyBorder="1" applyAlignment="1">
      <alignment horizontal="right" vertical="center"/>
    </xf>
    <xf numFmtId="0" fontId="53" fillId="0" borderId="61" xfId="24" applyFont="1" applyBorder="1" applyAlignment="1">
      <alignment horizontal="left" vertical="center" wrapText="1" indent="1"/>
    </xf>
    <xf numFmtId="0" fontId="53" fillId="0" borderId="62" xfId="24" applyFont="1" applyBorder="1" applyAlignment="1">
      <alignment horizontal="left" vertical="center" wrapText="1" indent="1"/>
    </xf>
    <xf numFmtId="0" fontId="53" fillId="0" borderId="63" xfId="24" applyFont="1" applyBorder="1" applyAlignment="1">
      <alignment horizontal="left" vertical="center" wrapText="1" indent="1"/>
    </xf>
    <xf numFmtId="176" fontId="49" fillId="0" borderId="61" xfId="18" applyFont="1" applyFill="1" applyBorder="1" applyAlignment="1">
      <alignment horizontal="right" vertical="center"/>
    </xf>
    <xf numFmtId="176" fontId="49" fillId="0" borderId="62" xfId="18" applyFont="1" applyFill="1" applyBorder="1" applyAlignment="1">
      <alignment horizontal="right" vertical="center"/>
    </xf>
    <xf numFmtId="176" fontId="49" fillId="0" borderId="63" xfId="18" applyFont="1" applyFill="1" applyBorder="1" applyAlignment="1">
      <alignment horizontal="right" vertical="center"/>
    </xf>
    <xf numFmtId="176" fontId="49" fillId="0" borderId="61" xfId="25" applyFont="1" applyBorder="1" applyAlignment="1">
      <alignment horizontal="left" vertical="center"/>
    </xf>
    <xf numFmtId="176" fontId="49" fillId="0" borderId="64" xfId="25" applyFont="1" applyBorder="1" applyAlignment="1">
      <alignment horizontal="left" vertical="center"/>
    </xf>
    <xf numFmtId="0" fontId="49" fillId="0" borderId="51" xfId="24" applyFont="1" applyBorder="1" applyAlignment="1">
      <alignment horizontal="center" vertical="center" wrapText="1"/>
    </xf>
    <xf numFmtId="0" fontId="49" fillId="0" borderId="52" xfId="24" applyFont="1" applyBorder="1" applyAlignment="1">
      <alignment horizontal="center" vertical="center" wrapText="1"/>
    </xf>
    <xf numFmtId="0" fontId="49" fillId="0" borderId="53" xfId="24" applyFont="1" applyBorder="1" applyAlignment="1">
      <alignment horizontal="center" vertical="center" wrapText="1"/>
    </xf>
    <xf numFmtId="176" fontId="49" fillId="0" borderId="51" xfId="18" applyFont="1" applyFill="1" applyBorder="1" applyAlignment="1">
      <alignment horizontal="right" vertical="center"/>
    </xf>
    <xf numFmtId="176" fontId="49" fillId="0" borderId="52" xfId="18" applyFont="1" applyFill="1" applyBorder="1" applyAlignment="1">
      <alignment horizontal="right" vertical="center"/>
    </xf>
    <xf numFmtId="176" fontId="49" fillId="0" borderId="53" xfId="18" applyFont="1" applyFill="1" applyBorder="1" applyAlignment="1">
      <alignment horizontal="right" vertical="center"/>
    </xf>
    <xf numFmtId="176" fontId="49" fillId="0" borderId="51" xfId="25" applyFont="1" applyBorder="1" applyAlignment="1">
      <alignment horizontal="left" vertical="center"/>
    </xf>
    <xf numFmtId="176" fontId="49" fillId="0" borderId="55" xfId="25" applyFont="1" applyBorder="1" applyAlignment="1">
      <alignment horizontal="left" vertical="center"/>
    </xf>
    <xf numFmtId="176" fontId="49" fillId="0" borderId="56" xfId="18" applyFont="1" applyBorder="1" applyAlignment="1">
      <alignment horizontal="center" vertical="center"/>
    </xf>
    <xf numFmtId="176" fontId="49" fillId="0" borderId="57" xfId="18" applyFont="1" applyBorder="1" applyAlignment="1">
      <alignment horizontal="center" vertical="center"/>
    </xf>
    <xf numFmtId="176" fontId="49" fillId="0" borderId="58" xfId="18" applyFont="1" applyBorder="1" applyAlignment="1">
      <alignment horizontal="center" vertical="center"/>
    </xf>
    <xf numFmtId="176" fontId="49" fillId="0" borderId="56" xfId="25" applyFont="1" applyBorder="1" applyAlignment="1">
      <alignment horizontal="left" vertical="center"/>
    </xf>
    <xf numFmtId="176" fontId="49" fillId="0" borderId="59" xfId="25" applyFont="1" applyBorder="1" applyAlignment="1">
      <alignment horizontal="left" vertical="center"/>
    </xf>
    <xf numFmtId="0" fontId="60" fillId="11" borderId="0" xfId="23" applyFont="1" applyFill="1" applyAlignment="1">
      <alignment horizontal="left" vertical="center"/>
    </xf>
    <xf numFmtId="0" fontId="60" fillId="11" borderId="26" xfId="23" applyFont="1" applyFill="1" applyBorder="1" applyAlignment="1">
      <alignment horizontal="left" vertical="center"/>
    </xf>
    <xf numFmtId="0" fontId="49" fillId="0" borderId="0" xfId="21" applyFont="1" applyAlignment="1">
      <alignment horizontal="right" vertical="center"/>
    </xf>
    <xf numFmtId="0" fontId="49" fillId="0" borderId="26" xfId="21" applyFont="1" applyBorder="1" applyAlignment="1">
      <alignment horizontal="right" vertical="center"/>
    </xf>
    <xf numFmtId="0" fontId="49" fillId="0" borderId="47" xfId="24" applyFont="1" applyBorder="1" applyAlignment="1">
      <alignment horizontal="center" vertical="center" wrapText="1"/>
    </xf>
    <xf numFmtId="0" fontId="49" fillId="0" borderId="28" xfId="24" applyFont="1" applyBorder="1" applyAlignment="1">
      <alignment horizontal="center" vertical="center" wrapText="1"/>
    </xf>
    <xf numFmtId="0" fontId="49" fillId="0" borderId="48" xfId="24" applyFont="1" applyBorder="1" applyAlignment="1">
      <alignment horizontal="center" vertical="center" wrapText="1"/>
    </xf>
    <xf numFmtId="176" fontId="49" fillId="0" borderId="49" xfId="18" applyFont="1" applyFill="1" applyBorder="1" applyAlignment="1">
      <alignment horizontal="right" vertical="center"/>
    </xf>
    <xf numFmtId="176" fontId="49" fillId="0" borderId="47" xfId="24" applyNumberFormat="1" applyFont="1" applyBorder="1" applyAlignment="1">
      <alignment horizontal="left" vertical="center"/>
    </xf>
    <xf numFmtId="176" fontId="49" fillId="0" borderId="29" xfId="24" applyNumberFormat="1" applyFont="1" applyBorder="1" applyAlignment="1">
      <alignment horizontal="left" vertical="center"/>
    </xf>
    <xf numFmtId="0" fontId="59" fillId="12" borderId="42" xfId="21" applyFont="1" applyFill="1" applyBorder="1" applyAlignment="1">
      <alignment horizontal="center" vertical="center"/>
    </xf>
    <xf numFmtId="0" fontId="59" fillId="12" borderId="43" xfId="21" applyFont="1" applyFill="1" applyBorder="1" applyAlignment="1">
      <alignment horizontal="center" vertical="center"/>
    </xf>
    <xf numFmtId="0" fontId="59" fillId="12" borderId="44" xfId="21" applyFont="1" applyFill="1" applyBorder="1" applyAlignment="1">
      <alignment horizontal="center" vertical="center"/>
    </xf>
    <xf numFmtId="3" fontId="59" fillId="12" borderId="42" xfId="21" applyNumberFormat="1" applyFont="1" applyFill="1" applyBorder="1" applyAlignment="1">
      <alignment horizontal="center" vertical="center"/>
    </xf>
    <xf numFmtId="3" fontId="59" fillId="12" borderId="43" xfId="21" applyNumberFormat="1" applyFont="1" applyFill="1" applyBorder="1" applyAlignment="1">
      <alignment horizontal="center" vertical="center"/>
    </xf>
    <xf numFmtId="3" fontId="59" fillId="12" borderId="44" xfId="21" applyNumberFormat="1" applyFont="1" applyFill="1" applyBorder="1" applyAlignment="1">
      <alignment horizontal="center" vertical="center"/>
    </xf>
    <xf numFmtId="0" fontId="59" fillId="12" borderId="45" xfId="21" applyFont="1" applyFill="1" applyBorder="1" applyAlignment="1">
      <alignment horizontal="center" vertical="center"/>
    </xf>
    <xf numFmtId="188" fontId="58" fillId="11" borderId="0" xfId="21" applyNumberFormat="1" applyFont="1" applyFill="1" applyAlignment="1">
      <alignment horizontal="left" vertical="center"/>
    </xf>
    <xf numFmtId="0" fontId="48" fillId="0" borderId="22" xfId="21" applyFont="1" applyBorder="1" applyAlignment="1">
      <alignment horizontal="center" vertical="center"/>
    </xf>
    <xf numFmtId="0" fontId="48" fillId="0" borderId="23" xfId="21" applyFont="1" applyBorder="1" applyAlignment="1">
      <alignment horizontal="center" vertical="center"/>
    </xf>
    <xf numFmtId="0" fontId="48" fillId="0" borderId="24" xfId="21" applyFont="1" applyBorder="1" applyAlignment="1">
      <alignment horizontal="center" vertical="center"/>
    </xf>
    <xf numFmtId="0" fontId="50" fillId="0" borderId="25" xfId="21" applyFont="1" applyBorder="1" applyAlignment="1" applyProtection="1">
      <alignment horizontal="center" vertical="center"/>
      <protection locked="0"/>
    </xf>
    <xf numFmtId="0" fontId="50" fillId="0" borderId="0" xfId="21" applyFont="1" applyAlignment="1" applyProtection="1">
      <alignment horizontal="center" vertical="center"/>
      <protection locked="0"/>
    </xf>
    <xf numFmtId="0" fontId="50" fillId="0" borderId="26" xfId="21" applyFont="1" applyBorder="1" applyAlignment="1" applyProtection="1">
      <alignment horizontal="center" vertical="center"/>
      <protection locked="0"/>
    </xf>
    <xf numFmtId="0" fontId="49" fillId="10" borderId="27" xfId="21" applyFont="1" applyFill="1" applyBorder="1" applyAlignment="1">
      <alignment horizontal="center" vertical="center"/>
    </xf>
    <xf numFmtId="0" fontId="49" fillId="10" borderId="28" xfId="21" applyFont="1" applyFill="1" applyBorder="1" applyAlignment="1">
      <alignment horizontal="center" vertical="center"/>
    </xf>
    <xf numFmtId="0" fontId="49" fillId="10" borderId="29" xfId="21" applyFont="1" applyFill="1" applyBorder="1" applyAlignment="1">
      <alignment horizontal="center" vertical="center"/>
    </xf>
    <xf numFmtId="0" fontId="49" fillId="0" borderId="30" xfId="21" applyFont="1" applyBorder="1" applyAlignment="1">
      <alignment horizontal="center" vertical="center" wrapText="1"/>
    </xf>
    <xf numFmtId="0" fontId="49" fillId="0" borderId="34" xfId="21" applyFont="1" applyBorder="1" applyAlignment="1">
      <alignment horizontal="center" vertical="center"/>
    </xf>
    <xf numFmtId="0" fontId="49" fillId="0" borderId="38" xfId="21" applyFont="1" applyBorder="1" applyAlignment="1">
      <alignment horizontal="center" vertical="center"/>
    </xf>
    <xf numFmtId="0" fontId="49" fillId="0" borderId="32" xfId="21" applyFont="1" applyBorder="1" applyAlignment="1">
      <alignment horizontal="center" vertical="center"/>
    </xf>
    <xf numFmtId="0" fontId="49" fillId="0" borderId="4" xfId="21" applyFont="1" applyBorder="1" applyAlignment="1">
      <alignment horizontal="center" vertical="center"/>
    </xf>
    <xf numFmtId="0" fontId="49" fillId="0" borderId="33" xfId="21" applyFont="1" applyBorder="1" applyAlignment="1">
      <alignment horizontal="center" vertical="center"/>
    </xf>
    <xf numFmtId="0" fontId="56" fillId="0" borderId="32" xfId="21" applyFont="1" applyBorder="1" applyAlignment="1">
      <alignment horizontal="center" vertical="center"/>
    </xf>
    <xf numFmtId="0" fontId="54" fillId="0" borderId="4" xfId="21" applyFont="1" applyBorder="1" applyAlignment="1">
      <alignment horizontal="center" vertical="center"/>
    </xf>
    <xf numFmtId="0" fontId="54" fillId="0" borderId="5" xfId="21" applyFont="1" applyBorder="1" applyAlignment="1">
      <alignment horizontal="center" vertical="center"/>
    </xf>
    <xf numFmtId="0" fontId="56" fillId="0" borderId="3" xfId="21" applyFont="1" applyBorder="1" applyAlignment="1">
      <alignment horizontal="center" vertical="center"/>
    </xf>
    <xf numFmtId="0" fontId="54" fillId="0" borderId="33" xfId="21" applyFont="1" applyBorder="1" applyAlignment="1">
      <alignment horizontal="center" vertical="center"/>
    </xf>
    <xf numFmtId="0" fontId="49" fillId="0" borderId="32" xfId="21" applyFont="1" applyBorder="1" applyAlignment="1">
      <alignment horizontal="left" vertical="center" indent="1"/>
    </xf>
    <xf numFmtId="0" fontId="49" fillId="0" borderId="4" xfId="21" applyFont="1" applyBorder="1" applyAlignment="1">
      <alignment horizontal="left" vertical="center" indent="1"/>
    </xf>
    <xf numFmtId="0" fontId="49" fillId="0" borderId="33" xfId="21" applyFont="1" applyBorder="1" applyAlignment="1">
      <alignment horizontal="left" vertical="center" indent="1"/>
    </xf>
    <xf numFmtId="0" fontId="49" fillId="0" borderId="3" xfId="21" applyFont="1" applyBorder="1" applyAlignment="1">
      <alignment horizontal="center" vertical="center"/>
    </xf>
    <xf numFmtId="0" fontId="49" fillId="0" borderId="35" xfId="21" applyFont="1" applyBorder="1" applyAlignment="1">
      <alignment horizontal="center" vertical="center"/>
    </xf>
    <xf numFmtId="0" fontId="49" fillId="0" borderId="36" xfId="21" applyFont="1" applyBorder="1" applyAlignment="1">
      <alignment horizontal="center" vertical="center"/>
    </xf>
    <xf numFmtId="0" fontId="49" fillId="0" borderId="37" xfId="21" applyFont="1" applyBorder="1" applyAlignment="1">
      <alignment horizontal="center" vertical="center"/>
    </xf>
    <xf numFmtId="0" fontId="49" fillId="0" borderId="35" xfId="21" applyFont="1" applyBorder="1" applyAlignment="1">
      <alignment horizontal="left" vertical="center" indent="1"/>
    </xf>
    <xf numFmtId="0" fontId="49" fillId="0" borderId="36" xfId="21" applyFont="1" applyBorder="1" applyAlignment="1">
      <alignment horizontal="left" vertical="center" indent="1"/>
    </xf>
    <xf numFmtId="0" fontId="49" fillId="0" borderId="37" xfId="21" applyFont="1" applyBorder="1" applyAlignment="1">
      <alignment horizontal="left" vertical="center" inden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5" xr:uid="{C9C4E358-713D-48BD-B77F-658EBBC095D0}"/>
    <cellStyle name="쉼표 [0] 2 4 3" xfId="20" xr:uid="{8CD1BC60-8847-4B14-9CB8-A2AF33C99651}"/>
    <cellStyle name="쉼표 [0] 2 84" xfId="27" xr:uid="{EBE9A898-CE8A-406B-97F4-6B8BFDE6D7DD}"/>
    <cellStyle name="쉼표 [0] 3" xfId="14" xr:uid="{8F7BE219-40E1-4BBB-A9BD-02188B74B2A3}"/>
    <cellStyle name="쉼표 [0] 5" xfId="18" xr:uid="{5D194C4A-224D-4C6D-AD9B-CDEC53062FE8}"/>
    <cellStyle name="쉼표 [0] 5 2" xfId="26" xr:uid="{F2E107C4-49EA-4F21-9778-15C66A8FFD2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2" xr:uid="{EB8B1352-E59F-49EF-90E7-7A3CC23D308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 7 4" xfId="19" xr:uid="{764DBB5F-CB5A-46A0-BADE-086505B9E78B}"/>
    <cellStyle name="표준_p1공장 외벽청소(08.03.17)" xfId="23" xr:uid="{7C2F8689-9728-47F7-AB36-DBDC002BA550}"/>
    <cellStyle name="표준_P456 공장 및 복지동 전면 유리창 청소건 라상혁님_1129(최종)" xfId="24" xr:uid="{7F75BF87-582A-49CB-91B3-D7AFF3EF7ABF}"/>
    <cellStyle name="표준_S&amp;D_MAIN VALVE_최빈_2" xfId="21" xr:uid="{99F06ED3-3739-4F1C-BE01-A35FA39A99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F82D96-11C5-4416-81A7-47D4A9BD2D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166687</xdr:rowOff>
    </xdr:from>
    <xdr:to>
      <xdr:col>14</xdr:col>
      <xdr:colOff>751297</xdr:colOff>
      <xdr:row>28</xdr:row>
      <xdr:rowOff>241183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879D202-E331-4012-95F3-B5DF0C5D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00812"/>
          <a:ext cx="8621328" cy="48489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76200</xdr:colOff>
      <xdr:row>22</xdr:row>
      <xdr:rowOff>114300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E88EE17F-9F5F-4789-B632-7E05A0E9AFE9}"/>
            </a:ext>
          </a:extLst>
        </xdr:cNvPr>
        <xdr:cNvSpPr/>
      </xdr:nvSpPr>
      <xdr:spPr>
        <a:xfrm>
          <a:off x="0" y="171450"/>
          <a:ext cx="5172075" cy="37147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고소할증 근거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209550</xdr:colOff>
      <xdr:row>2</xdr:row>
      <xdr:rowOff>142875</xdr:rowOff>
    </xdr:from>
    <xdr:to>
      <xdr:col>4</xdr:col>
      <xdr:colOff>712660</xdr:colOff>
      <xdr:row>20</xdr:row>
      <xdr:rowOff>114300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2740296-3BBA-46D0-9A9B-D5C37BAB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85775"/>
          <a:ext cx="4684585" cy="305752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28</xdr:row>
      <xdr:rowOff>1</xdr:rowOff>
    </xdr:from>
    <xdr:to>
      <xdr:col>9</xdr:col>
      <xdr:colOff>638176</xdr:colOff>
      <xdr:row>52</xdr:row>
      <xdr:rowOff>76201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B7F7E95-4EA0-497E-9FD2-D5C7A17A113F}"/>
            </a:ext>
          </a:extLst>
        </xdr:cNvPr>
        <xdr:cNvSpPr/>
      </xdr:nvSpPr>
      <xdr:spPr>
        <a:xfrm>
          <a:off x="1" y="5429251"/>
          <a:ext cx="9353550" cy="41910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장비임대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314325</xdr:colOff>
      <xdr:row>30</xdr:row>
      <xdr:rowOff>104775</xdr:rowOff>
    </xdr:from>
    <xdr:to>
      <xdr:col>2</xdr:col>
      <xdr:colOff>923925</xdr:colOff>
      <xdr:row>50</xdr:row>
      <xdr:rowOff>10364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37D6D77-C508-4D0F-B42E-36FDA4CD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876925"/>
          <a:ext cx="2847975" cy="3334589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30</xdr:row>
      <xdr:rowOff>47625</xdr:rowOff>
    </xdr:from>
    <xdr:to>
      <xdr:col>6</xdr:col>
      <xdr:colOff>219075</xdr:colOff>
      <xdr:row>50</xdr:row>
      <xdr:rowOff>85413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D6B58F0-2DE2-49A6-996D-C9CECDBE7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5819775"/>
          <a:ext cx="2638425" cy="3466788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29</xdr:row>
      <xdr:rowOff>161926</xdr:rowOff>
    </xdr:from>
    <xdr:to>
      <xdr:col>9</xdr:col>
      <xdr:colOff>310076</xdr:colOff>
      <xdr:row>50</xdr:row>
      <xdr:rowOff>104776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8D5C34A-E5F2-4A59-83CE-0BD8C2AF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5762626"/>
          <a:ext cx="2672276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AAA0-8074-4153-909E-368DB0B5C24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>
      <c r="A3" s="258" t="s">
        <v>100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>
      <c r="A4" s="113" t="s">
        <v>101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>
      <c r="A5" s="118"/>
      <c r="B5" s="174" t="s">
        <v>165</v>
      </c>
      <c r="C5" s="174"/>
      <c r="D5" s="174"/>
      <c r="E5" s="174"/>
      <c r="F5" s="174"/>
      <c r="G5" s="119"/>
      <c r="H5" s="119"/>
      <c r="I5" s="119"/>
      <c r="J5" s="119"/>
      <c r="K5" s="119"/>
      <c r="L5" s="119"/>
      <c r="M5" s="120"/>
      <c r="N5" s="120"/>
      <c r="O5" s="121"/>
    </row>
    <row r="6" spans="1:15" ht="12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>
      <c r="A7" s="261" t="s">
        <v>102</v>
      </c>
      <c r="B7" s="262"/>
      <c r="C7" s="263"/>
      <c r="D7" s="175">
        <v>2025</v>
      </c>
      <c r="E7" s="126" t="s">
        <v>103</v>
      </c>
      <c r="F7" s="126">
        <v>5</v>
      </c>
      <c r="G7" s="126" t="s">
        <v>104</v>
      </c>
      <c r="H7" s="126">
        <v>13</v>
      </c>
      <c r="I7" s="126" t="s">
        <v>105</v>
      </c>
      <c r="J7" s="127"/>
      <c r="K7" s="264" t="s">
        <v>106</v>
      </c>
      <c r="L7" s="128" t="s">
        <v>107</v>
      </c>
      <c r="M7" s="128" t="s">
        <v>108</v>
      </c>
      <c r="N7" s="128" t="s">
        <v>109</v>
      </c>
      <c r="O7" s="129" t="s">
        <v>110</v>
      </c>
    </row>
    <row r="8" spans="1:15" ht="23.25" customHeight="1">
      <c r="A8" s="267" t="s">
        <v>111</v>
      </c>
      <c r="B8" s="268"/>
      <c r="C8" s="269"/>
      <c r="D8" s="270" t="s">
        <v>112</v>
      </c>
      <c r="E8" s="271"/>
      <c r="F8" s="271"/>
      <c r="G8" s="272"/>
      <c r="H8" s="273" t="s">
        <v>113</v>
      </c>
      <c r="I8" s="271"/>
      <c r="J8" s="274"/>
      <c r="K8" s="265"/>
      <c r="L8" s="130" t="s">
        <v>114</v>
      </c>
      <c r="M8" s="130" t="s">
        <v>115</v>
      </c>
      <c r="N8" s="130" t="s">
        <v>116</v>
      </c>
      <c r="O8" s="131" t="s">
        <v>117</v>
      </c>
    </row>
    <row r="9" spans="1:15" ht="23.25" customHeight="1">
      <c r="A9" s="267" t="s">
        <v>118</v>
      </c>
      <c r="B9" s="268"/>
      <c r="C9" s="269"/>
      <c r="D9" s="275" t="s">
        <v>119</v>
      </c>
      <c r="E9" s="276"/>
      <c r="F9" s="276"/>
      <c r="G9" s="276"/>
      <c r="H9" s="276"/>
      <c r="I9" s="276"/>
      <c r="J9" s="277"/>
      <c r="K9" s="265"/>
      <c r="L9" s="130" t="s">
        <v>120</v>
      </c>
      <c r="M9" s="278" t="s">
        <v>121</v>
      </c>
      <c r="N9" s="268"/>
      <c r="O9" s="269"/>
    </row>
    <row r="10" spans="1:15" ht="23.25" customHeight="1" thickBot="1">
      <c r="A10" s="279" t="s">
        <v>122</v>
      </c>
      <c r="B10" s="280"/>
      <c r="C10" s="281"/>
      <c r="D10" s="282" t="s">
        <v>123</v>
      </c>
      <c r="E10" s="283"/>
      <c r="F10" s="283"/>
      <c r="G10" s="283"/>
      <c r="H10" s="283"/>
      <c r="I10" s="283"/>
      <c r="J10" s="284"/>
      <c r="K10" s="266"/>
      <c r="L10" s="132" t="s">
        <v>124</v>
      </c>
      <c r="M10" s="132" t="s">
        <v>125</v>
      </c>
      <c r="N10" s="132" t="s">
        <v>126</v>
      </c>
      <c r="O10" s="133" t="s">
        <v>127</v>
      </c>
    </row>
    <row r="11" spans="1:15" ht="21.75" customHeight="1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>
      <c r="A13" s="140"/>
      <c r="B13" s="254" t="s">
        <v>164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41" t="s">
        <v>128</v>
      </c>
      <c r="O13" s="139"/>
    </row>
    <row r="14" spans="1:15" ht="9" customHeight="1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>
      <c r="A15" s="140"/>
      <c r="B15" s="237" t="str">
        <f>"견 적 금 액 : 一金"&amp;NUMBERSTRING(M32,1) &amp; "원정""(\"&amp; TEXT(M32,"#,###")&amp;"원) [VAT 별도]"</f>
        <v>견 적 금 액 : 一金일천일백사십팔만칠천사백오십원정"(\11,487,450원)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39"/>
      <c r="L16" s="239"/>
      <c r="M16" s="239"/>
      <c r="N16" s="239"/>
      <c r="O16" s="240"/>
    </row>
    <row r="17" spans="1:17" ht="27.75" customHeight="1" thickBot="1">
      <c r="A17" s="142" t="s">
        <v>129</v>
      </c>
      <c r="B17" s="247" t="s">
        <v>130</v>
      </c>
      <c r="C17" s="248"/>
      <c r="D17" s="248"/>
      <c r="E17" s="248"/>
      <c r="F17" s="248"/>
      <c r="G17" s="249"/>
      <c r="H17" s="143" t="s">
        <v>131</v>
      </c>
      <c r="I17" s="144" t="s">
        <v>132</v>
      </c>
      <c r="J17" s="250" t="s">
        <v>133</v>
      </c>
      <c r="K17" s="251"/>
      <c r="L17" s="251"/>
      <c r="M17" s="252"/>
      <c r="N17" s="247" t="s">
        <v>134</v>
      </c>
      <c r="O17" s="253"/>
    </row>
    <row r="18" spans="1:17" ht="28.5" customHeight="1">
      <c r="A18" s="145">
        <v>1</v>
      </c>
      <c r="B18" s="241" t="s">
        <v>29</v>
      </c>
      <c r="C18" s="242"/>
      <c r="D18" s="242"/>
      <c r="E18" s="242"/>
      <c r="F18" s="242"/>
      <c r="G18" s="243"/>
      <c r="H18" s="176">
        <v>1</v>
      </c>
      <c r="I18" s="177" t="s">
        <v>6</v>
      </c>
      <c r="J18" s="244">
        <f>IFERROR(LOOKUP(2, 1/(TRIM('내역서(표준단가)'!O4:O100)&lt;&gt;""), '내역서(표준단가)'!O4:O100), "-")</f>
        <v>495054.8</v>
      </c>
      <c r="K18" s="244"/>
      <c r="L18" s="244"/>
      <c r="M18" s="244"/>
      <c r="N18" s="245"/>
      <c r="O18" s="246"/>
    </row>
    <row r="19" spans="1:17" ht="28.5" customHeight="1">
      <c r="A19" s="146">
        <v>2</v>
      </c>
      <c r="B19" s="224" t="s">
        <v>30</v>
      </c>
      <c r="C19" s="225"/>
      <c r="D19" s="225"/>
      <c r="E19" s="225"/>
      <c r="F19" s="225"/>
      <c r="G19" s="226"/>
      <c r="H19" s="178">
        <v>1</v>
      </c>
      <c r="I19" s="178" t="s">
        <v>6</v>
      </c>
      <c r="J19" s="227">
        <f>IFERROR(LOOKUP(2, 1/(TRIM('내역서(표준단가)'!Q4:Q100)&lt;&gt;""), '내역서(표준단가)'!Q4:Q100), "-")</f>
        <v>5471548.5</v>
      </c>
      <c r="K19" s="228"/>
      <c r="L19" s="228"/>
      <c r="M19" s="229"/>
      <c r="N19" s="230"/>
      <c r="O19" s="231"/>
    </row>
    <row r="20" spans="1:17" ht="28.5" customHeight="1">
      <c r="A20" s="146">
        <v>3</v>
      </c>
      <c r="B20" s="224" t="s">
        <v>135</v>
      </c>
      <c r="C20" s="225"/>
      <c r="D20" s="225"/>
      <c r="E20" s="225"/>
      <c r="F20" s="225"/>
      <c r="G20" s="226"/>
      <c r="H20" s="147">
        <v>1</v>
      </c>
      <c r="I20" s="147" t="s">
        <v>6</v>
      </c>
      <c r="J20" s="232">
        <f>IFERROR(SUM(J21:M29),"-")</f>
        <v>4409313.5444848025</v>
      </c>
      <c r="K20" s="233"/>
      <c r="L20" s="233"/>
      <c r="M20" s="234"/>
      <c r="N20" s="235"/>
      <c r="O20" s="236"/>
      <c r="P20" s="148"/>
    </row>
    <row r="21" spans="1:17" ht="28.5" customHeight="1">
      <c r="A21" s="145"/>
      <c r="B21" s="149"/>
      <c r="C21" s="216" t="s">
        <v>136</v>
      </c>
      <c r="D21" s="217"/>
      <c r="E21" s="217"/>
      <c r="F21" s="217"/>
      <c r="G21" s="218"/>
      <c r="H21" s="179">
        <v>1</v>
      </c>
      <c r="I21" s="179" t="s">
        <v>6</v>
      </c>
      <c r="J21" s="219">
        <f>IFERROR(LOOKUP(2, 1/(TRIM('내역서(표준단가)'!S4:S100)&lt;&gt;""), '내역서(표준단가)'!S4:S100) + LOOKUP(2, 1/(TRIM('내역서(표준단가)'!U4:U100)&lt;&gt;""), '내역서(표준단가)'!U4:U100), "-")</f>
        <v>3500000</v>
      </c>
      <c r="K21" s="220"/>
      <c r="L21" s="220"/>
      <c r="M21" s="221"/>
      <c r="N21" s="222" t="s">
        <v>137</v>
      </c>
      <c r="O21" s="223"/>
    </row>
    <row r="22" spans="1:17" ht="28.5" customHeight="1">
      <c r="A22" s="145"/>
      <c r="B22" s="149"/>
      <c r="C22" s="210" t="s">
        <v>138</v>
      </c>
      <c r="D22" s="211"/>
      <c r="E22" s="211"/>
      <c r="F22" s="211"/>
      <c r="G22" s="212"/>
      <c r="H22" s="150">
        <v>3.11</v>
      </c>
      <c r="I22" s="150" t="s">
        <v>139</v>
      </c>
      <c r="J22" s="213">
        <f>IFERROR((J18+J19)*H22%,"-")</f>
        <v>185561.36262999999</v>
      </c>
      <c r="K22" s="214"/>
      <c r="L22" s="214"/>
      <c r="M22" s="215"/>
      <c r="N22" s="206" t="s">
        <v>140</v>
      </c>
      <c r="O22" s="207"/>
    </row>
    <row r="23" spans="1:17" ht="28.5" customHeight="1">
      <c r="A23" s="145"/>
      <c r="B23" s="149"/>
      <c r="C23" s="210" t="s">
        <v>141</v>
      </c>
      <c r="D23" s="211"/>
      <c r="E23" s="211"/>
      <c r="F23" s="211"/>
      <c r="G23" s="212"/>
      <c r="H23" s="150">
        <v>3.56</v>
      </c>
      <c r="I23" s="150" t="s">
        <v>142</v>
      </c>
      <c r="J23" s="213">
        <f>IFERROR(J19*H23%,"-")</f>
        <v>194787.12659999999</v>
      </c>
      <c r="K23" s="214"/>
      <c r="L23" s="214"/>
      <c r="M23" s="215"/>
      <c r="N23" s="206" t="s">
        <v>143</v>
      </c>
      <c r="O23" s="207"/>
    </row>
    <row r="24" spans="1:17" ht="28.5" customHeight="1">
      <c r="A24" s="145"/>
      <c r="B24" s="149"/>
      <c r="C24" s="210" t="s">
        <v>144</v>
      </c>
      <c r="D24" s="211"/>
      <c r="E24" s="211"/>
      <c r="F24" s="211"/>
      <c r="G24" s="212"/>
      <c r="H24" s="150">
        <v>1.01</v>
      </c>
      <c r="I24" s="150" t="s">
        <v>142</v>
      </c>
      <c r="J24" s="213">
        <f>IFERROR(J19*H24%,"-")</f>
        <v>55262.63985</v>
      </c>
      <c r="K24" s="214"/>
      <c r="L24" s="214"/>
      <c r="M24" s="215"/>
      <c r="N24" s="206" t="s">
        <v>145</v>
      </c>
      <c r="O24" s="207"/>
    </row>
    <row r="25" spans="1:17" ht="28.5" customHeight="1">
      <c r="A25" s="145"/>
      <c r="B25" s="149"/>
      <c r="C25" s="210" t="s">
        <v>146</v>
      </c>
      <c r="D25" s="211"/>
      <c r="E25" s="211"/>
      <c r="F25" s="211"/>
      <c r="G25" s="212"/>
      <c r="H25" s="151">
        <v>3.5449999999999999</v>
      </c>
      <c r="I25" s="150" t="s">
        <v>142</v>
      </c>
      <c r="J25" s="213">
        <f>IFERROR(J19*H25%,"-")</f>
        <v>193966.394325</v>
      </c>
      <c r="K25" s="214"/>
      <c r="L25" s="214"/>
      <c r="M25" s="215"/>
      <c r="N25" s="206" t="s">
        <v>147</v>
      </c>
      <c r="O25" s="207"/>
      <c r="Q25" s="148"/>
    </row>
    <row r="26" spans="1:17" ht="28.5" customHeight="1">
      <c r="A26" s="145"/>
      <c r="B26" s="149"/>
      <c r="C26" s="210" t="s">
        <v>148</v>
      </c>
      <c r="D26" s="211"/>
      <c r="E26" s="211"/>
      <c r="F26" s="211"/>
      <c r="G26" s="212"/>
      <c r="H26" s="150">
        <v>4.5</v>
      </c>
      <c r="I26" s="150" t="s">
        <v>142</v>
      </c>
      <c r="J26" s="213">
        <f>IFERROR(J19*H26%,"-")</f>
        <v>246219.6825</v>
      </c>
      <c r="K26" s="214"/>
      <c r="L26" s="214"/>
      <c r="M26" s="215"/>
      <c r="N26" s="206" t="s">
        <v>149</v>
      </c>
      <c r="O26" s="207"/>
      <c r="Q26" s="152"/>
    </row>
    <row r="27" spans="1:17" ht="28.5" customHeight="1">
      <c r="A27" s="145"/>
      <c r="B27" s="149"/>
      <c r="C27" s="200" t="s">
        <v>150</v>
      </c>
      <c r="D27" s="201"/>
      <c r="E27" s="201"/>
      <c r="F27" s="201"/>
      <c r="G27" s="202"/>
      <c r="H27" s="153">
        <v>12.95</v>
      </c>
      <c r="I27" s="154" t="s">
        <v>142</v>
      </c>
      <c r="J27" s="203">
        <f>IFERROR($H$27*J25%,"-")</f>
        <v>25118.648065087498</v>
      </c>
      <c r="K27" s="204"/>
      <c r="L27" s="204"/>
      <c r="M27" s="205"/>
      <c r="N27" s="206" t="s">
        <v>151</v>
      </c>
      <c r="O27" s="207"/>
    </row>
    <row r="28" spans="1:17" ht="28.5" customHeight="1">
      <c r="A28" s="145"/>
      <c r="B28" s="149"/>
      <c r="C28" s="200" t="s">
        <v>152</v>
      </c>
      <c r="D28" s="201"/>
      <c r="E28" s="201"/>
      <c r="F28" s="201"/>
      <c r="G28" s="202"/>
      <c r="H28" s="153">
        <v>8.1000000000000003E-2</v>
      </c>
      <c r="I28" s="154" t="s">
        <v>142</v>
      </c>
      <c r="J28" s="203">
        <f>IFERROR(IF(SUM(J21:J27,J18:J19)&gt;=10000000,SUM(J21:J27,J18:J19)*H28%,"-"),"-")</f>
        <v>8397.6905147157704</v>
      </c>
      <c r="K28" s="204"/>
      <c r="L28" s="204"/>
      <c r="M28" s="205"/>
      <c r="N28" s="208" t="s">
        <v>153</v>
      </c>
      <c r="O28" s="209"/>
    </row>
    <row r="29" spans="1:17" ht="28.5" customHeight="1">
      <c r="A29" s="155"/>
      <c r="B29" s="156"/>
      <c r="C29" s="180" t="s">
        <v>154</v>
      </c>
      <c r="D29" s="181"/>
      <c r="E29" s="181"/>
      <c r="F29" s="181"/>
      <c r="G29" s="182"/>
      <c r="H29" s="157">
        <v>1</v>
      </c>
      <c r="I29" s="158" t="s">
        <v>155</v>
      </c>
      <c r="J29" s="183">
        <f>34*0</f>
        <v>0</v>
      </c>
      <c r="K29" s="184"/>
      <c r="L29" s="184"/>
      <c r="M29" s="185"/>
      <c r="N29" s="186" t="s">
        <v>156</v>
      </c>
      <c r="O29" s="187"/>
    </row>
    <row r="30" spans="1:17" ht="28.5" customHeight="1">
      <c r="A30" s="155">
        <v>4</v>
      </c>
      <c r="B30" s="156"/>
      <c r="C30" s="180" t="s">
        <v>157</v>
      </c>
      <c r="D30" s="181"/>
      <c r="E30" s="181"/>
      <c r="F30" s="181"/>
      <c r="G30" s="182"/>
      <c r="H30" s="158">
        <v>5</v>
      </c>
      <c r="I30" s="159" t="s">
        <v>158</v>
      </c>
      <c r="J30" s="193">
        <f>IFERROR(IF(ISNUMBER(H30), SUM(J18:M20) * (H30 / 100), "-"), "-")</f>
        <v>518795.84222424013</v>
      </c>
      <c r="K30" s="194"/>
      <c r="L30" s="194"/>
      <c r="M30" s="195"/>
      <c r="N30" s="196" t="s">
        <v>159</v>
      </c>
      <c r="O30" s="197"/>
    </row>
    <row r="31" spans="1:17" ht="28.5" customHeight="1" thickBot="1">
      <c r="A31" s="155">
        <v>5</v>
      </c>
      <c r="B31" s="156"/>
      <c r="C31" s="180" t="s">
        <v>160</v>
      </c>
      <c r="D31" s="181"/>
      <c r="E31" s="181"/>
      <c r="F31" s="181"/>
      <c r="G31" s="182"/>
      <c r="H31" s="158">
        <v>7.5</v>
      </c>
      <c r="I31" s="159" t="s">
        <v>142</v>
      </c>
      <c r="J31" s="183">
        <f>IFERROR(SUM(J18:M20, J30) * (H31 / 100), "-")+-224366</f>
        <v>592737.45150317822</v>
      </c>
      <c r="K31" s="184"/>
      <c r="L31" s="184"/>
      <c r="M31" s="185"/>
      <c r="N31" s="198" t="s">
        <v>161</v>
      </c>
      <c r="O31" s="199"/>
      <c r="Q31" s="160"/>
    </row>
    <row r="32" spans="1:17" ht="28.5" customHeight="1" thickBot="1">
      <c r="A32" s="188" t="s">
        <v>162</v>
      </c>
      <c r="B32" s="189"/>
      <c r="C32" s="189"/>
      <c r="D32" s="189"/>
      <c r="E32" s="189"/>
      <c r="F32" s="189"/>
      <c r="G32" s="189"/>
      <c r="H32" s="189"/>
      <c r="I32" s="190"/>
      <c r="J32" s="161"/>
      <c r="K32" s="162"/>
      <c r="L32" s="162"/>
      <c r="M32" s="163">
        <f>IFERROR(ROUNDDOWN(SUM(J18:M20)+J30+J31,0),"-")</f>
        <v>11487450</v>
      </c>
      <c r="N32" s="191"/>
      <c r="O32" s="192"/>
      <c r="P32" s="164"/>
    </row>
    <row r="33" spans="1:15">
      <c r="A33" s="165" t="s">
        <v>163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>
      <c r="M42" s="160"/>
    </row>
    <row r="43" spans="1:15">
      <c r="M43" s="16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6"/>
  <sheetViews>
    <sheetView showGridLines="0" zoomScale="80" zoomScaleNormal="80" workbookViewId="0">
      <pane ySplit="4" topLeftCell="A5" activePane="bottomLeft" state="frozen"/>
      <selection pane="bottomLeft" activeCell="R16" sqref="R16"/>
    </sheetView>
  </sheetViews>
  <sheetFormatPr defaultColWidth="9" defaultRowHeight="38.1" customHeight="1"/>
  <cols>
    <col min="1" max="1" width="17.5" style="43" customWidth="1"/>
    <col min="2" max="5" width="18.5" style="43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34" customWidth="1"/>
    <col min="12" max="12" width="6.875" style="2" customWidth="1"/>
    <col min="13" max="13" width="7.375" style="2" bestFit="1" customWidth="1"/>
    <col min="14" max="14" width="10.25" style="2" bestFit="1" customWidth="1"/>
    <col min="15" max="15" width="14.25" style="2" customWidth="1"/>
    <col min="16" max="16" width="8.25" style="2" customWidth="1"/>
    <col min="17" max="17" width="14.875" style="2" customWidth="1"/>
    <col min="18" max="18" width="9.375" style="2" customWidth="1"/>
    <col min="19" max="19" width="14.5" style="2" customWidth="1"/>
    <col min="20" max="20" width="9.5" style="2" customWidth="1"/>
    <col min="21" max="21" width="8.25" style="2" bestFit="1" customWidth="1"/>
    <col min="22" max="22" width="14.5" style="2" bestFit="1" customWidth="1"/>
    <col min="23" max="23" width="11.875" style="3" customWidth="1"/>
    <col min="24" max="24" width="8.5" style="2" bestFit="1" customWidth="1"/>
    <col min="25" max="16384" width="9" style="2"/>
  </cols>
  <sheetData>
    <row r="1" spans="1:24" ht="19.899999999999999" customHeight="1">
      <c r="A1" s="286"/>
      <c r="B1" s="286"/>
      <c r="C1" s="286"/>
      <c r="D1" s="286"/>
      <c r="E1" s="286"/>
      <c r="F1" s="286"/>
      <c r="G1" s="286"/>
      <c r="H1" s="286"/>
      <c r="I1" s="286"/>
      <c r="N1" s="3"/>
      <c r="O1" s="37" t="s">
        <v>26</v>
      </c>
      <c r="Q1" s="37" t="s">
        <v>26</v>
      </c>
      <c r="S1" s="37" t="s">
        <v>26</v>
      </c>
      <c r="U1" s="37" t="s">
        <v>26</v>
      </c>
    </row>
    <row r="2" spans="1:24" ht="19.899999999999999" customHeight="1" thickBot="1">
      <c r="A2" s="286"/>
      <c r="B2" s="286"/>
      <c r="C2" s="286"/>
      <c r="D2" s="286"/>
      <c r="E2" s="286"/>
      <c r="F2" s="286"/>
      <c r="G2" s="286"/>
      <c r="H2" s="286"/>
      <c r="I2" s="286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>
      <c r="A3" s="38"/>
      <c r="B3" s="38"/>
      <c r="C3" s="38"/>
      <c r="D3" s="38"/>
      <c r="E3" s="38"/>
      <c r="F3" s="38" t="s">
        <v>27</v>
      </c>
      <c r="G3" s="39"/>
      <c r="H3" s="39"/>
      <c r="I3" s="39"/>
      <c r="J3" s="297" t="s">
        <v>28</v>
      </c>
      <c r="K3" s="297"/>
      <c r="L3" s="295" t="s">
        <v>12</v>
      </c>
      <c r="M3" s="295" t="s">
        <v>5</v>
      </c>
      <c r="N3" s="291" t="s">
        <v>29</v>
      </c>
      <c r="O3" s="291"/>
      <c r="P3" s="291" t="s">
        <v>30</v>
      </c>
      <c r="Q3" s="291"/>
      <c r="R3" s="292" t="s">
        <v>31</v>
      </c>
      <c r="S3" s="292"/>
      <c r="T3" s="292" t="s">
        <v>32</v>
      </c>
      <c r="U3" s="292"/>
      <c r="V3" s="293" t="s">
        <v>33</v>
      </c>
      <c r="W3" s="289" t="s">
        <v>34</v>
      </c>
      <c r="X3" s="287" t="s">
        <v>7</v>
      </c>
    </row>
    <row r="4" spans="1:24" ht="19.899999999999999" customHeight="1">
      <c r="A4" s="6" t="s">
        <v>35</v>
      </c>
      <c r="B4" s="7"/>
      <c r="C4" s="7"/>
      <c r="D4" s="7"/>
      <c r="E4" s="7"/>
      <c r="F4" s="8" t="s">
        <v>36</v>
      </c>
      <c r="G4" s="8" t="s">
        <v>37</v>
      </c>
      <c r="H4" s="8" t="s">
        <v>38</v>
      </c>
      <c r="I4" s="8" t="s">
        <v>39</v>
      </c>
      <c r="J4" s="35" t="s">
        <v>40</v>
      </c>
      <c r="K4" s="35" t="s">
        <v>41</v>
      </c>
      <c r="L4" s="296"/>
      <c r="M4" s="296"/>
      <c r="N4" s="9" t="s">
        <v>42</v>
      </c>
      <c r="O4" s="10" t="s">
        <v>43</v>
      </c>
      <c r="P4" s="9" t="s">
        <v>44</v>
      </c>
      <c r="Q4" s="10" t="s">
        <v>43</v>
      </c>
      <c r="R4" s="10" t="s">
        <v>45</v>
      </c>
      <c r="S4" s="10" t="s">
        <v>43</v>
      </c>
      <c r="T4" s="10" t="s">
        <v>45</v>
      </c>
      <c r="U4" s="10" t="s">
        <v>43</v>
      </c>
      <c r="V4" s="294"/>
      <c r="W4" s="290"/>
      <c r="X4" s="288"/>
    </row>
    <row r="5" spans="1:24" s="40" customFormat="1" ht="30" customHeight="1">
      <c r="A5" s="65" t="str">
        <f t="shared" ref="A5:A15" si="0">F5&amp;G5&amp;H5&amp;I5</f>
        <v>E00000801011510201</v>
      </c>
      <c r="B5" s="66"/>
      <c r="C5" s="66"/>
      <c r="D5" s="66"/>
      <c r="E5" s="66"/>
      <c r="F5" s="67"/>
      <c r="G5" s="92" t="s">
        <v>62</v>
      </c>
      <c r="H5" s="68"/>
      <c r="I5" s="69"/>
      <c r="J5" s="95" t="s">
        <v>63</v>
      </c>
      <c r="K5" s="102" t="s">
        <v>64</v>
      </c>
      <c r="L5" s="96" t="s">
        <v>65</v>
      </c>
      <c r="M5" s="105">
        <v>20</v>
      </c>
      <c r="N5" s="70"/>
      <c r="O5" s="71">
        <f t="shared" ref="O5:O7" si="1">SUM(N5:N5)*M5*$O$2</f>
        <v>0</v>
      </c>
      <c r="P5" s="90">
        <v>21520</v>
      </c>
      <c r="Q5" s="71">
        <f t="shared" ref="Q5" si="2">(P5*M5)*$Q$2</f>
        <v>359384</v>
      </c>
      <c r="R5" s="73"/>
      <c r="S5" s="71">
        <f t="shared" ref="S5" si="3">R5*M5*$S$2</f>
        <v>0</v>
      </c>
      <c r="T5" s="73"/>
      <c r="U5" s="71">
        <f t="shared" ref="U5" si="4">T5*M5*$U$2</f>
        <v>0</v>
      </c>
      <c r="V5" s="74">
        <f t="shared" ref="V5:V7" si="5">SUM(O5+Q5)+S5+U5</f>
        <v>359384</v>
      </c>
      <c r="W5" s="75"/>
      <c r="X5" s="76"/>
    </row>
    <row r="6" spans="1:24" s="40" customFormat="1" ht="30" customHeight="1">
      <c r="A6" s="65" t="str">
        <f t="shared" si="0"/>
        <v>M010551316300101</v>
      </c>
      <c r="B6" s="66"/>
      <c r="C6" s="66"/>
      <c r="D6" s="66"/>
      <c r="E6" s="66"/>
      <c r="F6" s="67"/>
      <c r="G6" s="68"/>
      <c r="H6" s="93" t="s">
        <v>66</v>
      </c>
      <c r="I6" s="78"/>
      <c r="J6" s="97" t="s">
        <v>67</v>
      </c>
      <c r="K6" s="103" t="s">
        <v>68</v>
      </c>
      <c r="L6" s="97" t="s">
        <v>69</v>
      </c>
      <c r="M6" s="105">
        <v>1</v>
      </c>
      <c r="N6" s="98">
        <v>55000</v>
      </c>
      <c r="O6" s="71">
        <f t="shared" si="1"/>
        <v>45925</v>
      </c>
      <c r="P6" s="72"/>
      <c r="Q6" s="71"/>
      <c r="R6" s="73"/>
      <c r="S6" s="71"/>
      <c r="T6" s="73"/>
      <c r="U6" s="71"/>
      <c r="V6" s="74">
        <f t="shared" si="5"/>
        <v>45925</v>
      </c>
      <c r="W6" s="75"/>
      <c r="X6" s="76"/>
    </row>
    <row r="7" spans="1:24" s="40" customFormat="1" ht="30" customHeight="1">
      <c r="A7" s="65" t="str">
        <f t="shared" si="0"/>
        <v>M020412613720101</v>
      </c>
      <c r="B7" s="66"/>
      <c r="C7" s="66"/>
      <c r="D7" s="66"/>
      <c r="E7" s="66"/>
      <c r="F7" s="67"/>
      <c r="G7" s="68"/>
      <c r="H7" s="93" t="s">
        <v>80</v>
      </c>
      <c r="I7" s="78"/>
      <c r="J7" s="97" t="s">
        <v>81</v>
      </c>
      <c r="K7" s="103" t="s">
        <v>82</v>
      </c>
      <c r="L7" s="97" t="s">
        <v>83</v>
      </c>
      <c r="M7" s="105">
        <v>0.5</v>
      </c>
      <c r="N7" s="98">
        <v>91800</v>
      </c>
      <c r="O7" s="71">
        <f t="shared" si="1"/>
        <v>38326.5</v>
      </c>
      <c r="P7" s="72"/>
      <c r="Q7" s="71"/>
      <c r="R7" s="73"/>
      <c r="S7" s="71"/>
      <c r="T7" s="73"/>
      <c r="U7" s="71"/>
      <c r="V7" s="74">
        <f t="shared" si="5"/>
        <v>38326.5</v>
      </c>
      <c r="W7" s="75"/>
      <c r="X7" s="76"/>
    </row>
    <row r="8" spans="1:24" s="40" customFormat="1" ht="30" customHeight="1">
      <c r="A8" s="65" t="str">
        <f t="shared" si="0"/>
        <v>M010550114050101</v>
      </c>
      <c r="B8" s="66"/>
      <c r="C8" s="66"/>
      <c r="D8" s="66"/>
      <c r="E8" s="66"/>
      <c r="F8" s="67"/>
      <c r="G8" s="68"/>
      <c r="H8" s="93" t="s">
        <v>70</v>
      </c>
      <c r="I8" s="78"/>
      <c r="J8" s="97" t="s">
        <v>71</v>
      </c>
      <c r="K8" s="103" t="s">
        <v>72</v>
      </c>
      <c r="L8" s="97" t="s">
        <v>73</v>
      </c>
      <c r="M8" s="105">
        <v>1</v>
      </c>
      <c r="N8" s="98">
        <v>6500</v>
      </c>
      <c r="O8" s="71">
        <f t="shared" ref="O8:O17" si="6">SUM(N8:N8)*M8*$O$2</f>
        <v>5427.5</v>
      </c>
      <c r="P8" s="72"/>
      <c r="Q8" s="71"/>
      <c r="R8" s="73"/>
      <c r="S8" s="71"/>
      <c r="T8" s="73"/>
      <c r="U8" s="71"/>
      <c r="V8" s="74">
        <f t="shared" ref="V8:V17" si="7">SUM(O8+Q8)+S8+U8</f>
        <v>5427.5</v>
      </c>
      <c r="W8" s="75"/>
      <c r="X8" s="76"/>
    </row>
    <row r="9" spans="1:24" s="40" customFormat="1" ht="30" customHeight="1">
      <c r="A9" s="65" t="str">
        <f t="shared" si="0"/>
        <v>M020251411630101</v>
      </c>
      <c r="B9" s="66"/>
      <c r="C9" s="66"/>
      <c r="D9" s="66"/>
      <c r="E9" s="66"/>
      <c r="F9" s="67"/>
      <c r="G9" s="68"/>
      <c r="H9" s="93" t="s">
        <v>74</v>
      </c>
      <c r="I9" s="78"/>
      <c r="J9" s="99" t="s">
        <v>75</v>
      </c>
      <c r="K9" s="104" t="s">
        <v>76</v>
      </c>
      <c r="L9" s="99" t="s">
        <v>77</v>
      </c>
      <c r="M9" s="105">
        <v>15</v>
      </c>
      <c r="N9" s="100">
        <v>6000</v>
      </c>
      <c r="O9" s="71">
        <f t="shared" si="6"/>
        <v>75150</v>
      </c>
      <c r="P9" s="72"/>
      <c r="Q9" s="71"/>
      <c r="R9" s="73"/>
      <c r="S9" s="71"/>
      <c r="T9" s="73"/>
      <c r="U9" s="71"/>
      <c r="V9" s="74">
        <f t="shared" si="7"/>
        <v>75150</v>
      </c>
      <c r="W9" s="75"/>
      <c r="X9" s="76"/>
    </row>
    <row r="10" spans="1:24" s="40" customFormat="1" ht="30" customHeight="1">
      <c r="A10" s="65" t="str">
        <f t="shared" si="0"/>
        <v>M020412114290101</v>
      </c>
      <c r="B10" s="66"/>
      <c r="C10" s="66"/>
      <c r="D10" s="66"/>
      <c r="E10" s="66"/>
      <c r="F10" s="67"/>
      <c r="G10" s="68"/>
      <c r="H10" s="93" t="s">
        <v>78</v>
      </c>
      <c r="I10" s="78"/>
      <c r="J10" s="97" t="s">
        <v>79</v>
      </c>
      <c r="K10" s="103" t="s">
        <v>48</v>
      </c>
      <c r="L10" s="97" t="s">
        <v>49</v>
      </c>
      <c r="M10" s="105">
        <v>0.5</v>
      </c>
      <c r="N10" s="98">
        <v>88500</v>
      </c>
      <c r="O10" s="71">
        <f t="shared" si="6"/>
        <v>36948.75</v>
      </c>
      <c r="P10" s="72"/>
      <c r="Q10" s="71"/>
      <c r="R10" s="73"/>
      <c r="S10" s="71"/>
      <c r="T10" s="73"/>
      <c r="U10" s="71"/>
      <c r="V10" s="74">
        <f t="shared" si="7"/>
        <v>36948.75</v>
      </c>
      <c r="W10" s="75"/>
      <c r="X10" s="76"/>
    </row>
    <row r="11" spans="1:24" s="40" customFormat="1" ht="30" customHeight="1">
      <c r="A11" s="65" t="str">
        <f t="shared" si="0"/>
        <v>M020413111390101</v>
      </c>
      <c r="B11" s="66"/>
      <c r="C11" s="66"/>
      <c r="D11" s="66"/>
      <c r="E11" s="66"/>
      <c r="F11" s="67"/>
      <c r="G11" s="68"/>
      <c r="H11" s="93" t="s">
        <v>84</v>
      </c>
      <c r="I11" s="78"/>
      <c r="J11" s="99" t="s">
        <v>85</v>
      </c>
      <c r="K11" s="104" t="s">
        <v>86</v>
      </c>
      <c r="L11" s="99" t="s">
        <v>83</v>
      </c>
      <c r="M11" s="105">
        <v>0.5</v>
      </c>
      <c r="N11" s="100">
        <v>89200</v>
      </c>
      <c r="O11" s="71">
        <f t="shared" si="6"/>
        <v>37241</v>
      </c>
      <c r="P11" s="72"/>
      <c r="Q11" s="71"/>
      <c r="R11" s="73"/>
      <c r="S11" s="71"/>
      <c r="T11" s="73"/>
      <c r="U11" s="71"/>
      <c r="V11" s="74">
        <f t="shared" si="7"/>
        <v>37241</v>
      </c>
      <c r="W11" s="75"/>
      <c r="X11" s="76"/>
    </row>
    <row r="12" spans="1:24" s="40" customFormat="1" ht="30" customHeight="1">
      <c r="A12" s="65" t="str">
        <f t="shared" si="0"/>
        <v>M020412311620102</v>
      </c>
      <c r="B12" s="66"/>
      <c r="C12" s="66"/>
      <c r="D12" s="66"/>
      <c r="E12" s="66"/>
      <c r="F12" s="67"/>
      <c r="G12" s="68"/>
      <c r="H12" s="93" t="s">
        <v>91</v>
      </c>
      <c r="I12" s="78"/>
      <c r="J12" s="97" t="s">
        <v>92</v>
      </c>
      <c r="K12" s="103" t="s">
        <v>93</v>
      </c>
      <c r="L12" s="97" t="s">
        <v>47</v>
      </c>
      <c r="M12" s="105">
        <v>1</v>
      </c>
      <c r="N12" s="98">
        <v>6630</v>
      </c>
      <c r="O12" s="71">
        <f t="shared" ref="O12" si="8">SUM(N12:N12)*M12*$O$2</f>
        <v>5536.05</v>
      </c>
      <c r="P12" s="72"/>
      <c r="Q12" s="71"/>
      <c r="R12" s="73"/>
      <c r="S12" s="71"/>
      <c r="T12" s="73"/>
      <c r="U12" s="71"/>
      <c r="V12" s="74">
        <f t="shared" ref="V12" si="9">SUM(O12+Q12)+S12+U12</f>
        <v>5536.05</v>
      </c>
      <c r="W12" s="75"/>
      <c r="X12" s="76"/>
    </row>
    <row r="13" spans="1:24" s="40" customFormat="1" ht="30" customHeight="1">
      <c r="A13" s="65" t="str">
        <f t="shared" si="0"/>
        <v>L003</v>
      </c>
      <c r="B13" s="66"/>
      <c r="C13" s="66"/>
      <c r="D13" s="66"/>
      <c r="E13" s="66"/>
      <c r="F13" s="67"/>
      <c r="G13" s="68"/>
      <c r="H13" s="77"/>
      <c r="I13" s="94" t="s">
        <v>46</v>
      </c>
      <c r="J13" s="48" t="s">
        <v>88</v>
      </c>
      <c r="K13" s="80" t="s">
        <v>90</v>
      </c>
      <c r="L13" s="49" t="s">
        <v>98</v>
      </c>
      <c r="M13" s="105">
        <v>15</v>
      </c>
      <c r="N13" s="79"/>
      <c r="O13" s="71">
        <f t="shared" si="6"/>
        <v>0</v>
      </c>
      <c r="P13" s="90">
        <v>219321</v>
      </c>
      <c r="Q13" s="71">
        <f>(M13*P13)*130%</f>
        <v>4276759.5</v>
      </c>
      <c r="R13" s="73"/>
      <c r="S13" s="71"/>
      <c r="T13" s="73"/>
      <c r="U13" s="71"/>
      <c r="V13" s="74">
        <f t="shared" si="7"/>
        <v>4276759.5</v>
      </c>
      <c r="W13" s="64" t="s">
        <v>61</v>
      </c>
      <c r="X13" s="76"/>
    </row>
    <row r="14" spans="1:24" s="40" customFormat="1" ht="30" customHeight="1">
      <c r="A14" s="65" t="str">
        <f t="shared" si="0"/>
        <v>L002</v>
      </c>
      <c r="B14" s="66"/>
      <c r="C14" s="66"/>
      <c r="D14" s="66"/>
      <c r="E14" s="66"/>
      <c r="F14" s="67"/>
      <c r="G14" s="68"/>
      <c r="H14" s="77"/>
      <c r="I14" s="94" t="s">
        <v>87</v>
      </c>
      <c r="J14" s="48" t="s">
        <v>88</v>
      </c>
      <c r="K14" s="80" t="s">
        <v>89</v>
      </c>
      <c r="L14" s="49" t="s">
        <v>98</v>
      </c>
      <c r="M14" s="105">
        <v>5</v>
      </c>
      <c r="N14" s="79"/>
      <c r="O14" s="71">
        <f t="shared" si="6"/>
        <v>0</v>
      </c>
      <c r="P14" s="90">
        <v>167081</v>
      </c>
      <c r="Q14" s="71">
        <f>M14*P14</f>
        <v>835405</v>
      </c>
      <c r="R14" s="73"/>
      <c r="S14" s="71"/>
      <c r="T14" s="73"/>
      <c r="U14" s="71"/>
      <c r="V14" s="74">
        <f t="shared" si="7"/>
        <v>835405</v>
      </c>
      <c r="W14" s="75"/>
      <c r="X14" s="76"/>
    </row>
    <row r="15" spans="1:24" s="40" customFormat="1" ht="30" customHeight="1">
      <c r="A15" s="65" t="str">
        <f t="shared" si="0"/>
        <v>M020806810430101</v>
      </c>
      <c r="B15" s="81"/>
      <c r="C15" s="81"/>
      <c r="D15" s="81"/>
      <c r="E15" s="81"/>
      <c r="F15" s="82"/>
      <c r="G15" s="83"/>
      <c r="H15" s="16" t="s">
        <v>94</v>
      </c>
      <c r="I15" s="84"/>
      <c r="J15" s="13" t="s">
        <v>96</v>
      </c>
      <c r="K15" s="13" t="s">
        <v>95</v>
      </c>
      <c r="L15" s="85" t="s">
        <v>51</v>
      </c>
      <c r="M15" s="106">
        <v>2</v>
      </c>
      <c r="N15" s="86">
        <v>150000</v>
      </c>
      <c r="O15" s="32">
        <f t="shared" si="6"/>
        <v>250500</v>
      </c>
      <c r="P15" s="31"/>
      <c r="Q15" s="32">
        <f t="shared" ref="Q15" si="10">M15*P15</f>
        <v>0</v>
      </c>
      <c r="R15" s="33"/>
      <c r="S15" s="32">
        <f t="shared" ref="S15" si="11">R15*M15*$S$2</f>
        <v>0</v>
      </c>
      <c r="T15" s="86"/>
      <c r="U15" s="32">
        <f t="shared" ref="U15" si="12">T15*M15*$U$2</f>
        <v>0</v>
      </c>
      <c r="V15" s="87">
        <f t="shared" si="7"/>
        <v>250500</v>
      </c>
      <c r="W15" s="88"/>
      <c r="X15" s="89"/>
    </row>
    <row r="16" spans="1:24" s="40" customFormat="1" ht="30" customHeight="1">
      <c r="A16" s="11"/>
      <c r="B16" s="91"/>
      <c r="C16" s="91"/>
      <c r="D16" s="91"/>
      <c r="E16" s="91"/>
      <c r="F16" s="12"/>
      <c r="G16" s="16"/>
      <c r="H16" s="16"/>
      <c r="I16" s="26"/>
      <c r="J16" s="50" t="s">
        <v>97</v>
      </c>
      <c r="K16" s="51" t="s">
        <v>60</v>
      </c>
      <c r="L16" s="52" t="s">
        <v>50</v>
      </c>
      <c r="M16" s="107">
        <v>5</v>
      </c>
      <c r="N16" s="101"/>
      <c r="O16" s="32"/>
      <c r="P16" s="31"/>
      <c r="Q16" s="32"/>
      <c r="R16" s="33">
        <v>700000</v>
      </c>
      <c r="S16" s="32">
        <f>M16*R16</f>
        <v>3500000</v>
      </c>
      <c r="T16" s="33"/>
      <c r="U16" s="32"/>
      <c r="V16" s="14">
        <f t="shared" si="7"/>
        <v>3500000</v>
      </c>
      <c r="W16" s="17"/>
      <c r="X16" s="15"/>
    </row>
    <row r="17" spans="1:24" s="40" customFormat="1" ht="30" customHeight="1">
      <c r="A17" s="65" t="str">
        <f t="shared" ref="A17" si="13">F17&amp;G17&amp;H17&amp;I17</f>
        <v/>
      </c>
      <c r="B17" s="66"/>
      <c r="C17" s="66"/>
      <c r="D17" s="66"/>
      <c r="E17" s="66"/>
      <c r="F17" s="67"/>
      <c r="G17" s="68"/>
      <c r="H17" s="77"/>
      <c r="I17" s="78"/>
      <c r="J17" s="48"/>
      <c r="K17" s="48"/>
      <c r="L17" s="49"/>
      <c r="M17" s="47"/>
      <c r="N17" s="79"/>
      <c r="O17" s="71">
        <f t="shared" si="6"/>
        <v>0</v>
      </c>
      <c r="P17" s="72"/>
      <c r="Q17" s="71"/>
      <c r="R17" s="73"/>
      <c r="S17" s="71"/>
      <c r="T17" s="73"/>
      <c r="U17" s="71"/>
      <c r="V17" s="74">
        <f t="shared" si="7"/>
        <v>0</v>
      </c>
      <c r="W17" s="75"/>
      <c r="X17" s="76"/>
    </row>
    <row r="18" spans="1:24" s="42" customFormat="1" ht="30" customHeight="1">
      <c r="A18" s="41"/>
      <c r="B18" s="41"/>
      <c r="C18" s="41"/>
      <c r="D18" s="41"/>
      <c r="E18" s="41"/>
      <c r="J18" s="36"/>
      <c r="K18" s="36"/>
      <c r="O18" s="45">
        <f>SUM(O5:O17)</f>
        <v>495054.8</v>
      </c>
      <c r="Q18" s="45">
        <f>SUM(Q5:Q17)</f>
        <v>5471548.5</v>
      </c>
      <c r="S18" s="45">
        <f>SUM(S5:S17)</f>
        <v>3500000</v>
      </c>
      <c r="U18" s="45">
        <f>SUM(U5:U17)</f>
        <v>0</v>
      </c>
      <c r="V18" s="46">
        <f>SUM(V5:V17)</f>
        <v>9466603.3000000007</v>
      </c>
      <c r="W18" s="18"/>
    </row>
    <row r="19" spans="1:24" ht="75.75" customHeight="1">
      <c r="J19" s="2"/>
      <c r="K19" s="2"/>
      <c r="U19" s="3"/>
      <c r="W19" s="2"/>
    </row>
    <row r="20" spans="1:24" ht="30" customHeight="1">
      <c r="J20" s="2"/>
      <c r="K20" s="2"/>
      <c r="U20" s="3"/>
      <c r="W20" s="2"/>
    </row>
    <row r="21" spans="1:24" ht="30" customHeight="1">
      <c r="J21" s="2"/>
      <c r="K21" s="2"/>
      <c r="U21" s="3"/>
      <c r="W21" s="2"/>
    </row>
    <row r="22" spans="1:24" ht="30" customHeight="1">
      <c r="J22" s="2"/>
      <c r="K22" s="2"/>
      <c r="O22" s="44"/>
      <c r="U22" s="3"/>
      <c r="W22" s="2"/>
    </row>
    <row r="23" spans="1:24" ht="30" customHeight="1">
      <c r="J23" s="2"/>
      <c r="K23" s="2"/>
      <c r="O23" s="44"/>
      <c r="U23" s="3"/>
      <c r="W23" s="2"/>
    </row>
    <row r="24" spans="1:24" ht="30" customHeight="1">
      <c r="J24" s="2"/>
      <c r="K24" s="2"/>
      <c r="O24" s="44"/>
      <c r="U24" s="3"/>
      <c r="W24" s="2"/>
    </row>
    <row r="25" spans="1:24" ht="38.1" customHeight="1">
      <c r="J25" s="285"/>
      <c r="K25" s="285"/>
      <c r="Q25" s="44"/>
    </row>
    <row r="26" spans="1:24" ht="38.1" customHeight="1">
      <c r="J26" s="285"/>
      <c r="K26" s="285"/>
      <c r="Q26" s="44"/>
    </row>
  </sheetData>
  <mergeCells count="14">
    <mergeCell ref="J25:K25"/>
    <mergeCell ref="J26:K26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A25:P27"/>
  <sheetViews>
    <sheetView topLeftCell="A19" zoomScale="130" zoomScaleNormal="130" zoomScaleSheetLayoutView="85" workbookViewId="0">
      <selection activeCell="O48" sqref="O48"/>
    </sheetView>
  </sheetViews>
  <sheetFormatPr defaultColWidth="9" defaultRowHeight="14.25"/>
  <cols>
    <col min="1" max="1" width="11.5" style="27" bestFit="1" customWidth="1"/>
    <col min="2" max="2" width="17.875" style="27" customWidth="1"/>
    <col min="3" max="3" width="14.625" style="27" customWidth="1"/>
    <col min="4" max="4" width="10.875" style="27" customWidth="1"/>
    <col min="5" max="5" width="12" style="27" customWidth="1"/>
    <col min="6" max="6" width="10.625" style="27" customWidth="1"/>
    <col min="7" max="7" width="13.625" style="28" customWidth="1"/>
    <col min="8" max="8" width="9.625" style="27" customWidth="1"/>
    <col min="9" max="9" width="13.625" style="27" customWidth="1"/>
    <col min="10" max="10" width="12.75" style="27" customWidth="1"/>
    <col min="11" max="11" width="9.25" style="27" customWidth="1"/>
    <col min="12" max="12" width="13.625" style="28" customWidth="1"/>
    <col min="13" max="13" width="9.625" style="27" customWidth="1"/>
    <col min="14" max="14" width="13.625" style="28" customWidth="1"/>
    <col min="15" max="15" width="19.75" style="29" bestFit="1" customWidth="1"/>
    <col min="16" max="16" width="12.25" style="29" bestFit="1" customWidth="1"/>
    <col min="17" max="16384" width="9" style="27"/>
  </cols>
  <sheetData>
    <row r="25" spans="1:16" s="54" customFormat="1" ht="30" customHeight="1">
      <c r="A25" s="53" t="s">
        <v>52</v>
      </c>
      <c r="B25" s="53"/>
      <c r="G25" s="55"/>
      <c r="L25" s="55"/>
      <c r="N25" s="55"/>
      <c r="O25" s="56"/>
      <c r="P25" s="56"/>
    </row>
    <row r="26" spans="1:16" s="54" customFormat="1" ht="30" customHeight="1">
      <c r="A26" s="57" t="s">
        <v>53</v>
      </c>
      <c r="B26" s="58" t="s">
        <v>54</v>
      </c>
      <c r="C26" s="58" t="s">
        <v>55</v>
      </c>
      <c r="D26" s="58" t="s">
        <v>44</v>
      </c>
      <c r="E26" s="59" t="s">
        <v>56</v>
      </c>
      <c r="G26" s="55"/>
      <c r="L26" s="55"/>
      <c r="N26" s="55"/>
      <c r="O26" s="56"/>
      <c r="P26" s="56"/>
    </row>
    <row r="27" spans="1:16" s="54" customFormat="1" ht="30" customHeight="1">
      <c r="A27" s="60">
        <v>999999</v>
      </c>
      <c r="B27" s="61" t="s">
        <v>57</v>
      </c>
      <c r="C27" s="61" t="s">
        <v>59</v>
      </c>
      <c r="D27" s="62">
        <v>700000</v>
      </c>
      <c r="E27" s="63" t="s">
        <v>58</v>
      </c>
      <c r="G27" s="55"/>
      <c r="L27" s="55"/>
      <c r="N27" s="55"/>
      <c r="O27" s="56"/>
      <c r="P27" s="56"/>
    </row>
  </sheetData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L22" sqref="L22"/>
    </sheetView>
  </sheetViews>
  <sheetFormatPr defaultColWidth="9" defaultRowHeight="14.25"/>
  <cols>
    <col min="1" max="1" width="11.125" style="30" customWidth="1"/>
    <col min="2" max="2" width="13.375" style="30" customWidth="1"/>
    <col min="3" max="3" width="38.75" style="30" customWidth="1"/>
    <col min="4" max="4" width="28.75" style="30" customWidth="1"/>
    <col min="5" max="5" width="5" style="30" customWidth="1"/>
    <col min="6" max="6" width="6.25" style="30" customWidth="1"/>
    <col min="7" max="7" width="10" style="30" customWidth="1"/>
    <col min="8" max="8" width="11.875" style="30" customWidth="1"/>
    <col min="9" max="9" width="10" style="30" customWidth="1"/>
    <col min="10" max="10" width="11.875" style="30" customWidth="1"/>
    <col min="11" max="11" width="10" style="30" customWidth="1"/>
    <col min="12" max="12" width="11.875" style="30" customWidth="1"/>
    <col min="13" max="13" width="10" style="30" customWidth="1"/>
    <col min="14" max="14" width="11.875" style="30" customWidth="1"/>
    <col min="15" max="15" width="9.125" style="30" customWidth="1"/>
    <col min="16" max="16" width="11.5" style="30" customWidth="1"/>
    <col min="17" max="17" width="11.75" style="30" customWidth="1"/>
    <col min="18" max="18" width="17.875" style="30" customWidth="1"/>
    <col min="19" max="16384" width="9" style="30"/>
  </cols>
  <sheetData>
    <row r="1" spans="1:18" ht="18" customHeight="1">
      <c r="A1" s="19" t="s">
        <v>8</v>
      </c>
      <c r="B1" s="20" t="s">
        <v>9</v>
      </c>
      <c r="C1" s="21" t="s">
        <v>10</v>
      </c>
      <c r="D1" s="21" t="s">
        <v>11</v>
      </c>
      <c r="E1" s="21" t="s">
        <v>12</v>
      </c>
      <c r="F1" s="21" t="s">
        <v>5</v>
      </c>
      <c r="G1" s="20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L1" s="20" t="s">
        <v>18</v>
      </c>
      <c r="M1" s="20" t="s">
        <v>19</v>
      </c>
      <c r="N1" s="20" t="s">
        <v>20</v>
      </c>
      <c r="O1" s="20" t="s">
        <v>21</v>
      </c>
      <c r="P1" s="20" t="s">
        <v>22</v>
      </c>
      <c r="Q1" s="20" t="s">
        <v>23</v>
      </c>
      <c r="R1" s="20" t="s">
        <v>24</v>
      </c>
    </row>
    <row r="2" spans="1:18">
      <c r="A2" s="3">
        <v>999999</v>
      </c>
      <c r="B2" s="3" t="s">
        <v>25</v>
      </c>
      <c r="C2" s="50" t="s">
        <v>97</v>
      </c>
      <c r="D2" s="51" t="s">
        <v>60</v>
      </c>
      <c r="E2" s="3" t="s">
        <v>99</v>
      </c>
      <c r="F2" s="22">
        <v>5</v>
      </c>
      <c r="G2" s="25"/>
      <c r="H2" s="2"/>
      <c r="I2" s="2"/>
      <c r="J2" s="2"/>
      <c r="K2" s="2">
        <v>700000</v>
      </c>
      <c r="L2" s="2"/>
      <c r="M2" s="2"/>
      <c r="N2" s="2"/>
      <c r="O2" s="2"/>
      <c r="P2" s="2"/>
      <c r="Q2" s="2"/>
      <c r="R2" s="2"/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12"/>
  <sheetViews>
    <sheetView showGridLines="0" zoomScaleNormal="100" workbookViewId="0">
      <selection activeCell="E36" sqref="E36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0"/>
  </cols>
  <sheetData>
    <row r="1" spans="1:7" ht="18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"/>
    </row>
    <row r="2" spans="1:7">
      <c r="A2" s="23" t="str">
        <f>'내역서(표준단가)'!A5</f>
        <v>E00000801011510201</v>
      </c>
      <c r="B2" s="24">
        <f>'내역서(표준단가)'!F5</f>
        <v>0</v>
      </c>
      <c r="C2" s="24" t="str">
        <f>'내역서(표준단가)'!G5</f>
        <v>E00000801011510201</v>
      </c>
      <c r="D2" s="24">
        <f>'내역서(표준단가)'!H5</f>
        <v>0</v>
      </c>
      <c r="E2" s="24">
        <f>'내역서(표준단가)'!I5</f>
        <v>0</v>
      </c>
      <c r="F2" s="108">
        <f>'내역서(표준단가)'!M5</f>
        <v>20</v>
      </c>
      <c r="G2" s="2"/>
    </row>
    <row r="3" spans="1:7">
      <c r="A3" s="23" t="str">
        <f>'내역서(표준단가)'!A6</f>
        <v>M010551316300101</v>
      </c>
      <c r="B3" s="24">
        <f>'내역서(표준단가)'!F6</f>
        <v>0</v>
      </c>
      <c r="C3" s="24">
        <f>'내역서(표준단가)'!G6</f>
        <v>0</v>
      </c>
      <c r="D3" s="24" t="str">
        <f>'내역서(표준단가)'!H6</f>
        <v>M010551316300101</v>
      </c>
      <c r="E3" s="24">
        <f>'내역서(표준단가)'!I6</f>
        <v>0</v>
      </c>
      <c r="F3" s="108">
        <f>'내역서(표준단가)'!M6</f>
        <v>1</v>
      </c>
    </row>
    <row r="4" spans="1:7">
      <c r="A4" s="23" t="str">
        <f>'내역서(표준단가)'!A7</f>
        <v>M020412613720101</v>
      </c>
      <c r="B4" s="24">
        <f>'내역서(표준단가)'!F7</f>
        <v>0</v>
      </c>
      <c r="C4" s="24">
        <f>'내역서(표준단가)'!G7</f>
        <v>0</v>
      </c>
      <c r="D4" s="24" t="str">
        <f>'내역서(표준단가)'!H7</f>
        <v>M020412613720101</v>
      </c>
      <c r="E4" s="24">
        <f>'내역서(표준단가)'!I7</f>
        <v>0</v>
      </c>
      <c r="F4" s="108">
        <f>'내역서(표준단가)'!M7</f>
        <v>0.5</v>
      </c>
    </row>
    <row r="5" spans="1:7">
      <c r="A5" s="23" t="str">
        <f>'내역서(표준단가)'!A8</f>
        <v>M010550114050101</v>
      </c>
      <c r="B5" s="24">
        <f>'내역서(표준단가)'!F8</f>
        <v>0</v>
      </c>
      <c r="C5" s="24">
        <f>'내역서(표준단가)'!G8</f>
        <v>0</v>
      </c>
      <c r="D5" s="24" t="str">
        <f>'내역서(표준단가)'!H8</f>
        <v>M010550114050101</v>
      </c>
      <c r="E5" s="24">
        <f>'내역서(표준단가)'!I8</f>
        <v>0</v>
      </c>
      <c r="F5" s="108">
        <f>'내역서(표준단가)'!M8</f>
        <v>1</v>
      </c>
    </row>
    <row r="6" spans="1:7">
      <c r="A6" s="23" t="str">
        <f>'내역서(표준단가)'!A9</f>
        <v>M020251411630101</v>
      </c>
      <c r="B6" s="24">
        <f>'내역서(표준단가)'!F9</f>
        <v>0</v>
      </c>
      <c r="C6" s="24">
        <f>'내역서(표준단가)'!G9</f>
        <v>0</v>
      </c>
      <c r="D6" s="24" t="str">
        <f>'내역서(표준단가)'!H9</f>
        <v>M020251411630101</v>
      </c>
      <c r="E6" s="24">
        <f>'내역서(표준단가)'!I9</f>
        <v>0</v>
      </c>
      <c r="F6" s="108">
        <f>'내역서(표준단가)'!M9</f>
        <v>15</v>
      </c>
    </row>
    <row r="7" spans="1:7">
      <c r="A7" s="23" t="str">
        <f>'내역서(표준단가)'!A10</f>
        <v>M020412114290101</v>
      </c>
      <c r="B7" s="24">
        <f>'내역서(표준단가)'!F10</f>
        <v>0</v>
      </c>
      <c r="C7" s="24">
        <f>'내역서(표준단가)'!G10</f>
        <v>0</v>
      </c>
      <c r="D7" s="24" t="str">
        <f>'내역서(표준단가)'!H10</f>
        <v>M020412114290101</v>
      </c>
      <c r="E7" s="24">
        <f>'내역서(표준단가)'!I10</f>
        <v>0</v>
      </c>
      <c r="F7" s="108">
        <f>'내역서(표준단가)'!M10</f>
        <v>0.5</v>
      </c>
    </row>
    <row r="8" spans="1:7">
      <c r="A8" s="23" t="str">
        <f>'내역서(표준단가)'!A11</f>
        <v>M020413111390101</v>
      </c>
      <c r="B8" s="24">
        <f>'내역서(표준단가)'!F11</f>
        <v>0</v>
      </c>
      <c r="C8" s="24">
        <f>'내역서(표준단가)'!G11</f>
        <v>0</v>
      </c>
      <c r="D8" s="24" t="str">
        <f>'내역서(표준단가)'!H11</f>
        <v>M020413111390101</v>
      </c>
      <c r="E8" s="24">
        <f>'내역서(표준단가)'!I11</f>
        <v>0</v>
      </c>
      <c r="F8" s="108">
        <f>'내역서(표준단가)'!M11</f>
        <v>0.5</v>
      </c>
    </row>
    <row r="9" spans="1:7">
      <c r="A9" s="23" t="str">
        <f>'내역서(표준단가)'!A12</f>
        <v>M020412311620102</v>
      </c>
      <c r="B9" s="24">
        <f>'내역서(표준단가)'!F12</f>
        <v>0</v>
      </c>
      <c r="C9" s="24">
        <f>'내역서(표준단가)'!G12</f>
        <v>0</v>
      </c>
      <c r="D9" s="24" t="str">
        <f>'내역서(표준단가)'!H12</f>
        <v>M020412311620102</v>
      </c>
      <c r="E9" s="24">
        <f>'내역서(표준단가)'!I12</f>
        <v>0</v>
      </c>
      <c r="F9" s="108">
        <f>'내역서(표준단가)'!M12</f>
        <v>1</v>
      </c>
    </row>
    <row r="10" spans="1:7">
      <c r="A10" s="23" t="str">
        <f>'내역서(표준단가)'!A13</f>
        <v>L003</v>
      </c>
      <c r="B10" s="24">
        <f>'내역서(표준단가)'!F13</f>
        <v>0</v>
      </c>
      <c r="C10" s="24">
        <f>'내역서(표준단가)'!G13</f>
        <v>0</v>
      </c>
      <c r="D10" s="24">
        <f>'내역서(표준단가)'!H13</f>
        <v>0</v>
      </c>
      <c r="E10" s="24" t="str">
        <f>'내역서(표준단가)'!I13</f>
        <v>L003</v>
      </c>
      <c r="F10" s="108">
        <f>'내역서(표준단가)'!M13</f>
        <v>15</v>
      </c>
    </row>
    <row r="11" spans="1:7">
      <c r="A11" s="23" t="str">
        <f>'내역서(표준단가)'!A14</f>
        <v>L002</v>
      </c>
      <c r="B11" s="24">
        <f>'내역서(표준단가)'!F14</f>
        <v>0</v>
      </c>
      <c r="C11" s="24">
        <f>'내역서(표준단가)'!G14</f>
        <v>0</v>
      </c>
      <c r="D11" s="24">
        <f>'내역서(표준단가)'!H14</f>
        <v>0</v>
      </c>
      <c r="E11" s="24" t="str">
        <f>'내역서(표준단가)'!I14</f>
        <v>L002</v>
      </c>
      <c r="F11" s="108">
        <f>'내역서(표준단가)'!M14</f>
        <v>5</v>
      </c>
    </row>
    <row r="12" spans="1:7">
      <c r="A12" s="23" t="str">
        <f>'내역서(표준단가)'!A15</f>
        <v>M020806810430101</v>
      </c>
      <c r="B12" s="24">
        <f>'내역서(표준단가)'!F15</f>
        <v>0</v>
      </c>
      <c r="C12" s="24">
        <f>'내역서(표준단가)'!G15</f>
        <v>0</v>
      </c>
      <c r="D12" s="24" t="str">
        <f>'내역서(표준단가)'!H15</f>
        <v>M020806810430101</v>
      </c>
      <c r="E12" s="24">
        <f>'내역서(표준단가)'!I15</f>
        <v>0</v>
      </c>
      <c r="F12" s="108">
        <f>'내역서(표준단가)'!M15</f>
        <v>2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2025-05-13T07:03:55Z</dcterms:modified>
</cp:coreProperties>
</file>
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3 사택 7-302 수장공사\"/>
    </mc:Choice>
  </mc:AlternateContent>
  <xr:revisionPtr revIDLastSave="0" documentId="13_ncr:1_{D29280A6-243A-4F92-B30A-8BE833C6A25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5" i="9" l="1"/>
  <c r="D19" i="9"/>
  <c r="D18" i="9"/>
  <c r="D10" i="9"/>
  <c r="D9" i="9"/>
  <c r="D8" i="9"/>
  <c r="D7" i="9"/>
  <c r="D6" i="9"/>
  <c r="F2" i="1"/>
  <c r="E2" i="1"/>
  <c r="D2" i="1"/>
  <c r="C2" i="1"/>
  <c r="B2" i="1"/>
  <c r="D11" i="9" l="1"/>
  <c r="U5" i="4"/>
  <c r="S5" i="4"/>
  <c r="Q5" i="4"/>
  <c r="O5" i="4"/>
  <c r="A5" i="4"/>
  <c r="A2" i="1" s="1"/>
  <c r="V5" i="4" l="1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F17" i="5" s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<sst xmlns="http://schemas.openxmlformats.org/spreadsheetml/2006/main" count="213" uniqueCount="159">
  <si>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</si>
  <si>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</si>
  <si>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</si>
  <si>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</si>
  <si>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</si>
  <si>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</si>
  <si>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</si>
  <si>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</si>
  <si>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</si>
  <si>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</si>
  <si>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</si>
  <si>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</si>
  <si>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</si>
  <si>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</si>
  <si>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</si>
  <si>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</si>
  <si>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</si>
  <si>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</si>
  <si>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</si>
  <si>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</si>
  <si>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</si>
  <si>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</si>
  <si>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</si>
  <si>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</si>
  <si>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</si>
  <si>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</si>
  <si>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</si>
  <si>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</si>
  <si>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</si>
  <si>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</si>
  <si>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</si>
  <si>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</si>
  <si>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</si>
  <si>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</si>
  <si>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</si>
  <si>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</si>
  <si>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</si>
  <si>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</si>
  <si>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</si>
  <si>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</si>
  <si>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</si>
  <si>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</si>
  <si>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</si>
  <si>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</si>
  <si>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</si>
  <si>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</si>
  <si>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</si>
  <si>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</si>
  <si>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</si>
  <si>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</si>
  <si>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</si>
  <si>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</si>
  <si>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</si>
  <si>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</si>
  <si>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</si>
  <si>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</si>
  <si>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</si>
  <si>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</si>
  <si>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</si>
  <si>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</si>
  <si>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</si>
  <si>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</si>
  <si>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</si>
  <si>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</si>
  <si>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</si>
  <si>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</si>
  <si>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</si>
  <si>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</si>
  <si>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</si>
  <si>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</si>
  <si>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</si>
  <si>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</si>
  <si>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</si>
  <si>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</si>
  <si>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</si>
  <si>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</si>
  <si>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</si>
  <si>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</si>
  <si>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</si>
  <si>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</si>
  <si>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</si>
  <si>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</si>
  <si>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</si>
  <si>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</si>
  <si>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</si>
  <si>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</si>
  <si>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</si>
  <si>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</si>
  <si>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</si>
  <si>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</si>
  <si>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</si>
  <si>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</si>
  <si>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</si>
  <si>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</si>
  <si>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</si>
  <si>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</si>
  <si>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</si>
  <si>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</si>
  <si>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</si>
  <si>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</si>
  <si>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</si>
  <si>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</si>
  <si>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</si>
  <si>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</si>
  <si>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</si>
  <si>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</si>
  <si>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</si>
  <si>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</si>
  <si>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</si>
  <si>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</si>
  <si>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</si>
  <si>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</si>
  <si>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</si>
  <si>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</si>
  <si>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</si>
  <si>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</si>
  <si>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</si>
  <si>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</si>
  <si>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</si>
  <si>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</si>
  <si>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</si>
  <si>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</si>
  <si>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</si>
  <si>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</si>
  <si>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</si>
  <si>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</si>
  <si>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</si>
  <si>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</si>
  <si>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</si>
  <si>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</si>
  <si>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</si>
  <si>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</si>
  <si>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</si>
  <si>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</si>
  <si>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</si>
  <si>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</si>
  <si>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</si>
  <si>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</si>
  <si>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</si>
  <si>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</si>
  <si>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</si>
  <si>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</si>
  <si>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</si>
  <si>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</si>
  <si>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</si>
  <si>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</si>
  <si>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</si>
  <si>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</si>
  <si>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</si>
  <si>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</si>
  <si>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</si>
  <si>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</si>
  <si>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</si>
  <si>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</si>
  <si>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 공사명 : 사택 7-302 수장공사</t>
    <phoneticPr fontId="11" type="noConversion"/>
  </si>
  <si>
    <t xml:space="preserve"> 견적일 : 2025 년  04월  20일</t>
    <phoneticPr fontId="11" type="noConversion"/>
  </si>
  <si>
    <t>사택 7-302 수장공사</t>
    <phoneticPr fontId="5" type="noConversion"/>
  </si>
  <si>
    <t>도색 앞,뒤베란다 걸레받이(앞,뒤베란다 창고바닥포함)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</si>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</sst>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0" fontId="19" fillId="0" borderId="31" xfId="13" applyNumberFormat="1" applyFont="1" applyFill="1" applyBorder="1" applyAlignment="1">
      <alignment vertical="center"/>
    </xf>
    <xf numFmtId="49" fontId="24" fillId="0" borderId="31" xfId="0" applyNumberFormat="1" applyFont="1" applyBorder="1" applyAlignment="1">
      <alignment horizontal="center" vertical="center"/>
    </xf>
    <xf numFmtId="188" fontId="24" fillId="0" borderId="31" xfId="13" applyNumberFormat="1" applyFont="1" applyFill="1" applyBorder="1" applyAlignment="1">
      <alignment horizontal="center" vertical="center" wrapText="1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193" fontId="24" fillId="0" borderId="31" xfId="13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24" fillId="5" borderId="32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4" t="s">
        <v>154</v>
      </c>
      <c r="B7" s="175"/>
      <c r="C7" s="176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4" t="s">
        <v>155</v>
      </c>
      <c r="B9" s="175"/>
      <c r="C9" s="176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2"/>
      <c r="B11" s="173"/>
      <c r="C11" s="173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7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J22" sqref="J22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7"/>
      <c r="B2" s="177"/>
      <c r="C2" s="177"/>
      <c r="D2" s="177"/>
      <c r="E2" s="177"/>
      <c r="F2" s="177"/>
      <c r="G2" s="177"/>
      <c r="H2" s="177"/>
      <c r="I2" s="17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8" t="s">
        <v>98</v>
      </c>
      <c r="K3" s="188"/>
      <c r="L3" s="186" t="s">
        <v>47</v>
      </c>
      <c r="M3" s="186" t="s">
        <v>5</v>
      </c>
      <c r="N3" s="182" t="s">
        <v>99</v>
      </c>
      <c r="O3" s="182"/>
      <c r="P3" s="182" t="s">
        <v>100</v>
      </c>
      <c r="Q3" s="182"/>
      <c r="R3" s="183" t="s">
        <v>101</v>
      </c>
      <c r="S3" s="183"/>
      <c r="T3" s="183" t="s">
        <v>102</v>
      </c>
      <c r="U3" s="183"/>
      <c r="V3" s="184" t="s">
        <v>103</v>
      </c>
      <c r="W3" s="180" t="s">
        <v>104</v>
      </c>
      <c r="X3" s="178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7"/>
      <c r="M4" s="187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5"/>
      <c r="W4" s="181"/>
      <c r="X4" s="179"/>
    </row>
    <row r="5" spans="1:24" s="143" customFormat="1" ht="38.1" customHeight="1" x14ac:dyDescent="0.3">
      <c r="A5" s="73" t="str">
        <f t="shared" ref="A5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158</v>
      </c>
      <c r="L5" s="118" t="s">
        <v>150</v>
      </c>
      <c r="M5" s="159">
        <v>8.4789999999999992</v>
      </c>
      <c r="N5" s="154">
        <v>20900</v>
      </c>
      <c r="O5" s="129">
        <f t="shared" ref="O5" si="1">SUM(N5:N5)*M5*$O$2</f>
        <v>147971.26849999998</v>
      </c>
      <c r="P5" s="128"/>
      <c r="Q5" s="129">
        <f t="shared" ref="Q5" si="2">(P5*M5)*$Q$2</f>
        <v>0</v>
      </c>
      <c r="R5" s="130"/>
      <c r="S5" s="129">
        <f t="shared" ref="S5" si="3">R5*M5*$S$2</f>
        <v>0</v>
      </c>
      <c r="T5" s="130"/>
      <c r="U5" s="129">
        <f t="shared" ref="U5" si="4">T5*M5*$U$2</f>
        <v>0</v>
      </c>
      <c r="V5" s="77">
        <f t="shared" ref="V5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ref="A6" si="6">F6&amp;G6&amp;H6&amp;I6</f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152</v>
      </c>
      <c r="L6" s="75" t="s">
        <v>117</v>
      </c>
      <c r="M6" s="159">
        <v>1.978</v>
      </c>
      <c r="N6" s="131"/>
      <c r="O6" s="129">
        <f t="shared" ref="O6" si="7">SUM(N6:N6)*M6*$O$2</f>
        <v>0</v>
      </c>
      <c r="P6" s="128">
        <v>487076</v>
      </c>
      <c r="Q6" s="129">
        <f t="shared" ref="Q6" si="8">(P6*M6)*$Q$2</f>
        <v>804469.33387999993</v>
      </c>
      <c r="R6" s="130"/>
      <c r="S6" s="129">
        <f t="shared" ref="S6" si="9">R6*M6*$S$2</f>
        <v>0</v>
      </c>
      <c r="T6" s="130"/>
      <c r="U6" s="129">
        <f t="shared" ref="U6" si="10">T6*M6*$U$2</f>
        <v>0</v>
      </c>
      <c r="V6" s="77">
        <f t="shared" ref="V6" si="11">SUM(O6+Q6)+S6+U6</f>
        <v>804469.33387999993</v>
      </c>
      <c r="W6" s="117"/>
      <c r="X6" s="78"/>
    </row>
    <row r="7" spans="1:24" s="143" customFormat="1" ht="38.1" customHeight="1" x14ac:dyDescent="0.3">
      <c r="A7" s="73" t="str">
        <f t="shared" ref="A7:A8" si="12">F7&amp;G7&amp;H7&amp;I7</f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153</v>
      </c>
      <c r="L7" s="75" t="s">
        <v>117</v>
      </c>
      <c r="M7" s="159">
        <v>1.4</v>
      </c>
      <c r="N7" s="131"/>
      <c r="O7" s="129">
        <f t="shared" ref="O7:O12" si="13">SUM(N7:N7)*M7*$O$2</f>
        <v>0</v>
      </c>
      <c r="P7" s="128">
        <v>487076</v>
      </c>
      <c r="Q7" s="129">
        <f t="shared" ref="Q7:Q13" si="14">(P7*M7)*$Q$2</f>
        <v>569391.84399999992</v>
      </c>
      <c r="R7" s="130"/>
      <c r="S7" s="129">
        <f t="shared" ref="S7:S13" si="15">R7*M7*$S$2</f>
        <v>0</v>
      </c>
      <c r="T7" s="130"/>
      <c r="U7" s="129">
        <f t="shared" ref="U7:U13" si="16">T7*M7*$U$2</f>
        <v>0</v>
      </c>
      <c r="V7" s="77">
        <f t="shared" ref="V7:V13" si="17">SUM(O7+Q7)+S7+U7</f>
        <v>569391.84399999992</v>
      </c>
      <c r="W7" s="117"/>
      <c r="X7" s="78"/>
    </row>
    <row r="8" spans="1:24" s="143" customFormat="1" ht="38.1" customHeight="1" x14ac:dyDescent="0.3">
      <c r="A8" s="73" t="str">
        <f t="shared" si="12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3"/>
        <v>429858</v>
      </c>
      <c r="P8" s="128"/>
      <c r="Q8" s="129">
        <f t="shared" si="14"/>
        <v>0</v>
      </c>
      <c r="R8" s="130"/>
      <c r="S8" s="129">
        <f t="shared" si="15"/>
        <v>0</v>
      </c>
      <c r="T8" s="130"/>
      <c r="U8" s="129">
        <f t="shared" si="16"/>
        <v>0</v>
      </c>
      <c r="V8" s="77">
        <f t="shared" si="17"/>
        <v>429858</v>
      </c>
      <c r="W8" s="117"/>
      <c r="X8" s="78"/>
    </row>
    <row r="9" spans="1:24" s="143" customFormat="1" ht="38.1" customHeight="1" x14ac:dyDescent="0.3">
      <c r="A9" s="73" t="str">
        <f t="shared" ref="A9:A13" si="18">F9&amp;G9&amp;H9&amp;I9</f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3"/>
        <v>0</v>
      </c>
      <c r="P9" s="128">
        <v>487076</v>
      </c>
      <c r="Q9" s="129">
        <f t="shared" si="14"/>
        <v>263953.79054000002</v>
      </c>
      <c r="R9" s="130"/>
      <c r="S9" s="129">
        <f t="shared" si="15"/>
        <v>0</v>
      </c>
      <c r="T9" s="130"/>
      <c r="U9" s="129">
        <f t="shared" si="16"/>
        <v>0</v>
      </c>
      <c r="V9" s="77">
        <f t="shared" si="17"/>
        <v>263953.79054000002</v>
      </c>
      <c r="W9" s="117"/>
      <c r="X9" s="78"/>
    </row>
    <row r="10" spans="1:24" s="143" customFormat="1" ht="38.1" customHeight="1" x14ac:dyDescent="0.3">
      <c r="A10" s="73" t="str">
        <f t="shared" si="18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3"/>
        <v>10938.5</v>
      </c>
      <c r="P10" s="128"/>
      <c r="Q10" s="129"/>
      <c r="R10" s="130"/>
      <c r="S10" s="129"/>
      <c r="T10" s="130"/>
      <c r="U10" s="129"/>
      <c r="V10" s="77">
        <f t="shared" si="17"/>
        <v>10938.5</v>
      </c>
      <c r="W10" s="117"/>
      <c r="X10" s="78"/>
    </row>
    <row r="11" spans="1:24" s="143" customFormat="1" ht="38.1" customHeight="1" x14ac:dyDescent="0.3">
      <c r="A11" s="73" t="str">
        <f t="shared" si="18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3"/>
        <v>0</v>
      </c>
      <c r="P11" s="128">
        <v>10432</v>
      </c>
      <c r="Q11" s="129">
        <f t="shared" si="14"/>
        <v>174214.39999999999</v>
      </c>
      <c r="R11" s="130"/>
      <c r="S11" s="129">
        <f t="shared" si="15"/>
        <v>0</v>
      </c>
      <c r="T11" s="130"/>
      <c r="U11" s="129">
        <f t="shared" si="16"/>
        <v>0</v>
      </c>
      <c r="V11" s="77">
        <f t="shared" si="17"/>
        <v>174214.39999999999</v>
      </c>
      <c r="W11" s="117"/>
      <c r="X11" s="78"/>
    </row>
    <row r="12" spans="1:24" s="143" customFormat="1" ht="38.1" customHeight="1" x14ac:dyDescent="0.3">
      <c r="A12" s="73" t="str">
        <f t="shared" si="18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3"/>
        <v>0</v>
      </c>
      <c r="P12" s="128">
        <v>6179</v>
      </c>
      <c r="Q12" s="129">
        <f t="shared" si="14"/>
        <v>103189.29999999999</v>
      </c>
      <c r="R12" s="130"/>
      <c r="S12" s="129">
        <f t="shared" si="15"/>
        <v>0</v>
      </c>
      <c r="T12" s="130"/>
      <c r="U12" s="129">
        <f t="shared" si="16"/>
        <v>0</v>
      </c>
      <c r="V12" s="77">
        <f t="shared" si="17"/>
        <v>103189.29999999999</v>
      </c>
      <c r="W12" s="117"/>
      <c r="X12" s="78"/>
    </row>
    <row r="13" spans="1:24" s="143" customFormat="1" ht="38.1" customHeight="1" x14ac:dyDescent="0.3">
      <c r="A13" s="73" t="str">
        <f t="shared" si="18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ref="O13" si="19">SUM(N13:N13)*M13*$O$2</f>
        <v>0</v>
      </c>
      <c r="P13" s="158">
        <v>4966</v>
      </c>
      <c r="Q13" s="76">
        <f t="shared" si="14"/>
        <v>327582.19</v>
      </c>
      <c r="R13" s="77"/>
      <c r="S13" s="76">
        <f t="shared" si="15"/>
        <v>0</v>
      </c>
      <c r="T13" s="77"/>
      <c r="U13" s="76">
        <f t="shared" si="16"/>
        <v>0</v>
      </c>
      <c r="V13" s="77">
        <f t="shared" si="17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30"/>
  <sheetViews>
    <sheetView topLeftCell="B1" zoomScaleNormal="100" workbookViewId="0">
      <selection activeCell="E38" sqref="E38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5.75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5" ht="27" customHeight="1" x14ac:dyDescent="0.3">
      <c r="A1" s="200" t="s">
        <v>59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5" ht="15" customHeight="1" x14ac:dyDescent="0.3">
      <c r="A2" s="201" t="s">
        <v>60</v>
      </c>
      <c r="B2" s="202" t="s">
        <v>61</v>
      </c>
      <c r="C2" s="203" t="s">
        <v>47</v>
      </c>
      <c r="D2" s="203" t="s">
        <v>62</v>
      </c>
      <c r="E2" s="205" t="s">
        <v>63</v>
      </c>
      <c r="F2" s="202"/>
      <c r="G2" s="202" t="s">
        <v>64</v>
      </c>
      <c r="H2" s="202"/>
      <c r="I2" s="206" t="s">
        <v>65</v>
      </c>
      <c r="J2" s="207"/>
      <c r="K2" s="206" t="s">
        <v>66</v>
      </c>
      <c r="L2" s="207"/>
      <c r="M2" s="205" t="s">
        <v>67</v>
      </c>
      <c r="N2" s="202"/>
      <c r="O2" s="208" t="s">
        <v>68</v>
      </c>
    </row>
    <row r="3" spans="1:15" ht="15" customHeight="1" x14ac:dyDescent="0.3">
      <c r="A3" s="201"/>
      <c r="B3" s="202"/>
      <c r="C3" s="204"/>
      <c r="D3" s="204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09"/>
    </row>
    <row r="4" spans="1:15" ht="15" customHeight="1" x14ac:dyDescent="0.3">
      <c r="A4" s="198" t="s">
        <v>156</v>
      </c>
      <c r="B4" s="19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5" ht="15" customHeight="1" x14ac:dyDescent="0.3">
      <c r="A5" s="190" t="s">
        <v>72</v>
      </c>
      <c r="B5" s="161" t="s">
        <v>73</v>
      </c>
      <c r="C5" s="162" t="s">
        <v>74</v>
      </c>
      <c r="D5" s="170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2"/>
    </row>
    <row r="6" spans="1:15" ht="15" customHeight="1" x14ac:dyDescent="0.3">
      <c r="A6" s="191"/>
      <c r="B6" s="161" t="s">
        <v>75</v>
      </c>
      <c r="C6" s="162" t="s">
        <v>74</v>
      </c>
      <c r="D6" s="170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3"/>
    </row>
    <row r="7" spans="1:15" ht="15" customHeight="1" x14ac:dyDescent="0.3">
      <c r="A7" s="191"/>
      <c r="B7" s="161" t="s">
        <v>76</v>
      </c>
      <c r="C7" s="162" t="s">
        <v>74</v>
      </c>
      <c r="D7" s="170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3"/>
    </row>
    <row r="8" spans="1:15" ht="15" customHeight="1" x14ac:dyDescent="0.3">
      <c r="A8" s="191"/>
      <c r="B8" s="161" t="s">
        <v>77</v>
      </c>
      <c r="C8" s="162" t="s">
        <v>74</v>
      </c>
      <c r="D8" s="170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3"/>
    </row>
    <row r="9" spans="1:15" ht="15" customHeight="1" x14ac:dyDescent="0.3">
      <c r="A9" s="191"/>
      <c r="B9" s="161" t="s">
        <v>78</v>
      </c>
      <c r="C9" s="162" t="s">
        <v>74</v>
      </c>
      <c r="D9" s="170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3"/>
    </row>
    <row r="10" spans="1:15" ht="15" customHeight="1" x14ac:dyDescent="0.3">
      <c r="A10" s="191"/>
      <c r="B10" s="161" t="s">
        <v>79</v>
      </c>
      <c r="C10" s="162" t="s">
        <v>74</v>
      </c>
      <c r="D10" s="170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3"/>
    </row>
    <row r="11" spans="1:15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5" ht="15" customHeight="1" x14ac:dyDescent="0.3">
      <c r="A12" s="194" t="s">
        <v>138</v>
      </c>
      <c r="B12" s="82" t="s">
        <v>81</v>
      </c>
      <c r="C12" s="83" t="s">
        <v>74</v>
      </c>
      <c r="D12" s="168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3"/>
    </row>
    <row r="13" spans="1:15" ht="15" customHeight="1" x14ac:dyDescent="0.3">
      <c r="A13" s="194"/>
      <c r="B13" s="82" t="s">
        <v>82</v>
      </c>
      <c r="C13" s="83" t="s">
        <v>74</v>
      </c>
      <c r="D13" s="169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3"/>
    </row>
    <row r="14" spans="1:15" ht="15" customHeight="1" x14ac:dyDescent="0.3">
      <c r="A14" s="194"/>
      <c r="B14" s="82" t="s">
        <v>83</v>
      </c>
      <c r="C14" s="83" t="s">
        <v>74</v>
      </c>
      <c r="D14" s="169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3"/>
    </row>
    <row r="15" spans="1:15" ht="15" customHeight="1" x14ac:dyDescent="0.3">
      <c r="A15" s="102" t="s">
        <v>80</v>
      </c>
      <c r="B15" s="85"/>
      <c r="C15" s="89"/>
      <c r="D15" s="89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5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3" t="s">
        <v>135</v>
      </c>
      <c r="B17" s="164" t="s">
        <v>132</v>
      </c>
      <c r="C17" s="164" t="s">
        <v>131</v>
      </c>
      <c r="D17" s="165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195" t="s">
        <v>85</v>
      </c>
      <c r="B18" s="161" t="s">
        <v>86</v>
      </c>
      <c r="C18" s="162" t="s">
        <v>74</v>
      </c>
      <c r="D18" s="166">
        <f>20</f>
        <v>20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195"/>
      <c r="B19" s="161" t="s">
        <v>87</v>
      </c>
      <c r="C19" s="162" t="s">
        <v>74</v>
      </c>
      <c r="D19" s="166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6" t="s">
        <v>157</v>
      </c>
    </row>
    <row r="20" spans="1:15" ht="15" customHeight="1" x14ac:dyDescent="0.3">
      <c r="A20" s="189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7"/>
    </row>
    <row r="21" spans="1:15" ht="15" customHeight="1" x14ac:dyDescent="0.3">
      <c r="A21" s="189"/>
      <c r="B21" s="90" t="s">
        <v>87</v>
      </c>
      <c r="C21" s="91" t="s">
        <v>74</v>
      </c>
      <c r="D21" s="92">
        <v>20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>
        <v>0.13</v>
      </c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189" t="s">
        <v>89</v>
      </c>
      <c r="B23" s="90" t="s">
        <v>90</v>
      </c>
      <c r="C23" s="91" t="s">
        <v>74</v>
      </c>
      <c r="D23" s="92">
        <v>10</v>
      </c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189"/>
      <c r="B24" s="90" t="s">
        <v>91</v>
      </c>
      <c r="C24" s="91" t="s">
        <v>74</v>
      </c>
      <c r="D24" s="92">
        <v>10</v>
      </c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189" t="s">
        <v>92</v>
      </c>
      <c r="B25" s="90" t="s">
        <v>90</v>
      </c>
      <c r="C25" s="91" t="s">
        <v>74</v>
      </c>
      <c r="D25" s="92">
        <v>2</v>
      </c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189"/>
      <c r="B26" s="90" t="s">
        <v>93</v>
      </c>
      <c r="C26" s="91" t="s">
        <v>74</v>
      </c>
      <c r="D26" s="92">
        <v>2</v>
      </c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K29" sqref="K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2025-04-28T04:55:10Z</dcterms:modified>
</cp:coreProperties>
</file>
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0B1B0D2-0AF8-43C9-A35E-B70EAAEFD1C4}" xr6:coauthVersionLast="36" xr6:coauthVersionMax="36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A3" i="1"/>
  <c r="U9" i="4"/>
  <c r="S9" i="4"/>
  <c r="Q9" i="4"/>
  <c r="O9" i="4"/>
  <c r="V9" i="4" s="1"/>
  <c r="U8" i="4"/>
  <c r="S8" i="4"/>
  <c r="Q8" i="4"/>
  <c r="O8" i="4"/>
  <c r="V8" i="4" s="1"/>
  <c r="U7" i="4"/>
  <c r="S7" i="4"/>
  <c r="Q7" i="4"/>
  <c r="O7" i="4"/>
  <c r="V7" i="4" s="1"/>
  <c r="A10" i="4"/>
  <c r="A6" i="4"/>
  <c r="U6" i="4"/>
  <c r="S6" i="4"/>
  <c r="Q6" i="4"/>
  <c r="V6" i="4" l="1"/>
  <c r="Q5" i="4"/>
  <c r="F2" i="1" l="1"/>
  <c r="E2" i="1" l="1"/>
  <c r="D2" i="1"/>
  <c r="C2" i="1"/>
  <c r="B2" i="1"/>
  <c r="A5" i="4"/>
  <c r="A2" i="1" s="1"/>
  <c r="O5" i="4" l="1"/>
  <c r="U5" i="4" l="1"/>
  <c r="S5" i="4"/>
  <c r="V5" i="4" l="1"/>
  <c r="U11" i="4"/>
  <c r="Q11" i="4"/>
  <c r="S11" i="4" l="1"/>
  <c r="V11" i="4" l="1"/>
  <c r="F18" i="5" l="1"/>
  <c r="O1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<sst xmlns="http://schemas.openxmlformats.org/spreadsheetml/2006/main" count="148" uniqueCount="115">
  <si>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</si>
  <si>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</si>
  <si>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</si>
  <si>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</si>
  <si>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</si>
  <si>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</si>
  <si>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</si>
  <si>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</si>
  <si>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</si>
  <si>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</si>
  <si>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</si>
  <si>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</si>
  <si>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</si>
  <si>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</si>
  <si>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</si>
  <si>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</si>
  <si>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</si>
  <si>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</si>
  <si>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</si>
  <si>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</si>
  <si>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</si>
  <si>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</si>
  <si>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</si>
  <si>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</si>
  <si>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</si>
  <si>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</si>
  <si>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</si>
  <si>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</si>
  <si>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</si>
  <si>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</si>
  <si>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</si>
  <si>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</si>
  <si>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</si>
  <si>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</si>
  <si>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</si>
  <si>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</si>
  <si>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</si>
  <si>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</si>
  <si>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</si>
  <si>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</si>
  <si>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</si>
  <si>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</si>
  <si>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</si>
  <si>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</si>
  <si>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</si>
  <si>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</si>
  <si>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</si>
  <si>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</si>
  <si>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</si>
  <si>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</si>
  <si>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</si>
  <si>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</si>
  <si>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</si>
  <si>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</si>
  <si>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</si>
  <si>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</si>
  <si>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</si>
  <si>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</si>
  <si>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</si>
  <si>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</si>
  <si>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</si>
  <si>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</si>
  <si>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</si>
  <si>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</si>
  <si>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</si>
  <si>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</si>
  <si>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</si>
  <si>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</si>
  <si>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</si>
  <si>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</si>
  <si>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</si>
  <si>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</si>
  <si>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</si>
  <si>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</si>
  <si>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</si>
  <si>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set</t>
    <phoneticPr fontId="6" type="noConversion"/>
  </si>
  <si>
    <t>영선, 건축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</si>
  <si>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</si>
  <si>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</si>
  <si>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</si>
  <si>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</si>
  <si>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</si>
  <si>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</si>
  <si>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</si>
  <si>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</si>
  <si>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</si>
  <si>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</si>
  <si>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</si>
  <si>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</si>
  <si>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</si>
  <si>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</si>
  <si>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</si>
  <si>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</si>
  <si>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</si>
  <si>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</si>
  <si>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</si>
  <si>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</si>
  <si>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</si>
  <si>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</si>
  <si>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인</t>
    <phoneticPr fontId="6" type="noConversion"/>
  </si>
  <si>
    <t> (재료비+노무비)*3.11%</t>
    <phoneticPr fontId="14" type="noConversion"/>
  </si>
  <si>
    <t xml:space="preserve"> 공사명 : 사택 1동 자전거 거치대 보강 및 비닐커튼 설치</t>
    <phoneticPr fontId="12" type="noConversion"/>
  </si>
  <si>
    <t xml:space="preserve"> 견적일 : 2025년  12월  03일</t>
    <phoneticPr fontId="12" type="noConversion"/>
  </si>
  <si>
    <t>자전거 거치대 하부 보강</t>
    <phoneticPr fontId="6" type="noConversion"/>
  </si>
  <si>
    <t>비닐 커튼 제단 및 설치후 렉산청소</t>
    <phoneticPr fontId="6" type="noConversion"/>
  </si>
  <si>
    <t>특별인부, 2인*1일=2인</t>
    <phoneticPr fontId="6" type="noConversion"/>
  </si>
  <si>
    <t>특별인부, 2인*3일=6일</t>
    <phoneticPr fontId="6" type="noConversion"/>
  </si>
  <si>
    <t>set</t>
    <phoneticPr fontId="6" type="noConversion"/>
  </si>
  <si>
    <t>세금계산서 첨부</t>
    <phoneticPr fontId="6" type="noConversion"/>
  </si>
  <si>
    <t>세금계산서 참조</t>
    <phoneticPr fontId="6" type="noConversion"/>
  </si>
  <si>
    <t>명세서 및 영수증 첨부</t>
    <phoneticPr fontId="6" type="noConversion"/>
  </si>
  <si>
    <t>연질 비닐 커튼 구입</t>
    <phoneticPr fontId="6" type="noConversion"/>
  </si>
  <si>
    <t>몰탈 시멘트외 구입</t>
    <phoneticPr fontId="6" type="noConversion"/>
  </si>
  <si>
    <t>연질 비닐 커튼 구입</t>
    <phoneticPr fontId="6" type="noConversion"/>
  </si>
  <si>
    <t>부자재 구입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</si>
</sst>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85" fontId="21" fillId="0" borderId="0" xfId="0" applyNumberFormat="1" applyFont="1">
      <alignment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13</xdr:col>
      <xdr:colOff>718039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12895384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연질커튼 세금계산서 및 몰탈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기타부자재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구입 영수증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51289</xdr:colOff>
      <xdr:row>5</xdr:row>
      <xdr:rowOff>117230</xdr:rowOff>
    </xdr:from>
    <xdr:to>
      <xdr:col>3</xdr:col>
      <xdr:colOff>787543</xdr:colOff>
      <xdr:row>22</xdr:row>
      <xdr:rowOff>12767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2EC6C57-9E22-B5BB-A67F-EF94A24D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9" y="959826"/>
          <a:ext cx="4091985" cy="2760364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4</xdr:row>
      <xdr:rowOff>7327</xdr:rowOff>
    </xdr:from>
    <xdr:to>
      <xdr:col>7</xdr:col>
      <xdr:colOff>145829</xdr:colOff>
      <xdr:row>23</xdr:row>
      <xdr:rowOff>80596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C013BD-6012-4221-97FA-419350968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29453" y="886912"/>
          <a:ext cx="3275134" cy="2864118"/>
        </a:xfrm>
        <a:prstGeom prst="rect">
          <a:avLst/>
        </a:prstGeom>
      </xdr:spPr>
    </xdr:pic>
    <xdr:clientData/>
  </xdr:twoCellAnchor>
  <xdr:twoCellAnchor editAs="oneCell">
    <xdr:from>
      <xdr:col>7</xdr:col>
      <xdr:colOff>395655</xdr:colOff>
      <xdr:row>5</xdr:row>
      <xdr:rowOff>36638</xdr:rowOff>
    </xdr:from>
    <xdr:to>
      <xdr:col>11</xdr:col>
      <xdr:colOff>251794</xdr:colOff>
      <xdr:row>33</xdr:row>
      <xdr:rowOff>131887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DAB9186-A10F-4BB2-A4D3-598780FC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95571" y="1632568"/>
          <a:ext cx="4813788" cy="3307120"/>
        </a:xfrm>
        <a:prstGeom prst="rect">
          <a:avLst/>
        </a:prstGeom>
      </xdr:spPr>
    </xdr:pic>
    <xdr:clientData/>
  </xdr:twoCellAnchor>
  <xdr:twoCellAnchor editAs="oneCell">
    <xdr:from>
      <xdr:col>4</xdr:col>
      <xdr:colOff>490906</xdr:colOff>
      <xdr:row>24</xdr:row>
      <xdr:rowOff>29308</xdr:rowOff>
    </xdr:from>
    <xdr:to>
      <xdr:col>6</xdr:col>
      <xdr:colOff>959691</xdr:colOff>
      <xdr:row>35</xdr:row>
      <xdr:rowOff>31225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EF9615B-25D4-CB22-EF2B-9B36CAD0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4579" y="4073770"/>
          <a:ext cx="2197939" cy="1855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J16" sqref="J16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3.5">
      <c r="A3" s="92"/>
      <c r="B3" s="92"/>
      <c r="C3" s="92"/>
      <c r="D3" s="92"/>
      <c r="E3" s="92"/>
      <c r="F3" s="92"/>
      <c r="G3" s="92"/>
      <c r="H3" s="92"/>
    </row>
    <row r="4" spans="1:9" ht="13.5">
      <c r="A4" s="92"/>
      <c r="B4" s="92"/>
      <c r="C4" s="92"/>
      <c r="D4" s="92"/>
      <c r="E4" s="92"/>
      <c r="H4" s="92"/>
    </row>
    <row r="5" spans="1:9" ht="27" customHeight="1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>
      <c r="A7" s="124" t="s">
        <v>101</v>
      </c>
      <c r="B7" s="125"/>
      <c r="C7" s="126"/>
      <c r="D7" s="92"/>
      <c r="E7" s="10"/>
      <c r="F7" s="11" t="s">
        <v>42</v>
      </c>
      <c r="G7" s="9" t="s">
        <v>70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>
      <c r="A9" s="124" t="s">
        <v>102</v>
      </c>
      <c r="B9" s="125"/>
      <c r="C9" s="126"/>
      <c r="D9" s="92"/>
      <c r="E9" s="92"/>
      <c r="F9" s="8" t="s">
        <v>44</v>
      </c>
      <c r="G9" s="9" t="s">
        <v>72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>
      <c r="A11" s="122"/>
      <c r="B11" s="123"/>
      <c r="C11" s="123"/>
      <c r="D11" s="92"/>
      <c r="E11" s="14"/>
      <c r="F11" s="15" t="s">
        <v>40</v>
      </c>
      <c r="G11" s="16" t="s">
        <v>74</v>
      </c>
      <c r="H11" s="14"/>
    </row>
    <row r="12" spans="1:9" ht="19.5" thickBot="1">
      <c r="A12" s="17" t="s">
        <v>7</v>
      </c>
      <c r="B12" s="17" t="str">
        <f>NUMBERSTRING(F31,1)</f>
        <v>삼백육십칠만구천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1490274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1754568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3244842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78955.56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62199.435600000004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8054.8269102000004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17721.1368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62462.620799999997</v>
      </c>
      <c r="G25" s="35" t="s">
        <v>28</v>
      </c>
    </row>
    <row r="26" spans="1:7" ht="33" customHeight="1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100914.58619999999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104243.80831551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434551.97462570999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3679393.9746257099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3679000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tabSelected="1" zoomScale="80" zoomScaleNormal="80" workbookViewId="0">
      <pane ySplit="4" topLeftCell="A5" activePane="bottomLeft" state="frozen"/>
      <selection pane="bottomLeft" activeCell="J19" sqref="J19"/>
    </sheetView>
  </sheetViews>
  <sheetFormatPr defaultColWidth="9" defaultRowHeight="38.1" customHeight="1"/>
  <cols>
    <col min="1" max="1" width="18.25" style="116" customWidth="1"/>
    <col min="2" max="5" width="18.5" style="116" hidden="1" customWidth="1"/>
    <col min="6" max="6" width="20.625" style="66" customWidth="1"/>
    <col min="7" max="7" width="15.125" style="66" customWidth="1"/>
    <col min="8" max="8" width="14.625" style="66" customWidth="1"/>
    <col min="9" max="9" width="13.875" style="66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5.375" style="66" customWidth="1"/>
    <col min="16" max="16" width="8.25" style="66" customWidth="1"/>
    <col min="17" max="17" width="15.25" style="66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9" t="s">
        <v>78</v>
      </c>
      <c r="Q1" s="109" t="s">
        <v>78</v>
      </c>
      <c r="S1" s="109" t="s">
        <v>78</v>
      </c>
      <c r="U1" s="109" t="s">
        <v>78</v>
      </c>
    </row>
    <row r="2" spans="1:24" ht="19.899999999999999" customHeight="1" thickBot="1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10"/>
      <c r="B3" s="110"/>
      <c r="C3" s="110"/>
      <c r="D3" s="110"/>
      <c r="E3" s="110"/>
      <c r="F3" s="110" t="s">
        <v>79</v>
      </c>
      <c r="G3" s="111"/>
      <c r="H3" s="111"/>
      <c r="I3" s="111"/>
      <c r="J3" s="138" t="s">
        <v>80</v>
      </c>
      <c r="K3" s="138"/>
      <c r="L3" s="136" t="s">
        <v>51</v>
      </c>
      <c r="M3" s="136" t="s">
        <v>5</v>
      </c>
      <c r="N3" s="132" t="s">
        <v>81</v>
      </c>
      <c r="O3" s="132"/>
      <c r="P3" s="132" t="s">
        <v>82</v>
      </c>
      <c r="Q3" s="132"/>
      <c r="R3" s="133" t="s">
        <v>83</v>
      </c>
      <c r="S3" s="133"/>
      <c r="T3" s="133" t="s">
        <v>84</v>
      </c>
      <c r="U3" s="133"/>
      <c r="V3" s="134" t="s">
        <v>85</v>
      </c>
      <c r="W3" s="130" t="s">
        <v>86</v>
      </c>
      <c r="X3" s="128" t="s">
        <v>45</v>
      </c>
    </row>
    <row r="4" spans="1:24" ht="19.899999999999999" customHeight="1">
      <c r="A4" s="70" t="s">
        <v>87</v>
      </c>
      <c r="B4" s="71"/>
      <c r="C4" s="71"/>
      <c r="D4" s="71"/>
      <c r="E4" s="71"/>
      <c r="F4" s="72" t="s">
        <v>88</v>
      </c>
      <c r="G4" s="72" t="s">
        <v>89</v>
      </c>
      <c r="H4" s="72" t="s">
        <v>90</v>
      </c>
      <c r="I4" s="72" t="s">
        <v>91</v>
      </c>
      <c r="J4" s="107" t="s">
        <v>92</v>
      </c>
      <c r="K4" s="107" t="s">
        <v>93</v>
      </c>
      <c r="L4" s="137"/>
      <c r="M4" s="137"/>
      <c r="N4" s="73" t="s">
        <v>94</v>
      </c>
      <c r="O4" s="74" t="s">
        <v>95</v>
      </c>
      <c r="P4" s="73" t="s">
        <v>96</v>
      </c>
      <c r="Q4" s="74" t="s">
        <v>95</v>
      </c>
      <c r="R4" s="74" t="s">
        <v>97</v>
      </c>
      <c r="S4" s="74" t="s">
        <v>95</v>
      </c>
      <c r="T4" s="74" t="s">
        <v>97</v>
      </c>
      <c r="U4" s="74" t="s">
        <v>95</v>
      </c>
      <c r="V4" s="135"/>
      <c r="W4" s="131"/>
      <c r="X4" s="129"/>
    </row>
    <row r="5" spans="1:24" s="112" customFormat="1" ht="38.1" customHeight="1">
      <c r="A5" s="75" t="str">
        <f t="shared" ref="A5:A10" si="0">F5&amp;G5&amp;H5&amp;I5</f>
        <v>L003</v>
      </c>
      <c r="B5" s="76"/>
      <c r="C5" s="76"/>
      <c r="D5" s="76"/>
      <c r="E5" s="76"/>
      <c r="F5" s="77"/>
      <c r="G5" s="81"/>
      <c r="H5" s="91"/>
      <c r="I5" s="77" t="s">
        <v>98</v>
      </c>
      <c r="J5" s="94" t="s">
        <v>103</v>
      </c>
      <c r="K5" s="95" t="s">
        <v>105</v>
      </c>
      <c r="L5" s="78" t="s">
        <v>99</v>
      </c>
      <c r="M5" s="105">
        <v>2</v>
      </c>
      <c r="N5" s="102"/>
      <c r="O5" s="103">
        <f>M5*N5</f>
        <v>0</v>
      </c>
      <c r="P5" s="101">
        <v>219321</v>
      </c>
      <c r="Q5" s="103">
        <f>M5*P5</f>
        <v>438642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438642</v>
      </c>
      <c r="W5" s="82"/>
      <c r="X5" s="80"/>
    </row>
    <row r="6" spans="1:24" s="112" customFormat="1" ht="38.1" customHeight="1">
      <c r="A6" s="75" t="str">
        <f t="shared" si="0"/>
        <v>L003</v>
      </c>
      <c r="B6" s="76"/>
      <c r="C6" s="76"/>
      <c r="D6" s="76"/>
      <c r="E6" s="76"/>
      <c r="F6" s="77"/>
      <c r="G6" s="81"/>
      <c r="H6" s="91"/>
      <c r="I6" s="77" t="s">
        <v>98</v>
      </c>
      <c r="J6" s="94" t="s">
        <v>104</v>
      </c>
      <c r="K6" s="95" t="s">
        <v>106</v>
      </c>
      <c r="L6" s="78" t="s">
        <v>99</v>
      </c>
      <c r="M6" s="105">
        <v>6</v>
      </c>
      <c r="N6" s="102"/>
      <c r="O6" s="103"/>
      <c r="P6" s="101">
        <v>219321</v>
      </c>
      <c r="Q6" s="103">
        <f>M6*P6</f>
        <v>1315926</v>
      </c>
      <c r="R6" s="104"/>
      <c r="S6" s="103">
        <f t="shared" ref="S6:S9" si="4">R6*M6*$S$2</f>
        <v>0</v>
      </c>
      <c r="T6" s="104"/>
      <c r="U6" s="103">
        <f t="shared" ref="U6:U9" si="5">T6*M6*$U$2</f>
        <v>0</v>
      </c>
      <c r="V6" s="79">
        <f t="shared" ref="V6:V9" si="6">SUM(O6+Q6)+S6+U6</f>
        <v>1315926</v>
      </c>
      <c r="W6" s="82"/>
      <c r="X6" s="80"/>
    </row>
    <row r="7" spans="1:24" s="112" customFormat="1" ht="38.1" customHeight="1">
      <c r="A7" s="75">
        <v>999999</v>
      </c>
      <c r="B7" s="76"/>
      <c r="C7" s="76"/>
      <c r="D7" s="76"/>
      <c r="E7" s="76"/>
      <c r="F7" s="77"/>
      <c r="G7" s="81"/>
      <c r="H7" s="91"/>
      <c r="I7" s="96"/>
      <c r="J7" s="94" t="s">
        <v>111</v>
      </c>
      <c r="K7" s="95" t="s">
        <v>108</v>
      </c>
      <c r="L7" s="78" t="s">
        <v>107</v>
      </c>
      <c r="M7" s="105">
        <v>1</v>
      </c>
      <c r="N7" s="102">
        <v>1409273</v>
      </c>
      <c r="O7" s="103">
        <f t="shared" ref="O7:O9" si="7">M7*N7</f>
        <v>1409273</v>
      </c>
      <c r="P7" s="101"/>
      <c r="Q7" s="103">
        <f t="shared" ref="Q7:Q9" si="8">(P7*M7)*$Q$2</f>
        <v>0</v>
      </c>
      <c r="R7" s="104"/>
      <c r="S7" s="103">
        <f t="shared" si="4"/>
        <v>0</v>
      </c>
      <c r="T7" s="104"/>
      <c r="U7" s="103">
        <f t="shared" si="5"/>
        <v>0</v>
      </c>
      <c r="V7" s="79">
        <f t="shared" si="6"/>
        <v>1409273</v>
      </c>
      <c r="W7" s="82"/>
      <c r="X7" s="80"/>
    </row>
    <row r="8" spans="1:24" s="112" customFormat="1" ht="38.1" customHeight="1">
      <c r="A8" s="75">
        <v>999999</v>
      </c>
      <c r="B8" s="76"/>
      <c r="C8" s="76"/>
      <c r="D8" s="76"/>
      <c r="E8" s="76"/>
      <c r="F8" s="77"/>
      <c r="G8" s="81"/>
      <c r="H8" s="91"/>
      <c r="I8" s="96"/>
      <c r="J8" s="94" t="s">
        <v>112</v>
      </c>
      <c r="K8" s="95" t="s">
        <v>110</v>
      </c>
      <c r="L8" s="78" t="s">
        <v>107</v>
      </c>
      <c r="M8" s="105">
        <v>1</v>
      </c>
      <c r="N8" s="102">
        <v>15910</v>
      </c>
      <c r="O8" s="103">
        <f t="shared" si="7"/>
        <v>15910</v>
      </c>
      <c r="P8" s="101"/>
      <c r="Q8" s="103">
        <f t="shared" si="8"/>
        <v>0</v>
      </c>
      <c r="R8" s="104"/>
      <c r="S8" s="103">
        <f t="shared" si="4"/>
        <v>0</v>
      </c>
      <c r="T8" s="104"/>
      <c r="U8" s="103">
        <f t="shared" si="5"/>
        <v>0</v>
      </c>
      <c r="V8" s="79">
        <f t="shared" si="6"/>
        <v>15910</v>
      </c>
      <c r="W8" s="82"/>
      <c r="X8" s="80"/>
    </row>
    <row r="9" spans="1:24" s="112" customFormat="1" ht="38.1" customHeight="1">
      <c r="A9" s="75">
        <v>999999</v>
      </c>
      <c r="B9" s="76"/>
      <c r="C9" s="76"/>
      <c r="D9" s="76"/>
      <c r="E9" s="76"/>
      <c r="F9" s="77"/>
      <c r="G9" s="81"/>
      <c r="H9" s="91"/>
      <c r="I9" s="96"/>
      <c r="J9" s="94" t="s">
        <v>114</v>
      </c>
      <c r="K9" s="95" t="s">
        <v>110</v>
      </c>
      <c r="L9" s="78" t="s">
        <v>107</v>
      </c>
      <c r="M9" s="105">
        <v>1</v>
      </c>
      <c r="N9" s="102">
        <v>65091</v>
      </c>
      <c r="O9" s="103">
        <f t="shared" si="7"/>
        <v>65091</v>
      </c>
      <c r="P9" s="101"/>
      <c r="Q9" s="103">
        <f t="shared" si="8"/>
        <v>0</v>
      </c>
      <c r="R9" s="104"/>
      <c r="S9" s="103">
        <f t="shared" si="4"/>
        <v>0</v>
      </c>
      <c r="T9" s="104"/>
      <c r="U9" s="103">
        <f t="shared" si="5"/>
        <v>0</v>
      </c>
      <c r="V9" s="79">
        <f t="shared" si="6"/>
        <v>65091</v>
      </c>
      <c r="W9" s="82"/>
      <c r="X9" s="80"/>
    </row>
    <row r="10" spans="1:24" s="112" customFormat="1" ht="38.1" customHeight="1">
      <c r="A10" s="75" t="str">
        <f t="shared" si="0"/>
        <v/>
      </c>
      <c r="B10" s="76"/>
      <c r="C10" s="76"/>
      <c r="D10" s="76"/>
      <c r="E10" s="76"/>
      <c r="F10" s="77"/>
      <c r="G10" s="81"/>
      <c r="H10" s="91"/>
      <c r="I10" s="96"/>
      <c r="J10" s="94"/>
      <c r="K10" s="95"/>
      <c r="L10" s="78"/>
      <c r="M10" s="105"/>
      <c r="N10" s="102"/>
      <c r="O10" s="103"/>
      <c r="P10" s="101"/>
      <c r="Q10" s="103"/>
      <c r="R10" s="104"/>
      <c r="S10" s="103"/>
      <c r="T10" s="104"/>
      <c r="U10" s="103"/>
      <c r="V10" s="79"/>
      <c r="W10" s="82"/>
      <c r="X10" s="80"/>
    </row>
    <row r="11" spans="1:24" s="114" customFormat="1" ht="38.1" customHeight="1">
      <c r="A11" s="113"/>
      <c r="B11" s="113"/>
      <c r="C11" s="113"/>
      <c r="D11" s="113"/>
      <c r="E11" s="113"/>
      <c r="J11" s="108"/>
      <c r="K11" s="108"/>
      <c r="O11" s="118">
        <f>SUM(O5:O10)</f>
        <v>1490274</v>
      </c>
      <c r="Q11" s="118">
        <f>SUM(Q5:Q10)</f>
        <v>1754568</v>
      </c>
      <c r="S11" s="115">
        <f>SUM(S5:S10)</f>
        <v>0</v>
      </c>
      <c r="U11" s="115">
        <f>SUM(U5:U10)</f>
        <v>0</v>
      </c>
      <c r="V11" s="119">
        <f>SUM(V5:V10)</f>
        <v>3244842</v>
      </c>
      <c r="W11" s="83"/>
    </row>
    <row r="15" spans="1:24" ht="38.1" customHeight="1">
      <c r="Q15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4" zoomScale="130" zoomScaleNormal="130" zoomScaleSheetLayoutView="85" workbookViewId="0">
      <selection activeCell="M25" sqref="M25"/>
    </sheetView>
  </sheetViews>
  <sheetFormatPr defaultColWidth="9" defaultRowHeight="13.5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25" sqref="A25:XFD31"/>
    </sheetView>
  </sheetViews>
  <sheetFormatPr defaultColWidth="9" defaultRowHeight="13.5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>
      <c r="A2" s="67">
        <v>999999</v>
      </c>
      <c r="B2" s="67" t="s">
        <v>76</v>
      </c>
      <c r="C2" s="67" t="s">
        <v>113</v>
      </c>
      <c r="D2" s="67" t="s">
        <v>109</v>
      </c>
      <c r="E2" s="67" t="s">
        <v>77</v>
      </c>
      <c r="F2" s="87">
        <v>1</v>
      </c>
      <c r="G2" s="90">
        <v>149273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>
      <c r="A3" s="67">
        <v>999999</v>
      </c>
      <c r="B3" s="67" t="s">
        <v>76</v>
      </c>
      <c r="C3" s="139" t="s">
        <v>112</v>
      </c>
      <c r="D3" s="139" t="s">
        <v>110</v>
      </c>
      <c r="E3" s="67" t="s">
        <v>75</v>
      </c>
      <c r="F3" s="87">
        <v>1</v>
      </c>
      <c r="G3" s="140">
        <v>15910</v>
      </c>
    </row>
    <row r="4" spans="1:18">
      <c r="A4" s="67">
        <v>999999</v>
      </c>
      <c r="B4" s="67" t="s">
        <v>76</v>
      </c>
      <c r="C4" s="139" t="s">
        <v>114</v>
      </c>
      <c r="D4" s="139" t="s">
        <v>110</v>
      </c>
      <c r="E4" s="67" t="s">
        <v>75</v>
      </c>
      <c r="F4" s="87">
        <v>1</v>
      </c>
      <c r="G4" s="140">
        <v>65091</v>
      </c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3"/>
  <sheetViews>
    <sheetView showGridLines="0" zoomScaleNormal="100" workbookViewId="0">
      <selection activeCell="J25" sqref="J25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120">
        <f>'내역서(표준단가)'!M5</f>
        <v>2</v>
      </c>
      <c r="G2" s="66"/>
    </row>
    <row r="3" spans="1:7">
      <c r="A3" s="88" t="str">
        <f>'내역서(표준단가)'!A6</f>
        <v>L003</v>
      </c>
      <c r="B3" s="89">
        <f>'내역서(표준단가)'!F6</f>
        <v>0</v>
      </c>
      <c r="C3" s="89">
        <f>'내역서(표준단가)'!G6</f>
        <v>0</v>
      </c>
      <c r="D3" s="89">
        <f>'내역서(표준단가)'!H6</f>
        <v>0</v>
      </c>
      <c r="E3" s="89" t="str">
        <f>'내역서(표준단가)'!I6</f>
        <v>L003</v>
      </c>
      <c r="F3" s="120">
        <f>'내역서(표준단가)'!M6</f>
        <v>6</v>
      </c>
      <c r="G3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2025-12-03T08:19:14Z</dcterms:modified>
</cp:coreProperties>
</file>
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04\06 작업폴더\02 사택 2-203 씽크대 상하부장 문짝교체\01 자료\"/>
    </mc:Choice>
  </mc:AlternateContent>
  <xr:revisionPtr revIDLastSave="0" documentId="13_ncr:1_{865ADBD2-95E0-4AA9-9328-6AD73BF4FFFE}" xr6:coauthVersionLast="47" xr6:coauthVersionMax="47" xr10:uidLastSave="{00000000-0000-0000-0000-000000000000}"/>
  <bookViews>
    <workbookView xWindow="3510" yWindow="675" windowWidth="14490" windowHeight="15525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 a="1"/>
  <c r="O5" i="4" s="1"/>
  <c r="J21" i="12"/>
  <c r="J19" i="12"/>
  <c r="J29" i="12"/>
  <c r="O6" i="4"/>
  <c r="U5" i="4"/>
  <c r="S5" i="4"/>
  <c r="Q5" i="4"/>
  <c r="A5" i="4"/>
  <c r="J24" i="12" l="1"/>
  <c r="J23" i="12"/>
  <c r="J26" i="12"/>
  <c r="J25" i="12"/>
  <c r="J27" i="12" s="1"/>
  <c r="V5" i="4"/>
  <c r="F2" i="1"/>
  <c r="E2" i="1"/>
  <c r="D2" i="1"/>
  <c r="C2" i="1"/>
  <c r="B2" i="1"/>
  <c r="A9" i="4" l="1"/>
  <c r="A8" i="4"/>
  <c r="A7" i="4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O10" i="4" l="1"/>
  <c r="J18" i="12" s="1"/>
  <c r="J22" i="12" l="1"/>
  <c r="J28" i="12" s="1"/>
  <c r="J20" i="12" s="1"/>
  <c r="J30" i="12" s="1"/>
  <c r="J31" i="12" l="1"/>
  <c r="M32" i="12" s="1"/>
  <c r="B1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<sst xmlns="http://schemas.openxmlformats.org/spreadsheetml/2006/main" count="144" uniqueCount="127">
  <si>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</si>
  <si>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</si>
  <si>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</si>
  <si>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</si>
  <si>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</si>
  <si>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</si>
  <si>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</si>
  <si>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★ 작성방법</t>
    <phoneticPr fontId="8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</si>
  <si>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</si>
  <si>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</si>
  <si>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</si>
  <si>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</si>
  <si>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</si>
  <si>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</si>
  <si>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</si>
  <si>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</si>
  <si>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</si>
  <si>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</si>
  <si>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</si>
  <si>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</si>
  <si>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</si>
  <si>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</si>
  <si>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</si>
  <si>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</si>
  <si>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</si>
  <si>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</si>
  <si>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</si>
  <si>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</si>
  <si>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</si>
  <si>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</si>
  <si>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</si>
  <si>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</si>
  <si>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</si>
  <si>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</si>
  <si>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</si>
  <si>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</si>
  <si>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</si>
  <si>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</si>
  <si>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</si>
  <si>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</si>
  <si>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</si>
  <si>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</si>
  <si>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</si>
  <si>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</si>
  <si>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</si>
  <si>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</si>
  <si>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</si>
  <si>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</si>
  <si>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</si>
  <si>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</si>
  <si>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</si>
  <si>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</si>
  <si>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8" type="noConversion"/>
  </si>
  <si>
    <t>영선, 건축</t>
    <phoneticPr fontId="8" type="noConversion"/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</si>
  <si>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</si>
  <si>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</si>
  <si>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</si>
  <si>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</si>
  <si>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</si>
  <si>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</si>
  <si>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</si>
  <si>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</si>
  <si>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</si>
  <si>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</si>
  <si>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</si>
  <si>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</si>
  <si>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</si>
  <si>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</si>
  <si>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</si>
  <si>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</si>
  <si>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</si>
  <si>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</si>
  <si>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</si>
  <si>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</si>
  <si>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</si>
  <si>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</si>
  <si>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</si>
  <si>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</si>
  <si>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</si>
  <si>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</si>
  <si>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</si>
  <si>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</si>
  <si>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</si>
  <si>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</si>
  <si>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</si>
  <si>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</si>
  <si>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</si>
  <si>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</si>
  <si>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</si>
  <si>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</si>
  <si>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</si>
  <si>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</si>
  <si>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</si>
  <si>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</si>
  <si>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</si>
  <si>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</si>
  <si>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</si>
  <si>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</si>
  <si>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</si>
  <si>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</si>
  <si>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</si>
  <si>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</si>
  <si>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</si>
  <si>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</si>
  <si>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</si>
  <si>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</si>
  <si>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</si>
  <si>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</si>
  <si>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</si>
  <si>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</si>
  <si>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</si>
  <si>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</si>
  <si>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</si>
  <si>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</si>
  <si>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</si>
  <si>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</si>
  <si>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</si>
  <si>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</si>
  <si>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</si>
  <si>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</si>
  <si>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</si>
  <si>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</si>
  <si>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</si>
  <si>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2-203 씽크대 상하부장 문짝교체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</si>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</sst>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_ "/>
    <numFmt numFmtId="186" formatCode="&quot;공사명:&quot;\ @"/>
    <numFmt numFmtId="187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184" fontId="7" fillId="5" borderId="2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>
      <alignment vertical="center"/>
    </xf>
    <xf numFmtId="176" fontId="23" fillId="6" borderId="2" xfId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182" fontId="23" fillId="5" borderId="2" xfId="1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3" fillId="5" borderId="2" xfId="0" applyFont="1" applyFill="1" applyBorder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183" fontId="19" fillId="5" borderId="2" xfId="0" applyNumberFormat="1" applyFont="1" applyFill="1" applyBorder="1" applyAlignment="1">
      <alignment horizontal="right" vertical="center" wrapText="1"/>
    </xf>
    <xf numFmtId="182" fontId="27" fillId="0" borderId="2" xfId="1" applyNumberFormat="1" applyFont="1" applyFill="1" applyBorder="1" applyAlignment="1">
      <alignment horizontal="center" vertical="center"/>
    </xf>
    <xf numFmtId="0" fontId="27" fillId="0" borderId="2" xfId="3" applyFont="1" applyBorder="1" applyAlignment="1">
      <alignment horizontal="left" vertical="center" shrinkToFit="1"/>
    </xf>
    <xf numFmtId="0" fontId="28" fillId="0" borderId="2" xfId="3" applyFont="1" applyBorder="1" applyAlignment="1">
      <alignment horizontal="center" vertical="center"/>
    </xf>
    <xf numFmtId="9" fontId="27" fillId="0" borderId="2" xfId="0" applyNumberFormat="1" applyFont="1" applyBorder="1" applyAlignment="1">
      <alignment horizontal="center"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31" fillId="0" borderId="0" xfId="0" applyFont="1">
      <alignment vertical="center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180" fontId="21" fillId="0" borderId="0" xfId="1" applyNumberFormat="1" applyFont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" fillId="0" borderId="0" xfId="17">
      <alignment vertical="center"/>
    </xf>
    <xf numFmtId="0" fontId="34" fillId="0" borderId="0" xfId="17" applyFont="1">
      <alignment vertical="center"/>
    </xf>
    <xf numFmtId="0" fontId="2" fillId="0" borderId="0" xfId="17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 wrapText="1"/>
    </xf>
    <xf numFmtId="185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36" fillId="0" borderId="0" xfId="19" applyFont="1">
      <alignment vertical="center"/>
    </xf>
    <xf numFmtId="0" fontId="35" fillId="0" borderId="18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19" xfId="18" applyFont="1" applyBorder="1" applyAlignment="1">
      <alignment horizontal="center" vertical="center"/>
    </xf>
    <xf numFmtId="0" fontId="38" fillId="0" borderId="18" xfId="18" applyFont="1" applyBorder="1" applyAlignment="1">
      <alignment horizontal="left" vertical="center"/>
    </xf>
    <xf numFmtId="0" fontId="39" fillId="0" borderId="0" xfId="18" applyFont="1" applyAlignment="1">
      <alignment vertical="center"/>
    </xf>
    <xf numFmtId="0" fontId="39" fillId="0" borderId="0" xfId="18" applyFont="1" applyAlignment="1">
      <alignment horizontal="left" vertical="center" textRotation="1"/>
    </xf>
    <xf numFmtId="0" fontId="40" fillId="0" borderId="0" xfId="18" applyFont="1" applyAlignment="1">
      <alignment horizontal="centerContinuous" vertical="center"/>
    </xf>
    <xf numFmtId="0" fontId="40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2"/>
    </xf>
    <xf numFmtId="0" fontId="36" fillId="0" borderId="20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40" fillId="0" borderId="19" xfId="18" applyFont="1" applyBorder="1" applyAlignment="1">
      <alignment horizontal="right" vertical="center"/>
    </xf>
    <xf numFmtId="0" fontId="41" fillId="0" borderId="18" xfId="18" applyFont="1" applyBorder="1" applyAlignment="1">
      <alignment vertical="center"/>
    </xf>
    <xf numFmtId="0" fontId="41" fillId="0" borderId="0" xfId="18" applyFont="1" applyAlignment="1">
      <alignment vertical="center"/>
    </xf>
    <xf numFmtId="0" fontId="40" fillId="0" borderId="0" xfId="18" applyFont="1" applyAlignment="1">
      <alignment horizontal="right" vertical="center"/>
    </xf>
    <xf numFmtId="0" fontId="41" fillId="0" borderId="19" xfId="18" applyFont="1" applyBorder="1" applyAlignment="1">
      <alignment vertical="center"/>
    </xf>
    <xf numFmtId="0" fontId="36" fillId="0" borderId="22" xfId="18" applyFont="1" applyBorder="1" applyAlignment="1">
      <alignment horizontal="center" vertical="center"/>
    </xf>
    <xf numFmtId="0" fontId="36" fillId="0" borderId="23" xfId="18" applyFont="1" applyBorder="1" applyAlignment="1">
      <alignment horizontal="center" vertical="center"/>
    </xf>
    <xf numFmtId="0" fontId="36" fillId="0" borderId="6" xfId="18" applyFont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44" fillId="0" borderId="8" xfId="18" applyFont="1" applyBorder="1" applyAlignment="1">
      <alignment horizontal="center" vertical="center"/>
    </xf>
    <xf numFmtId="0" fontId="36" fillId="0" borderId="33" xfId="18" applyFont="1" applyBorder="1" applyAlignment="1">
      <alignment horizontal="center" vertical="center"/>
    </xf>
    <xf numFmtId="0" fontId="36" fillId="0" borderId="34" xfId="18" applyFont="1" applyBorder="1" applyAlignment="1">
      <alignment horizontal="center" vertical="center"/>
    </xf>
    <xf numFmtId="0" fontId="36" fillId="0" borderId="18" xfId="18" applyFont="1" applyBorder="1" applyAlignment="1">
      <alignment horizontal="center" vertical="center"/>
    </xf>
    <xf numFmtId="0" fontId="36" fillId="0" borderId="0" xfId="18" applyFont="1" applyAlignment="1">
      <alignment horizontal="center" vertical="center"/>
    </xf>
    <xf numFmtId="0" fontId="36" fillId="0" borderId="0" xfId="18" applyFont="1" applyAlignment="1">
      <alignment horizontal="left" vertical="center" indent="1"/>
    </xf>
    <xf numFmtId="0" fontId="40" fillId="0" borderId="0" xfId="18" applyFont="1" applyAlignment="1">
      <alignment vertical="center"/>
    </xf>
    <xf numFmtId="0" fontId="36" fillId="0" borderId="18" xfId="18" applyFont="1" applyBorder="1" applyAlignment="1">
      <alignment vertical="center"/>
    </xf>
    <xf numFmtId="0" fontId="36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1"/>
    </xf>
    <xf numFmtId="0" fontId="46" fillId="0" borderId="0" xfId="18" applyFont="1" applyAlignment="1">
      <alignment vertical="center"/>
    </xf>
    <xf numFmtId="0" fontId="46" fillId="12" borderId="35" xfId="18" applyFont="1" applyFill="1" applyBorder="1" applyAlignment="1">
      <alignment horizontal="center" vertical="center"/>
    </xf>
    <xf numFmtId="0" fontId="46" fillId="12" borderId="36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0" fontId="36" fillId="0" borderId="40" xfId="18" applyFont="1" applyBorder="1" applyAlignment="1">
      <alignment horizontal="center" vertical="center"/>
    </xf>
    <xf numFmtId="0" fontId="36" fillId="0" borderId="44" xfId="18" applyFont="1" applyBorder="1" applyAlignment="1">
      <alignment horizontal="center" vertical="center"/>
    </xf>
    <xf numFmtId="0" fontId="36" fillId="0" borderId="50" xfId="21" applyFont="1" applyBorder="1" applyAlignment="1">
      <alignment horizontal="center" vertical="center"/>
    </xf>
    <xf numFmtId="176" fontId="36" fillId="0" borderId="0" xfId="19" applyNumberFormat="1" applyFont="1">
      <alignment vertical="center"/>
    </xf>
    <xf numFmtId="0" fontId="36" fillId="0" borderId="54" xfId="21" applyFont="1" applyBorder="1" applyAlignment="1">
      <alignment horizontal="left" vertical="center" wrapText="1" indent="1"/>
    </xf>
    <xf numFmtId="0" fontId="40" fillId="0" borderId="59" xfId="21" applyFont="1" applyBorder="1" applyAlignment="1">
      <alignment horizontal="center" vertical="center"/>
    </xf>
    <xf numFmtId="187" fontId="40" fillId="0" borderId="59" xfId="21" applyNumberFormat="1" applyFont="1" applyBorder="1" applyAlignment="1">
      <alignment horizontal="center" vertical="center"/>
    </xf>
    <xf numFmtId="177" fontId="36" fillId="0" borderId="0" xfId="19" applyNumberFormat="1" applyFont="1">
      <alignment vertical="center"/>
    </xf>
    <xf numFmtId="2" fontId="40" fillId="0" borderId="61" xfId="21" applyNumberFormat="1" applyFont="1" applyBorder="1" applyAlignment="1">
      <alignment horizontal="center" vertical="center"/>
    </xf>
    <xf numFmtId="0" fontId="40" fillId="0" borderId="64" xfId="21" applyFont="1" applyBorder="1" applyAlignment="1">
      <alignment horizontal="center" vertical="center"/>
    </xf>
    <xf numFmtId="0" fontId="36" fillId="0" borderId="66" xfId="18" applyFont="1" applyBorder="1" applyAlignment="1">
      <alignment horizontal="center" vertical="center"/>
    </xf>
    <xf numFmtId="0" fontId="36" fillId="0" borderId="67" xfId="21" applyFont="1" applyBorder="1" applyAlignment="1">
      <alignment horizontal="left" vertical="center" wrapText="1" indent="1"/>
    </xf>
    <xf numFmtId="1" fontId="40" fillId="0" borderId="68" xfId="21" applyNumberFormat="1" applyFont="1" applyBorder="1" applyAlignment="1">
      <alignment horizontal="center" vertical="center"/>
    </xf>
    <xf numFmtId="0" fontId="40" fillId="0" borderId="68" xfId="21" applyFont="1" applyBorder="1" applyAlignment="1">
      <alignment horizontal="center" vertical="center"/>
    </xf>
    <xf numFmtId="0" fontId="40" fillId="0" borderId="72" xfId="21" applyFont="1" applyBorder="1" applyAlignment="1">
      <alignment horizontal="center" vertical="center"/>
    </xf>
    <xf numFmtId="176" fontId="36" fillId="0" borderId="0" xfId="22" applyFont="1">
      <alignment vertical="center"/>
    </xf>
    <xf numFmtId="176" fontId="50" fillId="13" borderId="37" xfId="18" applyNumberFormat="1" applyFont="1" applyFill="1" applyBorder="1" applyAlignment="1">
      <alignment horizontal="right" vertical="center"/>
    </xf>
    <xf numFmtId="0" fontId="50" fillId="13" borderId="37" xfId="18" applyFont="1" applyFill="1" applyBorder="1" applyAlignment="1">
      <alignment horizontal="right" vertical="center"/>
    </xf>
    <xf numFmtId="176" fontId="50" fillId="13" borderId="74" xfId="22" applyFont="1" applyFill="1" applyBorder="1" applyAlignment="1">
      <alignment horizontal="right" vertical="center"/>
    </xf>
    <xf numFmtId="179" fontId="36" fillId="0" borderId="0" xfId="24" applyFont="1" applyAlignment="1">
      <alignment vertical="center"/>
    </xf>
    <xf numFmtId="49" fontId="40" fillId="0" borderId="18" xfId="18" applyNumberFormat="1" applyFont="1" applyBorder="1" applyAlignment="1">
      <alignment horizontal="left" vertical="center" indent="1"/>
    </xf>
    <xf numFmtId="49" fontId="36" fillId="0" borderId="0" xfId="18" applyNumberFormat="1" applyFont="1" applyAlignment="1">
      <alignment vertical="center"/>
    </xf>
    <xf numFmtId="49" fontId="36" fillId="0" borderId="19" xfId="18" applyNumberFormat="1" applyFont="1" applyBorder="1" applyAlignment="1">
      <alignment vertical="center"/>
    </xf>
    <xf numFmtId="49" fontId="36" fillId="0" borderId="18" xfId="18" applyNumberFormat="1" applyFont="1" applyBorder="1" applyAlignment="1">
      <alignment vertical="center"/>
    </xf>
    <xf numFmtId="0" fontId="41" fillId="0" borderId="0" xfId="21" applyFont="1" applyAlignment="1">
      <alignment horizontal="left" vertical="center"/>
    </xf>
    <xf numFmtId="0" fontId="41" fillId="0" borderId="19" xfId="21" applyFont="1" applyBorder="1" applyAlignment="1">
      <alignment horizontal="left" vertical="center"/>
    </xf>
    <xf numFmtId="49" fontId="36" fillId="0" borderId="76" xfId="18" applyNumberFormat="1" applyFont="1" applyBorder="1" applyAlignment="1">
      <alignment vertical="center"/>
    </xf>
    <xf numFmtId="49" fontId="36" fillId="0" borderId="77" xfId="18" applyNumberFormat="1" applyFont="1" applyBorder="1" applyAlignment="1">
      <alignment vertical="center"/>
    </xf>
    <xf numFmtId="49" fontId="36" fillId="0" borderId="78" xfId="18" applyNumberFormat="1" applyFont="1" applyBorder="1" applyAlignment="1">
      <alignment vertical="center"/>
    </xf>
    <xf numFmtId="0" fontId="41" fillId="0" borderId="20" xfId="18" applyFont="1" applyFill="1" applyBorder="1" applyAlignment="1">
      <alignment vertical="center"/>
    </xf>
    <xf numFmtId="0" fontId="36" fillId="0" borderId="20" xfId="18" applyFont="1" applyFill="1" applyBorder="1" applyAlignment="1">
      <alignment vertical="center"/>
    </xf>
    <xf numFmtId="0" fontId="36" fillId="0" borderId="21" xfId="18" applyFont="1" applyFill="1" applyBorder="1" applyAlignment="1">
      <alignment horizontal="right" vertical="center"/>
    </xf>
    <xf numFmtId="0" fontId="36" fillId="0" borderId="22" xfId="18" applyFont="1" applyFill="1" applyBorder="1" applyAlignment="1">
      <alignment horizontal="center" vertical="center"/>
    </xf>
    <xf numFmtId="0" fontId="36" fillId="0" borderId="41" xfId="21" applyFont="1" applyFill="1" applyBorder="1" applyAlignment="1">
      <alignment horizontal="center" vertical="center"/>
    </xf>
    <xf numFmtId="0" fontId="36" fillId="0" borderId="43" xfId="21" applyFont="1" applyFill="1" applyBorder="1" applyAlignment="1">
      <alignment horizontal="center" vertical="center"/>
    </xf>
    <xf numFmtId="0" fontId="36" fillId="0" borderId="48" xfId="21" applyFont="1" applyFill="1" applyBorder="1" applyAlignment="1">
      <alignment horizontal="center" vertical="center"/>
    </xf>
    <xf numFmtId="0" fontId="40" fillId="0" borderId="55" xfId="21" applyFont="1" applyFill="1" applyBorder="1" applyAlignment="1">
      <alignment horizontal="center" vertical="center"/>
    </xf>
    <xf numFmtId="0" fontId="40" fillId="0" borderId="68" xfId="21" applyFont="1" applyBorder="1" applyAlignment="1">
      <alignment horizontal="left" vertical="center" wrapText="1" indent="1"/>
    </xf>
    <xf numFmtId="0" fontId="40" fillId="0" borderId="69" xfId="21" applyFont="1" applyBorder="1" applyAlignment="1">
      <alignment horizontal="left" vertical="center" wrapText="1" indent="1"/>
    </xf>
    <xf numFmtId="0" fontId="40" fillId="0" borderId="70" xfId="21" applyFont="1" applyBorder="1" applyAlignment="1">
      <alignment horizontal="left" vertical="center" wrapText="1" indent="1"/>
    </xf>
    <xf numFmtId="176" fontId="36" fillId="0" borderId="68" xfId="22" applyFont="1" applyFill="1" applyBorder="1" applyAlignment="1">
      <alignment horizontal="right" vertical="center"/>
    </xf>
    <xf numFmtId="176" fontId="36" fillId="0" borderId="69" xfId="22" applyFont="1" applyFill="1" applyBorder="1" applyAlignment="1">
      <alignment horizontal="right" vertical="center"/>
    </xf>
    <xf numFmtId="176" fontId="36" fillId="0" borderId="70" xfId="22" applyFont="1" applyFill="1" applyBorder="1" applyAlignment="1">
      <alignment horizontal="right" vertical="center"/>
    </xf>
    <xf numFmtId="176" fontId="36" fillId="0" borderId="68" xfId="23" applyFont="1" applyFill="1" applyBorder="1" applyAlignment="1">
      <alignment horizontal="left" vertical="center"/>
    </xf>
    <xf numFmtId="176" fontId="36" fillId="0" borderId="71" xfId="23" applyFont="1" applyFill="1" applyBorder="1" applyAlignment="1">
      <alignment horizontal="left" vertical="center"/>
    </xf>
    <xf numFmtId="0" fontId="50" fillId="13" borderId="73" xfId="18" applyFont="1" applyFill="1" applyBorder="1" applyAlignment="1">
      <alignment horizontal="center" vertical="center"/>
    </xf>
    <xf numFmtId="0" fontId="50" fillId="13" borderId="37" xfId="18" applyFont="1" applyFill="1" applyBorder="1" applyAlignment="1">
      <alignment horizontal="center" vertical="center"/>
    </xf>
    <xf numFmtId="0" fontId="50" fillId="13" borderId="74" xfId="18" applyFont="1" applyFill="1" applyBorder="1" applyAlignment="1">
      <alignment horizontal="center" vertical="center"/>
    </xf>
    <xf numFmtId="9" fontId="50" fillId="13" borderId="75" xfId="2" applyFont="1" applyFill="1" applyBorder="1" applyAlignment="1">
      <alignment horizontal="center" vertical="center"/>
    </xf>
    <xf numFmtId="9" fontId="50" fillId="13" borderId="39" xfId="2" applyFont="1" applyFill="1" applyBorder="1" applyAlignment="1">
      <alignment horizontal="center" vertical="center"/>
    </xf>
    <xf numFmtId="176" fontId="36" fillId="0" borderId="50" xfId="22" applyFont="1" applyFill="1" applyBorder="1" applyAlignment="1">
      <alignment horizontal="right" vertical="center"/>
    </xf>
    <xf numFmtId="176" fontId="36" fillId="0" borderId="51" xfId="22" applyFont="1" applyFill="1" applyBorder="1" applyAlignment="1">
      <alignment horizontal="right" vertical="center"/>
    </xf>
    <xf numFmtId="176" fontId="36" fillId="0" borderId="52" xfId="22" applyFont="1" applyFill="1" applyBorder="1" applyAlignment="1">
      <alignment horizontal="right" vertical="center"/>
    </xf>
    <xf numFmtId="176" fontId="36" fillId="0" borderId="50" xfId="23" applyFont="1" applyFill="1" applyBorder="1" applyAlignment="1">
      <alignment horizontal="left" vertical="center"/>
    </xf>
    <xf numFmtId="176" fontId="36" fillId="0" borderId="53" xfId="23" applyFont="1" applyFill="1" applyBorder="1" applyAlignment="1">
      <alignment horizontal="left" vertical="center"/>
    </xf>
    <xf numFmtId="176" fontId="36" fillId="0" borderId="68" xfId="22" applyFont="1" applyBorder="1" applyAlignment="1">
      <alignment horizontal="right" vertical="center"/>
    </xf>
    <xf numFmtId="176" fontId="36" fillId="0" borderId="69" xfId="22" applyFont="1" applyBorder="1" applyAlignment="1">
      <alignment horizontal="right" vertical="center"/>
    </xf>
    <xf numFmtId="176" fontId="36" fillId="0" borderId="70" xfId="22" applyFont="1" applyBorder="1" applyAlignment="1">
      <alignment horizontal="right" vertical="center"/>
    </xf>
    <xf numFmtId="176" fontId="49" fillId="0" borderId="68" xfId="23" applyFont="1" applyBorder="1" applyAlignment="1">
      <alignment horizontal="left" vertical="center"/>
    </xf>
    <xf numFmtId="176" fontId="49" fillId="0" borderId="71" xfId="23" applyFont="1" applyBorder="1" applyAlignment="1">
      <alignment horizontal="left" vertical="center"/>
    </xf>
    <xf numFmtId="0" fontId="40" fillId="0" borderId="61" xfId="21" applyFont="1" applyBorder="1" applyAlignment="1">
      <alignment horizontal="left" vertical="center" wrapText="1" indent="1"/>
    </xf>
    <xf numFmtId="0" fontId="40" fillId="0" borderId="62" xfId="21" applyFont="1" applyBorder="1" applyAlignment="1">
      <alignment horizontal="left" vertical="center" wrapText="1" indent="1"/>
    </xf>
    <xf numFmtId="0" fontId="40" fillId="0" borderId="63" xfId="21" applyFont="1" applyBorder="1" applyAlignment="1">
      <alignment horizontal="left" vertical="center" wrapText="1" indent="1"/>
    </xf>
    <xf numFmtId="176" fontId="36" fillId="0" borderId="61" xfId="22" applyFont="1" applyFill="1" applyBorder="1" applyAlignment="1">
      <alignment horizontal="right" vertical="center"/>
    </xf>
    <xf numFmtId="176" fontId="36" fillId="0" borderId="62" xfId="22" applyFont="1" applyFill="1" applyBorder="1" applyAlignment="1">
      <alignment horizontal="right" vertical="center"/>
    </xf>
    <xf numFmtId="176" fontId="36" fillId="0" borderId="63" xfId="22" applyFont="1" applyFill="1" applyBorder="1" applyAlignment="1">
      <alignment horizontal="right" vertical="center"/>
    </xf>
    <xf numFmtId="176" fontId="36" fillId="0" borderId="59" xfId="23" applyFont="1" applyFill="1" applyBorder="1" applyAlignment="1">
      <alignment horizontal="left" vertical="center"/>
    </xf>
    <xf numFmtId="176" fontId="36" fillId="0" borderId="27" xfId="23" applyFont="1" applyFill="1" applyBorder="1" applyAlignment="1">
      <alignment horizontal="left" vertical="center"/>
    </xf>
    <xf numFmtId="176" fontId="36" fillId="0" borderId="61" xfId="23" applyFont="1" applyFill="1" applyBorder="1" applyAlignment="1">
      <alignment horizontal="left" vertical="center"/>
    </xf>
    <xf numFmtId="176" fontId="36" fillId="0" borderId="65" xfId="23" applyFont="1" applyFill="1" applyBorder="1" applyAlignment="1">
      <alignment horizontal="left" vertical="center"/>
    </xf>
    <xf numFmtId="0" fontId="40" fillId="0" borderId="59" xfId="21" applyFont="1" applyBorder="1" applyAlignment="1">
      <alignment horizontal="left" vertical="center" wrapText="1" indent="1"/>
    </xf>
    <xf numFmtId="0" fontId="40" fillId="0" borderId="4" xfId="21" applyFont="1" applyBorder="1" applyAlignment="1">
      <alignment horizontal="left" vertical="center" wrapText="1" indent="1"/>
    </xf>
    <xf numFmtId="0" fontId="40" fillId="0" borderId="60" xfId="21" applyFont="1" applyBorder="1" applyAlignment="1">
      <alignment horizontal="left" vertical="center" wrapText="1" indent="1"/>
    </xf>
    <xf numFmtId="176" fontId="36" fillId="0" borderId="59" xfId="22" applyFont="1" applyFill="1" applyBorder="1" applyAlignment="1">
      <alignment horizontal="right" vertical="center"/>
    </xf>
    <xf numFmtId="176" fontId="36" fillId="0" borderId="4" xfId="22" applyFont="1" applyFill="1" applyBorder="1" applyAlignment="1">
      <alignment horizontal="right" vertical="center"/>
    </xf>
    <xf numFmtId="176" fontId="36" fillId="0" borderId="60" xfId="22" applyFont="1" applyFill="1" applyBorder="1" applyAlignment="1">
      <alignment horizontal="right" vertical="center"/>
    </xf>
    <xf numFmtId="0" fontId="40" fillId="0" borderId="55" xfId="21" applyFont="1" applyFill="1" applyBorder="1" applyAlignment="1">
      <alignment horizontal="left" vertical="center" wrapText="1" indent="1"/>
    </xf>
    <xf numFmtId="0" fontId="40" fillId="0" borderId="56" xfId="21" applyFont="1" applyFill="1" applyBorder="1" applyAlignment="1">
      <alignment horizontal="left" vertical="center" wrapText="1" indent="1"/>
    </xf>
    <xf numFmtId="0" fontId="40" fillId="0" borderId="57" xfId="21" applyFont="1" applyFill="1" applyBorder="1" applyAlignment="1">
      <alignment horizontal="left" vertical="center" wrapText="1" indent="1"/>
    </xf>
    <xf numFmtId="176" fontId="36" fillId="0" borderId="55" xfId="22" applyFont="1" applyFill="1" applyBorder="1" applyAlignment="1">
      <alignment horizontal="right" vertical="center"/>
    </xf>
    <xf numFmtId="176" fontId="36" fillId="0" borderId="56" xfId="22" applyFont="1" applyFill="1" applyBorder="1" applyAlignment="1">
      <alignment horizontal="right" vertical="center"/>
    </xf>
    <xf numFmtId="176" fontId="36" fillId="0" borderId="57" xfId="22" applyFont="1" applyFill="1" applyBorder="1" applyAlignment="1">
      <alignment horizontal="right" vertical="center"/>
    </xf>
    <xf numFmtId="176" fontId="36" fillId="0" borderId="55" xfId="23" applyFont="1" applyBorder="1" applyAlignment="1">
      <alignment horizontal="left" vertical="center"/>
    </xf>
    <xf numFmtId="176" fontId="36" fillId="0" borderId="58" xfId="23" applyFont="1" applyBorder="1" applyAlignment="1">
      <alignment horizontal="left" vertical="center"/>
    </xf>
    <xf numFmtId="0" fontId="36" fillId="0" borderId="45" xfId="21" applyFont="1" applyFill="1" applyBorder="1" applyAlignment="1">
      <alignment horizontal="center" vertical="center" wrapText="1"/>
    </xf>
    <xf numFmtId="0" fontId="36" fillId="0" borderId="46" xfId="21" applyFont="1" applyFill="1" applyBorder="1" applyAlignment="1">
      <alignment horizontal="center" vertical="center" wrapText="1"/>
    </xf>
    <xf numFmtId="0" fontId="36" fillId="0" borderId="47" xfId="21" applyFont="1" applyFill="1" applyBorder="1" applyAlignment="1">
      <alignment horizontal="center" vertical="center" wrapText="1"/>
    </xf>
    <xf numFmtId="176" fontId="36" fillId="0" borderId="45" xfId="22" applyFont="1" applyFill="1" applyBorder="1" applyAlignment="1">
      <alignment horizontal="right" vertical="center"/>
    </xf>
    <xf numFmtId="176" fontId="36" fillId="0" borderId="46" xfId="22" applyFont="1" applyFill="1" applyBorder="1" applyAlignment="1">
      <alignment horizontal="right" vertical="center"/>
    </xf>
    <xf numFmtId="176" fontId="36" fillId="0" borderId="47" xfId="22" applyFont="1" applyFill="1" applyBorder="1" applyAlignment="1">
      <alignment horizontal="right" vertical="center"/>
    </xf>
    <xf numFmtId="176" fontId="36" fillId="0" borderId="45" xfId="23" applyFont="1" applyBorder="1" applyAlignment="1">
      <alignment horizontal="left" vertical="center"/>
    </xf>
    <xf numFmtId="176" fontId="36" fillId="0" borderId="49" xfId="23" applyFont="1" applyBorder="1" applyAlignment="1">
      <alignment horizontal="left" vertical="center"/>
    </xf>
    <xf numFmtId="0" fontId="36" fillId="0" borderId="45" xfId="21" applyFont="1" applyBorder="1" applyAlignment="1">
      <alignment horizontal="center" vertical="center" wrapText="1"/>
    </xf>
    <xf numFmtId="0" fontId="36" fillId="0" borderId="46" xfId="21" applyFont="1" applyBorder="1" applyAlignment="1">
      <alignment horizontal="center" vertical="center" wrapText="1"/>
    </xf>
    <xf numFmtId="0" fontId="36" fillId="0" borderId="47" xfId="21" applyFont="1" applyBorder="1" applyAlignment="1">
      <alignment horizontal="center" vertical="center" wrapText="1"/>
    </xf>
    <xf numFmtId="176" fontId="36" fillId="0" borderId="50" xfId="22" applyFont="1" applyBorder="1" applyAlignment="1">
      <alignment horizontal="center" vertical="center"/>
    </xf>
    <xf numFmtId="176" fontId="36" fillId="0" borderId="51" xfId="22" applyFont="1" applyBorder="1" applyAlignment="1">
      <alignment horizontal="center" vertical="center"/>
    </xf>
    <xf numFmtId="176" fontId="36" fillId="0" borderId="52" xfId="22" applyFont="1" applyBorder="1" applyAlignment="1">
      <alignment horizontal="center" vertical="center"/>
    </xf>
    <xf numFmtId="176" fontId="36" fillId="0" borderId="50" xfId="23" applyFont="1" applyBorder="1" applyAlignment="1">
      <alignment horizontal="left" vertical="center"/>
    </xf>
    <xf numFmtId="176" fontId="36" fillId="0" borderId="53" xfId="23" applyFont="1" applyBorder="1" applyAlignment="1">
      <alignment horizontal="left" vertical="center"/>
    </xf>
    <xf numFmtId="0" fontId="47" fillId="11" borderId="0" xfId="20" applyFont="1" applyFill="1" applyAlignment="1">
      <alignment horizontal="left" vertical="center"/>
    </xf>
    <xf numFmtId="0" fontId="47" fillId="11" borderId="19" xfId="20" applyFont="1" applyFill="1" applyBorder="1" applyAlignment="1">
      <alignment horizontal="left" vertical="center"/>
    </xf>
    <xf numFmtId="0" fontId="36" fillId="0" borderId="0" xfId="18" applyFont="1" applyAlignment="1">
      <alignment horizontal="right" vertical="center"/>
    </xf>
    <xf numFmtId="0" fontId="36" fillId="0" borderId="19" xfId="18" applyFont="1" applyBorder="1" applyAlignment="1">
      <alignment horizontal="right" vertical="center"/>
    </xf>
    <xf numFmtId="0" fontId="36" fillId="0" borderId="41" xfId="21" applyFont="1" applyFill="1" applyBorder="1" applyAlignment="1">
      <alignment horizontal="center" vertical="center" wrapText="1"/>
    </xf>
    <xf numFmtId="0" fontId="36" fillId="0" borderId="22" xfId="21" applyFont="1" applyFill="1" applyBorder="1" applyAlignment="1">
      <alignment horizontal="center" vertical="center" wrapText="1"/>
    </xf>
    <xf numFmtId="0" fontId="36" fillId="0" borderId="42" xfId="21" applyFont="1" applyFill="1" applyBorder="1" applyAlignment="1">
      <alignment horizontal="center" vertical="center" wrapText="1"/>
    </xf>
    <xf numFmtId="176" fontId="36" fillId="0" borderId="43" xfId="22" applyFont="1" applyFill="1" applyBorder="1" applyAlignment="1">
      <alignment horizontal="right" vertical="center"/>
    </xf>
    <xf numFmtId="176" fontId="36" fillId="0" borderId="41" xfId="21" applyNumberFormat="1" applyFont="1" applyBorder="1" applyAlignment="1">
      <alignment horizontal="left" vertical="center"/>
    </xf>
    <xf numFmtId="176" fontId="36" fillId="0" borderId="23" xfId="21" applyNumberFormat="1" applyFont="1" applyBorder="1" applyAlignment="1">
      <alignment horizontal="left" vertical="center"/>
    </xf>
    <xf numFmtId="0" fontId="46" fillId="12" borderId="36" xfId="18" applyFont="1" applyFill="1" applyBorder="1" applyAlignment="1">
      <alignment horizontal="center" vertical="center"/>
    </xf>
    <xf numFmtId="0" fontId="46" fillId="12" borderId="37" xfId="18" applyFont="1" applyFill="1" applyBorder="1" applyAlignment="1">
      <alignment horizontal="center" vertical="center"/>
    </xf>
    <xf numFmtId="0" fontId="46" fillId="12" borderId="38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3" fontId="46" fillId="12" borderId="37" xfId="18" applyNumberFormat="1" applyFont="1" applyFill="1" applyBorder="1" applyAlignment="1">
      <alignment horizontal="center" vertical="center"/>
    </xf>
    <xf numFmtId="3" fontId="46" fillId="12" borderId="38" xfId="18" applyNumberFormat="1" applyFont="1" applyFill="1" applyBorder="1" applyAlignment="1">
      <alignment horizontal="center" vertical="center"/>
    </xf>
    <xf numFmtId="0" fontId="46" fillId="12" borderId="39" xfId="18" applyFont="1" applyFill="1" applyBorder="1" applyAlignment="1">
      <alignment horizontal="center" vertical="center"/>
    </xf>
    <xf numFmtId="186" fontId="45" fillId="11" borderId="0" xfId="18" applyNumberFormat="1" applyFont="1" applyFill="1" applyAlignment="1">
      <alignment horizontal="left" vertical="center"/>
    </xf>
    <xf numFmtId="0" fontId="35" fillId="0" borderId="15" xfId="18" applyFont="1" applyBorder="1" applyAlignment="1">
      <alignment horizontal="center" vertical="center"/>
    </xf>
    <xf numFmtId="0" fontId="35" fillId="0" borderId="16" xfId="18" applyFont="1" applyBorder="1" applyAlignment="1">
      <alignment horizontal="center" vertical="center"/>
    </xf>
    <xf numFmtId="0" fontId="35" fillId="0" borderId="17" xfId="18" applyFont="1" applyBorder="1" applyAlignment="1">
      <alignment horizontal="center" vertical="center"/>
    </xf>
    <xf numFmtId="0" fontId="37" fillId="0" borderId="18" xfId="18" applyFont="1" applyBorder="1" applyAlignment="1" applyProtection="1">
      <alignment horizontal="center" vertical="center"/>
      <protection locked="0"/>
    </xf>
    <xf numFmtId="0" fontId="37" fillId="0" borderId="0" xfId="18" applyFont="1" applyAlignment="1" applyProtection="1">
      <alignment horizontal="center" vertical="center"/>
      <protection locked="0"/>
    </xf>
    <xf numFmtId="0" fontId="37" fillId="0" borderId="19" xfId="18" applyFont="1" applyBorder="1" applyAlignment="1" applyProtection="1">
      <alignment horizontal="center" vertical="center"/>
      <protection locked="0"/>
    </xf>
    <xf numFmtId="0" fontId="36" fillId="10" borderId="21" xfId="18" applyFont="1" applyFill="1" applyBorder="1" applyAlignment="1">
      <alignment horizontal="center" vertical="center"/>
    </xf>
    <xf numFmtId="0" fontId="36" fillId="10" borderId="22" xfId="18" applyFont="1" applyFill="1" applyBorder="1" applyAlignment="1">
      <alignment horizontal="center" vertical="center"/>
    </xf>
    <xf numFmtId="0" fontId="36" fillId="10" borderId="23" xfId="18" applyFont="1" applyFill="1" applyBorder="1" applyAlignment="1">
      <alignment horizontal="center" vertical="center"/>
    </xf>
    <xf numFmtId="0" fontId="36" fillId="0" borderId="24" xfId="18" applyFont="1" applyBorder="1" applyAlignment="1">
      <alignment horizontal="center" vertical="center" wrapText="1"/>
    </xf>
    <xf numFmtId="0" fontId="36" fillId="0" borderId="28" xfId="18" applyFont="1" applyBorder="1" applyAlignment="1">
      <alignment horizontal="center" vertical="center"/>
    </xf>
    <xf numFmtId="0" fontId="36" fillId="0" borderId="32" xfId="18" applyFont="1" applyBorder="1" applyAlignment="1">
      <alignment horizontal="center" vertical="center"/>
    </xf>
    <xf numFmtId="0" fontId="36" fillId="0" borderId="26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7" xfId="18" applyFont="1" applyBorder="1" applyAlignment="1">
      <alignment horizontal="center" vertical="center"/>
    </xf>
    <xf numFmtId="0" fontId="43" fillId="0" borderId="26" xfId="18" applyFont="1" applyBorder="1" applyAlignment="1">
      <alignment horizontal="center" vertical="center"/>
    </xf>
    <xf numFmtId="0" fontId="41" fillId="0" borderId="4" xfId="18" applyFont="1" applyBorder="1" applyAlignment="1">
      <alignment horizontal="center" vertical="center"/>
    </xf>
    <xf numFmtId="0" fontId="41" fillId="0" borderId="5" xfId="18" applyFont="1" applyBorder="1" applyAlignment="1">
      <alignment horizontal="center" vertical="center"/>
    </xf>
    <xf numFmtId="0" fontId="43" fillId="0" borderId="3" xfId="18" applyFont="1" applyBorder="1" applyAlignment="1">
      <alignment horizontal="center" vertical="center"/>
    </xf>
    <xf numFmtId="0" fontId="41" fillId="0" borderId="27" xfId="18" applyFont="1" applyBorder="1" applyAlignment="1">
      <alignment horizontal="center" vertical="center"/>
    </xf>
    <xf numFmtId="0" fontId="36" fillId="0" borderId="26" xfId="18" applyFont="1" applyBorder="1" applyAlignment="1">
      <alignment horizontal="left" vertical="center" indent="1"/>
    </xf>
    <xf numFmtId="0" fontId="36" fillId="0" borderId="4" xfId="18" applyFont="1" applyBorder="1" applyAlignment="1">
      <alignment horizontal="left" vertical="center" indent="1"/>
    </xf>
    <xf numFmtId="0" fontId="36" fillId="0" borderId="27" xfId="18" applyFont="1" applyBorder="1" applyAlignment="1">
      <alignment horizontal="left" vertical="center" indent="1"/>
    </xf>
    <xf numFmtId="0" fontId="36" fillId="0" borderId="3" xfId="18" applyFont="1" applyBorder="1" applyAlignment="1">
      <alignment horizontal="center" vertical="center"/>
    </xf>
    <xf numFmtId="0" fontId="36" fillId="0" borderId="29" xfId="18" applyFont="1" applyBorder="1" applyAlignment="1">
      <alignment horizontal="center" vertical="center"/>
    </xf>
    <xf numFmtId="0" fontId="36" fillId="0" borderId="30" xfId="18" applyFont="1" applyBorder="1" applyAlignment="1">
      <alignment horizontal="center" vertical="center"/>
    </xf>
    <xf numFmtId="0" fontId="36" fillId="0" borderId="31" xfId="18" applyFont="1" applyBorder="1" applyAlignment="1">
      <alignment horizontal="center" vertical="center"/>
    </xf>
    <xf numFmtId="0" fontId="36" fillId="0" borderId="29" xfId="18" applyFont="1" applyBorder="1" applyAlignment="1">
      <alignment horizontal="left" vertical="center" indent="1"/>
    </xf>
    <xf numFmtId="0" fontId="36" fillId="0" borderId="30" xfId="18" applyFont="1" applyBorder="1" applyAlignment="1">
      <alignment horizontal="left" vertical="center" indent="1"/>
    </xf>
    <xf numFmtId="0" fontId="36" fillId="0" borderId="31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4D0BC5A1-340D-48A9-A64F-924A43F202E4}"/>
    <cellStyle name="쉼표 [0] 2 84" xfId="25" xr:uid="{5B3E8D52-A6DD-4787-8DD9-64BB9F94D624}"/>
    <cellStyle name="쉼표 [0] 3" xfId="14" xr:uid="{8F7BE219-40E1-4BBB-A9BD-02188B74B2A3}"/>
    <cellStyle name="쉼표 [0] 4" xfId="22" xr:uid="{AE051B3D-24E5-4EFB-BAEA-AC320C628960}"/>
    <cellStyle name="쉼표 [0] 5" xfId="24" xr:uid="{8C797B6C-B868-489A-B834-D9B7C4FC9B0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A2EE2FD5-AB98-4CFD-AA8D-7E195E6B0BB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48579275-FFE6-48B4-8D8A-E1B951BCF00A}"/>
    <cellStyle name="표준_P456 공장 및 복지동 전면 유리창 청소건 라상혁님_1129(최종)" xfId="21" xr:uid="{C3788FA2-8D0C-48D5-BE66-019F0840DC73}"/>
    <cellStyle name="표준_S&amp;D_MAIN VALVE_최빈_2" xfId="18" xr:uid="{224CA1A5-8AC6-4834-BFB2-F2563EE3A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59FBF2-0DC7-4DAB-91B8-F69D60583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163286</xdr:colOff>
      <xdr:row>7</xdr:row>
      <xdr:rowOff>0</xdr:rowOff>
    </xdr:from>
    <xdr:to>
      <xdr:col>3</xdr:col>
      <xdr:colOff>738268</xdr:colOff>
      <xdr:row>32</xdr:row>
      <xdr:rowOff>54429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CEF50A-3D9D-C79A-DB5E-BC5BD40A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524000"/>
          <a:ext cx="3931411" cy="5497286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480787</xdr:colOff>
      <xdr:row>7</xdr:row>
      <xdr:rowOff>18143</xdr:rowOff>
    </xdr:from>
    <xdr:to>
      <xdr:col>8</xdr:col>
      <xdr:colOff>933857</xdr:colOff>
      <xdr:row>32</xdr:row>
      <xdr:rowOff>108857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DF7B64-F4D8-3C3B-09B6-04E8A02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2716" y="1542143"/>
          <a:ext cx="3945570" cy="5533571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616858</xdr:colOff>
      <xdr:row>6</xdr:row>
      <xdr:rowOff>190500</xdr:rowOff>
    </xdr:from>
    <xdr:to>
      <xdr:col>14</xdr:col>
      <xdr:colOff>103770</xdr:colOff>
      <xdr:row>32</xdr:row>
      <xdr:rowOff>108857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898130-C8B4-D783-877B-F5C3082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9" y="1496786"/>
          <a:ext cx="3968198" cy="557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ED94-2F4F-44AD-BC7D-77ACB30D9C0A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211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3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214" t="s">
        <v>57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6"/>
    </row>
    <row r="4" spans="1:15" ht="16.5" customHeight="1">
      <c r="A4" s="61" t="s">
        <v>58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124</v>
      </c>
      <c r="C5" s="122"/>
      <c r="D5" s="122"/>
      <c r="E5" s="122"/>
      <c r="F5" s="122"/>
      <c r="G5" s="123"/>
      <c r="H5" s="123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217" t="s">
        <v>59</v>
      </c>
      <c r="B7" s="218"/>
      <c r="C7" s="219"/>
      <c r="D7" s="124">
        <v>2025</v>
      </c>
      <c r="E7" s="74" t="s">
        <v>60</v>
      </c>
      <c r="F7" s="125">
        <v>2</v>
      </c>
      <c r="G7" s="74" t="s">
        <v>61</v>
      </c>
      <c r="H7" s="125">
        <v>4</v>
      </c>
      <c r="I7" s="74" t="s">
        <v>62</v>
      </c>
      <c r="J7" s="75"/>
      <c r="K7" s="220" t="s">
        <v>63</v>
      </c>
      <c r="L7" s="76" t="s">
        <v>64</v>
      </c>
      <c r="M7" s="76" t="s">
        <v>65</v>
      </c>
      <c r="N7" s="76" t="s">
        <v>66</v>
      </c>
      <c r="O7" s="77" t="s">
        <v>67</v>
      </c>
    </row>
    <row r="8" spans="1:15" ht="23.25" customHeight="1">
      <c r="A8" s="223" t="s">
        <v>68</v>
      </c>
      <c r="B8" s="224"/>
      <c r="C8" s="225"/>
      <c r="D8" s="226" t="s">
        <v>69</v>
      </c>
      <c r="E8" s="227"/>
      <c r="F8" s="227"/>
      <c r="G8" s="228"/>
      <c r="H8" s="229" t="s">
        <v>70</v>
      </c>
      <c r="I8" s="227"/>
      <c r="J8" s="230"/>
      <c r="K8" s="221"/>
      <c r="L8" s="78" t="s">
        <v>71</v>
      </c>
      <c r="M8" s="78" t="s">
        <v>72</v>
      </c>
      <c r="N8" s="78" t="s">
        <v>73</v>
      </c>
      <c r="O8" s="79" t="s">
        <v>74</v>
      </c>
    </row>
    <row r="9" spans="1:15" ht="23.25" customHeight="1">
      <c r="A9" s="223" t="s">
        <v>75</v>
      </c>
      <c r="B9" s="224"/>
      <c r="C9" s="225"/>
      <c r="D9" s="231" t="s">
        <v>76</v>
      </c>
      <c r="E9" s="232"/>
      <c r="F9" s="232"/>
      <c r="G9" s="232"/>
      <c r="H9" s="232"/>
      <c r="I9" s="232"/>
      <c r="J9" s="233"/>
      <c r="K9" s="221"/>
      <c r="L9" s="78" t="s">
        <v>77</v>
      </c>
      <c r="M9" s="234" t="s">
        <v>78</v>
      </c>
      <c r="N9" s="224"/>
      <c r="O9" s="225"/>
    </row>
    <row r="10" spans="1:15" ht="23.25" customHeight="1" thickBot="1">
      <c r="A10" s="235" t="s">
        <v>79</v>
      </c>
      <c r="B10" s="236"/>
      <c r="C10" s="237"/>
      <c r="D10" s="238" t="s">
        <v>80</v>
      </c>
      <c r="E10" s="239"/>
      <c r="F10" s="239"/>
      <c r="G10" s="239"/>
      <c r="H10" s="239"/>
      <c r="I10" s="239"/>
      <c r="J10" s="240"/>
      <c r="K10" s="222"/>
      <c r="L10" s="80" t="s">
        <v>81</v>
      </c>
      <c r="M10" s="80" t="s">
        <v>82</v>
      </c>
      <c r="N10" s="80" t="s">
        <v>83</v>
      </c>
      <c r="O10" s="81" t="s">
        <v>84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210" t="s">
        <v>123</v>
      </c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89" t="s">
        <v>85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93" t="str">
        <f>"견 적 금 액 : 一金"&amp;NUMBERSTRING(M32,1) &amp; "원정""(\"&amp; TEXT(M32,"#,###")&amp;"원) [VAT 별도]"</f>
        <v>견 적 금 액 : 一金일백육만일천원정"(\1,061,000원) [VAT 별도]</v>
      </c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4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95"/>
      <c r="L16" s="195"/>
      <c r="M16" s="195"/>
      <c r="N16" s="195"/>
      <c r="O16" s="196"/>
    </row>
    <row r="17" spans="1:17" ht="27.75" customHeight="1" thickBot="1">
      <c r="A17" s="90" t="s">
        <v>86</v>
      </c>
      <c r="B17" s="203" t="s">
        <v>87</v>
      </c>
      <c r="C17" s="204"/>
      <c r="D17" s="204"/>
      <c r="E17" s="204"/>
      <c r="F17" s="204"/>
      <c r="G17" s="205"/>
      <c r="H17" s="91" t="s">
        <v>88</v>
      </c>
      <c r="I17" s="92" t="s">
        <v>89</v>
      </c>
      <c r="J17" s="206" t="s">
        <v>90</v>
      </c>
      <c r="K17" s="207"/>
      <c r="L17" s="207"/>
      <c r="M17" s="208"/>
      <c r="N17" s="203" t="s">
        <v>91</v>
      </c>
      <c r="O17" s="209"/>
    </row>
    <row r="18" spans="1:17" ht="28.5" customHeight="1">
      <c r="A18" s="93">
        <v>1</v>
      </c>
      <c r="B18" s="197" t="s">
        <v>92</v>
      </c>
      <c r="C18" s="198"/>
      <c r="D18" s="198"/>
      <c r="E18" s="198"/>
      <c r="F18" s="198"/>
      <c r="G18" s="199"/>
      <c r="H18" s="126">
        <v>1</v>
      </c>
      <c r="I18" s="127" t="s">
        <v>6</v>
      </c>
      <c r="J18" s="200">
        <f>IFERROR(LOOKUP(2,1/('내역서(표준단가)'!O4:O1048576&lt;&gt;""),'내역서(표준단가)'!O4:O1048576),"-")</f>
        <v>680000</v>
      </c>
      <c r="K18" s="200"/>
      <c r="L18" s="200"/>
      <c r="M18" s="200"/>
      <c r="N18" s="201"/>
      <c r="O18" s="202"/>
    </row>
    <row r="19" spans="1:17" ht="28.5" customHeight="1">
      <c r="A19" s="94">
        <v>2</v>
      </c>
      <c r="B19" s="177" t="s">
        <v>93</v>
      </c>
      <c r="C19" s="178"/>
      <c r="D19" s="178"/>
      <c r="E19" s="178"/>
      <c r="F19" s="178"/>
      <c r="G19" s="179"/>
      <c r="H19" s="128">
        <v>1</v>
      </c>
      <c r="I19" s="128" t="s">
        <v>6</v>
      </c>
      <c r="J19" s="180">
        <f>IFERROR(LOOKUP(2,1/('내역서(표준단가)'!Q4:Q1048576&lt;&gt;""),'내역서(표준단가)'!Q4:Q1048576),"-")</f>
        <v>202721.3</v>
      </c>
      <c r="K19" s="181"/>
      <c r="L19" s="181"/>
      <c r="M19" s="182"/>
      <c r="N19" s="183"/>
      <c r="O19" s="184"/>
    </row>
    <row r="20" spans="1:17" ht="28.5" customHeight="1">
      <c r="A20" s="94">
        <v>3</v>
      </c>
      <c r="B20" s="185" t="s">
        <v>94</v>
      </c>
      <c r="C20" s="186"/>
      <c r="D20" s="186"/>
      <c r="E20" s="186"/>
      <c r="F20" s="186"/>
      <c r="G20" s="187"/>
      <c r="H20" s="95">
        <v>1</v>
      </c>
      <c r="I20" s="95" t="s">
        <v>6</v>
      </c>
      <c r="J20" s="188">
        <f>IFERROR(SUM(J21:M29),"-")</f>
        <v>53956.572301007502</v>
      </c>
      <c r="K20" s="189"/>
      <c r="L20" s="189"/>
      <c r="M20" s="190"/>
      <c r="N20" s="191"/>
      <c r="O20" s="192"/>
      <c r="P20" s="96"/>
    </row>
    <row r="21" spans="1:17" ht="28.5" customHeight="1">
      <c r="A21" s="93"/>
      <c r="B21" s="97"/>
      <c r="C21" s="169" t="s">
        <v>95</v>
      </c>
      <c r="D21" s="170"/>
      <c r="E21" s="170"/>
      <c r="F21" s="170"/>
      <c r="G21" s="171"/>
      <c r="H21" s="129">
        <v>1</v>
      </c>
      <c r="I21" s="129" t="s">
        <v>6</v>
      </c>
      <c r="J21" s="172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73"/>
      <c r="L21" s="173"/>
      <c r="M21" s="174"/>
      <c r="N21" s="175" t="s">
        <v>96</v>
      </c>
      <c r="O21" s="176"/>
    </row>
    <row r="22" spans="1:17" ht="28.5" customHeight="1">
      <c r="A22" s="93"/>
      <c r="B22" s="97"/>
      <c r="C22" s="163" t="s">
        <v>97</v>
      </c>
      <c r="D22" s="164"/>
      <c r="E22" s="164"/>
      <c r="F22" s="164"/>
      <c r="G22" s="165"/>
      <c r="H22" s="98">
        <v>3.11</v>
      </c>
      <c r="I22" s="98" t="s">
        <v>98</v>
      </c>
      <c r="J22" s="166">
        <f>IFERROR((J18+J19)*H22%,"-")</f>
        <v>27452.632430000001</v>
      </c>
      <c r="K22" s="167"/>
      <c r="L22" s="167"/>
      <c r="M22" s="168"/>
      <c r="N22" s="159" t="s">
        <v>99</v>
      </c>
      <c r="O22" s="160"/>
    </row>
    <row r="23" spans="1:17" ht="28.5" customHeight="1">
      <c r="A23" s="93"/>
      <c r="B23" s="97"/>
      <c r="C23" s="163" t="s">
        <v>100</v>
      </c>
      <c r="D23" s="164"/>
      <c r="E23" s="164"/>
      <c r="F23" s="164"/>
      <c r="G23" s="165"/>
      <c r="H23" s="98">
        <v>3.56</v>
      </c>
      <c r="I23" s="98" t="s">
        <v>101</v>
      </c>
      <c r="J23" s="166">
        <f>IFERROR(J19*H23%,"-")</f>
        <v>7216.8782799999999</v>
      </c>
      <c r="K23" s="167"/>
      <c r="L23" s="167"/>
      <c r="M23" s="168"/>
      <c r="N23" s="159" t="s">
        <v>102</v>
      </c>
      <c r="O23" s="160"/>
    </row>
    <row r="24" spans="1:17" ht="28.5" customHeight="1">
      <c r="A24" s="93"/>
      <c r="B24" s="97"/>
      <c r="C24" s="163" t="s">
        <v>103</v>
      </c>
      <c r="D24" s="164"/>
      <c r="E24" s="164"/>
      <c r="F24" s="164"/>
      <c r="G24" s="165"/>
      <c r="H24" s="98">
        <v>1.01</v>
      </c>
      <c r="I24" s="98" t="s">
        <v>101</v>
      </c>
      <c r="J24" s="166">
        <f>IFERROR(J19*H24%,"-")</f>
        <v>2047.4851299999998</v>
      </c>
      <c r="K24" s="167"/>
      <c r="L24" s="167"/>
      <c r="M24" s="168"/>
      <c r="N24" s="159" t="s">
        <v>104</v>
      </c>
      <c r="O24" s="160"/>
    </row>
    <row r="25" spans="1:17" ht="28.5" customHeight="1">
      <c r="A25" s="93"/>
      <c r="B25" s="97"/>
      <c r="C25" s="163" t="s">
        <v>105</v>
      </c>
      <c r="D25" s="164"/>
      <c r="E25" s="164"/>
      <c r="F25" s="164"/>
      <c r="G25" s="165"/>
      <c r="H25" s="99">
        <v>3.5449999999999999</v>
      </c>
      <c r="I25" s="98" t="s">
        <v>101</v>
      </c>
      <c r="J25" s="166">
        <f>IFERROR(J19*H25%,"-")</f>
        <v>7186.4700849999999</v>
      </c>
      <c r="K25" s="167"/>
      <c r="L25" s="167"/>
      <c r="M25" s="168"/>
      <c r="N25" s="159" t="s">
        <v>106</v>
      </c>
      <c r="O25" s="160"/>
      <c r="Q25" s="96"/>
    </row>
    <row r="26" spans="1:17" ht="28.5" customHeight="1">
      <c r="A26" s="93"/>
      <c r="B26" s="97"/>
      <c r="C26" s="163" t="s">
        <v>107</v>
      </c>
      <c r="D26" s="164"/>
      <c r="E26" s="164"/>
      <c r="F26" s="164"/>
      <c r="G26" s="165"/>
      <c r="H26" s="98">
        <v>4.5</v>
      </c>
      <c r="I26" s="98" t="s">
        <v>101</v>
      </c>
      <c r="J26" s="166">
        <f>IFERROR(J19*H26%,"-")</f>
        <v>9122.4584999999988</v>
      </c>
      <c r="K26" s="167"/>
      <c r="L26" s="167"/>
      <c r="M26" s="168"/>
      <c r="N26" s="159" t="s">
        <v>108</v>
      </c>
      <c r="O26" s="160"/>
      <c r="Q26" s="100"/>
    </row>
    <row r="27" spans="1:17" ht="28.5" customHeight="1">
      <c r="A27" s="93"/>
      <c r="B27" s="97"/>
      <c r="C27" s="153" t="s">
        <v>109</v>
      </c>
      <c r="D27" s="154"/>
      <c r="E27" s="154"/>
      <c r="F27" s="154"/>
      <c r="G27" s="155"/>
      <c r="H27" s="101">
        <v>12.95</v>
      </c>
      <c r="I27" s="102" t="s">
        <v>101</v>
      </c>
      <c r="J27" s="156">
        <f>IFERROR($H$27*J25%,"-")</f>
        <v>930.64787600750003</v>
      </c>
      <c r="K27" s="157"/>
      <c r="L27" s="157"/>
      <c r="M27" s="158"/>
      <c r="N27" s="159" t="s">
        <v>110</v>
      </c>
      <c r="O27" s="160"/>
    </row>
    <row r="28" spans="1:17" ht="28.5" customHeight="1">
      <c r="A28" s="93"/>
      <c r="B28" s="97"/>
      <c r="C28" s="153" t="s">
        <v>111</v>
      </c>
      <c r="D28" s="154"/>
      <c r="E28" s="154"/>
      <c r="F28" s="154"/>
      <c r="G28" s="155"/>
      <c r="H28" s="101">
        <v>8.1000000000000003E-2</v>
      </c>
      <c r="I28" s="102" t="s">
        <v>101</v>
      </c>
      <c r="J28" s="156" t="str">
        <f>IFERROR(IF(SUM(J21:J27,J18:J19)&gt;=10000000,SUM(J21:J27,J18:J19)*H28%,"-"),"-")</f>
        <v>-</v>
      </c>
      <c r="K28" s="157"/>
      <c r="L28" s="157"/>
      <c r="M28" s="158"/>
      <c r="N28" s="161" t="s">
        <v>112</v>
      </c>
      <c r="O28" s="162"/>
    </row>
    <row r="29" spans="1:17" ht="28.5" customHeight="1">
      <c r="A29" s="103"/>
      <c r="B29" s="104"/>
      <c r="C29" s="130" t="s">
        <v>113</v>
      </c>
      <c r="D29" s="131"/>
      <c r="E29" s="131"/>
      <c r="F29" s="131"/>
      <c r="G29" s="132"/>
      <c r="H29" s="105">
        <v>1</v>
      </c>
      <c r="I29" s="106" t="s">
        <v>114</v>
      </c>
      <c r="J29" s="133">
        <f>34*0</f>
        <v>0</v>
      </c>
      <c r="K29" s="134"/>
      <c r="L29" s="134"/>
      <c r="M29" s="135"/>
      <c r="N29" s="136" t="s">
        <v>115</v>
      </c>
      <c r="O29" s="137"/>
    </row>
    <row r="30" spans="1:17" ht="28.5" customHeight="1">
      <c r="A30" s="103">
        <v>4</v>
      </c>
      <c r="B30" s="104"/>
      <c r="C30" s="130" t="s">
        <v>116</v>
      </c>
      <c r="D30" s="131"/>
      <c r="E30" s="131"/>
      <c r="F30" s="131"/>
      <c r="G30" s="132"/>
      <c r="H30" s="106">
        <v>5</v>
      </c>
      <c r="I30" s="107" t="s">
        <v>117</v>
      </c>
      <c r="J30" s="143">
        <f>IFERROR(SUM(J18:M20)*H30%,"-")</f>
        <v>46833.89361505038</v>
      </c>
      <c r="K30" s="144"/>
      <c r="L30" s="144"/>
      <c r="M30" s="145"/>
      <c r="N30" s="146" t="s">
        <v>118</v>
      </c>
      <c r="O30" s="147"/>
    </row>
    <row r="31" spans="1:17" ht="28.5" customHeight="1" thickBot="1">
      <c r="A31" s="103">
        <v>5</v>
      </c>
      <c r="B31" s="104"/>
      <c r="C31" s="130" t="s">
        <v>119</v>
      </c>
      <c r="D31" s="131"/>
      <c r="E31" s="131"/>
      <c r="F31" s="131"/>
      <c r="G31" s="132"/>
      <c r="H31" s="106">
        <v>7.5</v>
      </c>
      <c r="I31" s="107" t="s">
        <v>101</v>
      </c>
      <c r="J31" s="148">
        <f>IFERROR(SUM(J18:M20:J30)*H31%,"-")</f>
        <v>77810.125366279899</v>
      </c>
      <c r="K31" s="149"/>
      <c r="L31" s="149"/>
      <c r="M31" s="150"/>
      <c r="N31" s="151" t="s">
        <v>120</v>
      </c>
      <c r="O31" s="152"/>
      <c r="Q31" s="108"/>
    </row>
    <row r="32" spans="1:17" ht="28.5" customHeight="1" thickBot="1">
      <c r="A32" s="138" t="s">
        <v>121</v>
      </c>
      <c r="B32" s="139"/>
      <c r="C32" s="139"/>
      <c r="D32" s="139"/>
      <c r="E32" s="139"/>
      <c r="F32" s="139"/>
      <c r="G32" s="139"/>
      <c r="H32" s="139"/>
      <c r="I32" s="140"/>
      <c r="J32" s="109"/>
      <c r="K32" s="110"/>
      <c r="L32" s="110"/>
      <c r="M32" s="111">
        <f>IFERROR(ROUNDDOWN(SUM(J18:M20)+J30+J31,-3),"-")</f>
        <v>1061000</v>
      </c>
      <c r="N32" s="141"/>
      <c r="O32" s="142"/>
      <c r="P32" s="112"/>
    </row>
    <row r="33" spans="1:15">
      <c r="A33" s="113" t="s">
        <v>122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70" zoomScaleNormal="70" workbookViewId="0">
      <selection activeCell="V10" sqref="V10"/>
    </sheetView>
  </sheetViews>
  <sheetFormatPr defaultColWidth="9" defaultRowHeight="12.75"/>
  <cols>
    <col min="1" max="1" width="17.5" style="43" bestFit="1" customWidth="1"/>
    <col min="2" max="5" width="18.5" style="43" hidden="1" customWidth="1"/>
    <col min="6" max="6" width="60.25" style="7" hidden="1" customWidth="1"/>
    <col min="7" max="7" width="10.125" style="7" hidden="1" customWidth="1"/>
    <col min="8" max="8" width="16.625" style="7" hidden="1" customWidth="1"/>
    <col min="9" max="9" width="10.125" style="7" hidden="1" customWidth="1"/>
    <col min="10" max="10" width="38.125" style="7" bestFit="1" customWidth="1"/>
    <col min="11" max="11" width="25.125" style="7" bestFit="1" customWidth="1"/>
    <col min="12" max="12" width="5.25" style="7" bestFit="1" customWidth="1"/>
    <col min="13" max="13" width="6.375" style="7" bestFit="1" customWidth="1"/>
    <col min="14" max="14" width="10.125" style="7" bestFit="1" customWidth="1"/>
    <col min="15" max="15" width="10.5" style="7" bestFit="1" customWidth="1"/>
    <col min="16" max="16" width="6.375" style="7" bestFit="1" customWidth="1"/>
    <col min="17" max="17" width="12.25" style="7" bestFit="1" customWidth="1"/>
    <col min="18" max="18" width="6.375" style="7" bestFit="1" customWidth="1"/>
    <col min="19" max="19" width="8.5" style="7" bestFit="1" customWidth="1"/>
    <col min="20" max="20" width="6.375" style="7" bestFit="1" customWidth="1"/>
    <col min="21" max="21" width="8.5" style="7" bestFit="1" customWidth="1"/>
    <col min="22" max="22" width="12.25" style="7" bestFit="1" customWidth="1"/>
    <col min="23" max="23" width="10.625" style="8" bestFit="1" customWidth="1"/>
    <col min="24" max="24" width="8.5" style="7" bestFit="1" customWidth="1"/>
    <col min="25" max="16384" width="9" style="7"/>
  </cols>
  <sheetData>
    <row r="1" spans="1:24" ht="19.899999999999999" customHeight="1">
      <c r="A1" s="241"/>
      <c r="B1" s="241"/>
      <c r="C1" s="241"/>
      <c r="D1" s="241"/>
      <c r="E1" s="241"/>
      <c r="F1" s="241"/>
      <c r="G1" s="241"/>
      <c r="H1" s="241"/>
      <c r="I1" s="241"/>
      <c r="N1" s="8"/>
      <c r="O1" s="6" t="s">
        <v>26</v>
      </c>
      <c r="Q1" s="6" t="s">
        <v>26</v>
      </c>
      <c r="S1" s="6" t="s">
        <v>26</v>
      </c>
      <c r="U1" s="6" t="s">
        <v>26</v>
      </c>
    </row>
    <row r="2" spans="1:24" ht="19.899999999999999" customHeight="1" thickBot="1">
      <c r="A2" s="241"/>
      <c r="B2" s="241"/>
      <c r="C2" s="241"/>
      <c r="D2" s="241"/>
      <c r="E2" s="241"/>
      <c r="F2" s="241"/>
      <c r="G2" s="241"/>
      <c r="H2" s="241"/>
      <c r="I2" s="241"/>
      <c r="N2" s="9"/>
      <c r="O2" s="10">
        <v>0.83499999999999996</v>
      </c>
      <c r="Q2" s="10">
        <v>0.83499999999999996</v>
      </c>
      <c r="S2" s="10">
        <v>0.83499999999999996</v>
      </c>
      <c r="U2" s="10">
        <v>0.83499999999999996</v>
      </c>
    </row>
    <row r="3" spans="1:24" ht="19.899999999999999" customHeight="1">
      <c r="A3" s="11"/>
      <c r="B3" s="11"/>
      <c r="C3" s="11"/>
      <c r="D3" s="11"/>
      <c r="E3" s="11"/>
      <c r="F3" s="11" t="s">
        <v>125</v>
      </c>
      <c r="G3" s="12"/>
      <c r="H3" s="12"/>
      <c r="I3" s="12"/>
      <c r="J3" s="250" t="s">
        <v>27</v>
      </c>
      <c r="K3" s="250"/>
      <c r="L3" s="250" t="s">
        <v>28</v>
      </c>
      <c r="M3" s="250" t="s">
        <v>29</v>
      </c>
      <c r="N3" s="246" t="s">
        <v>30</v>
      </c>
      <c r="O3" s="246"/>
      <c r="P3" s="246" t="s">
        <v>31</v>
      </c>
      <c r="Q3" s="246"/>
      <c r="R3" s="247" t="s">
        <v>32</v>
      </c>
      <c r="S3" s="247"/>
      <c r="T3" s="247" t="s">
        <v>126</v>
      </c>
      <c r="U3" s="247"/>
      <c r="V3" s="248" t="s">
        <v>33</v>
      </c>
      <c r="W3" s="244" t="s">
        <v>34</v>
      </c>
      <c r="X3" s="242" t="s">
        <v>8</v>
      </c>
    </row>
    <row r="4" spans="1:24" ht="19.899999999999999" customHeight="1">
      <c r="A4" s="13" t="s">
        <v>35</v>
      </c>
      <c r="B4" s="14"/>
      <c r="C4" s="14"/>
      <c r="D4" s="14"/>
      <c r="E4" s="14"/>
      <c r="F4" s="15" t="s">
        <v>36</v>
      </c>
      <c r="G4" s="15" t="s">
        <v>37</v>
      </c>
      <c r="H4" s="15" t="s">
        <v>38</v>
      </c>
      <c r="I4" s="15" t="s">
        <v>39</v>
      </c>
      <c r="J4" s="16" t="s">
        <v>40</v>
      </c>
      <c r="K4" s="16" t="s">
        <v>41</v>
      </c>
      <c r="L4" s="251"/>
      <c r="M4" s="251"/>
      <c r="N4" s="17" t="s">
        <v>42</v>
      </c>
      <c r="O4" s="18" t="s">
        <v>43</v>
      </c>
      <c r="P4" s="17" t="s">
        <v>44</v>
      </c>
      <c r="Q4" s="18" t="s">
        <v>43</v>
      </c>
      <c r="R4" s="18" t="s">
        <v>45</v>
      </c>
      <c r="S4" s="18" t="s">
        <v>43</v>
      </c>
      <c r="T4" s="18" t="s">
        <v>45</v>
      </c>
      <c r="U4" s="18" t="s">
        <v>43</v>
      </c>
      <c r="V4" s="249"/>
      <c r="W4" s="245"/>
      <c r="X4" s="243"/>
    </row>
    <row r="5" spans="1:24" s="29" customFormat="1" ht="19.899999999999999" customHeight="1">
      <c r="A5" s="19" t="str">
        <f t="shared" ref="A5" si="0">F5&amp;G5&amp;H5&amp;I5</f>
        <v>D02339</v>
      </c>
      <c r="B5" s="20"/>
      <c r="C5" s="20"/>
      <c r="D5" s="20"/>
      <c r="E5" s="20"/>
      <c r="F5" s="4" t="s">
        <v>49</v>
      </c>
      <c r="G5" s="15"/>
      <c r="H5" s="15"/>
      <c r="I5" s="15"/>
      <c r="J5" s="23" t="s">
        <v>52</v>
      </c>
      <c r="K5" s="23" t="s">
        <v>50</v>
      </c>
      <c r="L5" s="49" t="s">
        <v>51</v>
      </c>
      <c r="M5" s="49">
        <v>10</v>
      </c>
      <c r="N5" s="30"/>
      <c r="O5" s="25" cm="1">
        <f t="array" ref="O5">SUM(N5:N5*M5*$O$2)</f>
        <v>0</v>
      </c>
      <c r="P5" s="5">
        <v>24278</v>
      </c>
      <c r="Q5" s="25">
        <f t="shared" ref="Q5" si="1">(P5*M5)*$Q$2</f>
        <v>202721.3</v>
      </c>
      <c r="R5" s="26"/>
      <c r="S5" s="25">
        <f t="shared" ref="S5" si="2">R5*M5*$S$2</f>
        <v>0</v>
      </c>
      <c r="T5" s="26"/>
      <c r="U5" s="25">
        <f t="shared" ref="U5" si="3">T5*M5*$U$2</f>
        <v>0</v>
      </c>
      <c r="V5" s="26">
        <f t="shared" ref="V5" si="4">SUM(O5+Q5)+S5+U5</f>
        <v>202721.3</v>
      </c>
      <c r="W5" s="36"/>
      <c r="X5" s="28"/>
    </row>
    <row r="6" spans="1:24" s="29" customFormat="1" ht="19.899999999999999" customHeight="1">
      <c r="A6" s="19"/>
      <c r="B6" s="20"/>
      <c r="C6" s="20"/>
      <c r="D6" s="20"/>
      <c r="E6" s="20"/>
      <c r="F6" s="31"/>
      <c r="G6" s="21"/>
      <c r="H6" s="22"/>
      <c r="I6" s="4"/>
      <c r="J6" s="23" t="s">
        <v>46</v>
      </c>
      <c r="K6" s="23" t="s">
        <v>47</v>
      </c>
      <c r="L6" s="23" t="s">
        <v>48</v>
      </c>
      <c r="M6" s="33">
        <v>1</v>
      </c>
      <c r="N6" s="24">
        <v>680000</v>
      </c>
      <c r="O6" s="25">
        <f>M6*N6</f>
        <v>680000</v>
      </c>
      <c r="P6" s="32"/>
      <c r="Q6" s="25">
        <f t="shared" ref="Q6:Q9" si="5">(P6*M6)*$Q$2</f>
        <v>0</v>
      </c>
      <c r="R6" s="26"/>
      <c r="S6" s="25">
        <f t="shared" ref="S6:S9" si="6">R6*M6*$S$2</f>
        <v>0</v>
      </c>
      <c r="T6" s="26"/>
      <c r="U6" s="25">
        <f t="shared" ref="U6:U9" si="7">T6*M6*$U$2</f>
        <v>0</v>
      </c>
      <c r="V6" s="26">
        <f t="shared" ref="V6:V9" si="8">SUM(O6+Q6)+S6+U6</f>
        <v>680000</v>
      </c>
      <c r="W6" s="27"/>
      <c r="X6" s="28"/>
    </row>
    <row r="7" spans="1:24" s="29" customFormat="1" ht="19.899999999999999" customHeight="1">
      <c r="A7" s="19" t="str">
        <f t="shared" ref="A7:A9" si="9">F7&amp;G7&amp;H7&amp;I7</f>
        <v/>
      </c>
      <c r="B7" s="20"/>
      <c r="C7" s="20"/>
      <c r="D7" s="20"/>
      <c r="E7" s="20"/>
      <c r="F7" s="31"/>
      <c r="G7" s="21"/>
      <c r="H7" s="22"/>
      <c r="I7" s="4"/>
      <c r="J7" s="34"/>
      <c r="K7" s="34"/>
      <c r="L7" s="35"/>
      <c r="M7" s="33"/>
      <c r="N7" s="24"/>
      <c r="O7" s="25">
        <f t="shared" ref="O7:O9" si="10">SUM(N7:N7)*M7*$O$2</f>
        <v>0</v>
      </c>
      <c r="P7" s="32"/>
      <c r="Q7" s="25">
        <f t="shared" si="5"/>
        <v>0</v>
      </c>
      <c r="R7" s="26"/>
      <c r="S7" s="25">
        <f t="shared" si="6"/>
        <v>0</v>
      </c>
      <c r="T7" s="26"/>
      <c r="U7" s="25">
        <f t="shared" si="7"/>
        <v>0</v>
      </c>
      <c r="V7" s="26">
        <f t="shared" si="8"/>
        <v>0</v>
      </c>
      <c r="W7" s="36"/>
      <c r="X7" s="28"/>
    </row>
    <row r="8" spans="1:24" s="29" customFormat="1" ht="19.899999999999999" customHeight="1">
      <c r="A8" s="19" t="str">
        <f t="shared" si="9"/>
        <v/>
      </c>
      <c r="B8" s="20"/>
      <c r="C8" s="20"/>
      <c r="D8" s="20"/>
      <c r="E8" s="20"/>
      <c r="F8" s="31"/>
      <c r="G8" s="21"/>
      <c r="H8" s="22"/>
      <c r="I8" s="4"/>
      <c r="J8" s="34"/>
      <c r="K8" s="34"/>
      <c r="L8" s="35"/>
      <c r="M8" s="33"/>
      <c r="N8" s="24"/>
      <c r="O8" s="25">
        <f t="shared" si="10"/>
        <v>0</v>
      </c>
      <c r="P8" s="32"/>
      <c r="Q8" s="25">
        <f t="shared" si="5"/>
        <v>0</v>
      </c>
      <c r="R8" s="26"/>
      <c r="S8" s="25">
        <f t="shared" si="6"/>
        <v>0</v>
      </c>
      <c r="T8" s="26"/>
      <c r="U8" s="25">
        <f t="shared" si="7"/>
        <v>0</v>
      </c>
      <c r="V8" s="26">
        <f t="shared" si="8"/>
        <v>0</v>
      </c>
      <c r="W8" s="36"/>
      <c r="X8" s="28"/>
    </row>
    <row r="9" spans="1:24" s="29" customFormat="1" ht="19.899999999999999" customHeight="1">
      <c r="A9" s="19" t="str">
        <f t="shared" si="9"/>
        <v/>
      </c>
      <c r="B9" s="20"/>
      <c r="C9" s="20"/>
      <c r="D9" s="20"/>
      <c r="E9" s="20"/>
      <c r="F9" s="31"/>
      <c r="G9" s="21"/>
      <c r="H9" s="22"/>
      <c r="I9" s="4"/>
      <c r="J9" s="34"/>
      <c r="K9" s="34"/>
      <c r="L9" s="35"/>
      <c r="M9" s="33"/>
      <c r="N9" s="24"/>
      <c r="O9" s="25">
        <f t="shared" si="10"/>
        <v>0</v>
      </c>
      <c r="P9" s="32"/>
      <c r="Q9" s="25">
        <f t="shared" si="5"/>
        <v>0</v>
      </c>
      <c r="R9" s="26"/>
      <c r="S9" s="25">
        <f t="shared" si="6"/>
        <v>0</v>
      </c>
      <c r="T9" s="26"/>
      <c r="U9" s="25">
        <f t="shared" si="7"/>
        <v>0</v>
      </c>
      <c r="V9" s="26">
        <f t="shared" si="8"/>
        <v>0</v>
      </c>
      <c r="W9" s="36"/>
      <c r="X9" s="28"/>
    </row>
    <row r="10" spans="1:24" s="38" customFormat="1" ht="19.899999999999999" customHeight="1">
      <c r="A10" s="37"/>
      <c r="B10" s="37"/>
      <c r="C10" s="37"/>
      <c r="D10" s="37"/>
      <c r="E10" s="37"/>
      <c r="O10" s="39">
        <f>SUM(O5:O9)</f>
        <v>680000</v>
      </c>
      <c r="P10" s="40"/>
      <c r="Q10" s="39">
        <f>SUM(Q5:Q9)</f>
        <v>202721.3</v>
      </c>
      <c r="R10" s="40"/>
      <c r="S10" s="39">
        <f>SUM(S5:S9)</f>
        <v>0</v>
      </c>
      <c r="T10" s="40"/>
      <c r="U10" s="39">
        <f>SUM(U5:U9)</f>
        <v>0</v>
      </c>
      <c r="V10" s="41">
        <f>SUM(V5:V9)</f>
        <v>882721.3</v>
      </c>
      <c r="W10" s="42"/>
    </row>
    <row r="14" spans="1:24">
      <c r="Q14" s="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zoomScale="70" zoomScaleNormal="70" zoomScaleSheetLayoutView="85" workbookViewId="0">
      <selection activeCell="S14" sqref="S14"/>
    </sheetView>
  </sheetViews>
  <sheetFormatPr defaultColWidth="9" defaultRowHeight="16.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9.75" style="52" bestFit="1" customWidth="1"/>
    <col min="16" max="16" width="12.25" style="52" bestFit="1" customWidth="1"/>
    <col min="17" max="16384" width="9" style="50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8" sqref="H8"/>
    </sheetView>
  </sheetViews>
  <sheetFormatPr defaultColWidth="9" defaultRowHeight="16.5"/>
  <cols>
    <col min="1" max="1" width="11.125" style="45" customWidth="1"/>
    <col min="2" max="2" width="13.375" style="45" customWidth="1"/>
    <col min="3" max="3" width="38.75" style="45" customWidth="1"/>
    <col min="4" max="4" width="28.75" style="45" customWidth="1"/>
    <col min="5" max="5" width="5" style="45" customWidth="1"/>
    <col min="6" max="6" width="6.25" style="45" customWidth="1"/>
    <col min="7" max="7" width="10" style="45" customWidth="1"/>
    <col min="8" max="8" width="11.875" style="45" customWidth="1"/>
    <col min="9" max="9" width="10" style="45" customWidth="1"/>
    <col min="10" max="10" width="11.875" style="45" customWidth="1"/>
    <col min="11" max="11" width="10" style="45" customWidth="1"/>
    <col min="12" max="12" width="11.875" style="45" customWidth="1"/>
    <col min="13" max="13" width="10" style="45" customWidth="1"/>
    <col min="14" max="14" width="11.875" style="45" customWidth="1"/>
    <col min="15" max="15" width="9.125" style="45" customWidth="1"/>
    <col min="16" max="16" width="11.5" style="45" customWidth="1"/>
    <col min="17" max="17" width="11.75" style="45" customWidth="1"/>
    <col min="18" max="18" width="17.875" style="45" customWidth="1"/>
    <col min="19" max="16384" width="9" style="45"/>
  </cols>
  <sheetData>
    <row r="1" spans="1:18" ht="18" customHeight="1">
      <c r="A1" s="1" t="s">
        <v>9</v>
      </c>
      <c r="B1" s="3" t="s">
        <v>10</v>
      </c>
      <c r="C1" s="54" t="s">
        <v>11</v>
      </c>
      <c r="D1" s="54" t="s">
        <v>12</v>
      </c>
      <c r="E1" s="54" t="s">
        <v>13</v>
      </c>
      <c r="F1" s="54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18">
      <c r="A2" s="56">
        <v>999999</v>
      </c>
      <c r="B2" s="56" t="s">
        <v>53</v>
      </c>
      <c r="C2" s="56" t="s">
        <v>54</v>
      </c>
      <c r="D2" s="53" t="s">
        <v>55</v>
      </c>
      <c r="E2" s="56" t="s">
        <v>56</v>
      </c>
      <c r="F2" s="55">
        <v>1</v>
      </c>
      <c r="G2" s="45">
        <v>680000</v>
      </c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7.5" style="48" customWidth="1"/>
    <col min="7" max="16384" width="9" style="45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46" t="e">
        <v>#REF!</v>
      </c>
      <c r="B2" s="47" t="str">
        <f>'내역서(표준단가)'!F5</f>
        <v>D02339</v>
      </c>
      <c r="C2" s="47">
        <f>'내역서(표준단가)'!G5</f>
        <v>0</v>
      </c>
      <c r="D2" s="47">
        <f>'내역서(표준단가)'!H5</f>
        <v>0</v>
      </c>
      <c r="E2" s="47">
        <f>'내역서(표준단가)'!I5</f>
        <v>0</v>
      </c>
      <c r="F2" s="47">
        <f>'내역서(표준단가)'!M5</f>
        <v>10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2025-02-04T06:38:52Z</dcterms:modified>
</cp:coreProperties>
</file>
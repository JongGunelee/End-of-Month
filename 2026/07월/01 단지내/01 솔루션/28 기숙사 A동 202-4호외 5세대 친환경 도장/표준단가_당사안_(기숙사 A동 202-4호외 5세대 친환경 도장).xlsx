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8654E931-E4D2-48DA-A64E-DC5D1FEA54DE}" xr6:coauthVersionLast="36" xr6:coauthVersionMax="36" xr10:uidLastSave="{00000000-0000-0000-0000-000000000000}"/>
  <bookViews>
    <workbookView xWindow="0" yWindow="0" windowWidth="29010" windowHeight="5520" xr2:uid="{00000000-000D-0000-FFFF-FFFF00000000}"/>
  </bookViews>
  <sheets>
    <sheet name="갑지" sheetId="5" r:id="rId1"/>
    <sheet name="내역서(표준단가)" sheetId="4" r:id="rId2"/>
    <sheet name="상세내역" sheetId="13" r:id="rId3"/>
    <sheet name="Upload" sheetId="1" r:id="rId4"/>
    <sheet name="도면" sheetId="10" r:id="rId5"/>
    <sheet name="참고자료" sheetId="12" r:id="rId6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E17" i="13"/>
  <c r="D17" i="13"/>
  <c r="I5" i="13"/>
  <c r="G5" i="13"/>
  <c r="I6" i="13"/>
  <c r="G6" i="13"/>
  <c r="O5" i="13" l="1"/>
  <c r="O6" i="13"/>
  <c r="I12" i="13"/>
  <c r="G12" i="13"/>
  <c r="I9" i="13"/>
  <c r="G9" i="13"/>
  <c r="I8" i="13"/>
  <c r="G8" i="13"/>
  <c r="O8" i="13" s="1"/>
  <c r="G7" i="13"/>
  <c r="O7" i="13" s="1"/>
  <c r="I15" i="13"/>
  <c r="G15" i="13"/>
  <c r="I13" i="13"/>
  <c r="G13" i="13"/>
  <c r="I11" i="13"/>
  <c r="G11" i="13"/>
  <c r="I10" i="13"/>
  <c r="G10" i="13"/>
  <c r="O12" i="13" l="1"/>
  <c r="O9" i="13"/>
  <c r="O11" i="13"/>
  <c r="O10" i="13"/>
  <c r="O13" i="13"/>
  <c r="O15" i="13"/>
  <c r="Q10" i="4" l="1"/>
  <c r="O10" i="4"/>
  <c r="M10" i="4"/>
  <c r="K10" i="4"/>
  <c r="A10" i="4"/>
  <c r="Q9" i="4"/>
  <c r="O9" i="4"/>
  <c r="M9" i="4"/>
  <c r="K9" i="4"/>
  <c r="A9" i="4"/>
  <c r="K8" i="4"/>
  <c r="R8" i="4" s="1"/>
  <c r="A8" i="4"/>
  <c r="Q7" i="4"/>
  <c r="O7" i="4"/>
  <c r="M7" i="4"/>
  <c r="K7" i="4"/>
  <c r="A7" i="4"/>
  <c r="R7" i="4" l="1"/>
  <c r="R10" i="4"/>
  <c r="R9" i="4"/>
  <c r="Q6" i="4" l="1"/>
  <c r="O6" i="4"/>
  <c r="M6" i="4"/>
  <c r="K6" i="4"/>
  <c r="A6" i="4"/>
  <c r="G16" i="13" l="1"/>
  <c r="R6" i="4"/>
  <c r="K16" i="13" l="1"/>
  <c r="I16" i="13"/>
  <c r="M16" i="13"/>
  <c r="F2" i="1"/>
  <c r="E2" i="1"/>
  <c r="D2" i="1"/>
  <c r="C2" i="1"/>
  <c r="B2" i="1"/>
  <c r="O16" i="13" l="1"/>
  <c r="Q5" i="4"/>
  <c r="O5" i="4"/>
  <c r="M5" i="4"/>
  <c r="K5" i="4"/>
  <c r="A5" i="4"/>
  <c r="A2" i="1" s="1"/>
  <c r="R5" i="4" l="1"/>
  <c r="R11" i="4" l="1"/>
  <c r="M11" i="4" l="1"/>
  <c r="F17" i="5" s="1"/>
  <c r="F21" i="5" l="1"/>
  <c r="F22" i="5"/>
  <c r="Q11" i="4"/>
  <c r="K11" i="4"/>
  <c r="O11" i="4"/>
  <c r="F16" i="5" l="1"/>
  <c r="F26" i="5" s="1"/>
  <c r="F18" i="5"/>
  <c r="F19" i="5" l="1"/>
  <c r="F24" i="5"/>
  <c r="F25" i="5"/>
  <c r="F23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<sst xmlns="http://schemas.openxmlformats.org/spreadsheetml/2006/main" count="170" uniqueCount="138">
  <si>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</si>
  <si>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</si>
  <si>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</si>
  <si>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</si>
  <si>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</si>
  <si>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</si>
  <si>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</si>
  <si>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</si>
  <si>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</si>
  <si>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</si>
  <si>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</si>
  <si>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</si>
  <si>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</si>
  <si>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</si>
  <si>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</si>
  <si>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</si>
  <si>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</si>
  <si>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</si>
  <si>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</si>
  <si>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</si>
  <si>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</si>
  <si>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</si>
  <si>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</si>
  <si>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</si>
  <si>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</si>
  <si>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</si>
  <si>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</si>
  <si>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</si>
  <si>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</si>
  <si>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</si>
  <si>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</si>
  <si>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</si>
  <si>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</si>
  <si>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</si>
  <si>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</si>
  <si>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</si>
  <si>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</si>
  <si>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</si>
  <si>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</si>
  <si>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</si>
  <si>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</si>
  <si>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</si>
  <si>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</si>
  <si>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</si>
  <si>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</si>
  <si>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</si>
  <si>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</si>
  <si>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</si>
  <si>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</si>
  <si>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</si>
  <si>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</si>
  <si>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</si>
  <si>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</si>
  <si>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</si>
  <si>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</si>
  <si>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</si>
  <si>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</si>
  <si>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</si>
  <si>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</si>
  <si>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</si>
  <si>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</si>
  <si>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</si>
  <si>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</si>
  <si>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</si>
  <si>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</si>
  <si>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</si>
  <si>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</si>
  <si>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</si>
  <si>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</si>
  <si>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</si>
  <si>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</si>
  <si>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</si>
  <si>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</si>
  <si>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</si>
  <si>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</si>
  <si>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</si>
  <si>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노무비할증</t>
    <phoneticPr fontId="5" type="noConversion"/>
  </si>
  <si>
    <t>(㎡ 당)</t>
    <phoneticPr fontId="5" type="noConversion"/>
  </si>
  <si>
    <t> (재료비+노무비)*3.11%</t>
    <phoneticPr fontId="13" type="noConversion"/>
  </si>
  <si>
    <t>E00000803061300101</t>
  </si>
  <si>
    <t>M020414115290101</t>
    <phoneticPr fontId="5" type="noConversion"/>
  </si>
  <si>
    <t>ℓ</t>
    <phoneticPr fontId="5" type="noConversion"/>
  </si>
  <si>
    <t>도배 내부용, 친환경페인트</t>
    <phoneticPr fontId="5" type="noConversion"/>
  </si>
  <si>
    <t>실내 벽면 2회칠, 수성페인트 롤러칠</t>
    <phoneticPr fontId="5" type="noConversion"/>
  </si>
  <si>
    <t> 노무비*4.75%</t>
    <phoneticPr fontId="13" type="noConversion"/>
  </si>
  <si>
    <t> 노무비*3.595%</t>
    <phoneticPr fontId="13" type="noConversion"/>
  </si>
  <si>
    <r>
      <t xml:space="preserve">새잎새골드(백색), 친환경 고기능성 수성코팅재, 고급 실내거주용, </t>
    </r>
    <r>
      <rPr>
        <sz val="10"/>
        <color rgb="FFFF0000"/>
        <rFont val="Malgun Gothic"/>
        <family val="3"/>
        <charset val="129"/>
      </rPr>
      <t>1ℓ 도색량= 2평(1회칠 기준6.6㎡),  11.52/6.6=1.7454ℓ</t>
    </r>
    <phoneticPr fontId="5" type="noConversion"/>
  </si>
  <si>
    <r>
      <t>29㎡*2회칠=58, (2.4*2.4)*</t>
    </r>
    <r>
      <rPr>
        <sz val="10"/>
        <color rgb="FFFF0000"/>
        <rFont val="돋움"/>
        <family val="3"/>
        <charset val="129"/>
      </rPr>
      <t>2회칠=11.52</t>
    </r>
    <phoneticPr fontId="5" type="noConversion"/>
  </si>
  <si>
    <t xml:space="preserve"> 내   역   서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</si>
  <si>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</si>
  <si>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</si>
  <si>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</si>
  <si>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</si>
  <si>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</si>
  <si>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</si>
  <si>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</si>
  <si>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</si>
  <si>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</si>
  <si>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</si>
  <si>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㎡</t>
    <phoneticPr fontId="13" type="noConversion"/>
  </si>
  <si>
    <t>KSM-6010 내부용, 2급, 백색</t>
  </si>
  <si>
    <t>18ℓ</t>
  </si>
  <si>
    <t>석고보드면 바탕만들기(줄퍼티)</t>
    <phoneticPr fontId="5" type="noConversion"/>
  </si>
  <si>
    <t>붓칠,내벽</t>
    <phoneticPr fontId="5" type="noConversion"/>
  </si>
  <si>
    <t>합 계</t>
    <phoneticPr fontId="5" type="noConversion"/>
  </si>
  <si>
    <t>작업요청번호</t>
    <phoneticPr fontId="13" type="noConversion"/>
  </si>
  <si>
    <t>호실 및 품명</t>
    <phoneticPr fontId="13" type="noConversion"/>
  </si>
  <si>
    <t>재료비 수량(L)</t>
    <phoneticPr fontId="13" type="noConversion"/>
  </si>
  <si>
    <t>노무비 수량(㎡)</t>
    <phoneticPr fontId="13" type="noConversion"/>
  </si>
  <si>
    <t>실내 천정면 2회칠, 수성페인트 롤러칠</t>
    <phoneticPr fontId="5" type="noConversion"/>
  </si>
  <si>
    <r>
      <t xml:space="preserve"> 천정 11㎡*</t>
    </r>
    <r>
      <rPr>
        <sz val="10"/>
        <color rgb="FFFF0000"/>
        <rFont val="돋움"/>
        <family val="3"/>
        <charset val="129"/>
      </rPr>
      <t>천정할증20%</t>
    </r>
    <r>
      <rPr>
        <sz val="10"/>
        <color theme="1"/>
        <rFont val="돋움"/>
        <family val="3"/>
        <charset val="129"/>
      </rPr>
      <t>=13.2, 13.2*2회칠=26.4</t>
    </r>
    <phoneticPr fontId="5" type="noConversion"/>
  </si>
  <si>
    <t>M020412614110102</t>
    <phoneticPr fontId="5" type="noConversion"/>
  </si>
  <si>
    <t>합성수지에멀션페인트</t>
    <phoneticPr fontId="5" type="noConversion"/>
  </si>
  <si>
    <t>E00000803061120402</t>
  </si>
  <si>
    <t>석고보드면 바탕만들기</t>
  </si>
  <si>
    <t>줄퍼티</t>
  </si>
  <si>
    <t>E00000803061300201</t>
  </si>
  <si>
    <t>수성페인트 붓칠</t>
  </si>
  <si>
    <t>1회칠</t>
  </si>
  <si>
    <t>(㎡ 당)</t>
  </si>
  <si>
    <r>
      <t>기숙사 A동 504-3호외 4세대 친환경 부분도장 재료비 산정</t>
    </r>
    <r>
      <rPr>
        <b/>
        <sz val="10"/>
        <color rgb="FF000000"/>
        <rFont val="맑은 고딕"/>
        <family val="3"/>
        <charset val="129"/>
      </rPr>
      <t>⇒</t>
    </r>
    <r>
      <rPr>
        <b/>
        <sz val="10"/>
        <color rgb="FF000000"/>
        <rFont val="LG스마트체 Regular"/>
        <family val="3"/>
        <charset val="129"/>
      </rPr>
      <t>1면 기준(2.4*2.4)*2회칠=11.52, 재료비 1ℓ 도색량= 2평(1회칠 기준6.6㎡),  11.52/6.6=1.7454L   1면 도장 재료 수량(손실포함)=2L</t>
    </r>
    <phoneticPr fontId="5" type="noConversion"/>
  </si>
  <si>
    <r>
      <t>벽면</t>
    </r>
    <r>
      <rPr>
        <sz val="9"/>
        <color rgb="FFFF0000"/>
        <rFont val="LG스마트체 Regular"/>
        <family val="3"/>
        <charset val="129"/>
      </rPr>
      <t>(3번 면)</t>
    </r>
    <phoneticPr fontId="13" type="noConversion"/>
  </si>
  <si>
    <r>
      <t>벽면</t>
    </r>
    <r>
      <rPr>
        <sz val="9"/>
        <color rgb="FFFF0000"/>
        <rFont val="LG스마트체 Regular"/>
        <family val="3"/>
        <charset val="129"/>
      </rPr>
      <t>(2번 면)</t>
    </r>
    <phoneticPr fontId="13" type="noConversion"/>
  </si>
  <si>
    <t>천정면</t>
    <phoneticPr fontId="5" type="noConversion"/>
  </si>
  <si>
    <t>A동 703-2호</t>
    <phoneticPr fontId="5" type="noConversion"/>
  </si>
  <si>
    <t>A동 902-2호</t>
    <phoneticPr fontId="5" type="noConversion"/>
  </si>
  <si>
    <t>B동 903-3호</t>
    <phoneticPr fontId="5" type="noConversion"/>
  </si>
  <si>
    <t>B동 904-4호</t>
    <phoneticPr fontId="5" type="noConversion"/>
  </si>
  <si>
    <t>단열재 들뜸 재시공-기타작업</t>
    <phoneticPr fontId="5" type="noConversion"/>
  </si>
  <si>
    <t>베란다 전체 도장</t>
    <phoneticPr fontId="5" type="noConversion"/>
  </si>
  <si>
    <r>
      <t xml:space="preserve">A동 504-3호 </t>
    </r>
    <r>
      <rPr>
        <sz val="10"/>
        <color rgb="FF000000"/>
        <rFont val="LG스마트체 Regular"/>
        <family val="3"/>
        <charset val="129"/>
      </rPr>
      <t>실내</t>
    </r>
    <phoneticPr fontId="5" type="noConversion"/>
  </si>
  <si>
    <t>도배전환검토</t>
    <phoneticPr fontId="5" type="noConversion"/>
  </si>
  <si>
    <r>
      <rPr>
        <sz val="9"/>
        <rFont val="LG스마트체 Regular"/>
        <family val="3"/>
        <charset val="129"/>
      </rPr>
      <t>벽면</t>
    </r>
    <r>
      <rPr>
        <sz val="9"/>
        <color rgb="FFFF0000"/>
        <rFont val="LG스마트체 Regular"/>
        <family val="3"/>
        <charset val="129"/>
      </rPr>
      <t>(3번 벽면)</t>
    </r>
    <phoneticPr fontId="13" type="noConversion"/>
  </si>
  <si>
    <r>
      <rPr>
        <sz val="9"/>
        <rFont val="LG스마트체 Regular"/>
        <family val="3"/>
        <charset val="129"/>
      </rPr>
      <t>벽면</t>
    </r>
    <r>
      <rPr>
        <sz val="9"/>
        <color rgb="FFFF0000"/>
        <rFont val="LG스마트체 Regular"/>
        <family val="3"/>
        <charset val="129"/>
      </rPr>
      <t>(3번 면)</t>
    </r>
    <phoneticPr fontId="13" type="noConversion"/>
  </si>
  <si>
    <t xml:space="preserve"> 견적일 : 2026년  06월  11일</t>
    <phoneticPr fontId="11" type="noConversion"/>
  </si>
  <si>
    <t>A동 202-4호</t>
    <phoneticPr fontId="5" type="noConversion"/>
  </si>
  <si>
    <r>
      <t>벽면</t>
    </r>
    <r>
      <rPr>
        <sz val="9"/>
        <color rgb="FFFF0000"/>
        <rFont val="LG스마트체 Regular"/>
        <family val="3"/>
        <charset val="129"/>
      </rPr>
      <t>(1,2,3번 면)</t>
    </r>
    <phoneticPr fontId="13" type="noConversion"/>
  </si>
  <si>
    <t xml:space="preserve"> 공사명 : 기숙사 A동 202-4호외 5세대 친환경 부분도장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</si>
</sst>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.000_ "/>
    <numFmt numFmtId="185" formatCode="0.000_ "/>
    <numFmt numFmtId="186" formatCode="#,##0;\-#,##0;"/>
    <numFmt numFmtId="187" formatCode="0.000"/>
    <numFmt numFmtId="188" formatCode="#,##0_ "/>
    <numFmt numFmtId="189" formatCode="&quot;₩&quot;#,##0"/>
    <numFmt numFmtId="190" formatCode="0.00_);[Red]\(0.00\)"/>
    <numFmt numFmtId="191" formatCode="0_);[Red]\(0\)"/>
    <numFmt numFmtId="192" formatCode="###,###,###,##0"/>
    <numFmt numFmtId="193" formatCode="#,##0.0_);[Red]\(#,##0.0\)"/>
  </numFmts>
  <fonts count="3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FF0000"/>
      <name val="돋움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0"/>
      <color rgb="FF000000"/>
      <name val="맑은 고딕"/>
      <family val="3"/>
      <charset val="129"/>
    </font>
    <font>
      <sz val="9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8"/>
      <color rgb="FFFF0000"/>
      <name val="LG스마트체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7" fillId="0" borderId="0"/>
  </cellStyleXfs>
  <cellXfs count="218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5" fontId="19" fillId="0" borderId="1" xfId="1" applyNumberFormat="1" applyFont="1" applyBorder="1" applyAlignment="1">
      <alignment horizontal="center" vertical="center"/>
    </xf>
    <xf numFmtId="184" fontId="19" fillId="0" borderId="3" xfId="1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186" fontId="19" fillId="5" borderId="3" xfId="0" applyNumberFormat="1" applyFont="1" applyFill="1" applyBorder="1" applyAlignment="1">
      <alignment horizontal="right" vertical="center" wrapText="1"/>
    </xf>
    <xf numFmtId="186" fontId="19" fillId="6" borderId="3" xfId="1" applyNumberFormat="1" applyFont="1" applyFill="1" applyBorder="1" applyAlignment="1">
      <alignment horizontal="right" vertical="center" wrapText="1"/>
    </xf>
    <xf numFmtId="186" fontId="19" fillId="0" borderId="3" xfId="1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22" fillId="10" borderId="0" xfId="0" applyFont="1" applyFill="1">
      <alignment vertical="center"/>
    </xf>
    <xf numFmtId="177" fontId="12" fillId="10" borderId="0" xfId="0" applyNumberFormat="1" applyFont="1" applyFill="1">
      <alignment vertical="center"/>
    </xf>
    <xf numFmtId="0" fontId="23" fillId="0" borderId="0" xfId="0" applyFont="1">
      <alignment vertical="center"/>
    </xf>
    <xf numFmtId="0" fontId="23" fillId="5" borderId="0" xfId="0" applyFont="1" applyFill="1">
      <alignment vertical="center"/>
    </xf>
    <xf numFmtId="0" fontId="25" fillId="7" borderId="3" xfId="0" applyFont="1" applyFill="1" applyBorder="1" applyAlignment="1">
      <alignment horizontal="center" vertical="center"/>
    </xf>
    <xf numFmtId="49" fontId="25" fillId="5" borderId="3" xfId="0" applyNumberFormat="1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49" fontId="25" fillId="5" borderId="3" xfId="0" applyNumberFormat="1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 wrapText="1"/>
    </xf>
    <xf numFmtId="186" fontId="19" fillId="5" borderId="3" xfId="1" applyNumberFormat="1" applyFont="1" applyFill="1" applyBorder="1" applyAlignment="1">
      <alignment horizontal="right" vertical="center"/>
    </xf>
    <xf numFmtId="184" fontId="19" fillId="5" borderId="3" xfId="1" applyNumberFormat="1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 wrapText="1"/>
    </xf>
    <xf numFmtId="183" fontId="29" fillId="5" borderId="3" xfId="0" applyNumberFormat="1" applyFont="1" applyFill="1" applyBorder="1" applyAlignment="1">
      <alignment vertical="center" wrapText="1"/>
    </xf>
    <xf numFmtId="177" fontId="19" fillId="5" borderId="3" xfId="1" applyFont="1" applyFill="1" applyBorder="1" applyAlignment="1">
      <alignment horizontal="center" vertical="center" wrapText="1"/>
    </xf>
    <xf numFmtId="0" fontId="30" fillId="0" borderId="15" xfId="8" applyFont="1" applyBorder="1" applyAlignment="1">
      <alignment horizontal="center" vertical="center"/>
    </xf>
    <xf numFmtId="0" fontId="31" fillId="0" borderId="15" xfId="6" applyFont="1" applyBorder="1" applyAlignment="1">
      <alignment vertical="center"/>
    </xf>
    <xf numFmtId="0" fontId="30" fillId="0" borderId="15" xfId="6" applyFont="1" applyBorder="1" applyAlignment="1">
      <alignment horizontal="center" vertical="center"/>
    </xf>
    <xf numFmtId="178" fontId="31" fillId="0" borderId="15" xfId="5" applyFont="1" applyFill="1" applyBorder="1" applyAlignment="1">
      <alignment horizontal="right" vertical="center"/>
    </xf>
    <xf numFmtId="0" fontId="30" fillId="5" borderId="15" xfId="8" applyFont="1" applyFill="1" applyBorder="1" applyAlignment="1">
      <alignment horizontal="center" vertical="center"/>
    </xf>
    <xf numFmtId="0" fontId="30" fillId="5" borderId="15" xfId="6" applyFont="1" applyFill="1" applyBorder="1" applyAlignment="1">
      <alignment horizontal="center" vertical="center"/>
    </xf>
    <xf numFmtId="178" fontId="31" fillId="5" borderId="15" xfId="5" applyFont="1" applyFill="1" applyBorder="1" applyAlignment="1">
      <alignment horizontal="right" vertical="center"/>
    </xf>
    <xf numFmtId="0" fontId="33" fillId="0" borderId="32" xfId="15" quotePrefix="1" applyFont="1" applyBorder="1" applyAlignment="1">
      <alignment horizontal="center" vertical="center"/>
    </xf>
    <xf numFmtId="183" fontId="33" fillId="0" borderId="32" xfId="15" quotePrefix="1" applyNumberFormat="1" applyFont="1" applyBorder="1" applyAlignment="1">
      <alignment horizontal="center" vertical="center"/>
    </xf>
    <xf numFmtId="0" fontId="23" fillId="11" borderId="32" xfId="13" applyNumberFormat="1" applyFont="1" applyFill="1" applyBorder="1" applyAlignment="1">
      <alignment horizontal="center" vertical="center"/>
    </xf>
    <xf numFmtId="189" fontId="24" fillId="11" borderId="32" xfId="13" applyNumberFormat="1" applyFont="1" applyFill="1" applyBorder="1" applyAlignment="1">
      <alignment horizontal="center" vertical="center"/>
    </xf>
    <xf numFmtId="183" fontId="24" fillId="11" borderId="32" xfId="13" applyNumberFormat="1" applyFont="1" applyFill="1" applyBorder="1" applyAlignment="1">
      <alignment vertical="center" wrapText="1"/>
    </xf>
    <xf numFmtId="183" fontId="33" fillId="11" borderId="32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191" fontId="33" fillId="11" borderId="32" xfId="13" applyNumberFormat="1" applyFont="1" applyFill="1" applyBorder="1" applyAlignment="1">
      <alignment horizontal="center" vertical="center"/>
    </xf>
    <xf numFmtId="183" fontId="33" fillId="11" borderId="32" xfId="13" applyNumberFormat="1" applyFont="1" applyFill="1" applyBorder="1" applyAlignment="1">
      <alignment vertical="center"/>
    </xf>
    <xf numFmtId="0" fontId="24" fillId="7" borderId="3" xfId="0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77" fontId="36" fillId="5" borderId="3" xfId="1" applyFont="1" applyFill="1" applyBorder="1" applyAlignment="1">
      <alignment vertical="center"/>
    </xf>
    <xf numFmtId="177" fontId="36" fillId="5" borderId="3" xfId="1" applyFont="1" applyFill="1" applyBorder="1" applyAlignment="1">
      <alignment horizontal="right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0" fontId="23" fillId="0" borderId="38" xfId="13" applyNumberFormat="1" applyFont="1" applyBorder="1" applyAlignment="1">
      <alignment horizontal="center" vertical="center"/>
    </xf>
    <xf numFmtId="189" fontId="24" fillId="0" borderId="38" xfId="13" applyNumberFormat="1" applyFont="1" applyFill="1" applyBorder="1" applyAlignment="1">
      <alignment vertical="center"/>
    </xf>
    <xf numFmtId="190" fontId="35" fillId="0" borderId="38" xfId="13" applyNumberFormat="1" applyFont="1" applyFill="1" applyBorder="1" applyAlignment="1">
      <alignment horizontal="center" vertical="center"/>
    </xf>
    <xf numFmtId="183" fontId="35" fillId="5" borderId="38" xfId="13" applyNumberFormat="1" applyFont="1" applyFill="1" applyBorder="1" applyAlignment="1">
      <alignment horizontal="right" vertical="center" wrapText="1"/>
    </xf>
    <xf numFmtId="183" fontId="24" fillId="5" borderId="38" xfId="13" applyNumberFormat="1" applyFont="1" applyFill="1" applyBorder="1" applyAlignment="1">
      <alignment horizontal="right" vertical="center" wrapText="1"/>
    </xf>
    <xf numFmtId="183" fontId="19" fillId="0" borderId="38" xfId="13" applyNumberFormat="1" applyFont="1" applyBorder="1" applyAlignment="1">
      <alignment horizontal="center" vertical="center" wrapText="1"/>
    </xf>
    <xf numFmtId="183" fontId="35" fillId="5" borderId="39" xfId="13" applyNumberFormat="1" applyFont="1" applyFill="1" applyBorder="1" applyAlignment="1">
      <alignment horizontal="right" vertical="center" wrapText="1"/>
    </xf>
    <xf numFmtId="183" fontId="24" fillId="5" borderId="39" xfId="13" applyNumberFormat="1" applyFont="1" applyFill="1" applyBorder="1" applyAlignment="1">
      <alignment horizontal="right" vertical="center" wrapText="1"/>
    </xf>
    <xf numFmtId="49" fontId="24" fillId="5" borderId="39" xfId="0" applyNumberFormat="1" applyFont="1" applyFill="1" applyBorder="1" applyAlignment="1">
      <alignment vertical="center"/>
    </xf>
    <xf numFmtId="49" fontId="24" fillId="5" borderId="39" xfId="0" applyNumberFormat="1" applyFont="1" applyFill="1" applyBorder="1" applyAlignment="1">
      <alignment horizontal="center" vertical="center"/>
    </xf>
    <xf numFmtId="193" fontId="24" fillId="5" borderId="39" xfId="13" applyNumberFormat="1" applyFont="1" applyFill="1" applyBorder="1" applyAlignment="1">
      <alignment horizontal="center" vertical="center" wrapText="1"/>
    </xf>
    <xf numFmtId="183" fontId="24" fillId="0" borderId="39" xfId="13" applyNumberFormat="1" applyFont="1" applyBorder="1" applyAlignment="1">
      <alignment horizontal="right" vertical="center" wrapText="1"/>
    </xf>
    <xf numFmtId="183" fontId="24" fillId="0" borderId="39" xfId="13" applyNumberFormat="1" applyFont="1" applyFill="1" applyBorder="1" applyAlignment="1">
      <alignment horizontal="right" vertical="center" wrapText="1"/>
    </xf>
    <xf numFmtId="189" fontId="24" fillId="5" borderId="39" xfId="13" applyNumberFormat="1" applyFont="1" applyFill="1" applyBorder="1" applyAlignment="1">
      <alignment vertical="center"/>
    </xf>
    <xf numFmtId="177" fontId="24" fillId="5" borderId="39" xfId="13" applyFont="1" applyFill="1" applyBorder="1" applyAlignment="1">
      <alignment horizontal="center" vertical="center"/>
    </xf>
    <xf numFmtId="183" fontId="24" fillId="5" borderId="39" xfId="13" applyNumberFormat="1" applyFont="1" applyFill="1" applyBorder="1" applyAlignment="1">
      <alignment horizontal="center" vertical="center" wrapText="1"/>
    </xf>
    <xf numFmtId="183" fontId="35" fillId="0" borderId="39" xfId="13" applyNumberFormat="1" applyFont="1" applyFill="1" applyBorder="1" applyAlignment="1">
      <alignment horizontal="right" vertical="center" wrapText="1"/>
    </xf>
    <xf numFmtId="189" fontId="24" fillId="5" borderId="40" xfId="13" applyNumberFormat="1" applyFont="1" applyFill="1" applyBorder="1" applyAlignment="1">
      <alignment vertical="center"/>
    </xf>
    <xf numFmtId="177" fontId="24" fillId="5" borderId="40" xfId="13" applyFont="1" applyFill="1" applyBorder="1" applyAlignment="1">
      <alignment horizontal="center" vertical="center"/>
    </xf>
    <xf numFmtId="183" fontId="24" fillId="5" borderId="40" xfId="13" applyNumberFormat="1" applyFont="1" applyFill="1" applyBorder="1" applyAlignment="1">
      <alignment horizontal="center" vertical="center" wrapText="1"/>
    </xf>
    <xf numFmtId="183" fontId="24" fillId="0" borderId="40" xfId="13" applyNumberFormat="1" applyFont="1" applyFill="1" applyBorder="1" applyAlignment="1">
      <alignment horizontal="right" vertical="center" wrapText="1"/>
    </xf>
    <xf numFmtId="183" fontId="35" fillId="0" borderId="40" xfId="13" applyNumberFormat="1" applyFont="1" applyFill="1" applyBorder="1" applyAlignment="1">
      <alignment horizontal="right" vertical="center" wrapText="1"/>
    </xf>
    <xf numFmtId="183" fontId="19" fillId="0" borderId="40" xfId="13" applyNumberFormat="1" applyFont="1" applyBorder="1" applyAlignment="1">
      <alignment horizontal="center" vertical="center" wrapText="1"/>
    </xf>
    <xf numFmtId="183" fontId="19" fillId="0" borderId="39" xfId="13" applyNumberFormat="1" applyFont="1" applyBorder="1" applyAlignment="1">
      <alignment horizontal="center" vertical="center" wrapText="1"/>
    </xf>
    <xf numFmtId="0" fontId="23" fillId="0" borderId="41" xfId="13" applyNumberFormat="1" applyFont="1" applyBorder="1" applyAlignment="1">
      <alignment horizontal="center" vertical="center"/>
    </xf>
    <xf numFmtId="190" fontId="35" fillId="0" borderId="41" xfId="13" applyNumberFormat="1" applyFont="1" applyFill="1" applyBorder="1" applyAlignment="1">
      <alignment horizontal="center" vertical="center"/>
    </xf>
    <xf numFmtId="183" fontId="35" fillId="5" borderId="41" xfId="13" applyNumberFormat="1" applyFont="1" applyFill="1" applyBorder="1" applyAlignment="1">
      <alignment horizontal="right" vertical="center" wrapText="1"/>
    </xf>
    <xf numFmtId="183" fontId="24" fillId="5" borderId="41" xfId="13" applyNumberFormat="1" applyFont="1" applyFill="1" applyBorder="1" applyAlignment="1">
      <alignment horizontal="right" vertical="center" wrapText="1"/>
    </xf>
    <xf numFmtId="183" fontId="19" fillId="0" borderId="41" xfId="13" applyNumberFormat="1" applyFont="1" applyBorder="1" applyAlignment="1">
      <alignment horizontal="center" vertical="center" wrapText="1"/>
    </xf>
    <xf numFmtId="189" fontId="37" fillId="0" borderId="38" xfId="13" applyNumberFormat="1" applyFont="1" applyFill="1" applyBorder="1" applyAlignment="1">
      <alignment vertical="center"/>
    </xf>
    <xf numFmtId="0" fontId="23" fillId="0" borderId="38" xfId="13" applyNumberFormat="1" applyFont="1" applyBorder="1" applyAlignment="1">
      <alignment vertical="center"/>
    </xf>
    <xf numFmtId="183" fontId="38" fillId="0" borderId="38" xfId="13" applyNumberFormat="1" applyFont="1" applyBorder="1" applyAlignment="1">
      <alignment horizontal="center" vertical="center" wrapText="1"/>
    </xf>
    <xf numFmtId="190" fontId="35" fillId="0" borderId="40" xfId="13" applyNumberFormat="1" applyFont="1" applyFill="1" applyBorder="1" applyAlignment="1">
      <alignment horizontal="center" vertical="center"/>
    </xf>
    <xf numFmtId="183" fontId="35" fillId="5" borderId="40" xfId="13" applyNumberFormat="1" applyFont="1" applyFill="1" applyBorder="1" applyAlignment="1">
      <alignment horizontal="right" vertical="center" wrapText="1"/>
    </xf>
    <xf numFmtId="183" fontId="24" fillId="5" borderId="40" xfId="13" applyNumberFormat="1" applyFont="1" applyFill="1" applyBorder="1" applyAlignment="1">
      <alignment horizontal="right" vertical="center" wrapText="1"/>
    </xf>
    <xf numFmtId="189" fontId="37" fillId="0" borderId="41" xfId="13" applyNumberFormat="1" applyFont="1" applyFill="1" applyBorder="1" applyAlignment="1">
      <alignment vertical="center"/>
    </xf>
    <xf numFmtId="0" fontId="23" fillId="0" borderId="32" xfId="13" applyNumberFormat="1" applyFont="1" applyBorder="1" applyAlignment="1">
      <alignment vertical="center"/>
    </xf>
    <xf numFmtId="189" fontId="24" fillId="0" borderId="32" xfId="13" applyNumberFormat="1" applyFont="1" applyFill="1" applyBorder="1" applyAlignment="1">
      <alignment vertical="center"/>
    </xf>
    <xf numFmtId="190" fontId="35" fillId="0" borderId="32" xfId="13" applyNumberFormat="1" applyFont="1" applyFill="1" applyBorder="1" applyAlignment="1">
      <alignment horizontal="center" vertical="center"/>
    </xf>
    <xf numFmtId="183" fontId="35" fillId="5" borderId="32" xfId="13" applyNumberFormat="1" applyFont="1" applyFill="1" applyBorder="1" applyAlignment="1">
      <alignment horizontal="right" vertical="center" wrapText="1"/>
    </xf>
    <xf numFmtId="183" fontId="24" fillId="5" borderId="32" xfId="13" applyNumberFormat="1" applyFont="1" applyFill="1" applyBorder="1" applyAlignment="1">
      <alignment horizontal="right" vertical="center" wrapText="1"/>
    </xf>
    <xf numFmtId="183" fontId="19" fillId="0" borderId="32" xfId="13" applyNumberFormat="1" applyFont="1" applyBorder="1" applyAlignment="1">
      <alignment horizontal="center" vertical="center" wrapText="1"/>
    </xf>
    <xf numFmtId="189" fontId="35" fillId="0" borderId="40" xfId="13" applyNumberFormat="1" applyFont="1" applyFill="1" applyBorder="1" applyAlignment="1">
      <alignment vertical="center"/>
    </xf>
    <xf numFmtId="183" fontId="38" fillId="0" borderId="40" xfId="13" applyNumberFormat="1" applyFont="1" applyBorder="1" applyAlignment="1">
      <alignment horizontal="center" vertical="center" wrapText="1"/>
    </xf>
    <xf numFmtId="190" fontId="20" fillId="0" borderId="0" xfId="15" applyNumberFormat="1" applyFo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3" fillId="0" borderId="38" xfId="13" applyNumberFormat="1" applyFont="1" applyBorder="1" applyAlignment="1">
      <alignment vertical="center"/>
    </xf>
    <xf numFmtId="0" fontId="23" fillId="0" borderId="40" xfId="13" applyNumberFormat="1" applyFont="1" applyBorder="1" applyAlignment="1">
      <alignment vertical="center"/>
    </xf>
    <xf numFmtId="0" fontId="23" fillId="0" borderId="33" xfId="13" applyNumberFormat="1" applyFont="1" applyBorder="1" applyAlignment="1">
      <alignment horizontal="center" vertical="center"/>
    </xf>
    <xf numFmtId="0" fontId="23" fillId="0" borderId="36" xfId="13" applyNumberFormat="1" applyFont="1" applyBorder="1" applyAlignment="1">
      <alignment horizontal="center" vertical="center"/>
    </xf>
    <xf numFmtId="0" fontId="19" fillId="0" borderId="39" xfId="13" applyNumberFormat="1" applyFont="1" applyBorder="1" applyAlignment="1">
      <alignment vertical="center"/>
    </xf>
    <xf numFmtId="0" fontId="19" fillId="0" borderId="40" xfId="13" applyNumberFormat="1" applyFont="1" applyBorder="1" applyAlignment="1">
      <alignment vertical="center"/>
    </xf>
    <xf numFmtId="0" fontId="23" fillId="0" borderId="33" xfId="13" applyNumberFormat="1" applyFont="1" applyBorder="1" applyAlignment="1">
      <alignment vertical="center"/>
    </xf>
    <xf numFmtId="0" fontId="23" fillId="0" borderId="36" xfId="13" applyNumberFormat="1" applyFont="1" applyBorder="1" applyAlignment="1">
      <alignment vertical="center"/>
    </xf>
    <xf numFmtId="0" fontId="23" fillId="0" borderId="42" xfId="13" applyNumberFormat="1" applyFont="1" applyBorder="1" applyAlignment="1">
      <alignment horizontal="center" vertical="center"/>
    </xf>
    <xf numFmtId="0" fontId="21" fillId="0" borderId="31" xfId="15" applyFont="1" applyBorder="1" applyAlignment="1">
      <alignment horizontal="center" vertical="center"/>
    </xf>
    <xf numFmtId="188" fontId="23" fillId="11" borderId="34" xfId="13" applyNumberFormat="1" applyFont="1" applyFill="1" applyBorder="1" applyAlignment="1">
      <alignment vertical="center" wrapText="1"/>
    </xf>
    <xf numFmtId="188" fontId="23" fillId="11" borderId="37" xfId="13" applyNumberFormat="1" applyFont="1" applyFill="1" applyBorder="1" applyAlignment="1">
      <alignment vertical="center" wrapText="1"/>
    </xf>
    <xf numFmtId="188" fontId="23" fillId="11" borderId="35" xfId="13" applyNumberFormat="1" applyFont="1" applyFill="1" applyBorder="1" applyAlignment="1">
      <alignment vertical="center" wrapText="1"/>
    </xf>
    <xf numFmtId="0" fontId="23" fillId="0" borderId="32" xfId="15" quotePrefix="1" applyFont="1" applyBorder="1" applyAlignment="1">
      <alignment horizontal="center" vertical="center" wrapText="1"/>
    </xf>
    <xf numFmtId="0" fontId="33" fillId="0" borderId="32" xfId="15" quotePrefix="1" applyFont="1" applyBorder="1" applyAlignment="1">
      <alignment horizontal="center" vertical="center"/>
    </xf>
    <xf numFmtId="0" fontId="33" fillId="0" borderId="33" xfId="15" quotePrefix="1" applyFont="1" applyBorder="1" applyAlignment="1">
      <alignment horizontal="center" vertical="center" wrapText="1"/>
    </xf>
    <xf numFmtId="0" fontId="33" fillId="0" borderId="36" xfId="15" quotePrefix="1" applyFont="1" applyBorder="1" applyAlignment="1">
      <alignment horizontal="center" vertical="center" wrapText="1"/>
    </xf>
    <xf numFmtId="0" fontId="33" fillId="0" borderId="32" xfId="15" applyFont="1" applyBorder="1" applyAlignment="1">
      <alignment horizontal="center" vertical="center"/>
    </xf>
    <xf numFmtId="0" fontId="33" fillId="0" borderId="34" xfId="15" quotePrefix="1" applyFont="1" applyBorder="1" applyAlignment="1">
      <alignment horizontal="center" vertical="center"/>
    </xf>
    <xf numFmtId="0" fontId="33" fillId="0" borderId="35" xfId="15" quotePrefix="1" applyFont="1" applyBorder="1" applyAlignment="1">
      <alignment horizontal="center" vertical="center"/>
    </xf>
    <xf numFmtId="0" fontId="33" fillId="0" borderId="33" xfId="15" applyFont="1" applyBorder="1" applyAlignment="1">
      <alignment horizontal="center" vertical="center"/>
    </xf>
    <xf numFmtId="0" fontId="33" fillId="0" borderId="36" xfId="15" applyFont="1" applyBorder="1" applyAlignment="1">
      <alignment horizontal="center" vertical="center"/>
    </xf>
    <xf numFmtId="0" fontId="23" fillId="0" borderId="32" xfId="15" quotePrefix="1" applyFont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2 81" xfId="19" xr:uid="{D42D6AC2-0CD6-4D79-A095-CB5FA603F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161926</xdr:rowOff>
    </xdr:from>
    <xdr:to>
      <xdr:col>7</xdr:col>
      <xdr:colOff>310253</xdr:colOff>
      <xdr:row>38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528FC-1086-4C58-B21E-FC2FA1E0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9676"/>
          <a:ext cx="4520303" cy="5981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380999</xdr:colOff>
      <xdr:row>2</xdr:row>
      <xdr:rowOff>38100</xdr:rowOff>
    </xdr:from>
    <xdr:to>
      <xdr:col>26</xdr:col>
      <xdr:colOff>469140</xdr:colOff>
      <xdr:row>26</xdr:row>
      <xdr:rowOff>104775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D2F7CAA-803A-4C32-9EA0-5517B8A50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599" y="457200"/>
          <a:ext cx="6260341" cy="50958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561305</xdr:colOff>
      <xdr:row>30</xdr:row>
      <xdr:rowOff>132600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038D9E4-B4E2-4C4F-92C6-44B19B34F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419100"/>
          <a:ext cx="5361905" cy="6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389131</xdr:colOff>
      <xdr:row>0</xdr:row>
      <xdr:rowOff>185854</xdr:rowOff>
    </xdr:from>
    <xdr:to>
      <xdr:col>8</xdr:col>
      <xdr:colOff>563369</xdr:colOff>
      <xdr:row>26</xdr:row>
      <xdr:rowOff>11624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C26686-D0A5-7A3C-B8A9-40CF724DB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131" y="185854"/>
          <a:ext cx="5656921" cy="5412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19" sqref="L19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7" t="s">
        <v>6</v>
      </c>
      <c r="B2" s="177"/>
      <c r="C2" s="177"/>
      <c r="D2" s="177"/>
      <c r="E2" s="177"/>
      <c r="F2" s="177"/>
      <c r="G2" s="177"/>
      <c r="H2" s="2"/>
    </row>
    <row r="3" spans="1:9" ht="13.5">
      <c r="A3" s="81"/>
      <c r="B3" s="81"/>
      <c r="C3" s="81"/>
      <c r="D3" s="81"/>
      <c r="E3" s="81"/>
      <c r="F3" s="81"/>
      <c r="G3" s="81"/>
      <c r="H3" s="81"/>
    </row>
    <row r="4" spans="1:9" ht="13.5">
      <c r="A4" s="81"/>
      <c r="B4" s="81"/>
      <c r="C4" s="81"/>
      <c r="D4" s="81"/>
      <c r="E4" s="81"/>
      <c r="H4" s="81"/>
    </row>
    <row r="5" spans="1:9" ht="27" customHeight="1">
      <c r="A5" s="82" t="s">
        <v>47</v>
      </c>
      <c r="B5" s="4"/>
      <c r="C5" s="5"/>
      <c r="D5" s="81"/>
      <c r="E5" s="81"/>
      <c r="F5" s="6" t="s">
        <v>37</v>
      </c>
      <c r="G5" s="7" t="s">
        <v>50</v>
      </c>
      <c r="H5" s="81"/>
    </row>
    <row r="6" spans="1:9" ht="27" customHeight="1">
      <c r="A6" s="81"/>
      <c r="B6" s="81"/>
      <c r="C6" s="81"/>
      <c r="D6" s="81"/>
      <c r="E6" s="81"/>
      <c r="F6" s="8" t="s">
        <v>40</v>
      </c>
      <c r="G6" s="9" t="s">
        <v>51</v>
      </c>
      <c r="H6" s="81"/>
    </row>
    <row r="7" spans="1:9" ht="27" customHeight="1">
      <c r="A7" s="180" t="s">
        <v>137</v>
      </c>
      <c r="B7" s="181"/>
      <c r="C7" s="182"/>
      <c r="D7" s="81"/>
      <c r="E7" s="10"/>
      <c r="F7" s="11" t="s">
        <v>41</v>
      </c>
      <c r="G7" s="9" t="s">
        <v>52</v>
      </c>
      <c r="H7" s="81"/>
    </row>
    <row r="8" spans="1:9" ht="27" customHeight="1">
      <c r="A8" s="81"/>
      <c r="B8" s="81"/>
      <c r="C8" s="81"/>
      <c r="D8" s="81"/>
      <c r="E8" s="81"/>
      <c r="F8" s="8" t="s">
        <v>42</v>
      </c>
      <c r="G8" s="9" t="s">
        <v>53</v>
      </c>
      <c r="H8" s="81"/>
    </row>
    <row r="9" spans="1:9" ht="27" customHeight="1">
      <c r="A9" s="180" t="s">
        <v>134</v>
      </c>
      <c r="B9" s="181"/>
      <c r="C9" s="182"/>
      <c r="D9" s="81"/>
      <c r="E9" s="81"/>
      <c r="F9" s="8" t="s">
        <v>43</v>
      </c>
      <c r="G9" s="9" t="s">
        <v>54</v>
      </c>
      <c r="H9" s="81"/>
    </row>
    <row r="10" spans="1:9" ht="27" customHeight="1">
      <c r="A10" s="81"/>
      <c r="B10" s="81"/>
      <c r="C10" s="81"/>
      <c r="D10" s="81"/>
      <c r="E10" s="81"/>
      <c r="F10" s="12" t="s">
        <v>38</v>
      </c>
      <c r="G10" s="13" t="s">
        <v>55</v>
      </c>
      <c r="H10" s="81"/>
      <c r="I10" s="81"/>
    </row>
    <row r="11" spans="1:9" ht="27" customHeight="1">
      <c r="A11" s="178"/>
      <c r="B11" s="179"/>
      <c r="C11" s="179"/>
      <c r="D11" s="81"/>
      <c r="E11" s="14"/>
      <c r="F11" s="15" t="s">
        <v>39</v>
      </c>
      <c r="G11" s="16" t="s">
        <v>56</v>
      </c>
      <c r="H11" s="14"/>
    </row>
    <row r="12" spans="1:9" ht="19.5" thickBot="1">
      <c r="A12" s="17" t="s">
        <v>7</v>
      </c>
      <c r="B12" s="17" t="str">
        <f>NUMBERSTRING(F31,1)</f>
        <v>팔십구만구천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81"/>
      <c r="B13" s="81"/>
      <c r="C13" s="81"/>
      <c r="D13" s="81"/>
      <c r="E13" s="81"/>
      <c r="F13" s="81"/>
      <c r="G13" s="81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'내역서(표준단가)'!K11</f>
        <v>268118.5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'내역서(표준단가)'!M11</f>
        <v>509033.36799999996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777151.86800000002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10" t="s">
        <v>23</v>
      </c>
      <c r="C21" s="111" t="s">
        <v>84</v>
      </c>
      <c r="D21" s="112">
        <v>1</v>
      </c>
      <c r="E21" s="112" t="s">
        <v>24</v>
      </c>
      <c r="F21" s="113">
        <f>F17*4.75%</f>
        <v>24179.08498</v>
      </c>
      <c r="G21" s="35" t="s">
        <v>25</v>
      </c>
    </row>
    <row r="22" spans="1:7" ht="33" customHeight="1">
      <c r="A22" s="29"/>
      <c r="B22" s="114" t="s">
        <v>26</v>
      </c>
      <c r="C22" s="111" t="s">
        <v>85</v>
      </c>
      <c r="D22" s="115">
        <v>1</v>
      </c>
      <c r="E22" s="115" t="s">
        <v>24</v>
      </c>
      <c r="F22" s="116">
        <f>F17*3.595%</f>
        <v>18299.7495796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2369.8175705582003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5141.2370167999998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18121.587900799997</v>
      </c>
      <c r="G25" s="35" t="s">
        <v>27</v>
      </c>
    </row>
    <row r="26" spans="1:7" ht="33" customHeight="1">
      <c r="A26" s="29"/>
      <c r="B26" s="42" t="s">
        <v>31</v>
      </c>
      <c r="C26" s="45" t="s">
        <v>78</v>
      </c>
      <c r="D26" s="30">
        <v>1</v>
      </c>
      <c r="E26" s="30" t="s">
        <v>24</v>
      </c>
      <c r="F26" s="43">
        <f>(F16+F17)*3.11%</f>
        <v>24169.4230948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30065.713407127903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122346.61354968611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899498.48154968617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899000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C16" sqref="C16"/>
    </sheetView>
  </sheetViews>
  <sheetFormatPr defaultColWidth="9" defaultRowHeight="38.1" customHeight="1"/>
  <cols>
    <col min="1" max="1" width="20.75" style="98" customWidth="1"/>
    <col min="2" max="2" width="13.125" style="91" customWidth="1"/>
    <col min="3" max="5" width="12.625" style="91" customWidth="1"/>
    <col min="6" max="7" width="30.625" style="88" customWidth="1"/>
    <col min="8" max="8" width="6.75" style="91" bestFit="1" customWidth="1"/>
    <col min="9" max="9" width="8.25" style="91" customWidth="1"/>
    <col min="10" max="10" width="10.625" style="91" bestFit="1" customWidth="1"/>
    <col min="11" max="11" width="15.625" style="91" customWidth="1"/>
    <col min="12" max="12" width="12" style="91" bestFit="1" customWidth="1"/>
    <col min="13" max="13" width="15.125" style="91" customWidth="1"/>
    <col min="14" max="14" width="9" style="91" customWidth="1"/>
    <col min="15" max="15" width="8.75" style="91" bestFit="1" customWidth="1"/>
    <col min="16" max="16" width="10.5" style="91" customWidth="1"/>
    <col min="17" max="17" width="8.75" style="91" bestFit="1" customWidth="1"/>
    <col min="18" max="18" width="15.625" style="91" bestFit="1" customWidth="1"/>
    <col min="19" max="19" width="13.375" style="62" bestFit="1" customWidth="1"/>
    <col min="20" max="20" width="8.5" style="91" bestFit="1" customWidth="1"/>
    <col min="21" max="21" width="16.375" style="91" customWidth="1"/>
    <col min="22" max="16384" width="9" style="91"/>
  </cols>
  <sheetData>
    <row r="1" spans="1:20" ht="19.899999999999999" customHeight="1">
      <c r="A1" s="183"/>
      <c r="B1" s="183"/>
      <c r="C1" s="183"/>
      <c r="D1" s="183"/>
      <c r="E1" s="183"/>
      <c r="J1" s="62"/>
      <c r="K1" s="90" t="s">
        <v>57</v>
      </c>
      <c r="M1" s="90" t="s">
        <v>57</v>
      </c>
      <c r="O1" s="90" t="s">
        <v>57</v>
      </c>
      <c r="Q1" s="90" t="s">
        <v>57</v>
      </c>
    </row>
    <row r="2" spans="1:20" ht="19.899999999999999" customHeight="1" thickBot="1">
      <c r="A2" s="183"/>
      <c r="B2" s="183"/>
      <c r="C2" s="183"/>
      <c r="D2" s="183"/>
      <c r="E2" s="183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92"/>
      <c r="B3" s="93" t="s">
        <v>58</v>
      </c>
      <c r="C3" s="93"/>
      <c r="D3" s="93"/>
      <c r="E3" s="93"/>
      <c r="F3" s="194" t="s">
        <v>59</v>
      </c>
      <c r="G3" s="194"/>
      <c r="H3" s="192" t="s">
        <v>46</v>
      </c>
      <c r="I3" s="192" t="s">
        <v>5</v>
      </c>
      <c r="J3" s="188" t="s">
        <v>60</v>
      </c>
      <c r="K3" s="188"/>
      <c r="L3" s="188" t="s">
        <v>61</v>
      </c>
      <c r="M3" s="188"/>
      <c r="N3" s="189" t="s">
        <v>62</v>
      </c>
      <c r="O3" s="189"/>
      <c r="P3" s="189" t="s">
        <v>63</v>
      </c>
      <c r="Q3" s="189"/>
      <c r="R3" s="190" t="s">
        <v>64</v>
      </c>
      <c r="S3" s="186" t="s">
        <v>76</v>
      </c>
      <c r="T3" s="184" t="s">
        <v>44</v>
      </c>
    </row>
    <row r="4" spans="1:20" ht="19.899999999999999" customHeight="1">
      <c r="A4" s="65" t="s">
        <v>65</v>
      </c>
      <c r="B4" s="66" t="s">
        <v>66</v>
      </c>
      <c r="C4" s="66" t="s">
        <v>67</v>
      </c>
      <c r="D4" s="66" t="s">
        <v>68</v>
      </c>
      <c r="E4" s="66" t="s">
        <v>69</v>
      </c>
      <c r="F4" s="89" t="s">
        <v>70</v>
      </c>
      <c r="G4" s="89" t="s">
        <v>71</v>
      </c>
      <c r="H4" s="193"/>
      <c r="I4" s="193"/>
      <c r="J4" s="67" t="s">
        <v>72</v>
      </c>
      <c r="K4" s="68" t="s">
        <v>73</v>
      </c>
      <c r="L4" s="67" t="s">
        <v>74</v>
      </c>
      <c r="M4" s="68" t="s">
        <v>73</v>
      </c>
      <c r="N4" s="68" t="s">
        <v>75</v>
      </c>
      <c r="O4" s="68" t="s">
        <v>73</v>
      </c>
      <c r="P4" s="68" t="s">
        <v>75</v>
      </c>
      <c r="Q4" s="68" t="s">
        <v>73</v>
      </c>
      <c r="R4" s="191"/>
      <c r="S4" s="187"/>
      <c r="T4" s="185"/>
    </row>
    <row r="5" spans="1:20" s="94" customFormat="1" ht="58.5" customHeight="1">
      <c r="A5" s="69" t="str">
        <f t="shared" ref="A5:A6" si="0">B5&amp;C5&amp;D5&amp;E5</f>
        <v>M020414115290101</v>
      </c>
      <c r="B5" s="75"/>
      <c r="C5" s="70"/>
      <c r="D5" s="99" t="s">
        <v>80</v>
      </c>
      <c r="E5" s="75"/>
      <c r="F5" s="100" t="s">
        <v>82</v>
      </c>
      <c r="G5" s="102" t="s">
        <v>86</v>
      </c>
      <c r="H5" s="100" t="s">
        <v>81</v>
      </c>
      <c r="I5" s="87">
        <v>20</v>
      </c>
      <c r="J5" s="107">
        <v>15400</v>
      </c>
      <c r="K5" s="84">
        <f t="shared" ref="K5:K6" si="1">SUM(J5:J5)*I5*$K$2</f>
        <v>257180</v>
      </c>
      <c r="L5" s="83"/>
      <c r="M5" s="84">
        <f t="shared" ref="M5:M6" si="2">(L5*I5)*$M$2</f>
        <v>0</v>
      </c>
      <c r="N5" s="85"/>
      <c r="O5" s="84">
        <f t="shared" ref="O5:O6" si="3">N5*I5*$O$2</f>
        <v>0</v>
      </c>
      <c r="P5" s="85"/>
      <c r="Q5" s="84">
        <f t="shared" ref="Q5:Q6" si="4">P5*I5*$Q$2</f>
        <v>0</v>
      </c>
      <c r="R5" s="109">
        <f t="shared" ref="R5:R6" si="5">SUM(K5+M5)+O5+Q5</f>
        <v>257180</v>
      </c>
      <c r="S5" s="80"/>
      <c r="T5" s="73"/>
    </row>
    <row r="6" spans="1:20" s="94" customFormat="1" ht="38.1" customHeight="1">
      <c r="A6" s="69" t="str">
        <f t="shared" si="0"/>
        <v>E00000803061300101</v>
      </c>
      <c r="B6" s="75"/>
      <c r="C6" s="101" t="s">
        <v>79</v>
      </c>
      <c r="D6" s="70"/>
      <c r="E6" s="75"/>
      <c r="F6" s="104" t="s">
        <v>83</v>
      </c>
      <c r="G6" s="103" t="s">
        <v>87</v>
      </c>
      <c r="H6" s="86" t="s">
        <v>77</v>
      </c>
      <c r="I6" s="87">
        <v>96</v>
      </c>
      <c r="J6" s="105"/>
      <c r="K6" s="71">
        <f t="shared" si="1"/>
        <v>0</v>
      </c>
      <c r="L6" s="108">
        <v>3442</v>
      </c>
      <c r="M6" s="71">
        <f t="shared" si="2"/>
        <v>275910.71999999997</v>
      </c>
      <c r="N6" s="72"/>
      <c r="O6" s="71">
        <f t="shared" si="3"/>
        <v>0</v>
      </c>
      <c r="P6" s="72"/>
      <c r="Q6" s="71">
        <f t="shared" si="4"/>
        <v>0</v>
      </c>
      <c r="R6" s="109">
        <f t="shared" si="5"/>
        <v>275910.71999999997</v>
      </c>
      <c r="S6" s="106"/>
      <c r="T6" s="73"/>
    </row>
    <row r="7" spans="1:20" s="94" customFormat="1" ht="38.1" customHeight="1">
      <c r="A7" s="69" t="str">
        <f t="shared" ref="A7:A10" si="6">B7&amp;C7&amp;D7&amp;E7</f>
        <v>E00000803061300101</v>
      </c>
      <c r="B7" s="75"/>
      <c r="C7" s="101" t="s">
        <v>79</v>
      </c>
      <c r="D7" s="70"/>
      <c r="E7" s="75"/>
      <c r="F7" s="104" t="s">
        <v>109</v>
      </c>
      <c r="G7" s="104" t="s">
        <v>110</v>
      </c>
      <c r="H7" s="86" t="s">
        <v>77</v>
      </c>
      <c r="I7" s="87">
        <v>26.4</v>
      </c>
      <c r="J7" s="105"/>
      <c r="K7" s="71">
        <f t="shared" ref="K7:K10" si="7">SUM(J7:J7)*I7*$K$2</f>
        <v>0</v>
      </c>
      <c r="L7" s="108">
        <v>3442</v>
      </c>
      <c r="M7" s="71">
        <f t="shared" ref="M7" si="8">(L7*I7)*$M$2</f>
        <v>75875.447999999989</v>
      </c>
      <c r="N7" s="72"/>
      <c r="O7" s="71">
        <f t="shared" ref="O7" si="9">N7*I7*$O$2</f>
        <v>0</v>
      </c>
      <c r="P7" s="72"/>
      <c r="Q7" s="71">
        <f t="shared" ref="Q7" si="10">P7*I7*$Q$2</f>
        <v>0</v>
      </c>
      <c r="R7" s="109">
        <f t="shared" ref="R7:R10" si="11">SUM(K7+M7)+O7+Q7</f>
        <v>75875.447999999989</v>
      </c>
      <c r="S7" s="106"/>
      <c r="T7" s="73"/>
    </row>
    <row r="8" spans="1:20" s="94" customFormat="1" ht="38.1" customHeight="1">
      <c r="A8" s="69" t="str">
        <f t="shared" si="6"/>
        <v>M020412614110102</v>
      </c>
      <c r="B8" s="75"/>
      <c r="C8" s="70"/>
      <c r="D8" s="126" t="s">
        <v>111</v>
      </c>
      <c r="E8" s="75"/>
      <c r="F8" s="131" t="s">
        <v>112</v>
      </c>
      <c r="G8" s="131" t="s">
        <v>100</v>
      </c>
      <c r="H8" s="86" t="s">
        <v>101</v>
      </c>
      <c r="I8" s="87">
        <v>0.2</v>
      </c>
      <c r="J8" s="127">
        <v>65500</v>
      </c>
      <c r="K8" s="84">
        <f t="shared" si="7"/>
        <v>10938.5</v>
      </c>
      <c r="L8" s="83"/>
      <c r="M8" s="84"/>
      <c r="N8" s="85"/>
      <c r="O8" s="84"/>
      <c r="P8" s="85"/>
      <c r="Q8" s="84"/>
      <c r="R8" s="72">
        <f t="shared" si="11"/>
        <v>10938.5</v>
      </c>
      <c r="S8" s="106"/>
      <c r="T8" s="73"/>
    </row>
    <row r="9" spans="1:20" s="94" customFormat="1" ht="38.1" customHeight="1">
      <c r="A9" s="69" t="str">
        <f t="shared" si="6"/>
        <v>E00000803061120402</v>
      </c>
      <c r="B9" s="75"/>
      <c r="C9" s="70" t="s">
        <v>113</v>
      </c>
      <c r="D9" s="70"/>
      <c r="E9" s="75"/>
      <c r="F9" s="131" t="s">
        <v>114</v>
      </c>
      <c r="G9" s="131" t="s">
        <v>115</v>
      </c>
      <c r="H9" s="86" t="s">
        <v>77</v>
      </c>
      <c r="I9" s="87">
        <v>11</v>
      </c>
      <c r="J9" s="128"/>
      <c r="K9" s="71">
        <f t="shared" si="7"/>
        <v>0</v>
      </c>
      <c r="L9" s="129">
        <v>10752</v>
      </c>
      <c r="M9" s="71">
        <f t="shared" ref="M9:M10" si="12">(L9*I9)*$M$2</f>
        <v>98757.119999999995</v>
      </c>
      <c r="N9" s="72"/>
      <c r="O9" s="71">
        <f t="shared" ref="O9:O10" si="13">N9*I9*$O$2</f>
        <v>0</v>
      </c>
      <c r="P9" s="72"/>
      <c r="Q9" s="71">
        <f t="shared" ref="Q9:Q10" si="14">P9*I9*$Q$2</f>
        <v>0</v>
      </c>
      <c r="R9" s="72">
        <f t="shared" si="11"/>
        <v>98757.119999999995</v>
      </c>
      <c r="S9" s="106"/>
      <c r="T9" s="73"/>
    </row>
    <row r="10" spans="1:20" s="94" customFormat="1" ht="38.1" customHeight="1">
      <c r="A10" s="69" t="str">
        <f t="shared" si="6"/>
        <v>E00000803061300201</v>
      </c>
      <c r="B10" s="75"/>
      <c r="C10" s="70" t="s">
        <v>116</v>
      </c>
      <c r="D10" s="70"/>
      <c r="E10" s="75"/>
      <c r="F10" s="131" t="s">
        <v>117</v>
      </c>
      <c r="G10" s="131" t="s">
        <v>118</v>
      </c>
      <c r="H10" s="86" t="s">
        <v>119</v>
      </c>
      <c r="I10" s="87">
        <v>11</v>
      </c>
      <c r="J10" s="128"/>
      <c r="K10" s="71">
        <f t="shared" si="7"/>
        <v>0</v>
      </c>
      <c r="L10" s="130">
        <v>6368</v>
      </c>
      <c r="M10" s="71">
        <f t="shared" si="12"/>
        <v>58490.079999999994</v>
      </c>
      <c r="N10" s="72"/>
      <c r="O10" s="71">
        <f t="shared" si="13"/>
        <v>0</v>
      </c>
      <c r="P10" s="72"/>
      <c r="Q10" s="71">
        <f t="shared" si="14"/>
        <v>0</v>
      </c>
      <c r="R10" s="72">
        <f t="shared" si="11"/>
        <v>58490.079999999994</v>
      </c>
      <c r="S10" s="106"/>
      <c r="T10" s="73"/>
    </row>
    <row r="11" spans="1:20" ht="38.1" customHeight="1">
      <c r="A11" s="95"/>
      <c r="K11" s="96">
        <f>SUM(K5:K10)</f>
        <v>268118.5</v>
      </c>
      <c r="L11" s="97"/>
      <c r="M11" s="96">
        <f>SUM(M5:M10)</f>
        <v>509033.36799999996</v>
      </c>
      <c r="N11" s="97"/>
      <c r="O11" s="96">
        <f>SUM(O5:O10)</f>
        <v>0</v>
      </c>
      <c r="P11" s="97"/>
      <c r="Q11" s="96">
        <f>SUM(Q5:Q10)</f>
        <v>0</v>
      </c>
      <c r="R11" s="96">
        <f>SUM(R5:R10)</f>
        <v>777151.8679999999</v>
      </c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5B19-35E1-4F33-9441-41BFC38FD977}">
  <sheetPr>
    <pageSetUpPr fitToPage="1"/>
  </sheetPr>
  <dimension ref="A1:P17"/>
  <sheetViews>
    <sheetView workbookViewId="0">
      <selection activeCell="N28" sqref="N28"/>
    </sheetView>
  </sheetViews>
  <sheetFormatPr defaultRowHeight="16.5"/>
  <cols>
    <col min="1" max="1" width="8.875" style="123" customWidth="1"/>
    <col min="2" max="2" width="16.25" style="123" customWidth="1"/>
    <col min="3" max="3" width="26.625" style="123" customWidth="1"/>
    <col min="4" max="4" width="7.5" style="123" bestFit="1" customWidth="1"/>
    <col min="5" max="5" width="8.5" style="123" bestFit="1" customWidth="1"/>
    <col min="6" max="9" width="10.625" style="123" customWidth="1"/>
    <col min="10" max="13" width="10.625" style="123" hidden="1" customWidth="1"/>
    <col min="14" max="16" width="10.625" style="123" customWidth="1"/>
  </cols>
  <sheetData>
    <row r="1" spans="1:16" s="74" customFormat="1" ht="27" customHeight="1">
      <c r="A1" s="204" t="s">
        <v>88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</row>
    <row r="2" spans="1:16" s="74" customFormat="1" ht="30.75" customHeight="1">
      <c r="A2" s="205" t="s">
        <v>120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7"/>
    </row>
    <row r="3" spans="1:16" s="74" customFormat="1" ht="18" customHeight="1">
      <c r="A3" s="208" t="s">
        <v>105</v>
      </c>
      <c r="B3" s="217" t="s">
        <v>106</v>
      </c>
      <c r="C3" s="209" t="s">
        <v>89</v>
      </c>
      <c r="D3" s="210" t="s">
        <v>107</v>
      </c>
      <c r="E3" s="210" t="s">
        <v>108</v>
      </c>
      <c r="F3" s="212" t="s">
        <v>90</v>
      </c>
      <c r="G3" s="209"/>
      <c r="H3" s="209" t="s">
        <v>91</v>
      </c>
      <c r="I3" s="209"/>
      <c r="J3" s="213" t="s">
        <v>92</v>
      </c>
      <c r="K3" s="214"/>
      <c r="L3" s="213" t="s">
        <v>93</v>
      </c>
      <c r="M3" s="214"/>
      <c r="N3" s="212" t="s">
        <v>94</v>
      </c>
      <c r="O3" s="209"/>
      <c r="P3" s="215" t="s">
        <v>95</v>
      </c>
    </row>
    <row r="4" spans="1:16" s="74" customFormat="1" ht="18" customHeight="1">
      <c r="A4" s="208"/>
      <c r="B4" s="217"/>
      <c r="C4" s="209"/>
      <c r="D4" s="211"/>
      <c r="E4" s="211"/>
      <c r="F4" s="117" t="s">
        <v>96</v>
      </c>
      <c r="G4" s="117" t="s">
        <v>97</v>
      </c>
      <c r="H4" s="118" t="s">
        <v>96</v>
      </c>
      <c r="I4" s="117" t="s">
        <v>98</v>
      </c>
      <c r="J4" s="117"/>
      <c r="K4" s="117"/>
      <c r="L4" s="118" t="s">
        <v>96</v>
      </c>
      <c r="M4" s="117" t="s">
        <v>98</v>
      </c>
      <c r="N4" s="118" t="s">
        <v>96</v>
      </c>
      <c r="O4" s="117" t="s">
        <v>98</v>
      </c>
      <c r="P4" s="216"/>
    </row>
    <row r="5" spans="1:16" s="74" customFormat="1" ht="18" customHeight="1">
      <c r="A5" s="156">
        <v>99</v>
      </c>
      <c r="B5" s="168" t="s">
        <v>135</v>
      </c>
      <c r="C5" s="169" t="s">
        <v>136</v>
      </c>
      <c r="D5" s="170">
        <v>6</v>
      </c>
      <c r="E5" s="170">
        <v>36</v>
      </c>
      <c r="F5" s="171">
        <v>12859</v>
      </c>
      <c r="G5" s="172">
        <f t="shared" ref="G5" si="0">D5*F5</f>
        <v>77154</v>
      </c>
      <c r="H5" s="171">
        <v>2874</v>
      </c>
      <c r="I5" s="172">
        <f t="shared" ref="I5" si="1">E5*H5</f>
        <v>103464</v>
      </c>
      <c r="J5" s="172"/>
      <c r="K5" s="172"/>
      <c r="L5" s="172"/>
      <c r="M5" s="172"/>
      <c r="N5" s="172"/>
      <c r="O5" s="172">
        <f t="shared" ref="O5" si="2">G5+I5+K5+M5</f>
        <v>180618</v>
      </c>
      <c r="P5" s="173"/>
    </row>
    <row r="6" spans="1:16" s="74" customFormat="1" ht="18" customHeight="1">
      <c r="A6" s="197">
        <v>139</v>
      </c>
      <c r="B6" s="162" t="s">
        <v>130</v>
      </c>
      <c r="C6" s="133" t="s">
        <v>122</v>
      </c>
      <c r="D6" s="134">
        <v>2</v>
      </c>
      <c r="E6" s="134">
        <v>12</v>
      </c>
      <c r="F6" s="135">
        <v>12859</v>
      </c>
      <c r="G6" s="136">
        <f>D6*F6</f>
        <v>25718</v>
      </c>
      <c r="H6" s="135">
        <v>2874</v>
      </c>
      <c r="I6" s="136">
        <f t="shared" ref="I6" si="3">E6*H6</f>
        <v>34488</v>
      </c>
      <c r="J6" s="136"/>
      <c r="K6" s="136"/>
      <c r="L6" s="136"/>
      <c r="M6" s="136"/>
      <c r="N6" s="136"/>
      <c r="O6" s="136">
        <f>G6+I6+K6+M6</f>
        <v>60206</v>
      </c>
      <c r="P6" s="163" t="s">
        <v>131</v>
      </c>
    </row>
    <row r="7" spans="1:16" s="74" customFormat="1" ht="18" customHeight="1">
      <c r="A7" s="203"/>
      <c r="B7" s="199" t="s">
        <v>129</v>
      </c>
      <c r="C7" s="140" t="s">
        <v>100</v>
      </c>
      <c r="D7" s="141" t="s">
        <v>101</v>
      </c>
      <c r="E7" s="142">
        <v>0.2</v>
      </c>
      <c r="F7" s="138">
        <v>54693</v>
      </c>
      <c r="G7" s="143">
        <f>E7*F7</f>
        <v>10938.6</v>
      </c>
      <c r="H7" s="138"/>
      <c r="I7" s="139"/>
      <c r="J7" s="139"/>
      <c r="K7" s="139"/>
      <c r="L7" s="139"/>
      <c r="M7" s="139"/>
      <c r="N7" s="139"/>
      <c r="O7" s="144">
        <f t="shared" ref="O7:O9" si="4">G7+I7+K7+M7</f>
        <v>10938.6</v>
      </c>
      <c r="P7" s="155"/>
    </row>
    <row r="8" spans="1:16" s="74" customFormat="1" ht="18" customHeight="1">
      <c r="A8" s="203"/>
      <c r="B8" s="199"/>
      <c r="C8" s="145" t="s">
        <v>102</v>
      </c>
      <c r="D8" s="146" t="s">
        <v>99</v>
      </c>
      <c r="E8" s="147">
        <v>11</v>
      </c>
      <c r="F8" s="144"/>
      <c r="G8" s="144">
        <f>E8*F8</f>
        <v>0</v>
      </c>
      <c r="H8" s="148">
        <v>8978</v>
      </c>
      <c r="I8" s="144">
        <f t="shared" ref="I8:I9" si="5">E8*H8</f>
        <v>98758</v>
      </c>
      <c r="J8" s="144"/>
      <c r="K8" s="144"/>
      <c r="L8" s="144"/>
      <c r="M8" s="144"/>
      <c r="N8" s="144"/>
      <c r="O8" s="144">
        <f t="shared" si="4"/>
        <v>98758</v>
      </c>
      <c r="P8" s="155"/>
    </row>
    <row r="9" spans="1:16" s="74" customFormat="1" ht="18" customHeight="1">
      <c r="A9" s="198"/>
      <c r="B9" s="200"/>
      <c r="C9" s="149" t="s">
        <v>103</v>
      </c>
      <c r="D9" s="150" t="s">
        <v>99</v>
      </c>
      <c r="E9" s="151">
        <v>11</v>
      </c>
      <c r="F9" s="152"/>
      <c r="G9" s="152">
        <f t="shared" ref="G9" si="6">E9*F9</f>
        <v>0</v>
      </c>
      <c r="H9" s="153">
        <v>5317</v>
      </c>
      <c r="I9" s="152">
        <f t="shared" si="5"/>
        <v>58487</v>
      </c>
      <c r="J9" s="152"/>
      <c r="K9" s="152"/>
      <c r="L9" s="152"/>
      <c r="M9" s="152"/>
      <c r="N9" s="152"/>
      <c r="O9" s="152">
        <f t="shared" si="4"/>
        <v>58487</v>
      </c>
      <c r="P9" s="154"/>
    </row>
    <row r="10" spans="1:16" s="74" customFormat="1" ht="18" customHeight="1">
      <c r="A10" s="156">
        <v>138</v>
      </c>
      <c r="B10" s="168" t="s">
        <v>124</v>
      </c>
      <c r="C10" s="169" t="s">
        <v>121</v>
      </c>
      <c r="D10" s="170">
        <v>2</v>
      </c>
      <c r="E10" s="170">
        <v>12</v>
      </c>
      <c r="F10" s="171">
        <v>12859</v>
      </c>
      <c r="G10" s="172">
        <f t="shared" ref="G10:G15" si="7">D10*F10</f>
        <v>25718</v>
      </c>
      <c r="H10" s="171">
        <v>2874</v>
      </c>
      <c r="I10" s="172">
        <f t="shared" ref="I10:I15" si="8">E10*H10</f>
        <v>34488</v>
      </c>
      <c r="J10" s="172"/>
      <c r="K10" s="172"/>
      <c r="L10" s="172"/>
      <c r="M10" s="172"/>
      <c r="N10" s="172"/>
      <c r="O10" s="172">
        <f t="shared" ref="O10:O15" si="9">G10+I10+K10+M10</f>
        <v>60206</v>
      </c>
      <c r="P10" s="173"/>
    </row>
    <row r="11" spans="1:16" s="74" customFormat="1" ht="18" customHeight="1">
      <c r="A11" s="197">
        <v>64</v>
      </c>
      <c r="B11" s="195" t="s">
        <v>125</v>
      </c>
      <c r="C11" s="161" t="s">
        <v>133</v>
      </c>
      <c r="D11" s="134">
        <v>2</v>
      </c>
      <c r="E11" s="134">
        <v>12</v>
      </c>
      <c r="F11" s="135">
        <v>12859</v>
      </c>
      <c r="G11" s="136">
        <f t="shared" si="7"/>
        <v>25718</v>
      </c>
      <c r="H11" s="135">
        <v>2874</v>
      </c>
      <c r="I11" s="136">
        <f t="shared" si="8"/>
        <v>34488</v>
      </c>
      <c r="J11" s="136"/>
      <c r="K11" s="136"/>
      <c r="L11" s="136"/>
      <c r="M11" s="136"/>
      <c r="N11" s="136"/>
      <c r="O11" s="136">
        <f t="shared" si="9"/>
        <v>60206</v>
      </c>
      <c r="P11" s="137"/>
    </row>
    <row r="12" spans="1:16" s="74" customFormat="1" ht="18" customHeight="1">
      <c r="A12" s="198"/>
      <c r="B12" s="196"/>
      <c r="C12" s="174" t="s">
        <v>123</v>
      </c>
      <c r="D12" s="164">
        <v>4</v>
      </c>
      <c r="E12" s="164">
        <v>26.4</v>
      </c>
      <c r="F12" s="165">
        <v>12859</v>
      </c>
      <c r="G12" s="166">
        <f t="shared" si="7"/>
        <v>51436</v>
      </c>
      <c r="H12" s="165">
        <v>2874</v>
      </c>
      <c r="I12" s="166">
        <f t="shared" si="8"/>
        <v>75873.599999999991</v>
      </c>
      <c r="J12" s="166"/>
      <c r="K12" s="166"/>
      <c r="L12" s="166"/>
      <c r="M12" s="166"/>
      <c r="N12" s="166"/>
      <c r="O12" s="166">
        <f t="shared" si="9"/>
        <v>127309.59999999999</v>
      </c>
      <c r="P12" s="175" t="s">
        <v>131</v>
      </c>
    </row>
    <row r="13" spans="1:16" s="74" customFormat="1" ht="18" customHeight="1">
      <c r="A13" s="197">
        <v>66</v>
      </c>
      <c r="B13" s="201" t="s">
        <v>126</v>
      </c>
      <c r="C13" s="167" t="s">
        <v>132</v>
      </c>
      <c r="D13" s="157">
        <v>2</v>
      </c>
      <c r="E13" s="157">
        <v>12</v>
      </c>
      <c r="F13" s="158">
        <v>12859</v>
      </c>
      <c r="G13" s="159">
        <f t="shared" si="7"/>
        <v>25718</v>
      </c>
      <c r="H13" s="158">
        <v>2874</v>
      </c>
      <c r="I13" s="159">
        <f t="shared" si="8"/>
        <v>34488</v>
      </c>
      <c r="J13" s="159"/>
      <c r="K13" s="159"/>
      <c r="L13" s="159"/>
      <c r="M13" s="159"/>
      <c r="N13" s="159"/>
      <c r="O13" s="159">
        <f t="shared" si="9"/>
        <v>60206</v>
      </c>
      <c r="P13" s="160"/>
    </row>
    <row r="14" spans="1:16" s="74" customFormat="1" ht="18" customHeight="1">
      <c r="A14" s="198"/>
      <c r="B14" s="202"/>
      <c r="C14" s="174" t="s">
        <v>128</v>
      </c>
      <c r="D14" s="164"/>
      <c r="E14" s="164"/>
      <c r="F14" s="165"/>
      <c r="G14" s="166"/>
      <c r="H14" s="165"/>
      <c r="I14" s="166"/>
      <c r="J14" s="166"/>
      <c r="K14" s="166"/>
      <c r="L14" s="166"/>
      <c r="M14" s="166"/>
      <c r="N14" s="166"/>
      <c r="O14" s="166"/>
      <c r="P14" s="154"/>
    </row>
    <row r="15" spans="1:16" s="74" customFormat="1" ht="18" customHeight="1">
      <c r="A15" s="132">
        <v>140</v>
      </c>
      <c r="B15" s="168" t="s">
        <v>127</v>
      </c>
      <c r="C15" s="169" t="s">
        <v>122</v>
      </c>
      <c r="D15" s="170">
        <v>2</v>
      </c>
      <c r="E15" s="170">
        <v>12</v>
      </c>
      <c r="F15" s="171">
        <v>12859</v>
      </c>
      <c r="G15" s="172">
        <f t="shared" si="7"/>
        <v>25718</v>
      </c>
      <c r="H15" s="171">
        <v>2874</v>
      </c>
      <c r="I15" s="172">
        <f t="shared" si="8"/>
        <v>34488</v>
      </c>
      <c r="J15" s="172"/>
      <c r="K15" s="172"/>
      <c r="L15" s="172"/>
      <c r="M15" s="172"/>
      <c r="N15" s="172"/>
      <c r="O15" s="172">
        <f t="shared" si="9"/>
        <v>60206</v>
      </c>
      <c r="P15" s="173"/>
    </row>
    <row r="16" spans="1:16" s="74" customFormat="1" ht="18" customHeight="1">
      <c r="A16" s="119"/>
      <c r="B16" s="119" t="s">
        <v>104</v>
      </c>
      <c r="C16" s="120"/>
      <c r="D16" s="124"/>
      <c r="E16" s="124"/>
      <c r="F16" s="121"/>
      <c r="G16" s="125">
        <f>SUM(G5:G15)</f>
        <v>268118.59999999998</v>
      </c>
      <c r="H16" s="122"/>
      <c r="I16" s="125">
        <f>SUM(I5:I15)</f>
        <v>509022.6</v>
      </c>
      <c r="J16" s="121"/>
      <c r="K16" s="122" t="e">
        <f>#REF!+#REF!+#REF!+#REF!</f>
        <v>#REF!</v>
      </c>
      <c r="L16" s="121"/>
      <c r="M16" s="122" t="e">
        <f>#REF!+#REF!+#REF!+#REF!</f>
        <v>#REF!</v>
      </c>
      <c r="N16" s="121"/>
      <c r="O16" s="125">
        <f>SUM(O5:O15)</f>
        <v>777141.2</v>
      </c>
      <c r="P16" s="121"/>
    </row>
    <row r="17" spans="4:5">
      <c r="D17" s="176">
        <f>D5+D6+D10+D11+D12+D13+D15</f>
        <v>20</v>
      </c>
      <c r="E17" s="176">
        <f>E5+E6+E10+E11+E13+E15</f>
        <v>96</v>
      </c>
    </row>
  </sheetData>
  <mergeCells count="19">
    <mergeCell ref="A1:P1"/>
    <mergeCell ref="A2:P2"/>
    <mergeCell ref="A3:A4"/>
    <mergeCell ref="C3:C4"/>
    <mergeCell ref="E3:E4"/>
    <mergeCell ref="F3:G3"/>
    <mergeCell ref="H3:I3"/>
    <mergeCell ref="J3:K3"/>
    <mergeCell ref="L3:M3"/>
    <mergeCell ref="N3:O3"/>
    <mergeCell ref="D3:D4"/>
    <mergeCell ref="P3:P4"/>
    <mergeCell ref="B3:B4"/>
    <mergeCell ref="B11:B12"/>
    <mergeCell ref="A11:A12"/>
    <mergeCell ref="A13:A14"/>
    <mergeCell ref="B7:B9"/>
    <mergeCell ref="B13:B14"/>
    <mergeCell ref="A6:A9"/>
  </mergeCells>
  <phoneticPr fontId="5" type="noConversion"/>
  <pageMargins left="0.7" right="0.7" top="0.75" bottom="0.75" header="0.3" footer="0.3"/>
  <pageSetup paperSize="9" scale="83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G26" sqref="G26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4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M020414115290101</v>
      </c>
      <c r="B2" s="78">
        <f>'내역서(표준단가)'!B5</f>
        <v>0</v>
      </c>
      <c r="C2" s="78">
        <f>'내역서(표준단가)'!C5</f>
        <v>0</v>
      </c>
      <c r="D2" s="78" t="str">
        <f>'내역서(표준단가)'!D5</f>
        <v>M020414115290101</v>
      </c>
      <c r="E2" s="78">
        <f>'내역서(표준단가)'!E5</f>
        <v>0</v>
      </c>
      <c r="F2" s="79">
        <f>'내역서(표준단가)'!I5</f>
        <v>20</v>
      </c>
    </row>
    <row r="3" spans="1:6">
      <c r="A3" s="77" t="str">
        <f>'내역서(표준단가)'!A6</f>
        <v>E00000803061300101</v>
      </c>
      <c r="B3" s="78">
        <f>'내역서(표준단가)'!B6</f>
        <v>0</v>
      </c>
      <c r="C3" s="78" t="str">
        <f>'내역서(표준단가)'!C6</f>
        <v>E00000803061300101</v>
      </c>
      <c r="D3" s="78">
        <f>'내역서(표준단가)'!D6</f>
        <v>0</v>
      </c>
      <c r="E3" s="78">
        <f>'내역서(표준단가)'!E6</f>
        <v>0</v>
      </c>
      <c r="F3" s="79">
        <f>'내역서(표준단가)'!I6</f>
        <v>96</v>
      </c>
    </row>
    <row r="4" spans="1:6">
      <c r="A4" s="77" t="str">
        <f>'내역서(표준단가)'!A7</f>
        <v>E00000803061300101</v>
      </c>
      <c r="B4" s="78">
        <f>'내역서(표준단가)'!B7</f>
        <v>0</v>
      </c>
      <c r="C4" s="78" t="str">
        <f>'내역서(표준단가)'!C7</f>
        <v>E00000803061300101</v>
      </c>
      <c r="D4" s="78">
        <f>'내역서(표준단가)'!D7</f>
        <v>0</v>
      </c>
      <c r="E4" s="78">
        <f>'내역서(표준단가)'!E7</f>
        <v>0</v>
      </c>
      <c r="F4" s="79">
        <f>'내역서(표준단가)'!I7</f>
        <v>26.4</v>
      </c>
    </row>
    <row r="5" spans="1:6">
      <c r="A5" s="77" t="str">
        <f>'내역서(표준단가)'!A8</f>
        <v>M020412614110102</v>
      </c>
      <c r="B5" s="78">
        <f>'내역서(표준단가)'!B8</f>
        <v>0</v>
      </c>
      <c r="C5" s="78">
        <f>'내역서(표준단가)'!C8</f>
        <v>0</v>
      </c>
      <c r="D5" s="78" t="str">
        <f>'내역서(표준단가)'!D8</f>
        <v>M020412614110102</v>
      </c>
      <c r="E5" s="78">
        <f>'내역서(표준단가)'!E8</f>
        <v>0</v>
      </c>
      <c r="F5" s="79">
        <f>'내역서(표준단가)'!I8</f>
        <v>0.2</v>
      </c>
    </row>
    <row r="6" spans="1:6">
      <c r="A6" s="77" t="str">
        <f>'내역서(표준단가)'!A9</f>
        <v>E00000803061120402</v>
      </c>
      <c r="B6" s="78">
        <f>'내역서(표준단가)'!B9</f>
        <v>0</v>
      </c>
      <c r="C6" s="78" t="str">
        <f>'내역서(표준단가)'!C9</f>
        <v>E00000803061120402</v>
      </c>
      <c r="D6" s="78">
        <f>'내역서(표준단가)'!D9</f>
        <v>0</v>
      </c>
      <c r="E6" s="78">
        <f>'내역서(표준단가)'!E9</f>
        <v>0</v>
      </c>
      <c r="F6" s="79">
        <f>'내역서(표준단가)'!I9</f>
        <v>11</v>
      </c>
    </row>
    <row r="7" spans="1:6">
      <c r="A7" s="77" t="str">
        <f>'내역서(표준단가)'!A10</f>
        <v>E00000803061300201</v>
      </c>
      <c r="B7" s="78">
        <f>'내역서(표준단가)'!B10</f>
        <v>0</v>
      </c>
      <c r="C7" s="78" t="str">
        <f>'내역서(표준단가)'!C10</f>
        <v>E00000803061300201</v>
      </c>
      <c r="D7" s="78">
        <f>'내역서(표준단가)'!D10</f>
        <v>0</v>
      </c>
      <c r="E7" s="78">
        <f>'내역서(표준단가)'!E10</f>
        <v>0</v>
      </c>
      <c r="F7" s="79">
        <f>'내역서(표준단가)'!I10</f>
        <v>11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C07-0BB5-46CB-B98E-979C59182194}">
  <sheetPr codeName="Sheet4"/>
  <dimension ref="A1"/>
  <sheetViews>
    <sheetView topLeftCell="A4" workbookViewId="0">
      <selection activeCell="K40" sqref="K40"/>
    </sheetView>
  </sheetViews>
  <sheetFormatPr defaultRowHeight="13.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0EAD-947A-4509-94E0-ABD58C874BAC}">
  <dimension ref="A1"/>
  <sheetViews>
    <sheetView zoomScale="81" zoomScaleNormal="81" workbookViewId="0">
      <selection activeCell="S41" sqref="S41"/>
    </sheetView>
  </sheetViews>
  <sheetFormatPr defaultRowHeight="16.5"/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Upload</vt:lpstr>
      <vt:lpstr>도면</vt:lpstr>
      <vt:lpstr>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2026-01-27T04:29:03Z</cp:lastPrinted>
  <dcterms:created xsi:type="dcterms:W3CDTF">2020-09-15T23:52:51Z</dcterms:created>
  <dcterms:modified xsi:type="dcterms:W3CDTF">2026-06-11T05:48:06Z</dcterms:modified>
</cp:coreProperties>
</file>
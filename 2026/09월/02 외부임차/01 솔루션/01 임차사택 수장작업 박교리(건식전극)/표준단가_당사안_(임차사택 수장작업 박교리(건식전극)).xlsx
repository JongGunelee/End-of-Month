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715\06 작업폴더\01 임차사택 수장작업 박교리(건식전극)\"/>
    </mc:Choice>
  </mc:AlternateContent>
  <xr:revisionPtr revIDLastSave="0" documentId="13_ncr:1_{6716E634-55E3-4C46-8FE0-6158F0BC3D1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1" r:id="rId1"/>
    <sheet name="내역서(표준단가)" sheetId="2" r:id="rId2"/>
    <sheet name="상세내역" sheetId="3" r:id="rId3"/>
    <sheet name="Upload" sheetId="4" r:id="rId4"/>
    <sheet name="초원 23평 도면" sheetId="5" r:id="rId5"/>
    <sheet name="Sheet1" sheetId="6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A3" i="4"/>
  <c r="F2" i="4"/>
  <c r="E2" i="4"/>
  <c r="D2" i="4"/>
  <c r="C2" i="4"/>
  <c r="B2" i="4"/>
  <c r="L19" i="3"/>
  <c r="L18" i="3"/>
  <c r="J18" i="3"/>
  <c r="F18" i="3"/>
  <c r="D18" i="3"/>
  <c r="H17" i="3"/>
  <c r="F17" i="3"/>
  <c r="N17" i="3" s="1"/>
  <c r="H16" i="3"/>
  <c r="F16" i="3"/>
  <c r="N16" i="3" s="1"/>
  <c r="N15" i="3"/>
  <c r="H15" i="3"/>
  <c r="F15" i="3"/>
  <c r="H14" i="3"/>
  <c r="N14" i="3" s="1"/>
  <c r="N18" i="3" s="1"/>
  <c r="F14" i="3"/>
  <c r="L13" i="3"/>
  <c r="J13" i="3"/>
  <c r="J19" i="3" s="1"/>
  <c r="H12" i="3"/>
  <c r="N12" i="3" s="1"/>
  <c r="F12" i="3"/>
  <c r="H11" i="3"/>
  <c r="F11" i="3"/>
  <c r="N11" i="3" s="1"/>
  <c r="H10" i="3"/>
  <c r="F10" i="3"/>
  <c r="N10" i="3" s="1"/>
  <c r="H9" i="3"/>
  <c r="F9" i="3"/>
  <c r="N9" i="3" s="1"/>
  <c r="H8" i="3"/>
  <c r="F8" i="3"/>
  <c r="N8" i="3" s="1"/>
  <c r="H7" i="3"/>
  <c r="F7" i="3"/>
  <c r="N7" i="3" s="1"/>
  <c r="H6" i="3"/>
  <c r="F6" i="3"/>
  <c r="N6" i="3" s="1"/>
  <c r="N5" i="3"/>
  <c r="H5" i="3"/>
  <c r="H13" i="3" s="1"/>
  <c r="F5" i="3"/>
  <c r="F13" i="3" s="1"/>
  <c r="F19" i="3" s="1"/>
  <c r="M10" i="2"/>
  <c r="F17" i="1" s="1"/>
  <c r="R9" i="2"/>
  <c r="Q9" i="2"/>
  <c r="O9" i="2"/>
  <c r="M9" i="2"/>
  <c r="K9" i="2"/>
  <c r="A9" i="2"/>
  <c r="A6" i="4" s="1"/>
  <c r="Q8" i="2"/>
  <c r="O8" i="2"/>
  <c r="R8" i="2" s="1"/>
  <c r="M8" i="2"/>
  <c r="K8" i="2"/>
  <c r="A8" i="2"/>
  <c r="A5" i="4" s="1"/>
  <c r="Q7" i="2"/>
  <c r="O7" i="2"/>
  <c r="M7" i="2"/>
  <c r="K7" i="2"/>
  <c r="R7" i="2" s="1"/>
  <c r="A7" i="2"/>
  <c r="A4" i="4" s="1"/>
  <c r="Q6" i="2"/>
  <c r="O6" i="2"/>
  <c r="M6" i="2"/>
  <c r="K6" i="2"/>
  <c r="R6" i="2" s="1"/>
  <c r="A6" i="2"/>
  <c r="R5" i="2"/>
  <c r="Q5" i="2"/>
  <c r="Q10" i="2" s="1"/>
  <c r="O5" i="2"/>
  <c r="O10" i="2" s="1"/>
  <c r="F18" i="1" s="1"/>
  <c r="M5" i="2"/>
  <c r="K5" i="2"/>
  <c r="K10" i="2" s="1"/>
  <c r="F16" i="1" s="1"/>
  <c r="A5" i="2"/>
  <c r="A2" i="4" s="1"/>
  <c r="F26" i="1" l="1"/>
  <c r="F19" i="1"/>
  <c r="F25" i="1"/>
  <c r="F22" i="1"/>
  <c r="F23" i="1" s="1"/>
  <c r="F21" i="1"/>
  <c r="F24" i="1"/>
  <c r="R10" i="2"/>
  <c r="N13" i="3"/>
  <c r="N19" i="3" s="1"/>
  <c r="H18" i="3"/>
  <c r="H19" i="3" s="1"/>
  <c r="F27" i="1" l="1"/>
  <c r="F28" i="1" s="1"/>
  <c r="F30" i="1" s="1"/>
  <c r="F31" i="1" s="1"/>
  <c r="B12" i="1" s="1"/>
</calcChain>
</file>

<file path=xl/sharedStrings.xml><?xml version="1.0" encoding="utf-8"?>
<sst xmlns="http://schemas.openxmlformats.org/spreadsheetml/2006/main" count="172" uniqueCount="120">
  <si>
    <t xml:space="preserve">              *외부 임차 사택공사와 관련하여, 견적서의 금액 \3,344,000원(내역서+부대비용)을 확인 후, 공사 하였기에 서명날인 합니다.</t>
  </si>
  <si>
    <t xml:space="preserve">                성명:                         근무부서:                         전화번호:                        사택명:</t>
  </si>
  <si>
    <t>합지벽지 1R/L=93㎝(고정)×17.75m=16.51㎡, 소요량184/16.51=11.144R/L</t>
  </si>
  <si>
    <t xml:space="preserve">일당 시공량-벽 46㎡, 적산정보 500p 참조,시공총량122/일당46=2.652, </t>
  </si>
  <si>
    <t>일당 시공량-61㎡ 적산정보 500p 참조,시공총량42.4/일당61=0.8443</t>
  </si>
  <si>
    <t xml:space="preserve">일당 시공량-천장 35㎡ 적산정보 500p 참조, 시공총량62/일당35=1.771, </t>
  </si>
  <si>
    <t>▶ 표준 Code(표준단가/품셈/물정/노임) 순서별 입력(Upload 자동반영)</t>
  </si>
  <si>
    <t xml:space="preserve">재    료   비   </t>
  </si>
  <si>
    <t> 건강보험료*12.95%</t>
  </si>
  <si>
    <t> (노무비+간접공사비)*5%</t>
  </si>
  <si>
    <t>314-86-35718</t>
  </si>
  <si>
    <t>M020853710050101</t>
  </si>
  <si>
    <t>E00000803071260301</t>
  </si>
  <si>
    <t>E00000803071260401</t>
  </si>
  <si>
    <t>M020809012520101</t>
  </si>
  <si>
    <t> (재료비+노무비)*3.11%</t>
  </si>
  <si>
    <t>모든공사에 적용</t>
  </si>
  <si>
    <t xml:space="preserve">  산업안전보건관리비</t>
  </si>
  <si>
    <t> 노무비*1.01%</t>
  </si>
  <si>
    <t>TEL, FAX</t>
  </si>
  <si>
    <t>  장기요양보험료</t>
  </si>
  <si>
    <t>합계(단수조정)</t>
  </si>
  <si>
    <t>일반관리비/이윤</t>
  </si>
  <si>
    <t> 노무비*3.56%</t>
  </si>
  <si>
    <t>실내건축,인테리어공사</t>
  </si>
  <si>
    <t xml:space="preserve"> 내   역   서</t>
  </si>
  <si>
    <t>노   무   비</t>
  </si>
  <si>
    <t>규      격</t>
  </si>
  <si>
    <t xml:space="preserve"> 기타경비(부자재비)</t>
  </si>
  <si>
    <t>품        명</t>
  </si>
  <si>
    <t>기타경비(부자재비)</t>
  </si>
  <si>
    <t>PVC계바닥재 교체</t>
  </si>
  <si>
    <t>도배 교체(천장)</t>
  </si>
  <si>
    <t>도배 교체(벽)</t>
  </si>
  <si>
    <t> 노무비*4.75%</t>
  </si>
  <si>
    <t> 노무비*3.595%</t>
  </si>
  <si>
    <t>수량</t>
  </si>
  <si>
    <t>원정</t>
  </si>
  <si>
    <t>NO</t>
  </si>
  <si>
    <t>건설업</t>
  </si>
  <si>
    <t>소계</t>
  </si>
  <si>
    <t xml:space="preserve">  </t>
  </si>
  <si>
    <t>식</t>
  </si>
  <si>
    <t>종 목</t>
  </si>
  <si>
    <t>㎡</t>
  </si>
  <si>
    <t>소 계</t>
  </si>
  <si>
    <t>금액</t>
  </si>
  <si>
    <t>간접비</t>
  </si>
  <si>
    <t>규격</t>
  </si>
  <si>
    <t>직접비</t>
  </si>
  <si>
    <t>노무비</t>
  </si>
  <si>
    <t>상 호</t>
  </si>
  <si>
    <t>단위</t>
  </si>
  <si>
    <t>합계</t>
  </si>
  <si>
    <t>재료비</t>
  </si>
  <si>
    <t>사업장</t>
  </si>
  <si>
    <t>비고</t>
  </si>
  <si>
    <t>품명</t>
  </si>
  <si>
    <t>품목</t>
  </si>
  <si>
    <t>단가</t>
  </si>
  <si>
    <t>업 태</t>
  </si>
  <si>
    <t>R/L</t>
  </si>
  <si>
    <t>합 계</t>
  </si>
  <si>
    <t>구분</t>
  </si>
  <si>
    <t>042)527-0995, 042)527-0996</t>
  </si>
  <si>
    <t>㈜일성건축</t>
  </si>
  <si>
    <t>기계/기타경비</t>
  </si>
  <si>
    <t xml:space="preserve"> 기계경비</t>
  </si>
  <si>
    <t>등록번호</t>
  </si>
  <si>
    <t>견 적 서</t>
  </si>
  <si>
    <t>대표 이사</t>
  </si>
  <si>
    <t>비  고</t>
  </si>
  <si>
    <t>합  계</t>
  </si>
  <si>
    <t>  국민연금</t>
  </si>
  <si>
    <t>VAT별도</t>
  </si>
  <si>
    <t>할증기준</t>
  </si>
  <si>
    <t>  건강보험료</t>
  </si>
  <si>
    <t>단   가</t>
  </si>
  <si>
    <t xml:space="preserve">금액: </t>
  </si>
  <si>
    <t>  고용보험료</t>
  </si>
  <si>
    <t>상 석 희</t>
  </si>
  <si>
    <t>금     액</t>
  </si>
  <si>
    <t>  산재보험료</t>
  </si>
  <si>
    <t>거실 벽면</t>
  </si>
  <si>
    <t>방C 벽면</t>
  </si>
  <si>
    <t>방B 벽면</t>
  </si>
  <si>
    <t>방C 천정</t>
  </si>
  <si>
    <t>표준품셈 E</t>
  </si>
  <si>
    <t>물가정보 M</t>
  </si>
  <si>
    <t>품셈/표단</t>
  </si>
  <si>
    <t>(일당)</t>
  </si>
  <si>
    <t>노임단가 L</t>
  </si>
  <si>
    <t>2.바닥재</t>
  </si>
  <si>
    <t>아이리스</t>
  </si>
  <si>
    <t>노무비 할증</t>
  </si>
  <si>
    <t>방B 바닥</t>
  </si>
  <si>
    <t>방A 벽면</t>
  </si>
  <si>
    <t>표준품셈</t>
  </si>
  <si>
    <t>방B 천정</t>
  </si>
  <si>
    <t>표준단가 D</t>
  </si>
  <si>
    <t>비닐시트바닥재</t>
  </si>
  <si>
    <t>▼낙찰율</t>
  </si>
  <si>
    <t>표준단가</t>
  </si>
  <si>
    <t>방A 바닥</t>
  </si>
  <si>
    <t>거실 바닥</t>
  </si>
  <si>
    <t>금    액</t>
  </si>
  <si>
    <t>방C 바닥</t>
  </si>
  <si>
    <t>주요내역</t>
  </si>
  <si>
    <t>기계경비</t>
  </si>
  <si>
    <t>물가정보</t>
  </si>
  <si>
    <t>노임단가</t>
  </si>
  <si>
    <t>1.도배</t>
  </si>
  <si>
    <t>거실 천정</t>
  </si>
  <si>
    <t>방A 천정</t>
  </si>
  <si>
    <t>데코리아 다솜(륨) 1.8T×1,830㎜</t>
  </si>
  <si>
    <t xml:space="preserve"> 수신인 : 주식회사 에스엔아이 코퍼레이션</t>
  </si>
  <si>
    <t>대전 서구 도마6길 107 (도마동)</t>
  </si>
  <si>
    <t xml:space="preserve"> 견적일 : 2026년  07월  13일</t>
  </si>
  <si>
    <t xml:space="preserve"> 공사명 : 임차사택 수장작업 박교리책임(건식전극)</t>
  </si>
  <si>
    <t>임차사택 수장작업 박교리책임(건식전극)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</si>
</sst>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1" formatCode="_(* #,##0_);_(* \(#,##0\);_(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</numFmts>
  <fonts count="23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4"/>
      <color rgb="FF000000"/>
      <name val="LG스마트체 Regular"/>
      <family val="3"/>
      <charset val="129"/>
    </font>
    <font>
      <sz val="14"/>
      <color rgb="FFFF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rgb="FFBFBFB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9" fontId="21" fillId="0" borderId="0">
      <alignment vertical="center"/>
    </xf>
    <xf numFmtId="41" fontId="21" fillId="0" borderId="0">
      <alignment vertical="center"/>
    </xf>
    <xf numFmtId="0" fontId="1" fillId="0" borderId="0"/>
    <xf numFmtId="177" fontId="21" fillId="0" borderId="0">
      <alignment vertical="center"/>
    </xf>
    <xf numFmtId="178" fontId="2" fillId="0" borderId="0"/>
    <xf numFmtId="0" fontId="3" fillId="0" borderId="0"/>
    <xf numFmtId="180" fontId="3" fillId="0" borderId="0"/>
    <xf numFmtId="0" fontId="21" fillId="0" borderId="0">
      <alignment vertical="center"/>
    </xf>
    <xf numFmtId="9" fontId="2" fillId="0" borderId="0"/>
    <xf numFmtId="0" fontId="1" fillId="0" borderId="0"/>
    <xf numFmtId="177" fontId="4" fillId="0" borderId="0">
      <alignment vertical="center"/>
    </xf>
    <xf numFmtId="0" fontId="21" fillId="0" borderId="0">
      <alignment vertical="center"/>
    </xf>
  </cellStyleXfs>
  <cellXfs count="185">
    <xf numFmtId="0" fontId="0" fillId="0" borderId="0" xfId="0" applyNumberFormat="1">
      <alignment vertical="center"/>
    </xf>
    <xf numFmtId="0" fontId="5" fillId="0" borderId="1" xfId="6" applyNumberFormat="1" applyFont="1" applyBorder="1" applyAlignment="1">
      <alignment horizontal="right" vertical="center"/>
    </xf>
    <xf numFmtId="0" fontId="6" fillId="0" borderId="0" xfId="6" applyNumberFormat="1" applyFont="1" applyAlignment="1">
      <alignment vertical="center"/>
    </xf>
    <xf numFmtId="0" fontId="7" fillId="0" borderId="0" xfId="3" applyNumberFormat="1" applyFont="1"/>
    <xf numFmtId="0" fontId="8" fillId="0" borderId="2" xfId="6" applyNumberFormat="1" applyFont="1" applyBorder="1" applyAlignment="1">
      <alignment horizontal="center" vertical="center"/>
    </xf>
    <xf numFmtId="0" fontId="5" fillId="0" borderId="3" xfId="6" applyNumberFormat="1" applyFont="1" applyBorder="1" applyAlignment="1">
      <alignment horizontal="right" vertical="center"/>
    </xf>
    <xf numFmtId="0" fontId="5" fillId="2" borderId="4" xfId="6" applyNumberFormat="1" applyFont="1" applyFill="1" applyBorder="1" applyAlignment="1">
      <alignment horizontal="center" vertical="center"/>
    </xf>
    <xf numFmtId="0" fontId="5" fillId="2" borderId="5" xfId="6" applyNumberFormat="1" applyFont="1" applyFill="1" applyBorder="1" applyAlignment="1">
      <alignment vertical="center" shrinkToFit="1"/>
    </xf>
    <xf numFmtId="0" fontId="5" fillId="2" borderId="6" xfId="6" applyNumberFormat="1" applyFont="1" applyFill="1" applyBorder="1" applyAlignment="1">
      <alignment horizontal="center" vertical="center"/>
    </xf>
    <xf numFmtId="0" fontId="5" fillId="2" borderId="7" xfId="6" applyNumberFormat="1" applyFont="1" applyFill="1" applyBorder="1" applyAlignment="1">
      <alignment vertical="center" shrinkToFit="1"/>
    </xf>
    <xf numFmtId="0" fontId="9" fillId="0" borderId="0" xfId="6" applyNumberFormat="1" applyFont="1" applyAlignment="1">
      <alignment vertical="center" shrinkToFit="1"/>
    </xf>
    <xf numFmtId="0" fontId="5" fillId="2" borderId="6" xfId="6" applyNumberFormat="1" applyFont="1" applyFill="1" applyBorder="1" applyAlignment="1">
      <alignment horizontal="center" vertical="center" shrinkToFit="1"/>
    </xf>
    <xf numFmtId="0" fontId="5" fillId="0" borderId="6" xfId="6" applyNumberFormat="1" applyFont="1" applyBorder="1" applyAlignment="1">
      <alignment horizontal="center" vertical="center"/>
    </xf>
    <xf numFmtId="0" fontId="5" fillId="0" borderId="7" xfId="6" applyNumberFormat="1" applyFont="1" applyBorder="1" applyAlignment="1">
      <alignment vertical="center"/>
    </xf>
    <xf numFmtId="0" fontId="8" fillId="0" borderId="0" xfId="6" applyNumberFormat="1" applyFont="1" applyAlignment="1">
      <alignment horizontal="center" vertical="center" shrinkToFit="1"/>
    </xf>
    <xf numFmtId="0" fontId="5" fillId="0" borderId="8" xfId="6" applyNumberFormat="1" applyFont="1" applyBorder="1" applyAlignment="1">
      <alignment horizontal="center" vertical="center" shrinkToFit="1"/>
    </xf>
    <xf numFmtId="0" fontId="5" fillId="0" borderId="9" xfId="6" applyNumberFormat="1" applyFont="1" applyBorder="1" applyAlignment="1">
      <alignment vertical="center" shrinkToFit="1"/>
    </xf>
    <xf numFmtId="0" fontId="9" fillId="0" borderId="1" xfId="6" applyNumberFormat="1" applyFont="1" applyBorder="1" applyAlignment="1">
      <alignment vertical="center"/>
    </xf>
    <xf numFmtId="179" fontId="8" fillId="0" borderId="1" xfId="6" applyNumberFormat="1" applyFont="1" applyBorder="1" applyAlignment="1">
      <alignment vertical="center"/>
    </xf>
    <xf numFmtId="0" fontId="8" fillId="0" borderId="0" xfId="6" applyNumberFormat="1" applyFont="1" applyAlignment="1">
      <alignment vertical="center" shrinkToFit="1"/>
    </xf>
    <xf numFmtId="0" fontId="5" fillId="0" borderId="10" xfId="6" applyNumberFormat="1" applyFont="1" applyBorder="1" applyAlignment="1">
      <alignment horizontal="center" vertical="center"/>
    </xf>
    <xf numFmtId="0" fontId="5" fillId="0" borderId="11" xfId="6" applyNumberFormat="1" applyFont="1" applyBorder="1" applyAlignment="1">
      <alignment horizontal="center" vertical="center"/>
    </xf>
    <xf numFmtId="0" fontId="5" fillId="0" borderId="12" xfId="6" applyNumberFormat="1" applyFont="1" applyBorder="1" applyAlignment="1">
      <alignment horizontal="center" vertical="center"/>
    </xf>
    <xf numFmtId="0" fontId="10" fillId="0" borderId="13" xfId="6" applyNumberFormat="1" applyFont="1" applyBorder="1" applyAlignment="1">
      <alignment horizontal="center" vertical="center"/>
    </xf>
    <xf numFmtId="0" fontId="5" fillId="0" borderId="14" xfId="6" applyNumberFormat="1" applyFont="1" applyBorder="1" applyAlignment="1">
      <alignment vertical="center"/>
    </xf>
    <xf numFmtId="0" fontId="10" fillId="0" borderId="14" xfId="6" applyNumberFormat="1" applyFont="1" applyBorder="1" applyAlignment="1">
      <alignment vertical="center"/>
    </xf>
    <xf numFmtId="1" fontId="10" fillId="0" borderId="14" xfId="6" applyNumberFormat="1" applyFont="1" applyBorder="1" applyAlignment="1">
      <alignment horizontal="center" vertical="center"/>
    </xf>
    <xf numFmtId="180" fontId="10" fillId="0" borderId="14" xfId="7" applyNumberFormat="1" applyFont="1" applyBorder="1" applyAlignment="1">
      <alignment horizontal="right" vertical="center"/>
    </xf>
    <xf numFmtId="0" fontId="10" fillId="0" borderId="15" xfId="6" applyNumberFormat="1" applyFont="1" applyBorder="1" applyAlignment="1">
      <alignment vertical="center"/>
    </xf>
    <xf numFmtId="0" fontId="10" fillId="0" borderId="16" xfId="6" applyNumberFormat="1" applyFont="1" applyBorder="1" applyAlignment="1">
      <alignment horizontal="center" vertical="center"/>
    </xf>
    <xf numFmtId="0" fontId="10" fillId="0" borderId="17" xfId="6" applyNumberFormat="1" applyFont="1" applyBorder="1" applyAlignment="1">
      <alignment horizontal="center" vertical="center"/>
    </xf>
    <xf numFmtId="0" fontId="10" fillId="0" borderId="17" xfId="3" applyNumberFormat="1" applyFont="1" applyBorder="1" applyAlignment="1">
      <alignment horizontal="center" vertical="center"/>
    </xf>
    <xf numFmtId="1" fontId="10" fillId="0" borderId="17" xfId="6" applyNumberFormat="1" applyFont="1" applyBorder="1" applyAlignment="1">
      <alignment horizontal="center" vertical="center"/>
    </xf>
    <xf numFmtId="180" fontId="10" fillId="0" borderId="17" xfId="7" applyNumberFormat="1" applyFont="1" applyBorder="1" applyAlignment="1">
      <alignment horizontal="right" vertical="center"/>
    </xf>
    <xf numFmtId="0" fontId="10" fillId="0" borderId="18" xfId="6" quotePrefix="1" applyNumberFormat="1" applyFont="1" applyBorder="1" applyAlignment="1">
      <alignment vertical="center"/>
    </xf>
    <xf numFmtId="0" fontId="10" fillId="0" borderId="18" xfId="6" applyNumberFormat="1" applyFont="1" applyBorder="1" applyAlignment="1">
      <alignment vertical="center"/>
    </xf>
    <xf numFmtId="0" fontId="5" fillId="3" borderId="17" xfId="6" applyNumberFormat="1" applyFont="1" applyFill="1" applyBorder="1" applyAlignment="1">
      <alignment vertical="center"/>
    </xf>
    <xf numFmtId="1" fontId="5" fillId="3" borderId="17" xfId="6" applyNumberFormat="1" applyFont="1" applyFill="1" applyBorder="1" applyAlignment="1">
      <alignment horizontal="center" vertical="center"/>
    </xf>
    <xf numFmtId="180" fontId="5" fillId="3" borderId="17" xfId="7" applyNumberFormat="1" applyFont="1" applyFill="1" applyBorder="1" applyAlignment="1">
      <alignment horizontal="right" vertical="center"/>
    </xf>
    <xf numFmtId="0" fontId="5" fillId="0" borderId="17" xfId="6" applyNumberFormat="1" applyFont="1" applyBorder="1" applyAlignment="1">
      <alignment vertical="center"/>
    </xf>
    <xf numFmtId="0" fontId="10" fillId="0" borderId="17" xfId="6" applyNumberFormat="1" applyFont="1" applyBorder="1" applyAlignment="1">
      <alignment vertical="center"/>
    </xf>
    <xf numFmtId="180" fontId="5" fillId="0" borderId="17" xfId="7" applyNumberFormat="1" applyFont="1" applyFill="1" applyBorder="1" applyAlignment="1">
      <alignment horizontal="right" vertical="center"/>
    </xf>
    <xf numFmtId="0" fontId="10" fillId="0" borderId="17" xfId="8" applyNumberFormat="1" applyFont="1" applyBorder="1" applyAlignment="1">
      <alignment horizontal="center" vertical="center"/>
    </xf>
    <xf numFmtId="178" fontId="10" fillId="0" borderId="17" xfId="5" applyNumberFormat="1" applyFont="1" applyFill="1" applyBorder="1" applyAlignment="1">
      <alignment horizontal="right" vertical="center"/>
    </xf>
    <xf numFmtId="0" fontId="10" fillId="2" borderId="18" xfId="6" applyNumberFormat="1" applyFont="1" applyFill="1" applyBorder="1" applyAlignment="1">
      <alignment vertical="center"/>
    </xf>
    <xf numFmtId="0" fontId="10" fillId="0" borderId="17" xfId="3" applyNumberFormat="1" applyFont="1" applyBorder="1" applyAlignment="1">
      <alignment horizontal="left" vertical="center"/>
    </xf>
    <xf numFmtId="9" fontId="5" fillId="3" borderId="17" xfId="3" applyNumberFormat="1" applyFont="1" applyFill="1" applyBorder="1" applyAlignment="1">
      <alignment horizontal="right" vertical="center"/>
    </xf>
    <xf numFmtId="1" fontId="5" fillId="3" borderId="17" xfId="9" applyNumberFormat="1" applyFont="1" applyFill="1" applyBorder="1" applyAlignment="1">
      <alignment horizontal="center" vertical="center"/>
    </xf>
    <xf numFmtId="177" fontId="5" fillId="3" borderId="17" xfId="7" applyNumberFormat="1" applyFont="1" applyFill="1" applyBorder="1" applyAlignment="1">
      <alignment horizontal="right" vertical="center"/>
    </xf>
    <xf numFmtId="9" fontId="10" fillId="0" borderId="17" xfId="3" applyNumberFormat="1" applyFont="1" applyBorder="1" applyAlignment="1">
      <alignment horizontal="right" vertical="center"/>
    </xf>
    <xf numFmtId="1" fontId="10" fillId="0" borderId="17" xfId="9" applyNumberFormat="1" applyFont="1" applyFill="1" applyBorder="1" applyAlignment="1">
      <alignment horizontal="center" vertical="center"/>
    </xf>
    <xf numFmtId="177" fontId="5" fillId="0" borderId="17" xfId="7" applyNumberFormat="1" applyFont="1" applyFill="1" applyBorder="1" applyAlignment="1">
      <alignment horizontal="right" vertical="center"/>
    </xf>
    <xf numFmtId="0" fontId="10" fillId="0" borderId="17" xfId="3" applyNumberFormat="1" applyFont="1" applyBorder="1" applyAlignment="1">
      <alignment vertical="center"/>
    </xf>
    <xf numFmtId="180" fontId="10" fillId="2" borderId="17" xfId="7" applyNumberFormat="1" applyFont="1" applyFill="1" applyBorder="1" applyAlignment="1">
      <alignment horizontal="right" vertical="center"/>
    </xf>
    <xf numFmtId="180" fontId="5" fillId="3" borderId="0" xfId="3" applyNumberFormat="1" applyFont="1" applyFill="1" applyAlignment="1">
      <alignment vertical="center"/>
    </xf>
    <xf numFmtId="0" fontId="5" fillId="0" borderId="19" xfId="6" applyNumberFormat="1" applyFont="1" applyBorder="1" applyAlignment="1">
      <alignment horizontal="center" vertical="center" textRotation="255"/>
    </xf>
    <xf numFmtId="0" fontId="5" fillId="0" borderId="20" xfId="6" applyNumberFormat="1" applyFont="1" applyBorder="1" applyAlignment="1">
      <alignment vertical="top"/>
    </xf>
    <xf numFmtId="0" fontId="10" fillId="0" borderId="21" xfId="6" applyNumberFormat="1" applyFont="1" applyBorder="1" applyAlignment="1">
      <alignment vertical="center"/>
    </xf>
    <xf numFmtId="0" fontId="10" fillId="0" borderId="21" xfId="6" applyNumberFormat="1" applyFont="1" applyBorder="1" applyAlignment="1">
      <alignment horizontal="right" vertical="center"/>
    </xf>
    <xf numFmtId="0" fontId="10" fillId="0" borderId="22" xfId="6" applyNumberFormat="1" applyFont="1" applyBorder="1" applyAlignment="1">
      <alignment vertical="center"/>
    </xf>
    <xf numFmtId="0" fontId="5" fillId="0" borderId="0" xfId="10" applyNumberFormat="1" applyFont="1"/>
    <xf numFmtId="0" fontId="7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181" fontId="11" fillId="4" borderId="0" xfId="1" applyNumberFormat="1" applyFont="1" applyFill="1" applyAlignment="1">
      <alignment horizontal="center" vertical="center"/>
    </xf>
    <xf numFmtId="0" fontId="11" fillId="5" borderId="23" xfId="0" applyNumberFormat="1" applyFont="1" applyFill="1" applyBorder="1" applyAlignment="1">
      <alignment horizontal="center" vertical="center"/>
    </xf>
    <xf numFmtId="0" fontId="11" fillId="6" borderId="24" xfId="0" applyNumberFormat="1" applyFont="1" applyFill="1" applyBorder="1" applyAlignment="1">
      <alignment horizontal="center" vertical="center"/>
    </xf>
    <xf numFmtId="177" fontId="11" fillId="5" borderId="24" xfId="4" applyNumberFormat="1" applyFont="1" applyFill="1" applyBorder="1" applyAlignment="1">
      <alignment horizontal="center" vertical="center"/>
    </xf>
    <xf numFmtId="178" fontId="11" fillId="5" borderId="24" xfId="5" applyNumberFormat="1" applyFont="1" applyFill="1" applyBorder="1" applyAlignment="1">
      <alignment horizontal="center" vertical="center"/>
    </xf>
    <xf numFmtId="0" fontId="7" fillId="7" borderId="23" xfId="0" applyNumberFormat="1" applyFont="1" applyFill="1" applyBorder="1" applyAlignment="1">
      <alignment horizontal="center" vertical="center"/>
    </xf>
    <xf numFmtId="0" fontId="7" fillId="6" borderId="24" xfId="0" applyNumberFormat="1" applyFont="1" applyFill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 wrapText="1"/>
    </xf>
    <xf numFmtId="177" fontId="7" fillId="7" borderId="24" xfId="2" applyNumberFormat="1" applyFont="1" applyFill="1" applyBorder="1" applyAlignment="1">
      <alignment horizontal="center" vertical="center" wrapText="1"/>
    </xf>
    <xf numFmtId="177" fontId="7" fillId="0" borderId="24" xfId="2" applyNumberFormat="1" applyFont="1" applyFill="1" applyBorder="1" applyAlignment="1">
      <alignment horizontal="center" vertical="center" wrapText="1"/>
    </xf>
    <xf numFmtId="0" fontId="12" fillId="0" borderId="25" xfId="0" applyNumberFormat="1" applyFont="1" applyBorder="1" applyAlignment="1">
      <alignment horizontal="center" vertical="center"/>
    </xf>
    <xf numFmtId="0" fontId="8" fillId="0" borderId="0" xfId="0" applyNumberFormat="1" applyFont="1">
      <alignment vertical="center"/>
    </xf>
    <xf numFmtId="0" fontId="8" fillId="0" borderId="0" xfId="12" applyNumberFormat="1" applyFont="1">
      <alignment vertical="center"/>
    </xf>
    <xf numFmtId="49" fontId="7" fillId="6" borderId="24" xfId="0" applyNumberFormat="1" applyFont="1" applyFill="1" applyBorder="1" applyAlignment="1">
      <alignment horizontal="center" vertical="center"/>
    </xf>
    <xf numFmtId="0" fontId="10" fillId="2" borderId="0" xfId="0" applyNumberFormat="1" applyFont="1" applyFill="1" applyAlignment="1">
      <alignment horizontal="center" vertical="center"/>
    </xf>
    <xf numFmtId="185" fontId="8" fillId="0" borderId="0" xfId="12" applyNumberFormat="1" applyFont="1">
      <alignment vertical="center"/>
    </xf>
    <xf numFmtId="49" fontId="7" fillId="8" borderId="26" xfId="0" applyNumberFormat="1" applyFont="1" applyFill="1" applyBorder="1" applyAlignment="1">
      <alignment horizontal="center" vertical="center" wrapText="1"/>
    </xf>
    <xf numFmtId="187" fontId="7" fillId="6" borderId="26" xfId="2" applyNumberFormat="1" applyFont="1" applyFill="1" applyBorder="1" applyAlignment="1">
      <alignment horizontal="center" vertical="center"/>
    </xf>
    <xf numFmtId="187" fontId="7" fillId="0" borderId="26" xfId="2" applyNumberFormat="1" applyFont="1" applyBorder="1" applyAlignment="1">
      <alignment horizontal="center" vertical="center"/>
    </xf>
    <xf numFmtId="188" fontId="7" fillId="0" borderId="26" xfId="2" applyNumberFormat="1" applyFont="1" applyBorder="1" applyAlignment="1">
      <alignment horizontal="center" vertical="center"/>
    </xf>
    <xf numFmtId="187" fontId="8" fillId="0" borderId="0" xfId="2" applyNumberFormat="1" applyFont="1" applyAlignment="1">
      <alignment horizontal="center" vertical="center"/>
    </xf>
    <xf numFmtId="186" fontId="7" fillId="0" borderId="24" xfId="2" applyNumberFormat="1" applyFont="1" applyFill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/>
    </xf>
    <xf numFmtId="0" fontId="8" fillId="0" borderId="0" xfId="6" applyNumberFormat="1" applyFont="1" applyAlignment="1">
      <alignment vertical="center"/>
    </xf>
    <xf numFmtId="0" fontId="5" fillId="0" borderId="27" xfId="6" applyNumberFormat="1" applyFont="1" applyBorder="1" applyAlignment="1">
      <alignment vertical="center"/>
    </xf>
    <xf numFmtId="189" fontId="7" fillId="2" borderId="24" xfId="0" applyNumberFormat="1" applyFont="1" applyFill="1" applyBorder="1" applyAlignment="1">
      <alignment horizontal="right" vertical="center" wrapText="1"/>
    </xf>
    <xf numFmtId="189" fontId="7" fillId="7" borderId="24" xfId="2" applyNumberFormat="1" applyFont="1" applyFill="1" applyBorder="1" applyAlignment="1">
      <alignment horizontal="right" vertical="center" wrapText="1"/>
    </xf>
    <xf numFmtId="189" fontId="7" fillId="0" borderId="24" xfId="2" applyNumberFormat="1" applyFont="1" applyFill="1" applyBorder="1" applyAlignment="1">
      <alignment horizontal="right" vertical="center" wrapText="1"/>
    </xf>
    <xf numFmtId="189" fontId="7" fillId="2" borderId="24" xfId="0" applyNumberFormat="1" applyFont="1" applyFill="1" applyBorder="1" applyAlignment="1">
      <alignment horizontal="right" vertical="center"/>
    </xf>
    <xf numFmtId="190" fontId="7" fillId="2" borderId="24" xfId="2" applyNumberFormat="1" applyFont="1" applyFill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 wrapText="1"/>
    </xf>
    <xf numFmtId="0" fontId="7" fillId="0" borderId="0" xfId="0" applyNumberFormat="1" applyFont="1" applyAlignment="1">
      <alignment vertical="center" wrapText="1"/>
    </xf>
    <xf numFmtId="0" fontId="11" fillId="5" borderId="24" xfId="3" applyNumberFormat="1" applyFont="1" applyFill="1" applyBorder="1" applyAlignment="1">
      <alignment horizontal="center" vertical="center" wrapText="1"/>
    </xf>
    <xf numFmtId="0" fontId="10" fillId="2" borderId="0" xfId="0" applyNumberFormat="1" applyFont="1" applyFill="1" applyAlignment="1">
      <alignment vertical="center" wrapText="1"/>
    </xf>
    <xf numFmtId="0" fontId="11" fillId="0" borderId="0" xfId="0" applyNumberFormat="1" applyFont="1" applyAlignment="1">
      <alignment horizontal="center" vertical="center"/>
    </xf>
    <xf numFmtId="0" fontId="7" fillId="0" borderId="0" xfId="0" applyNumberFormat="1" applyFont="1">
      <alignment vertical="center"/>
    </xf>
    <xf numFmtId="0" fontId="11" fillId="9" borderId="28" xfId="0" applyNumberFormat="1" applyFont="1" applyFill="1" applyBorder="1">
      <alignment vertical="center"/>
    </xf>
    <xf numFmtId="0" fontId="11" fillId="9" borderId="29" xfId="0" applyNumberFormat="1" applyFont="1" applyFill="1" applyBorder="1">
      <alignment vertical="center"/>
    </xf>
    <xf numFmtId="0" fontId="12" fillId="0" borderId="0" xfId="0" applyNumberFormat="1" applyFont="1">
      <alignment vertical="center"/>
    </xf>
    <xf numFmtId="0" fontId="7" fillId="2" borderId="24" xfId="0" applyNumberFormat="1" applyFont="1" applyFill="1" applyBorder="1">
      <alignment vertical="center"/>
    </xf>
    <xf numFmtId="0" fontId="10" fillId="10" borderId="0" xfId="0" applyNumberFormat="1" applyFont="1" applyFill="1">
      <alignment vertical="center"/>
    </xf>
    <xf numFmtId="0" fontId="10" fillId="2" borderId="0" xfId="0" applyNumberFormat="1" applyFont="1" applyFill="1">
      <alignment vertical="center"/>
    </xf>
    <xf numFmtId="177" fontId="5" fillId="10" borderId="0" xfId="0" applyNumberFormat="1" applyFont="1" applyFill="1">
      <alignment vertical="center"/>
    </xf>
    <xf numFmtId="0" fontId="13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0" fontId="10" fillId="0" borderId="0" xfId="0" applyNumberFormat="1" applyFont="1">
      <alignment vertical="center"/>
    </xf>
    <xf numFmtId="0" fontId="11" fillId="2" borderId="0" xfId="0" applyNumberFormat="1" applyFont="1" applyFill="1">
      <alignment vertical="center"/>
    </xf>
    <xf numFmtId="177" fontId="14" fillId="2" borderId="24" xfId="2" applyNumberFormat="1" applyFont="1" applyFill="1" applyBorder="1" applyAlignment="1">
      <alignment horizontal="center" vertical="center"/>
    </xf>
    <xf numFmtId="189" fontId="15" fillId="2" borderId="24" xfId="2" applyNumberFormat="1" applyFont="1" applyFill="1" applyBorder="1" applyAlignment="1">
      <alignment horizontal="right" vertical="center" wrapText="1"/>
    </xf>
    <xf numFmtId="177" fontId="16" fillId="2" borderId="24" xfId="2" applyNumberFormat="1" applyFont="1" applyFill="1" applyBorder="1" applyAlignment="1">
      <alignment horizontal="right" vertical="center"/>
    </xf>
    <xf numFmtId="0" fontId="9" fillId="0" borderId="30" xfId="12" quotePrefix="1" applyNumberFormat="1" applyFont="1" applyBorder="1" applyAlignment="1">
      <alignment horizontal="center" vertical="center"/>
    </xf>
    <xf numFmtId="182" fontId="9" fillId="0" borderId="30" xfId="12" quotePrefix="1" applyNumberFormat="1" applyFont="1" applyBorder="1" applyAlignment="1">
      <alignment horizontal="center" vertical="center"/>
    </xf>
    <xf numFmtId="177" fontId="17" fillId="0" borderId="30" xfId="11" applyNumberFormat="1" applyFont="1" applyBorder="1" applyAlignment="1">
      <alignment vertical="center"/>
    </xf>
    <xf numFmtId="184" fontId="17" fillId="0" borderId="30" xfId="11" applyNumberFormat="1" applyFont="1" applyBorder="1" applyAlignment="1">
      <alignment horizontal="center" vertical="center"/>
    </xf>
    <xf numFmtId="177" fontId="17" fillId="0" borderId="30" xfId="11" applyNumberFormat="1" applyFont="1" applyBorder="1" applyAlignment="1">
      <alignment horizontal="center" vertical="center"/>
    </xf>
    <xf numFmtId="191" fontId="17" fillId="0" borderId="30" xfId="11" applyNumberFormat="1" applyFont="1" applyFill="1" applyBorder="1" applyAlignment="1">
      <alignment horizontal="center" vertical="center"/>
    </xf>
    <xf numFmtId="182" fontId="18" fillId="2" borderId="30" xfId="11" applyNumberFormat="1" applyFont="1" applyFill="1" applyBorder="1" applyAlignment="1">
      <alignment horizontal="right" vertical="center" wrapText="1"/>
    </xf>
    <xf numFmtId="182" fontId="17" fillId="2" borderId="30" xfId="11" applyNumberFormat="1" applyFont="1" applyFill="1" applyBorder="1" applyAlignment="1">
      <alignment horizontal="right" vertical="center" wrapText="1"/>
    </xf>
    <xf numFmtId="0" fontId="9" fillId="3" borderId="30" xfId="11" applyNumberFormat="1" applyFont="1" applyFill="1" applyBorder="1" applyAlignment="1">
      <alignment horizontal="center" vertical="center"/>
    </xf>
    <xf numFmtId="184" fontId="17" fillId="3" borderId="30" xfId="11" applyNumberFormat="1" applyFont="1" applyFill="1" applyBorder="1" applyAlignment="1">
      <alignment horizontal="center" vertical="center"/>
    </xf>
    <xf numFmtId="177" fontId="17" fillId="3" borderId="30" xfId="11" applyNumberFormat="1" applyFont="1" applyFill="1" applyBorder="1" applyAlignment="1">
      <alignment horizontal="center" vertical="center"/>
    </xf>
    <xf numFmtId="191" fontId="9" fillId="3" borderId="30" xfId="11" applyNumberFormat="1" applyFont="1" applyFill="1" applyBorder="1" applyAlignment="1">
      <alignment horizontal="center" vertical="center"/>
    </xf>
    <xf numFmtId="182" fontId="9" fillId="3" borderId="30" xfId="11" applyNumberFormat="1" applyFont="1" applyFill="1" applyBorder="1" applyAlignment="1">
      <alignment horizontal="right" vertical="center" wrapText="1"/>
    </xf>
    <xf numFmtId="191" fontId="17" fillId="2" borderId="30" xfId="11" applyNumberFormat="1" applyFont="1" applyFill="1" applyBorder="1" applyAlignment="1">
      <alignment horizontal="center" vertical="center"/>
    </xf>
    <xf numFmtId="182" fontId="17" fillId="0" borderId="30" xfId="11" applyNumberFormat="1" applyFont="1" applyBorder="1" applyAlignment="1">
      <alignment horizontal="right" vertical="center" wrapText="1"/>
    </xf>
    <xf numFmtId="191" fontId="17" fillId="0" borderId="30" xfId="11" applyNumberFormat="1" applyFont="1" applyBorder="1" applyAlignment="1">
      <alignment horizontal="center" vertical="center" wrapText="1"/>
    </xf>
    <xf numFmtId="0" fontId="9" fillId="11" borderId="30" xfId="11" applyNumberFormat="1" applyFont="1" applyFill="1" applyBorder="1" applyAlignment="1">
      <alignment horizontal="center" vertical="center"/>
    </xf>
    <xf numFmtId="184" fontId="17" fillId="11" borderId="30" xfId="11" applyNumberFormat="1" applyFont="1" applyFill="1" applyBorder="1" applyAlignment="1">
      <alignment horizontal="center" vertical="center"/>
    </xf>
    <xf numFmtId="182" fontId="9" fillId="11" borderId="30" xfId="11" applyNumberFormat="1" applyFont="1" applyFill="1" applyBorder="1" applyAlignment="1">
      <alignment horizontal="center" vertical="center" wrapText="1"/>
    </xf>
    <xf numFmtId="191" fontId="9" fillId="11" borderId="30" xfId="11" applyNumberFormat="1" applyFont="1" applyFill="1" applyBorder="1" applyAlignment="1">
      <alignment horizontal="center" vertical="center" wrapText="1"/>
    </xf>
    <xf numFmtId="182" fontId="9" fillId="11" borderId="30" xfId="11" applyNumberFormat="1" applyFont="1" applyFill="1" applyBorder="1" applyAlignment="1">
      <alignment horizontal="right" vertical="center" wrapText="1"/>
    </xf>
    <xf numFmtId="177" fontId="17" fillId="11" borderId="30" xfId="11" applyNumberFormat="1" applyFont="1" applyFill="1" applyBorder="1" applyAlignment="1">
      <alignment horizontal="center" vertical="center"/>
    </xf>
    <xf numFmtId="191" fontId="17" fillId="11" borderId="30" xfId="11" applyNumberFormat="1" applyFont="1" applyFill="1" applyBorder="1" applyAlignment="1">
      <alignment horizontal="center" vertical="center"/>
    </xf>
    <xf numFmtId="182" fontId="17" fillId="11" borderId="30" xfId="11" applyNumberFormat="1" applyFont="1" applyFill="1" applyBorder="1" applyAlignment="1">
      <alignment vertical="center" wrapText="1"/>
    </xf>
    <xf numFmtId="182" fontId="9" fillId="11" borderId="30" xfId="11" applyNumberFormat="1" applyFont="1" applyFill="1" applyBorder="1" applyAlignment="1">
      <alignment vertical="center" wrapText="1"/>
    </xf>
    <xf numFmtId="0" fontId="5" fillId="0" borderId="2" xfId="6" applyNumberFormat="1" applyFont="1" applyBorder="1" applyAlignment="1">
      <alignment vertical="center"/>
    </xf>
    <xf numFmtId="0" fontId="5" fillId="0" borderId="3" xfId="6" applyNumberFormat="1" applyFont="1" applyBorder="1" applyAlignment="1">
      <alignment vertical="center"/>
    </xf>
    <xf numFmtId="0" fontId="10" fillId="0" borderId="17" xfId="8" applyNumberFormat="1" applyFont="1" applyBorder="1" applyAlignment="1">
      <alignment horizontal="center" vertical="center"/>
    </xf>
    <xf numFmtId="0" fontId="19" fillId="0" borderId="17" xfId="6" applyNumberFormat="1" applyFont="1" applyBorder="1" applyAlignment="1">
      <alignment vertical="center"/>
    </xf>
    <xf numFmtId="0" fontId="10" fillId="0" borderId="17" xfId="6" applyNumberFormat="1" applyFont="1" applyBorder="1" applyAlignment="1">
      <alignment horizontal="center" vertical="center"/>
    </xf>
    <xf numFmtId="178" fontId="19" fillId="0" borderId="17" xfId="5" applyNumberFormat="1" applyFont="1" applyFill="1" applyBorder="1" applyAlignment="1">
      <alignment horizontal="right" vertical="center"/>
    </xf>
    <xf numFmtId="0" fontId="10" fillId="2" borderId="17" xfId="8" applyNumberFormat="1" applyFont="1" applyFill="1" applyBorder="1" applyAlignment="1">
      <alignment horizontal="center" vertical="center"/>
    </xf>
    <xf numFmtId="0" fontId="10" fillId="2" borderId="17" xfId="6" applyNumberFormat="1" applyFont="1" applyFill="1" applyBorder="1" applyAlignment="1">
      <alignment horizontal="center" vertical="center"/>
    </xf>
    <xf numFmtId="178" fontId="19" fillId="2" borderId="17" xfId="5" applyNumberFormat="1" applyFont="1" applyFill="1" applyBorder="1" applyAlignment="1">
      <alignment horizontal="right" vertical="center"/>
    </xf>
    <xf numFmtId="0" fontId="6" fillId="0" borderId="0" xfId="6" applyNumberFormat="1" applyFont="1" applyAlignment="1">
      <alignment horizontal="center" vertical="center"/>
    </xf>
    <xf numFmtId="0" fontId="9" fillId="0" borderId="0" xfId="6" applyNumberFormat="1" applyFont="1" applyAlignment="1">
      <alignment vertical="center"/>
    </xf>
    <xf numFmtId="0" fontId="8" fillId="0" borderId="0" xfId="6" applyNumberFormat="1" applyFont="1" applyAlignment="1">
      <alignment vertical="center"/>
    </xf>
    <xf numFmtId="0" fontId="5" fillId="0" borderId="27" xfId="6" applyNumberFormat="1" applyFont="1" applyBorder="1" applyAlignment="1">
      <alignment vertical="center"/>
    </xf>
    <xf numFmtId="0" fontId="5" fillId="0" borderId="2" xfId="6" applyNumberFormat="1" applyFont="1" applyBorder="1" applyAlignment="1">
      <alignment vertical="center"/>
    </xf>
    <xf numFmtId="0" fontId="5" fillId="0" borderId="3" xfId="6" applyNumberFormat="1" applyFont="1" applyBorder="1" applyAlignment="1">
      <alignment vertical="center"/>
    </xf>
    <xf numFmtId="0" fontId="11" fillId="0" borderId="0" xfId="0" applyNumberFormat="1" applyFont="1" applyAlignment="1">
      <alignment horizontal="center" vertical="center"/>
    </xf>
    <xf numFmtId="0" fontId="7" fillId="0" borderId="31" xfId="0" applyNumberFormat="1" applyFont="1" applyBorder="1" applyAlignment="1">
      <alignment horizontal="center" vertical="center"/>
    </xf>
    <xf numFmtId="0" fontId="7" fillId="0" borderId="25" xfId="0" applyNumberFormat="1" applyFont="1" applyBorder="1" applyAlignment="1">
      <alignment horizontal="center" vertical="center"/>
    </xf>
    <xf numFmtId="0" fontId="11" fillId="0" borderId="29" xfId="0" applyNumberFormat="1" applyFont="1" applyBorder="1" applyAlignment="1">
      <alignment horizontal="center" vertical="center"/>
    </xf>
    <xf numFmtId="0" fontId="11" fillId="9" borderId="24" xfId="0" applyNumberFormat="1" applyFont="1" applyFill="1" applyBorder="1" applyAlignment="1">
      <alignment horizontal="center" vertical="center"/>
    </xf>
    <xf numFmtId="177" fontId="11" fillId="5" borderId="29" xfId="4" applyNumberFormat="1" applyFont="1" applyFill="1" applyBorder="1" applyAlignment="1">
      <alignment horizontal="center" vertical="center"/>
    </xf>
    <xf numFmtId="178" fontId="11" fillId="5" borderId="29" xfId="5" applyNumberFormat="1" applyFont="1" applyFill="1" applyBorder="1" applyAlignment="1">
      <alignment horizontal="center" vertical="center"/>
    </xf>
    <xf numFmtId="0" fontId="11" fillId="5" borderId="29" xfId="0" applyNumberFormat="1" applyFont="1" applyFill="1" applyBorder="1" applyAlignment="1">
      <alignment horizontal="center" vertical="center"/>
    </xf>
    <xf numFmtId="0" fontId="11" fillId="5" borderId="24" xfId="0" applyNumberFormat="1" applyFont="1" applyFill="1" applyBorder="1" applyAlignment="1">
      <alignment horizontal="center" vertical="center"/>
    </xf>
    <xf numFmtId="0" fontId="11" fillId="5" borderId="29" xfId="3" applyNumberFormat="1" applyFont="1" applyFill="1" applyBorder="1" applyAlignment="1">
      <alignment horizontal="center" vertical="center"/>
    </xf>
    <xf numFmtId="0" fontId="11" fillId="5" borderId="24" xfId="3" applyNumberFormat="1" applyFont="1" applyFill="1" applyBorder="1" applyAlignment="1">
      <alignment horizontal="center" vertical="center"/>
    </xf>
    <xf numFmtId="0" fontId="11" fillId="5" borderId="29" xfId="3" applyNumberFormat="1" applyFont="1" applyFill="1" applyBorder="1" applyAlignment="1">
      <alignment horizontal="center" vertical="center" wrapText="1"/>
    </xf>
    <xf numFmtId="0" fontId="20" fillId="0" borderId="32" xfId="12" applyNumberFormat="1" applyFont="1" applyBorder="1" applyAlignment="1">
      <alignment horizontal="center" vertical="center"/>
    </xf>
    <xf numFmtId="0" fontId="9" fillId="0" borderId="30" xfId="12" quotePrefix="1" applyNumberFormat="1" applyFont="1" applyBorder="1" applyAlignment="1">
      <alignment horizontal="center" vertical="center"/>
    </xf>
    <xf numFmtId="0" fontId="9" fillId="0" borderId="33" xfId="12" quotePrefix="1" applyNumberFormat="1" applyFont="1" applyBorder="1" applyAlignment="1">
      <alignment horizontal="center" vertical="center"/>
    </xf>
    <xf numFmtId="0" fontId="9" fillId="0" borderId="34" xfId="12" quotePrefix="1" applyNumberFormat="1" applyFont="1" applyBorder="1" applyAlignment="1">
      <alignment horizontal="center" vertical="center"/>
    </xf>
    <xf numFmtId="0" fontId="9" fillId="0" borderId="30" xfId="12" applyNumberFormat="1" applyFont="1" applyBorder="1" applyAlignment="1">
      <alignment horizontal="center" vertical="center"/>
    </xf>
    <xf numFmtId="0" fontId="9" fillId="0" borderId="35" xfId="12" quotePrefix="1" applyNumberFormat="1" applyFont="1" applyBorder="1" applyAlignment="1">
      <alignment horizontal="center" vertical="center"/>
    </xf>
    <xf numFmtId="0" fontId="9" fillId="0" borderId="36" xfId="12" quotePrefix="1" applyNumberFormat="1" applyFont="1" applyBorder="1" applyAlignment="1">
      <alignment horizontal="center" vertical="center"/>
    </xf>
    <xf numFmtId="0" fontId="9" fillId="0" borderId="33" xfId="12" applyNumberFormat="1" applyFont="1" applyBorder="1" applyAlignment="1">
      <alignment horizontal="center" vertical="center"/>
    </xf>
    <xf numFmtId="0" fontId="9" fillId="0" borderId="34" xfId="12" applyNumberFormat="1" applyFont="1" applyBorder="1" applyAlignment="1">
      <alignment horizontal="center" vertical="center"/>
    </xf>
    <xf numFmtId="182" fontId="17" fillId="0" borderId="37" xfId="11" applyNumberFormat="1" applyFont="1" applyBorder="1" applyAlignment="1">
      <alignment horizontal="center" vertical="center" wrapText="1"/>
    </xf>
    <xf numFmtId="182" fontId="17" fillId="0" borderId="34" xfId="11" applyNumberFormat="1" applyFont="1" applyBorder="1" applyAlignment="1">
      <alignment horizontal="center" vertical="center" wrapText="1"/>
    </xf>
    <xf numFmtId="0" fontId="17" fillId="0" borderId="33" xfId="11" applyNumberFormat="1" applyFont="1" applyBorder="1" applyAlignment="1">
      <alignment vertical="center"/>
    </xf>
    <xf numFmtId="0" fontId="17" fillId="0" borderId="37" xfId="11" applyNumberFormat="1" applyFont="1" applyBorder="1" applyAlignment="1">
      <alignment vertical="center"/>
    </xf>
    <xf numFmtId="182" fontId="17" fillId="0" borderId="33" xfId="11" applyNumberFormat="1" applyFont="1" applyBorder="1" applyAlignment="1">
      <alignment horizontal="center" vertical="center" wrapText="1"/>
    </xf>
    <xf numFmtId="0" fontId="20" fillId="0" borderId="0" xfId="11" applyNumberFormat="1" applyFont="1" applyBorder="1" applyAlignment="1">
      <alignment vertical="center"/>
    </xf>
    <xf numFmtId="0" fontId="17" fillId="2" borderId="37" xfId="11" applyNumberFormat="1" applyFont="1" applyFill="1" applyBorder="1" applyAlignment="1">
      <alignment vertical="center"/>
    </xf>
    <xf numFmtId="0" fontId="17" fillId="2" borderId="34" xfId="11" applyNumberFormat="1" applyFont="1" applyFill="1" applyBorder="1" applyAlignment="1">
      <alignment vertical="center"/>
    </xf>
    <xf numFmtId="183" fontId="9" fillId="11" borderId="35" xfId="11" applyNumberFormat="1" applyFont="1" applyFill="1" applyBorder="1" applyAlignment="1">
      <alignment vertical="center"/>
    </xf>
    <xf numFmtId="183" fontId="9" fillId="11" borderId="38" xfId="11" applyNumberFormat="1" applyFont="1" applyFill="1" applyBorder="1" applyAlignment="1">
      <alignment vertical="center"/>
    </xf>
    <xf numFmtId="183" fontId="9" fillId="11" borderId="36" xfId="11" applyNumberFormat="1" applyFont="1" applyFill="1" applyBorder="1" applyAlignment="1">
      <alignment vertical="center"/>
    </xf>
  </cellXfs>
  <cellStyles count="13">
    <cellStyle name="백분율" xfId="1" builtinId="5"/>
    <cellStyle name="백분율 2 64" xfId="9" xr:uid="{00000000-0005-0000-0000-000009000000}"/>
    <cellStyle name="쉼표 [0]" xfId="2" builtinId="6"/>
    <cellStyle name="쉼표 [0] 17" xfId="5" xr:uid="{00000000-0005-0000-0000-000005000000}"/>
    <cellStyle name="쉼표 [0] 2" xfId="4" xr:uid="{00000000-0005-0000-0000-000004000000}"/>
    <cellStyle name="쉼표 [0] 2 2 29" xfId="11" xr:uid="{00000000-0005-0000-0000-00000B000000}"/>
    <cellStyle name="쉼표 [0]_봉강빌딩신축공사" xfId="7" xr:uid="{00000000-0005-0000-0000-000007000000}"/>
    <cellStyle name="표준" xfId="0" builtinId="0"/>
    <cellStyle name="표준 10 10 2" xfId="3" xr:uid="{00000000-0005-0000-0000-000003000000}"/>
    <cellStyle name="표준 2" xfId="8" xr:uid="{00000000-0005-0000-0000-000008000000}"/>
    <cellStyle name="표준 2 10 5" xfId="10" xr:uid="{00000000-0005-0000-0000-00000A000000}"/>
    <cellStyle name="표준 4" xfId="12" xr:uid="{00000000-0005-0000-0000-00000C000000}"/>
    <cellStyle name="표준_봉강빌딩신축공사" xfId="6" xr:uid="{00000000-0005-0000-0000-000006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762000</xdr:colOff>
      <xdr:row>5</xdr:row>
      <xdr:rowOff>219075</xdr:rowOff>
    </xdr:from>
    <xdr:to>
      <xdr:col>6</xdr:col>
      <xdr:colOff>1447800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8583706" y="1479176"/>
          <a:ext cx="683558" cy="66114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76200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142875</xdr:rowOff>
    </xdr:from>
    <xdr:to>
      <xdr:col>13</xdr:col>
      <xdr:colOff>323850</xdr:colOff>
      <xdr:row>38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95325" y="314325"/>
          <a:ext cx="8543925" cy="625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zoomScaleSheetLayoutView="75" workbookViewId="0">
      <selection activeCell="O14" sqref="O14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47" t="s">
        <v>69</v>
      </c>
      <c r="B2" s="147"/>
      <c r="C2" s="147"/>
      <c r="D2" s="147"/>
      <c r="E2" s="147"/>
      <c r="F2" s="147"/>
      <c r="G2" s="147"/>
      <c r="H2" s="2"/>
    </row>
    <row r="3" spans="1:9" ht="14.25">
      <c r="A3" s="86"/>
      <c r="B3" s="86"/>
      <c r="C3" s="86"/>
      <c r="D3" s="86"/>
      <c r="E3" s="86"/>
      <c r="F3" s="86"/>
      <c r="G3" s="86"/>
      <c r="H3" s="86"/>
    </row>
    <row r="4" spans="1:9" ht="14.25">
      <c r="A4" s="86"/>
      <c r="B4" s="86"/>
      <c r="C4" s="86"/>
      <c r="D4" s="86"/>
      <c r="E4" s="86"/>
      <c r="H4" s="86"/>
    </row>
    <row r="5" spans="1:9" ht="27" customHeight="1">
      <c r="A5" s="87" t="s">
        <v>115</v>
      </c>
      <c r="B5" s="4"/>
      <c r="C5" s="5"/>
      <c r="D5" s="86"/>
      <c r="E5" s="86"/>
      <c r="F5" s="6" t="s">
        <v>68</v>
      </c>
      <c r="G5" s="7" t="s">
        <v>10</v>
      </c>
      <c r="H5" s="86"/>
    </row>
    <row r="6" spans="1:9" ht="27" customHeight="1">
      <c r="A6" s="86"/>
      <c r="B6" s="86"/>
      <c r="C6" s="86"/>
      <c r="D6" s="86"/>
      <c r="E6" s="86"/>
      <c r="F6" s="8" t="s">
        <v>51</v>
      </c>
      <c r="G6" s="9" t="s">
        <v>65</v>
      </c>
      <c r="H6" s="86"/>
    </row>
    <row r="7" spans="1:9" ht="27" customHeight="1">
      <c r="A7" s="150" t="s">
        <v>118</v>
      </c>
      <c r="B7" s="151"/>
      <c r="C7" s="152"/>
      <c r="D7" s="86"/>
      <c r="E7" s="10"/>
      <c r="F7" s="11" t="s">
        <v>70</v>
      </c>
      <c r="G7" s="9" t="s">
        <v>80</v>
      </c>
      <c r="H7" s="86"/>
    </row>
    <row r="8" spans="1:9" ht="27" customHeight="1">
      <c r="A8" s="86"/>
      <c r="B8" s="86"/>
      <c r="C8" s="86"/>
      <c r="D8" s="86"/>
      <c r="E8" s="86"/>
      <c r="F8" s="8" t="s">
        <v>55</v>
      </c>
      <c r="G8" s="9" t="s">
        <v>116</v>
      </c>
      <c r="H8" s="86"/>
    </row>
    <row r="9" spans="1:9" ht="27" customHeight="1">
      <c r="A9" s="87" t="s">
        <v>117</v>
      </c>
      <c r="B9" s="138"/>
      <c r="C9" s="139"/>
      <c r="D9" s="86"/>
      <c r="E9" s="86"/>
      <c r="F9" s="8" t="s">
        <v>60</v>
      </c>
      <c r="G9" s="9" t="s">
        <v>39</v>
      </c>
      <c r="H9" s="86"/>
    </row>
    <row r="10" spans="1:9" ht="27" customHeight="1">
      <c r="A10" s="86"/>
      <c r="B10" s="86"/>
      <c r="C10" s="86"/>
      <c r="D10" s="86"/>
      <c r="E10" s="86"/>
      <c r="F10" s="12" t="s">
        <v>43</v>
      </c>
      <c r="G10" s="13" t="s">
        <v>24</v>
      </c>
      <c r="H10" s="86"/>
      <c r="I10" s="86"/>
    </row>
    <row r="11" spans="1:9" ht="27" customHeight="1">
      <c r="A11" s="148"/>
      <c r="B11" s="149"/>
      <c r="C11" s="149"/>
      <c r="D11" s="86"/>
      <c r="E11" s="14"/>
      <c r="F11" s="15" t="s">
        <v>19</v>
      </c>
      <c r="G11" s="16" t="s">
        <v>64</v>
      </c>
      <c r="H11" s="14"/>
    </row>
    <row r="12" spans="1:9" ht="18">
      <c r="A12" s="17" t="s">
        <v>78</v>
      </c>
      <c r="B12" s="17" t="str">
        <f>NUMBERSTRING(F31,1)</f>
        <v>삼백삼십사만사천</v>
      </c>
      <c r="C12" s="18"/>
      <c r="D12" s="1" t="s">
        <v>37</v>
      </c>
      <c r="E12" s="1" t="s">
        <v>41</v>
      </c>
      <c r="F12" s="1" t="s">
        <v>41</v>
      </c>
      <c r="G12" s="1"/>
      <c r="H12" s="19"/>
    </row>
    <row r="13" spans="1:9" ht="14.25">
      <c r="A13" s="86"/>
      <c r="B13" s="86"/>
      <c r="C13" s="86"/>
      <c r="D13" s="86"/>
      <c r="E13" s="86"/>
      <c r="F13" s="86"/>
      <c r="G13" s="86"/>
      <c r="H13" s="19"/>
    </row>
    <row r="14" spans="1:9" ht="33" customHeight="1">
      <c r="A14" s="20" t="s">
        <v>38</v>
      </c>
      <c r="B14" s="21" t="s">
        <v>57</v>
      </c>
      <c r="C14" s="21" t="s">
        <v>48</v>
      </c>
      <c r="D14" s="21" t="s">
        <v>36</v>
      </c>
      <c r="E14" s="21" t="s">
        <v>52</v>
      </c>
      <c r="F14" s="21" t="s">
        <v>46</v>
      </c>
      <c r="G14" s="22" t="s">
        <v>56</v>
      </c>
      <c r="H14" s="19"/>
    </row>
    <row r="15" spans="1:9" ht="33" customHeight="1">
      <c r="A15" s="23"/>
      <c r="B15" s="24" t="s">
        <v>49</v>
      </c>
      <c r="C15" s="25"/>
      <c r="D15" s="26"/>
      <c r="E15" s="26"/>
      <c r="F15" s="27"/>
      <c r="G15" s="28"/>
    </row>
    <row r="16" spans="1:9" ht="33" customHeight="1">
      <c r="A16" s="29"/>
      <c r="B16" s="30" t="s">
        <v>54</v>
      </c>
      <c r="C16" s="31"/>
      <c r="D16" s="32"/>
      <c r="E16" s="32"/>
      <c r="F16" s="33">
        <f>'내역서(표준단가)'!K10</f>
        <v>654731.51600000006</v>
      </c>
      <c r="G16" s="34"/>
    </row>
    <row r="17" spans="1:7" ht="33" customHeight="1">
      <c r="A17" s="29"/>
      <c r="B17" s="30" t="s">
        <v>50</v>
      </c>
      <c r="C17" s="31"/>
      <c r="D17" s="32"/>
      <c r="E17" s="32"/>
      <c r="F17" s="33">
        <f>'내역서(표준단가)'!M10</f>
        <v>2181517.2944370001</v>
      </c>
      <c r="G17" s="35"/>
    </row>
    <row r="18" spans="1:7" ht="33" customHeight="1">
      <c r="A18" s="29"/>
      <c r="B18" s="30" t="s">
        <v>66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40</v>
      </c>
      <c r="C19" s="36"/>
      <c r="D19" s="37"/>
      <c r="E19" s="37"/>
      <c r="F19" s="38">
        <f>F16+F17+F18</f>
        <v>2836248.8104370004</v>
      </c>
      <c r="G19" s="35"/>
    </row>
    <row r="20" spans="1:7" ht="33" customHeight="1">
      <c r="A20" s="29"/>
      <c r="B20" s="39" t="s">
        <v>47</v>
      </c>
      <c r="C20" s="40"/>
      <c r="D20" s="32"/>
      <c r="E20" s="32"/>
      <c r="F20" s="41"/>
      <c r="G20" s="35"/>
    </row>
    <row r="21" spans="1:7" ht="33" customHeight="1">
      <c r="A21" s="29"/>
      <c r="B21" s="140" t="s">
        <v>73</v>
      </c>
      <c r="C21" s="141" t="s">
        <v>34</v>
      </c>
      <c r="D21" s="142">
        <v>1</v>
      </c>
      <c r="E21" s="142" t="s">
        <v>42</v>
      </c>
      <c r="F21" s="143">
        <f>F17*4.75%</f>
        <v>103622.07148575751</v>
      </c>
      <c r="G21" s="35" t="s">
        <v>16</v>
      </c>
    </row>
    <row r="22" spans="1:7" ht="33" customHeight="1">
      <c r="A22" s="29"/>
      <c r="B22" s="144" t="s">
        <v>76</v>
      </c>
      <c r="C22" s="141" t="s">
        <v>35</v>
      </c>
      <c r="D22" s="145">
        <v>1</v>
      </c>
      <c r="E22" s="145" t="s">
        <v>42</v>
      </c>
      <c r="F22" s="146">
        <f>F17*3.595%</f>
        <v>78425.546735010153</v>
      </c>
      <c r="G22" s="44" t="s">
        <v>16</v>
      </c>
    </row>
    <row r="23" spans="1:7" ht="33" customHeight="1">
      <c r="A23" s="29"/>
      <c r="B23" s="42" t="s">
        <v>20</v>
      </c>
      <c r="C23" s="40" t="s">
        <v>8</v>
      </c>
      <c r="D23" s="30">
        <v>1</v>
      </c>
      <c r="E23" s="30" t="s">
        <v>42</v>
      </c>
      <c r="F23" s="43">
        <f>F22*12.95%</f>
        <v>10156.108302183815</v>
      </c>
      <c r="G23" s="35" t="s">
        <v>16</v>
      </c>
    </row>
    <row r="24" spans="1:7" ht="33" customHeight="1">
      <c r="A24" s="29"/>
      <c r="B24" s="42" t="s">
        <v>79</v>
      </c>
      <c r="C24" s="40" t="s">
        <v>18</v>
      </c>
      <c r="D24" s="30">
        <v>1</v>
      </c>
      <c r="E24" s="30" t="s">
        <v>42</v>
      </c>
      <c r="F24" s="43">
        <f>F17*1.01%</f>
        <v>22033.324673813699</v>
      </c>
      <c r="G24" s="35" t="s">
        <v>16</v>
      </c>
    </row>
    <row r="25" spans="1:7" ht="33" customHeight="1">
      <c r="A25" s="29"/>
      <c r="B25" s="42" t="s">
        <v>82</v>
      </c>
      <c r="C25" s="40" t="s">
        <v>23</v>
      </c>
      <c r="D25" s="30">
        <v>1</v>
      </c>
      <c r="E25" s="30" t="s">
        <v>42</v>
      </c>
      <c r="F25" s="43">
        <f>F17*3.56%</f>
        <v>77662.0156819572</v>
      </c>
      <c r="G25" s="35" t="s">
        <v>16</v>
      </c>
    </row>
    <row r="26" spans="1:7" ht="33" customHeight="1">
      <c r="A26" s="29"/>
      <c r="B26" s="42" t="s">
        <v>17</v>
      </c>
      <c r="C26" s="45" t="s">
        <v>15</v>
      </c>
      <c r="D26" s="30">
        <v>1</v>
      </c>
      <c r="E26" s="30" t="s">
        <v>42</v>
      </c>
      <c r="F26" s="43">
        <f>(F16+F17)*3.11%</f>
        <v>88207.338004590711</v>
      </c>
      <c r="G26" s="35" t="s">
        <v>16</v>
      </c>
    </row>
    <row r="27" spans="1:7" ht="33" customHeight="1">
      <c r="A27" s="29"/>
      <c r="B27" s="42" t="s">
        <v>22</v>
      </c>
      <c r="C27" s="45" t="s">
        <v>9</v>
      </c>
      <c r="D27" s="30">
        <v>1</v>
      </c>
      <c r="E27" s="30" t="s">
        <v>42</v>
      </c>
      <c r="F27" s="43">
        <f>SUM(F17+F21+F22+F23+F24+F25+F26)*5%</f>
        <v>128081.18496601569</v>
      </c>
      <c r="G27" s="35"/>
    </row>
    <row r="28" spans="1:7" ht="33" customHeight="1">
      <c r="A28" s="29"/>
      <c r="B28" s="36" t="s">
        <v>40</v>
      </c>
      <c r="C28" s="46"/>
      <c r="D28" s="47"/>
      <c r="E28" s="37"/>
      <c r="F28" s="48">
        <f>F21+F22+F23+F24+F25+F26+F27</f>
        <v>508187.5898493288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3344436.400286329</v>
      </c>
      <c r="G30" s="35"/>
    </row>
    <row r="31" spans="1:7" ht="33" customHeight="1">
      <c r="A31" s="29"/>
      <c r="B31" s="36" t="s">
        <v>21</v>
      </c>
      <c r="C31" s="36"/>
      <c r="D31" s="37"/>
      <c r="E31" s="37"/>
      <c r="F31" s="54">
        <f>ROUNDDOWN(F30,-3)</f>
        <v>3344000</v>
      </c>
      <c r="G31" s="35"/>
    </row>
    <row r="32" spans="1:7" ht="33" customHeight="1">
      <c r="A32" s="55"/>
      <c r="B32" s="56" t="s">
        <v>74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22" type="noConversion"/>
  <pageMargins left="0.31486111879348755" right="0.19680555164813995" top="0.94486111402511597" bottom="0.55111110210418701" header="0.31486111879348755" footer="0.31486111879348755"/>
  <pageSetup paperSize="9" scale="6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0"/>
  <sheetViews>
    <sheetView showGridLines="0" zoomScale="80" zoomScaleNormal="80" zoomScaleSheetLayoutView="75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2.625" style="109" bestFit="1" customWidth="1"/>
    <col min="2" max="2" width="9" style="98" customWidth="1"/>
    <col min="3" max="5" width="12.625" style="98" customWidth="1"/>
    <col min="6" max="7" width="30.625" style="94" customWidth="1"/>
    <col min="8" max="8" width="6.25" style="98" bestFit="1" customWidth="1"/>
    <col min="9" max="9" width="8.25" style="98" customWidth="1"/>
    <col min="10" max="10" width="10.625" style="98" bestFit="1" customWidth="1"/>
    <col min="11" max="11" width="13.25" style="98" bestFit="1" customWidth="1"/>
    <col min="12" max="12" width="12" style="98" bestFit="1" customWidth="1"/>
    <col min="13" max="13" width="15.625" style="98" bestFit="1" customWidth="1"/>
    <col min="14" max="14" width="9" style="98" customWidth="1"/>
    <col min="15" max="15" width="8.75" style="98" bestFit="1" customWidth="1"/>
    <col min="16" max="16" width="10.5" style="98" customWidth="1"/>
    <col min="17" max="17" width="8.75" style="98" bestFit="1" customWidth="1"/>
    <col min="18" max="18" width="15.625" style="98" bestFit="1" customWidth="1"/>
    <col min="19" max="19" width="10.625" style="61" bestFit="1" customWidth="1"/>
    <col min="20" max="20" width="8.5" style="98" bestFit="1" customWidth="1"/>
    <col min="21" max="16384" width="9" style="98"/>
  </cols>
  <sheetData>
    <row r="1" spans="1:20" ht="19.899999999999999" customHeight="1">
      <c r="A1" s="153"/>
      <c r="B1" s="153"/>
      <c r="C1" s="153"/>
      <c r="D1" s="153"/>
      <c r="E1" s="153"/>
      <c r="J1" s="61"/>
      <c r="K1" s="97" t="s">
        <v>101</v>
      </c>
      <c r="M1" s="97" t="s">
        <v>101</v>
      </c>
      <c r="O1" s="97" t="s">
        <v>101</v>
      </c>
      <c r="Q1" s="97" t="s">
        <v>101</v>
      </c>
    </row>
    <row r="2" spans="1:20" ht="19.899999999999999" customHeight="1">
      <c r="A2" s="153"/>
      <c r="B2" s="153"/>
      <c r="C2" s="153"/>
      <c r="D2" s="153"/>
      <c r="E2" s="153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99"/>
      <c r="B3" s="100" t="s">
        <v>6</v>
      </c>
      <c r="C3" s="100"/>
      <c r="D3" s="100"/>
      <c r="E3" s="100"/>
      <c r="F3" s="164" t="s">
        <v>107</v>
      </c>
      <c r="G3" s="164"/>
      <c r="H3" s="162" t="s">
        <v>52</v>
      </c>
      <c r="I3" s="162" t="s">
        <v>36</v>
      </c>
      <c r="J3" s="158" t="s">
        <v>54</v>
      </c>
      <c r="K3" s="158"/>
      <c r="L3" s="158" t="s">
        <v>50</v>
      </c>
      <c r="M3" s="158"/>
      <c r="N3" s="159" t="s">
        <v>108</v>
      </c>
      <c r="O3" s="159"/>
      <c r="P3" s="159" t="s">
        <v>30</v>
      </c>
      <c r="Q3" s="159"/>
      <c r="R3" s="160" t="s">
        <v>53</v>
      </c>
      <c r="S3" s="156" t="s">
        <v>94</v>
      </c>
      <c r="T3" s="154" t="s">
        <v>75</v>
      </c>
    </row>
    <row r="4" spans="1:20" ht="19.899999999999999" customHeight="1">
      <c r="A4" s="64" t="s">
        <v>53</v>
      </c>
      <c r="B4" s="65" t="s">
        <v>99</v>
      </c>
      <c r="C4" s="65" t="s">
        <v>87</v>
      </c>
      <c r="D4" s="65" t="s">
        <v>88</v>
      </c>
      <c r="E4" s="65" t="s">
        <v>91</v>
      </c>
      <c r="F4" s="95" t="s">
        <v>58</v>
      </c>
      <c r="G4" s="95" t="s">
        <v>48</v>
      </c>
      <c r="H4" s="163"/>
      <c r="I4" s="163"/>
      <c r="J4" s="66" t="s">
        <v>89</v>
      </c>
      <c r="K4" s="67" t="s">
        <v>46</v>
      </c>
      <c r="L4" s="66" t="s">
        <v>59</v>
      </c>
      <c r="M4" s="67" t="s">
        <v>46</v>
      </c>
      <c r="N4" s="67" t="s">
        <v>59</v>
      </c>
      <c r="O4" s="67" t="s">
        <v>46</v>
      </c>
      <c r="P4" s="67" t="s">
        <v>59</v>
      </c>
      <c r="Q4" s="67" t="s">
        <v>46</v>
      </c>
      <c r="R4" s="161"/>
      <c r="S4" s="157"/>
      <c r="T4" s="155"/>
    </row>
    <row r="5" spans="1:20" s="101" customFormat="1" ht="38.1" customHeight="1">
      <c r="A5" s="68" t="str">
        <f>B5&amp;C5&amp;D5&amp;E5</f>
        <v>M020853710050101</v>
      </c>
      <c r="B5" s="76"/>
      <c r="C5" s="69"/>
      <c r="D5" s="69" t="s">
        <v>11</v>
      </c>
      <c r="E5" s="76"/>
      <c r="F5" s="93" t="s">
        <v>93</v>
      </c>
      <c r="G5" s="93" t="s">
        <v>2</v>
      </c>
      <c r="H5" s="85" t="s">
        <v>61</v>
      </c>
      <c r="I5" s="92">
        <v>11.144</v>
      </c>
      <c r="J5" s="110">
        <v>20900</v>
      </c>
      <c r="K5" s="89">
        <f>SUM(J5:J5)*I5*$K$2</f>
        <v>194479.516</v>
      </c>
      <c r="L5" s="88"/>
      <c r="M5" s="89">
        <f>(L5*I5)*$M$2</f>
        <v>0</v>
      </c>
      <c r="N5" s="90"/>
      <c r="O5" s="89">
        <f>N5*I5*$O$2</f>
        <v>0</v>
      </c>
      <c r="P5" s="90"/>
      <c r="Q5" s="89">
        <f>P5*I5*$Q$2</f>
        <v>0</v>
      </c>
      <c r="R5" s="72">
        <f>SUM(K5+M5)+O5+Q5</f>
        <v>194479.516</v>
      </c>
      <c r="S5" s="84"/>
      <c r="T5" s="73"/>
    </row>
    <row r="6" spans="1:20" s="101" customFormat="1" ht="38.1" customHeight="1">
      <c r="A6" s="68" t="str">
        <f>B6&amp;C6&amp;D6&amp;E6</f>
        <v>E00000803071260301</v>
      </c>
      <c r="B6" s="76"/>
      <c r="C6" s="69" t="s">
        <v>12</v>
      </c>
      <c r="D6" s="69"/>
      <c r="E6" s="76"/>
      <c r="F6" s="93" t="s">
        <v>33</v>
      </c>
      <c r="G6" s="93" t="s">
        <v>3</v>
      </c>
      <c r="H6" s="70" t="s">
        <v>90</v>
      </c>
      <c r="I6" s="92">
        <v>2.6520000000000001</v>
      </c>
      <c r="J6" s="91"/>
      <c r="K6" s="89">
        <f>SUM(J6:J6)*I6*$K$2</f>
        <v>0</v>
      </c>
      <c r="L6" s="112">
        <v>510462</v>
      </c>
      <c r="M6" s="89">
        <f>(L6*I6)*$M$2</f>
        <v>1130377.2620400002</v>
      </c>
      <c r="N6" s="90"/>
      <c r="O6" s="89">
        <f>N6*I6*$O$2</f>
        <v>0</v>
      </c>
      <c r="P6" s="90"/>
      <c r="Q6" s="89">
        <f>P6*I6*$Q$2</f>
        <v>0</v>
      </c>
      <c r="R6" s="72">
        <f>SUM(K6+M6)+O6+Q6</f>
        <v>1130377.2620400002</v>
      </c>
      <c r="S6" s="84"/>
      <c r="T6" s="73"/>
    </row>
    <row r="7" spans="1:20" s="101" customFormat="1" ht="38.1" customHeight="1">
      <c r="A7" s="68" t="str">
        <f t="shared" ref="A7:A8" si="0">B7&amp;C7&amp;D7&amp;E7</f>
        <v>E00000803071260301</v>
      </c>
      <c r="B7" s="76"/>
      <c r="C7" s="69" t="s">
        <v>12</v>
      </c>
      <c r="D7" s="69"/>
      <c r="E7" s="76"/>
      <c r="F7" s="93" t="s">
        <v>32</v>
      </c>
      <c r="G7" s="93" t="s">
        <v>5</v>
      </c>
      <c r="H7" s="70" t="s">
        <v>90</v>
      </c>
      <c r="I7" s="92">
        <v>1.7709999999999999</v>
      </c>
      <c r="J7" s="91"/>
      <c r="K7" s="89">
        <f t="shared" ref="K7:K9" si="1">SUM(J7:J7)*I7*$K$2</f>
        <v>0</v>
      </c>
      <c r="L7" s="112">
        <v>510462</v>
      </c>
      <c r="M7" s="89">
        <f t="shared" ref="M7:M9" si="2">(L7*I7)*$M$2</f>
        <v>754863.54866999993</v>
      </c>
      <c r="N7" s="90"/>
      <c r="O7" s="89">
        <f t="shared" ref="O7:O9" si="3">N7*I7*$O$2</f>
        <v>0</v>
      </c>
      <c r="P7" s="90"/>
      <c r="Q7" s="89">
        <f t="shared" ref="Q7:Q9" si="4">P7*I7*$Q$2</f>
        <v>0</v>
      </c>
      <c r="R7" s="72">
        <f t="shared" ref="R7:R9" si="5">SUM(K7+M7)+O7+Q7</f>
        <v>754863.54866999993</v>
      </c>
      <c r="S7" s="84"/>
      <c r="T7" s="73"/>
    </row>
    <row r="8" spans="1:20" s="101" customFormat="1" ht="38.1" customHeight="1">
      <c r="A8" s="68" t="str">
        <f t="shared" si="0"/>
        <v>M020809012520101</v>
      </c>
      <c r="B8" s="76"/>
      <c r="C8" s="69"/>
      <c r="D8" s="69" t="s">
        <v>14</v>
      </c>
      <c r="E8" s="76"/>
      <c r="F8" s="93" t="s">
        <v>100</v>
      </c>
      <c r="G8" s="93" t="s">
        <v>114</v>
      </c>
      <c r="H8" s="85" t="s">
        <v>44</v>
      </c>
      <c r="I8" s="92">
        <v>42.4</v>
      </c>
      <c r="J8" s="111">
        <v>13000</v>
      </c>
      <c r="K8" s="89">
        <f t="shared" si="1"/>
        <v>460252</v>
      </c>
      <c r="L8" s="88"/>
      <c r="M8" s="89">
        <f t="shared" si="2"/>
        <v>0</v>
      </c>
      <c r="N8" s="90"/>
      <c r="O8" s="89">
        <f t="shared" si="3"/>
        <v>0</v>
      </c>
      <c r="P8" s="90"/>
      <c r="Q8" s="89">
        <f t="shared" si="4"/>
        <v>0</v>
      </c>
      <c r="R8" s="72">
        <f t="shared" si="5"/>
        <v>460252</v>
      </c>
      <c r="S8" s="84"/>
      <c r="T8" s="73"/>
    </row>
    <row r="9" spans="1:20" s="101" customFormat="1" ht="38.1" customHeight="1">
      <c r="A9" s="68" t="str">
        <f>B9&amp;C9&amp;D9&amp;E9</f>
        <v>E00000803071260401</v>
      </c>
      <c r="B9" s="76"/>
      <c r="C9" s="69" t="s">
        <v>13</v>
      </c>
      <c r="D9" s="69"/>
      <c r="E9" s="76"/>
      <c r="F9" s="93" t="s">
        <v>31</v>
      </c>
      <c r="G9" s="93" t="s">
        <v>4</v>
      </c>
      <c r="H9" s="70" t="s">
        <v>90</v>
      </c>
      <c r="I9" s="92">
        <v>0.69510000000000005</v>
      </c>
      <c r="J9" s="102"/>
      <c r="K9" s="71">
        <f t="shared" si="1"/>
        <v>0</v>
      </c>
      <c r="L9" s="112">
        <v>510462</v>
      </c>
      <c r="M9" s="71">
        <f t="shared" si="2"/>
        <v>296276.48372700001</v>
      </c>
      <c r="N9" s="72"/>
      <c r="O9" s="71">
        <f t="shared" si="3"/>
        <v>0</v>
      </c>
      <c r="P9" s="72"/>
      <c r="Q9" s="71">
        <f t="shared" si="4"/>
        <v>0</v>
      </c>
      <c r="R9" s="72">
        <f t="shared" si="5"/>
        <v>296276.48372700001</v>
      </c>
      <c r="S9" s="84"/>
      <c r="T9" s="73"/>
    </row>
    <row r="10" spans="1:20" s="108" customFormat="1" ht="38.1" customHeight="1">
      <c r="A10" s="103"/>
      <c r="B10" s="104"/>
      <c r="C10" s="104"/>
      <c r="D10" s="104"/>
      <c r="E10" s="104"/>
      <c r="F10" s="96"/>
      <c r="G10" s="96"/>
      <c r="H10" s="104"/>
      <c r="I10" s="104"/>
      <c r="J10" s="104"/>
      <c r="K10" s="105">
        <f>SUM(K5:K9)</f>
        <v>654731.51600000006</v>
      </c>
      <c r="L10" s="106"/>
      <c r="M10" s="105">
        <f>SUM(M5:M9)</f>
        <v>2181517.2944370001</v>
      </c>
      <c r="N10" s="106"/>
      <c r="O10" s="105">
        <f>SUM(O5:O9)</f>
        <v>0</v>
      </c>
      <c r="P10" s="106"/>
      <c r="Q10" s="105">
        <f>SUM(Q5:Q9)</f>
        <v>0</v>
      </c>
      <c r="R10" s="107">
        <f>SUM(R5:R9)</f>
        <v>2836248.8104370004</v>
      </c>
      <c r="S10" s="77"/>
      <c r="T10" s="10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22" type="noConversion"/>
  <pageMargins left="0.69999998807907104" right="0.69999998807907104" top="0.75" bottom="0.75" header="0.30000001192092896" footer="0.30000001192092896"/>
  <pageSetup paperSize="9" scale="3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25"/>
  <sheetViews>
    <sheetView topLeftCell="A10" zoomScaleNormal="100" zoomScaleSheetLayoutView="75" workbookViewId="0">
      <selection activeCell="O5" sqref="O5:O12"/>
    </sheetView>
  </sheetViews>
  <sheetFormatPr defaultColWidth="9" defaultRowHeight="14.25"/>
  <cols>
    <col min="1" max="1" width="22.625" style="75" customWidth="1"/>
    <col min="2" max="2" width="27.625" style="75" customWidth="1"/>
    <col min="3" max="3" width="5.75" style="75" customWidth="1"/>
    <col min="4" max="4" width="11.25" style="75" customWidth="1"/>
    <col min="5" max="8" width="20.625" style="75" customWidth="1"/>
    <col min="9" max="12" width="20.625" style="75" hidden="1" customWidth="1"/>
    <col min="13" max="14" width="20.625" style="75" customWidth="1"/>
    <col min="15" max="15" width="32.75" style="75" customWidth="1"/>
    <col min="16" max="16384" width="9" style="74"/>
  </cols>
  <sheetData>
    <row r="1" spans="1:15" ht="45.75" customHeight="1">
      <c r="A1" s="165" t="s">
        <v>25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ht="26.1" customHeight="1">
      <c r="A2" s="166" t="s">
        <v>29</v>
      </c>
      <c r="B2" s="166" t="s">
        <v>27</v>
      </c>
      <c r="C2" s="167" t="s">
        <v>52</v>
      </c>
      <c r="D2" s="167" t="s">
        <v>36</v>
      </c>
      <c r="E2" s="169" t="s">
        <v>7</v>
      </c>
      <c r="F2" s="166"/>
      <c r="G2" s="166" t="s">
        <v>26</v>
      </c>
      <c r="H2" s="166"/>
      <c r="I2" s="170" t="s">
        <v>67</v>
      </c>
      <c r="J2" s="171"/>
      <c r="K2" s="170" t="s">
        <v>28</v>
      </c>
      <c r="L2" s="171"/>
      <c r="M2" s="169" t="s">
        <v>72</v>
      </c>
      <c r="N2" s="166"/>
      <c r="O2" s="172" t="s">
        <v>71</v>
      </c>
    </row>
    <row r="3" spans="1:15" ht="26.1" customHeight="1">
      <c r="A3" s="166"/>
      <c r="B3" s="166"/>
      <c r="C3" s="168"/>
      <c r="D3" s="168"/>
      <c r="E3" s="113" t="s">
        <v>77</v>
      </c>
      <c r="F3" s="113" t="s">
        <v>81</v>
      </c>
      <c r="G3" s="114" t="s">
        <v>77</v>
      </c>
      <c r="H3" s="113" t="s">
        <v>105</v>
      </c>
      <c r="I3" s="113"/>
      <c r="J3" s="113"/>
      <c r="K3" s="114" t="s">
        <v>77</v>
      </c>
      <c r="L3" s="113" t="s">
        <v>105</v>
      </c>
      <c r="M3" s="114" t="s">
        <v>77</v>
      </c>
      <c r="N3" s="113" t="s">
        <v>105</v>
      </c>
      <c r="O3" s="173"/>
    </row>
    <row r="4" spans="1:15" ht="26.1" customHeight="1">
      <c r="A4" s="182" t="s">
        <v>119</v>
      </c>
      <c r="B4" s="183"/>
      <c r="C4" s="183"/>
      <c r="D4" s="184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5" ht="26.1" customHeight="1">
      <c r="A5" s="176" t="s">
        <v>111</v>
      </c>
      <c r="B5" s="116" t="s">
        <v>83</v>
      </c>
      <c r="C5" s="117" t="s">
        <v>44</v>
      </c>
      <c r="D5" s="118">
        <v>40</v>
      </c>
      <c r="E5" s="119">
        <v>1057</v>
      </c>
      <c r="F5" s="120">
        <f t="shared" ref="F5:F12" si="0">D5*E5</f>
        <v>42280</v>
      </c>
      <c r="G5" s="119">
        <v>9266</v>
      </c>
      <c r="H5" s="120">
        <f t="shared" ref="H5:H12" si="1">D5*G5</f>
        <v>370640</v>
      </c>
      <c r="I5" s="120"/>
      <c r="J5" s="120"/>
      <c r="K5" s="120"/>
      <c r="L5" s="120"/>
      <c r="M5" s="120"/>
      <c r="N5" s="120">
        <f>F5+H5+J5+L5</f>
        <v>412920</v>
      </c>
      <c r="O5" s="178"/>
    </row>
    <row r="6" spans="1:15" ht="26.1" customHeight="1">
      <c r="A6" s="177"/>
      <c r="B6" s="116" t="s">
        <v>112</v>
      </c>
      <c r="C6" s="117" t="s">
        <v>44</v>
      </c>
      <c r="D6" s="118">
        <v>24</v>
      </c>
      <c r="E6" s="119">
        <v>1057</v>
      </c>
      <c r="F6" s="120">
        <f t="shared" si="0"/>
        <v>25368</v>
      </c>
      <c r="G6" s="119">
        <v>12178</v>
      </c>
      <c r="H6" s="120">
        <f t="shared" si="1"/>
        <v>292272</v>
      </c>
      <c r="I6" s="120"/>
      <c r="J6" s="120"/>
      <c r="K6" s="120"/>
      <c r="L6" s="120"/>
      <c r="M6" s="120"/>
      <c r="N6" s="120">
        <f t="shared" ref="N6:N12" si="2">F6+H6+J6+L6</f>
        <v>317640</v>
      </c>
      <c r="O6" s="174"/>
    </row>
    <row r="7" spans="1:15" ht="26.1" customHeight="1">
      <c r="A7" s="177"/>
      <c r="B7" s="116" t="s">
        <v>96</v>
      </c>
      <c r="C7" s="117" t="s">
        <v>44</v>
      </c>
      <c r="D7" s="118">
        <v>32</v>
      </c>
      <c r="E7" s="119">
        <v>1057</v>
      </c>
      <c r="F7" s="120">
        <f t="shared" si="0"/>
        <v>33824</v>
      </c>
      <c r="G7" s="119">
        <v>9266</v>
      </c>
      <c r="H7" s="120">
        <f t="shared" si="1"/>
        <v>296512</v>
      </c>
      <c r="I7" s="120"/>
      <c r="J7" s="120"/>
      <c r="K7" s="120"/>
      <c r="L7" s="120"/>
      <c r="M7" s="120"/>
      <c r="N7" s="120">
        <f t="shared" si="2"/>
        <v>330336</v>
      </c>
      <c r="O7" s="174"/>
    </row>
    <row r="8" spans="1:15" ht="26.1" customHeight="1">
      <c r="A8" s="177"/>
      <c r="B8" s="116" t="s">
        <v>113</v>
      </c>
      <c r="C8" s="117" t="s">
        <v>44</v>
      </c>
      <c r="D8" s="118">
        <v>16</v>
      </c>
      <c r="E8" s="119">
        <v>1057</v>
      </c>
      <c r="F8" s="120">
        <f t="shared" si="0"/>
        <v>16912</v>
      </c>
      <c r="G8" s="119">
        <v>12178</v>
      </c>
      <c r="H8" s="120">
        <f t="shared" si="1"/>
        <v>194848</v>
      </c>
      <c r="I8" s="120"/>
      <c r="J8" s="120"/>
      <c r="K8" s="120"/>
      <c r="L8" s="120"/>
      <c r="M8" s="120"/>
      <c r="N8" s="120">
        <f t="shared" si="2"/>
        <v>211760</v>
      </c>
      <c r="O8" s="174"/>
    </row>
    <row r="9" spans="1:15" ht="26.1" customHeight="1">
      <c r="A9" s="177"/>
      <c r="B9" s="116" t="s">
        <v>85</v>
      </c>
      <c r="C9" s="117" t="s">
        <v>44</v>
      </c>
      <c r="D9" s="118">
        <v>25</v>
      </c>
      <c r="E9" s="119">
        <v>1057</v>
      </c>
      <c r="F9" s="120">
        <f t="shared" si="0"/>
        <v>26425</v>
      </c>
      <c r="G9" s="119">
        <v>9266</v>
      </c>
      <c r="H9" s="120">
        <f t="shared" si="1"/>
        <v>231650</v>
      </c>
      <c r="I9" s="120"/>
      <c r="J9" s="120"/>
      <c r="K9" s="120"/>
      <c r="L9" s="120"/>
      <c r="M9" s="120"/>
      <c r="N9" s="120">
        <f t="shared" si="2"/>
        <v>258075</v>
      </c>
      <c r="O9" s="174"/>
    </row>
    <row r="10" spans="1:15" ht="26.1" customHeight="1">
      <c r="A10" s="177"/>
      <c r="B10" s="116" t="s">
        <v>98</v>
      </c>
      <c r="C10" s="117" t="s">
        <v>44</v>
      </c>
      <c r="D10" s="118">
        <v>11</v>
      </c>
      <c r="E10" s="119">
        <v>1057</v>
      </c>
      <c r="F10" s="120">
        <f t="shared" si="0"/>
        <v>11627</v>
      </c>
      <c r="G10" s="119">
        <v>12178</v>
      </c>
      <c r="H10" s="120">
        <f t="shared" si="1"/>
        <v>133958</v>
      </c>
      <c r="I10" s="120"/>
      <c r="J10" s="120"/>
      <c r="K10" s="120"/>
      <c r="L10" s="120"/>
      <c r="M10" s="120"/>
      <c r="N10" s="120">
        <f t="shared" si="2"/>
        <v>145585</v>
      </c>
      <c r="O10" s="174"/>
    </row>
    <row r="11" spans="1:15" ht="26.1" customHeight="1">
      <c r="A11" s="177"/>
      <c r="B11" s="116" t="s">
        <v>84</v>
      </c>
      <c r="C11" s="117" t="s">
        <v>44</v>
      </c>
      <c r="D11" s="118">
        <v>25</v>
      </c>
      <c r="E11" s="119">
        <v>1057</v>
      </c>
      <c r="F11" s="120">
        <f t="shared" si="0"/>
        <v>26425</v>
      </c>
      <c r="G11" s="119">
        <v>9266</v>
      </c>
      <c r="H11" s="120">
        <f t="shared" si="1"/>
        <v>231650</v>
      </c>
      <c r="I11" s="120"/>
      <c r="J11" s="120"/>
      <c r="K11" s="120"/>
      <c r="L11" s="120"/>
      <c r="M11" s="120"/>
      <c r="N11" s="120">
        <f t="shared" si="2"/>
        <v>258075</v>
      </c>
      <c r="O11" s="174"/>
    </row>
    <row r="12" spans="1:15" ht="26.1" customHeight="1">
      <c r="A12" s="177"/>
      <c r="B12" s="116" t="s">
        <v>86</v>
      </c>
      <c r="C12" s="117" t="s">
        <v>44</v>
      </c>
      <c r="D12" s="118">
        <v>11</v>
      </c>
      <c r="E12" s="119">
        <v>1057</v>
      </c>
      <c r="F12" s="120">
        <f t="shared" si="0"/>
        <v>11627</v>
      </c>
      <c r="G12" s="119">
        <v>12178</v>
      </c>
      <c r="H12" s="120">
        <f t="shared" si="1"/>
        <v>133958</v>
      </c>
      <c r="I12" s="120"/>
      <c r="J12" s="120"/>
      <c r="K12" s="120"/>
      <c r="L12" s="120"/>
      <c r="M12" s="120"/>
      <c r="N12" s="120">
        <f t="shared" si="2"/>
        <v>145585</v>
      </c>
      <c r="O12" s="174"/>
    </row>
    <row r="13" spans="1:15" ht="26.1" customHeight="1">
      <c r="A13" s="121" t="s">
        <v>45</v>
      </c>
      <c r="B13" s="122"/>
      <c r="C13" s="123"/>
      <c r="D13" s="124">
        <v>198</v>
      </c>
      <c r="E13" s="125"/>
      <c r="F13" s="125">
        <f>SUM(F5:F12)</f>
        <v>194488</v>
      </c>
      <c r="G13" s="125"/>
      <c r="H13" s="125">
        <f>SUM(H5:H12)</f>
        <v>1885488</v>
      </c>
      <c r="I13" s="125"/>
      <c r="J13" s="125">
        <f>SUM(J5:J12)</f>
        <v>0</v>
      </c>
      <c r="K13" s="125"/>
      <c r="L13" s="125">
        <f>SUM(L5:L12)</f>
        <v>0</v>
      </c>
      <c r="M13" s="125"/>
      <c r="N13" s="125">
        <f>SUM(N5:N12)</f>
        <v>2079976</v>
      </c>
      <c r="O13" s="125"/>
    </row>
    <row r="14" spans="1:15" ht="26.1" customHeight="1">
      <c r="A14" s="180" t="s">
        <v>92</v>
      </c>
      <c r="B14" s="116" t="s">
        <v>104</v>
      </c>
      <c r="C14" s="117" t="s">
        <v>44</v>
      </c>
      <c r="D14" s="126">
        <v>22.2</v>
      </c>
      <c r="E14" s="119">
        <v>10855</v>
      </c>
      <c r="F14" s="127">
        <f>D14*E14</f>
        <v>240981</v>
      </c>
      <c r="G14" s="119">
        <v>6987</v>
      </c>
      <c r="H14" s="127">
        <f>D14*G14</f>
        <v>155111.4</v>
      </c>
      <c r="I14" s="127"/>
      <c r="J14" s="127"/>
      <c r="K14" s="120"/>
      <c r="L14" s="127"/>
      <c r="M14" s="120"/>
      <c r="N14" s="127">
        <f t="shared" ref="N14:N17" si="3">F14+H14+J14+L14</f>
        <v>396092.4</v>
      </c>
      <c r="O14" s="174"/>
    </row>
    <row r="15" spans="1:15" ht="26.1" customHeight="1">
      <c r="A15" s="180"/>
      <c r="B15" s="116" t="s">
        <v>103</v>
      </c>
      <c r="C15" s="117" t="s">
        <v>44</v>
      </c>
      <c r="D15" s="128">
        <v>10.4</v>
      </c>
      <c r="E15" s="120">
        <v>10855</v>
      </c>
      <c r="F15" s="127">
        <f>D15*E15</f>
        <v>112892</v>
      </c>
      <c r="G15" s="119">
        <v>6987</v>
      </c>
      <c r="H15" s="127">
        <f>D15*G15</f>
        <v>72664.800000000003</v>
      </c>
      <c r="I15" s="127"/>
      <c r="J15" s="127"/>
      <c r="K15" s="120"/>
      <c r="L15" s="127"/>
      <c r="M15" s="120"/>
      <c r="N15" s="127">
        <f t="shared" si="3"/>
        <v>185556.8</v>
      </c>
      <c r="O15" s="174"/>
    </row>
    <row r="16" spans="1:15" ht="26.1" customHeight="1">
      <c r="A16" s="180"/>
      <c r="B16" s="116" t="s">
        <v>95</v>
      </c>
      <c r="C16" s="117" t="s">
        <v>44</v>
      </c>
      <c r="D16" s="128">
        <v>5.2</v>
      </c>
      <c r="E16" s="120">
        <v>10855</v>
      </c>
      <c r="F16" s="127">
        <f>D16*E16</f>
        <v>56446</v>
      </c>
      <c r="G16" s="119">
        <v>6987</v>
      </c>
      <c r="H16" s="127">
        <f>D16*G16</f>
        <v>36332.400000000001</v>
      </c>
      <c r="I16" s="127"/>
      <c r="J16" s="127"/>
      <c r="K16" s="120"/>
      <c r="L16" s="127"/>
      <c r="M16" s="120"/>
      <c r="N16" s="127">
        <f t="shared" si="3"/>
        <v>92778.4</v>
      </c>
      <c r="O16" s="174"/>
    </row>
    <row r="17" spans="1:15" ht="26.1" customHeight="1">
      <c r="A17" s="181"/>
      <c r="B17" s="116" t="s">
        <v>106</v>
      </c>
      <c r="C17" s="117" t="s">
        <v>44</v>
      </c>
      <c r="D17" s="128">
        <v>4.5999999999999996</v>
      </c>
      <c r="E17" s="120">
        <v>10855</v>
      </c>
      <c r="F17" s="127">
        <f>D17*E17</f>
        <v>49932.999999999993</v>
      </c>
      <c r="G17" s="119">
        <v>6987</v>
      </c>
      <c r="H17" s="127">
        <f>D17*G17</f>
        <v>32140.199999999997</v>
      </c>
      <c r="I17" s="127"/>
      <c r="J17" s="127"/>
      <c r="K17" s="120"/>
      <c r="L17" s="127"/>
      <c r="M17" s="120"/>
      <c r="N17" s="127">
        <f t="shared" si="3"/>
        <v>82073.199999999983</v>
      </c>
      <c r="O17" s="175"/>
    </row>
    <row r="18" spans="1:15" ht="26.1" customHeight="1">
      <c r="A18" s="129" t="s">
        <v>45</v>
      </c>
      <c r="B18" s="130"/>
      <c r="C18" s="131"/>
      <c r="D18" s="132">
        <f>SUM(D14:D17)</f>
        <v>42.400000000000006</v>
      </c>
      <c r="E18" s="133"/>
      <c r="F18" s="133">
        <f>SUM(F14:F17)</f>
        <v>460252</v>
      </c>
      <c r="G18" s="133"/>
      <c r="H18" s="133">
        <f>SUM(H14:H17)</f>
        <v>296248.80000000005</v>
      </c>
      <c r="I18" s="133"/>
      <c r="J18" s="133">
        <f>SUM(J14:J17)</f>
        <v>0</v>
      </c>
      <c r="K18" s="133"/>
      <c r="L18" s="133">
        <f>SUM(L14:L17)</f>
        <v>0</v>
      </c>
      <c r="M18" s="133"/>
      <c r="N18" s="133">
        <f>SUM(N14:N17)</f>
        <v>756500.79999999993</v>
      </c>
      <c r="O18" s="133"/>
    </row>
    <row r="19" spans="1:15" ht="26.1" customHeight="1">
      <c r="A19" s="129" t="s">
        <v>62</v>
      </c>
      <c r="B19" s="130"/>
      <c r="C19" s="134"/>
      <c r="D19" s="135"/>
      <c r="E19" s="136"/>
      <c r="F19" s="137">
        <f>F13+F18</f>
        <v>654740</v>
      </c>
      <c r="G19" s="137"/>
      <c r="H19" s="137">
        <f>H13+H18</f>
        <v>2181736.7999999998</v>
      </c>
      <c r="I19" s="136"/>
      <c r="J19" s="137">
        <f>J13+J18</f>
        <v>0</v>
      </c>
      <c r="K19" s="136"/>
      <c r="L19" s="137">
        <f>L13+L18</f>
        <v>0</v>
      </c>
      <c r="M19" s="136"/>
      <c r="N19" s="137">
        <f>N13+N18</f>
        <v>2836476.8</v>
      </c>
      <c r="O19" s="136"/>
    </row>
    <row r="20" spans="1:15" ht="26.1" customHeight="1"/>
    <row r="21" spans="1:15" ht="37.5" customHeight="1">
      <c r="A21" s="179" t="s">
        <v>0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</row>
    <row r="22" spans="1:15" ht="35.25" customHeight="1">
      <c r="A22" s="179" t="s">
        <v>1</v>
      </c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</row>
    <row r="24" spans="1:15">
      <c r="E24" s="78"/>
    </row>
    <row r="25" spans="1:15">
      <c r="E25" s="78"/>
    </row>
  </sheetData>
  <mergeCells count="18">
    <mergeCell ref="A4:D4"/>
    <mergeCell ref="O14:O17"/>
    <mergeCell ref="A5:A12"/>
    <mergeCell ref="O5:O12"/>
    <mergeCell ref="A22:O22"/>
    <mergeCell ref="A21:O21"/>
    <mergeCell ref="A14:A17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22" type="noConversion"/>
  <pageMargins left="0.69999998807907104" right="0.69999998807907104" top="0.75" bottom="0.75" header="0.30000001192092896" footer="0.30000001192092896"/>
  <pageSetup paperSize="9" scale="55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6"/>
  <sheetViews>
    <sheetView showGridLines="0" zoomScaleNormal="100" zoomScaleSheetLayoutView="75" workbookViewId="0">
      <selection activeCell="D23" sqref="D23"/>
    </sheetView>
  </sheetViews>
  <sheetFormatPr defaultColWidth="9" defaultRowHeight="14.25"/>
  <cols>
    <col min="1" max="1" width="25.125" style="83" customWidth="1"/>
    <col min="2" max="2" width="16.25" style="83" customWidth="1"/>
    <col min="3" max="3" width="22.375" style="83" customWidth="1"/>
    <col min="4" max="4" width="24.125" style="83" customWidth="1"/>
    <col min="5" max="5" width="13" style="83" customWidth="1"/>
    <col min="6" max="6" width="9" style="83" customWidth="1"/>
    <col min="7" max="16384" width="9" style="74"/>
  </cols>
  <sheetData>
    <row r="1" spans="1:6" ht="18" customHeight="1">
      <c r="A1" s="79" t="s">
        <v>63</v>
      </c>
      <c r="B1" s="79" t="s">
        <v>102</v>
      </c>
      <c r="C1" s="79" t="s">
        <v>97</v>
      </c>
      <c r="D1" s="79" t="s">
        <v>109</v>
      </c>
      <c r="E1" s="79" t="s">
        <v>110</v>
      </c>
      <c r="F1" s="79" t="s">
        <v>36</v>
      </c>
    </row>
    <row r="2" spans="1:6">
      <c r="A2" s="80" t="str">
        <f>'내역서(표준단가)'!A5</f>
        <v>M020853710050101</v>
      </c>
      <c r="B2" s="81">
        <f>'내역서(표준단가)'!B5</f>
        <v>0</v>
      </c>
      <c r="C2" s="81">
        <f>'내역서(표준단가)'!C5</f>
        <v>0</v>
      </c>
      <c r="D2" s="81" t="str">
        <f>'내역서(표준단가)'!D5</f>
        <v>M020853710050101</v>
      </c>
      <c r="E2" s="81">
        <f>'내역서(표준단가)'!E5</f>
        <v>0</v>
      </c>
      <c r="F2" s="82">
        <f>'내역서(표준단가)'!I5</f>
        <v>11.144</v>
      </c>
    </row>
    <row r="3" spans="1:6">
      <c r="A3" s="80" t="str">
        <f>'내역서(표준단가)'!A6</f>
        <v>E00000803071260301</v>
      </c>
      <c r="B3" s="81">
        <f>'내역서(표준단가)'!B6</f>
        <v>0</v>
      </c>
      <c r="C3" s="81" t="str">
        <f>'내역서(표준단가)'!C6</f>
        <v>E00000803071260301</v>
      </c>
      <c r="D3" s="81">
        <f>'내역서(표준단가)'!D6</f>
        <v>0</v>
      </c>
      <c r="E3" s="81">
        <f>'내역서(표준단가)'!E6</f>
        <v>0</v>
      </c>
      <c r="F3" s="82">
        <f>'내역서(표준단가)'!I6</f>
        <v>2.6520000000000001</v>
      </c>
    </row>
    <row r="4" spans="1:6">
      <c r="A4" s="80" t="str">
        <f>'내역서(표준단가)'!A7</f>
        <v>E00000803071260301</v>
      </c>
      <c r="B4" s="81">
        <f>'내역서(표준단가)'!B7</f>
        <v>0</v>
      </c>
      <c r="C4" s="81" t="str">
        <f>'내역서(표준단가)'!C7</f>
        <v>E00000803071260301</v>
      </c>
      <c r="D4" s="81">
        <f>'내역서(표준단가)'!D7</f>
        <v>0</v>
      </c>
      <c r="E4" s="81">
        <f>'내역서(표준단가)'!E7</f>
        <v>0</v>
      </c>
      <c r="F4" s="82">
        <f>'내역서(표준단가)'!I7</f>
        <v>1.7709999999999999</v>
      </c>
    </row>
    <row r="5" spans="1:6">
      <c r="A5" s="80" t="str">
        <f>'내역서(표준단가)'!A8</f>
        <v>M020809012520101</v>
      </c>
      <c r="B5" s="81">
        <f>'내역서(표준단가)'!B8</f>
        <v>0</v>
      </c>
      <c r="C5" s="81">
        <f>'내역서(표준단가)'!C8</f>
        <v>0</v>
      </c>
      <c r="D5" s="81" t="str">
        <f>'내역서(표준단가)'!D8</f>
        <v>M020809012520101</v>
      </c>
      <c r="E5" s="81">
        <f>'내역서(표준단가)'!E8</f>
        <v>0</v>
      </c>
      <c r="F5" s="82">
        <f>'내역서(표준단가)'!I8</f>
        <v>42.4</v>
      </c>
    </row>
    <row r="6" spans="1:6">
      <c r="A6" s="80" t="str">
        <f>'내역서(표준단가)'!A9</f>
        <v>E00000803071260401</v>
      </c>
      <c r="B6" s="81">
        <f>'내역서(표준단가)'!B9</f>
        <v>0</v>
      </c>
      <c r="C6" s="81" t="str">
        <f>'내역서(표준단가)'!C9</f>
        <v>E00000803071260401</v>
      </c>
      <c r="D6" s="81">
        <f>'내역서(표준단가)'!D9</f>
        <v>0</v>
      </c>
      <c r="E6" s="81">
        <f>'내역서(표준단가)'!E9</f>
        <v>0</v>
      </c>
      <c r="F6" s="82">
        <f>'내역서(표준단가)'!I9</f>
        <v>0.69510000000000005</v>
      </c>
    </row>
  </sheetData>
  <phoneticPr fontId="22" type="noConversion"/>
  <pageMargins left="0.69999998807907104" right="0.69999998807907104" top="0.75" bottom="0.75" header="0.30000001192092896" footer="0.30000001192092896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zoomScaleNormal="100" zoomScaleSheetLayoutView="75" workbookViewId="0">
      <selection activeCell="P44" sqref="P44"/>
    </sheetView>
  </sheetViews>
  <sheetFormatPr defaultColWidth="9" defaultRowHeight="14.25"/>
  <cols>
    <col min="1" max="16384" width="9" style="74"/>
  </cols>
  <sheetData/>
  <phoneticPr fontId="22" type="noConversion"/>
  <pageMargins left="0.69999998807907104" right="0.69999998807907104" top="0.75" bottom="0.75" header="0.30000001192092896" footer="0.30000001192092896"/>
  <pageSetup paperSize="9" orientation="portrait" horizontalDpi="4294967293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zoomScaleNormal="100" zoomScaleSheetLayoutView="75" workbookViewId="0"/>
  </sheetViews>
  <sheetFormatPr defaultColWidth="9" defaultRowHeight="16.5"/>
  <sheetData/>
  <phoneticPr fontId="2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Upload</vt:lpstr>
      <vt:lpstr>초원 23평 도면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종근 이</cp:lastModifiedBy>
  <cp:revision>1</cp:revision>
  <dcterms:created xsi:type="dcterms:W3CDTF">2026-01-20T04:06:16Z</dcterms:created>
  <dcterms:modified xsi:type="dcterms:W3CDTF">2026-07-14T23:56:21Z</dcterms:modified>
  <cp:version>1100.0100.01</cp:version>
</cp:coreProperties>
</file>
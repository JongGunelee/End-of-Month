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현재_통합_문서"/>
  <xr:revisionPtr revIDLastSave="0" documentId="13_ncr:1_{B661BAF5-5964-4B59-9BC7-3D71FE9B69C6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M6" i="4"/>
  <c r="Q10" i="4" l="1"/>
  <c r="O10" i="4"/>
  <c r="M10" i="4"/>
  <c r="K10" i="4"/>
  <c r="A10" i="4"/>
  <c r="A7" i="1" s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K6" i="4"/>
  <c r="A6" i="4"/>
  <c r="A3" i="1" s="1"/>
  <c r="R10" i="4" l="1"/>
  <c r="R9" i="4"/>
  <c r="R6" i="4"/>
  <c r="R8" i="4"/>
  <c r="R7" i="4"/>
  <c r="F2" i="1" l="1"/>
  <c r="E2" i="1"/>
  <c r="D2" i="1"/>
  <c r="C2" i="1"/>
  <c r="B2" i="1"/>
  <c r="A5" i="4"/>
  <c r="A2" i="1" s="1"/>
  <c r="Q5" i="4"/>
  <c r="O5" i="4"/>
  <c r="M5" i="4"/>
  <c r="K5" i="4"/>
  <c r="R5" i="4" l="1"/>
  <c r="Q11" i="4" l="1"/>
  <c r="M11" i="4"/>
  <c r="O11" i="4" l="1"/>
  <c r="R11" i="4" l="1"/>
  <c r="F18" i="5" l="1"/>
  <c r="K11" i="4" l="1"/>
  <c r="F17" i="5" l="1"/>
  <c r="F16" i="5"/>
  <c r="F26" i="5" s="1"/>
  <c r="F22" i="5" l="1"/>
  <c r="F23" i="5" s="1"/>
  <c r="F21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<sst xmlns="http://schemas.openxmlformats.org/spreadsheetml/2006/main" count="124" uniqueCount="102">
  <si>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</si>
  <si>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</si>
  <si>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</si>
  <si>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</si>
  <si>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</si>
  <si>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</si>
  <si>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</si>
  <si>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</si>
  <si>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17" type="noConversion"/>
  </si>
  <si>
    <t xml:space="preserve">  </t>
  </si>
  <si>
    <t>NO</t>
  </si>
  <si>
    <t>품명</t>
    <phoneticPr fontId="17" type="noConversion"/>
  </si>
  <si>
    <t>규격</t>
    <phoneticPr fontId="17" type="noConversion"/>
  </si>
  <si>
    <t>수량</t>
    <phoneticPr fontId="17" type="noConversion"/>
  </si>
  <si>
    <t>단위</t>
    <phoneticPr fontId="17" type="noConversion"/>
  </si>
  <si>
    <t>금액</t>
    <phoneticPr fontId="17" type="noConversion"/>
  </si>
  <si>
    <t>비고</t>
    <phoneticPr fontId="17" type="noConversion"/>
  </si>
  <si>
    <t>직접비</t>
    <phoneticPr fontId="15" type="noConversion"/>
  </si>
  <si>
    <t>재료비</t>
    <phoneticPr fontId="15" type="noConversion"/>
  </si>
  <si>
    <t>노무비</t>
    <phoneticPr fontId="17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</si>
  <si>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</si>
  <si>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</si>
  <si>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</si>
  <si>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17" type="noConversion"/>
  </si>
  <si>
    <t>식</t>
    <phoneticPr fontId="17" type="noConversion"/>
  </si>
  <si>
    <t>모든공사에 적용</t>
    <phoneticPr fontId="17" type="noConversion"/>
  </si>
  <si>
    <t>  건강보험료</t>
    <phoneticPr fontId="17" type="noConversion"/>
  </si>
  <si>
    <t>모든공사에 적용</t>
    <phoneticPr fontId="17" type="noConversion"/>
  </si>
  <si>
    <t>  장기요양보험료</t>
    <phoneticPr fontId="17" type="noConversion"/>
  </si>
  <si>
    <t>  고용보험료</t>
    <phoneticPr fontId="17" type="noConversion"/>
  </si>
  <si>
    <t>  산재보험료</t>
    <phoneticPr fontId="17" type="noConversion"/>
  </si>
  <si>
    <t xml:space="preserve">  산업안전보건관리비</t>
    <phoneticPr fontId="17" type="noConversion"/>
  </si>
  <si>
    <t>소계</t>
    <phoneticPr fontId="15" type="noConversion"/>
  </si>
  <si>
    <t>합계(단수조정)</t>
    <phoneticPr fontId="15" type="noConversion"/>
  </si>
  <si>
    <t>VAT별도</t>
    <phoneticPr fontId="17" type="noConversion"/>
  </si>
  <si>
    <t>일반관리비/이윤</t>
    <phoneticPr fontId="17" type="noConversion"/>
  </si>
  <si>
    <t> (노무비+간접공사비)*5%</t>
    <phoneticPr fontId="17" type="noConversion"/>
  </si>
  <si>
    <t>등록번호</t>
    <phoneticPr fontId="11" type="noConversion"/>
  </si>
  <si>
    <t>종 목</t>
    <phoneticPr fontId="11" type="noConversion"/>
  </si>
  <si>
    <t>TEL, FAX</t>
    <phoneticPr fontId="11" type="noConversion"/>
  </si>
  <si>
    <t>상 호</t>
    <phoneticPr fontId="11" type="noConversion"/>
  </si>
  <si>
    <t>대표 이사</t>
    <phoneticPr fontId="11" type="noConversion"/>
  </si>
  <si>
    <t>사업장</t>
    <phoneticPr fontId="11" type="noConversion"/>
  </si>
  <si>
    <t>업 태</t>
    <phoneticPr fontId="11" type="noConversion"/>
  </si>
  <si>
    <t>할증기준</t>
    <phoneticPr fontId="9" type="noConversion"/>
  </si>
  <si>
    <t> 노무비*1.01%</t>
    <phoneticPr fontId="17" type="noConversion"/>
  </si>
  <si>
    <t xml:space="preserve"> 수신인 : 주식회사 에스엔아이 코퍼레이션</t>
    <phoneticPr fontId="15" type="noConversion"/>
  </si>
  <si>
    <t> 건강보험료*12.95%</t>
    <phoneticPr fontId="17" type="noConversion"/>
  </si>
  <si>
    <t> 노무비*3.56%</t>
    <phoneticPr fontId="17" type="noConversion"/>
  </si>
  <si>
    <t>314-86-35718</t>
    <phoneticPr fontId="9" type="noConversion"/>
  </si>
  <si>
    <t>㈜일성건축</t>
    <phoneticPr fontId="9" type="noConversion"/>
  </si>
  <si>
    <t>상 석 희</t>
    <phoneticPr fontId="9" type="noConversion"/>
  </si>
  <si>
    <t>대전 서구 도마6길 107 (도마동)</t>
    <phoneticPr fontId="9" type="noConversion"/>
  </si>
  <si>
    <t>건설업</t>
    <phoneticPr fontId="9" type="noConversion"/>
  </si>
  <si>
    <t>실내건축,인테리어공사</t>
    <phoneticPr fontId="9" type="noConversion"/>
  </si>
  <si>
    <t>042)527-0995, 042)527-0996</t>
    <phoneticPr fontId="9" type="noConversion"/>
  </si>
  <si>
    <t>인</t>
    <phoneticPr fontId="9" type="noConversion"/>
  </si>
  <si>
    <t>L002</t>
  </si>
  <si>
    <t>L003</t>
  </si>
  <si>
    <t>프리미엄 바이오 707</t>
  </si>
  <si>
    <t>특별인부</t>
  </si>
  <si>
    <t>보통인부</t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</si>
  <si>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</si>
  <si>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</si>
  <si>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</si>
  <si>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단위</t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</si>
  <si>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</si>
  <si>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</si>
  <si>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</si>
  <si>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</si>
  <si>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</si>
  <si>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</si>
  <si>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</si>
  <si>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</si>
  <si>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</si>
  <si>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</si>
  <si>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</si>
  <si>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</si>
  <si>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</si>
  <si>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</si>
  <si>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</si>
  <si>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</si>
  <si>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</si>
  <si>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(연면적 ㎡ 당)</t>
  </si>
  <si>
    <t>E00000801011510102</t>
  </si>
  <si>
    <t>건축물보양</t>
  </si>
  <si>
    <t>보양지 붙이기</t>
  </si>
  <si>
    <t>(보양면적 ㎡ 당)</t>
  </si>
  <si>
    <t>E00000803073030101</t>
  </si>
  <si>
    <t>수밀 코킹</t>
  </si>
  <si>
    <t>(m 당)</t>
  </si>
  <si>
    <t>M020251411750101</t>
  </si>
  <si>
    <t>1액형 실리콘, 내곰팡이성 욕조용(위생기, 씽크대, 욕실용), 친환경 인증</t>
  </si>
  <si>
    <t>270㎖</t>
  </si>
  <si>
    <t> (재료비+노무비)*3.11%</t>
    <phoneticPr fontId="17" type="noConversion"/>
  </si>
  <si>
    <t>자재운반 및 폐기물 처리</t>
    <phoneticPr fontId="9" type="noConversion"/>
  </si>
  <si>
    <t>시중노임단가, 보통인부</t>
    <phoneticPr fontId="9" type="noConversion"/>
  </si>
  <si>
    <t>시중노임단가, 특별인부</t>
    <phoneticPr fontId="9" type="noConversion"/>
  </si>
  <si>
    <t> 노무비*4.75%</t>
    <phoneticPr fontId="17" type="noConversion"/>
  </si>
  <si>
    <t> 노무비*3.595%</t>
    <phoneticPr fontId="17" type="noConversion"/>
  </si>
  <si>
    <t xml:space="preserve"> 공사명 : 사택 102-403 UBR 욕조 누수보수</t>
    <phoneticPr fontId="15" type="noConversion"/>
  </si>
  <si>
    <t xml:space="preserve"> 견적일 : 2026년  02월  06일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</si>
</sst>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#,##0_ "/>
    <numFmt numFmtId="185" formatCode="#,##0;\-#,##0;"/>
    <numFmt numFmtId="186" formatCode="0.000"/>
  </numFmts>
  <fonts count="2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8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8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8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16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6" fillId="0" borderId="6" xfId="6" applyFont="1" applyBorder="1" applyAlignment="1">
      <alignment horizontal="right" vertical="center"/>
    </xf>
    <xf numFmtId="0" fontId="16" fillId="5" borderId="25" xfId="6" applyFont="1" applyFill="1" applyBorder="1" applyAlignment="1">
      <alignment horizontal="center" vertical="center"/>
    </xf>
    <xf numFmtId="0" fontId="16" fillId="5" borderId="26" xfId="6" applyFont="1" applyFill="1" applyBorder="1" applyAlignment="1">
      <alignment vertical="center" shrinkToFit="1"/>
    </xf>
    <xf numFmtId="0" fontId="16" fillId="5" borderId="2" xfId="6" applyFont="1" applyFill="1" applyBorder="1" applyAlignment="1">
      <alignment horizontal="center" vertical="center"/>
    </xf>
    <xf numFmtId="0" fontId="16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6" fillId="0" borderId="28" xfId="6" applyFont="1" applyBorder="1" applyAlignment="1">
      <alignment horizontal="center" vertical="center" shrinkToFit="1"/>
    </xf>
    <xf numFmtId="0" fontId="16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6" fillId="0" borderId="8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/>
    </xf>
    <xf numFmtId="0" fontId="16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6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6" fillId="8" borderId="15" xfId="6" applyFont="1" applyFill="1" applyBorder="1" applyAlignment="1">
      <alignment vertical="center"/>
    </xf>
    <xf numFmtId="1" fontId="16" fillId="8" borderId="15" xfId="6" applyNumberFormat="1" applyFont="1" applyFill="1" applyBorder="1" applyAlignment="1">
      <alignment horizontal="center" vertical="center"/>
    </xf>
    <xf numFmtId="180" fontId="16" fillId="8" borderId="15" xfId="7" applyFont="1" applyFill="1" applyBorder="1" applyAlignment="1">
      <alignment horizontal="right" vertical="center"/>
    </xf>
    <xf numFmtId="0" fontId="16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6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6" fillId="8" borderId="15" xfId="3" applyNumberFormat="1" applyFont="1" applyFill="1" applyBorder="1" applyAlignment="1">
      <alignment horizontal="right" vertical="center"/>
    </xf>
    <xf numFmtId="1" fontId="16" fillId="8" borderId="15" xfId="9" applyNumberFormat="1" applyFont="1" applyFill="1" applyBorder="1" applyAlignment="1">
      <alignment horizontal="center" vertical="center"/>
    </xf>
    <xf numFmtId="177" fontId="16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6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6" fillId="8" borderId="0" xfId="3" applyNumberFormat="1" applyFont="1" applyFill="1" applyAlignment="1">
      <alignment vertical="center"/>
    </xf>
    <xf numFmtId="0" fontId="16" fillId="0" borderId="17" xfId="6" applyFont="1" applyBorder="1" applyAlignment="1">
      <alignment horizontal="center" vertical="center" textRotation="255"/>
    </xf>
    <xf numFmtId="0" fontId="16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6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4" fillId="7" borderId="3" xfId="0" applyNumberFormat="1" applyFont="1" applyFill="1" applyBorder="1" applyAlignment="1">
      <alignment horizontal="center" vertical="center" wrapText="1"/>
    </xf>
    <xf numFmtId="177" fontId="20" fillId="6" borderId="3" xfId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183" fontId="20" fillId="5" borderId="3" xfId="0" applyNumberFormat="1" applyFont="1" applyFill="1" applyBorder="1" applyAlignment="1">
      <alignment horizontal="right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9" fontId="20" fillId="0" borderId="3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/>
    </xf>
    <xf numFmtId="49" fontId="20" fillId="5" borderId="3" xfId="0" applyNumberFormat="1" applyFont="1" applyFill="1" applyBorder="1" applyAlignment="1">
      <alignment horizontal="center" vertical="center"/>
    </xf>
    <xf numFmtId="184" fontId="20" fillId="5" borderId="3" xfId="0" applyNumberFormat="1" applyFont="1" applyFill="1" applyBorder="1" applyAlignment="1">
      <alignment vertical="center" wrapText="1"/>
    </xf>
    <xf numFmtId="0" fontId="21" fillId="0" borderId="0" xfId="0" applyFont="1">
      <alignment vertical="center"/>
    </xf>
    <xf numFmtId="185" fontId="20" fillId="6" borderId="3" xfId="1" applyNumberFormat="1" applyFont="1" applyFill="1" applyBorder="1" applyAlignment="1">
      <alignment horizontal="right" vertical="center" wrapText="1"/>
    </xf>
    <xf numFmtId="185" fontId="20" fillId="0" borderId="3" xfId="1" applyNumberFormat="1" applyFont="1" applyFill="1" applyBorder="1" applyAlignment="1">
      <alignment horizontal="right" vertical="center" wrapText="1"/>
    </xf>
    <xf numFmtId="186" fontId="20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49" fontId="20" fillId="0" borderId="3" xfId="3" applyNumberFormat="1" applyFont="1" applyBorder="1" applyAlignment="1">
      <alignment horizontal="center" vertical="center" wrapText="1" shrinkToFit="1"/>
    </xf>
    <xf numFmtId="0" fontId="23" fillId="10" borderId="3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177" fontId="16" fillId="10" borderId="0" xfId="0" applyNumberFormat="1" applyFont="1" applyFill="1">
      <alignment vertical="center"/>
    </xf>
    <xf numFmtId="0" fontId="24" fillId="0" borderId="0" xfId="0" applyFont="1">
      <alignment vertical="center"/>
    </xf>
    <xf numFmtId="177" fontId="24" fillId="0" borderId="0" xfId="0" applyNumberFormat="1" applyFont="1">
      <alignment vertical="center"/>
    </xf>
    <xf numFmtId="0" fontId="23" fillId="0" borderId="0" xfId="0" applyFont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85" fontId="26" fillId="5" borderId="3" xfId="0" applyNumberFormat="1" applyFont="1" applyFill="1" applyBorder="1" applyAlignment="1">
      <alignment horizontal="right" vertical="center" wrapText="1"/>
    </xf>
    <xf numFmtId="185" fontId="26" fillId="6" borderId="3" xfId="1" applyNumberFormat="1" applyFont="1" applyFill="1" applyBorder="1" applyAlignment="1">
      <alignment horizontal="right" vertical="center" wrapText="1"/>
    </xf>
    <xf numFmtId="185" fontId="26" fillId="5" borderId="3" xfId="1" applyNumberFormat="1" applyFont="1" applyFill="1" applyBorder="1" applyAlignment="1">
      <alignment horizontal="right" vertical="center"/>
    </xf>
    <xf numFmtId="184" fontId="26" fillId="5" borderId="3" xfId="0" applyNumberFormat="1" applyFont="1" applyFill="1" applyBorder="1" applyAlignment="1">
      <alignment vertical="center" wrapText="1"/>
    </xf>
    <xf numFmtId="185" fontId="26" fillId="5" borderId="3" xfId="1" applyNumberFormat="1" applyFont="1" applyFill="1" applyBorder="1" applyAlignment="1">
      <alignment horizontal="right" vertical="center" wrapText="1"/>
    </xf>
    <xf numFmtId="0" fontId="27" fillId="0" borderId="15" xfId="8" applyFont="1" applyBorder="1" applyAlignment="1">
      <alignment horizontal="center" vertical="center"/>
    </xf>
    <xf numFmtId="0" fontId="28" fillId="0" borderId="15" xfId="6" applyFont="1" applyBorder="1" applyAlignment="1">
      <alignment vertical="center"/>
    </xf>
    <xf numFmtId="0" fontId="27" fillId="0" borderId="15" xfId="6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0" zoomScale="85" zoomScaleNormal="85" workbookViewId="0">
      <selection activeCell="I23" sqref="I23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7" t="s">
        <v>6</v>
      </c>
      <c r="B2" s="117"/>
      <c r="C2" s="117"/>
      <c r="D2" s="117"/>
      <c r="E2" s="117"/>
      <c r="F2" s="117"/>
      <c r="G2" s="117"/>
      <c r="H2" s="2"/>
    </row>
    <row r="3" spans="1:9" ht="14.25" x14ac:dyDescent="0.2">
      <c r="A3" s="80"/>
      <c r="B3" s="80"/>
      <c r="C3" s="80"/>
      <c r="D3" s="80"/>
      <c r="E3" s="80"/>
      <c r="F3" s="80"/>
      <c r="G3" s="80"/>
      <c r="H3" s="80"/>
    </row>
    <row r="4" spans="1:9" ht="14.25" x14ac:dyDescent="0.2">
      <c r="A4" s="80"/>
      <c r="B4" s="80"/>
      <c r="C4" s="80"/>
      <c r="D4" s="80"/>
      <c r="E4" s="80"/>
      <c r="H4" s="80"/>
    </row>
    <row r="5" spans="1:9" ht="27" customHeight="1" x14ac:dyDescent="0.2">
      <c r="A5" s="81" t="s">
        <v>46</v>
      </c>
      <c r="B5" s="4"/>
      <c r="C5" s="5"/>
      <c r="D5" s="80"/>
      <c r="E5" s="80"/>
      <c r="F5" s="6" t="s">
        <v>37</v>
      </c>
      <c r="G5" s="7" t="s">
        <v>49</v>
      </c>
      <c r="H5" s="80"/>
    </row>
    <row r="6" spans="1:9" ht="27" customHeight="1" x14ac:dyDescent="0.2">
      <c r="A6" s="80"/>
      <c r="B6" s="80"/>
      <c r="C6" s="80"/>
      <c r="D6" s="80"/>
      <c r="E6" s="80"/>
      <c r="F6" s="8" t="s">
        <v>40</v>
      </c>
      <c r="G6" s="9" t="s">
        <v>50</v>
      </c>
      <c r="H6" s="80"/>
    </row>
    <row r="7" spans="1:9" ht="27" customHeight="1" x14ac:dyDescent="0.2">
      <c r="A7" s="120" t="s">
        <v>100</v>
      </c>
      <c r="B7" s="121"/>
      <c r="C7" s="122"/>
      <c r="D7" s="80"/>
      <c r="E7" s="10"/>
      <c r="F7" s="11" t="s">
        <v>41</v>
      </c>
      <c r="G7" s="9" t="s">
        <v>51</v>
      </c>
      <c r="H7" s="80"/>
    </row>
    <row r="8" spans="1:9" ht="27" customHeight="1" x14ac:dyDescent="0.2">
      <c r="A8" s="80"/>
      <c r="B8" s="80"/>
      <c r="C8" s="80"/>
      <c r="D8" s="80"/>
      <c r="E8" s="80"/>
      <c r="F8" s="8" t="s">
        <v>42</v>
      </c>
      <c r="G8" s="9" t="s">
        <v>52</v>
      </c>
      <c r="H8" s="80"/>
    </row>
    <row r="9" spans="1:9" ht="27" customHeight="1" x14ac:dyDescent="0.2">
      <c r="A9" s="120" t="s">
        <v>101</v>
      </c>
      <c r="B9" s="121"/>
      <c r="C9" s="122"/>
      <c r="D9" s="80"/>
      <c r="E9" s="80"/>
      <c r="F9" s="8" t="s">
        <v>43</v>
      </c>
      <c r="G9" s="9" t="s">
        <v>53</v>
      </c>
      <c r="H9" s="80"/>
    </row>
    <row r="10" spans="1:9" ht="27" customHeight="1" x14ac:dyDescent="0.2">
      <c r="A10" s="80"/>
      <c r="B10" s="80"/>
      <c r="C10" s="80"/>
      <c r="D10" s="80"/>
      <c r="E10" s="80"/>
      <c r="F10" s="12" t="s">
        <v>38</v>
      </c>
      <c r="G10" s="13" t="s">
        <v>54</v>
      </c>
      <c r="H10" s="80"/>
      <c r="I10" s="80"/>
    </row>
    <row r="11" spans="1:9" ht="27" customHeight="1" x14ac:dyDescent="0.2">
      <c r="A11" s="118"/>
      <c r="B11" s="119"/>
      <c r="C11" s="119"/>
      <c r="D11" s="80"/>
      <c r="E11" s="14"/>
      <c r="F11" s="15" t="s">
        <v>39</v>
      </c>
      <c r="G11" s="16" t="s">
        <v>55</v>
      </c>
      <c r="H11" s="14"/>
    </row>
    <row r="12" spans="1:9" ht="18.75" thickBot="1" x14ac:dyDescent="0.25">
      <c r="A12" s="17" t="s">
        <v>7</v>
      </c>
      <c r="B12" s="17" t="str">
        <f>NUMBERSTRING(F31,1)</f>
        <v>칠십육만사천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0"/>
      <c r="B13" s="80"/>
      <c r="C13" s="80"/>
      <c r="D13" s="80"/>
      <c r="E13" s="80"/>
      <c r="F13" s="80"/>
      <c r="G13" s="80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'내역서(표준단가)'!K11</f>
        <v>23380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'내역서(표준단가)'!M11</f>
        <v>605536.79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628916.79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0" t="s">
        <v>23</v>
      </c>
      <c r="C21" s="111" t="s">
        <v>98</v>
      </c>
      <c r="D21" s="112">
        <v>1</v>
      </c>
      <c r="E21" s="112" t="s">
        <v>24</v>
      </c>
      <c r="F21" s="113">
        <f>F17*4.75%</f>
        <v>28762.997525000002</v>
      </c>
      <c r="G21" s="35" t="s">
        <v>25</v>
      </c>
    </row>
    <row r="22" spans="1:7" ht="33" customHeight="1" x14ac:dyDescent="0.2">
      <c r="A22" s="29"/>
      <c r="B22" s="114" t="s">
        <v>26</v>
      </c>
      <c r="C22" s="111" t="s">
        <v>99</v>
      </c>
      <c r="D22" s="115">
        <v>1</v>
      </c>
      <c r="E22" s="115" t="s">
        <v>24</v>
      </c>
      <c r="F22" s="116">
        <f>F17*3.595%</f>
        <v>21769.047600500002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2819.0916642647503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6115.9215789999998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21557.109724000002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94</v>
      </c>
      <c r="D26" s="30">
        <v>1</v>
      </c>
      <c r="E26" s="30" t="s">
        <v>24</v>
      </c>
      <c r="F26" s="43">
        <f>(F16+F17)*3.11%</f>
        <v>19559.312169000001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35306.013513088248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135889.49377485301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764806.28377485299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764000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5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20.5" style="103" bestFit="1" customWidth="1"/>
    <col min="2" max="5" width="13.625" style="95" hidden="1" customWidth="1"/>
    <col min="6" max="7" width="30.625" style="90" customWidth="1"/>
    <col min="8" max="8" width="13" style="95" bestFit="1" customWidth="1"/>
    <col min="9" max="9" width="6" style="95" bestFit="1" customWidth="1"/>
    <col min="10" max="10" width="10.125" style="95" bestFit="1" customWidth="1"/>
    <col min="11" max="11" width="10.875" style="95" bestFit="1" customWidth="1"/>
    <col min="12" max="12" width="9.125" style="95" bestFit="1" customWidth="1"/>
    <col min="13" max="13" width="13.375" style="95" customWidth="1"/>
    <col min="14" max="14" width="6.125" style="95" customWidth="1"/>
    <col min="15" max="15" width="8.25" style="95" bestFit="1" customWidth="1"/>
    <col min="16" max="16" width="6.125" style="95" customWidth="1"/>
    <col min="17" max="17" width="8.25" style="95" bestFit="1" customWidth="1"/>
    <col min="18" max="18" width="12.75" style="95" bestFit="1" customWidth="1"/>
    <col min="19" max="19" width="10.125" style="62" bestFit="1" customWidth="1"/>
    <col min="20" max="20" width="8" style="95" bestFit="1" customWidth="1"/>
    <col min="21" max="16384" width="9" style="95"/>
  </cols>
  <sheetData>
    <row r="1" spans="1:20" ht="19.899999999999999" customHeight="1" x14ac:dyDescent="0.3">
      <c r="A1" s="123"/>
      <c r="B1" s="123"/>
      <c r="C1" s="123"/>
      <c r="D1" s="123"/>
      <c r="E1" s="123"/>
      <c r="J1" s="62"/>
      <c r="K1" s="94" t="s">
        <v>62</v>
      </c>
      <c r="M1" s="94" t="s">
        <v>62</v>
      </c>
      <c r="O1" s="94" t="s">
        <v>62</v>
      </c>
      <c r="Q1" s="94" t="s">
        <v>62</v>
      </c>
    </row>
    <row r="2" spans="1:20" ht="19.899999999999999" customHeight="1" thickBot="1" x14ac:dyDescent="0.35">
      <c r="A2" s="123"/>
      <c r="B2" s="123"/>
      <c r="C2" s="123"/>
      <c r="D2" s="123"/>
      <c r="E2" s="123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 x14ac:dyDescent="0.3">
      <c r="A3" s="96"/>
      <c r="B3" s="96" t="s">
        <v>63</v>
      </c>
      <c r="C3" s="97"/>
      <c r="D3" s="97"/>
      <c r="E3" s="97"/>
      <c r="F3" s="134" t="s">
        <v>64</v>
      </c>
      <c r="G3" s="134"/>
      <c r="H3" s="132" t="s">
        <v>65</v>
      </c>
      <c r="I3" s="132" t="s">
        <v>5</v>
      </c>
      <c r="J3" s="128" t="s">
        <v>66</v>
      </c>
      <c r="K3" s="128"/>
      <c r="L3" s="128" t="s">
        <v>67</v>
      </c>
      <c r="M3" s="128"/>
      <c r="N3" s="129" t="s">
        <v>68</v>
      </c>
      <c r="O3" s="129"/>
      <c r="P3" s="129" t="s">
        <v>69</v>
      </c>
      <c r="Q3" s="129"/>
      <c r="R3" s="130" t="s">
        <v>70</v>
      </c>
      <c r="S3" s="126" t="s">
        <v>71</v>
      </c>
      <c r="T3" s="124" t="s">
        <v>44</v>
      </c>
    </row>
    <row r="4" spans="1:20" ht="19.899999999999999" customHeight="1" x14ac:dyDescent="0.3">
      <c r="A4" s="65" t="s">
        <v>72</v>
      </c>
      <c r="B4" s="66" t="s">
        <v>73</v>
      </c>
      <c r="C4" s="66" t="s">
        <v>74</v>
      </c>
      <c r="D4" s="66" t="s">
        <v>75</v>
      </c>
      <c r="E4" s="66" t="s">
        <v>76</v>
      </c>
      <c r="F4" s="91" t="s">
        <v>77</v>
      </c>
      <c r="G4" s="91" t="s">
        <v>78</v>
      </c>
      <c r="H4" s="133"/>
      <c r="I4" s="133"/>
      <c r="J4" s="67" t="s">
        <v>79</v>
      </c>
      <c r="K4" s="68" t="s">
        <v>80</v>
      </c>
      <c r="L4" s="67" t="s">
        <v>81</v>
      </c>
      <c r="M4" s="68" t="s">
        <v>80</v>
      </c>
      <c r="N4" s="68" t="s">
        <v>82</v>
      </c>
      <c r="O4" s="68" t="s">
        <v>80</v>
      </c>
      <c r="P4" s="68" t="s">
        <v>82</v>
      </c>
      <c r="Q4" s="68" t="s">
        <v>80</v>
      </c>
      <c r="R4" s="131"/>
      <c r="S4" s="127"/>
      <c r="T4" s="125"/>
    </row>
    <row r="5" spans="1:20" s="98" customFormat="1" ht="38.1" customHeight="1" x14ac:dyDescent="0.3">
      <c r="A5" s="69" t="str">
        <f t="shared" ref="A5" si="0">B5&amp;C5&amp;D5&amp;E5</f>
        <v>E00000801011510102</v>
      </c>
      <c r="B5" s="70"/>
      <c r="C5" s="83" t="s">
        <v>84</v>
      </c>
      <c r="D5" s="66"/>
      <c r="E5" s="71"/>
      <c r="F5" s="82" t="s">
        <v>85</v>
      </c>
      <c r="G5" s="82" t="s">
        <v>86</v>
      </c>
      <c r="H5" s="84" t="s">
        <v>87</v>
      </c>
      <c r="I5" s="89">
        <v>9</v>
      </c>
      <c r="J5" s="105"/>
      <c r="K5" s="106">
        <f t="shared" ref="K5" si="1">SUM(J5:J5)*I5*$K$2</f>
        <v>0</v>
      </c>
      <c r="L5" s="107">
        <v>1710</v>
      </c>
      <c r="M5" s="87">
        <f t="shared" ref="M5" si="2">(L5*I5)*$M$2</f>
        <v>12850.65</v>
      </c>
      <c r="N5" s="88"/>
      <c r="O5" s="87">
        <f t="shared" ref="O5" si="3">N5*I5*$O$2</f>
        <v>0</v>
      </c>
      <c r="P5" s="88"/>
      <c r="Q5" s="87">
        <f t="shared" ref="Q5" si="4">P5*I5*$Q$2</f>
        <v>0</v>
      </c>
      <c r="R5" s="73">
        <f t="shared" ref="R5" si="5">SUM(K5+M5)+O5+Q5</f>
        <v>12850.65</v>
      </c>
      <c r="S5" s="78"/>
      <c r="T5" s="79"/>
    </row>
    <row r="6" spans="1:20" s="98" customFormat="1" ht="38.1" customHeight="1" x14ac:dyDescent="0.3">
      <c r="A6" s="69" t="str">
        <f t="shared" ref="A6:A10" si="6">B6&amp;C6&amp;D6&amp;E6</f>
        <v>L002</v>
      </c>
      <c r="B6" s="70"/>
      <c r="C6" s="83"/>
      <c r="D6" s="66"/>
      <c r="E6" s="70" t="s">
        <v>57</v>
      </c>
      <c r="F6" s="82" t="s">
        <v>95</v>
      </c>
      <c r="G6" s="82" t="s">
        <v>96</v>
      </c>
      <c r="H6" s="84" t="s">
        <v>83</v>
      </c>
      <c r="I6" s="89">
        <v>1</v>
      </c>
      <c r="J6" s="105"/>
      <c r="K6" s="106">
        <f t="shared" ref="K6:K8" si="7">SUM(J6:J6)*I6*$K$2</f>
        <v>0</v>
      </c>
      <c r="L6" s="108">
        <v>171037</v>
      </c>
      <c r="M6" s="72">
        <f>I6*L6</f>
        <v>171037</v>
      </c>
      <c r="N6" s="88"/>
      <c r="O6" s="87">
        <f t="shared" ref="O6:O10" si="8">N6*I6*$O$2</f>
        <v>0</v>
      </c>
      <c r="P6" s="88"/>
      <c r="Q6" s="87">
        <f t="shared" ref="Q6:Q10" si="9">P6*I6*$Q$2</f>
        <v>0</v>
      </c>
      <c r="R6" s="73">
        <f t="shared" ref="R6:R10" si="10">SUM(K6+M6)+O6+Q6</f>
        <v>171037</v>
      </c>
      <c r="S6" s="78"/>
      <c r="T6" s="79"/>
    </row>
    <row r="7" spans="1:20" s="98" customFormat="1" ht="38.1" customHeight="1" x14ac:dyDescent="0.3">
      <c r="A7" s="69" t="str">
        <f t="shared" si="6"/>
        <v>E00000803073030101</v>
      </c>
      <c r="B7" s="70"/>
      <c r="C7" s="83" t="s">
        <v>88</v>
      </c>
      <c r="D7" s="66"/>
      <c r="E7" s="71"/>
      <c r="F7" s="82" t="s">
        <v>89</v>
      </c>
      <c r="G7" s="82"/>
      <c r="H7" s="84" t="s">
        <v>90</v>
      </c>
      <c r="I7" s="89">
        <v>6</v>
      </c>
      <c r="J7" s="105"/>
      <c r="K7" s="106">
        <f t="shared" si="7"/>
        <v>0</v>
      </c>
      <c r="L7" s="107">
        <v>5214</v>
      </c>
      <c r="M7" s="87">
        <f t="shared" ref="M7:M8" si="11">(L7*I7)*$M$2</f>
        <v>26122.14</v>
      </c>
      <c r="N7" s="88"/>
      <c r="O7" s="87">
        <f t="shared" si="8"/>
        <v>0</v>
      </c>
      <c r="P7" s="88"/>
      <c r="Q7" s="87">
        <f t="shared" si="9"/>
        <v>0</v>
      </c>
      <c r="R7" s="73">
        <f t="shared" si="10"/>
        <v>26122.14</v>
      </c>
      <c r="S7" s="78"/>
      <c r="T7" s="79"/>
    </row>
    <row r="8" spans="1:20" s="98" customFormat="1" ht="38.1" customHeight="1" x14ac:dyDescent="0.3">
      <c r="A8" s="69" t="str">
        <f t="shared" si="6"/>
        <v>M020251411750101</v>
      </c>
      <c r="B8" s="70"/>
      <c r="C8" s="66"/>
      <c r="D8" s="83" t="s">
        <v>91</v>
      </c>
      <c r="E8" s="71"/>
      <c r="F8" s="82" t="s">
        <v>59</v>
      </c>
      <c r="G8" s="82" t="s">
        <v>92</v>
      </c>
      <c r="H8" s="84" t="s">
        <v>93</v>
      </c>
      <c r="I8" s="89">
        <v>4</v>
      </c>
      <c r="J8" s="109">
        <v>7000</v>
      </c>
      <c r="K8" s="106">
        <f t="shared" si="7"/>
        <v>23380</v>
      </c>
      <c r="L8" s="105"/>
      <c r="M8" s="87">
        <f t="shared" si="11"/>
        <v>0</v>
      </c>
      <c r="N8" s="88"/>
      <c r="O8" s="87">
        <f t="shared" si="8"/>
        <v>0</v>
      </c>
      <c r="P8" s="88"/>
      <c r="Q8" s="87">
        <f t="shared" si="9"/>
        <v>0</v>
      </c>
      <c r="R8" s="73">
        <f t="shared" si="10"/>
        <v>23380</v>
      </c>
      <c r="S8" s="78"/>
      <c r="T8" s="79"/>
    </row>
    <row r="9" spans="1:20" s="98" customFormat="1" ht="38.1" customHeight="1" x14ac:dyDescent="0.3">
      <c r="A9" s="69" t="str">
        <f t="shared" si="6"/>
        <v>L003</v>
      </c>
      <c r="B9" s="66"/>
      <c r="C9" s="66"/>
      <c r="D9" s="66"/>
      <c r="E9" s="70" t="s">
        <v>58</v>
      </c>
      <c r="F9" s="82" t="s">
        <v>60</v>
      </c>
      <c r="G9" s="92" t="s">
        <v>97</v>
      </c>
      <c r="H9" s="84" t="s">
        <v>56</v>
      </c>
      <c r="I9" s="89">
        <v>1</v>
      </c>
      <c r="J9" s="74"/>
      <c r="K9" s="72">
        <f t="shared" ref="K9:K10" si="12">SUM(J9:J9)*I9*$K$2</f>
        <v>0</v>
      </c>
      <c r="L9" s="85">
        <v>224490</v>
      </c>
      <c r="M9" s="72">
        <f>I9*L9</f>
        <v>224490</v>
      </c>
      <c r="N9" s="73"/>
      <c r="O9" s="72">
        <f t="shared" si="8"/>
        <v>0</v>
      </c>
      <c r="P9" s="73"/>
      <c r="Q9" s="72">
        <f t="shared" si="9"/>
        <v>0</v>
      </c>
      <c r="R9" s="73">
        <f t="shared" si="10"/>
        <v>224490</v>
      </c>
      <c r="S9" s="78"/>
      <c r="T9" s="79"/>
    </row>
    <row r="10" spans="1:20" s="98" customFormat="1" ht="38.1" customHeight="1" x14ac:dyDescent="0.3">
      <c r="A10" s="69" t="str">
        <f t="shared" si="6"/>
        <v>L002</v>
      </c>
      <c r="B10" s="71"/>
      <c r="C10" s="66"/>
      <c r="D10" s="66"/>
      <c r="E10" s="70" t="s">
        <v>57</v>
      </c>
      <c r="F10" s="82" t="s">
        <v>61</v>
      </c>
      <c r="G10" s="92" t="s">
        <v>96</v>
      </c>
      <c r="H10" s="84" t="s">
        <v>56</v>
      </c>
      <c r="I10" s="89">
        <v>1</v>
      </c>
      <c r="J10" s="74"/>
      <c r="K10" s="72">
        <f t="shared" si="12"/>
        <v>0</v>
      </c>
      <c r="L10" s="85">
        <v>171037</v>
      </c>
      <c r="M10" s="72">
        <f>I10*L10</f>
        <v>171037</v>
      </c>
      <c r="N10" s="73"/>
      <c r="O10" s="72">
        <f t="shared" si="8"/>
        <v>0</v>
      </c>
      <c r="P10" s="73"/>
      <c r="Q10" s="72">
        <f t="shared" si="9"/>
        <v>0</v>
      </c>
      <c r="R10" s="73">
        <f t="shared" si="10"/>
        <v>171037</v>
      </c>
      <c r="S10" s="78"/>
      <c r="T10" s="79"/>
    </row>
    <row r="11" spans="1:20" s="102" customFormat="1" ht="38.1" customHeight="1" x14ac:dyDescent="0.3">
      <c r="A11" s="93"/>
      <c r="B11" s="95"/>
      <c r="C11" s="95"/>
      <c r="D11" s="95"/>
      <c r="E11" s="95"/>
      <c r="F11" s="90"/>
      <c r="G11" s="90"/>
      <c r="H11" s="95"/>
      <c r="I11" s="95"/>
      <c r="J11" s="95"/>
      <c r="K11" s="99">
        <f>SUM(K5:K10)</f>
        <v>23380</v>
      </c>
      <c r="L11" s="100"/>
      <c r="M11" s="99">
        <f>SUM(M5:M10)</f>
        <v>605536.79</v>
      </c>
      <c r="N11" s="100"/>
      <c r="O11" s="99">
        <f>SUM(O5:O10)</f>
        <v>0</v>
      </c>
      <c r="P11" s="100"/>
      <c r="Q11" s="99">
        <f>SUM(Q5:Q10)</f>
        <v>0</v>
      </c>
      <c r="R11" s="101">
        <f>SUM(R5:R10)</f>
        <v>628916.79</v>
      </c>
      <c r="S11" s="62"/>
      <c r="T11" s="95"/>
    </row>
    <row r="15" spans="1:20" ht="38.1" customHeight="1" x14ac:dyDescent="0.3">
      <c r="M15" s="10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9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7"/>
  <sheetViews>
    <sheetView showGridLines="0" zoomScaleNormal="100" workbookViewId="0">
      <selection activeCell="I31" sqref="I31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86"/>
  </cols>
  <sheetData>
    <row r="1" spans="1:6" ht="18" customHeight="1" x14ac:dyDescent="0.3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</row>
    <row r="2" spans="1:6" x14ac:dyDescent="0.3">
      <c r="A2" s="76" t="str">
        <f>'내역서(표준단가)'!A5</f>
        <v>E00000801011510102</v>
      </c>
      <c r="B2" s="77">
        <f>'내역서(표준단가)'!B5</f>
        <v>0</v>
      </c>
      <c r="C2" s="77" t="str">
        <f>'내역서(표준단가)'!C5</f>
        <v>E00000801011510102</v>
      </c>
      <c r="D2" s="77">
        <f>'내역서(표준단가)'!D5</f>
        <v>0</v>
      </c>
      <c r="E2" s="77">
        <f>'내역서(표준단가)'!E5</f>
        <v>0</v>
      </c>
      <c r="F2" s="77">
        <f>'내역서(표준단가)'!I5</f>
        <v>9</v>
      </c>
    </row>
    <row r="3" spans="1:6" x14ac:dyDescent="0.3">
      <c r="A3" s="76" t="str">
        <f>'내역서(표준단가)'!A6</f>
        <v>L002</v>
      </c>
      <c r="B3" s="77">
        <f>'내역서(표준단가)'!B6</f>
        <v>0</v>
      </c>
      <c r="C3" s="77">
        <f>'내역서(표준단가)'!C6</f>
        <v>0</v>
      </c>
      <c r="D3" s="77">
        <f>'내역서(표준단가)'!D6</f>
        <v>0</v>
      </c>
      <c r="E3" s="77" t="str">
        <f>'내역서(표준단가)'!E6</f>
        <v>L002</v>
      </c>
      <c r="F3" s="77">
        <f>'내역서(표준단가)'!I6</f>
        <v>1</v>
      </c>
    </row>
    <row r="4" spans="1:6" x14ac:dyDescent="0.3">
      <c r="A4" s="76" t="str">
        <f>'내역서(표준단가)'!A7</f>
        <v>E00000803073030101</v>
      </c>
      <c r="B4" s="77">
        <f>'내역서(표준단가)'!B7</f>
        <v>0</v>
      </c>
      <c r="C4" s="77" t="str">
        <f>'내역서(표준단가)'!C7</f>
        <v>E00000803073030101</v>
      </c>
      <c r="D4" s="77">
        <f>'내역서(표준단가)'!D7</f>
        <v>0</v>
      </c>
      <c r="E4" s="77">
        <f>'내역서(표준단가)'!E7</f>
        <v>0</v>
      </c>
      <c r="F4" s="77">
        <f>'내역서(표준단가)'!I7</f>
        <v>6</v>
      </c>
    </row>
    <row r="5" spans="1:6" x14ac:dyDescent="0.3">
      <c r="A5" s="76" t="str">
        <f>'내역서(표준단가)'!A8</f>
        <v>M020251411750101</v>
      </c>
      <c r="B5" s="77">
        <f>'내역서(표준단가)'!B8</f>
        <v>0</v>
      </c>
      <c r="C5" s="77">
        <f>'내역서(표준단가)'!C8</f>
        <v>0</v>
      </c>
      <c r="D5" s="77" t="str">
        <f>'내역서(표준단가)'!D8</f>
        <v>M020251411750101</v>
      </c>
      <c r="E5" s="77">
        <f>'내역서(표준단가)'!E8</f>
        <v>0</v>
      </c>
      <c r="F5" s="77">
        <f>'내역서(표준단가)'!I8</f>
        <v>4</v>
      </c>
    </row>
    <row r="6" spans="1:6" x14ac:dyDescent="0.3">
      <c r="A6" s="76" t="str">
        <f>'내역서(표준단가)'!A9</f>
        <v>L003</v>
      </c>
      <c r="B6" s="77">
        <f>'내역서(표준단가)'!B9</f>
        <v>0</v>
      </c>
      <c r="C6" s="77">
        <f>'내역서(표준단가)'!C9</f>
        <v>0</v>
      </c>
      <c r="D6" s="77">
        <f>'내역서(표준단가)'!D9</f>
        <v>0</v>
      </c>
      <c r="E6" s="77" t="str">
        <f>'내역서(표준단가)'!E9</f>
        <v>L003</v>
      </c>
      <c r="F6" s="77">
        <f>'내역서(표준단가)'!I9</f>
        <v>1</v>
      </c>
    </row>
    <row r="7" spans="1:6" x14ac:dyDescent="0.3">
      <c r="A7" s="76" t="str">
        <f>'내역서(표준단가)'!A10</f>
        <v>L002</v>
      </c>
      <c r="B7" s="77">
        <f>'내역서(표준단가)'!B10</f>
        <v>0</v>
      </c>
      <c r="C7" s="77">
        <f>'내역서(표준단가)'!C10</f>
        <v>0</v>
      </c>
      <c r="D7" s="77">
        <f>'내역서(표준단가)'!D10</f>
        <v>0</v>
      </c>
      <c r="E7" s="77" t="str">
        <f>'내역서(표준단가)'!E10</f>
        <v>L002</v>
      </c>
      <c r="F7" s="77">
        <f>'내역서(표준단가)'!I10</f>
        <v>1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2026-01-20T04:06:54Z</dcterms:created>
  <dcterms:modified xsi:type="dcterms:W3CDTF">2026-02-26T02:08:56Z</dcterms:modified>
</cp:coreProperties>
</file>
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현재_통합_문서"/>
  <xr:revisionPtr revIDLastSave="0" documentId="13_ncr:1_{8D6FD616-E156-4098-948E-27FBE09402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2" i="12" l="1"/>
  <c r="J24" i="12"/>
  <c r="J23" i="12"/>
  <c r="J26" i="12"/>
  <c r="J25" i="12"/>
  <c r="J27" i="12" s="1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28" i="12" l="1"/>
  <c r="J20" i="12" s="1"/>
  <c r="J30" i="12" s="1"/>
  <c r="R6" i="4"/>
  <c r="R5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<sst xmlns="http://schemas.openxmlformats.org/spreadsheetml/2006/main" count="143" uniqueCount="121">
  <si>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</si>
  <si>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</si>
  <si>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</si>
  <si>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</si>
  <si>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</si>
  <si>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</si>
  <si>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</si>
  <si>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</si>
  <si>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</si>
  <si>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</si>
  <si>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</si>
  <si>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</si>
  <si>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</si>
  <si>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</si>
  <si>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</si>
  <si>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</si>
  <si>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</si>
  <si>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</si>
  <si>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</si>
  <si>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</si>
  <si>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</si>
  <si>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</si>
  <si>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</si>
  <si>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</si>
  <si>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</si>
  <si>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</si>
  <si>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</si>
  <si>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</si>
  <si>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</si>
  <si>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</si>
  <si>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</si>
  <si>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</si>
  <si>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</si>
  <si>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</si>
  <si>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</si>
  <si>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</si>
  <si>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</si>
  <si>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</si>
  <si>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</si>
  <si>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</si>
  <si>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</si>
  <si>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</si>
  <si>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</si>
  <si>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</si>
  <si>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</si>
  <si>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</si>
  <si>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</si>
  <si>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</si>
  <si>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</si>
  <si>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</si>
  <si>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</si>
  <si>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</si>
  <si>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</si>
  <si>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</si>
  <si>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</si>
  <si>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</si>
  <si>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</si>
  <si>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</si>
  <si>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</si>
  <si>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</si>
  <si>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</si>
  <si>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</si>
  <si>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</si>
  <si>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</si>
  <si>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</si>
  <si>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</si>
  <si>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</si>
  <si>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</si>
  <si>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</si>
  <si>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</si>
  <si>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</si>
  <si>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</si>
  <si>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</si>
  <si>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</si>
  <si>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</si>
  <si>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</si>
  <si>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</si>
  <si>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</si>
  <si>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</si>
  <si>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</si>
  <si>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</si>
  <si>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</si>
  <si>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</si>
  <si>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</si>
  <si>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</si>
  <si>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</si>
  <si>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</si>
  <si>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</si>
  <si>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</si>
  <si>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</si>
  <si>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</si>
  <si>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</si>
  <si>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</si>
  <si>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</si>
  <si>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</si>
  <si>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</si>
  <si>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</si>
  <si>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</si>
  <si>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</si>
  <si>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</si>
  <si>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</si>
  <si>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</si>
  <si>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</si>
  <si>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</si>
  <si>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</si>
  <si>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</si>
  <si>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</si>
  <si>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</si>
  <si>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</si>
  <si>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</si>
  <si>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</si>
  <si>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</si>
  <si>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</si>
  <si>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</si>
  <si>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</si>
  <si>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</si>
  <si>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</si>
  <si>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</si>
  <si>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</si>
  <si>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8-107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</si>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</sst>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Border="1" applyAlignment="1">
      <alignment vertical="center"/>
    </xf>
    <xf numFmtId="0" fontId="23" fillId="0" borderId="21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/>
    </xf>
    <xf numFmtId="0" fontId="23" fillId="0" borderId="43" xfId="21" applyFont="1" applyBorder="1" applyAlignment="1">
      <alignment horizontal="center" vertical="center"/>
    </xf>
    <xf numFmtId="0" fontId="23" fillId="0" borderId="48" xfId="21" applyFont="1" applyBorder="1" applyAlignment="1">
      <alignment horizontal="center" vertical="center"/>
    </xf>
    <xf numFmtId="0" fontId="27" fillId="0" borderId="55" xfId="21" applyFont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Border="1" applyAlignment="1">
      <alignment horizontal="left" vertical="center" wrapText="1" indent="1"/>
    </xf>
    <xf numFmtId="0" fontId="27" fillId="0" borderId="56" xfId="21" applyFont="1" applyBorder="1" applyAlignment="1">
      <alignment horizontal="left" vertical="center" wrapText="1" indent="1"/>
    </xf>
    <xf numFmtId="0" fontId="27" fillId="0" borderId="57" xfId="21" applyFont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 wrapText="1"/>
    </xf>
    <xf numFmtId="0" fontId="23" fillId="0" borderId="22" xfId="21" applyFont="1" applyBorder="1" applyAlignment="1">
      <alignment horizontal="center" vertical="center" wrapText="1"/>
    </xf>
    <xf numFmtId="0" fontId="23" fillId="0" borderId="42" xfId="21" applyFont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47772406-7C49-41FC-A201-DAC53B0F6355}"/>
    <cellStyle name="쉼표 [0] 2 84" xfId="25" xr:uid="{FD442A6A-098A-4BE5-BDC1-83FB106037BA}"/>
    <cellStyle name="쉼표 [0] 3" xfId="14" xr:uid="{8F7BE219-40E1-4BBB-A9BD-02188B74B2A3}"/>
    <cellStyle name="쉼표 [0] 4" xfId="22" xr:uid="{FEAFEB26-B8FA-4EC0-A083-3E0CFBDB8C79}"/>
    <cellStyle name="쉼표 [0] 5" xfId="24" xr:uid="{F41832C4-0DFE-4F13-B05A-E0DBAA95C53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D693625-422E-4941-ABCE-BC9B15EB1AE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9BCFE47-9C51-4EF1-BF4B-D7B161ED779C}"/>
    <cellStyle name="표준_P456 공장 및 복지동 전면 유리창 청소건 라상혁님_1129(최종)" xfId="21" xr:uid="{D317F856-C25C-47BF-B012-92102E8CE9BC}"/>
    <cellStyle name="표준_S&amp;D_MAIN VALVE_최빈_2" xfId="18" xr:uid="{1E01DA4C-B4BF-4E1B-8233-F68132F4E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01FF21-2DA5-4230-8163-D5A78BB75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1B675D-B13D-4BFA-AEEA-9E04CBDCBE74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DC9-7DCA-4908-A24F-B44BED77EF11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31" sqref="J31:M31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198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0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1" t="s">
        <v>55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62"/>
      <c r="H5" s="62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4" t="s">
        <v>57</v>
      </c>
      <c r="B7" s="205"/>
      <c r="C7" s="206"/>
      <c r="D7" s="118">
        <v>2026</v>
      </c>
      <c r="E7" s="69" t="s">
        <v>58</v>
      </c>
      <c r="F7" s="69">
        <v>5</v>
      </c>
      <c r="G7" s="69" t="s">
        <v>59</v>
      </c>
      <c r="H7" s="69">
        <v>28</v>
      </c>
      <c r="I7" s="69" t="s">
        <v>60</v>
      </c>
      <c r="J7" s="70"/>
      <c r="K7" s="207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210" t="s">
        <v>66</v>
      </c>
      <c r="B8" s="211"/>
      <c r="C8" s="212"/>
      <c r="D8" s="213" t="s">
        <v>67</v>
      </c>
      <c r="E8" s="214"/>
      <c r="F8" s="214"/>
      <c r="G8" s="215"/>
      <c r="H8" s="216" t="s">
        <v>68</v>
      </c>
      <c r="I8" s="214"/>
      <c r="J8" s="217"/>
      <c r="K8" s="208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210" t="s">
        <v>73</v>
      </c>
      <c r="B9" s="211"/>
      <c r="C9" s="212"/>
      <c r="D9" s="218" t="s">
        <v>74</v>
      </c>
      <c r="E9" s="219"/>
      <c r="F9" s="219"/>
      <c r="G9" s="219"/>
      <c r="H9" s="219"/>
      <c r="I9" s="219"/>
      <c r="J9" s="220"/>
      <c r="K9" s="208"/>
      <c r="L9" s="73" t="s">
        <v>75</v>
      </c>
      <c r="M9" s="221" t="s">
        <v>76</v>
      </c>
      <c r="N9" s="211"/>
      <c r="O9" s="212"/>
    </row>
    <row r="10" spans="1:15" ht="23.25" customHeight="1" thickBot="1" x14ac:dyDescent="0.35">
      <c r="A10" s="222" t="s">
        <v>77</v>
      </c>
      <c r="B10" s="223"/>
      <c r="C10" s="224"/>
      <c r="D10" s="225" t="s">
        <v>78</v>
      </c>
      <c r="E10" s="226"/>
      <c r="F10" s="226"/>
      <c r="G10" s="226"/>
      <c r="H10" s="226"/>
      <c r="I10" s="226"/>
      <c r="J10" s="227"/>
      <c r="K10" s="209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197" t="s">
        <v>119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0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2"/>
      <c r="L16" s="182"/>
      <c r="M16" s="182"/>
      <c r="N16" s="182"/>
      <c r="O16" s="183"/>
    </row>
    <row r="17" spans="1:17" ht="27.75" customHeight="1" thickBot="1" x14ac:dyDescent="0.35">
      <c r="A17" s="85" t="s">
        <v>84</v>
      </c>
      <c r="B17" s="190" t="s">
        <v>85</v>
      </c>
      <c r="C17" s="191"/>
      <c r="D17" s="191"/>
      <c r="E17" s="191"/>
      <c r="F17" s="191"/>
      <c r="G17" s="192"/>
      <c r="H17" s="86" t="s">
        <v>86</v>
      </c>
      <c r="I17" s="87" t="s">
        <v>87</v>
      </c>
      <c r="J17" s="193" t="s">
        <v>88</v>
      </c>
      <c r="K17" s="194"/>
      <c r="L17" s="194"/>
      <c r="M17" s="195"/>
      <c r="N17" s="190" t="s">
        <v>89</v>
      </c>
      <c r="O17" s="196"/>
    </row>
    <row r="18" spans="1:17" ht="28.5" customHeight="1" x14ac:dyDescent="0.3">
      <c r="A18" s="88">
        <v>1</v>
      </c>
      <c r="B18" s="184" t="s">
        <v>33</v>
      </c>
      <c r="C18" s="185"/>
      <c r="D18" s="185"/>
      <c r="E18" s="185"/>
      <c r="F18" s="185"/>
      <c r="G18" s="186"/>
      <c r="H18" s="119">
        <v>1</v>
      </c>
      <c r="I18" s="120" t="s">
        <v>6</v>
      </c>
      <c r="J18" s="187">
        <f>IFERROR(LOOKUP(2, 1/(TRIM('내역서(표준단가)'!K4:K100)&lt;&gt;""), '내역서(표준단가)'!K4:K100), "-")</f>
        <v>800000</v>
      </c>
      <c r="K18" s="187"/>
      <c r="L18" s="187"/>
      <c r="M18" s="187"/>
      <c r="N18" s="188"/>
      <c r="O18" s="189"/>
    </row>
    <row r="19" spans="1:17" ht="28.5" customHeight="1" x14ac:dyDescent="0.3">
      <c r="A19" s="89">
        <v>2</v>
      </c>
      <c r="B19" s="167" t="s">
        <v>34</v>
      </c>
      <c r="C19" s="168"/>
      <c r="D19" s="168"/>
      <c r="E19" s="168"/>
      <c r="F19" s="168"/>
      <c r="G19" s="169"/>
      <c r="H19" s="121">
        <v>1</v>
      </c>
      <c r="I19" s="121" t="s">
        <v>6</v>
      </c>
      <c r="J19" s="170">
        <f>IFERROR(LOOKUP(2, 1/(TRIM('내역서(표준단가)'!M4:M100)&lt;&gt;""), '내역서(표준단가)'!M4:M100), "-")</f>
        <v>224490</v>
      </c>
      <c r="K19" s="171"/>
      <c r="L19" s="171"/>
      <c r="M19" s="172"/>
      <c r="N19" s="173"/>
      <c r="O19" s="174"/>
    </row>
    <row r="20" spans="1:17" ht="28.5" customHeight="1" x14ac:dyDescent="0.3">
      <c r="A20" s="89">
        <v>3</v>
      </c>
      <c r="B20" s="167" t="s">
        <v>90</v>
      </c>
      <c r="C20" s="168"/>
      <c r="D20" s="168"/>
      <c r="E20" s="168"/>
      <c r="F20" s="168"/>
      <c r="G20" s="169"/>
      <c r="H20" s="90">
        <v>1</v>
      </c>
      <c r="I20" s="90" t="s">
        <v>6</v>
      </c>
      <c r="J20" s="175">
        <f>IFERROR(SUM(J21:M29),"-")</f>
        <v>61914.975096700007</v>
      </c>
      <c r="K20" s="176"/>
      <c r="L20" s="176"/>
      <c r="M20" s="177"/>
      <c r="N20" s="178"/>
      <c r="O20" s="179"/>
      <c r="P20" s="91"/>
    </row>
    <row r="21" spans="1:17" ht="28.5" customHeight="1" x14ac:dyDescent="0.3">
      <c r="A21" s="88"/>
      <c r="B21" s="92"/>
      <c r="C21" s="159" t="s">
        <v>91</v>
      </c>
      <c r="D21" s="160"/>
      <c r="E21" s="160"/>
      <c r="F21" s="160"/>
      <c r="G21" s="161"/>
      <c r="H21" s="122">
        <v>1</v>
      </c>
      <c r="I21" s="122" t="s">
        <v>6</v>
      </c>
      <c r="J21" s="16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3"/>
      <c r="L21" s="163"/>
      <c r="M21" s="164"/>
      <c r="N21" s="165" t="s">
        <v>92</v>
      </c>
      <c r="O21" s="166"/>
    </row>
    <row r="22" spans="1:17" ht="28.5" customHeight="1" x14ac:dyDescent="0.3">
      <c r="A22" s="88"/>
      <c r="B22" s="92"/>
      <c r="C22" s="153" t="s">
        <v>93</v>
      </c>
      <c r="D22" s="154"/>
      <c r="E22" s="154"/>
      <c r="F22" s="154"/>
      <c r="G22" s="155"/>
      <c r="H22" s="93">
        <v>3.11</v>
      </c>
      <c r="I22" s="93" t="s">
        <v>94</v>
      </c>
      <c r="J22" s="156">
        <f>IFERROR((J18+J19)*H22%,"-")</f>
        <v>31861.638999999999</v>
      </c>
      <c r="K22" s="157"/>
      <c r="L22" s="157"/>
      <c r="M22" s="158"/>
      <c r="N22" s="149" t="s">
        <v>95</v>
      </c>
      <c r="O22" s="150"/>
    </row>
    <row r="23" spans="1:17" ht="28.5" customHeight="1" x14ac:dyDescent="0.3">
      <c r="A23" s="88"/>
      <c r="B23" s="92"/>
      <c r="C23" s="153" t="s">
        <v>96</v>
      </c>
      <c r="D23" s="154"/>
      <c r="E23" s="154"/>
      <c r="F23" s="154"/>
      <c r="G23" s="155"/>
      <c r="H23" s="93">
        <v>3.56</v>
      </c>
      <c r="I23" s="93" t="s">
        <v>97</v>
      </c>
      <c r="J23" s="156">
        <f>IFERROR(J19*H23%,"-")</f>
        <v>7991.8440000000001</v>
      </c>
      <c r="K23" s="157"/>
      <c r="L23" s="157"/>
      <c r="M23" s="158"/>
      <c r="N23" s="149" t="s">
        <v>98</v>
      </c>
      <c r="O23" s="150"/>
    </row>
    <row r="24" spans="1:17" ht="28.5" customHeight="1" x14ac:dyDescent="0.3">
      <c r="A24" s="88"/>
      <c r="B24" s="92"/>
      <c r="C24" s="153" t="s">
        <v>99</v>
      </c>
      <c r="D24" s="154"/>
      <c r="E24" s="154"/>
      <c r="F24" s="154"/>
      <c r="G24" s="155"/>
      <c r="H24" s="93">
        <v>1.01</v>
      </c>
      <c r="I24" s="93" t="s">
        <v>97</v>
      </c>
      <c r="J24" s="156">
        <f>IFERROR(J19*H24%,"-")</f>
        <v>2267.3489999999997</v>
      </c>
      <c r="K24" s="157"/>
      <c r="L24" s="157"/>
      <c r="M24" s="158"/>
      <c r="N24" s="149" t="s">
        <v>100</v>
      </c>
      <c r="O24" s="150"/>
    </row>
    <row r="25" spans="1:17" ht="28.5" customHeight="1" x14ac:dyDescent="0.3">
      <c r="A25" s="88"/>
      <c r="B25" s="92"/>
      <c r="C25" s="153" t="s">
        <v>101</v>
      </c>
      <c r="D25" s="154"/>
      <c r="E25" s="154"/>
      <c r="F25" s="154"/>
      <c r="G25" s="155"/>
      <c r="H25" s="94">
        <v>3.5950000000000002</v>
      </c>
      <c r="I25" s="93" t="s">
        <v>97</v>
      </c>
      <c r="J25" s="156">
        <f>IFERROR(J19*H25%,"-")</f>
        <v>8070.415500000001</v>
      </c>
      <c r="K25" s="157"/>
      <c r="L25" s="157"/>
      <c r="M25" s="158"/>
      <c r="N25" s="149" t="s">
        <v>102</v>
      </c>
      <c r="O25" s="150"/>
      <c r="Q25" s="91"/>
    </row>
    <row r="26" spans="1:17" ht="28.5" customHeight="1" x14ac:dyDescent="0.3">
      <c r="A26" s="88"/>
      <c r="B26" s="92"/>
      <c r="C26" s="153" t="s">
        <v>103</v>
      </c>
      <c r="D26" s="154"/>
      <c r="E26" s="154"/>
      <c r="F26" s="154"/>
      <c r="G26" s="155"/>
      <c r="H26" s="93">
        <v>4.75</v>
      </c>
      <c r="I26" s="93" t="s">
        <v>97</v>
      </c>
      <c r="J26" s="156">
        <f>IFERROR(J19*H26%,"-")</f>
        <v>10663.275</v>
      </c>
      <c r="K26" s="157"/>
      <c r="L26" s="157"/>
      <c r="M26" s="158"/>
      <c r="N26" s="149" t="s">
        <v>104</v>
      </c>
      <c r="O26" s="150"/>
      <c r="Q26" s="95"/>
    </row>
    <row r="27" spans="1:17" ht="28.5" customHeight="1" x14ac:dyDescent="0.3">
      <c r="A27" s="88"/>
      <c r="B27" s="92"/>
      <c r="C27" s="143" t="s">
        <v>105</v>
      </c>
      <c r="D27" s="144"/>
      <c r="E27" s="144"/>
      <c r="F27" s="144"/>
      <c r="G27" s="145"/>
      <c r="H27" s="96">
        <v>13.14</v>
      </c>
      <c r="I27" s="97" t="s">
        <v>97</v>
      </c>
      <c r="J27" s="146">
        <f>IFERROR($H$27*J25%,"-")</f>
        <v>1060.4525967000002</v>
      </c>
      <c r="K27" s="147"/>
      <c r="L27" s="147"/>
      <c r="M27" s="148"/>
      <c r="N27" s="149" t="s">
        <v>106</v>
      </c>
      <c r="O27" s="150"/>
    </row>
    <row r="28" spans="1:17" ht="28.5" customHeight="1" x14ac:dyDescent="0.3">
      <c r="A28" s="88"/>
      <c r="B28" s="92"/>
      <c r="C28" s="143" t="s">
        <v>107</v>
      </c>
      <c r="D28" s="144"/>
      <c r="E28" s="144"/>
      <c r="F28" s="144"/>
      <c r="G28" s="145"/>
      <c r="H28" s="96">
        <v>8.1000000000000003E-2</v>
      </c>
      <c r="I28" s="97" t="s">
        <v>97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108</v>
      </c>
      <c r="O28" s="152"/>
    </row>
    <row r="29" spans="1:17" ht="28.5" customHeight="1" x14ac:dyDescent="0.3">
      <c r="A29" s="98"/>
      <c r="B29" s="99"/>
      <c r="C29" s="123" t="s">
        <v>109</v>
      </c>
      <c r="D29" s="124"/>
      <c r="E29" s="124"/>
      <c r="F29" s="124"/>
      <c r="G29" s="125"/>
      <c r="H29" s="100">
        <v>1</v>
      </c>
      <c r="I29" s="101" t="s">
        <v>110</v>
      </c>
      <c r="J29" s="126">
        <f>34*0</f>
        <v>0</v>
      </c>
      <c r="K29" s="127"/>
      <c r="L29" s="127"/>
      <c r="M29" s="128"/>
      <c r="N29" s="129" t="s">
        <v>111</v>
      </c>
      <c r="O29" s="130"/>
    </row>
    <row r="30" spans="1:17" ht="28.5" customHeight="1" x14ac:dyDescent="0.3">
      <c r="A30" s="98">
        <v>4</v>
      </c>
      <c r="B30" s="99"/>
      <c r="C30" s="123" t="s">
        <v>112</v>
      </c>
      <c r="D30" s="124"/>
      <c r="E30" s="124"/>
      <c r="F30" s="124"/>
      <c r="G30" s="125"/>
      <c r="H30" s="101">
        <v>5</v>
      </c>
      <c r="I30" s="102" t="s">
        <v>113</v>
      </c>
      <c r="J30" s="136">
        <f>IFERROR(IF(ISNUMBER(H30), SUM(J18:M20) * (H30 / 100), "-"), "-")</f>
        <v>54320.248754835004</v>
      </c>
      <c r="K30" s="137"/>
      <c r="L30" s="137"/>
      <c r="M30" s="138"/>
      <c r="N30" s="139" t="s">
        <v>114</v>
      </c>
      <c r="O30" s="140"/>
    </row>
    <row r="31" spans="1:17" ht="28.5" customHeight="1" thickBot="1" x14ac:dyDescent="0.35">
      <c r="A31" s="98">
        <v>5</v>
      </c>
      <c r="B31" s="99"/>
      <c r="C31" s="123" t="s">
        <v>115</v>
      </c>
      <c r="D31" s="124"/>
      <c r="E31" s="124"/>
      <c r="F31" s="124"/>
      <c r="G31" s="125"/>
      <c r="H31" s="101">
        <v>7.5</v>
      </c>
      <c r="I31" s="102" t="s">
        <v>97</v>
      </c>
      <c r="J31" s="126">
        <f>IFERROR(SUM(J18:M20, J30) * (H31 / 100), "-")+-43779</f>
        <v>41775.391788865119</v>
      </c>
      <c r="K31" s="127"/>
      <c r="L31" s="127"/>
      <c r="M31" s="128"/>
      <c r="N31" s="141" t="s">
        <v>116</v>
      </c>
      <c r="O31" s="142"/>
      <c r="Q31" s="103"/>
    </row>
    <row r="32" spans="1:17" ht="28.5" customHeight="1" thickBot="1" x14ac:dyDescent="0.35">
      <c r="A32" s="131" t="s">
        <v>117</v>
      </c>
      <c r="B32" s="132"/>
      <c r="C32" s="132"/>
      <c r="D32" s="132"/>
      <c r="E32" s="132"/>
      <c r="F32" s="132"/>
      <c r="G32" s="132"/>
      <c r="H32" s="132"/>
      <c r="I32" s="133"/>
      <c r="J32" s="104"/>
      <c r="K32" s="105"/>
      <c r="L32" s="105"/>
      <c r="M32" s="106">
        <f>IFERROR(ROUNDDOWN(SUM(J18:M20)+J30+J31,0),"-")</f>
        <v>1182500</v>
      </c>
      <c r="N32" s="134"/>
      <c r="O32" s="135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G10" sqref="G10"/>
    </sheetView>
  </sheetViews>
  <sheetFormatPr defaultColWidth="9" defaultRowHeight="38.1" customHeight="1" x14ac:dyDescent="0.3"/>
  <cols>
    <col min="1" max="1" width="11.25" style="47" customWidth="1"/>
    <col min="2" max="5" width="11.25" style="2" hidden="1" customWidth="1"/>
    <col min="6" max="6" width="11.25" style="38" customWidth="1"/>
    <col min="7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hidden="1" customWidth="1"/>
    <col min="15" max="15" width="8.25" style="2" hidden="1" customWidth="1"/>
    <col min="16" max="16" width="6.375" style="2" hidden="1" customWidth="1"/>
    <col min="17" max="17" width="8.25" style="2" hidden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28"/>
      <c r="B1" s="228"/>
      <c r="C1" s="228"/>
      <c r="D1" s="228"/>
      <c r="E1" s="228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28"/>
      <c r="B2" s="228"/>
      <c r="C2" s="228"/>
      <c r="D2" s="228"/>
      <c r="E2" s="228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39" t="s">
        <v>32</v>
      </c>
      <c r="G3" s="239"/>
      <c r="H3" s="237" t="s">
        <v>12</v>
      </c>
      <c r="I3" s="237" t="s">
        <v>5</v>
      </c>
      <c r="J3" s="233" t="s">
        <v>33</v>
      </c>
      <c r="K3" s="233"/>
      <c r="L3" s="233" t="s">
        <v>34</v>
      </c>
      <c r="M3" s="233"/>
      <c r="N3" s="234" t="s">
        <v>35</v>
      </c>
      <c r="O3" s="234"/>
      <c r="P3" s="234" t="s">
        <v>36</v>
      </c>
      <c r="Q3" s="234"/>
      <c r="R3" s="235" t="s">
        <v>37</v>
      </c>
      <c r="S3" s="231" t="s">
        <v>38</v>
      </c>
      <c r="T3" s="229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38"/>
      <c r="I4" s="238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36"/>
      <c r="S4" s="232"/>
      <c r="T4" s="230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2026-05-28T08:15:02Z</dcterms:modified>
</cp:coreProperties>
</file>